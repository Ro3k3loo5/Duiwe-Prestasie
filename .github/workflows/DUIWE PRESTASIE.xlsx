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uveeu\Downloads\"/>
    </mc:Choice>
  </mc:AlternateContent>
  <xr:revisionPtr revIDLastSave="0" documentId="8_{CB131156-296A-4C61-9737-392E587368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cePerformance" sheetId="1" r:id="rId1"/>
    <sheet name="Chicks" sheetId="2" r:id="rId2"/>
    <sheet name="Cocks" sheetId="3" r:id="rId3"/>
    <sheet name="Hens" sheetId="4" r:id="rId4"/>
    <sheet name="Pairs" sheetId="5" r:id="rId5"/>
    <sheet name="ByRound" sheetId="6" r:id="rId6"/>
    <sheet name="ByMonth" sheetId="7" r:id="rId7"/>
    <sheet name="Summary" sheetId="8" r:id="rId8"/>
    <sheet name="Instructions" sheetId="9" r:id="rId9"/>
    <sheet name="Lists" sheetId="10" state="hidden" r:id="rId10"/>
  </sheets>
  <definedNames>
    <definedName name="_xlnm._FilterDatabase" localSheetId="1" hidden="1">Chicks!$A$1:$P$992</definedName>
    <definedName name="_xlnm._FilterDatabase" localSheetId="2" hidden="1">Cocks!$A$1:$N$997</definedName>
    <definedName name="_xlnm._FilterDatabase" localSheetId="3" hidden="1">Hens!$A$1:$N$998</definedName>
    <definedName name="_xlnm._FilterDatabase" localSheetId="4" hidden="1">Pairs!$A$1:$P$1</definedName>
    <definedName name="_xlnm._FilterDatabase" localSheetId="0" hidden="1">RacePerformance!$A$1:$L$1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7" l="1"/>
  <c r="D13" i="7" s="1"/>
  <c r="B12" i="7"/>
  <c r="B11" i="7"/>
  <c r="B10" i="7"/>
  <c r="D9" i="7"/>
  <c r="B9" i="7"/>
  <c r="F9" i="7" s="1"/>
  <c r="B8" i="7"/>
  <c r="B7" i="7"/>
  <c r="F7" i="7" s="1"/>
  <c r="F6" i="7"/>
  <c r="E6" i="7"/>
  <c r="D6" i="7"/>
  <c r="B6" i="7"/>
  <c r="F5" i="7"/>
  <c r="B5" i="7"/>
  <c r="D5" i="7" s="1"/>
  <c r="F4" i="7"/>
  <c r="E4" i="7"/>
  <c r="B4" i="7"/>
  <c r="D4" i="7" s="1"/>
  <c r="F3" i="7"/>
  <c r="E3" i="7"/>
  <c r="D3" i="7"/>
  <c r="B3" i="7"/>
  <c r="B2" i="7"/>
  <c r="I1000" i="6"/>
  <c r="H1000" i="6"/>
  <c r="G1000" i="6"/>
  <c r="F1000" i="6"/>
  <c r="E1000" i="6"/>
  <c r="D1000" i="6"/>
  <c r="B1000" i="6"/>
  <c r="I999" i="6"/>
  <c r="H999" i="6"/>
  <c r="G999" i="6"/>
  <c r="F999" i="6"/>
  <c r="E999" i="6"/>
  <c r="D999" i="6"/>
  <c r="B999" i="6"/>
  <c r="I998" i="6"/>
  <c r="H998" i="6"/>
  <c r="G998" i="6"/>
  <c r="F998" i="6"/>
  <c r="E998" i="6"/>
  <c r="D998" i="6"/>
  <c r="B998" i="6"/>
  <c r="I997" i="6"/>
  <c r="H997" i="6"/>
  <c r="G997" i="6"/>
  <c r="F997" i="6"/>
  <c r="E997" i="6"/>
  <c r="D997" i="6"/>
  <c r="B997" i="6"/>
  <c r="I996" i="6"/>
  <c r="H996" i="6"/>
  <c r="G996" i="6"/>
  <c r="F996" i="6"/>
  <c r="E996" i="6"/>
  <c r="D996" i="6"/>
  <c r="B996" i="6"/>
  <c r="I995" i="6"/>
  <c r="H995" i="6"/>
  <c r="G995" i="6"/>
  <c r="F995" i="6"/>
  <c r="E995" i="6"/>
  <c r="D995" i="6"/>
  <c r="B995" i="6"/>
  <c r="I994" i="6"/>
  <c r="H994" i="6"/>
  <c r="G994" i="6"/>
  <c r="F994" i="6"/>
  <c r="E994" i="6"/>
  <c r="D994" i="6"/>
  <c r="B994" i="6"/>
  <c r="I993" i="6"/>
  <c r="H993" i="6"/>
  <c r="G993" i="6"/>
  <c r="F993" i="6"/>
  <c r="E993" i="6"/>
  <c r="D993" i="6"/>
  <c r="B993" i="6"/>
  <c r="I992" i="6"/>
  <c r="H992" i="6"/>
  <c r="G992" i="6"/>
  <c r="F992" i="6"/>
  <c r="E992" i="6"/>
  <c r="D992" i="6"/>
  <c r="B992" i="6"/>
  <c r="I991" i="6"/>
  <c r="H991" i="6"/>
  <c r="G991" i="6"/>
  <c r="F991" i="6"/>
  <c r="E991" i="6"/>
  <c r="D991" i="6"/>
  <c r="B991" i="6"/>
  <c r="I990" i="6"/>
  <c r="H990" i="6"/>
  <c r="G990" i="6"/>
  <c r="F990" i="6"/>
  <c r="E990" i="6"/>
  <c r="D990" i="6"/>
  <c r="B990" i="6"/>
  <c r="I989" i="6"/>
  <c r="H989" i="6"/>
  <c r="G989" i="6"/>
  <c r="F989" i="6"/>
  <c r="E989" i="6"/>
  <c r="D989" i="6"/>
  <c r="B989" i="6"/>
  <c r="I988" i="6"/>
  <c r="H988" i="6"/>
  <c r="G988" i="6"/>
  <c r="F988" i="6"/>
  <c r="E988" i="6"/>
  <c r="D988" i="6"/>
  <c r="B988" i="6"/>
  <c r="I987" i="6"/>
  <c r="H987" i="6"/>
  <c r="G987" i="6"/>
  <c r="F987" i="6"/>
  <c r="E987" i="6"/>
  <c r="D987" i="6"/>
  <c r="B987" i="6"/>
  <c r="I986" i="6"/>
  <c r="H986" i="6"/>
  <c r="G986" i="6"/>
  <c r="F986" i="6"/>
  <c r="E986" i="6"/>
  <c r="D986" i="6"/>
  <c r="B986" i="6"/>
  <c r="I985" i="6"/>
  <c r="H985" i="6"/>
  <c r="G985" i="6"/>
  <c r="F985" i="6"/>
  <c r="E985" i="6"/>
  <c r="D985" i="6"/>
  <c r="B985" i="6"/>
  <c r="I984" i="6"/>
  <c r="H984" i="6"/>
  <c r="G984" i="6"/>
  <c r="F984" i="6"/>
  <c r="E984" i="6"/>
  <c r="D984" i="6"/>
  <c r="B984" i="6"/>
  <c r="I983" i="6"/>
  <c r="H983" i="6"/>
  <c r="G983" i="6"/>
  <c r="F983" i="6"/>
  <c r="E983" i="6"/>
  <c r="D983" i="6"/>
  <c r="B983" i="6"/>
  <c r="I982" i="6"/>
  <c r="H982" i="6"/>
  <c r="G982" i="6"/>
  <c r="F982" i="6"/>
  <c r="E982" i="6"/>
  <c r="D982" i="6"/>
  <c r="B982" i="6"/>
  <c r="I981" i="6"/>
  <c r="H981" i="6"/>
  <c r="G981" i="6"/>
  <c r="F981" i="6"/>
  <c r="E981" i="6"/>
  <c r="D981" i="6"/>
  <c r="B981" i="6"/>
  <c r="I980" i="6"/>
  <c r="H980" i="6"/>
  <c r="G980" i="6"/>
  <c r="F980" i="6"/>
  <c r="E980" i="6"/>
  <c r="D980" i="6"/>
  <c r="B980" i="6"/>
  <c r="I979" i="6"/>
  <c r="H979" i="6"/>
  <c r="G979" i="6"/>
  <c r="F979" i="6"/>
  <c r="E979" i="6"/>
  <c r="D979" i="6"/>
  <c r="B979" i="6"/>
  <c r="I978" i="6"/>
  <c r="H978" i="6"/>
  <c r="G978" i="6"/>
  <c r="F978" i="6"/>
  <c r="E978" i="6"/>
  <c r="D978" i="6"/>
  <c r="B978" i="6"/>
  <c r="I977" i="6"/>
  <c r="H977" i="6"/>
  <c r="G977" i="6"/>
  <c r="F977" i="6"/>
  <c r="E977" i="6"/>
  <c r="D977" i="6"/>
  <c r="B977" i="6"/>
  <c r="I976" i="6"/>
  <c r="H976" i="6"/>
  <c r="G976" i="6"/>
  <c r="F976" i="6"/>
  <c r="E976" i="6"/>
  <c r="D976" i="6"/>
  <c r="B976" i="6"/>
  <c r="I975" i="6"/>
  <c r="H975" i="6"/>
  <c r="G975" i="6"/>
  <c r="F975" i="6"/>
  <c r="E975" i="6"/>
  <c r="D975" i="6"/>
  <c r="B975" i="6"/>
  <c r="I974" i="6"/>
  <c r="H974" i="6"/>
  <c r="G974" i="6"/>
  <c r="F974" i="6"/>
  <c r="E974" i="6"/>
  <c r="D974" i="6"/>
  <c r="B974" i="6"/>
  <c r="I973" i="6"/>
  <c r="H973" i="6"/>
  <c r="G973" i="6"/>
  <c r="F973" i="6"/>
  <c r="E973" i="6"/>
  <c r="D973" i="6"/>
  <c r="B973" i="6"/>
  <c r="I972" i="6"/>
  <c r="H972" i="6"/>
  <c r="G972" i="6"/>
  <c r="F972" i="6"/>
  <c r="E972" i="6"/>
  <c r="D972" i="6"/>
  <c r="B972" i="6"/>
  <c r="I971" i="6"/>
  <c r="H971" i="6"/>
  <c r="G971" i="6"/>
  <c r="F971" i="6"/>
  <c r="E971" i="6"/>
  <c r="D971" i="6"/>
  <c r="B971" i="6"/>
  <c r="I970" i="6"/>
  <c r="H970" i="6"/>
  <c r="G970" i="6"/>
  <c r="F970" i="6"/>
  <c r="E970" i="6"/>
  <c r="D970" i="6"/>
  <c r="B970" i="6"/>
  <c r="I969" i="6"/>
  <c r="H969" i="6"/>
  <c r="G969" i="6"/>
  <c r="F969" i="6"/>
  <c r="E969" i="6"/>
  <c r="D969" i="6"/>
  <c r="B969" i="6"/>
  <c r="I968" i="6"/>
  <c r="H968" i="6"/>
  <c r="G968" i="6"/>
  <c r="F968" i="6"/>
  <c r="E968" i="6"/>
  <c r="D968" i="6"/>
  <c r="B968" i="6"/>
  <c r="I967" i="6"/>
  <c r="H967" i="6"/>
  <c r="G967" i="6"/>
  <c r="F967" i="6"/>
  <c r="E967" i="6"/>
  <c r="D967" i="6"/>
  <c r="B967" i="6"/>
  <c r="I966" i="6"/>
  <c r="H966" i="6"/>
  <c r="G966" i="6"/>
  <c r="F966" i="6"/>
  <c r="E966" i="6"/>
  <c r="D966" i="6"/>
  <c r="B966" i="6"/>
  <c r="I965" i="6"/>
  <c r="H965" i="6"/>
  <c r="G965" i="6"/>
  <c r="F965" i="6"/>
  <c r="E965" i="6"/>
  <c r="D965" i="6"/>
  <c r="B965" i="6"/>
  <c r="I964" i="6"/>
  <c r="H964" i="6"/>
  <c r="G964" i="6"/>
  <c r="F964" i="6"/>
  <c r="E964" i="6"/>
  <c r="D964" i="6"/>
  <c r="B964" i="6"/>
  <c r="I963" i="6"/>
  <c r="H963" i="6"/>
  <c r="G963" i="6"/>
  <c r="F963" i="6"/>
  <c r="E963" i="6"/>
  <c r="D963" i="6"/>
  <c r="B963" i="6"/>
  <c r="I962" i="6"/>
  <c r="H962" i="6"/>
  <c r="G962" i="6"/>
  <c r="F962" i="6"/>
  <c r="E962" i="6"/>
  <c r="D962" i="6"/>
  <c r="B962" i="6"/>
  <c r="I961" i="6"/>
  <c r="H961" i="6"/>
  <c r="G961" i="6"/>
  <c r="F961" i="6"/>
  <c r="E961" i="6"/>
  <c r="D961" i="6"/>
  <c r="B961" i="6"/>
  <c r="I960" i="6"/>
  <c r="H960" i="6"/>
  <c r="G960" i="6"/>
  <c r="F960" i="6"/>
  <c r="E960" i="6"/>
  <c r="D960" i="6"/>
  <c r="B960" i="6"/>
  <c r="I959" i="6"/>
  <c r="H959" i="6"/>
  <c r="G959" i="6"/>
  <c r="F959" i="6"/>
  <c r="E959" i="6"/>
  <c r="D959" i="6"/>
  <c r="B959" i="6"/>
  <c r="I958" i="6"/>
  <c r="H958" i="6"/>
  <c r="G958" i="6"/>
  <c r="F958" i="6"/>
  <c r="E958" i="6"/>
  <c r="D958" i="6"/>
  <c r="B958" i="6"/>
  <c r="I957" i="6"/>
  <c r="H957" i="6"/>
  <c r="G957" i="6"/>
  <c r="F957" i="6"/>
  <c r="E957" i="6"/>
  <c r="D957" i="6"/>
  <c r="B957" i="6"/>
  <c r="I956" i="6"/>
  <c r="H956" i="6"/>
  <c r="G956" i="6"/>
  <c r="F956" i="6"/>
  <c r="E956" i="6"/>
  <c r="D956" i="6"/>
  <c r="B956" i="6"/>
  <c r="I955" i="6"/>
  <c r="H955" i="6"/>
  <c r="G955" i="6"/>
  <c r="F955" i="6"/>
  <c r="E955" i="6"/>
  <c r="D955" i="6"/>
  <c r="B955" i="6"/>
  <c r="I954" i="6"/>
  <c r="H954" i="6"/>
  <c r="G954" i="6"/>
  <c r="F954" i="6"/>
  <c r="E954" i="6"/>
  <c r="D954" i="6"/>
  <c r="B954" i="6"/>
  <c r="I953" i="6"/>
  <c r="H953" i="6"/>
  <c r="G953" i="6"/>
  <c r="F953" i="6"/>
  <c r="E953" i="6"/>
  <c r="D953" i="6"/>
  <c r="B953" i="6"/>
  <c r="I952" i="6"/>
  <c r="H952" i="6"/>
  <c r="G952" i="6"/>
  <c r="F952" i="6"/>
  <c r="E952" i="6"/>
  <c r="D952" i="6"/>
  <c r="B952" i="6"/>
  <c r="I951" i="6"/>
  <c r="H951" i="6"/>
  <c r="G951" i="6"/>
  <c r="F951" i="6"/>
  <c r="E951" i="6"/>
  <c r="D951" i="6"/>
  <c r="B951" i="6"/>
  <c r="I950" i="6"/>
  <c r="H950" i="6"/>
  <c r="G950" i="6"/>
  <c r="F950" i="6"/>
  <c r="E950" i="6"/>
  <c r="D950" i="6"/>
  <c r="B950" i="6"/>
  <c r="I949" i="6"/>
  <c r="H949" i="6"/>
  <c r="G949" i="6"/>
  <c r="F949" i="6"/>
  <c r="E949" i="6"/>
  <c r="D949" i="6"/>
  <c r="B949" i="6"/>
  <c r="I948" i="6"/>
  <c r="H948" i="6"/>
  <c r="G948" i="6"/>
  <c r="F948" i="6"/>
  <c r="E948" i="6"/>
  <c r="D948" i="6"/>
  <c r="B948" i="6"/>
  <c r="I947" i="6"/>
  <c r="H947" i="6"/>
  <c r="G947" i="6"/>
  <c r="F947" i="6"/>
  <c r="E947" i="6"/>
  <c r="D947" i="6"/>
  <c r="B947" i="6"/>
  <c r="I946" i="6"/>
  <c r="H946" i="6"/>
  <c r="G946" i="6"/>
  <c r="F946" i="6"/>
  <c r="E946" i="6"/>
  <c r="D946" i="6"/>
  <c r="B946" i="6"/>
  <c r="I945" i="6"/>
  <c r="H945" i="6"/>
  <c r="G945" i="6"/>
  <c r="F945" i="6"/>
  <c r="E945" i="6"/>
  <c r="D945" i="6"/>
  <c r="B945" i="6"/>
  <c r="I944" i="6"/>
  <c r="H944" i="6"/>
  <c r="G944" i="6"/>
  <c r="F944" i="6"/>
  <c r="E944" i="6"/>
  <c r="D944" i="6"/>
  <c r="B944" i="6"/>
  <c r="I943" i="6"/>
  <c r="H943" i="6"/>
  <c r="G943" i="6"/>
  <c r="F943" i="6"/>
  <c r="E943" i="6"/>
  <c r="D943" i="6"/>
  <c r="B943" i="6"/>
  <c r="I942" i="6"/>
  <c r="H942" i="6"/>
  <c r="G942" i="6"/>
  <c r="F942" i="6"/>
  <c r="E942" i="6"/>
  <c r="D942" i="6"/>
  <c r="B942" i="6"/>
  <c r="I941" i="6"/>
  <c r="H941" i="6"/>
  <c r="G941" i="6"/>
  <c r="F941" i="6"/>
  <c r="E941" i="6"/>
  <c r="D941" i="6"/>
  <c r="B941" i="6"/>
  <c r="I940" i="6"/>
  <c r="H940" i="6"/>
  <c r="G940" i="6"/>
  <c r="F940" i="6"/>
  <c r="E940" i="6"/>
  <c r="D940" i="6"/>
  <c r="B940" i="6"/>
  <c r="I939" i="6"/>
  <c r="H939" i="6"/>
  <c r="G939" i="6"/>
  <c r="F939" i="6"/>
  <c r="E939" i="6"/>
  <c r="D939" i="6"/>
  <c r="B939" i="6"/>
  <c r="I938" i="6"/>
  <c r="H938" i="6"/>
  <c r="G938" i="6"/>
  <c r="F938" i="6"/>
  <c r="E938" i="6"/>
  <c r="D938" i="6"/>
  <c r="B938" i="6"/>
  <c r="I937" i="6"/>
  <c r="H937" i="6"/>
  <c r="G937" i="6"/>
  <c r="F937" i="6"/>
  <c r="E937" i="6"/>
  <c r="D937" i="6"/>
  <c r="B937" i="6"/>
  <c r="I936" i="6"/>
  <c r="H936" i="6"/>
  <c r="G936" i="6"/>
  <c r="F936" i="6"/>
  <c r="E936" i="6"/>
  <c r="D936" i="6"/>
  <c r="B936" i="6"/>
  <c r="I935" i="6"/>
  <c r="H935" i="6"/>
  <c r="G935" i="6"/>
  <c r="F935" i="6"/>
  <c r="E935" i="6"/>
  <c r="D935" i="6"/>
  <c r="B935" i="6"/>
  <c r="I934" i="6"/>
  <c r="H934" i="6"/>
  <c r="G934" i="6"/>
  <c r="F934" i="6"/>
  <c r="E934" i="6"/>
  <c r="D934" i="6"/>
  <c r="B934" i="6"/>
  <c r="I933" i="6"/>
  <c r="H933" i="6"/>
  <c r="G933" i="6"/>
  <c r="F933" i="6"/>
  <c r="E933" i="6"/>
  <c r="D933" i="6"/>
  <c r="B933" i="6"/>
  <c r="I932" i="6"/>
  <c r="H932" i="6"/>
  <c r="G932" i="6"/>
  <c r="F932" i="6"/>
  <c r="E932" i="6"/>
  <c r="D932" i="6"/>
  <c r="B932" i="6"/>
  <c r="I931" i="6"/>
  <c r="H931" i="6"/>
  <c r="G931" i="6"/>
  <c r="F931" i="6"/>
  <c r="E931" i="6"/>
  <c r="D931" i="6"/>
  <c r="B931" i="6"/>
  <c r="I930" i="6"/>
  <c r="H930" i="6"/>
  <c r="G930" i="6"/>
  <c r="F930" i="6"/>
  <c r="E930" i="6"/>
  <c r="D930" i="6"/>
  <c r="B930" i="6"/>
  <c r="I929" i="6"/>
  <c r="H929" i="6"/>
  <c r="G929" i="6"/>
  <c r="F929" i="6"/>
  <c r="E929" i="6"/>
  <c r="D929" i="6"/>
  <c r="B929" i="6"/>
  <c r="I928" i="6"/>
  <c r="H928" i="6"/>
  <c r="G928" i="6"/>
  <c r="F928" i="6"/>
  <c r="E928" i="6"/>
  <c r="D928" i="6"/>
  <c r="B928" i="6"/>
  <c r="I927" i="6"/>
  <c r="H927" i="6"/>
  <c r="G927" i="6"/>
  <c r="F927" i="6"/>
  <c r="E927" i="6"/>
  <c r="D927" i="6"/>
  <c r="B927" i="6"/>
  <c r="I926" i="6"/>
  <c r="H926" i="6"/>
  <c r="G926" i="6"/>
  <c r="F926" i="6"/>
  <c r="E926" i="6"/>
  <c r="D926" i="6"/>
  <c r="B926" i="6"/>
  <c r="I925" i="6"/>
  <c r="H925" i="6"/>
  <c r="G925" i="6"/>
  <c r="F925" i="6"/>
  <c r="E925" i="6"/>
  <c r="D925" i="6"/>
  <c r="B925" i="6"/>
  <c r="I924" i="6"/>
  <c r="H924" i="6"/>
  <c r="G924" i="6"/>
  <c r="F924" i="6"/>
  <c r="E924" i="6"/>
  <c r="D924" i="6"/>
  <c r="B924" i="6"/>
  <c r="I923" i="6"/>
  <c r="H923" i="6"/>
  <c r="G923" i="6"/>
  <c r="F923" i="6"/>
  <c r="E923" i="6"/>
  <c r="D923" i="6"/>
  <c r="B923" i="6"/>
  <c r="I922" i="6"/>
  <c r="H922" i="6"/>
  <c r="G922" i="6"/>
  <c r="F922" i="6"/>
  <c r="E922" i="6"/>
  <c r="D922" i="6"/>
  <c r="B922" i="6"/>
  <c r="I921" i="6"/>
  <c r="H921" i="6"/>
  <c r="G921" i="6"/>
  <c r="F921" i="6"/>
  <c r="E921" i="6"/>
  <c r="D921" i="6"/>
  <c r="B921" i="6"/>
  <c r="I920" i="6"/>
  <c r="H920" i="6"/>
  <c r="G920" i="6"/>
  <c r="F920" i="6"/>
  <c r="E920" i="6"/>
  <c r="D920" i="6"/>
  <c r="B920" i="6"/>
  <c r="I919" i="6"/>
  <c r="H919" i="6"/>
  <c r="G919" i="6"/>
  <c r="F919" i="6"/>
  <c r="E919" i="6"/>
  <c r="D919" i="6"/>
  <c r="B919" i="6"/>
  <c r="I918" i="6"/>
  <c r="H918" i="6"/>
  <c r="G918" i="6"/>
  <c r="F918" i="6"/>
  <c r="E918" i="6"/>
  <c r="D918" i="6"/>
  <c r="B918" i="6"/>
  <c r="I917" i="6"/>
  <c r="H917" i="6"/>
  <c r="G917" i="6"/>
  <c r="F917" i="6"/>
  <c r="E917" i="6"/>
  <c r="D917" i="6"/>
  <c r="B917" i="6"/>
  <c r="I916" i="6"/>
  <c r="H916" i="6"/>
  <c r="G916" i="6"/>
  <c r="F916" i="6"/>
  <c r="E916" i="6"/>
  <c r="D916" i="6"/>
  <c r="B916" i="6"/>
  <c r="I915" i="6"/>
  <c r="H915" i="6"/>
  <c r="G915" i="6"/>
  <c r="F915" i="6"/>
  <c r="E915" i="6"/>
  <c r="D915" i="6"/>
  <c r="B915" i="6"/>
  <c r="I914" i="6"/>
  <c r="H914" i="6"/>
  <c r="G914" i="6"/>
  <c r="F914" i="6"/>
  <c r="E914" i="6"/>
  <c r="D914" i="6"/>
  <c r="B914" i="6"/>
  <c r="I913" i="6"/>
  <c r="H913" i="6"/>
  <c r="G913" i="6"/>
  <c r="F913" i="6"/>
  <c r="E913" i="6"/>
  <c r="D913" i="6"/>
  <c r="B913" i="6"/>
  <c r="I912" i="6"/>
  <c r="H912" i="6"/>
  <c r="G912" i="6"/>
  <c r="F912" i="6"/>
  <c r="E912" i="6"/>
  <c r="D912" i="6"/>
  <c r="B912" i="6"/>
  <c r="I911" i="6"/>
  <c r="H911" i="6"/>
  <c r="G911" i="6"/>
  <c r="F911" i="6"/>
  <c r="E911" i="6"/>
  <c r="D911" i="6"/>
  <c r="B911" i="6"/>
  <c r="I910" i="6"/>
  <c r="H910" i="6"/>
  <c r="G910" i="6"/>
  <c r="F910" i="6"/>
  <c r="E910" i="6"/>
  <c r="D910" i="6"/>
  <c r="B910" i="6"/>
  <c r="I909" i="6"/>
  <c r="H909" i="6"/>
  <c r="G909" i="6"/>
  <c r="F909" i="6"/>
  <c r="E909" i="6"/>
  <c r="D909" i="6"/>
  <c r="B909" i="6"/>
  <c r="I908" i="6"/>
  <c r="H908" i="6"/>
  <c r="G908" i="6"/>
  <c r="F908" i="6"/>
  <c r="E908" i="6"/>
  <c r="D908" i="6"/>
  <c r="B908" i="6"/>
  <c r="I907" i="6"/>
  <c r="H907" i="6"/>
  <c r="G907" i="6"/>
  <c r="F907" i="6"/>
  <c r="E907" i="6"/>
  <c r="D907" i="6"/>
  <c r="B907" i="6"/>
  <c r="I906" i="6"/>
  <c r="H906" i="6"/>
  <c r="G906" i="6"/>
  <c r="F906" i="6"/>
  <c r="E906" i="6"/>
  <c r="D906" i="6"/>
  <c r="B906" i="6"/>
  <c r="I905" i="6"/>
  <c r="H905" i="6"/>
  <c r="G905" i="6"/>
  <c r="F905" i="6"/>
  <c r="E905" i="6"/>
  <c r="D905" i="6"/>
  <c r="B905" i="6"/>
  <c r="I904" i="6"/>
  <c r="H904" i="6"/>
  <c r="G904" i="6"/>
  <c r="F904" i="6"/>
  <c r="E904" i="6"/>
  <c r="D904" i="6"/>
  <c r="B904" i="6"/>
  <c r="I903" i="6"/>
  <c r="H903" i="6"/>
  <c r="G903" i="6"/>
  <c r="F903" i="6"/>
  <c r="E903" i="6"/>
  <c r="D903" i="6"/>
  <c r="B903" i="6"/>
  <c r="I902" i="6"/>
  <c r="H902" i="6"/>
  <c r="G902" i="6"/>
  <c r="F902" i="6"/>
  <c r="E902" i="6"/>
  <c r="D902" i="6"/>
  <c r="B902" i="6"/>
  <c r="I901" i="6"/>
  <c r="H901" i="6"/>
  <c r="G901" i="6"/>
  <c r="F901" i="6"/>
  <c r="E901" i="6"/>
  <c r="D901" i="6"/>
  <c r="B901" i="6"/>
  <c r="I900" i="6"/>
  <c r="H900" i="6"/>
  <c r="G900" i="6"/>
  <c r="F900" i="6"/>
  <c r="E900" i="6"/>
  <c r="D900" i="6"/>
  <c r="B900" i="6"/>
  <c r="I899" i="6"/>
  <c r="H899" i="6"/>
  <c r="G899" i="6"/>
  <c r="F899" i="6"/>
  <c r="E899" i="6"/>
  <c r="D899" i="6"/>
  <c r="B899" i="6"/>
  <c r="I898" i="6"/>
  <c r="H898" i="6"/>
  <c r="G898" i="6"/>
  <c r="F898" i="6"/>
  <c r="E898" i="6"/>
  <c r="D898" i="6"/>
  <c r="B898" i="6"/>
  <c r="I897" i="6"/>
  <c r="H897" i="6"/>
  <c r="G897" i="6"/>
  <c r="F897" i="6"/>
  <c r="E897" i="6"/>
  <c r="D897" i="6"/>
  <c r="B897" i="6"/>
  <c r="I896" i="6"/>
  <c r="H896" i="6"/>
  <c r="G896" i="6"/>
  <c r="F896" i="6"/>
  <c r="E896" i="6"/>
  <c r="D896" i="6"/>
  <c r="B896" i="6"/>
  <c r="I895" i="6"/>
  <c r="H895" i="6"/>
  <c r="G895" i="6"/>
  <c r="F895" i="6"/>
  <c r="E895" i="6"/>
  <c r="D895" i="6"/>
  <c r="B895" i="6"/>
  <c r="I894" i="6"/>
  <c r="H894" i="6"/>
  <c r="G894" i="6"/>
  <c r="F894" i="6"/>
  <c r="E894" i="6"/>
  <c r="D894" i="6"/>
  <c r="B894" i="6"/>
  <c r="I893" i="6"/>
  <c r="H893" i="6"/>
  <c r="G893" i="6"/>
  <c r="F893" i="6"/>
  <c r="E893" i="6"/>
  <c r="D893" i="6"/>
  <c r="B893" i="6"/>
  <c r="I892" i="6"/>
  <c r="H892" i="6"/>
  <c r="G892" i="6"/>
  <c r="F892" i="6"/>
  <c r="E892" i="6"/>
  <c r="D892" i="6"/>
  <c r="B892" i="6"/>
  <c r="I891" i="6"/>
  <c r="H891" i="6"/>
  <c r="G891" i="6"/>
  <c r="F891" i="6"/>
  <c r="E891" i="6"/>
  <c r="D891" i="6"/>
  <c r="B891" i="6"/>
  <c r="I890" i="6"/>
  <c r="H890" i="6"/>
  <c r="G890" i="6"/>
  <c r="F890" i="6"/>
  <c r="E890" i="6"/>
  <c r="D890" i="6"/>
  <c r="B890" i="6"/>
  <c r="I889" i="6"/>
  <c r="H889" i="6"/>
  <c r="G889" i="6"/>
  <c r="F889" i="6"/>
  <c r="E889" i="6"/>
  <c r="D889" i="6"/>
  <c r="B889" i="6"/>
  <c r="I888" i="6"/>
  <c r="H888" i="6"/>
  <c r="G888" i="6"/>
  <c r="F888" i="6"/>
  <c r="E888" i="6"/>
  <c r="D888" i="6"/>
  <c r="B888" i="6"/>
  <c r="I887" i="6"/>
  <c r="H887" i="6"/>
  <c r="G887" i="6"/>
  <c r="F887" i="6"/>
  <c r="E887" i="6"/>
  <c r="D887" i="6"/>
  <c r="B887" i="6"/>
  <c r="I886" i="6"/>
  <c r="H886" i="6"/>
  <c r="G886" i="6"/>
  <c r="F886" i="6"/>
  <c r="E886" i="6"/>
  <c r="D886" i="6"/>
  <c r="B886" i="6"/>
  <c r="I885" i="6"/>
  <c r="H885" i="6"/>
  <c r="G885" i="6"/>
  <c r="F885" i="6"/>
  <c r="E885" i="6"/>
  <c r="D885" i="6"/>
  <c r="B885" i="6"/>
  <c r="I884" i="6"/>
  <c r="H884" i="6"/>
  <c r="G884" i="6"/>
  <c r="F884" i="6"/>
  <c r="E884" i="6"/>
  <c r="D884" i="6"/>
  <c r="B884" i="6"/>
  <c r="I883" i="6"/>
  <c r="H883" i="6"/>
  <c r="G883" i="6"/>
  <c r="F883" i="6"/>
  <c r="E883" i="6"/>
  <c r="D883" i="6"/>
  <c r="B883" i="6"/>
  <c r="I882" i="6"/>
  <c r="H882" i="6"/>
  <c r="G882" i="6"/>
  <c r="F882" i="6"/>
  <c r="E882" i="6"/>
  <c r="D882" i="6"/>
  <c r="B882" i="6"/>
  <c r="I881" i="6"/>
  <c r="H881" i="6"/>
  <c r="G881" i="6"/>
  <c r="F881" i="6"/>
  <c r="E881" i="6"/>
  <c r="D881" i="6"/>
  <c r="B881" i="6"/>
  <c r="I880" i="6"/>
  <c r="H880" i="6"/>
  <c r="G880" i="6"/>
  <c r="F880" i="6"/>
  <c r="E880" i="6"/>
  <c r="D880" i="6"/>
  <c r="B880" i="6"/>
  <c r="I879" i="6"/>
  <c r="H879" i="6"/>
  <c r="G879" i="6"/>
  <c r="F879" i="6"/>
  <c r="E879" i="6"/>
  <c r="D879" i="6"/>
  <c r="B879" i="6"/>
  <c r="I878" i="6"/>
  <c r="H878" i="6"/>
  <c r="G878" i="6"/>
  <c r="F878" i="6"/>
  <c r="E878" i="6"/>
  <c r="D878" i="6"/>
  <c r="B878" i="6"/>
  <c r="I877" i="6"/>
  <c r="H877" i="6"/>
  <c r="G877" i="6"/>
  <c r="F877" i="6"/>
  <c r="E877" i="6"/>
  <c r="D877" i="6"/>
  <c r="B877" i="6"/>
  <c r="I876" i="6"/>
  <c r="H876" i="6"/>
  <c r="G876" i="6"/>
  <c r="F876" i="6"/>
  <c r="E876" i="6"/>
  <c r="D876" i="6"/>
  <c r="B876" i="6"/>
  <c r="I875" i="6"/>
  <c r="H875" i="6"/>
  <c r="G875" i="6"/>
  <c r="F875" i="6"/>
  <c r="E875" i="6"/>
  <c r="D875" i="6"/>
  <c r="B875" i="6"/>
  <c r="I874" i="6"/>
  <c r="H874" i="6"/>
  <c r="G874" i="6"/>
  <c r="F874" i="6"/>
  <c r="E874" i="6"/>
  <c r="D874" i="6"/>
  <c r="B874" i="6"/>
  <c r="I873" i="6"/>
  <c r="H873" i="6"/>
  <c r="G873" i="6"/>
  <c r="F873" i="6"/>
  <c r="E873" i="6"/>
  <c r="D873" i="6"/>
  <c r="B873" i="6"/>
  <c r="I872" i="6"/>
  <c r="H872" i="6"/>
  <c r="G872" i="6"/>
  <c r="F872" i="6"/>
  <c r="E872" i="6"/>
  <c r="D872" i="6"/>
  <c r="B872" i="6"/>
  <c r="I871" i="6"/>
  <c r="H871" i="6"/>
  <c r="G871" i="6"/>
  <c r="F871" i="6"/>
  <c r="E871" i="6"/>
  <c r="D871" i="6"/>
  <c r="B871" i="6"/>
  <c r="I870" i="6"/>
  <c r="H870" i="6"/>
  <c r="G870" i="6"/>
  <c r="F870" i="6"/>
  <c r="E870" i="6"/>
  <c r="D870" i="6"/>
  <c r="B870" i="6"/>
  <c r="I869" i="6"/>
  <c r="H869" i="6"/>
  <c r="G869" i="6"/>
  <c r="F869" i="6"/>
  <c r="E869" i="6"/>
  <c r="D869" i="6"/>
  <c r="B869" i="6"/>
  <c r="I868" i="6"/>
  <c r="H868" i="6"/>
  <c r="G868" i="6"/>
  <c r="F868" i="6"/>
  <c r="E868" i="6"/>
  <c r="D868" i="6"/>
  <c r="B868" i="6"/>
  <c r="I867" i="6"/>
  <c r="H867" i="6"/>
  <c r="G867" i="6"/>
  <c r="F867" i="6"/>
  <c r="E867" i="6"/>
  <c r="D867" i="6"/>
  <c r="B867" i="6"/>
  <c r="I866" i="6"/>
  <c r="H866" i="6"/>
  <c r="G866" i="6"/>
  <c r="F866" i="6"/>
  <c r="E866" i="6"/>
  <c r="D866" i="6"/>
  <c r="B866" i="6"/>
  <c r="I865" i="6"/>
  <c r="H865" i="6"/>
  <c r="G865" i="6"/>
  <c r="F865" i="6"/>
  <c r="E865" i="6"/>
  <c r="D865" i="6"/>
  <c r="B865" i="6"/>
  <c r="I864" i="6"/>
  <c r="H864" i="6"/>
  <c r="G864" i="6"/>
  <c r="F864" i="6"/>
  <c r="E864" i="6"/>
  <c r="D864" i="6"/>
  <c r="B864" i="6"/>
  <c r="I863" i="6"/>
  <c r="H863" i="6"/>
  <c r="G863" i="6"/>
  <c r="F863" i="6"/>
  <c r="E863" i="6"/>
  <c r="D863" i="6"/>
  <c r="B863" i="6"/>
  <c r="I862" i="6"/>
  <c r="H862" i="6"/>
  <c r="G862" i="6"/>
  <c r="F862" i="6"/>
  <c r="E862" i="6"/>
  <c r="D862" i="6"/>
  <c r="B862" i="6"/>
  <c r="I861" i="6"/>
  <c r="H861" i="6"/>
  <c r="G861" i="6"/>
  <c r="F861" i="6"/>
  <c r="E861" i="6"/>
  <c r="D861" i="6"/>
  <c r="B861" i="6"/>
  <c r="I860" i="6"/>
  <c r="H860" i="6"/>
  <c r="G860" i="6"/>
  <c r="F860" i="6"/>
  <c r="E860" i="6"/>
  <c r="D860" i="6"/>
  <c r="B860" i="6"/>
  <c r="I859" i="6"/>
  <c r="H859" i="6"/>
  <c r="G859" i="6"/>
  <c r="F859" i="6"/>
  <c r="E859" i="6"/>
  <c r="D859" i="6"/>
  <c r="B859" i="6"/>
  <c r="I858" i="6"/>
  <c r="H858" i="6"/>
  <c r="G858" i="6"/>
  <c r="F858" i="6"/>
  <c r="E858" i="6"/>
  <c r="D858" i="6"/>
  <c r="B858" i="6"/>
  <c r="I857" i="6"/>
  <c r="H857" i="6"/>
  <c r="G857" i="6"/>
  <c r="F857" i="6"/>
  <c r="E857" i="6"/>
  <c r="D857" i="6"/>
  <c r="B857" i="6"/>
  <c r="I856" i="6"/>
  <c r="H856" i="6"/>
  <c r="G856" i="6"/>
  <c r="F856" i="6"/>
  <c r="E856" i="6"/>
  <c r="D856" i="6"/>
  <c r="B856" i="6"/>
  <c r="I855" i="6"/>
  <c r="H855" i="6"/>
  <c r="G855" i="6"/>
  <c r="F855" i="6"/>
  <c r="E855" i="6"/>
  <c r="D855" i="6"/>
  <c r="B855" i="6"/>
  <c r="I854" i="6"/>
  <c r="H854" i="6"/>
  <c r="G854" i="6"/>
  <c r="F854" i="6"/>
  <c r="E854" i="6"/>
  <c r="D854" i="6"/>
  <c r="B854" i="6"/>
  <c r="I853" i="6"/>
  <c r="H853" i="6"/>
  <c r="G853" i="6"/>
  <c r="F853" i="6"/>
  <c r="E853" i="6"/>
  <c r="D853" i="6"/>
  <c r="B853" i="6"/>
  <c r="I852" i="6"/>
  <c r="H852" i="6"/>
  <c r="G852" i="6"/>
  <c r="F852" i="6"/>
  <c r="E852" i="6"/>
  <c r="D852" i="6"/>
  <c r="B852" i="6"/>
  <c r="I851" i="6"/>
  <c r="H851" i="6"/>
  <c r="G851" i="6"/>
  <c r="F851" i="6"/>
  <c r="E851" i="6"/>
  <c r="D851" i="6"/>
  <c r="B851" i="6"/>
  <c r="I850" i="6"/>
  <c r="H850" i="6"/>
  <c r="G850" i="6"/>
  <c r="F850" i="6"/>
  <c r="E850" i="6"/>
  <c r="D850" i="6"/>
  <c r="B850" i="6"/>
  <c r="I849" i="6"/>
  <c r="H849" i="6"/>
  <c r="G849" i="6"/>
  <c r="F849" i="6"/>
  <c r="E849" i="6"/>
  <c r="D849" i="6"/>
  <c r="B849" i="6"/>
  <c r="I848" i="6"/>
  <c r="H848" i="6"/>
  <c r="G848" i="6"/>
  <c r="F848" i="6"/>
  <c r="E848" i="6"/>
  <c r="D848" i="6"/>
  <c r="B848" i="6"/>
  <c r="I847" i="6"/>
  <c r="H847" i="6"/>
  <c r="G847" i="6"/>
  <c r="F847" i="6"/>
  <c r="E847" i="6"/>
  <c r="D847" i="6"/>
  <c r="B847" i="6"/>
  <c r="I846" i="6"/>
  <c r="H846" i="6"/>
  <c r="G846" i="6"/>
  <c r="F846" i="6"/>
  <c r="E846" i="6"/>
  <c r="D846" i="6"/>
  <c r="B846" i="6"/>
  <c r="I845" i="6"/>
  <c r="H845" i="6"/>
  <c r="G845" i="6"/>
  <c r="F845" i="6"/>
  <c r="E845" i="6"/>
  <c r="D845" i="6"/>
  <c r="B845" i="6"/>
  <c r="I844" i="6"/>
  <c r="H844" i="6"/>
  <c r="G844" i="6"/>
  <c r="F844" i="6"/>
  <c r="E844" i="6"/>
  <c r="D844" i="6"/>
  <c r="B844" i="6"/>
  <c r="I843" i="6"/>
  <c r="H843" i="6"/>
  <c r="G843" i="6"/>
  <c r="F843" i="6"/>
  <c r="E843" i="6"/>
  <c r="D843" i="6"/>
  <c r="B843" i="6"/>
  <c r="I842" i="6"/>
  <c r="H842" i="6"/>
  <c r="G842" i="6"/>
  <c r="F842" i="6"/>
  <c r="E842" i="6"/>
  <c r="D842" i="6"/>
  <c r="B842" i="6"/>
  <c r="I841" i="6"/>
  <c r="H841" i="6"/>
  <c r="G841" i="6"/>
  <c r="F841" i="6"/>
  <c r="E841" i="6"/>
  <c r="D841" i="6"/>
  <c r="B841" i="6"/>
  <c r="I840" i="6"/>
  <c r="H840" i="6"/>
  <c r="G840" i="6"/>
  <c r="F840" i="6"/>
  <c r="E840" i="6"/>
  <c r="D840" i="6"/>
  <c r="B840" i="6"/>
  <c r="I839" i="6"/>
  <c r="H839" i="6"/>
  <c r="G839" i="6"/>
  <c r="F839" i="6"/>
  <c r="E839" i="6"/>
  <c r="D839" i="6"/>
  <c r="B839" i="6"/>
  <c r="I838" i="6"/>
  <c r="H838" i="6"/>
  <c r="G838" i="6"/>
  <c r="F838" i="6"/>
  <c r="E838" i="6"/>
  <c r="D838" i="6"/>
  <c r="B838" i="6"/>
  <c r="I837" i="6"/>
  <c r="H837" i="6"/>
  <c r="G837" i="6"/>
  <c r="F837" i="6"/>
  <c r="E837" i="6"/>
  <c r="D837" i="6"/>
  <c r="B837" i="6"/>
  <c r="I836" i="6"/>
  <c r="H836" i="6"/>
  <c r="G836" i="6"/>
  <c r="F836" i="6"/>
  <c r="E836" i="6"/>
  <c r="D836" i="6"/>
  <c r="B836" i="6"/>
  <c r="I835" i="6"/>
  <c r="H835" i="6"/>
  <c r="G835" i="6"/>
  <c r="F835" i="6"/>
  <c r="E835" i="6"/>
  <c r="D835" i="6"/>
  <c r="B835" i="6"/>
  <c r="I834" i="6"/>
  <c r="H834" i="6"/>
  <c r="G834" i="6"/>
  <c r="F834" i="6"/>
  <c r="E834" i="6"/>
  <c r="D834" i="6"/>
  <c r="B834" i="6"/>
  <c r="I833" i="6"/>
  <c r="H833" i="6"/>
  <c r="G833" i="6"/>
  <c r="F833" i="6"/>
  <c r="E833" i="6"/>
  <c r="D833" i="6"/>
  <c r="B833" i="6"/>
  <c r="I832" i="6"/>
  <c r="H832" i="6"/>
  <c r="G832" i="6"/>
  <c r="F832" i="6"/>
  <c r="E832" i="6"/>
  <c r="D832" i="6"/>
  <c r="B832" i="6"/>
  <c r="I831" i="6"/>
  <c r="H831" i="6"/>
  <c r="G831" i="6"/>
  <c r="F831" i="6"/>
  <c r="E831" i="6"/>
  <c r="D831" i="6"/>
  <c r="B831" i="6"/>
  <c r="I830" i="6"/>
  <c r="H830" i="6"/>
  <c r="G830" i="6"/>
  <c r="F830" i="6"/>
  <c r="E830" i="6"/>
  <c r="D830" i="6"/>
  <c r="B830" i="6"/>
  <c r="I829" i="6"/>
  <c r="H829" i="6"/>
  <c r="G829" i="6"/>
  <c r="F829" i="6"/>
  <c r="E829" i="6"/>
  <c r="D829" i="6"/>
  <c r="B829" i="6"/>
  <c r="I828" i="6"/>
  <c r="H828" i="6"/>
  <c r="G828" i="6"/>
  <c r="F828" i="6"/>
  <c r="E828" i="6"/>
  <c r="D828" i="6"/>
  <c r="B828" i="6"/>
  <c r="I827" i="6"/>
  <c r="H827" i="6"/>
  <c r="G827" i="6"/>
  <c r="F827" i="6"/>
  <c r="E827" i="6"/>
  <c r="D827" i="6"/>
  <c r="B827" i="6"/>
  <c r="I826" i="6"/>
  <c r="H826" i="6"/>
  <c r="G826" i="6"/>
  <c r="F826" i="6"/>
  <c r="E826" i="6"/>
  <c r="D826" i="6"/>
  <c r="B826" i="6"/>
  <c r="I825" i="6"/>
  <c r="H825" i="6"/>
  <c r="G825" i="6"/>
  <c r="F825" i="6"/>
  <c r="E825" i="6"/>
  <c r="D825" i="6"/>
  <c r="B825" i="6"/>
  <c r="I824" i="6"/>
  <c r="H824" i="6"/>
  <c r="G824" i="6"/>
  <c r="F824" i="6"/>
  <c r="E824" i="6"/>
  <c r="D824" i="6"/>
  <c r="B824" i="6"/>
  <c r="I823" i="6"/>
  <c r="H823" i="6"/>
  <c r="G823" i="6"/>
  <c r="F823" i="6"/>
  <c r="E823" i="6"/>
  <c r="D823" i="6"/>
  <c r="B823" i="6"/>
  <c r="I822" i="6"/>
  <c r="H822" i="6"/>
  <c r="G822" i="6"/>
  <c r="F822" i="6"/>
  <c r="E822" i="6"/>
  <c r="D822" i="6"/>
  <c r="B822" i="6"/>
  <c r="I821" i="6"/>
  <c r="H821" i="6"/>
  <c r="G821" i="6"/>
  <c r="F821" i="6"/>
  <c r="E821" i="6"/>
  <c r="D821" i="6"/>
  <c r="B821" i="6"/>
  <c r="I820" i="6"/>
  <c r="H820" i="6"/>
  <c r="G820" i="6"/>
  <c r="F820" i="6"/>
  <c r="E820" i="6"/>
  <c r="D820" i="6"/>
  <c r="B820" i="6"/>
  <c r="I819" i="6"/>
  <c r="H819" i="6"/>
  <c r="G819" i="6"/>
  <c r="F819" i="6"/>
  <c r="E819" i="6"/>
  <c r="D819" i="6"/>
  <c r="B819" i="6"/>
  <c r="I818" i="6"/>
  <c r="H818" i="6"/>
  <c r="G818" i="6"/>
  <c r="F818" i="6"/>
  <c r="E818" i="6"/>
  <c r="D818" i="6"/>
  <c r="B818" i="6"/>
  <c r="I817" i="6"/>
  <c r="H817" i="6"/>
  <c r="G817" i="6"/>
  <c r="F817" i="6"/>
  <c r="E817" i="6"/>
  <c r="D817" i="6"/>
  <c r="B817" i="6"/>
  <c r="I816" i="6"/>
  <c r="H816" i="6"/>
  <c r="G816" i="6"/>
  <c r="F816" i="6"/>
  <c r="E816" i="6"/>
  <c r="D816" i="6"/>
  <c r="B816" i="6"/>
  <c r="I815" i="6"/>
  <c r="H815" i="6"/>
  <c r="G815" i="6"/>
  <c r="F815" i="6"/>
  <c r="E815" i="6"/>
  <c r="D815" i="6"/>
  <c r="B815" i="6"/>
  <c r="I814" i="6"/>
  <c r="H814" i="6"/>
  <c r="G814" i="6"/>
  <c r="F814" i="6"/>
  <c r="E814" i="6"/>
  <c r="D814" i="6"/>
  <c r="B814" i="6"/>
  <c r="I813" i="6"/>
  <c r="H813" i="6"/>
  <c r="G813" i="6"/>
  <c r="F813" i="6"/>
  <c r="E813" i="6"/>
  <c r="D813" i="6"/>
  <c r="B813" i="6"/>
  <c r="I812" i="6"/>
  <c r="H812" i="6"/>
  <c r="G812" i="6"/>
  <c r="F812" i="6"/>
  <c r="E812" i="6"/>
  <c r="D812" i="6"/>
  <c r="B812" i="6"/>
  <c r="I811" i="6"/>
  <c r="H811" i="6"/>
  <c r="G811" i="6"/>
  <c r="F811" i="6"/>
  <c r="E811" i="6"/>
  <c r="D811" i="6"/>
  <c r="B811" i="6"/>
  <c r="I810" i="6"/>
  <c r="H810" i="6"/>
  <c r="G810" i="6"/>
  <c r="F810" i="6"/>
  <c r="E810" i="6"/>
  <c r="D810" i="6"/>
  <c r="B810" i="6"/>
  <c r="I809" i="6"/>
  <c r="H809" i="6"/>
  <c r="G809" i="6"/>
  <c r="F809" i="6"/>
  <c r="E809" i="6"/>
  <c r="D809" i="6"/>
  <c r="B809" i="6"/>
  <c r="I808" i="6"/>
  <c r="H808" i="6"/>
  <c r="G808" i="6"/>
  <c r="F808" i="6"/>
  <c r="E808" i="6"/>
  <c r="D808" i="6"/>
  <c r="B808" i="6"/>
  <c r="I807" i="6"/>
  <c r="H807" i="6"/>
  <c r="G807" i="6"/>
  <c r="F807" i="6"/>
  <c r="E807" i="6"/>
  <c r="D807" i="6"/>
  <c r="B807" i="6"/>
  <c r="I806" i="6"/>
  <c r="H806" i="6"/>
  <c r="G806" i="6"/>
  <c r="F806" i="6"/>
  <c r="E806" i="6"/>
  <c r="D806" i="6"/>
  <c r="B806" i="6"/>
  <c r="I805" i="6"/>
  <c r="H805" i="6"/>
  <c r="G805" i="6"/>
  <c r="F805" i="6"/>
  <c r="E805" i="6"/>
  <c r="D805" i="6"/>
  <c r="B805" i="6"/>
  <c r="I804" i="6"/>
  <c r="H804" i="6"/>
  <c r="G804" i="6"/>
  <c r="F804" i="6"/>
  <c r="E804" i="6"/>
  <c r="D804" i="6"/>
  <c r="B804" i="6"/>
  <c r="I803" i="6"/>
  <c r="H803" i="6"/>
  <c r="G803" i="6"/>
  <c r="F803" i="6"/>
  <c r="E803" i="6"/>
  <c r="D803" i="6"/>
  <c r="B803" i="6"/>
  <c r="I802" i="6"/>
  <c r="H802" i="6"/>
  <c r="G802" i="6"/>
  <c r="F802" i="6"/>
  <c r="E802" i="6"/>
  <c r="D802" i="6"/>
  <c r="B802" i="6"/>
  <c r="I801" i="6"/>
  <c r="H801" i="6"/>
  <c r="G801" i="6"/>
  <c r="F801" i="6"/>
  <c r="E801" i="6"/>
  <c r="D801" i="6"/>
  <c r="B801" i="6"/>
  <c r="I800" i="6"/>
  <c r="H800" i="6"/>
  <c r="G800" i="6"/>
  <c r="F800" i="6"/>
  <c r="E800" i="6"/>
  <c r="D800" i="6"/>
  <c r="B800" i="6"/>
  <c r="I799" i="6"/>
  <c r="H799" i="6"/>
  <c r="G799" i="6"/>
  <c r="F799" i="6"/>
  <c r="E799" i="6"/>
  <c r="D799" i="6"/>
  <c r="B799" i="6"/>
  <c r="I798" i="6"/>
  <c r="H798" i="6"/>
  <c r="G798" i="6"/>
  <c r="F798" i="6"/>
  <c r="E798" i="6"/>
  <c r="D798" i="6"/>
  <c r="B798" i="6"/>
  <c r="I797" i="6"/>
  <c r="H797" i="6"/>
  <c r="G797" i="6"/>
  <c r="F797" i="6"/>
  <c r="E797" i="6"/>
  <c r="D797" i="6"/>
  <c r="B797" i="6"/>
  <c r="I796" i="6"/>
  <c r="H796" i="6"/>
  <c r="G796" i="6"/>
  <c r="F796" i="6"/>
  <c r="E796" i="6"/>
  <c r="D796" i="6"/>
  <c r="B796" i="6"/>
  <c r="I795" i="6"/>
  <c r="H795" i="6"/>
  <c r="G795" i="6"/>
  <c r="F795" i="6"/>
  <c r="E795" i="6"/>
  <c r="D795" i="6"/>
  <c r="B795" i="6"/>
  <c r="I794" i="6"/>
  <c r="H794" i="6"/>
  <c r="G794" i="6"/>
  <c r="F794" i="6"/>
  <c r="E794" i="6"/>
  <c r="D794" i="6"/>
  <c r="B794" i="6"/>
  <c r="I793" i="6"/>
  <c r="H793" i="6"/>
  <c r="G793" i="6"/>
  <c r="F793" i="6"/>
  <c r="E793" i="6"/>
  <c r="D793" i="6"/>
  <c r="B793" i="6"/>
  <c r="I792" i="6"/>
  <c r="H792" i="6"/>
  <c r="G792" i="6"/>
  <c r="F792" i="6"/>
  <c r="E792" i="6"/>
  <c r="D792" i="6"/>
  <c r="B792" i="6"/>
  <c r="I791" i="6"/>
  <c r="H791" i="6"/>
  <c r="G791" i="6"/>
  <c r="F791" i="6"/>
  <c r="E791" i="6"/>
  <c r="D791" i="6"/>
  <c r="B791" i="6"/>
  <c r="I790" i="6"/>
  <c r="H790" i="6"/>
  <c r="G790" i="6"/>
  <c r="F790" i="6"/>
  <c r="E790" i="6"/>
  <c r="D790" i="6"/>
  <c r="B790" i="6"/>
  <c r="I789" i="6"/>
  <c r="H789" i="6"/>
  <c r="G789" i="6"/>
  <c r="F789" i="6"/>
  <c r="E789" i="6"/>
  <c r="D789" i="6"/>
  <c r="B789" i="6"/>
  <c r="I788" i="6"/>
  <c r="H788" i="6"/>
  <c r="G788" i="6"/>
  <c r="F788" i="6"/>
  <c r="E788" i="6"/>
  <c r="D788" i="6"/>
  <c r="B788" i="6"/>
  <c r="I787" i="6"/>
  <c r="H787" i="6"/>
  <c r="G787" i="6"/>
  <c r="F787" i="6"/>
  <c r="E787" i="6"/>
  <c r="D787" i="6"/>
  <c r="B787" i="6"/>
  <c r="I786" i="6"/>
  <c r="H786" i="6"/>
  <c r="G786" i="6"/>
  <c r="F786" i="6"/>
  <c r="E786" i="6"/>
  <c r="D786" i="6"/>
  <c r="B786" i="6"/>
  <c r="I785" i="6"/>
  <c r="H785" i="6"/>
  <c r="G785" i="6"/>
  <c r="F785" i="6"/>
  <c r="E785" i="6"/>
  <c r="D785" i="6"/>
  <c r="B785" i="6"/>
  <c r="I784" i="6"/>
  <c r="H784" i="6"/>
  <c r="G784" i="6"/>
  <c r="F784" i="6"/>
  <c r="E784" i="6"/>
  <c r="D784" i="6"/>
  <c r="B784" i="6"/>
  <c r="I783" i="6"/>
  <c r="H783" i="6"/>
  <c r="G783" i="6"/>
  <c r="F783" i="6"/>
  <c r="E783" i="6"/>
  <c r="D783" i="6"/>
  <c r="B783" i="6"/>
  <c r="I782" i="6"/>
  <c r="H782" i="6"/>
  <c r="G782" i="6"/>
  <c r="F782" i="6"/>
  <c r="E782" i="6"/>
  <c r="D782" i="6"/>
  <c r="B782" i="6"/>
  <c r="I781" i="6"/>
  <c r="H781" i="6"/>
  <c r="G781" i="6"/>
  <c r="F781" i="6"/>
  <c r="E781" i="6"/>
  <c r="D781" i="6"/>
  <c r="B781" i="6"/>
  <c r="I780" i="6"/>
  <c r="H780" i="6"/>
  <c r="G780" i="6"/>
  <c r="F780" i="6"/>
  <c r="E780" i="6"/>
  <c r="D780" i="6"/>
  <c r="B780" i="6"/>
  <c r="I779" i="6"/>
  <c r="H779" i="6"/>
  <c r="G779" i="6"/>
  <c r="F779" i="6"/>
  <c r="E779" i="6"/>
  <c r="D779" i="6"/>
  <c r="B779" i="6"/>
  <c r="I778" i="6"/>
  <c r="H778" i="6"/>
  <c r="G778" i="6"/>
  <c r="F778" i="6"/>
  <c r="E778" i="6"/>
  <c r="D778" i="6"/>
  <c r="B778" i="6"/>
  <c r="I777" i="6"/>
  <c r="H777" i="6"/>
  <c r="G777" i="6"/>
  <c r="F777" i="6"/>
  <c r="E777" i="6"/>
  <c r="D777" i="6"/>
  <c r="B777" i="6"/>
  <c r="I776" i="6"/>
  <c r="H776" i="6"/>
  <c r="G776" i="6"/>
  <c r="F776" i="6"/>
  <c r="E776" i="6"/>
  <c r="D776" i="6"/>
  <c r="B776" i="6"/>
  <c r="I775" i="6"/>
  <c r="H775" i="6"/>
  <c r="G775" i="6"/>
  <c r="F775" i="6"/>
  <c r="E775" i="6"/>
  <c r="D775" i="6"/>
  <c r="B775" i="6"/>
  <c r="I774" i="6"/>
  <c r="H774" i="6"/>
  <c r="G774" i="6"/>
  <c r="F774" i="6"/>
  <c r="E774" i="6"/>
  <c r="D774" i="6"/>
  <c r="B774" i="6"/>
  <c r="I773" i="6"/>
  <c r="H773" i="6"/>
  <c r="G773" i="6"/>
  <c r="F773" i="6"/>
  <c r="E773" i="6"/>
  <c r="D773" i="6"/>
  <c r="B773" i="6"/>
  <c r="I772" i="6"/>
  <c r="H772" i="6"/>
  <c r="G772" i="6"/>
  <c r="F772" i="6"/>
  <c r="E772" i="6"/>
  <c r="D772" i="6"/>
  <c r="B772" i="6"/>
  <c r="I771" i="6"/>
  <c r="H771" i="6"/>
  <c r="G771" i="6"/>
  <c r="F771" i="6"/>
  <c r="E771" i="6"/>
  <c r="D771" i="6"/>
  <c r="B771" i="6"/>
  <c r="I770" i="6"/>
  <c r="H770" i="6"/>
  <c r="G770" i="6"/>
  <c r="F770" i="6"/>
  <c r="E770" i="6"/>
  <c r="D770" i="6"/>
  <c r="B770" i="6"/>
  <c r="I769" i="6"/>
  <c r="H769" i="6"/>
  <c r="G769" i="6"/>
  <c r="F769" i="6"/>
  <c r="E769" i="6"/>
  <c r="D769" i="6"/>
  <c r="B769" i="6"/>
  <c r="I768" i="6"/>
  <c r="H768" i="6"/>
  <c r="G768" i="6"/>
  <c r="F768" i="6"/>
  <c r="E768" i="6"/>
  <c r="D768" i="6"/>
  <c r="B768" i="6"/>
  <c r="I767" i="6"/>
  <c r="H767" i="6"/>
  <c r="G767" i="6"/>
  <c r="F767" i="6"/>
  <c r="E767" i="6"/>
  <c r="D767" i="6"/>
  <c r="B767" i="6"/>
  <c r="I766" i="6"/>
  <c r="H766" i="6"/>
  <c r="G766" i="6"/>
  <c r="F766" i="6"/>
  <c r="E766" i="6"/>
  <c r="D766" i="6"/>
  <c r="B766" i="6"/>
  <c r="I765" i="6"/>
  <c r="H765" i="6"/>
  <c r="G765" i="6"/>
  <c r="F765" i="6"/>
  <c r="E765" i="6"/>
  <c r="D765" i="6"/>
  <c r="B765" i="6"/>
  <c r="I764" i="6"/>
  <c r="H764" i="6"/>
  <c r="G764" i="6"/>
  <c r="F764" i="6"/>
  <c r="E764" i="6"/>
  <c r="D764" i="6"/>
  <c r="B764" i="6"/>
  <c r="I763" i="6"/>
  <c r="H763" i="6"/>
  <c r="G763" i="6"/>
  <c r="F763" i="6"/>
  <c r="E763" i="6"/>
  <c r="D763" i="6"/>
  <c r="B763" i="6"/>
  <c r="I762" i="6"/>
  <c r="H762" i="6"/>
  <c r="G762" i="6"/>
  <c r="F762" i="6"/>
  <c r="E762" i="6"/>
  <c r="D762" i="6"/>
  <c r="B762" i="6"/>
  <c r="I761" i="6"/>
  <c r="H761" i="6"/>
  <c r="G761" i="6"/>
  <c r="F761" i="6"/>
  <c r="E761" i="6"/>
  <c r="D761" i="6"/>
  <c r="B761" i="6"/>
  <c r="I760" i="6"/>
  <c r="H760" i="6"/>
  <c r="G760" i="6"/>
  <c r="F760" i="6"/>
  <c r="E760" i="6"/>
  <c r="D760" i="6"/>
  <c r="B760" i="6"/>
  <c r="I759" i="6"/>
  <c r="H759" i="6"/>
  <c r="G759" i="6"/>
  <c r="F759" i="6"/>
  <c r="E759" i="6"/>
  <c r="D759" i="6"/>
  <c r="B759" i="6"/>
  <c r="I758" i="6"/>
  <c r="H758" i="6"/>
  <c r="G758" i="6"/>
  <c r="F758" i="6"/>
  <c r="E758" i="6"/>
  <c r="D758" i="6"/>
  <c r="B758" i="6"/>
  <c r="I757" i="6"/>
  <c r="H757" i="6"/>
  <c r="G757" i="6"/>
  <c r="F757" i="6"/>
  <c r="E757" i="6"/>
  <c r="D757" i="6"/>
  <c r="B757" i="6"/>
  <c r="I756" i="6"/>
  <c r="H756" i="6"/>
  <c r="G756" i="6"/>
  <c r="F756" i="6"/>
  <c r="E756" i="6"/>
  <c r="D756" i="6"/>
  <c r="B756" i="6"/>
  <c r="I755" i="6"/>
  <c r="H755" i="6"/>
  <c r="G755" i="6"/>
  <c r="F755" i="6"/>
  <c r="E755" i="6"/>
  <c r="D755" i="6"/>
  <c r="B755" i="6"/>
  <c r="I754" i="6"/>
  <c r="H754" i="6"/>
  <c r="G754" i="6"/>
  <c r="F754" i="6"/>
  <c r="E754" i="6"/>
  <c r="D754" i="6"/>
  <c r="B754" i="6"/>
  <c r="I753" i="6"/>
  <c r="H753" i="6"/>
  <c r="G753" i="6"/>
  <c r="F753" i="6"/>
  <c r="E753" i="6"/>
  <c r="D753" i="6"/>
  <c r="B753" i="6"/>
  <c r="I752" i="6"/>
  <c r="H752" i="6"/>
  <c r="G752" i="6"/>
  <c r="F752" i="6"/>
  <c r="E752" i="6"/>
  <c r="D752" i="6"/>
  <c r="B752" i="6"/>
  <c r="I751" i="6"/>
  <c r="H751" i="6"/>
  <c r="G751" i="6"/>
  <c r="F751" i="6"/>
  <c r="E751" i="6"/>
  <c r="D751" i="6"/>
  <c r="B751" i="6"/>
  <c r="I750" i="6"/>
  <c r="H750" i="6"/>
  <c r="G750" i="6"/>
  <c r="F750" i="6"/>
  <c r="E750" i="6"/>
  <c r="D750" i="6"/>
  <c r="B750" i="6"/>
  <c r="I749" i="6"/>
  <c r="H749" i="6"/>
  <c r="G749" i="6"/>
  <c r="F749" i="6"/>
  <c r="E749" i="6"/>
  <c r="D749" i="6"/>
  <c r="B749" i="6"/>
  <c r="I748" i="6"/>
  <c r="H748" i="6"/>
  <c r="G748" i="6"/>
  <c r="F748" i="6"/>
  <c r="E748" i="6"/>
  <c r="D748" i="6"/>
  <c r="B748" i="6"/>
  <c r="I747" i="6"/>
  <c r="H747" i="6"/>
  <c r="G747" i="6"/>
  <c r="F747" i="6"/>
  <c r="E747" i="6"/>
  <c r="D747" i="6"/>
  <c r="B747" i="6"/>
  <c r="I746" i="6"/>
  <c r="H746" i="6"/>
  <c r="G746" i="6"/>
  <c r="F746" i="6"/>
  <c r="E746" i="6"/>
  <c r="D746" i="6"/>
  <c r="B746" i="6"/>
  <c r="I745" i="6"/>
  <c r="H745" i="6"/>
  <c r="G745" i="6"/>
  <c r="F745" i="6"/>
  <c r="E745" i="6"/>
  <c r="D745" i="6"/>
  <c r="B745" i="6"/>
  <c r="I744" i="6"/>
  <c r="H744" i="6"/>
  <c r="G744" i="6"/>
  <c r="F744" i="6"/>
  <c r="E744" i="6"/>
  <c r="D744" i="6"/>
  <c r="B744" i="6"/>
  <c r="I743" i="6"/>
  <c r="H743" i="6"/>
  <c r="G743" i="6"/>
  <c r="F743" i="6"/>
  <c r="E743" i="6"/>
  <c r="D743" i="6"/>
  <c r="B743" i="6"/>
  <c r="I742" i="6"/>
  <c r="H742" i="6"/>
  <c r="G742" i="6"/>
  <c r="F742" i="6"/>
  <c r="E742" i="6"/>
  <c r="D742" i="6"/>
  <c r="B742" i="6"/>
  <c r="I741" i="6"/>
  <c r="H741" i="6"/>
  <c r="G741" i="6"/>
  <c r="F741" i="6"/>
  <c r="E741" i="6"/>
  <c r="D741" i="6"/>
  <c r="B741" i="6"/>
  <c r="I740" i="6"/>
  <c r="H740" i="6"/>
  <c r="G740" i="6"/>
  <c r="F740" i="6"/>
  <c r="E740" i="6"/>
  <c r="D740" i="6"/>
  <c r="B740" i="6"/>
  <c r="I739" i="6"/>
  <c r="H739" i="6"/>
  <c r="G739" i="6"/>
  <c r="F739" i="6"/>
  <c r="E739" i="6"/>
  <c r="D739" i="6"/>
  <c r="B739" i="6"/>
  <c r="I738" i="6"/>
  <c r="H738" i="6"/>
  <c r="G738" i="6"/>
  <c r="F738" i="6"/>
  <c r="E738" i="6"/>
  <c r="D738" i="6"/>
  <c r="B738" i="6"/>
  <c r="I737" i="6"/>
  <c r="H737" i="6"/>
  <c r="G737" i="6"/>
  <c r="F737" i="6"/>
  <c r="E737" i="6"/>
  <c r="D737" i="6"/>
  <c r="B737" i="6"/>
  <c r="I736" i="6"/>
  <c r="H736" i="6"/>
  <c r="G736" i="6"/>
  <c r="F736" i="6"/>
  <c r="E736" i="6"/>
  <c r="D736" i="6"/>
  <c r="B736" i="6"/>
  <c r="I735" i="6"/>
  <c r="H735" i="6"/>
  <c r="G735" i="6"/>
  <c r="F735" i="6"/>
  <c r="E735" i="6"/>
  <c r="D735" i="6"/>
  <c r="B735" i="6"/>
  <c r="I734" i="6"/>
  <c r="H734" i="6"/>
  <c r="G734" i="6"/>
  <c r="F734" i="6"/>
  <c r="E734" i="6"/>
  <c r="D734" i="6"/>
  <c r="B734" i="6"/>
  <c r="I733" i="6"/>
  <c r="H733" i="6"/>
  <c r="G733" i="6"/>
  <c r="F733" i="6"/>
  <c r="E733" i="6"/>
  <c r="D733" i="6"/>
  <c r="B733" i="6"/>
  <c r="I732" i="6"/>
  <c r="H732" i="6"/>
  <c r="G732" i="6"/>
  <c r="F732" i="6"/>
  <c r="E732" i="6"/>
  <c r="D732" i="6"/>
  <c r="B732" i="6"/>
  <c r="I731" i="6"/>
  <c r="H731" i="6"/>
  <c r="G731" i="6"/>
  <c r="F731" i="6"/>
  <c r="E731" i="6"/>
  <c r="D731" i="6"/>
  <c r="B731" i="6"/>
  <c r="I730" i="6"/>
  <c r="H730" i="6"/>
  <c r="G730" i="6"/>
  <c r="F730" i="6"/>
  <c r="E730" i="6"/>
  <c r="D730" i="6"/>
  <c r="B730" i="6"/>
  <c r="I729" i="6"/>
  <c r="H729" i="6"/>
  <c r="G729" i="6"/>
  <c r="F729" i="6"/>
  <c r="E729" i="6"/>
  <c r="D729" i="6"/>
  <c r="B729" i="6"/>
  <c r="I728" i="6"/>
  <c r="H728" i="6"/>
  <c r="G728" i="6"/>
  <c r="F728" i="6"/>
  <c r="E728" i="6"/>
  <c r="D728" i="6"/>
  <c r="B728" i="6"/>
  <c r="I727" i="6"/>
  <c r="H727" i="6"/>
  <c r="G727" i="6"/>
  <c r="F727" i="6"/>
  <c r="E727" i="6"/>
  <c r="D727" i="6"/>
  <c r="B727" i="6"/>
  <c r="I726" i="6"/>
  <c r="H726" i="6"/>
  <c r="G726" i="6"/>
  <c r="F726" i="6"/>
  <c r="E726" i="6"/>
  <c r="D726" i="6"/>
  <c r="B726" i="6"/>
  <c r="I725" i="6"/>
  <c r="H725" i="6"/>
  <c r="G725" i="6"/>
  <c r="F725" i="6"/>
  <c r="E725" i="6"/>
  <c r="D725" i="6"/>
  <c r="B725" i="6"/>
  <c r="I724" i="6"/>
  <c r="H724" i="6"/>
  <c r="G724" i="6"/>
  <c r="F724" i="6"/>
  <c r="E724" i="6"/>
  <c r="D724" i="6"/>
  <c r="B724" i="6"/>
  <c r="I723" i="6"/>
  <c r="H723" i="6"/>
  <c r="G723" i="6"/>
  <c r="F723" i="6"/>
  <c r="E723" i="6"/>
  <c r="D723" i="6"/>
  <c r="B723" i="6"/>
  <c r="I722" i="6"/>
  <c r="H722" i="6"/>
  <c r="G722" i="6"/>
  <c r="F722" i="6"/>
  <c r="E722" i="6"/>
  <c r="D722" i="6"/>
  <c r="B722" i="6"/>
  <c r="I721" i="6"/>
  <c r="H721" i="6"/>
  <c r="G721" i="6"/>
  <c r="F721" i="6"/>
  <c r="E721" i="6"/>
  <c r="D721" i="6"/>
  <c r="B721" i="6"/>
  <c r="I720" i="6"/>
  <c r="H720" i="6"/>
  <c r="G720" i="6"/>
  <c r="F720" i="6"/>
  <c r="E720" i="6"/>
  <c r="D720" i="6"/>
  <c r="B720" i="6"/>
  <c r="I719" i="6"/>
  <c r="H719" i="6"/>
  <c r="G719" i="6"/>
  <c r="F719" i="6"/>
  <c r="E719" i="6"/>
  <c r="D719" i="6"/>
  <c r="B719" i="6"/>
  <c r="I718" i="6"/>
  <c r="H718" i="6"/>
  <c r="G718" i="6"/>
  <c r="F718" i="6"/>
  <c r="E718" i="6"/>
  <c r="D718" i="6"/>
  <c r="B718" i="6"/>
  <c r="I717" i="6"/>
  <c r="H717" i="6"/>
  <c r="G717" i="6"/>
  <c r="F717" i="6"/>
  <c r="E717" i="6"/>
  <c r="D717" i="6"/>
  <c r="B717" i="6"/>
  <c r="I716" i="6"/>
  <c r="H716" i="6"/>
  <c r="G716" i="6"/>
  <c r="F716" i="6"/>
  <c r="E716" i="6"/>
  <c r="D716" i="6"/>
  <c r="B716" i="6"/>
  <c r="I715" i="6"/>
  <c r="H715" i="6"/>
  <c r="G715" i="6"/>
  <c r="F715" i="6"/>
  <c r="E715" i="6"/>
  <c r="D715" i="6"/>
  <c r="B715" i="6"/>
  <c r="I714" i="6"/>
  <c r="H714" i="6"/>
  <c r="G714" i="6"/>
  <c r="F714" i="6"/>
  <c r="E714" i="6"/>
  <c r="D714" i="6"/>
  <c r="B714" i="6"/>
  <c r="I713" i="6"/>
  <c r="H713" i="6"/>
  <c r="G713" i="6"/>
  <c r="F713" i="6"/>
  <c r="E713" i="6"/>
  <c r="D713" i="6"/>
  <c r="B713" i="6"/>
  <c r="I712" i="6"/>
  <c r="H712" i="6"/>
  <c r="G712" i="6"/>
  <c r="F712" i="6"/>
  <c r="E712" i="6"/>
  <c r="D712" i="6"/>
  <c r="B712" i="6"/>
  <c r="I711" i="6"/>
  <c r="H711" i="6"/>
  <c r="G711" i="6"/>
  <c r="F711" i="6"/>
  <c r="E711" i="6"/>
  <c r="D711" i="6"/>
  <c r="B711" i="6"/>
  <c r="I710" i="6"/>
  <c r="H710" i="6"/>
  <c r="G710" i="6"/>
  <c r="F710" i="6"/>
  <c r="E710" i="6"/>
  <c r="D710" i="6"/>
  <c r="B710" i="6"/>
  <c r="I709" i="6"/>
  <c r="H709" i="6"/>
  <c r="G709" i="6"/>
  <c r="F709" i="6"/>
  <c r="E709" i="6"/>
  <c r="D709" i="6"/>
  <c r="B709" i="6"/>
  <c r="I708" i="6"/>
  <c r="H708" i="6"/>
  <c r="G708" i="6"/>
  <c r="F708" i="6"/>
  <c r="E708" i="6"/>
  <c r="D708" i="6"/>
  <c r="B708" i="6"/>
  <c r="I707" i="6"/>
  <c r="H707" i="6"/>
  <c r="G707" i="6"/>
  <c r="F707" i="6"/>
  <c r="E707" i="6"/>
  <c r="D707" i="6"/>
  <c r="B707" i="6"/>
  <c r="I706" i="6"/>
  <c r="H706" i="6"/>
  <c r="G706" i="6"/>
  <c r="F706" i="6"/>
  <c r="E706" i="6"/>
  <c r="D706" i="6"/>
  <c r="B706" i="6"/>
  <c r="I705" i="6"/>
  <c r="H705" i="6"/>
  <c r="G705" i="6"/>
  <c r="F705" i="6"/>
  <c r="E705" i="6"/>
  <c r="D705" i="6"/>
  <c r="B705" i="6"/>
  <c r="I704" i="6"/>
  <c r="H704" i="6"/>
  <c r="G704" i="6"/>
  <c r="F704" i="6"/>
  <c r="E704" i="6"/>
  <c r="D704" i="6"/>
  <c r="B704" i="6"/>
  <c r="I703" i="6"/>
  <c r="H703" i="6"/>
  <c r="G703" i="6"/>
  <c r="F703" i="6"/>
  <c r="E703" i="6"/>
  <c r="D703" i="6"/>
  <c r="B703" i="6"/>
  <c r="I702" i="6"/>
  <c r="H702" i="6"/>
  <c r="G702" i="6"/>
  <c r="F702" i="6"/>
  <c r="E702" i="6"/>
  <c r="D702" i="6"/>
  <c r="B702" i="6"/>
  <c r="I701" i="6"/>
  <c r="H701" i="6"/>
  <c r="G701" i="6"/>
  <c r="F701" i="6"/>
  <c r="E701" i="6"/>
  <c r="D701" i="6"/>
  <c r="B701" i="6"/>
  <c r="I700" i="6"/>
  <c r="H700" i="6"/>
  <c r="G700" i="6"/>
  <c r="F700" i="6"/>
  <c r="E700" i="6"/>
  <c r="D700" i="6"/>
  <c r="B700" i="6"/>
  <c r="I699" i="6"/>
  <c r="H699" i="6"/>
  <c r="G699" i="6"/>
  <c r="F699" i="6"/>
  <c r="E699" i="6"/>
  <c r="D699" i="6"/>
  <c r="B699" i="6"/>
  <c r="I698" i="6"/>
  <c r="H698" i="6"/>
  <c r="G698" i="6"/>
  <c r="F698" i="6"/>
  <c r="E698" i="6"/>
  <c r="D698" i="6"/>
  <c r="B698" i="6"/>
  <c r="I697" i="6"/>
  <c r="H697" i="6"/>
  <c r="G697" i="6"/>
  <c r="F697" i="6"/>
  <c r="E697" i="6"/>
  <c r="D697" i="6"/>
  <c r="B697" i="6"/>
  <c r="I696" i="6"/>
  <c r="H696" i="6"/>
  <c r="G696" i="6"/>
  <c r="F696" i="6"/>
  <c r="E696" i="6"/>
  <c r="D696" i="6"/>
  <c r="B696" i="6"/>
  <c r="I695" i="6"/>
  <c r="H695" i="6"/>
  <c r="G695" i="6"/>
  <c r="F695" i="6"/>
  <c r="E695" i="6"/>
  <c r="D695" i="6"/>
  <c r="B695" i="6"/>
  <c r="I694" i="6"/>
  <c r="H694" i="6"/>
  <c r="G694" i="6"/>
  <c r="F694" i="6"/>
  <c r="E694" i="6"/>
  <c r="D694" i="6"/>
  <c r="B694" i="6"/>
  <c r="I693" i="6"/>
  <c r="H693" i="6"/>
  <c r="G693" i="6"/>
  <c r="F693" i="6"/>
  <c r="E693" i="6"/>
  <c r="D693" i="6"/>
  <c r="B693" i="6"/>
  <c r="I692" i="6"/>
  <c r="H692" i="6"/>
  <c r="G692" i="6"/>
  <c r="F692" i="6"/>
  <c r="E692" i="6"/>
  <c r="D692" i="6"/>
  <c r="B692" i="6"/>
  <c r="I691" i="6"/>
  <c r="H691" i="6"/>
  <c r="G691" i="6"/>
  <c r="F691" i="6"/>
  <c r="E691" i="6"/>
  <c r="D691" i="6"/>
  <c r="B691" i="6"/>
  <c r="I690" i="6"/>
  <c r="H690" i="6"/>
  <c r="G690" i="6"/>
  <c r="F690" i="6"/>
  <c r="E690" i="6"/>
  <c r="D690" i="6"/>
  <c r="B690" i="6"/>
  <c r="I689" i="6"/>
  <c r="H689" i="6"/>
  <c r="G689" i="6"/>
  <c r="F689" i="6"/>
  <c r="E689" i="6"/>
  <c r="D689" i="6"/>
  <c r="B689" i="6"/>
  <c r="I688" i="6"/>
  <c r="H688" i="6"/>
  <c r="G688" i="6"/>
  <c r="F688" i="6"/>
  <c r="E688" i="6"/>
  <c r="D688" i="6"/>
  <c r="B688" i="6"/>
  <c r="I687" i="6"/>
  <c r="H687" i="6"/>
  <c r="G687" i="6"/>
  <c r="F687" i="6"/>
  <c r="E687" i="6"/>
  <c r="D687" i="6"/>
  <c r="B687" i="6"/>
  <c r="I686" i="6"/>
  <c r="H686" i="6"/>
  <c r="G686" i="6"/>
  <c r="F686" i="6"/>
  <c r="E686" i="6"/>
  <c r="D686" i="6"/>
  <c r="B686" i="6"/>
  <c r="I685" i="6"/>
  <c r="H685" i="6"/>
  <c r="G685" i="6"/>
  <c r="F685" i="6"/>
  <c r="E685" i="6"/>
  <c r="D685" i="6"/>
  <c r="B685" i="6"/>
  <c r="I684" i="6"/>
  <c r="H684" i="6"/>
  <c r="G684" i="6"/>
  <c r="F684" i="6"/>
  <c r="E684" i="6"/>
  <c r="D684" i="6"/>
  <c r="B684" i="6"/>
  <c r="I683" i="6"/>
  <c r="H683" i="6"/>
  <c r="G683" i="6"/>
  <c r="F683" i="6"/>
  <c r="E683" i="6"/>
  <c r="D683" i="6"/>
  <c r="B683" i="6"/>
  <c r="I682" i="6"/>
  <c r="H682" i="6"/>
  <c r="G682" i="6"/>
  <c r="F682" i="6"/>
  <c r="E682" i="6"/>
  <c r="D682" i="6"/>
  <c r="B682" i="6"/>
  <c r="I681" i="6"/>
  <c r="H681" i="6"/>
  <c r="G681" i="6"/>
  <c r="F681" i="6"/>
  <c r="E681" i="6"/>
  <c r="D681" i="6"/>
  <c r="B681" i="6"/>
  <c r="I680" i="6"/>
  <c r="H680" i="6"/>
  <c r="G680" i="6"/>
  <c r="F680" i="6"/>
  <c r="E680" i="6"/>
  <c r="D680" i="6"/>
  <c r="B680" i="6"/>
  <c r="I679" i="6"/>
  <c r="H679" i="6"/>
  <c r="G679" i="6"/>
  <c r="F679" i="6"/>
  <c r="E679" i="6"/>
  <c r="D679" i="6"/>
  <c r="B679" i="6"/>
  <c r="I678" i="6"/>
  <c r="H678" i="6"/>
  <c r="G678" i="6"/>
  <c r="F678" i="6"/>
  <c r="E678" i="6"/>
  <c r="D678" i="6"/>
  <c r="B678" i="6"/>
  <c r="I677" i="6"/>
  <c r="H677" i="6"/>
  <c r="G677" i="6"/>
  <c r="F677" i="6"/>
  <c r="E677" i="6"/>
  <c r="D677" i="6"/>
  <c r="B677" i="6"/>
  <c r="I676" i="6"/>
  <c r="H676" i="6"/>
  <c r="G676" i="6"/>
  <c r="F676" i="6"/>
  <c r="E676" i="6"/>
  <c r="D676" i="6"/>
  <c r="B676" i="6"/>
  <c r="I675" i="6"/>
  <c r="H675" i="6"/>
  <c r="G675" i="6"/>
  <c r="F675" i="6"/>
  <c r="E675" i="6"/>
  <c r="D675" i="6"/>
  <c r="B675" i="6"/>
  <c r="I674" i="6"/>
  <c r="H674" i="6"/>
  <c r="G674" i="6"/>
  <c r="F674" i="6"/>
  <c r="E674" i="6"/>
  <c r="D674" i="6"/>
  <c r="B674" i="6"/>
  <c r="I673" i="6"/>
  <c r="H673" i="6"/>
  <c r="G673" i="6"/>
  <c r="F673" i="6"/>
  <c r="E673" i="6"/>
  <c r="D673" i="6"/>
  <c r="B673" i="6"/>
  <c r="I672" i="6"/>
  <c r="H672" i="6"/>
  <c r="G672" i="6"/>
  <c r="F672" i="6"/>
  <c r="E672" i="6"/>
  <c r="D672" i="6"/>
  <c r="B672" i="6"/>
  <c r="I671" i="6"/>
  <c r="H671" i="6"/>
  <c r="G671" i="6"/>
  <c r="F671" i="6"/>
  <c r="E671" i="6"/>
  <c r="D671" i="6"/>
  <c r="B671" i="6"/>
  <c r="I670" i="6"/>
  <c r="H670" i="6"/>
  <c r="G670" i="6"/>
  <c r="F670" i="6"/>
  <c r="E670" i="6"/>
  <c r="D670" i="6"/>
  <c r="B670" i="6"/>
  <c r="I669" i="6"/>
  <c r="H669" i="6"/>
  <c r="G669" i="6"/>
  <c r="F669" i="6"/>
  <c r="E669" i="6"/>
  <c r="D669" i="6"/>
  <c r="B669" i="6"/>
  <c r="I668" i="6"/>
  <c r="H668" i="6"/>
  <c r="G668" i="6"/>
  <c r="F668" i="6"/>
  <c r="E668" i="6"/>
  <c r="D668" i="6"/>
  <c r="B668" i="6"/>
  <c r="I667" i="6"/>
  <c r="H667" i="6"/>
  <c r="G667" i="6"/>
  <c r="F667" i="6"/>
  <c r="E667" i="6"/>
  <c r="D667" i="6"/>
  <c r="B667" i="6"/>
  <c r="I666" i="6"/>
  <c r="H666" i="6"/>
  <c r="G666" i="6"/>
  <c r="F666" i="6"/>
  <c r="E666" i="6"/>
  <c r="D666" i="6"/>
  <c r="B666" i="6"/>
  <c r="I665" i="6"/>
  <c r="H665" i="6"/>
  <c r="G665" i="6"/>
  <c r="F665" i="6"/>
  <c r="E665" i="6"/>
  <c r="D665" i="6"/>
  <c r="B665" i="6"/>
  <c r="I664" i="6"/>
  <c r="H664" i="6"/>
  <c r="G664" i="6"/>
  <c r="F664" i="6"/>
  <c r="E664" i="6"/>
  <c r="D664" i="6"/>
  <c r="B664" i="6"/>
  <c r="I663" i="6"/>
  <c r="H663" i="6"/>
  <c r="G663" i="6"/>
  <c r="F663" i="6"/>
  <c r="E663" i="6"/>
  <c r="D663" i="6"/>
  <c r="B663" i="6"/>
  <c r="I662" i="6"/>
  <c r="H662" i="6"/>
  <c r="G662" i="6"/>
  <c r="F662" i="6"/>
  <c r="E662" i="6"/>
  <c r="D662" i="6"/>
  <c r="B662" i="6"/>
  <c r="I661" i="6"/>
  <c r="H661" i="6"/>
  <c r="G661" i="6"/>
  <c r="F661" i="6"/>
  <c r="E661" i="6"/>
  <c r="D661" i="6"/>
  <c r="B661" i="6"/>
  <c r="I660" i="6"/>
  <c r="H660" i="6"/>
  <c r="G660" i="6"/>
  <c r="F660" i="6"/>
  <c r="E660" i="6"/>
  <c r="D660" i="6"/>
  <c r="B660" i="6"/>
  <c r="I659" i="6"/>
  <c r="H659" i="6"/>
  <c r="G659" i="6"/>
  <c r="F659" i="6"/>
  <c r="E659" i="6"/>
  <c r="D659" i="6"/>
  <c r="B659" i="6"/>
  <c r="I658" i="6"/>
  <c r="H658" i="6"/>
  <c r="G658" i="6"/>
  <c r="F658" i="6"/>
  <c r="E658" i="6"/>
  <c r="D658" i="6"/>
  <c r="B658" i="6"/>
  <c r="I657" i="6"/>
  <c r="H657" i="6"/>
  <c r="G657" i="6"/>
  <c r="F657" i="6"/>
  <c r="E657" i="6"/>
  <c r="D657" i="6"/>
  <c r="B657" i="6"/>
  <c r="I656" i="6"/>
  <c r="H656" i="6"/>
  <c r="G656" i="6"/>
  <c r="F656" i="6"/>
  <c r="E656" i="6"/>
  <c r="D656" i="6"/>
  <c r="B656" i="6"/>
  <c r="I655" i="6"/>
  <c r="H655" i="6"/>
  <c r="G655" i="6"/>
  <c r="F655" i="6"/>
  <c r="E655" i="6"/>
  <c r="D655" i="6"/>
  <c r="B655" i="6"/>
  <c r="I654" i="6"/>
  <c r="H654" i="6"/>
  <c r="G654" i="6"/>
  <c r="F654" i="6"/>
  <c r="E654" i="6"/>
  <c r="D654" i="6"/>
  <c r="B654" i="6"/>
  <c r="I653" i="6"/>
  <c r="H653" i="6"/>
  <c r="G653" i="6"/>
  <c r="F653" i="6"/>
  <c r="E653" i="6"/>
  <c r="D653" i="6"/>
  <c r="B653" i="6"/>
  <c r="I652" i="6"/>
  <c r="H652" i="6"/>
  <c r="G652" i="6"/>
  <c r="F652" i="6"/>
  <c r="E652" i="6"/>
  <c r="D652" i="6"/>
  <c r="B652" i="6"/>
  <c r="I651" i="6"/>
  <c r="H651" i="6"/>
  <c r="G651" i="6"/>
  <c r="F651" i="6"/>
  <c r="E651" i="6"/>
  <c r="D651" i="6"/>
  <c r="B651" i="6"/>
  <c r="I650" i="6"/>
  <c r="H650" i="6"/>
  <c r="G650" i="6"/>
  <c r="F650" i="6"/>
  <c r="E650" i="6"/>
  <c r="D650" i="6"/>
  <c r="B650" i="6"/>
  <c r="I649" i="6"/>
  <c r="H649" i="6"/>
  <c r="G649" i="6"/>
  <c r="F649" i="6"/>
  <c r="E649" i="6"/>
  <c r="D649" i="6"/>
  <c r="B649" i="6"/>
  <c r="I648" i="6"/>
  <c r="H648" i="6"/>
  <c r="G648" i="6"/>
  <c r="F648" i="6"/>
  <c r="E648" i="6"/>
  <c r="D648" i="6"/>
  <c r="B648" i="6"/>
  <c r="I647" i="6"/>
  <c r="H647" i="6"/>
  <c r="G647" i="6"/>
  <c r="F647" i="6"/>
  <c r="E647" i="6"/>
  <c r="D647" i="6"/>
  <c r="B647" i="6"/>
  <c r="I646" i="6"/>
  <c r="H646" i="6"/>
  <c r="G646" i="6"/>
  <c r="F646" i="6"/>
  <c r="E646" i="6"/>
  <c r="D646" i="6"/>
  <c r="B646" i="6"/>
  <c r="I645" i="6"/>
  <c r="H645" i="6"/>
  <c r="G645" i="6"/>
  <c r="F645" i="6"/>
  <c r="E645" i="6"/>
  <c r="D645" i="6"/>
  <c r="B645" i="6"/>
  <c r="I644" i="6"/>
  <c r="H644" i="6"/>
  <c r="G644" i="6"/>
  <c r="F644" i="6"/>
  <c r="E644" i="6"/>
  <c r="D644" i="6"/>
  <c r="B644" i="6"/>
  <c r="I643" i="6"/>
  <c r="H643" i="6"/>
  <c r="G643" i="6"/>
  <c r="F643" i="6"/>
  <c r="E643" i="6"/>
  <c r="D643" i="6"/>
  <c r="B643" i="6"/>
  <c r="I642" i="6"/>
  <c r="H642" i="6"/>
  <c r="G642" i="6"/>
  <c r="F642" i="6"/>
  <c r="E642" i="6"/>
  <c r="D642" i="6"/>
  <c r="B642" i="6"/>
  <c r="I641" i="6"/>
  <c r="H641" i="6"/>
  <c r="G641" i="6"/>
  <c r="F641" i="6"/>
  <c r="E641" i="6"/>
  <c r="D641" i="6"/>
  <c r="B641" i="6"/>
  <c r="I640" i="6"/>
  <c r="H640" i="6"/>
  <c r="G640" i="6"/>
  <c r="F640" i="6"/>
  <c r="E640" i="6"/>
  <c r="D640" i="6"/>
  <c r="B640" i="6"/>
  <c r="I639" i="6"/>
  <c r="H639" i="6"/>
  <c r="G639" i="6"/>
  <c r="F639" i="6"/>
  <c r="E639" i="6"/>
  <c r="D639" i="6"/>
  <c r="B639" i="6"/>
  <c r="I638" i="6"/>
  <c r="H638" i="6"/>
  <c r="G638" i="6"/>
  <c r="F638" i="6"/>
  <c r="E638" i="6"/>
  <c r="D638" i="6"/>
  <c r="B638" i="6"/>
  <c r="I637" i="6"/>
  <c r="H637" i="6"/>
  <c r="G637" i="6"/>
  <c r="F637" i="6"/>
  <c r="E637" i="6"/>
  <c r="D637" i="6"/>
  <c r="B637" i="6"/>
  <c r="I636" i="6"/>
  <c r="H636" i="6"/>
  <c r="G636" i="6"/>
  <c r="F636" i="6"/>
  <c r="E636" i="6"/>
  <c r="D636" i="6"/>
  <c r="B636" i="6"/>
  <c r="I635" i="6"/>
  <c r="H635" i="6"/>
  <c r="G635" i="6"/>
  <c r="F635" i="6"/>
  <c r="E635" i="6"/>
  <c r="D635" i="6"/>
  <c r="B635" i="6"/>
  <c r="I634" i="6"/>
  <c r="H634" i="6"/>
  <c r="G634" i="6"/>
  <c r="F634" i="6"/>
  <c r="E634" i="6"/>
  <c r="D634" i="6"/>
  <c r="B634" i="6"/>
  <c r="I633" i="6"/>
  <c r="H633" i="6"/>
  <c r="G633" i="6"/>
  <c r="F633" i="6"/>
  <c r="E633" i="6"/>
  <c r="D633" i="6"/>
  <c r="B633" i="6"/>
  <c r="I632" i="6"/>
  <c r="H632" i="6"/>
  <c r="G632" i="6"/>
  <c r="F632" i="6"/>
  <c r="E632" i="6"/>
  <c r="D632" i="6"/>
  <c r="B632" i="6"/>
  <c r="I631" i="6"/>
  <c r="H631" i="6"/>
  <c r="G631" i="6"/>
  <c r="F631" i="6"/>
  <c r="E631" i="6"/>
  <c r="D631" i="6"/>
  <c r="B631" i="6"/>
  <c r="I630" i="6"/>
  <c r="H630" i="6"/>
  <c r="G630" i="6"/>
  <c r="F630" i="6"/>
  <c r="E630" i="6"/>
  <c r="D630" i="6"/>
  <c r="B630" i="6"/>
  <c r="I629" i="6"/>
  <c r="H629" i="6"/>
  <c r="G629" i="6"/>
  <c r="F629" i="6"/>
  <c r="E629" i="6"/>
  <c r="D629" i="6"/>
  <c r="B629" i="6"/>
  <c r="I628" i="6"/>
  <c r="H628" i="6"/>
  <c r="G628" i="6"/>
  <c r="F628" i="6"/>
  <c r="E628" i="6"/>
  <c r="D628" i="6"/>
  <c r="B628" i="6"/>
  <c r="I627" i="6"/>
  <c r="H627" i="6"/>
  <c r="G627" i="6"/>
  <c r="F627" i="6"/>
  <c r="E627" i="6"/>
  <c r="D627" i="6"/>
  <c r="B627" i="6"/>
  <c r="I626" i="6"/>
  <c r="H626" i="6"/>
  <c r="G626" i="6"/>
  <c r="F626" i="6"/>
  <c r="E626" i="6"/>
  <c r="D626" i="6"/>
  <c r="B626" i="6"/>
  <c r="I625" i="6"/>
  <c r="H625" i="6"/>
  <c r="G625" i="6"/>
  <c r="F625" i="6"/>
  <c r="E625" i="6"/>
  <c r="D625" i="6"/>
  <c r="B625" i="6"/>
  <c r="I624" i="6"/>
  <c r="H624" i="6"/>
  <c r="G624" i="6"/>
  <c r="F624" i="6"/>
  <c r="E624" i="6"/>
  <c r="D624" i="6"/>
  <c r="B624" i="6"/>
  <c r="I623" i="6"/>
  <c r="H623" i="6"/>
  <c r="G623" i="6"/>
  <c r="F623" i="6"/>
  <c r="E623" i="6"/>
  <c r="D623" i="6"/>
  <c r="B623" i="6"/>
  <c r="I622" i="6"/>
  <c r="H622" i="6"/>
  <c r="G622" i="6"/>
  <c r="F622" i="6"/>
  <c r="E622" i="6"/>
  <c r="D622" i="6"/>
  <c r="B622" i="6"/>
  <c r="I621" i="6"/>
  <c r="H621" i="6"/>
  <c r="G621" i="6"/>
  <c r="F621" i="6"/>
  <c r="E621" i="6"/>
  <c r="D621" i="6"/>
  <c r="B621" i="6"/>
  <c r="I620" i="6"/>
  <c r="H620" i="6"/>
  <c r="G620" i="6"/>
  <c r="F620" i="6"/>
  <c r="E620" i="6"/>
  <c r="D620" i="6"/>
  <c r="B620" i="6"/>
  <c r="I619" i="6"/>
  <c r="H619" i="6"/>
  <c r="G619" i="6"/>
  <c r="F619" i="6"/>
  <c r="E619" i="6"/>
  <c r="D619" i="6"/>
  <c r="B619" i="6"/>
  <c r="I618" i="6"/>
  <c r="H618" i="6"/>
  <c r="G618" i="6"/>
  <c r="F618" i="6"/>
  <c r="E618" i="6"/>
  <c r="D618" i="6"/>
  <c r="B618" i="6"/>
  <c r="I617" i="6"/>
  <c r="H617" i="6"/>
  <c r="G617" i="6"/>
  <c r="F617" i="6"/>
  <c r="E617" i="6"/>
  <c r="D617" i="6"/>
  <c r="B617" i="6"/>
  <c r="I616" i="6"/>
  <c r="H616" i="6"/>
  <c r="G616" i="6"/>
  <c r="F616" i="6"/>
  <c r="E616" i="6"/>
  <c r="D616" i="6"/>
  <c r="B616" i="6"/>
  <c r="I615" i="6"/>
  <c r="H615" i="6"/>
  <c r="G615" i="6"/>
  <c r="F615" i="6"/>
  <c r="E615" i="6"/>
  <c r="D615" i="6"/>
  <c r="B615" i="6"/>
  <c r="I614" i="6"/>
  <c r="H614" i="6"/>
  <c r="G614" i="6"/>
  <c r="F614" i="6"/>
  <c r="E614" i="6"/>
  <c r="D614" i="6"/>
  <c r="B614" i="6"/>
  <c r="I613" i="6"/>
  <c r="H613" i="6"/>
  <c r="G613" i="6"/>
  <c r="F613" i="6"/>
  <c r="E613" i="6"/>
  <c r="D613" i="6"/>
  <c r="B613" i="6"/>
  <c r="I612" i="6"/>
  <c r="H612" i="6"/>
  <c r="G612" i="6"/>
  <c r="F612" i="6"/>
  <c r="E612" i="6"/>
  <c r="D612" i="6"/>
  <c r="B612" i="6"/>
  <c r="I611" i="6"/>
  <c r="H611" i="6"/>
  <c r="G611" i="6"/>
  <c r="F611" i="6"/>
  <c r="E611" i="6"/>
  <c r="D611" i="6"/>
  <c r="B611" i="6"/>
  <c r="I610" i="6"/>
  <c r="H610" i="6"/>
  <c r="G610" i="6"/>
  <c r="F610" i="6"/>
  <c r="E610" i="6"/>
  <c r="D610" i="6"/>
  <c r="B610" i="6"/>
  <c r="I609" i="6"/>
  <c r="H609" i="6"/>
  <c r="G609" i="6"/>
  <c r="F609" i="6"/>
  <c r="E609" i="6"/>
  <c r="D609" i="6"/>
  <c r="B609" i="6"/>
  <c r="I608" i="6"/>
  <c r="H608" i="6"/>
  <c r="G608" i="6"/>
  <c r="F608" i="6"/>
  <c r="E608" i="6"/>
  <c r="D608" i="6"/>
  <c r="B608" i="6"/>
  <c r="I607" i="6"/>
  <c r="H607" i="6"/>
  <c r="G607" i="6"/>
  <c r="F607" i="6"/>
  <c r="E607" i="6"/>
  <c r="D607" i="6"/>
  <c r="B607" i="6"/>
  <c r="I606" i="6"/>
  <c r="H606" i="6"/>
  <c r="G606" i="6"/>
  <c r="F606" i="6"/>
  <c r="E606" i="6"/>
  <c r="D606" i="6"/>
  <c r="B606" i="6"/>
  <c r="I605" i="6"/>
  <c r="H605" i="6"/>
  <c r="G605" i="6"/>
  <c r="F605" i="6"/>
  <c r="E605" i="6"/>
  <c r="D605" i="6"/>
  <c r="B605" i="6"/>
  <c r="I604" i="6"/>
  <c r="H604" i="6"/>
  <c r="G604" i="6"/>
  <c r="F604" i="6"/>
  <c r="E604" i="6"/>
  <c r="D604" i="6"/>
  <c r="B604" i="6"/>
  <c r="I603" i="6"/>
  <c r="H603" i="6"/>
  <c r="G603" i="6"/>
  <c r="F603" i="6"/>
  <c r="E603" i="6"/>
  <c r="D603" i="6"/>
  <c r="B603" i="6"/>
  <c r="I602" i="6"/>
  <c r="H602" i="6"/>
  <c r="G602" i="6"/>
  <c r="F602" i="6"/>
  <c r="E602" i="6"/>
  <c r="D602" i="6"/>
  <c r="B602" i="6"/>
  <c r="I601" i="6"/>
  <c r="H601" i="6"/>
  <c r="G601" i="6"/>
  <c r="F601" i="6"/>
  <c r="E601" i="6"/>
  <c r="D601" i="6"/>
  <c r="B601" i="6"/>
  <c r="I600" i="6"/>
  <c r="H600" i="6"/>
  <c r="G600" i="6"/>
  <c r="F600" i="6"/>
  <c r="E600" i="6"/>
  <c r="D600" i="6"/>
  <c r="B600" i="6"/>
  <c r="I599" i="6"/>
  <c r="H599" i="6"/>
  <c r="G599" i="6"/>
  <c r="F599" i="6"/>
  <c r="E599" i="6"/>
  <c r="D599" i="6"/>
  <c r="B599" i="6"/>
  <c r="I598" i="6"/>
  <c r="H598" i="6"/>
  <c r="G598" i="6"/>
  <c r="F598" i="6"/>
  <c r="E598" i="6"/>
  <c r="D598" i="6"/>
  <c r="B598" i="6"/>
  <c r="I597" i="6"/>
  <c r="H597" i="6"/>
  <c r="G597" i="6"/>
  <c r="F597" i="6"/>
  <c r="E597" i="6"/>
  <c r="D597" i="6"/>
  <c r="B597" i="6"/>
  <c r="I596" i="6"/>
  <c r="H596" i="6"/>
  <c r="G596" i="6"/>
  <c r="F596" i="6"/>
  <c r="E596" i="6"/>
  <c r="D596" i="6"/>
  <c r="B596" i="6"/>
  <c r="I595" i="6"/>
  <c r="H595" i="6"/>
  <c r="G595" i="6"/>
  <c r="F595" i="6"/>
  <c r="E595" i="6"/>
  <c r="D595" i="6"/>
  <c r="B595" i="6"/>
  <c r="I594" i="6"/>
  <c r="H594" i="6"/>
  <c r="G594" i="6"/>
  <c r="F594" i="6"/>
  <c r="E594" i="6"/>
  <c r="D594" i="6"/>
  <c r="B594" i="6"/>
  <c r="I593" i="6"/>
  <c r="H593" i="6"/>
  <c r="G593" i="6"/>
  <c r="F593" i="6"/>
  <c r="E593" i="6"/>
  <c r="D593" i="6"/>
  <c r="B593" i="6"/>
  <c r="I592" i="6"/>
  <c r="H592" i="6"/>
  <c r="G592" i="6"/>
  <c r="F592" i="6"/>
  <c r="E592" i="6"/>
  <c r="D592" i="6"/>
  <c r="B592" i="6"/>
  <c r="I591" i="6"/>
  <c r="H591" i="6"/>
  <c r="G591" i="6"/>
  <c r="F591" i="6"/>
  <c r="E591" i="6"/>
  <c r="D591" i="6"/>
  <c r="B591" i="6"/>
  <c r="I590" i="6"/>
  <c r="H590" i="6"/>
  <c r="G590" i="6"/>
  <c r="F590" i="6"/>
  <c r="E590" i="6"/>
  <c r="D590" i="6"/>
  <c r="B590" i="6"/>
  <c r="I589" i="6"/>
  <c r="H589" i="6"/>
  <c r="G589" i="6"/>
  <c r="F589" i="6"/>
  <c r="E589" i="6"/>
  <c r="D589" i="6"/>
  <c r="B589" i="6"/>
  <c r="I588" i="6"/>
  <c r="H588" i="6"/>
  <c r="G588" i="6"/>
  <c r="F588" i="6"/>
  <c r="E588" i="6"/>
  <c r="D588" i="6"/>
  <c r="B588" i="6"/>
  <c r="I587" i="6"/>
  <c r="H587" i="6"/>
  <c r="G587" i="6"/>
  <c r="F587" i="6"/>
  <c r="E587" i="6"/>
  <c r="D587" i="6"/>
  <c r="B587" i="6"/>
  <c r="I586" i="6"/>
  <c r="H586" i="6"/>
  <c r="G586" i="6"/>
  <c r="F586" i="6"/>
  <c r="E586" i="6"/>
  <c r="D586" i="6"/>
  <c r="B586" i="6"/>
  <c r="I585" i="6"/>
  <c r="H585" i="6"/>
  <c r="G585" i="6"/>
  <c r="F585" i="6"/>
  <c r="E585" i="6"/>
  <c r="D585" i="6"/>
  <c r="B585" i="6"/>
  <c r="I584" i="6"/>
  <c r="H584" i="6"/>
  <c r="G584" i="6"/>
  <c r="F584" i="6"/>
  <c r="E584" i="6"/>
  <c r="D584" i="6"/>
  <c r="B584" i="6"/>
  <c r="I583" i="6"/>
  <c r="H583" i="6"/>
  <c r="G583" i="6"/>
  <c r="F583" i="6"/>
  <c r="E583" i="6"/>
  <c r="D583" i="6"/>
  <c r="B583" i="6"/>
  <c r="I582" i="6"/>
  <c r="H582" i="6"/>
  <c r="G582" i="6"/>
  <c r="F582" i="6"/>
  <c r="E582" i="6"/>
  <c r="D582" i="6"/>
  <c r="B582" i="6"/>
  <c r="I581" i="6"/>
  <c r="H581" i="6"/>
  <c r="G581" i="6"/>
  <c r="F581" i="6"/>
  <c r="E581" i="6"/>
  <c r="D581" i="6"/>
  <c r="B581" i="6"/>
  <c r="I580" i="6"/>
  <c r="H580" i="6"/>
  <c r="G580" i="6"/>
  <c r="F580" i="6"/>
  <c r="E580" i="6"/>
  <c r="D580" i="6"/>
  <c r="B580" i="6"/>
  <c r="I579" i="6"/>
  <c r="H579" i="6"/>
  <c r="G579" i="6"/>
  <c r="F579" i="6"/>
  <c r="E579" i="6"/>
  <c r="D579" i="6"/>
  <c r="B579" i="6"/>
  <c r="I578" i="6"/>
  <c r="H578" i="6"/>
  <c r="G578" i="6"/>
  <c r="F578" i="6"/>
  <c r="E578" i="6"/>
  <c r="D578" i="6"/>
  <c r="B578" i="6"/>
  <c r="I577" i="6"/>
  <c r="H577" i="6"/>
  <c r="G577" i="6"/>
  <c r="F577" i="6"/>
  <c r="E577" i="6"/>
  <c r="D577" i="6"/>
  <c r="B577" i="6"/>
  <c r="I576" i="6"/>
  <c r="H576" i="6"/>
  <c r="G576" i="6"/>
  <c r="F576" i="6"/>
  <c r="E576" i="6"/>
  <c r="D576" i="6"/>
  <c r="B576" i="6"/>
  <c r="I575" i="6"/>
  <c r="H575" i="6"/>
  <c r="G575" i="6"/>
  <c r="F575" i="6"/>
  <c r="E575" i="6"/>
  <c r="D575" i="6"/>
  <c r="B575" i="6"/>
  <c r="I574" i="6"/>
  <c r="H574" i="6"/>
  <c r="G574" i="6"/>
  <c r="F574" i="6"/>
  <c r="E574" i="6"/>
  <c r="D574" i="6"/>
  <c r="B574" i="6"/>
  <c r="I573" i="6"/>
  <c r="H573" i="6"/>
  <c r="G573" i="6"/>
  <c r="F573" i="6"/>
  <c r="E573" i="6"/>
  <c r="D573" i="6"/>
  <c r="B573" i="6"/>
  <c r="I572" i="6"/>
  <c r="H572" i="6"/>
  <c r="G572" i="6"/>
  <c r="F572" i="6"/>
  <c r="E572" i="6"/>
  <c r="D572" i="6"/>
  <c r="B572" i="6"/>
  <c r="I571" i="6"/>
  <c r="H571" i="6"/>
  <c r="G571" i="6"/>
  <c r="F571" i="6"/>
  <c r="E571" i="6"/>
  <c r="D571" i="6"/>
  <c r="B571" i="6"/>
  <c r="I570" i="6"/>
  <c r="H570" i="6"/>
  <c r="G570" i="6"/>
  <c r="F570" i="6"/>
  <c r="E570" i="6"/>
  <c r="D570" i="6"/>
  <c r="B570" i="6"/>
  <c r="I569" i="6"/>
  <c r="H569" i="6"/>
  <c r="G569" i="6"/>
  <c r="F569" i="6"/>
  <c r="E569" i="6"/>
  <c r="D569" i="6"/>
  <c r="B569" i="6"/>
  <c r="I568" i="6"/>
  <c r="H568" i="6"/>
  <c r="G568" i="6"/>
  <c r="F568" i="6"/>
  <c r="E568" i="6"/>
  <c r="D568" i="6"/>
  <c r="B568" i="6"/>
  <c r="I567" i="6"/>
  <c r="H567" i="6"/>
  <c r="G567" i="6"/>
  <c r="F567" i="6"/>
  <c r="E567" i="6"/>
  <c r="D567" i="6"/>
  <c r="B567" i="6"/>
  <c r="I566" i="6"/>
  <c r="H566" i="6"/>
  <c r="G566" i="6"/>
  <c r="F566" i="6"/>
  <c r="E566" i="6"/>
  <c r="D566" i="6"/>
  <c r="B566" i="6"/>
  <c r="I565" i="6"/>
  <c r="H565" i="6"/>
  <c r="G565" i="6"/>
  <c r="F565" i="6"/>
  <c r="E565" i="6"/>
  <c r="D565" i="6"/>
  <c r="B565" i="6"/>
  <c r="I564" i="6"/>
  <c r="H564" i="6"/>
  <c r="G564" i="6"/>
  <c r="F564" i="6"/>
  <c r="E564" i="6"/>
  <c r="D564" i="6"/>
  <c r="B564" i="6"/>
  <c r="I563" i="6"/>
  <c r="H563" i="6"/>
  <c r="G563" i="6"/>
  <c r="F563" i="6"/>
  <c r="E563" i="6"/>
  <c r="D563" i="6"/>
  <c r="B563" i="6"/>
  <c r="I562" i="6"/>
  <c r="H562" i="6"/>
  <c r="G562" i="6"/>
  <c r="F562" i="6"/>
  <c r="E562" i="6"/>
  <c r="D562" i="6"/>
  <c r="B562" i="6"/>
  <c r="I561" i="6"/>
  <c r="H561" i="6"/>
  <c r="G561" i="6"/>
  <c r="F561" i="6"/>
  <c r="E561" i="6"/>
  <c r="D561" i="6"/>
  <c r="B561" i="6"/>
  <c r="I560" i="6"/>
  <c r="H560" i="6"/>
  <c r="G560" i="6"/>
  <c r="F560" i="6"/>
  <c r="E560" i="6"/>
  <c r="D560" i="6"/>
  <c r="B560" i="6"/>
  <c r="I559" i="6"/>
  <c r="H559" i="6"/>
  <c r="G559" i="6"/>
  <c r="F559" i="6"/>
  <c r="E559" i="6"/>
  <c r="D559" i="6"/>
  <c r="B559" i="6"/>
  <c r="I558" i="6"/>
  <c r="H558" i="6"/>
  <c r="G558" i="6"/>
  <c r="F558" i="6"/>
  <c r="E558" i="6"/>
  <c r="D558" i="6"/>
  <c r="B558" i="6"/>
  <c r="I557" i="6"/>
  <c r="H557" i="6"/>
  <c r="G557" i="6"/>
  <c r="F557" i="6"/>
  <c r="E557" i="6"/>
  <c r="D557" i="6"/>
  <c r="B557" i="6"/>
  <c r="I556" i="6"/>
  <c r="H556" i="6"/>
  <c r="G556" i="6"/>
  <c r="F556" i="6"/>
  <c r="E556" i="6"/>
  <c r="D556" i="6"/>
  <c r="B556" i="6"/>
  <c r="I555" i="6"/>
  <c r="H555" i="6"/>
  <c r="G555" i="6"/>
  <c r="F555" i="6"/>
  <c r="E555" i="6"/>
  <c r="D555" i="6"/>
  <c r="B555" i="6"/>
  <c r="I554" i="6"/>
  <c r="H554" i="6"/>
  <c r="G554" i="6"/>
  <c r="F554" i="6"/>
  <c r="E554" i="6"/>
  <c r="D554" i="6"/>
  <c r="B554" i="6"/>
  <c r="I553" i="6"/>
  <c r="H553" i="6"/>
  <c r="G553" i="6"/>
  <c r="F553" i="6"/>
  <c r="E553" i="6"/>
  <c r="D553" i="6"/>
  <c r="B553" i="6"/>
  <c r="I552" i="6"/>
  <c r="H552" i="6"/>
  <c r="G552" i="6"/>
  <c r="F552" i="6"/>
  <c r="E552" i="6"/>
  <c r="D552" i="6"/>
  <c r="B552" i="6"/>
  <c r="I551" i="6"/>
  <c r="H551" i="6"/>
  <c r="G551" i="6"/>
  <c r="F551" i="6"/>
  <c r="E551" i="6"/>
  <c r="D551" i="6"/>
  <c r="B551" i="6"/>
  <c r="I550" i="6"/>
  <c r="H550" i="6"/>
  <c r="G550" i="6"/>
  <c r="F550" i="6"/>
  <c r="E550" i="6"/>
  <c r="D550" i="6"/>
  <c r="B550" i="6"/>
  <c r="I549" i="6"/>
  <c r="H549" i="6"/>
  <c r="G549" i="6"/>
  <c r="F549" i="6"/>
  <c r="E549" i="6"/>
  <c r="D549" i="6"/>
  <c r="B549" i="6"/>
  <c r="I548" i="6"/>
  <c r="H548" i="6"/>
  <c r="G548" i="6"/>
  <c r="F548" i="6"/>
  <c r="E548" i="6"/>
  <c r="D548" i="6"/>
  <c r="B548" i="6"/>
  <c r="I547" i="6"/>
  <c r="H547" i="6"/>
  <c r="G547" i="6"/>
  <c r="F547" i="6"/>
  <c r="E547" i="6"/>
  <c r="D547" i="6"/>
  <c r="B547" i="6"/>
  <c r="I546" i="6"/>
  <c r="H546" i="6"/>
  <c r="G546" i="6"/>
  <c r="F546" i="6"/>
  <c r="E546" i="6"/>
  <c r="D546" i="6"/>
  <c r="B546" i="6"/>
  <c r="I545" i="6"/>
  <c r="H545" i="6"/>
  <c r="G545" i="6"/>
  <c r="F545" i="6"/>
  <c r="E545" i="6"/>
  <c r="D545" i="6"/>
  <c r="B545" i="6"/>
  <c r="I544" i="6"/>
  <c r="H544" i="6"/>
  <c r="G544" i="6"/>
  <c r="F544" i="6"/>
  <c r="E544" i="6"/>
  <c r="D544" i="6"/>
  <c r="B544" i="6"/>
  <c r="I543" i="6"/>
  <c r="H543" i="6"/>
  <c r="G543" i="6"/>
  <c r="F543" i="6"/>
  <c r="E543" i="6"/>
  <c r="D543" i="6"/>
  <c r="B543" i="6"/>
  <c r="I542" i="6"/>
  <c r="H542" i="6"/>
  <c r="G542" i="6"/>
  <c r="F542" i="6"/>
  <c r="E542" i="6"/>
  <c r="D542" i="6"/>
  <c r="B542" i="6"/>
  <c r="I541" i="6"/>
  <c r="H541" i="6"/>
  <c r="G541" i="6"/>
  <c r="F541" i="6"/>
  <c r="E541" i="6"/>
  <c r="D541" i="6"/>
  <c r="B541" i="6"/>
  <c r="I540" i="6"/>
  <c r="H540" i="6"/>
  <c r="G540" i="6"/>
  <c r="F540" i="6"/>
  <c r="E540" i="6"/>
  <c r="D540" i="6"/>
  <c r="B540" i="6"/>
  <c r="I539" i="6"/>
  <c r="H539" i="6"/>
  <c r="G539" i="6"/>
  <c r="F539" i="6"/>
  <c r="E539" i="6"/>
  <c r="D539" i="6"/>
  <c r="B539" i="6"/>
  <c r="I538" i="6"/>
  <c r="H538" i="6"/>
  <c r="G538" i="6"/>
  <c r="F538" i="6"/>
  <c r="E538" i="6"/>
  <c r="D538" i="6"/>
  <c r="B538" i="6"/>
  <c r="I537" i="6"/>
  <c r="H537" i="6"/>
  <c r="G537" i="6"/>
  <c r="F537" i="6"/>
  <c r="E537" i="6"/>
  <c r="D537" i="6"/>
  <c r="B537" i="6"/>
  <c r="I536" i="6"/>
  <c r="H536" i="6"/>
  <c r="G536" i="6"/>
  <c r="F536" i="6"/>
  <c r="E536" i="6"/>
  <c r="D536" i="6"/>
  <c r="B536" i="6"/>
  <c r="I535" i="6"/>
  <c r="H535" i="6"/>
  <c r="G535" i="6"/>
  <c r="F535" i="6"/>
  <c r="E535" i="6"/>
  <c r="D535" i="6"/>
  <c r="B535" i="6"/>
  <c r="I534" i="6"/>
  <c r="H534" i="6"/>
  <c r="G534" i="6"/>
  <c r="F534" i="6"/>
  <c r="E534" i="6"/>
  <c r="D534" i="6"/>
  <c r="B534" i="6"/>
  <c r="I533" i="6"/>
  <c r="H533" i="6"/>
  <c r="G533" i="6"/>
  <c r="F533" i="6"/>
  <c r="E533" i="6"/>
  <c r="D533" i="6"/>
  <c r="B533" i="6"/>
  <c r="I532" i="6"/>
  <c r="H532" i="6"/>
  <c r="G532" i="6"/>
  <c r="F532" i="6"/>
  <c r="E532" i="6"/>
  <c r="D532" i="6"/>
  <c r="B532" i="6"/>
  <c r="I531" i="6"/>
  <c r="H531" i="6"/>
  <c r="G531" i="6"/>
  <c r="F531" i="6"/>
  <c r="E531" i="6"/>
  <c r="D531" i="6"/>
  <c r="B531" i="6"/>
  <c r="I530" i="6"/>
  <c r="H530" i="6"/>
  <c r="G530" i="6"/>
  <c r="F530" i="6"/>
  <c r="E530" i="6"/>
  <c r="D530" i="6"/>
  <c r="B530" i="6"/>
  <c r="I529" i="6"/>
  <c r="H529" i="6"/>
  <c r="G529" i="6"/>
  <c r="F529" i="6"/>
  <c r="E529" i="6"/>
  <c r="D529" i="6"/>
  <c r="B529" i="6"/>
  <c r="I528" i="6"/>
  <c r="H528" i="6"/>
  <c r="G528" i="6"/>
  <c r="F528" i="6"/>
  <c r="E528" i="6"/>
  <c r="D528" i="6"/>
  <c r="B528" i="6"/>
  <c r="I527" i="6"/>
  <c r="H527" i="6"/>
  <c r="G527" i="6"/>
  <c r="F527" i="6"/>
  <c r="E527" i="6"/>
  <c r="D527" i="6"/>
  <c r="B527" i="6"/>
  <c r="I526" i="6"/>
  <c r="H526" i="6"/>
  <c r="G526" i="6"/>
  <c r="F526" i="6"/>
  <c r="E526" i="6"/>
  <c r="D526" i="6"/>
  <c r="B526" i="6"/>
  <c r="I525" i="6"/>
  <c r="H525" i="6"/>
  <c r="G525" i="6"/>
  <c r="F525" i="6"/>
  <c r="E525" i="6"/>
  <c r="D525" i="6"/>
  <c r="B525" i="6"/>
  <c r="I524" i="6"/>
  <c r="H524" i="6"/>
  <c r="G524" i="6"/>
  <c r="F524" i="6"/>
  <c r="E524" i="6"/>
  <c r="D524" i="6"/>
  <c r="B524" i="6"/>
  <c r="I523" i="6"/>
  <c r="H523" i="6"/>
  <c r="G523" i="6"/>
  <c r="F523" i="6"/>
  <c r="E523" i="6"/>
  <c r="D523" i="6"/>
  <c r="B523" i="6"/>
  <c r="I522" i="6"/>
  <c r="H522" i="6"/>
  <c r="G522" i="6"/>
  <c r="F522" i="6"/>
  <c r="E522" i="6"/>
  <c r="D522" i="6"/>
  <c r="B522" i="6"/>
  <c r="I521" i="6"/>
  <c r="H521" i="6"/>
  <c r="G521" i="6"/>
  <c r="F521" i="6"/>
  <c r="E521" i="6"/>
  <c r="D521" i="6"/>
  <c r="B521" i="6"/>
  <c r="I520" i="6"/>
  <c r="H520" i="6"/>
  <c r="G520" i="6"/>
  <c r="F520" i="6"/>
  <c r="E520" i="6"/>
  <c r="D520" i="6"/>
  <c r="B520" i="6"/>
  <c r="I519" i="6"/>
  <c r="H519" i="6"/>
  <c r="G519" i="6"/>
  <c r="F519" i="6"/>
  <c r="E519" i="6"/>
  <c r="D519" i="6"/>
  <c r="B519" i="6"/>
  <c r="I518" i="6"/>
  <c r="H518" i="6"/>
  <c r="G518" i="6"/>
  <c r="F518" i="6"/>
  <c r="E518" i="6"/>
  <c r="D518" i="6"/>
  <c r="B518" i="6"/>
  <c r="I517" i="6"/>
  <c r="H517" i="6"/>
  <c r="G517" i="6"/>
  <c r="F517" i="6"/>
  <c r="E517" i="6"/>
  <c r="D517" i="6"/>
  <c r="B517" i="6"/>
  <c r="I516" i="6"/>
  <c r="H516" i="6"/>
  <c r="G516" i="6"/>
  <c r="F516" i="6"/>
  <c r="E516" i="6"/>
  <c r="D516" i="6"/>
  <c r="B516" i="6"/>
  <c r="I515" i="6"/>
  <c r="H515" i="6"/>
  <c r="G515" i="6"/>
  <c r="F515" i="6"/>
  <c r="E515" i="6"/>
  <c r="D515" i="6"/>
  <c r="B515" i="6"/>
  <c r="I514" i="6"/>
  <c r="H514" i="6"/>
  <c r="G514" i="6"/>
  <c r="F514" i="6"/>
  <c r="E514" i="6"/>
  <c r="D514" i="6"/>
  <c r="B514" i="6"/>
  <c r="I513" i="6"/>
  <c r="H513" i="6"/>
  <c r="G513" i="6"/>
  <c r="F513" i="6"/>
  <c r="E513" i="6"/>
  <c r="D513" i="6"/>
  <c r="B513" i="6"/>
  <c r="I512" i="6"/>
  <c r="H512" i="6"/>
  <c r="G512" i="6"/>
  <c r="F512" i="6"/>
  <c r="E512" i="6"/>
  <c r="D512" i="6"/>
  <c r="B512" i="6"/>
  <c r="I511" i="6"/>
  <c r="H511" i="6"/>
  <c r="G511" i="6"/>
  <c r="F511" i="6"/>
  <c r="E511" i="6"/>
  <c r="D511" i="6"/>
  <c r="B511" i="6"/>
  <c r="I510" i="6"/>
  <c r="H510" i="6"/>
  <c r="G510" i="6"/>
  <c r="F510" i="6"/>
  <c r="E510" i="6"/>
  <c r="D510" i="6"/>
  <c r="B510" i="6"/>
  <c r="I509" i="6"/>
  <c r="H509" i="6"/>
  <c r="G509" i="6"/>
  <c r="F509" i="6"/>
  <c r="E509" i="6"/>
  <c r="D509" i="6"/>
  <c r="B509" i="6"/>
  <c r="I508" i="6"/>
  <c r="H508" i="6"/>
  <c r="G508" i="6"/>
  <c r="F508" i="6"/>
  <c r="E508" i="6"/>
  <c r="D508" i="6"/>
  <c r="B508" i="6"/>
  <c r="I507" i="6"/>
  <c r="H507" i="6"/>
  <c r="G507" i="6"/>
  <c r="F507" i="6"/>
  <c r="E507" i="6"/>
  <c r="D507" i="6"/>
  <c r="B507" i="6"/>
  <c r="I506" i="6"/>
  <c r="H506" i="6"/>
  <c r="G506" i="6"/>
  <c r="F506" i="6"/>
  <c r="E506" i="6"/>
  <c r="D506" i="6"/>
  <c r="B506" i="6"/>
  <c r="I505" i="6"/>
  <c r="H505" i="6"/>
  <c r="G505" i="6"/>
  <c r="F505" i="6"/>
  <c r="E505" i="6"/>
  <c r="D505" i="6"/>
  <c r="B505" i="6"/>
  <c r="I504" i="6"/>
  <c r="H504" i="6"/>
  <c r="G504" i="6"/>
  <c r="F504" i="6"/>
  <c r="E504" i="6"/>
  <c r="D504" i="6"/>
  <c r="B504" i="6"/>
  <c r="I503" i="6"/>
  <c r="H503" i="6"/>
  <c r="G503" i="6"/>
  <c r="F503" i="6"/>
  <c r="E503" i="6"/>
  <c r="D503" i="6"/>
  <c r="B503" i="6"/>
  <c r="I502" i="6"/>
  <c r="H502" i="6"/>
  <c r="G502" i="6"/>
  <c r="F502" i="6"/>
  <c r="E502" i="6"/>
  <c r="D502" i="6"/>
  <c r="B502" i="6"/>
  <c r="I501" i="6"/>
  <c r="H501" i="6"/>
  <c r="G501" i="6"/>
  <c r="F501" i="6"/>
  <c r="E501" i="6"/>
  <c r="D501" i="6"/>
  <c r="B501" i="6"/>
  <c r="I500" i="6"/>
  <c r="H500" i="6"/>
  <c r="G500" i="6"/>
  <c r="F500" i="6"/>
  <c r="E500" i="6"/>
  <c r="D500" i="6"/>
  <c r="B500" i="6"/>
  <c r="I499" i="6"/>
  <c r="H499" i="6"/>
  <c r="G499" i="6"/>
  <c r="F499" i="6"/>
  <c r="E499" i="6"/>
  <c r="D499" i="6"/>
  <c r="B499" i="6"/>
  <c r="I498" i="6"/>
  <c r="H498" i="6"/>
  <c r="G498" i="6"/>
  <c r="F498" i="6"/>
  <c r="E498" i="6"/>
  <c r="D498" i="6"/>
  <c r="B498" i="6"/>
  <c r="I497" i="6"/>
  <c r="H497" i="6"/>
  <c r="G497" i="6"/>
  <c r="F497" i="6"/>
  <c r="E497" i="6"/>
  <c r="D497" i="6"/>
  <c r="B497" i="6"/>
  <c r="I496" i="6"/>
  <c r="H496" i="6"/>
  <c r="G496" i="6"/>
  <c r="F496" i="6"/>
  <c r="E496" i="6"/>
  <c r="D496" i="6"/>
  <c r="B496" i="6"/>
  <c r="I495" i="6"/>
  <c r="H495" i="6"/>
  <c r="G495" i="6"/>
  <c r="F495" i="6"/>
  <c r="E495" i="6"/>
  <c r="D495" i="6"/>
  <c r="B495" i="6"/>
  <c r="I494" i="6"/>
  <c r="H494" i="6"/>
  <c r="G494" i="6"/>
  <c r="F494" i="6"/>
  <c r="E494" i="6"/>
  <c r="D494" i="6"/>
  <c r="B494" i="6"/>
  <c r="I493" i="6"/>
  <c r="H493" i="6"/>
  <c r="G493" i="6"/>
  <c r="F493" i="6"/>
  <c r="E493" i="6"/>
  <c r="D493" i="6"/>
  <c r="B493" i="6"/>
  <c r="I492" i="6"/>
  <c r="H492" i="6"/>
  <c r="G492" i="6"/>
  <c r="F492" i="6"/>
  <c r="E492" i="6"/>
  <c r="D492" i="6"/>
  <c r="B492" i="6"/>
  <c r="I491" i="6"/>
  <c r="H491" i="6"/>
  <c r="G491" i="6"/>
  <c r="F491" i="6"/>
  <c r="E491" i="6"/>
  <c r="D491" i="6"/>
  <c r="B491" i="6"/>
  <c r="I490" i="6"/>
  <c r="H490" i="6"/>
  <c r="G490" i="6"/>
  <c r="F490" i="6"/>
  <c r="E490" i="6"/>
  <c r="D490" i="6"/>
  <c r="B490" i="6"/>
  <c r="I489" i="6"/>
  <c r="H489" i="6"/>
  <c r="G489" i="6"/>
  <c r="F489" i="6"/>
  <c r="E489" i="6"/>
  <c r="D489" i="6"/>
  <c r="B489" i="6"/>
  <c r="I488" i="6"/>
  <c r="H488" i="6"/>
  <c r="G488" i="6"/>
  <c r="F488" i="6"/>
  <c r="E488" i="6"/>
  <c r="D488" i="6"/>
  <c r="B488" i="6"/>
  <c r="I487" i="6"/>
  <c r="H487" i="6"/>
  <c r="G487" i="6"/>
  <c r="F487" i="6"/>
  <c r="E487" i="6"/>
  <c r="D487" i="6"/>
  <c r="B487" i="6"/>
  <c r="I486" i="6"/>
  <c r="H486" i="6"/>
  <c r="G486" i="6"/>
  <c r="F486" i="6"/>
  <c r="E486" i="6"/>
  <c r="D486" i="6"/>
  <c r="B486" i="6"/>
  <c r="I485" i="6"/>
  <c r="H485" i="6"/>
  <c r="G485" i="6"/>
  <c r="F485" i="6"/>
  <c r="E485" i="6"/>
  <c r="D485" i="6"/>
  <c r="B485" i="6"/>
  <c r="I484" i="6"/>
  <c r="H484" i="6"/>
  <c r="G484" i="6"/>
  <c r="F484" i="6"/>
  <c r="E484" i="6"/>
  <c r="D484" i="6"/>
  <c r="B484" i="6"/>
  <c r="I483" i="6"/>
  <c r="H483" i="6"/>
  <c r="G483" i="6"/>
  <c r="F483" i="6"/>
  <c r="E483" i="6"/>
  <c r="D483" i="6"/>
  <c r="B483" i="6"/>
  <c r="I482" i="6"/>
  <c r="H482" i="6"/>
  <c r="G482" i="6"/>
  <c r="F482" i="6"/>
  <c r="E482" i="6"/>
  <c r="D482" i="6"/>
  <c r="B482" i="6"/>
  <c r="I481" i="6"/>
  <c r="H481" i="6"/>
  <c r="G481" i="6"/>
  <c r="F481" i="6"/>
  <c r="E481" i="6"/>
  <c r="D481" i="6"/>
  <c r="B481" i="6"/>
  <c r="I480" i="6"/>
  <c r="H480" i="6"/>
  <c r="G480" i="6"/>
  <c r="F480" i="6"/>
  <c r="E480" i="6"/>
  <c r="D480" i="6"/>
  <c r="B480" i="6"/>
  <c r="I479" i="6"/>
  <c r="H479" i="6"/>
  <c r="G479" i="6"/>
  <c r="F479" i="6"/>
  <c r="E479" i="6"/>
  <c r="D479" i="6"/>
  <c r="B479" i="6"/>
  <c r="I478" i="6"/>
  <c r="H478" i="6"/>
  <c r="G478" i="6"/>
  <c r="F478" i="6"/>
  <c r="E478" i="6"/>
  <c r="D478" i="6"/>
  <c r="B478" i="6"/>
  <c r="I477" i="6"/>
  <c r="H477" i="6"/>
  <c r="G477" i="6"/>
  <c r="F477" i="6"/>
  <c r="E477" i="6"/>
  <c r="D477" i="6"/>
  <c r="B477" i="6"/>
  <c r="I476" i="6"/>
  <c r="H476" i="6"/>
  <c r="G476" i="6"/>
  <c r="F476" i="6"/>
  <c r="E476" i="6"/>
  <c r="D476" i="6"/>
  <c r="B476" i="6"/>
  <c r="I475" i="6"/>
  <c r="H475" i="6"/>
  <c r="G475" i="6"/>
  <c r="F475" i="6"/>
  <c r="E475" i="6"/>
  <c r="D475" i="6"/>
  <c r="B475" i="6"/>
  <c r="I474" i="6"/>
  <c r="H474" i="6"/>
  <c r="G474" i="6"/>
  <c r="F474" i="6"/>
  <c r="E474" i="6"/>
  <c r="D474" i="6"/>
  <c r="B474" i="6"/>
  <c r="I473" i="6"/>
  <c r="H473" i="6"/>
  <c r="G473" i="6"/>
  <c r="F473" i="6"/>
  <c r="E473" i="6"/>
  <c r="D473" i="6"/>
  <c r="B473" i="6"/>
  <c r="I472" i="6"/>
  <c r="H472" i="6"/>
  <c r="G472" i="6"/>
  <c r="F472" i="6"/>
  <c r="E472" i="6"/>
  <c r="D472" i="6"/>
  <c r="B472" i="6"/>
  <c r="I471" i="6"/>
  <c r="H471" i="6"/>
  <c r="G471" i="6"/>
  <c r="F471" i="6"/>
  <c r="E471" i="6"/>
  <c r="D471" i="6"/>
  <c r="B471" i="6"/>
  <c r="I470" i="6"/>
  <c r="H470" i="6"/>
  <c r="G470" i="6"/>
  <c r="F470" i="6"/>
  <c r="E470" i="6"/>
  <c r="D470" i="6"/>
  <c r="B470" i="6"/>
  <c r="I469" i="6"/>
  <c r="H469" i="6"/>
  <c r="G469" i="6"/>
  <c r="F469" i="6"/>
  <c r="E469" i="6"/>
  <c r="D469" i="6"/>
  <c r="B469" i="6"/>
  <c r="I468" i="6"/>
  <c r="H468" i="6"/>
  <c r="G468" i="6"/>
  <c r="F468" i="6"/>
  <c r="E468" i="6"/>
  <c r="D468" i="6"/>
  <c r="B468" i="6"/>
  <c r="I467" i="6"/>
  <c r="H467" i="6"/>
  <c r="G467" i="6"/>
  <c r="F467" i="6"/>
  <c r="E467" i="6"/>
  <c r="D467" i="6"/>
  <c r="B467" i="6"/>
  <c r="I466" i="6"/>
  <c r="H466" i="6"/>
  <c r="G466" i="6"/>
  <c r="F466" i="6"/>
  <c r="E466" i="6"/>
  <c r="D466" i="6"/>
  <c r="B466" i="6"/>
  <c r="I465" i="6"/>
  <c r="H465" i="6"/>
  <c r="G465" i="6"/>
  <c r="F465" i="6"/>
  <c r="E465" i="6"/>
  <c r="D465" i="6"/>
  <c r="B465" i="6"/>
  <c r="I464" i="6"/>
  <c r="H464" i="6"/>
  <c r="G464" i="6"/>
  <c r="F464" i="6"/>
  <c r="E464" i="6"/>
  <c r="D464" i="6"/>
  <c r="B464" i="6"/>
  <c r="I463" i="6"/>
  <c r="H463" i="6"/>
  <c r="G463" i="6"/>
  <c r="F463" i="6"/>
  <c r="E463" i="6"/>
  <c r="D463" i="6"/>
  <c r="B463" i="6"/>
  <c r="I462" i="6"/>
  <c r="H462" i="6"/>
  <c r="G462" i="6"/>
  <c r="F462" i="6"/>
  <c r="E462" i="6"/>
  <c r="D462" i="6"/>
  <c r="B462" i="6"/>
  <c r="I461" i="6"/>
  <c r="H461" i="6"/>
  <c r="G461" i="6"/>
  <c r="F461" i="6"/>
  <c r="E461" i="6"/>
  <c r="D461" i="6"/>
  <c r="B461" i="6"/>
  <c r="I460" i="6"/>
  <c r="H460" i="6"/>
  <c r="G460" i="6"/>
  <c r="F460" i="6"/>
  <c r="E460" i="6"/>
  <c r="D460" i="6"/>
  <c r="B460" i="6"/>
  <c r="I459" i="6"/>
  <c r="H459" i="6"/>
  <c r="G459" i="6"/>
  <c r="F459" i="6"/>
  <c r="E459" i="6"/>
  <c r="D459" i="6"/>
  <c r="B459" i="6"/>
  <c r="I458" i="6"/>
  <c r="H458" i="6"/>
  <c r="G458" i="6"/>
  <c r="F458" i="6"/>
  <c r="E458" i="6"/>
  <c r="D458" i="6"/>
  <c r="B458" i="6"/>
  <c r="I457" i="6"/>
  <c r="H457" i="6"/>
  <c r="G457" i="6"/>
  <c r="F457" i="6"/>
  <c r="E457" i="6"/>
  <c r="D457" i="6"/>
  <c r="B457" i="6"/>
  <c r="I456" i="6"/>
  <c r="H456" i="6"/>
  <c r="G456" i="6"/>
  <c r="F456" i="6"/>
  <c r="E456" i="6"/>
  <c r="D456" i="6"/>
  <c r="B456" i="6"/>
  <c r="I455" i="6"/>
  <c r="H455" i="6"/>
  <c r="G455" i="6"/>
  <c r="F455" i="6"/>
  <c r="E455" i="6"/>
  <c r="D455" i="6"/>
  <c r="B455" i="6"/>
  <c r="I454" i="6"/>
  <c r="H454" i="6"/>
  <c r="G454" i="6"/>
  <c r="F454" i="6"/>
  <c r="E454" i="6"/>
  <c r="D454" i="6"/>
  <c r="B454" i="6"/>
  <c r="I453" i="6"/>
  <c r="H453" i="6"/>
  <c r="G453" i="6"/>
  <c r="F453" i="6"/>
  <c r="E453" i="6"/>
  <c r="D453" i="6"/>
  <c r="B453" i="6"/>
  <c r="I452" i="6"/>
  <c r="H452" i="6"/>
  <c r="G452" i="6"/>
  <c r="F452" i="6"/>
  <c r="E452" i="6"/>
  <c r="D452" i="6"/>
  <c r="B452" i="6"/>
  <c r="I451" i="6"/>
  <c r="H451" i="6"/>
  <c r="G451" i="6"/>
  <c r="F451" i="6"/>
  <c r="E451" i="6"/>
  <c r="D451" i="6"/>
  <c r="B451" i="6"/>
  <c r="I450" i="6"/>
  <c r="H450" i="6"/>
  <c r="G450" i="6"/>
  <c r="F450" i="6"/>
  <c r="E450" i="6"/>
  <c r="D450" i="6"/>
  <c r="B450" i="6"/>
  <c r="I449" i="6"/>
  <c r="H449" i="6"/>
  <c r="G449" i="6"/>
  <c r="F449" i="6"/>
  <c r="E449" i="6"/>
  <c r="D449" i="6"/>
  <c r="B449" i="6"/>
  <c r="I448" i="6"/>
  <c r="H448" i="6"/>
  <c r="G448" i="6"/>
  <c r="F448" i="6"/>
  <c r="E448" i="6"/>
  <c r="D448" i="6"/>
  <c r="B448" i="6"/>
  <c r="I447" i="6"/>
  <c r="H447" i="6"/>
  <c r="G447" i="6"/>
  <c r="F447" i="6"/>
  <c r="E447" i="6"/>
  <c r="D447" i="6"/>
  <c r="B447" i="6"/>
  <c r="I446" i="6"/>
  <c r="H446" i="6"/>
  <c r="G446" i="6"/>
  <c r="F446" i="6"/>
  <c r="E446" i="6"/>
  <c r="D446" i="6"/>
  <c r="B446" i="6"/>
  <c r="I445" i="6"/>
  <c r="H445" i="6"/>
  <c r="G445" i="6"/>
  <c r="F445" i="6"/>
  <c r="E445" i="6"/>
  <c r="D445" i="6"/>
  <c r="B445" i="6"/>
  <c r="I444" i="6"/>
  <c r="H444" i="6"/>
  <c r="G444" i="6"/>
  <c r="F444" i="6"/>
  <c r="E444" i="6"/>
  <c r="D444" i="6"/>
  <c r="B444" i="6"/>
  <c r="I443" i="6"/>
  <c r="H443" i="6"/>
  <c r="G443" i="6"/>
  <c r="F443" i="6"/>
  <c r="E443" i="6"/>
  <c r="D443" i="6"/>
  <c r="B443" i="6"/>
  <c r="I442" i="6"/>
  <c r="H442" i="6"/>
  <c r="G442" i="6"/>
  <c r="F442" i="6"/>
  <c r="E442" i="6"/>
  <c r="D442" i="6"/>
  <c r="B442" i="6"/>
  <c r="I441" i="6"/>
  <c r="H441" i="6"/>
  <c r="G441" i="6"/>
  <c r="F441" i="6"/>
  <c r="E441" i="6"/>
  <c r="D441" i="6"/>
  <c r="B441" i="6"/>
  <c r="I440" i="6"/>
  <c r="H440" i="6"/>
  <c r="G440" i="6"/>
  <c r="F440" i="6"/>
  <c r="E440" i="6"/>
  <c r="D440" i="6"/>
  <c r="B440" i="6"/>
  <c r="I439" i="6"/>
  <c r="H439" i="6"/>
  <c r="G439" i="6"/>
  <c r="F439" i="6"/>
  <c r="E439" i="6"/>
  <c r="D439" i="6"/>
  <c r="B439" i="6"/>
  <c r="I438" i="6"/>
  <c r="H438" i="6"/>
  <c r="G438" i="6"/>
  <c r="F438" i="6"/>
  <c r="E438" i="6"/>
  <c r="D438" i="6"/>
  <c r="B438" i="6"/>
  <c r="I437" i="6"/>
  <c r="H437" i="6"/>
  <c r="G437" i="6"/>
  <c r="F437" i="6"/>
  <c r="E437" i="6"/>
  <c r="D437" i="6"/>
  <c r="B437" i="6"/>
  <c r="I436" i="6"/>
  <c r="H436" i="6"/>
  <c r="G436" i="6"/>
  <c r="F436" i="6"/>
  <c r="E436" i="6"/>
  <c r="D436" i="6"/>
  <c r="B436" i="6"/>
  <c r="I435" i="6"/>
  <c r="H435" i="6"/>
  <c r="G435" i="6"/>
  <c r="F435" i="6"/>
  <c r="E435" i="6"/>
  <c r="D435" i="6"/>
  <c r="B435" i="6"/>
  <c r="I434" i="6"/>
  <c r="H434" i="6"/>
  <c r="G434" i="6"/>
  <c r="F434" i="6"/>
  <c r="E434" i="6"/>
  <c r="D434" i="6"/>
  <c r="B434" i="6"/>
  <c r="I433" i="6"/>
  <c r="H433" i="6"/>
  <c r="G433" i="6"/>
  <c r="F433" i="6"/>
  <c r="E433" i="6"/>
  <c r="D433" i="6"/>
  <c r="B433" i="6"/>
  <c r="I432" i="6"/>
  <c r="H432" i="6"/>
  <c r="G432" i="6"/>
  <c r="F432" i="6"/>
  <c r="E432" i="6"/>
  <c r="D432" i="6"/>
  <c r="B432" i="6"/>
  <c r="I431" i="6"/>
  <c r="H431" i="6"/>
  <c r="G431" i="6"/>
  <c r="F431" i="6"/>
  <c r="E431" i="6"/>
  <c r="D431" i="6"/>
  <c r="B431" i="6"/>
  <c r="I430" i="6"/>
  <c r="H430" i="6"/>
  <c r="G430" i="6"/>
  <c r="F430" i="6"/>
  <c r="E430" i="6"/>
  <c r="D430" i="6"/>
  <c r="B430" i="6"/>
  <c r="I429" i="6"/>
  <c r="H429" i="6"/>
  <c r="G429" i="6"/>
  <c r="F429" i="6"/>
  <c r="E429" i="6"/>
  <c r="D429" i="6"/>
  <c r="B429" i="6"/>
  <c r="I428" i="6"/>
  <c r="H428" i="6"/>
  <c r="G428" i="6"/>
  <c r="F428" i="6"/>
  <c r="E428" i="6"/>
  <c r="D428" i="6"/>
  <c r="B428" i="6"/>
  <c r="I427" i="6"/>
  <c r="H427" i="6"/>
  <c r="G427" i="6"/>
  <c r="F427" i="6"/>
  <c r="E427" i="6"/>
  <c r="D427" i="6"/>
  <c r="B427" i="6"/>
  <c r="I426" i="6"/>
  <c r="H426" i="6"/>
  <c r="G426" i="6"/>
  <c r="F426" i="6"/>
  <c r="E426" i="6"/>
  <c r="D426" i="6"/>
  <c r="B426" i="6"/>
  <c r="I425" i="6"/>
  <c r="H425" i="6"/>
  <c r="G425" i="6"/>
  <c r="F425" i="6"/>
  <c r="E425" i="6"/>
  <c r="D425" i="6"/>
  <c r="B425" i="6"/>
  <c r="I424" i="6"/>
  <c r="H424" i="6"/>
  <c r="G424" i="6"/>
  <c r="F424" i="6"/>
  <c r="E424" i="6"/>
  <c r="D424" i="6"/>
  <c r="B424" i="6"/>
  <c r="I423" i="6"/>
  <c r="H423" i="6"/>
  <c r="G423" i="6"/>
  <c r="F423" i="6"/>
  <c r="E423" i="6"/>
  <c r="D423" i="6"/>
  <c r="B423" i="6"/>
  <c r="I422" i="6"/>
  <c r="H422" i="6"/>
  <c r="G422" i="6"/>
  <c r="F422" i="6"/>
  <c r="E422" i="6"/>
  <c r="D422" i="6"/>
  <c r="B422" i="6"/>
  <c r="I421" i="6"/>
  <c r="H421" i="6"/>
  <c r="G421" i="6"/>
  <c r="F421" i="6"/>
  <c r="E421" i="6"/>
  <c r="D421" i="6"/>
  <c r="B421" i="6"/>
  <c r="I420" i="6"/>
  <c r="H420" i="6"/>
  <c r="G420" i="6"/>
  <c r="F420" i="6"/>
  <c r="E420" i="6"/>
  <c r="D420" i="6"/>
  <c r="B420" i="6"/>
  <c r="I419" i="6"/>
  <c r="H419" i="6"/>
  <c r="G419" i="6"/>
  <c r="F419" i="6"/>
  <c r="E419" i="6"/>
  <c r="D419" i="6"/>
  <c r="B419" i="6"/>
  <c r="I418" i="6"/>
  <c r="H418" i="6"/>
  <c r="G418" i="6"/>
  <c r="F418" i="6"/>
  <c r="E418" i="6"/>
  <c r="D418" i="6"/>
  <c r="B418" i="6"/>
  <c r="I417" i="6"/>
  <c r="H417" i="6"/>
  <c r="G417" i="6"/>
  <c r="F417" i="6"/>
  <c r="E417" i="6"/>
  <c r="D417" i="6"/>
  <c r="B417" i="6"/>
  <c r="I416" i="6"/>
  <c r="H416" i="6"/>
  <c r="G416" i="6"/>
  <c r="F416" i="6"/>
  <c r="E416" i="6"/>
  <c r="D416" i="6"/>
  <c r="B416" i="6"/>
  <c r="I415" i="6"/>
  <c r="H415" i="6"/>
  <c r="G415" i="6"/>
  <c r="F415" i="6"/>
  <c r="E415" i="6"/>
  <c r="D415" i="6"/>
  <c r="B415" i="6"/>
  <c r="I414" i="6"/>
  <c r="H414" i="6"/>
  <c r="G414" i="6"/>
  <c r="F414" i="6"/>
  <c r="E414" i="6"/>
  <c r="D414" i="6"/>
  <c r="B414" i="6"/>
  <c r="I413" i="6"/>
  <c r="H413" i="6"/>
  <c r="G413" i="6"/>
  <c r="F413" i="6"/>
  <c r="E413" i="6"/>
  <c r="D413" i="6"/>
  <c r="B413" i="6"/>
  <c r="I412" i="6"/>
  <c r="H412" i="6"/>
  <c r="G412" i="6"/>
  <c r="F412" i="6"/>
  <c r="E412" i="6"/>
  <c r="D412" i="6"/>
  <c r="B412" i="6"/>
  <c r="I411" i="6"/>
  <c r="H411" i="6"/>
  <c r="G411" i="6"/>
  <c r="F411" i="6"/>
  <c r="E411" i="6"/>
  <c r="D411" i="6"/>
  <c r="B411" i="6"/>
  <c r="I410" i="6"/>
  <c r="H410" i="6"/>
  <c r="G410" i="6"/>
  <c r="F410" i="6"/>
  <c r="E410" i="6"/>
  <c r="D410" i="6"/>
  <c r="B410" i="6"/>
  <c r="I409" i="6"/>
  <c r="H409" i="6"/>
  <c r="G409" i="6"/>
  <c r="F409" i="6"/>
  <c r="E409" i="6"/>
  <c r="D409" i="6"/>
  <c r="B409" i="6"/>
  <c r="I408" i="6"/>
  <c r="H408" i="6"/>
  <c r="G408" i="6"/>
  <c r="F408" i="6"/>
  <c r="E408" i="6"/>
  <c r="D408" i="6"/>
  <c r="B408" i="6"/>
  <c r="I407" i="6"/>
  <c r="H407" i="6"/>
  <c r="G407" i="6"/>
  <c r="F407" i="6"/>
  <c r="E407" i="6"/>
  <c r="D407" i="6"/>
  <c r="B407" i="6"/>
  <c r="I406" i="6"/>
  <c r="H406" i="6"/>
  <c r="G406" i="6"/>
  <c r="F406" i="6"/>
  <c r="E406" i="6"/>
  <c r="D406" i="6"/>
  <c r="B406" i="6"/>
  <c r="I405" i="6"/>
  <c r="H405" i="6"/>
  <c r="G405" i="6"/>
  <c r="F405" i="6"/>
  <c r="E405" i="6"/>
  <c r="D405" i="6"/>
  <c r="B405" i="6"/>
  <c r="I404" i="6"/>
  <c r="H404" i="6"/>
  <c r="G404" i="6"/>
  <c r="F404" i="6"/>
  <c r="E404" i="6"/>
  <c r="D404" i="6"/>
  <c r="B404" i="6"/>
  <c r="I403" i="6"/>
  <c r="H403" i="6"/>
  <c r="G403" i="6"/>
  <c r="F403" i="6"/>
  <c r="E403" i="6"/>
  <c r="D403" i="6"/>
  <c r="B403" i="6"/>
  <c r="I402" i="6"/>
  <c r="H402" i="6"/>
  <c r="G402" i="6"/>
  <c r="F402" i="6"/>
  <c r="E402" i="6"/>
  <c r="D402" i="6"/>
  <c r="B402" i="6"/>
  <c r="I401" i="6"/>
  <c r="H401" i="6"/>
  <c r="G401" i="6"/>
  <c r="F401" i="6"/>
  <c r="E401" i="6"/>
  <c r="D401" i="6"/>
  <c r="B401" i="6"/>
  <c r="I400" i="6"/>
  <c r="H400" i="6"/>
  <c r="G400" i="6"/>
  <c r="F400" i="6"/>
  <c r="E400" i="6"/>
  <c r="D400" i="6"/>
  <c r="B400" i="6"/>
  <c r="I399" i="6"/>
  <c r="H399" i="6"/>
  <c r="G399" i="6"/>
  <c r="F399" i="6"/>
  <c r="E399" i="6"/>
  <c r="D399" i="6"/>
  <c r="B399" i="6"/>
  <c r="I398" i="6"/>
  <c r="H398" i="6"/>
  <c r="G398" i="6"/>
  <c r="F398" i="6"/>
  <c r="E398" i="6"/>
  <c r="D398" i="6"/>
  <c r="B398" i="6"/>
  <c r="I397" i="6"/>
  <c r="H397" i="6"/>
  <c r="G397" i="6"/>
  <c r="F397" i="6"/>
  <c r="E397" i="6"/>
  <c r="D397" i="6"/>
  <c r="B397" i="6"/>
  <c r="I396" i="6"/>
  <c r="H396" i="6"/>
  <c r="G396" i="6"/>
  <c r="F396" i="6"/>
  <c r="E396" i="6"/>
  <c r="D396" i="6"/>
  <c r="B396" i="6"/>
  <c r="I395" i="6"/>
  <c r="H395" i="6"/>
  <c r="G395" i="6"/>
  <c r="F395" i="6"/>
  <c r="E395" i="6"/>
  <c r="D395" i="6"/>
  <c r="B395" i="6"/>
  <c r="I394" i="6"/>
  <c r="H394" i="6"/>
  <c r="G394" i="6"/>
  <c r="F394" i="6"/>
  <c r="E394" i="6"/>
  <c r="D394" i="6"/>
  <c r="B394" i="6"/>
  <c r="I393" i="6"/>
  <c r="H393" i="6"/>
  <c r="G393" i="6"/>
  <c r="F393" i="6"/>
  <c r="E393" i="6"/>
  <c r="D393" i="6"/>
  <c r="B393" i="6"/>
  <c r="I392" i="6"/>
  <c r="H392" i="6"/>
  <c r="G392" i="6"/>
  <c r="F392" i="6"/>
  <c r="E392" i="6"/>
  <c r="D392" i="6"/>
  <c r="B392" i="6"/>
  <c r="I391" i="6"/>
  <c r="H391" i="6"/>
  <c r="G391" i="6"/>
  <c r="F391" i="6"/>
  <c r="E391" i="6"/>
  <c r="D391" i="6"/>
  <c r="B391" i="6"/>
  <c r="I390" i="6"/>
  <c r="H390" i="6"/>
  <c r="G390" i="6"/>
  <c r="F390" i="6"/>
  <c r="E390" i="6"/>
  <c r="D390" i="6"/>
  <c r="B390" i="6"/>
  <c r="I389" i="6"/>
  <c r="H389" i="6"/>
  <c r="G389" i="6"/>
  <c r="F389" i="6"/>
  <c r="E389" i="6"/>
  <c r="D389" i="6"/>
  <c r="B389" i="6"/>
  <c r="I388" i="6"/>
  <c r="H388" i="6"/>
  <c r="G388" i="6"/>
  <c r="F388" i="6"/>
  <c r="E388" i="6"/>
  <c r="D388" i="6"/>
  <c r="B388" i="6"/>
  <c r="I387" i="6"/>
  <c r="H387" i="6"/>
  <c r="G387" i="6"/>
  <c r="F387" i="6"/>
  <c r="E387" i="6"/>
  <c r="D387" i="6"/>
  <c r="B387" i="6"/>
  <c r="I386" i="6"/>
  <c r="H386" i="6"/>
  <c r="G386" i="6"/>
  <c r="F386" i="6"/>
  <c r="E386" i="6"/>
  <c r="D386" i="6"/>
  <c r="B386" i="6"/>
  <c r="I385" i="6"/>
  <c r="H385" i="6"/>
  <c r="G385" i="6"/>
  <c r="F385" i="6"/>
  <c r="E385" i="6"/>
  <c r="D385" i="6"/>
  <c r="B385" i="6"/>
  <c r="I384" i="6"/>
  <c r="H384" i="6"/>
  <c r="G384" i="6"/>
  <c r="F384" i="6"/>
  <c r="E384" i="6"/>
  <c r="D384" i="6"/>
  <c r="B384" i="6"/>
  <c r="I383" i="6"/>
  <c r="H383" i="6"/>
  <c r="G383" i="6"/>
  <c r="F383" i="6"/>
  <c r="E383" i="6"/>
  <c r="D383" i="6"/>
  <c r="B383" i="6"/>
  <c r="I382" i="6"/>
  <c r="H382" i="6"/>
  <c r="G382" i="6"/>
  <c r="F382" i="6"/>
  <c r="E382" i="6"/>
  <c r="D382" i="6"/>
  <c r="B382" i="6"/>
  <c r="I381" i="6"/>
  <c r="H381" i="6"/>
  <c r="G381" i="6"/>
  <c r="F381" i="6"/>
  <c r="E381" i="6"/>
  <c r="D381" i="6"/>
  <c r="B381" i="6"/>
  <c r="I380" i="6"/>
  <c r="H380" i="6"/>
  <c r="G380" i="6"/>
  <c r="F380" i="6"/>
  <c r="E380" i="6"/>
  <c r="D380" i="6"/>
  <c r="B380" i="6"/>
  <c r="I379" i="6"/>
  <c r="H379" i="6"/>
  <c r="G379" i="6"/>
  <c r="F379" i="6"/>
  <c r="E379" i="6"/>
  <c r="D379" i="6"/>
  <c r="B379" i="6"/>
  <c r="I378" i="6"/>
  <c r="H378" i="6"/>
  <c r="G378" i="6"/>
  <c r="F378" i="6"/>
  <c r="E378" i="6"/>
  <c r="D378" i="6"/>
  <c r="B378" i="6"/>
  <c r="I377" i="6"/>
  <c r="H377" i="6"/>
  <c r="G377" i="6"/>
  <c r="F377" i="6"/>
  <c r="E377" i="6"/>
  <c r="D377" i="6"/>
  <c r="B377" i="6"/>
  <c r="I376" i="6"/>
  <c r="H376" i="6"/>
  <c r="G376" i="6"/>
  <c r="F376" i="6"/>
  <c r="E376" i="6"/>
  <c r="D376" i="6"/>
  <c r="B376" i="6"/>
  <c r="I375" i="6"/>
  <c r="H375" i="6"/>
  <c r="G375" i="6"/>
  <c r="F375" i="6"/>
  <c r="E375" i="6"/>
  <c r="D375" i="6"/>
  <c r="B375" i="6"/>
  <c r="I374" i="6"/>
  <c r="H374" i="6"/>
  <c r="G374" i="6"/>
  <c r="F374" i="6"/>
  <c r="E374" i="6"/>
  <c r="D374" i="6"/>
  <c r="B374" i="6"/>
  <c r="I373" i="6"/>
  <c r="H373" i="6"/>
  <c r="G373" i="6"/>
  <c r="F373" i="6"/>
  <c r="E373" i="6"/>
  <c r="D373" i="6"/>
  <c r="B373" i="6"/>
  <c r="I372" i="6"/>
  <c r="H372" i="6"/>
  <c r="G372" i="6"/>
  <c r="F372" i="6"/>
  <c r="E372" i="6"/>
  <c r="D372" i="6"/>
  <c r="B372" i="6"/>
  <c r="I371" i="6"/>
  <c r="H371" i="6"/>
  <c r="G371" i="6"/>
  <c r="F371" i="6"/>
  <c r="E371" i="6"/>
  <c r="D371" i="6"/>
  <c r="B371" i="6"/>
  <c r="I370" i="6"/>
  <c r="H370" i="6"/>
  <c r="G370" i="6"/>
  <c r="F370" i="6"/>
  <c r="E370" i="6"/>
  <c r="D370" i="6"/>
  <c r="B370" i="6"/>
  <c r="I369" i="6"/>
  <c r="H369" i="6"/>
  <c r="G369" i="6"/>
  <c r="F369" i="6"/>
  <c r="E369" i="6"/>
  <c r="D369" i="6"/>
  <c r="B369" i="6"/>
  <c r="I368" i="6"/>
  <c r="H368" i="6"/>
  <c r="G368" i="6"/>
  <c r="F368" i="6"/>
  <c r="E368" i="6"/>
  <c r="D368" i="6"/>
  <c r="B368" i="6"/>
  <c r="I367" i="6"/>
  <c r="H367" i="6"/>
  <c r="G367" i="6"/>
  <c r="F367" i="6"/>
  <c r="E367" i="6"/>
  <c r="D367" i="6"/>
  <c r="B367" i="6"/>
  <c r="I366" i="6"/>
  <c r="H366" i="6"/>
  <c r="G366" i="6"/>
  <c r="F366" i="6"/>
  <c r="E366" i="6"/>
  <c r="D366" i="6"/>
  <c r="B366" i="6"/>
  <c r="I365" i="6"/>
  <c r="H365" i="6"/>
  <c r="G365" i="6"/>
  <c r="F365" i="6"/>
  <c r="E365" i="6"/>
  <c r="D365" i="6"/>
  <c r="B365" i="6"/>
  <c r="I364" i="6"/>
  <c r="H364" i="6"/>
  <c r="G364" i="6"/>
  <c r="F364" i="6"/>
  <c r="E364" i="6"/>
  <c r="D364" i="6"/>
  <c r="B364" i="6"/>
  <c r="I363" i="6"/>
  <c r="H363" i="6"/>
  <c r="G363" i="6"/>
  <c r="F363" i="6"/>
  <c r="E363" i="6"/>
  <c r="D363" i="6"/>
  <c r="B363" i="6"/>
  <c r="I362" i="6"/>
  <c r="H362" i="6"/>
  <c r="G362" i="6"/>
  <c r="F362" i="6"/>
  <c r="E362" i="6"/>
  <c r="D362" i="6"/>
  <c r="B362" i="6"/>
  <c r="I361" i="6"/>
  <c r="H361" i="6"/>
  <c r="G361" i="6"/>
  <c r="F361" i="6"/>
  <c r="E361" i="6"/>
  <c r="D361" i="6"/>
  <c r="B361" i="6"/>
  <c r="I360" i="6"/>
  <c r="H360" i="6"/>
  <c r="G360" i="6"/>
  <c r="F360" i="6"/>
  <c r="E360" i="6"/>
  <c r="D360" i="6"/>
  <c r="B360" i="6"/>
  <c r="I359" i="6"/>
  <c r="H359" i="6"/>
  <c r="G359" i="6"/>
  <c r="F359" i="6"/>
  <c r="E359" i="6"/>
  <c r="D359" i="6"/>
  <c r="B359" i="6"/>
  <c r="I358" i="6"/>
  <c r="H358" i="6"/>
  <c r="G358" i="6"/>
  <c r="F358" i="6"/>
  <c r="E358" i="6"/>
  <c r="D358" i="6"/>
  <c r="B358" i="6"/>
  <c r="I357" i="6"/>
  <c r="H357" i="6"/>
  <c r="G357" i="6"/>
  <c r="F357" i="6"/>
  <c r="E357" i="6"/>
  <c r="D357" i="6"/>
  <c r="B357" i="6"/>
  <c r="I356" i="6"/>
  <c r="H356" i="6"/>
  <c r="G356" i="6"/>
  <c r="F356" i="6"/>
  <c r="E356" i="6"/>
  <c r="D356" i="6"/>
  <c r="B356" i="6"/>
  <c r="I355" i="6"/>
  <c r="H355" i="6"/>
  <c r="G355" i="6"/>
  <c r="F355" i="6"/>
  <c r="E355" i="6"/>
  <c r="D355" i="6"/>
  <c r="B355" i="6"/>
  <c r="I354" i="6"/>
  <c r="H354" i="6"/>
  <c r="G354" i="6"/>
  <c r="F354" i="6"/>
  <c r="E354" i="6"/>
  <c r="D354" i="6"/>
  <c r="B354" i="6"/>
  <c r="I353" i="6"/>
  <c r="H353" i="6"/>
  <c r="G353" i="6"/>
  <c r="F353" i="6"/>
  <c r="E353" i="6"/>
  <c r="D353" i="6"/>
  <c r="B353" i="6"/>
  <c r="I352" i="6"/>
  <c r="H352" i="6"/>
  <c r="G352" i="6"/>
  <c r="F352" i="6"/>
  <c r="E352" i="6"/>
  <c r="D352" i="6"/>
  <c r="B352" i="6"/>
  <c r="I351" i="6"/>
  <c r="H351" i="6"/>
  <c r="G351" i="6"/>
  <c r="F351" i="6"/>
  <c r="E351" i="6"/>
  <c r="D351" i="6"/>
  <c r="B351" i="6"/>
  <c r="I350" i="6"/>
  <c r="H350" i="6"/>
  <c r="G350" i="6"/>
  <c r="F350" i="6"/>
  <c r="E350" i="6"/>
  <c r="D350" i="6"/>
  <c r="B350" i="6"/>
  <c r="I349" i="6"/>
  <c r="H349" i="6"/>
  <c r="G349" i="6"/>
  <c r="F349" i="6"/>
  <c r="E349" i="6"/>
  <c r="D349" i="6"/>
  <c r="B349" i="6"/>
  <c r="I348" i="6"/>
  <c r="H348" i="6"/>
  <c r="G348" i="6"/>
  <c r="F348" i="6"/>
  <c r="E348" i="6"/>
  <c r="D348" i="6"/>
  <c r="B348" i="6"/>
  <c r="I347" i="6"/>
  <c r="H347" i="6"/>
  <c r="G347" i="6"/>
  <c r="F347" i="6"/>
  <c r="E347" i="6"/>
  <c r="D347" i="6"/>
  <c r="B347" i="6"/>
  <c r="I346" i="6"/>
  <c r="H346" i="6"/>
  <c r="G346" i="6"/>
  <c r="F346" i="6"/>
  <c r="E346" i="6"/>
  <c r="D346" i="6"/>
  <c r="B346" i="6"/>
  <c r="I345" i="6"/>
  <c r="H345" i="6"/>
  <c r="G345" i="6"/>
  <c r="F345" i="6"/>
  <c r="E345" i="6"/>
  <c r="D345" i="6"/>
  <c r="B345" i="6"/>
  <c r="I344" i="6"/>
  <c r="H344" i="6"/>
  <c r="G344" i="6"/>
  <c r="F344" i="6"/>
  <c r="E344" i="6"/>
  <c r="D344" i="6"/>
  <c r="B344" i="6"/>
  <c r="I343" i="6"/>
  <c r="H343" i="6"/>
  <c r="G343" i="6"/>
  <c r="F343" i="6"/>
  <c r="E343" i="6"/>
  <c r="D343" i="6"/>
  <c r="B343" i="6"/>
  <c r="I342" i="6"/>
  <c r="H342" i="6"/>
  <c r="G342" i="6"/>
  <c r="F342" i="6"/>
  <c r="E342" i="6"/>
  <c r="D342" i="6"/>
  <c r="B342" i="6"/>
  <c r="I341" i="6"/>
  <c r="H341" i="6"/>
  <c r="G341" i="6"/>
  <c r="F341" i="6"/>
  <c r="E341" i="6"/>
  <c r="D341" i="6"/>
  <c r="B341" i="6"/>
  <c r="I340" i="6"/>
  <c r="H340" i="6"/>
  <c r="G340" i="6"/>
  <c r="F340" i="6"/>
  <c r="E340" i="6"/>
  <c r="D340" i="6"/>
  <c r="B340" i="6"/>
  <c r="I339" i="6"/>
  <c r="H339" i="6"/>
  <c r="G339" i="6"/>
  <c r="F339" i="6"/>
  <c r="E339" i="6"/>
  <c r="D339" i="6"/>
  <c r="B339" i="6"/>
  <c r="I338" i="6"/>
  <c r="H338" i="6"/>
  <c r="G338" i="6"/>
  <c r="F338" i="6"/>
  <c r="E338" i="6"/>
  <c r="D338" i="6"/>
  <c r="B338" i="6"/>
  <c r="I337" i="6"/>
  <c r="H337" i="6"/>
  <c r="G337" i="6"/>
  <c r="F337" i="6"/>
  <c r="E337" i="6"/>
  <c r="D337" i="6"/>
  <c r="B337" i="6"/>
  <c r="I336" i="6"/>
  <c r="H336" i="6"/>
  <c r="G336" i="6"/>
  <c r="F336" i="6"/>
  <c r="E336" i="6"/>
  <c r="D336" i="6"/>
  <c r="B336" i="6"/>
  <c r="I335" i="6"/>
  <c r="H335" i="6"/>
  <c r="G335" i="6"/>
  <c r="F335" i="6"/>
  <c r="E335" i="6"/>
  <c r="D335" i="6"/>
  <c r="B335" i="6"/>
  <c r="I334" i="6"/>
  <c r="H334" i="6"/>
  <c r="G334" i="6"/>
  <c r="F334" i="6"/>
  <c r="E334" i="6"/>
  <c r="D334" i="6"/>
  <c r="B334" i="6"/>
  <c r="I333" i="6"/>
  <c r="H333" i="6"/>
  <c r="G333" i="6"/>
  <c r="F333" i="6"/>
  <c r="E333" i="6"/>
  <c r="D333" i="6"/>
  <c r="B333" i="6"/>
  <c r="I332" i="6"/>
  <c r="H332" i="6"/>
  <c r="G332" i="6"/>
  <c r="F332" i="6"/>
  <c r="E332" i="6"/>
  <c r="D332" i="6"/>
  <c r="B332" i="6"/>
  <c r="I331" i="6"/>
  <c r="H331" i="6"/>
  <c r="G331" i="6"/>
  <c r="F331" i="6"/>
  <c r="E331" i="6"/>
  <c r="D331" i="6"/>
  <c r="B331" i="6"/>
  <c r="I330" i="6"/>
  <c r="H330" i="6"/>
  <c r="G330" i="6"/>
  <c r="F330" i="6"/>
  <c r="E330" i="6"/>
  <c r="D330" i="6"/>
  <c r="B330" i="6"/>
  <c r="I329" i="6"/>
  <c r="H329" i="6"/>
  <c r="G329" i="6"/>
  <c r="F329" i="6"/>
  <c r="E329" i="6"/>
  <c r="D329" i="6"/>
  <c r="B329" i="6"/>
  <c r="I328" i="6"/>
  <c r="H328" i="6"/>
  <c r="G328" i="6"/>
  <c r="F328" i="6"/>
  <c r="E328" i="6"/>
  <c r="D328" i="6"/>
  <c r="B328" i="6"/>
  <c r="I327" i="6"/>
  <c r="H327" i="6"/>
  <c r="G327" i="6"/>
  <c r="F327" i="6"/>
  <c r="E327" i="6"/>
  <c r="D327" i="6"/>
  <c r="B327" i="6"/>
  <c r="I326" i="6"/>
  <c r="H326" i="6"/>
  <c r="G326" i="6"/>
  <c r="F326" i="6"/>
  <c r="E326" i="6"/>
  <c r="D326" i="6"/>
  <c r="B326" i="6"/>
  <c r="I325" i="6"/>
  <c r="H325" i="6"/>
  <c r="G325" i="6"/>
  <c r="F325" i="6"/>
  <c r="E325" i="6"/>
  <c r="D325" i="6"/>
  <c r="B325" i="6"/>
  <c r="I324" i="6"/>
  <c r="H324" i="6"/>
  <c r="G324" i="6"/>
  <c r="F324" i="6"/>
  <c r="E324" i="6"/>
  <c r="D324" i="6"/>
  <c r="B324" i="6"/>
  <c r="I323" i="6"/>
  <c r="H323" i="6"/>
  <c r="G323" i="6"/>
  <c r="F323" i="6"/>
  <c r="E323" i="6"/>
  <c r="D323" i="6"/>
  <c r="B323" i="6"/>
  <c r="I322" i="6"/>
  <c r="H322" i="6"/>
  <c r="G322" i="6"/>
  <c r="F322" i="6"/>
  <c r="E322" i="6"/>
  <c r="D322" i="6"/>
  <c r="B322" i="6"/>
  <c r="I321" i="6"/>
  <c r="H321" i="6"/>
  <c r="G321" i="6"/>
  <c r="F321" i="6"/>
  <c r="E321" i="6"/>
  <c r="D321" i="6"/>
  <c r="B321" i="6"/>
  <c r="I320" i="6"/>
  <c r="H320" i="6"/>
  <c r="G320" i="6"/>
  <c r="F320" i="6"/>
  <c r="E320" i="6"/>
  <c r="D320" i="6"/>
  <c r="B320" i="6"/>
  <c r="I319" i="6"/>
  <c r="H319" i="6"/>
  <c r="G319" i="6"/>
  <c r="F319" i="6"/>
  <c r="E319" i="6"/>
  <c r="D319" i="6"/>
  <c r="B319" i="6"/>
  <c r="I318" i="6"/>
  <c r="H318" i="6"/>
  <c r="G318" i="6"/>
  <c r="F318" i="6"/>
  <c r="E318" i="6"/>
  <c r="D318" i="6"/>
  <c r="B318" i="6"/>
  <c r="I317" i="6"/>
  <c r="H317" i="6"/>
  <c r="G317" i="6"/>
  <c r="F317" i="6"/>
  <c r="E317" i="6"/>
  <c r="D317" i="6"/>
  <c r="B317" i="6"/>
  <c r="I316" i="6"/>
  <c r="H316" i="6"/>
  <c r="G316" i="6"/>
  <c r="F316" i="6"/>
  <c r="E316" i="6"/>
  <c r="D316" i="6"/>
  <c r="B316" i="6"/>
  <c r="I315" i="6"/>
  <c r="H315" i="6"/>
  <c r="G315" i="6"/>
  <c r="F315" i="6"/>
  <c r="E315" i="6"/>
  <c r="D315" i="6"/>
  <c r="B315" i="6"/>
  <c r="I314" i="6"/>
  <c r="H314" i="6"/>
  <c r="G314" i="6"/>
  <c r="F314" i="6"/>
  <c r="E314" i="6"/>
  <c r="D314" i="6"/>
  <c r="B314" i="6"/>
  <c r="I313" i="6"/>
  <c r="H313" i="6"/>
  <c r="G313" i="6"/>
  <c r="F313" i="6"/>
  <c r="E313" i="6"/>
  <c r="D313" i="6"/>
  <c r="B313" i="6"/>
  <c r="I312" i="6"/>
  <c r="H312" i="6"/>
  <c r="G312" i="6"/>
  <c r="F312" i="6"/>
  <c r="E312" i="6"/>
  <c r="D312" i="6"/>
  <c r="B312" i="6"/>
  <c r="I311" i="6"/>
  <c r="H311" i="6"/>
  <c r="G311" i="6"/>
  <c r="F311" i="6"/>
  <c r="E311" i="6"/>
  <c r="D311" i="6"/>
  <c r="B311" i="6"/>
  <c r="I310" i="6"/>
  <c r="H310" i="6"/>
  <c r="G310" i="6"/>
  <c r="F310" i="6"/>
  <c r="E310" i="6"/>
  <c r="D310" i="6"/>
  <c r="B310" i="6"/>
  <c r="I309" i="6"/>
  <c r="H309" i="6"/>
  <c r="G309" i="6"/>
  <c r="F309" i="6"/>
  <c r="E309" i="6"/>
  <c r="D309" i="6"/>
  <c r="B309" i="6"/>
  <c r="I308" i="6"/>
  <c r="H308" i="6"/>
  <c r="G308" i="6"/>
  <c r="F308" i="6"/>
  <c r="E308" i="6"/>
  <c r="D308" i="6"/>
  <c r="B308" i="6"/>
  <c r="I307" i="6"/>
  <c r="H307" i="6"/>
  <c r="G307" i="6"/>
  <c r="F307" i="6"/>
  <c r="E307" i="6"/>
  <c r="D307" i="6"/>
  <c r="B307" i="6"/>
  <c r="I306" i="6"/>
  <c r="H306" i="6"/>
  <c r="G306" i="6"/>
  <c r="F306" i="6"/>
  <c r="E306" i="6"/>
  <c r="D306" i="6"/>
  <c r="B306" i="6"/>
  <c r="I305" i="6"/>
  <c r="H305" i="6"/>
  <c r="G305" i="6"/>
  <c r="F305" i="6"/>
  <c r="E305" i="6"/>
  <c r="D305" i="6"/>
  <c r="B305" i="6"/>
  <c r="I304" i="6"/>
  <c r="H304" i="6"/>
  <c r="G304" i="6"/>
  <c r="F304" i="6"/>
  <c r="E304" i="6"/>
  <c r="D304" i="6"/>
  <c r="B304" i="6"/>
  <c r="I303" i="6"/>
  <c r="H303" i="6"/>
  <c r="G303" i="6"/>
  <c r="F303" i="6"/>
  <c r="E303" i="6"/>
  <c r="D303" i="6"/>
  <c r="B303" i="6"/>
  <c r="I302" i="6"/>
  <c r="H302" i="6"/>
  <c r="G302" i="6"/>
  <c r="F302" i="6"/>
  <c r="E302" i="6"/>
  <c r="D302" i="6"/>
  <c r="B302" i="6"/>
  <c r="I301" i="6"/>
  <c r="H301" i="6"/>
  <c r="G301" i="6"/>
  <c r="F301" i="6"/>
  <c r="E301" i="6"/>
  <c r="D301" i="6"/>
  <c r="B301" i="6"/>
  <c r="I300" i="6"/>
  <c r="H300" i="6"/>
  <c r="G300" i="6"/>
  <c r="F300" i="6"/>
  <c r="E300" i="6"/>
  <c r="D300" i="6"/>
  <c r="B300" i="6"/>
  <c r="I299" i="6"/>
  <c r="H299" i="6"/>
  <c r="G299" i="6"/>
  <c r="F299" i="6"/>
  <c r="E299" i="6"/>
  <c r="D299" i="6"/>
  <c r="B299" i="6"/>
  <c r="I298" i="6"/>
  <c r="H298" i="6"/>
  <c r="G298" i="6"/>
  <c r="F298" i="6"/>
  <c r="E298" i="6"/>
  <c r="D298" i="6"/>
  <c r="B298" i="6"/>
  <c r="I297" i="6"/>
  <c r="H297" i="6"/>
  <c r="G297" i="6"/>
  <c r="F297" i="6"/>
  <c r="E297" i="6"/>
  <c r="D297" i="6"/>
  <c r="B297" i="6"/>
  <c r="I296" i="6"/>
  <c r="H296" i="6"/>
  <c r="G296" i="6"/>
  <c r="F296" i="6"/>
  <c r="E296" i="6"/>
  <c r="D296" i="6"/>
  <c r="B296" i="6"/>
  <c r="I295" i="6"/>
  <c r="H295" i="6"/>
  <c r="G295" i="6"/>
  <c r="F295" i="6"/>
  <c r="E295" i="6"/>
  <c r="D295" i="6"/>
  <c r="B295" i="6"/>
  <c r="I294" i="6"/>
  <c r="H294" i="6"/>
  <c r="G294" i="6"/>
  <c r="F294" i="6"/>
  <c r="E294" i="6"/>
  <c r="D294" i="6"/>
  <c r="B294" i="6"/>
  <c r="I293" i="6"/>
  <c r="H293" i="6"/>
  <c r="G293" i="6"/>
  <c r="F293" i="6"/>
  <c r="E293" i="6"/>
  <c r="D293" i="6"/>
  <c r="B293" i="6"/>
  <c r="I292" i="6"/>
  <c r="H292" i="6"/>
  <c r="G292" i="6"/>
  <c r="F292" i="6"/>
  <c r="E292" i="6"/>
  <c r="D292" i="6"/>
  <c r="B292" i="6"/>
  <c r="I291" i="6"/>
  <c r="H291" i="6"/>
  <c r="G291" i="6"/>
  <c r="F291" i="6"/>
  <c r="E291" i="6"/>
  <c r="D291" i="6"/>
  <c r="B291" i="6"/>
  <c r="I290" i="6"/>
  <c r="H290" i="6"/>
  <c r="G290" i="6"/>
  <c r="F290" i="6"/>
  <c r="E290" i="6"/>
  <c r="D290" i="6"/>
  <c r="B290" i="6"/>
  <c r="I289" i="6"/>
  <c r="H289" i="6"/>
  <c r="G289" i="6"/>
  <c r="F289" i="6"/>
  <c r="E289" i="6"/>
  <c r="D289" i="6"/>
  <c r="B289" i="6"/>
  <c r="I288" i="6"/>
  <c r="H288" i="6"/>
  <c r="G288" i="6"/>
  <c r="F288" i="6"/>
  <c r="E288" i="6"/>
  <c r="D288" i="6"/>
  <c r="B288" i="6"/>
  <c r="I287" i="6"/>
  <c r="H287" i="6"/>
  <c r="G287" i="6"/>
  <c r="F287" i="6"/>
  <c r="E287" i="6"/>
  <c r="D287" i="6"/>
  <c r="B287" i="6"/>
  <c r="I286" i="6"/>
  <c r="H286" i="6"/>
  <c r="G286" i="6"/>
  <c r="F286" i="6"/>
  <c r="E286" i="6"/>
  <c r="D286" i="6"/>
  <c r="B286" i="6"/>
  <c r="I285" i="6"/>
  <c r="H285" i="6"/>
  <c r="G285" i="6"/>
  <c r="F285" i="6"/>
  <c r="E285" i="6"/>
  <c r="D285" i="6"/>
  <c r="B285" i="6"/>
  <c r="I284" i="6"/>
  <c r="H284" i="6"/>
  <c r="G284" i="6"/>
  <c r="F284" i="6"/>
  <c r="E284" i="6"/>
  <c r="D284" i="6"/>
  <c r="B284" i="6"/>
  <c r="I283" i="6"/>
  <c r="H283" i="6"/>
  <c r="G283" i="6"/>
  <c r="F283" i="6"/>
  <c r="E283" i="6"/>
  <c r="D283" i="6"/>
  <c r="B283" i="6"/>
  <c r="I282" i="6"/>
  <c r="H282" i="6"/>
  <c r="G282" i="6"/>
  <c r="F282" i="6"/>
  <c r="E282" i="6"/>
  <c r="D282" i="6"/>
  <c r="B282" i="6"/>
  <c r="I281" i="6"/>
  <c r="H281" i="6"/>
  <c r="G281" i="6"/>
  <c r="F281" i="6"/>
  <c r="E281" i="6"/>
  <c r="D281" i="6"/>
  <c r="B281" i="6"/>
  <c r="I280" i="6"/>
  <c r="H280" i="6"/>
  <c r="G280" i="6"/>
  <c r="F280" i="6"/>
  <c r="E280" i="6"/>
  <c r="D280" i="6"/>
  <c r="B280" i="6"/>
  <c r="I279" i="6"/>
  <c r="H279" i="6"/>
  <c r="G279" i="6"/>
  <c r="F279" i="6"/>
  <c r="E279" i="6"/>
  <c r="D279" i="6"/>
  <c r="B279" i="6"/>
  <c r="I278" i="6"/>
  <c r="H278" i="6"/>
  <c r="G278" i="6"/>
  <c r="F278" i="6"/>
  <c r="E278" i="6"/>
  <c r="D278" i="6"/>
  <c r="B278" i="6"/>
  <c r="I277" i="6"/>
  <c r="H277" i="6"/>
  <c r="G277" i="6"/>
  <c r="F277" i="6"/>
  <c r="E277" i="6"/>
  <c r="D277" i="6"/>
  <c r="B277" i="6"/>
  <c r="I276" i="6"/>
  <c r="H276" i="6"/>
  <c r="G276" i="6"/>
  <c r="F276" i="6"/>
  <c r="E276" i="6"/>
  <c r="D276" i="6"/>
  <c r="B276" i="6"/>
  <c r="I275" i="6"/>
  <c r="H275" i="6"/>
  <c r="G275" i="6"/>
  <c r="F275" i="6"/>
  <c r="E275" i="6"/>
  <c r="D275" i="6"/>
  <c r="B275" i="6"/>
  <c r="I274" i="6"/>
  <c r="H274" i="6"/>
  <c r="G274" i="6"/>
  <c r="F274" i="6"/>
  <c r="E274" i="6"/>
  <c r="D274" i="6"/>
  <c r="B274" i="6"/>
  <c r="I273" i="6"/>
  <c r="H273" i="6"/>
  <c r="G273" i="6"/>
  <c r="F273" i="6"/>
  <c r="E273" i="6"/>
  <c r="D273" i="6"/>
  <c r="B273" i="6"/>
  <c r="I272" i="6"/>
  <c r="H272" i="6"/>
  <c r="G272" i="6"/>
  <c r="F272" i="6"/>
  <c r="E272" i="6"/>
  <c r="D272" i="6"/>
  <c r="B272" i="6"/>
  <c r="I271" i="6"/>
  <c r="H271" i="6"/>
  <c r="G271" i="6"/>
  <c r="F271" i="6"/>
  <c r="E271" i="6"/>
  <c r="D271" i="6"/>
  <c r="B271" i="6"/>
  <c r="I270" i="6"/>
  <c r="H270" i="6"/>
  <c r="G270" i="6"/>
  <c r="F270" i="6"/>
  <c r="E270" i="6"/>
  <c r="D270" i="6"/>
  <c r="B270" i="6"/>
  <c r="I269" i="6"/>
  <c r="H269" i="6"/>
  <c r="G269" i="6"/>
  <c r="F269" i="6"/>
  <c r="E269" i="6"/>
  <c r="D269" i="6"/>
  <c r="B269" i="6"/>
  <c r="I268" i="6"/>
  <c r="H268" i="6"/>
  <c r="G268" i="6"/>
  <c r="F268" i="6"/>
  <c r="E268" i="6"/>
  <c r="D268" i="6"/>
  <c r="B268" i="6"/>
  <c r="I267" i="6"/>
  <c r="H267" i="6"/>
  <c r="G267" i="6"/>
  <c r="F267" i="6"/>
  <c r="E267" i="6"/>
  <c r="D267" i="6"/>
  <c r="B267" i="6"/>
  <c r="I266" i="6"/>
  <c r="H266" i="6"/>
  <c r="G266" i="6"/>
  <c r="F266" i="6"/>
  <c r="E266" i="6"/>
  <c r="D266" i="6"/>
  <c r="B266" i="6"/>
  <c r="I265" i="6"/>
  <c r="H265" i="6"/>
  <c r="G265" i="6"/>
  <c r="F265" i="6"/>
  <c r="E265" i="6"/>
  <c r="D265" i="6"/>
  <c r="B265" i="6"/>
  <c r="I264" i="6"/>
  <c r="H264" i="6"/>
  <c r="G264" i="6"/>
  <c r="F264" i="6"/>
  <c r="E264" i="6"/>
  <c r="D264" i="6"/>
  <c r="B264" i="6"/>
  <c r="I263" i="6"/>
  <c r="H263" i="6"/>
  <c r="G263" i="6"/>
  <c r="F263" i="6"/>
  <c r="E263" i="6"/>
  <c r="D263" i="6"/>
  <c r="B263" i="6"/>
  <c r="I262" i="6"/>
  <c r="H262" i="6"/>
  <c r="G262" i="6"/>
  <c r="F262" i="6"/>
  <c r="E262" i="6"/>
  <c r="D262" i="6"/>
  <c r="B262" i="6"/>
  <c r="I261" i="6"/>
  <c r="H261" i="6"/>
  <c r="G261" i="6"/>
  <c r="F261" i="6"/>
  <c r="E261" i="6"/>
  <c r="D261" i="6"/>
  <c r="B261" i="6"/>
  <c r="I260" i="6"/>
  <c r="H260" i="6"/>
  <c r="G260" i="6"/>
  <c r="F260" i="6"/>
  <c r="E260" i="6"/>
  <c r="D260" i="6"/>
  <c r="B260" i="6"/>
  <c r="I259" i="6"/>
  <c r="H259" i="6"/>
  <c r="G259" i="6"/>
  <c r="F259" i="6"/>
  <c r="E259" i="6"/>
  <c r="D259" i="6"/>
  <c r="B259" i="6"/>
  <c r="I258" i="6"/>
  <c r="H258" i="6"/>
  <c r="G258" i="6"/>
  <c r="F258" i="6"/>
  <c r="E258" i="6"/>
  <c r="D258" i="6"/>
  <c r="B258" i="6"/>
  <c r="I257" i="6"/>
  <c r="H257" i="6"/>
  <c r="G257" i="6"/>
  <c r="F257" i="6"/>
  <c r="E257" i="6"/>
  <c r="D257" i="6"/>
  <c r="B257" i="6"/>
  <c r="I256" i="6"/>
  <c r="H256" i="6"/>
  <c r="G256" i="6"/>
  <c r="F256" i="6"/>
  <c r="E256" i="6"/>
  <c r="D256" i="6"/>
  <c r="B256" i="6"/>
  <c r="I255" i="6"/>
  <c r="H255" i="6"/>
  <c r="G255" i="6"/>
  <c r="F255" i="6"/>
  <c r="E255" i="6"/>
  <c r="D255" i="6"/>
  <c r="B255" i="6"/>
  <c r="I254" i="6"/>
  <c r="H254" i="6"/>
  <c r="G254" i="6"/>
  <c r="F254" i="6"/>
  <c r="E254" i="6"/>
  <c r="D254" i="6"/>
  <c r="B254" i="6"/>
  <c r="I253" i="6"/>
  <c r="H253" i="6"/>
  <c r="G253" i="6"/>
  <c r="F253" i="6"/>
  <c r="E253" i="6"/>
  <c r="D253" i="6"/>
  <c r="B253" i="6"/>
  <c r="I252" i="6"/>
  <c r="H252" i="6"/>
  <c r="G252" i="6"/>
  <c r="F252" i="6"/>
  <c r="E252" i="6"/>
  <c r="D252" i="6"/>
  <c r="B252" i="6"/>
  <c r="I251" i="6"/>
  <c r="H251" i="6"/>
  <c r="G251" i="6"/>
  <c r="F251" i="6"/>
  <c r="E251" i="6"/>
  <c r="D251" i="6"/>
  <c r="B251" i="6"/>
  <c r="I250" i="6"/>
  <c r="H250" i="6"/>
  <c r="G250" i="6"/>
  <c r="F250" i="6"/>
  <c r="E250" i="6"/>
  <c r="D250" i="6"/>
  <c r="B250" i="6"/>
  <c r="I249" i="6"/>
  <c r="H249" i="6"/>
  <c r="G249" i="6"/>
  <c r="F249" i="6"/>
  <c r="E249" i="6"/>
  <c r="D249" i="6"/>
  <c r="B249" i="6"/>
  <c r="I248" i="6"/>
  <c r="H248" i="6"/>
  <c r="G248" i="6"/>
  <c r="F248" i="6"/>
  <c r="E248" i="6"/>
  <c r="D248" i="6"/>
  <c r="B248" i="6"/>
  <c r="I247" i="6"/>
  <c r="H247" i="6"/>
  <c r="G247" i="6"/>
  <c r="F247" i="6"/>
  <c r="E247" i="6"/>
  <c r="D247" i="6"/>
  <c r="B247" i="6"/>
  <c r="I246" i="6"/>
  <c r="H246" i="6"/>
  <c r="G246" i="6"/>
  <c r="F246" i="6"/>
  <c r="E246" i="6"/>
  <c r="D246" i="6"/>
  <c r="B246" i="6"/>
  <c r="I245" i="6"/>
  <c r="H245" i="6"/>
  <c r="G245" i="6"/>
  <c r="F245" i="6"/>
  <c r="E245" i="6"/>
  <c r="D245" i="6"/>
  <c r="B245" i="6"/>
  <c r="I244" i="6"/>
  <c r="H244" i="6"/>
  <c r="G244" i="6"/>
  <c r="F244" i="6"/>
  <c r="E244" i="6"/>
  <c r="D244" i="6"/>
  <c r="B244" i="6"/>
  <c r="I243" i="6"/>
  <c r="H243" i="6"/>
  <c r="G243" i="6"/>
  <c r="F243" i="6"/>
  <c r="E243" i="6"/>
  <c r="D243" i="6"/>
  <c r="B243" i="6"/>
  <c r="I242" i="6"/>
  <c r="H242" i="6"/>
  <c r="G242" i="6"/>
  <c r="F242" i="6"/>
  <c r="E242" i="6"/>
  <c r="D242" i="6"/>
  <c r="B242" i="6"/>
  <c r="I241" i="6"/>
  <c r="H241" i="6"/>
  <c r="G241" i="6"/>
  <c r="F241" i="6"/>
  <c r="E241" i="6"/>
  <c r="D241" i="6"/>
  <c r="B241" i="6"/>
  <c r="I240" i="6"/>
  <c r="H240" i="6"/>
  <c r="G240" i="6"/>
  <c r="F240" i="6"/>
  <c r="E240" i="6"/>
  <c r="D240" i="6"/>
  <c r="B240" i="6"/>
  <c r="I239" i="6"/>
  <c r="H239" i="6"/>
  <c r="G239" i="6"/>
  <c r="F239" i="6"/>
  <c r="E239" i="6"/>
  <c r="D239" i="6"/>
  <c r="B239" i="6"/>
  <c r="I238" i="6"/>
  <c r="H238" i="6"/>
  <c r="G238" i="6"/>
  <c r="F238" i="6"/>
  <c r="E238" i="6"/>
  <c r="D238" i="6"/>
  <c r="B238" i="6"/>
  <c r="I237" i="6"/>
  <c r="H237" i="6"/>
  <c r="G237" i="6"/>
  <c r="F237" i="6"/>
  <c r="E237" i="6"/>
  <c r="D237" i="6"/>
  <c r="B237" i="6"/>
  <c r="I236" i="6"/>
  <c r="H236" i="6"/>
  <c r="G236" i="6"/>
  <c r="F236" i="6"/>
  <c r="E236" i="6"/>
  <c r="D236" i="6"/>
  <c r="B236" i="6"/>
  <c r="I235" i="6"/>
  <c r="H235" i="6"/>
  <c r="G235" i="6"/>
  <c r="F235" i="6"/>
  <c r="E235" i="6"/>
  <c r="D235" i="6"/>
  <c r="B235" i="6"/>
  <c r="I234" i="6"/>
  <c r="H234" i="6"/>
  <c r="G234" i="6"/>
  <c r="F234" i="6"/>
  <c r="E234" i="6"/>
  <c r="D234" i="6"/>
  <c r="B234" i="6"/>
  <c r="I233" i="6"/>
  <c r="H233" i="6"/>
  <c r="G233" i="6"/>
  <c r="F233" i="6"/>
  <c r="E233" i="6"/>
  <c r="D233" i="6"/>
  <c r="B233" i="6"/>
  <c r="I232" i="6"/>
  <c r="H232" i="6"/>
  <c r="G232" i="6"/>
  <c r="F232" i="6"/>
  <c r="E232" i="6"/>
  <c r="D232" i="6"/>
  <c r="B232" i="6"/>
  <c r="I231" i="6"/>
  <c r="H231" i="6"/>
  <c r="G231" i="6"/>
  <c r="F231" i="6"/>
  <c r="E231" i="6"/>
  <c r="D231" i="6"/>
  <c r="B231" i="6"/>
  <c r="I230" i="6"/>
  <c r="H230" i="6"/>
  <c r="G230" i="6"/>
  <c r="F230" i="6"/>
  <c r="E230" i="6"/>
  <c r="D230" i="6"/>
  <c r="B230" i="6"/>
  <c r="I229" i="6"/>
  <c r="H229" i="6"/>
  <c r="G229" i="6"/>
  <c r="F229" i="6"/>
  <c r="E229" i="6"/>
  <c r="D229" i="6"/>
  <c r="B229" i="6"/>
  <c r="I228" i="6"/>
  <c r="H228" i="6"/>
  <c r="G228" i="6"/>
  <c r="F228" i="6"/>
  <c r="E228" i="6"/>
  <c r="D228" i="6"/>
  <c r="B228" i="6"/>
  <c r="I227" i="6"/>
  <c r="H227" i="6"/>
  <c r="G227" i="6"/>
  <c r="F227" i="6"/>
  <c r="E227" i="6"/>
  <c r="D227" i="6"/>
  <c r="B227" i="6"/>
  <c r="I226" i="6"/>
  <c r="H226" i="6"/>
  <c r="G226" i="6"/>
  <c r="F226" i="6"/>
  <c r="E226" i="6"/>
  <c r="D226" i="6"/>
  <c r="B226" i="6"/>
  <c r="I225" i="6"/>
  <c r="H225" i="6"/>
  <c r="G225" i="6"/>
  <c r="F225" i="6"/>
  <c r="E225" i="6"/>
  <c r="D225" i="6"/>
  <c r="B225" i="6"/>
  <c r="I224" i="6"/>
  <c r="H224" i="6"/>
  <c r="G224" i="6"/>
  <c r="F224" i="6"/>
  <c r="E224" i="6"/>
  <c r="D224" i="6"/>
  <c r="B224" i="6"/>
  <c r="I223" i="6"/>
  <c r="H223" i="6"/>
  <c r="G223" i="6"/>
  <c r="F223" i="6"/>
  <c r="E223" i="6"/>
  <c r="D223" i="6"/>
  <c r="B223" i="6"/>
  <c r="I222" i="6"/>
  <c r="H222" i="6"/>
  <c r="G222" i="6"/>
  <c r="F222" i="6"/>
  <c r="E222" i="6"/>
  <c r="D222" i="6"/>
  <c r="B222" i="6"/>
  <c r="I221" i="6"/>
  <c r="H221" i="6"/>
  <c r="G221" i="6"/>
  <c r="F221" i="6"/>
  <c r="E221" i="6"/>
  <c r="D221" i="6"/>
  <c r="B221" i="6"/>
  <c r="I220" i="6"/>
  <c r="H220" i="6"/>
  <c r="G220" i="6"/>
  <c r="F220" i="6"/>
  <c r="E220" i="6"/>
  <c r="D220" i="6"/>
  <c r="B220" i="6"/>
  <c r="I219" i="6"/>
  <c r="H219" i="6"/>
  <c r="G219" i="6"/>
  <c r="F219" i="6"/>
  <c r="E219" i="6"/>
  <c r="D219" i="6"/>
  <c r="B219" i="6"/>
  <c r="I218" i="6"/>
  <c r="H218" i="6"/>
  <c r="G218" i="6"/>
  <c r="F218" i="6"/>
  <c r="E218" i="6"/>
  <c r="D218" i="6"/>
  <c r="B218" i="6"/>
  <c r="I217" i="6"/>
  <c r="H217" i="6"/>
  <c r="G217" i="6"/>
  <c r="F217" i="6"/>
  <c r="E217" i="6"/>
  <c r="D217" i="6"/>
  <c r="B217" i="6"/>
  <c r="I216" i="6"/>
  <c r="H216" i="6"/>
  <c r="G216" i="6"/>
  <c r="F216" i="6"/>
  <c r="E216" i="6"/>
  <c r="D216" i="6"/>
  <c r="B216" i="6"/>
  <c r="I215" i="6"/>
  <c r="H215" i="6"/>
  <c r="G215" i="6"/>
  <c r="F215" i="6"/>
  <c r="E215" i="6"/>
  <c r="D215" i="6"/>
  <c r="B215" i="6"/>
  <c r="I214" i="6"/>
  <c r="H214" i="6"/>
  <c r="G214" i="6"/>
  <c r="F214" i="6"/>
  <c r="E214" i="6"/>
  <c r="D214" i="6"/>
  <c r="B214" i="6"/>
  <c r="I213" i="6"/>
  <c r="H213" i="6"/>
  <c r="G213" i="6"/>
  <c r="F213" i="6"/>
  <c r="E213" i="6"/>
  <c r="D213" i="6"/>
  <c r="B213" i="6"/>
  <c r="I212" i="6"/>
  <c r="H212" i="6"/>
  <c r="G212" i="6"/>
  <c r="F212" i="6"/>
  <c r="E212" i="6"/>
  <c r="D212" i="6"/>
  <c r="B212" i="6"/>
  <c r="I211" i="6"/>
  <c r="H211" i="6"/>
  <c r="G211" i="6"/>
  <c r="F211" i="6"/>
  <c r="E211" i="6"/>
  <c r="D211" i="6"/>
  <c r="B211" i="6"/>
  <c r="I210" i="6"/>
  <c r="H210" i="6"/>
  <c r="G210" i="6"/>
  <c r="F210" i="6"/>
  <c r="E210" i="6"/>
  <c r="D210" i="6"/>
  <c r="B210" i="6"/>
  <c r="I209" i="6"/>
  <c r="H209" i="6"/>
  <c r="G209" i="6"/>
  <c r="F209" i="6"/>
  <c r="E209" i="6"/>
  <c r="D209" i="6"/>
  <c r="B209" i="6"/>
  <c r="I208" i="6"/>
  <c r="H208" i="6"/>
  <c r="G208" i="6"/>
  <c r="F208" i="6"/>
  <c r="E208" i="6"/>
  <c r="D208" i="6"/>
  <c r="B208" i="6"/>
  <c r="I207" i="6"/>
  <c r="H207" i="6"/>
  <c r="G207" i="6"/>
  <c r="F207" i="6"/>
  <c r="E207" i="6"/>
  <c r="D207" i="6"/>
  <c r="B207" i="6"/>
  <c r="I206" i="6"/>
  <c r="H206" i="6"/>
  <c r="G206" i="6"/>
  <c r="F206" i="6"/>
  <c r="E206" i="6"/>
  <c r="D206" i="6"/>
  <c r="B206" i="6"/>
  <c r="I205" i="6"/>
  <c r="H205" i="6"/>
  <c r="G205" i="6"/>
  <c r="F205" i="6"/>
  <c r="E205" i="6"/>
  <c r="D205" i="6"/>
  <c r="B205" i="6"/>
  <c r="I204" i="6"/>
  <c r="H204" i="6"/>
  <c r="G204" i="6"/>
  <c r="F204" i="6"/>
  <c r="E204" i="6"/>
  <c r="D204" i="6"/>
  <c r="B204" i="6"/>
  <c r="I203" i="6"/>
  <c r="H203" i="6"/>
  <c r="G203" i="6"/>
  <c r="F203" i="6"/>
  <c r="E203" i="6"/>
  <c r="D203" i="6"/>
  <c r="B203" i="6"/>
  <c r="I202" i="6"/>
  <c r="H202" i="6"/>
  <c r="G202" i="6"/>
  <c r="F202" i="6"/>
  <c r="E202" i="6"/>
  <c r="D202" i="6"/>
  <c r="B202" i="6"/>
  <c r="I201" i="6"/>
  <c r="H201" i="6"/>
  <c r="G201" i="6"/>
  <c r="F201" i="6"/>
  <c r="E201" i="6"/>
  <c r="D201" i="6"/>
  <c r="B201" i="6"/>
  <c r="I200" i="6"/>
  <c r="H200" i="6"/>
  <c r="G200" i="6"/>
  <c r="F200" i="6"/>
  <c r="E200" i="6"/>
  <c r="D200" i="6"/>
  <c r="B200" i="6"/>
  <c r="I199" i="6"/>
  <c r="H199" i="6"/>
  <c r="G199" i="6"/>
  <c r="F199" i="6"/>
  <c r="E199" i="6"/>
  <c r="D199" i="6"/>
  <c r="B199" i="6"/>
  <c r="I198" i="6"/>
  <c r="H198" i="6"/>
  <c r="G198" i="6"/>
  <c r="F198" i="6"/>
  <c r="E198" i="6"/>
  <c r="D198" i="6"/>
  <c r="B198" i="6"/>
  <c r="I197" i="6"/>
  <c r="H197" i="6"/>
  <c r="G197" i="6"/>
  <c r="F197" i="6"/>
  <c r="E197" i="6"/>
  <c r="D197" i="6"/>
  <c r="B197" i="6"/>
  <c r="I196" i="6"/>
  <c r="H196" i="6"/>
  <c r="G196" i="6"/>
  <c r="F196" i="6"/>
  <c r="E196" i="6"/>
  <c r="D196" i="6"/>
  <c r="B196" i="6"/>
  <c r="I195" i="6"/>
  <c r="H195" i="6"/>
  <c r="G195" i="6"/>
  <c r="F195" i="6"/>
  <c r="E195" i="6"/>
  <c r="D195" i="6"/>
  <c r="B195" i="6"/>
  <c r="I194" i="6"/>
  <c r="H194" i="6"/>
  <c r="G194" i="6"/>
  <c r="F194" i="6"/>
  <c r="E194" i="6"/>
  <c r="D194" i="6"/>
  <c r="B194" i="6"/>
  <c r="I193" i="6"/>
  <c r="H193" i="6"/>
  <c r="G193" i="6"/>
  <c r="F193" i="6"/>
  <c r="E193" i="6"/>
  <c r="D193" i="6"/>
  <c r="B193" i="6"/>
  <c r="I192" i="6"/>
  <c r="H192" i="6"/>
  <c r="G192" i="6"/>
  <c r="F192" i="6"/>
  <c r="E192" i="6"/>
  <c r="D192" i="6"/>
  <c r="B192" i="6"/>
  <c r="I191" i="6"/>
  <c r="H191" i="6"/>
  <c r="G191" i="6"/>
  <c r="F191" i="6"/>
  <c r="E191" i="6"/>
  <c r="D191" i="6"/>
  <c r="B191" i="6"/>
  <c r="I190" i="6"/>
  <c r="H190" i="6"/>
  <c r="G190" i="6"/>
  <c r="F190" i="6"/>
  <c r="E190" i="6"/>
  <c r="D190" i="6"/>
  <c r="B190" i="6"/>
  <c r="I189" i="6"/>
  <c r="H189" i="6"/>
  <c r="G189" i="6"/>
  <c r="F189" i="6"/>
  <c r="E189" i="6"/>
  <c r="D189" i="6"/>
  <c r="B189" i="6"/>
  <c r="I188" i="6"/>
  <c r="H188" i="6"/>
  <c r="G188" i="6"/>
  <c r="F188" i="6"/>
  <c r="E188" i="6"/>
  <c r="D188" i="6"/>
  <c r="B188" i="6"/>
  <c r="I187" i="6"/>
  <c r="H187" i="6"/>
  <c r="G187" i="6"/>
  <c r="F187" i="6"/>
  <c r="E187" i="6"/>
  <c r="D187" i="6"/>
  <c r="B187" i="6"/>
  <c r="I186" i="6"/>
  <c r="H186" i="6"/>
  <c r="G186" i="6"/>
  <c r="F186" i="6"/>
  <c r="E186" i="6"/>
  <c r="D186" i="6"/>
  <c r="B186" i="6"/>
  <c r="I185" i="6"/>
  <c r="H185" i="6"/>
  <c r="G185" i="6"/>
  <c r="F185" i="6"/>
  <c r="E185" i="6"/>
  <c r="D185" i="6"/>
  <c r="B185" i="6"/>
  <c r="I184" i="6"/>
  <c r="H184" i="6"/>
  <c r="G184" i="6"/>
  <c r="F184" i="6"/>
  <c r="E184" i="6"/>
  <c r="D184" i="6"/>
  <c r="B184" i="6"/>
  <c r="I183" i="6"/>
  <c r="H183" i="6"/>
  <c r="G183" i="6"/>
  <c r="F183" i="6"/>
  <c r="E183" i="6"/>
  <c r="D183" i="6"/>
  <c r="B183" i="6"/>
  <c r="I182" i="6"/>
  <c r="H182" i="6"/>
  <c r="G182" i="6"/>
  <c r="F182" i="6"/>
  <c r="E182" i="6"/>
  <c r="D182" i="6"/>
  <c r="B182" i="6"/>
  <c r="I181" i="6"/>
  <c r="H181" i="6"/>
  <c r="G181" i="6"/>
  <c r="F181" i="6"/>
  <c r="E181" i="6"/>
  <c r="D181" i="6"/>
  <c r="B181" i="6"/>
  <c r="I180" i="6"/>
  <c r="H180" i="6"/>
  <c r="G180" i="6"/>
  <c r="F180" i="6"/>
  <c r="E180" i="6"/>
  <c r="D180" i="6"/>
  <c r="B180" i="6"/>
  <c r="I179" i="6"/>
  <c r="H179" i="6"/>
  <c r="G179" i="6"/>
  <c r="F179" i="6"/>
  <c r="E179" i="6"/>
  <c r="D179" i="6"/>
  <c r="B179" i="6"/>
  <c r="I178" i="6"/>
  <c r="H178" i="6"/>
  <c r="G178" i="6"/>
  <c r="F178" i="6"/>
  <c r="E178" i="6"/>
  <c r="D178" i="6"/>
  <c r="B178" i="6"/>
  <c r="I177" i="6"/>
  <c r="H177" i="6"/>
  <c r="G177" i="6"/>
  <c r="F177" i="6"/>
  <c r="E177" i="6"/>
  <c r="D177" i="6"/>
  <c r="B177" i="6"/>
  <c r="I176" i="6"/>
  <c r="H176" i="6"/>
  <c r="G176" i="6"/>
  <c r="F176" i="6"/>
  <c r="E176" i="6"/>
  <c r="D176" i="6"/>
  <c r="B176" i="6"/>
  <c r="I175" i="6"/>
  <c r="H175" i="6"/>
  <c r="G175" i="6"/>
  <c r="F175" i="6"/>
  <c r="E175" i="6"/>
  <c r="D175" i="6"/>
  <c r="B175" i="6"/>
  <c r="I174" i="6"/>
  <c r="H174" i="6"/>
  <c r="G174" i="6"/>
  <c r="F174" i="6"/>
  <c r="E174" i="6"/>
  <c r="D174" i="6"/>
  <c r="B174" i="6"/>
  <c r="I173" i="6"/>
  <c r="H173" i="6"/>
  <c r="G173" i="6"/>
  <c r="F173" i="6"/>
  <c r="E173" i="6"/>
  <c r="D173" i="6"/>
  <c r="B173" i="6"/>
  <c r="I172" i="6"/>
  <c r="H172" i="6"/>
  <c r="G172" i="6"/>
  <c r="F172" i="6"/>
  <c r="E172" i="6"/>
  <c r="D172" i="6"/>
  <c r="B172" i="6"/>
  <c r="I171" i="6"/>
  <c r="H171" i="6"/>
  <c r="G171" i="6"/>
  <c r="F171" i="6"/>
  <c r="E171" i="6"/>
  <c r="D171" i="6"/>
  <c r="B171" i="6"/>
  <c r="I170" i="6"/>
  <c r="H170" i="6"/>
  <c r="G170" i="6"/>
  <c r="F170" i="6"/>
  <c r="E170" i="6"/>
  <c r="D170" i="6"/>
  <c r="B170" i="6"/>
  <c r="I169" i="6"/>
  <c r="H169" i="6"/>
  <c r="G169" i="6"/>
  <c r="F169" i="6"/>
  <c r="E169" i="6"/>
  <c r="D169" i="6"/>
  <c r="B169" i="6"/>
  <c r="I168" i="6"/>
  <c r="H168" i="6"/>
  <c r="G168" i="6"/>
  <c r="F168" i="6"/>
  <c r="E168" i="6"/>
  <c r="D168" i="6"/>
  <c r="B168" i="6"/>
  <c r="I167" i="6"/>
  <c r="H167" i="6"/>
  <c r="G167" i="6"/>
  <c r="F167" i="6"/>
  <c r="E167" i="6"/>
  <c r="D167" i="6"/>
  <c r="B167" i="6"/>
  <c r="I166" i="6"/>
  <c r="H166" i="6"/>
  <c r="G166" i="6"/>
  <c r="F166" i="6"/>
  <c r="E166" i="6"/>
  <c r="D166" i="6"/>
  <c r="B166" i="6"/>
  <c r="I165" i="6"/>
  <c r="H165" i="6"/>
  <c r="G165" i="6"/>
  <c r="F165" i="6"/>
  <c r="E165" i="6"/>
  <c r="D165" i="6"/>
  <c r="B165" i="6"/>
  <c r="I164" i="6"/>
  <c r="H164" i="6"/>
  <c r="G164" i="6"/>
  <c r="F164" i="6"/>
  <c r="E164" i="6"/>
  <c r="D164" i="6"/>
  <c r="B164" i="6"/>
  <c r="I163" i="6"/>
  <c r="H163" i="6"/>
  <c r="G163" i="6"/>
  <c r="F163" i="6"/>
  <c r="E163" i="6"/>
  <c r="D163" i="6"/>
  <c r="B163" i="6"/>
  <c r="I162" i="6"/>
  <c r="H162" i="6"/>
  <c r="G162" i="6"/>
  <c r="F162" i="6"/>
  <c r="E162" i="6"/>
  <c r="D162" i="6"/>
  <c r="B162" i="6"/>
  <c r="I161" i="6"/>
  <c r="H161" i="6"/>
  <c r="G161" i="6"/>
  <c r="F161" i="6"/>
  <c r="E161" i="6"/>
  <c r="D161" i="6"/>
  <c r="B161" i="6"/>
  <c r="I160" i="6"/>
  <c r="H160" i="6"/>
  <c r="G160" i="6"/>
  <c r="F160" i="6"/>
  <c r="E160" i="6"/>
  <c r="D160" i="6"/>
  <c r="B160" i="6"/>
  <c r="I159" i="6"/>
  <c r="H159" i="6"/>
  <c r="G159" i="6"/>
  <c r="F159" i="6"/>
  <c r="E159" i="6"/>
  <c r="D159" i="6"/>
  <c r="B159" i="6"/>
  <c r="I158" i="6"/>
  <c r="H158" i="6"/>
  <c r="G158" i="6"/>
  <c r="F158" i="6"/>
  <c r="E158" i="6"/>
  <c r="D158" i="6"/>
  <c r="B158" i="6"/>
  <c r="I157" i="6"/>
  <c r="H157" i="6"/>
  <c r="G157" i="6"/>
  <c r="F157" i="6"/>
  <c r="E157" i="6"/>
  <c r="D157" i="6"/>
  <c r="B157" i="6"/>
  <c r="I156" i="6"/>
  <c r="H156" i="6"/>
  <c r="G156" i="6"/>
  <c r="F156" i="6"/>
  <c r="E156" i="6"/>
  <c r="D156" i="6"/>
  <c r="B156" i="6"/>
  <c r="I155" i="6"/>
  <c r="H155" i="6"/>
  <c r="G155" i="6"/>
  <c r="F155" i="6"/>
  <c r="E155" i="6"/>
  <c r="D155" i="6"/>
  <c r="B155" i="6"/>
  <c r="I154" i="6"/>
  <c r="H154" i="6"/>
  <c r="G154" i="6"/>
  <c r="F154" i="6"/>
  <c r="E154" i="6"/>
  <c r="D154" i="6"/>
  <c r="B154" i="6"/>
  <c r="I153" i="6"/>
  <c r="H153" i="6"/>
  <c r="G153" i="6"/>
  <c r="F153" i="6"/>
  <c r="E153" i="6"/>
  <c r="D153" i="6"/>
  <c r="B153" i="6"/>
  <c r="I152" i="6"/>
  <c r="H152" i="6"/>
  <c r="G152" i="6"/>
  <c r="F152" i="6"/>
  <c r="E152" i="6"/>
  <c r="D152" i="6"/>
  <c r="B152" i="6"/>
  <c r="I151" i="6"/>
  <c r="H151" i="6"/>
  <c r="G151" i="6"/>
  <c r="F151" i="6"/>
  <c r="E151" i="6"/>
  <c r="D151" i="6"/>
  <c r="B151" i="6"/>
  <c r="I150" i="6"/>
  <c r="H150" i="6"/>
  <c r="G150" i="6"/>
  <c r="F150" i="6"/>
  <c r="E150" i="6"/>
  <c r="D150" i="6"/>
  <c r="B150" i="6"/>
  <c r="I149" i="6"/>
  <c r="H149" i="6"/>
  <c r="G149" i="6"/>
  <c r="F149" i="6"/>
  <c r="E149" i="6"/>
  <c r="D149" i="6"/>
  <c r="B149" i="6"/>
  <c r="I148" i="6"/>
  <c r="H148" i="6"/>
  <c r="G148" i="6"/>
  <c r="F148" i="6"/>
  <c r="E148" i="6"/>
  <c r="D148" i="6"/>
  <c r="B148" i="6"/>
  <c r="I147" i="6"/>
  <c r="H147" i="6"/>
  <c r="G147" i="6"/>
  <c r="F147" i="6"/>
  <c r="E147" i="6"/>
  <c r="D147" i="6"/>
  <c r="B147" i="6"/>
  <c r="I146" i="6"/>
  <c r="H146" i="6"/>
  <c r="G146" i="6"/>
  <c r="F146" i="6"/>
  <c r="E146" i="6"/>
  <c r="D146" i="6"/>
  <c r="B146" i="6"/>
  <c r="I145" i="6"/>
  <c r="H145" i="6"/>
  <c r="G145" i="6"/>
  <c r="F145" i="6"/>
  <c r="E145" i="6"/>
  <c r="D145" i="6"/>
  <c r="B145" i="6"/>
  <c r="I144" i="6"/>
  <c r="H144" i="6"/>
  <c r="G144" i="6"/>
  <c r="F144" i="6"/>
  <c r="E144" i="6"/>
  <c r="D144" i="6"/>
  <c r="B144" i="6"/>
  <c r="I143" i="6"/>
  <c r="H143" i="6"/>
  <c r="G143" i="6"/>
  <c r="F143" i="6"/>
  <c r="E143" i="6"/>
  <c r="D143" i="6"/>
  <c r="B143" i="6"/>
  <c r="I142" i="6"/>
  <c r="H142" i="6"/>
  <c r="G142" i="6"/>
  <c r="F142" i="6"/>
  <c r="E142" i="6"/>
  <c r="D142" i="6"/>
  <c r="B142" i="6"/>
  <c r="I141" i="6"/>
  <c r="H141" i="6"/>
  <c r="G141" i="6"/>
  <c r="F141" i="6"/>
  <c r="E141" i="6"/>
  <c r="D141" i="6"/>
  <c r="B141" i="6"/>
  <c r="I140" i="6"/>
  <c r="H140" i="6"/>
  <c r="G140" i="6"/>
  <c r="F140" i="6"/>
  <c r="E140" i="6"/>
  <c r="D140" i="6"/>
  <c r="B140" i="6"/>
  <c r="I139" i="6"/>
  <c r="H139" i="6"/>
  <c r="G139" i="6"/>
  <c r="F139" i="6"/>
  <c r="E139" i="6"/>
  <c r="D139" i="6"/>
  <c r="B139" i="6"/>
  <c r="I138" i="6"/>
  <c r="H138" i="6"/>
  <c r="G138" i="6"/>
  <c r="F138" i="6"/>
  <c r="E138" i="6"/>
  <c r="D138" i="6"/>
  <c r="B138" i="6"/>
  <c r="I137" i="6"/>
  <c r="H137" i="6"/>
  <c r="G137" i="6"/>
  <c r="F137" i="6"/>
  <c r="E137" i="6"/>
  <c r="D137" i="6"/>
  <c r="B137" i="6"/>
  <c r="I136" i="6"/>
  <c r="H136" i="6"/>
  <c r="G136" i="6"/>
  <c r="F136" i="6"/>
  <c r="E136" i="6"/>
  <c r="D136" i="6"/>
  <c r="B136" i="6"/>
  <c r="I135" i="6"/>
  <c r="H135" i="6"/>
  <c r="G135" i="6"/>
  <c r="F135" i="6"/>
  <c r="E135" i="6"/>
  <c r="D135" i="6"/>
  <c r="B135" i="6"/>
  <c r="I134" i="6"/>
  <c r="H134" i="6"/>
  <c r="G134" i="6"/>
  <c r="F134" i="6"/>
  <c r="E134" i="6"/>
  <c r="D134" i="6"/>
  <c r="B134" i="6"/>
  <c r="I133" i="6"/>
  <c r="H133" i="6"/>
  <c r="G133" i="6"/>
  <c r="F133" i="6"/>
  <c r="E133" i="6"/>
  <c r="D133" i="6"/>
  <c r="B133" i="6"/>
  <c r="I132" i="6"/>
  <c r="H132" i="6"/>
  <c r="G132" i="6"/>
  <c r="F132" i="6"/>
  <c r="E132" i="6"/>
  <c r="D132" i="6"/>
  <c r="B132" i="6"/>
  <c r="I131" i="6"/>
  <c r="H131" i="6"/>
  <c r="G131" i="6"/>
  <c r="F131" i="6"/>
  <c r="E131" i="6"/>
  <c r="D131" i="6"/>
  <c r="B131" i="6"/>
  <c r="I130" i="6"/>
  <c r="H130" i="6"/>
  <c r="G130" i="6"/>
  <c r="F130" i="6"/>
  <c r="E130" i="6"/>
  <c r="D130" i="6"/>
  <c r="B130" i="6"/>
  <c r="I129" i="6"/>
  <c r="H129" i="6"/>
  <c r="G129" i="6"/>
  <c r="F129" i="6"/>
  <c r="E129" i="6"/>
  <c r="D129" i="6"/>
  <c r="B129" i="6"/>
  <c r="I128" i="6"/>
  <c r="H128" i="6"/>
  <c r="G128" i="6"/>
  <c r="F128" i="6"/>
  <c r="E128" i="6"/>
  <c r="D128" i="6"/>
  <c r="B128" i="6"/>
  <c r="I127" i="6"/>
  <c r="H127" i="6"/>
  <c r="G127" i="6"/>
  <c r="F127" i="6"/>
  <c r="E127" i="6"/>
  <c r="D127" i="6"/>
  <c r="B127" i="6"/>
  <c r="I126" i="6"/>
  <c r="H126" i="6"/>
  <c r="G126" i="6"/>
  <c r="F126" i="6"/>
  <c r="E126" i="6"/>
  <c r="D126" i="6"/>
  <c r="B126" i="6"/>
  <c r="I125" i="6"/>
  <c r="H125" i="6"/>
  <c r="G125" i="6"/>
  <c r="F125" i="6"/>
  <c r="E125" i="6"/>
  <c r="D125" i="6"/>
  <c r="B125" i="6"/>
  <c r="I124" i="6"/>
  <c r="H124" i="6"/>
  <c r="G124" i="6"/>
  <c r="F124" i="6"/>
  <c r="E124" i="6"/>
  <c r="D124" i="6"/>
  <c r="B124" i="6"/>
  <c r="I123" i="6"/>
  <c r="H123" i="6"/>
  <c r="G123" i="6"/>
  <c r="F123" i="6"/>
  <c r="E123" i="6"/>
  <c r="D123" i="6"/>
  <c r="B123" i="6"/>
  <c r="I122" i="6"/>
  <c r="H122" i="6"/>
  <c r="G122" i="6"/>
  <c r="F122" i="6"/>
  <c r="E122" i="6"/>
  <c r="D122" i="6"/>
  <c r="B122" i="6"/>
  <c r="I121" i="6"/>
  <c r="H121" i="6"/>
  <c r="G121" i="6"/>
  <c r="F121" i="6"/>
  <c r="E121" i="6"/>
  <c r="D121" i="6"/>
  <c r="B121" i="6"/>
  <c r="I120" i="6"/>
  <c r="H120" i="6"/>
  <c r="G120" i="6"/>
  <c r="F120" i="6"/>
  <c r="E120" i="6"/>
  <c r="D120" i="6"/>
  <c r="B120" i="6"/>
  <c r="I119" i="6"/>
  <c r="H119" i="6"/>
  <c r="G119" i="6"/>
  <c r="F119" i="6"/>
  <c r="E119" i="6"/>
  <c r="D119" i="6"/>
  <c r="B119" i="6"/>
  <c r="I118" i="6"/>
  <c r="H118" i="6"/>
  <c r="G118" i="6"/>
  <c r="F118" i="6"/>
  <c r="E118" i="6"/>
  <c r="D118" i="6"/>
  <c r="B118" i="6"/>
  <c r="I117" i="6"/>
  <c r="H117" i="6"/>
  <c r="G117" i="6"/>
  <c r="F117" i="6"/>
  <c r="E117" i="6"/>
  <c r="D117" i="6"/>
  <c r="B117" i="6"/>
  <c r="I116" i="6"/>
  <c r="H116" i="6"/>
  <c r="G116" i="6"/>
  <c r="F116" i="6"/>
  <c r="E116" i="6"/>
  <c r="D116" i="6"/>
  <c r="B116" i="6"/>
  <c r="I115" i="6"/>
  <c r="H115" i="6"/>
  <c r="G115" i="6"/>
  <c r="F115" i="6"/>
  <c r="E115" i="6"/>
  <c r="D115" i="6"/>
  <c r="B115" i="6"/>
  <c r="I114" i="6"/>
  <c r="H114" i="6"/>
  <c r="G114" i="6"/>
  <c r="F114" i="6"/>
  <c r="E114" i="6"/>
  <c r="D114" i="6"/>
  <c r="B114" i="6"/>
  <c r="I113" i="6"/>
  <c r="H113" i="6"/>
  <c r="G113" i="6"/>
  <c r="F113" i="6"/>
  <c r="E113" i="6"/>
  <c r="D113" i="6"/>
  <c r="B113" i="6"/>
  <c r="I112" i="6"/>
  <c r="H112" i="6"/>
  <c r="G112" i="6"/>
  <c r="F112" i="6"/>
  <c r="E112" i="6"/>
  <c r="D112" i="6"/>
  <c r="B112" i="6"/>
  <c r="I111" i="6"/>
  <c r="H111" i="6"/>
  <c r="G111" i="6"/>
  <c r="F111" i="6"/>
  <c r="E111" i="6"/>
  <c r="D111" i="6"/>
  <c r="B111" i="6"/>
  <c r="I110" i="6"/>
  <c r="H110" i="6"/>
  <c r="G110" i="6"/>
  <c r="F110" i="6"/>
  <c r="E110" i="6"/>
  <c r="D110" i="6"/>
  <c r="B110" i="6"/>
  <c r="I109" i="6"/>
  <c r="H109" i="6"/>
  <c r="G109" i="6"/>
  <c r="F109" i="6"/>
  <c r="E109" i="6"/>
  <c r="D109" i="6"/>
  <c r="B109" i="6"/>
  <c r="I108" i="6"/>
  <c r="H108" i="6"/>
  <c r="G108" i="6"/>
  <c r="F108" i="6"/>
  <c r="E108" i="6"/>
  <c r="D108" i="6"/>
  <c r="B108" i="6"/>
  <c r="I107" i="6"/>
  <c r="H107" i="6"/>
  <c r="G107" i="6"/>
  <c r="F107" i="6"/>
  <c r="E107" i="6"/>
  <c r="D107" i="6"/>
  <c r="B107" i="6"/>
  <c r="I106" i="6"/>
  <c r="H106" i="6"/>
  <c r="G106" i="6"/>
  <c r="F106" i="6"/>
  <c r="E106" i="6"/>
  <c r="D106" i="6"/>
  <c r="B106" i="6"/>
  <c r="I105" i="6"/>
  <c r="H105" i="6"/>
  <c r="G105" i="6"/>
  <c r="F105" i="6"/>
  <c r="E105" i="6"/>
  <c r="D105" i="6"/>
  <c r="B105" i="6"/>
  <c r="I104" i="6"/>
  <c r="H104" i="6"/>
  <c r="G104" i="6"/>
  <c r="F104" i="6"/>
  <c r="E104" i="6"/>
  <c r="D104" i="6"/>
  <c r="B104" i="6"/>
  <c r="I103" i="6"/>
  <c r="H103" i="6"/>
  <c r="G103" i="6"/>
  <c r="F103" i="6"/>
  <c r="E103" i="6"/>
  <c r="D103" i="6"/>
  <c r="B103" i="6"/>
  <c r="I102" i="6"/>
  <c r="H102" i="6"/>
  <c r="G102" i="6"/>
  <c r="F102" i="6"/>
  <c r="E102" i="6"/>
  <c r="D102" i="6"/>
  <c r="B102" i="6"/>
  <c r="I101" i="6"/>
  <c r="H101" i="6"/>
  <c r="G101" i="6"/>
  <c r="F101" i="6"/>
  <c r="E101" i="6"/>
  <c r="D101" i="6"/>
  <c r="B101" i="6"/>
  <c r="I100" i="6"/>
  <c r="H100" i="6"/>
  <c r="G100" i="6"/>
  <c r="F100" i="6"/>
  <c r="E100" i="6"/>
  <c r="D100" i="6"/>
  <c r="B100" i="6"/>
  <c r="I99" i="6"/>
  <c r="H99" i="6"/>
  <c r="G99" i="6"/>
  <c r="F99" i="6"/>
  <c r="E99" i="6"/>
  <c r="D99" i="6"/>
  <c r="B99" i="6"/>
  <c r="I98" i="6"/>
  <c r="H98" i="6"/>
  <c r="G98" i="6"/>
  <c r="F98" i="6"/>
  <c r="E98" i="6"/>
  <c r="D98" i="6"/>
  <c r="B98" i="6"/>
  <c r="I97" i="6"/>
  <c r="H97" i="6"/>
  <c r="G97" i="6"/>
  <c r="F97" i="6"/>
  <c r="E97" i="6"/>
  <c r="D97" i="6"/>
  <c r="B97" i="6"/>
  <c r="I96" i="6"/>
  <c r="H96" i="6"/>
  <c r="G96" i="6"/>
  <c r="F96" i="6"/>
  <c r="E96" i="6"/>
  <c r="D96" i="6"/>
  <c r="B96" i="6"/>
  <c r="I95" i="6"/>
  <c r="H95" i="6"/>
  <c r="G95" i="6"/>
  <c r="F95" i="6"/>
  <c r="E95" i="6"/>
  <c r="D95" i="6"/>
  <c r="B95" i="6"/>
  <c r="I94" i="6"/>
  <c r="H94" i="6"/>
  <c r="G94" i="6"/>
  <c r="F94" i="6"/>
  <c r="E94" i="6"/>
  <c r="D94" i="6"/>
  <c r="B94" i="6"/>
  <c r="I93" i="6"/>
  <c r="H93" i="6"/>
  <c r="G93" i="6"/>
  <c r="F93" i="6"/>
  <c r="E93" i="6"/>
  <c r="D93" i="6"/>
  <c r="B93" i="6"/>
  <c r="I92" i="6"/>
  <c r="H92" i="6"/>
  <c r="G92" i="6"/>
  <c r="F92" i="6"/>
  <c r="E92" i="6"/>
  <c r="D92" i="6"/>
  <c r="B92" i="6"/>
  <c r="I91" i="6"/>
  <c r="H91" i="6"/>
  <c r="G91" i="6"/>
  <c r="F91" i="6"/>
  <c r="E91" i="6"/>
  <c r="D91" i="6"/>
  <c r="B91" i="6"/>
  <c r="I90" i="6"/>
  <c r="H90" i="6"/>
  <c r="G90" i="6"/>
  <c r="F90" i="6"/>
  <c r="E90" i="6"/>
  <c r="D90" i="6"/>
  <c r="B90" i="6"/>
  <c r="I89" i="6"/>
  <c r="H89" i="6"/>
  <c r="G89" i="6"/>
  <c r="F89" i="6"/>
  <c r="E89" i="6"/>
  <c r="D89" i="6"/>
  <c r="B89" i="6"/>
  <c r="I88" i="6"/>
  <c r="H88" i="6"/>
  <c r="G88" i="6"/>
  <c r="F88" i="6"/>
  <c r="E88" i="6"/>
  <c r="D88" i="6"/>
  <c r="B88" i="6"/>
  <c r="I87" i="6"/>
  <c r="H87" i="6"/>
  <c r="G87" i="6"/>
  <c r="F87" i="6"/>
  <c r="E87" i="6"/>
  <c r="D87" i="6"/>
  <c r="B87" i="6"/>
  <c r="I86" i="6"/>
  <c r="H86" i="6"/>
  <c r="G86" i="6"/>
  <c r="F86" i="6"/>
  <c r="E86" i="6"/>
  <c r="D86" i="6"/>
  <c r="B86" i="6"/>
  <c r="I85" i="6"/>
  <c r="H85" i="6"/>
  <c r="G85" i="6"/>
  <c r="F85" i="6"/>
  <c r="E85" i="6"/>
  <c r="D85" i="6"/>
  <c r="B85" i="6"/>
  <c r="I84" i="6"/>
  <c r="H84" i="6"/>
  <c r="G84" i="6"/>
  <c r="F84" i="6"/>
  <c r="E84" i="6"/>
  <c r="D84" i="6"/>
  <c r="B84" i="6"/>
  <c r="I83" i="6"/>
  <c r="H83" i="6"/>
  <c r="G83" i="6"/>
  <c r="F83" i="6"/>
  <c r="E83" i="6"/>
  <c r="D83" i="6"/>
  <c r="B83" i="6"/>
  <c r="I82" i="6"/>
  <c r="H82" i="6"/>
  <c r="G82" i="6"/>
  <c r="F82" i="6"/>
  <c r="E82" i="6"/>
  <c r="D82" i="6"/>
  <c r="B82" i="6"/>
  <c r="I81" i="6"/>
  <c r="H81" i="6"/>
  <c r="G81" i="6"/>
  <c r="F81" i="6"/>
  <c r="E81" i="6"/>
  <c r="D81" i="6"/>
  <c r="B81" i="6"/>
  <c r="I80" i="6"/>
  <c r="H80" i="6"/>
  <c r="G80" i="6"/>
  <c r="F80" i="6"/>
  <c r="E80" i="6"/>
  <c r="D80" i="6"/>
  <c r="B80" i="6"/>
  <c r="I79" i="6"/>
  <c r="H79" i="6"/>
  <c r="G79" i="6"/>
  <c r="F79" i="6"/>
  <c r="E79" i="6"/>
  <c r="D79" i="6"/>
  <c r="B79" i="6"/>
  <c r="I78" i="6"/>
  <c r="H78" i="6"/>
  <c r="G78" i="6"/>
  <c r="F78" i="6"/>
  <c r="E78" i="6"/>
  <c r="D78" i="6"/>
  <c r="B78" i="6"/>
  <c r="I77" i="6"/>
  <c r="H77" i="6"/>
  <c r="G77" i="6"/>
  <c r="F77" i="6"/>
  <c r="E77" i="6"/>
  <c r="D77" i="6"/>
  <c r="B77" i="6"/>
  <c r="I76" i="6"/>
  <c r="H76" i="6"/>
  <c r="G76" i="6"/>
  <c r="F76" i="6"/>
  <c r="E76" i="6"/>
  <c r="D76" i="6"/>
  <c r="B76" i="6"/>
  <c r="I75" i="6"/>
  <c r="H75" i="6"/>
  <c r="G75" i="6"/>
  <c r="F75" i="6"/>
  <c r="E75" i="6"/>
  <c r="D75" i="6"/>
  <c r="B75" i="6"/>
  <c r="I74" i="6"/>
  <c r="H74" i="6"/>
  <c r="G74" i="6"/>
  <c r="F74" i="6"/>
  <c r="E74" i="6"/>
  <c r="D74" i="6"/>
  <c r="B74" i="6"/>
  <c r="I73" i="6"/>
  <c r="H73" i="6"/>
  <c r="G73" i="6"/>
  <c r="F73" i="6"/>
  <c r="E73" i="6"/>
  <c r="D73" i="6"/>
  <c r="B73" i="6"/>
  <c r="I72" i="6"/>
  <c r="H72" i="6"/>
  <c r="G72" i="6"/>
  <c r="F72" i="6"/>
  <c r="E72" i="6"/>
  <c r="D72" i="6"/>
  <c r="B72" i="6"/>
  <c r="I71" i="6"/>
  <c r="H71" i="6"/>
  <c r="G71" i="6"/>
  <c r="F71" i="6"/>
  <c r="E71" i="6"/>
  <c r="D71" i="6"/>
  <c r="B71" i="6"/>
  <c r="I70" i="6"/>
  <c r="H70" i="6"/>
  <c r="G70" i="6"/>
  <c r="F70" i="6"/>
  <c r="E70" i="6"/>
  <c r="D70" i="6"/>
  <c r="B70" i="6"/>
  <c r="I69" i="6"/>
  <c r="H69" i="6"/>
  <c r="G69" i="6"/>
  <c r="F69" i="6"/>
  <c r="E69" i="6"/>
  <c r="D69" i="6"/>
  <c r="B69" i="6"/>
  <c r="I68" i="6"/>
  <c r="H68" i="6"/>
  <c r="G68" i="6"/>
  <c r="F68" i="6"/>
  <c r="E68" i="6"/>
  <c r="D68" i="6"/>
  <c r="B68" i="6"/>
  <c r="I67" i="6"/>
  <c r="H67" i="6"/>
  <c r="G67" i="6"/>
  <c r="F67" i="6"/>
  <c r="E67" i="6"/>
  <c r="D67" i="6"/>
  <c r="B67" i="6"/>
  <c r="I66" i="6"/>
  <c r="H66" i="6"/>
  <c r="G66" i="6"/>
  <c r="F66" i="6"/>
  <c r="E66" i="6"/>
  <c r="D66" i="6"/>
  <c r="B66" i="6"/>
  <c r="I65" i="6"/>
  <c r="H65" i="6"/>
  <c r="G65" i="6"/>
  <c r="F65" i="6"/>
  <c r="E65" i="6"/>
  <c r="D65" i="6"/>
  <c r="B65" i="6"/>
  <c r="I64" i="6"/>
  <c r="H64" i="6"/>
  <c r="G64" i="6"/>
  <c r="F64" i="6"/>
  <c r="E64" i="6"/>
  <c r="D64" i="6"/>
  <c r="B64" i="6"/>
  <c r="I63" i="6"/>
  <c r="H63" i="6"/>
  <c r="G63" i="6"/>
  <c r="F63" i="6"/>
  <c r="E63" i="6"/>
  <c r="D63" i="6"/>
  <c r="B63" i="6"/>
  <c r="I62" i="6"/>
  <c r="H62" i="6"/>
  <c r="G62" i="6"/>
  <c r="F62" i="6"/>
  <c r="E62" i="6"/>
  <c r="D62" i="6"/>
  <c r="B62" i="6"/>
  <c r="I61" i="6"/>
  <c r="H61" i="6"/>
  <c r="G61" i="6"/>
  <c r="F61" i="6"/>
  <c r="E61" i="6"/>
  <c r="D61" i="6"/>
  <c r="B61" i="6"/>
  <c r="I60" i="6"/>
  <c r="H60" i="6"/>
  <c r="G60" i="6"/>
  <c r="F60" i="6"/>
  <c r="E60" i="6"/>
  <c r="D60" i="6"/>
  <c r="B60" i="6"/>
  <c r="I59" i="6"/>
  <c r="H59" i="6"/>
  <c r="G59" i="6"/>
  <c r="F59" i="6"/>
  <c r="E59" i="6"/>
  <c r="D59" i="6"/>
  <c r="B59" i="6"/>
  <c r="I58" i="6"/>
  <c r="H58" i="6"/>
  <c r="G58" i="6"/>
  <c r="F58" i="6"/>
  <c r="E58" i="6"/>
  <c r="D58" i="6"/>
  <c r="B58" i="6"/>
  <c r="I57" i="6"/>
  <c r="H57" i="6"/>
  <c r="G57" i="6"/>
  <c r="F57" i="6"/>
  <c r="E57" i="6"/>
  <c r="D57" i="6"/>
  <c r="B57" i="6"/>
  <c r="I56" i="6"/>
  <c r="H56" i="6"/>
  <c r="G56" i="6"/>
  <c r="F56" i="6"/>
  <c r="E56" i="6"/>
  <c r="D56" i="6"/>
  <c r="B56" i="6"/>
  <c r="I55" i="6"/>
  <c r="H55" i="6"/>
  <c r="G55" i="6"/>
  <c r="F55" i="6"/>
  <c r="E55" i="6"/>
  <c r="D55" i="6"/>
  <c r="B55" i="6"/>
  <c r="I54" i="6"/>
  <c r="H54" i="6"/>
  <c r="G54" i="6"/>
  <c r="F54" i="6"/>
  <c r="E54" i="6"/>
  <c r="D54" i="6"/>
  <c r="B54" i="6"/>
  <c r="I53" i="6"/>
  <c r="H53" i="6"/>
  <c r="G53" i="6"/>
  <c r="F53" i="6"/>
  <c r="E53" i="6"/>
  <c r="D53" i="6"/>
  <c r="B53" i="6"/>
  <c r="I52" i="6"/>
  <c r="H52" i="6"/>
  <c r="G52" i="6"/>
  <c r="F52" i="6"/>
  <c r="E52" i="6"/>
  <c r="D52" i="6"/>
  <c r="B52" i="6"/>
  <c r="I51" i="6"/>
  <c r="H51" i="6"/>
  <c r="G51" i="6"/>
  <c r="F51" i="6"/>
  <c r="E51" i="6"/>
  <c r="D51" i="6"/>
  <c r="B51" i="6"/>
  <c r="I50" i="6"/>
  <c r="H50" i="6"/>
  <c r="G50" i="6"/>
  <c r="F50" i="6"/>
  <c r="E50" i="6"/>
  <c r="D50" i="6"/>
  <c r="B50" i="6"/>
  <c r="I49" i="6"/>
  <c r="H49" i="6"/>
  <c r="G49" i="6"/>
  <c r="F49" i="6"/>
  <c r="E49" i="6"/>
  <c r="D49" i="6"/>
  <c r="B49" i="6"/>
  <c r="I48" i="6"/>
  <c r="H48" i="6"/>
  <c r="G48" i="6"/>
  <c r="F48" i="6"/>
  <c r="E48" i="6"/>
  <c r="D48" i="6"/>
  <c r="B48" i="6"/>
  <c r="I47" i="6"/>
  <c r="H47" i="6"/>
  <c r="G47" i="6"/>
  <c r="F47" i="6"/>
  <c r="E47" i="6"/>
  <c r="D47" i="6"/>
  <c r="B47" i="6"/>
  <c r="I46" i="6"/>
  <c r="H46" i="6"/>
  <c r="G46" i="6"/>
  <c r="F46" i="6"/>
  <c r="E46" i="6"/>
  <c r="D46" i="6"/>
  <c r="B46" i="6"/>
  <c r="I45" i="6"/>
  <c r="H45" i="6"/>
  <c r="G45" i="6"/>
  <c r="F45" i="6"/>
  <c r="E45" i="6"/>
  <c r="D45" i="6"/>
  <c r="B45" i="6"/>
  <c r="I44" i="6"/>
  <c r="H44" i="6"/>
  <c r="G44" i="6"/>
  <c r="F44" i="6"/>
  <c r="E44" i="6"/>
  <c r="D44" i="6"/>
  <c r="B44" i="6"/>
  <c r="I43" i="6"/>
  <c r="H43" i="6"/>
  <c r="G43" i="6"/>
  <c r="F43" i="6"/>
  <c r="E43" i="6"/>
  <c r="D43" i="6"/>
  <c r="B43" i="6"/>
  <c r="I42" i="6"/>
  <c r="H42" i="6"/>
  <c r="G42" i="6"/>
  <c r="F42" i="6"/>
  <c r="E42" i="6"/>
  <c r="D42" i="6"/>
  <c r="B42" i="6"/>
  <c r="I41" i="6"/>
  <c r="H41" i="6"/>
  <c r="G41" i="6"/>
  <c r="F41" i="6"/>
  <c r="E41" i="6"/>
  <c r="D41" i="6"/>
  <c r="B41" i="6"/>
  <c r="I40" i="6"/>
  <c r="H40" i="6"/>
  <c r="G40" i="6"/>
  <c r="F40" i="6"/>
  <c r="E40" i="6"/>
  <c r="D40" i="6"/>
  <c r="B40" i="6"/>
  <c r="I39" i="6"/>
  <c r="H39" i="6"/>
  <c r="G39" i="6"/>
  <c r="F39" i="6"/>
  <c r="E39" i="6"/>
  <c r="D39" i="6"/>
  <c r="B39" i="6"/>
  <c r="I38" i="6"/>
  <c r="H38" i="6"/>
  <c r="G38" i="6"/>
  <c r="F38" i="6"/>
  <c r="E38" i="6"/>
  <c r="D38" i="6"/>
  <c r="B38" i="6"/>
  <c r="I37" i="6"/>
  <c r="H37" i="6"/>
  <c r="G37" i="6"/>
  <c r="F37" i="6"/>
  <c r="E37" i="6"/>
  <c r="D37" i="6"/>
  <c r="B37" i="6"/>
  <c r="I36" i="6"/>
  <c r="H36" i="6"/>
  <c r="G36" i="6"/>
  <c r="F36" i="6"/>
  <c r="E36" i="6"/>
  <c r="D36" i="6"/>
  <c r="B36" i="6"/>
  <c r="I35" i="6"/>
  <c r="H35" i="6"/>
  <c r="G35" i="6"/>
  <c r="F35" i="6"/>
  <c r="E35" i="6"/>
  <c r="D35" i="6"/>
  <c r="B35" i="6"/>
  <c r="I34" i="6"/>
  <c r="H34" i="6"/>
  <c r="G34" i="6"/>
  <c r="F34" i="6"/>
  <c r="E34" i="6"/>
  <c r="D34" i="6"/>
  <c r="B34" i="6"/>
  <c r="I33" i="6"/>
  <c r="H33" i="6"/>
  <c r="G33" i="6"/>
  <c r="F33" i="6"/>
  <c r="E33" i="6"/>
  <c r="D33" i="6"/>
  <c r="B33" i="6"/>
  <c r="I32" i="6"/>
  <c r="H32" i="6"/>
  <c r="G32" i="6"/>
  <c r="F32" i="6"/>
  <c r="E32" i="6"/>
  <c r="D32" i="6"/>
  <c r="B32" i="6"/>
  <c r="I31" i="6"/>
  <c r="H31" i="6"/>
  <c r="G31" i="6"/>
  <c r="F31" i="6"/>
  <c r="E31" i="6"/>
  <c r="D31" i="6"/>
  <c r="B31" i="6"/>
  <c r="I30" i="6"/>
  <c r="H30" i="6"/>
  <c r="G30" i="6"/>
  <c r="F30" i="6"/>
  <c r="E30" i="6"/>
  <c r="D30" i="6"/>
  <c r="B30" i="6"/>
  <c r="I29" i="6"/>
  <c r="H29" i="6"/>
  <c r="G29" i="6"/>
  <c r="F29" i="6"/>
  <c r="E29" i="6"/>
  <c r="D29" i="6"/>
  <c r="B29" i="6"/>
  <c r="I28" i="6"/>
  <c r="H28" i="6"/>
  <c r="G28" i="6"/>
  <c r="F28" i="6"/>
  <c r="E28" i="6"/>
  <c r="D28" i="6"/>
  <c r="B28" i="6"/>
  <c r="I27" i="6"/>
  <c r="H27" i="6"/>
  <c r="G27" i="6"/>
  <c r="F27" i="6"/>
  <c r="E27" i="6"/>
  <c r="D27" i="6"/>
  <c r="B27" i="6"/>
  <c r="I26" i="6"/>
  <c r="H26" i="6"/>
  <c r="G26" i="6"/>
  <c r="F26" i="6"/>
  <c r="E26" i="6"/>
  <c r="D26" i="6"/>
  <c r="B26" i="6"/>
  <c r="I25" i="6"/>
  <c r="H25" i="6"/>
  <c r="G25" i="6"/>
  <c r="F25" i="6"/>
  <c r="E25" i="6"/>
  <c r="D25" i="6"/>
  <c r="B25" i="6"/>
  <c r="I24" i="6"/>
  <c r="H24" i="6"/>
  <c r="G24" i="6"/>
  <c r="F24" i="6"/>
  <c r="E24" i="6"/>
  <c r="D24" i="6"/>
  <c r="B24" i="6"/>
  <c r="I23" i="6"/>
  <c r="H23" i="6"/>
  <c r="G23" i="6"/>
  <c r="F23" i="6"/>
  <c r="E23" i="6"/>
  <c r="D23" i="6"/>
  <c r="B23" i="6"/>
  <c r="I22" i="6"/>
  <c r="H22" i="6"/>
  <c r="G22" i="6"/>
  <c r="F22" i="6"/>
  <c r="E22" i="6"/>
  <c r="D22" i="6"/>
  <c r="B22" i="6"/>
  <c r="I21" i="6"/>
  <c r="H21" i="6"/>
  <c r="G21" i="6"/>
  <c r="F21" i="6"/>
  <c r="E21" i="6"/>
  <c r="D21" i="6"/>
  <c r="B21" i="6"/>
  <c r="I20" i="6"/>
  <c r="H20" i="6"/>
  <c r="G20" i="6"/>
  <c r="F20" i="6"/>
  <c r="E20" i="6"/>
  <c r="D20" i="6"/>
  <c r="B20" i="6"/>
  <c r="I19" i="6"/>
  <c r="H19" i="6"/>
  <c r="G19" i="6"/>
  <c r="F19" i="6"/>
  <c r="E19" i="6"/>
  <c r="D19" i="6"/>
  <c r="B19" i="6"/>
  <c r="I18" i="6"/>
  <c r="H18" i="6"/>
  <c r="G18" i="6"/>
  <c r="F18" i="6"/>
  <c r="E18" i="6"/>
  <c r="D18" i="6"/>
  <c r="B18" i="6"/>
  <c r="I17" i="6"/>
  <c r="H17" i="6"/>
  <c r="G17" i="6"/>
  <c r="F17" i="6"/>
  <c r="E17" i="6"/>
  <c r="D17" i="6"/>
  <c r="B17" i="6"/>
  <c r="I16" i="6"/>
  <c r="H16" i="6"/>
  <c r="G16" i="6"/>
  <c r="F16" i="6"/>
  <c r="E16" i="6"/>
  <c r="D16" i="6"/>
  <c r="B16" i="6"/>
  <c r="I15" i="6"/>
  <c r="H15" i="6"/>
  <c r="G15" i="6"/>
  <c r="F15" i="6"/>
  <c r="E15" i="6"/>
  <c r="D15" i="6"/>
  <c r="B15" i="6"/>
  <c r="I14" i="6"/>
  <c r="H14" i="6"/>
  <c r="G14" i="6"/>
  <c r="F14" i="6"/>
  <c r="E14" i="6"/>
  <c r="D14" i="6"/>
  <c r="B14" i="6"/>
  <c r="I13" i="6"/>
  <c r="H13" i="6"/>
  <c r="G13" i="6"/>
  <c r="F13" i="6"/>
  <c r="E13" i="6"/>
  <c r="D13" i="6"/>
  <c r="B13" i="6"/>
  <c r="I12" i="6"/>
  <c r="H12" i="6"/>
  <c r="G12" i="6"/>
  <c r="F12" i="6"/>
  <c r="E12" i="6"/>
  <c r="D12" i="6"/>
  <c r="B12" i="6"/>
  <c r="I11" i="6"/>
  <c r="H11" i="6"/>
  <c r="G11" i="6"/>
  <c r="F11" i="6"/>
  <c r="E11" i="6"/>
  <c r="D11" i="6"/>
  <c r="B11" i="6"/>
  <c r="I10" i="6"/>
  <c r="H10" i="6"/>
  <c r="G10" i="6"/>
  <c r="F10" i="6"/>
  <c r="E10" i="6"/>
  <c r="D10" i="6"/>
  <c r="B10" i="6"/>
  <c r="I9" i="6"/>
  <c r="H9" i="6"/>
  <c r="G9" i="6"/>
  <c r="F9" i="6"/>
  <c r="E9" i="6"/>
  <c r="D9" i="6"/>
  <c r="C9" i="6"/>
  <c r="B9" i="6"/>
  <c r="I8" i="6"/>
  <c r="H8" i="6"/>
  <c r="G8" i="6"/>
  <c r="F8" i="6"/>
  <c r="E8" i="6"/>
  <c r="D8" i="6"/>
  <c r="C8" i="6"/>
  <c r="B8" i="6"/>
  <c r="I7" i="6"/>
  <c r="H7" i="6"/>
  <c r="G7" i="6"/>
  <c r="F7" i="6"/>
  <c r="E7" i="6"/>
  <c r="D7" i="6"/>
  <c r="C7" i="6"/>
  <c r="B7" i="6"/>
  <c r="I6" i="6"/>
  <c r="H6" i="6"/>
  <c r="G6" i="6"/>
  <c r="F6" i="6"/>
  <c r="E6" i="6"/>
  <c r="D6" i="6"/>
  <c r="C6" i="6"/>
  <c r="B6" i="6"/>
  <c r="C5" i="6"/>
  <c r="B5" i="6"/>
  <c r="C4" i="6"/>
  <c r="B4" i="6"/>
  <c r="C3" i="6"/>
  <c r="B3" i="6"/>
  <c r="C2" i="6"/>
  <c r="B2" i="6"/>
  <c r="M1000" i="5"/>
  <c r="H1000" i="5"/>
  <c r="F1000" i="5"/>
  <c r="D1000" i="5"/>
  <c r="C1000" i="5"/>
  <c r="P999" i="5"/>
  <c r="L999" i="5"/>
  <c r="J999" i="5"/>
  <c r="N999" i="5" s="1"/>
  <c r="I999" i="5"/>
  <c r="H999" i="5"/>
  <c r="G999" i="5"/>
  <c r="D999" i="5"/>
  <c r="C999" i="5"/>
  <c r="M999" i="5" s="1"/>
  <c r="M998" i="5"/>
  <c r="L998" i="5"/>
  <c r="I998" i="5"/>
  <c r="H998" i="5"/>
  <c r="D998" i="5"/>
  <c r="C998" i="5"/>
  <c r="M997" i="5"/>
  <c r="F997" i="5"/>
  <c r="D997" i="5"/>
  <c r="C997" i="5"/>
  <c r="L996" i="5"/>
  <c r="H996" i="5"/>
  <c r="D996" i="5"/>
  <c r="C996" i="5"/>
  <c r="K995" i="5"/>
  <c r="G995" i="5"/>
  <c r="D995" i="5"/>
  <c r="C995" i="5"/>
  <c r="H995" i="5" s="1"/>
  <c r="L994" i="5"/>
  <c r="K994" i="5"/>
  <c r="J994" i="5"/>
  <c r="I994" i="5"/>
  <c r="H994" i="5"/>
  <c r="F994" i="5"/>
  <c r="O994" i="5" s="1"/>
  <c r="D994" i="5"/>
  <c r="C994" i="5"/>
  <c r="G994" i="5" s="1"/>
  <c r="M993" i="5"/>
  <c r="K993" i="5"/>
  <c r="J993" i="5"/>
  <c r="I993" i="5"/>
  <c r="H993" i="5"/>
  <c r="G993" i="5"/>
  <c r="F993" i="5"/>
  <c r="O993" i="5" s="1"/>
  <c r="D993" i="5"/>
  <c r="C993" i="5"/>
  <c r="L993" i="5" s="1"/>
  <c r="O992" i="5"/>
  <c r="N992" i="5"/>
  <c r="L992" i="5"/>
  <c r="K992" i="5"/>
  <c r="J992" i="5"/>
  <c r="P992" i="5" s="1"/>
  <c r="H992" i="5"/>
  <c r="G992" i="5"/>
  <c r="F992" i="5"/>
  <c r="D992" i="5"/>
  <c r="C992" i="5"/>
  <c r="I992" i="5" s="1"/>
  <c r="G991" i="5"/>
  <c r="D991" i="5"/>
  <c r="C991" i="5"/>
  <c r="P990" i="5"/>
  <c r="J990" i="5"/>
  <c r="N990" i="5" s="1"/>
  <c r="I990" i="5"/>
  <c r="H990" i="5"/>
  <c r="G990" i="5"/>
  <c r="F990" i="5"/>
  <c r="O990" i="5" s="1"/>
  <c r="D990" i="5"/>
  <c r="C990" i="5"/>
  <c r="M990" i="5" s="1"/>
  <c r="M989" i="5"/>
  <c r="L989" i="5"/>
  <c r="K989" i="5"/>
  <c r="J989" i="5"/>
  <c r="I989" i="5"/>
  <c r="G989" i="5"/>
  <c r="D989" i="5"/>
  <c r="C989" i="5"/>
  <c r="F988" i="5"/>
  <c r="D988" i="5"/>
  <c r="C988" i="5"/>
  <c r="G987" i="5"/>
  <c r="D987" i="5"/>
  <c r="C987" i="5"/>
  <c r="L986" i="5"/>
  <c r="K986" i="5"/>
  <c r="I986" i="5"/>
  <c r="H986" i="5"/>
  <c r="F986" i="5"/>
  <c r="D986" i="5"/>
  <c r="C986" i="5"/>
  <c r="M986" i="5" s="1"/>
  <c r="O985" i="5"/>
  <c r="M985" i="5"/>
  <c r="K985" i="5"/>
  <c r="J985" i="5"/>
  <c r="I985" i="5"/>
  <c r="H985" i="5"/>
  <c r="G985" i="5"/>
  <c r="F985" i="5"/>
  <c r="D985" i="5"/>
  <c r="C985" i="5"/>
  <c r="L985" i="5" s="1"/>
  <c r="D984" i="5"/>
  <c r="C984" i="5"/>
  <c r="P983" i="5"/>
  <c r="L983" i="5"/>
  <c r="K983" i="5"/>
  <c r="J983" i="5"/>
  <c r="N983" i="5" s="1"/>
  <c r="I983" i="5"/>
  <c r="H983" i="5"/>
  <c r="G983" i="5"/>
  <c r="O983" i="5" s="1"/>
  <c r="D983" i="5"/>
  <c r="C983" i="5"/>
  <c r="F983" i="5" s="1"/>
  <c r="D982" i="5"/>
  <c r="C982" i="5"/>
  <c r="F981" i="5"/>
  <c r="D981" i="5"/>
  <c r="C981" i="5"/>
  <c r="J980" i="5"/>
  <c r="D980" i="5"/>
  <c r="C980" i="5"/>
  <c r="M979" i="5"/>
  <c r="K979" i="5"/>
  <c r="D979" i="5"/>
  <c r="C979" i="5"/>
  <c r="M978" i="5"/>
  <c r="L978" i="5"/>
  <c r="K978" i="5"/>
  <c r="D978" i="5"/>
  <c r="C978" i="5"/>
  <c r="P977" i="5"/>
  <c r="N977" i="5"/>
  <c r="M977" i="5"/>
  <c r="K977" i="5"/>
  <c r="J977" i="5"/>
  <c r="I977" i="5"/>
  <c r="H977" i="5"/>
  <c r="G977" i="5"/>
  <c r="F977" i="5"/>
  <c r="O977" i="5" s="1"/>
  <c r="D977" i="5"/>
  <c r="C977" i="5"/>
  <c r="L977" i="5" s="1"/>
  <c r="M976" i="5"/>
  <c r="L976" i="5"/>
  <c r="K976" i="5"/>
  <c r="J976" i="5"/>
  <c r="H976" i="5"/>
  <c r="G976" i="5"/>
  <c r="D976" i="5"/>
  <c r="C976" i="5"/>
  <c r="M975" i="5"/>
  <c r="L975" i="5"/>
  <c r="D975" i="5"/>
  <c r="C975" i="5"/>
  <c r="M974" i="5"/>
  <c r="H974" i="5"/>
  <c r="D974" i="5"/>
  <c r="C974" i="5"/>
  <c r="L973" i="5"/>
  <c r="K973" i="5"/>
  <c r="J973" i="5"/>
  <c r="G973" i="5"/>
  <c r="F973" i="5"/>
  <c r="D973" i="5"/>
  <c r="C973" i="5"/>
  <c r="M973" i="5" s="1"/>
  <c r="O972" i="5"/>
  <c r="K972" i="5"/>
  <c r="J972" i="5"/>
  <c r="I972" i="5"/>
  <c r="H972" i="5"/>
  <c r="G972" i="5"/>
  <c r="F972" i="5"/>
  <c r="D972" i="5"/>
  <c r="C972" i="5"/>
  <c r="M972" i="5" s="1"/>
  <c r="G971" i="5"/>
  <c r="D971" i="5"/>
  <c r="C971" i="5"/>
  <c r="P970" i="5"/>
  <c r="K970" i="5"/>
  <c r="J970" i="5"/>
  <c r="N970" i="5" s="1"/>
  <c r="I970" i="5"/>
  <c r="H970" i="5"/>
  <c r="F970" i="5"/>
  <c r="D970" i="5"/>
  <c r="C970" i="5"/>
  <c r="M970" i="5" s="1"/>
  <c r="N969" i="5"/>
  <c r="M969" i="5"/>
  <c r="K969" i="5"/>
  <c r="J969" i="5"/>
  <c r="P969" i="5" s="1"/>
  <c r="I969" i="5"/>
  <c r="H969" i="5"/>
  <c r="G969" i="5"/>
  <c r="F969" i="5"/>
  <c r="O969" i="5" s="1"/>
  <c r="D969" i="5"/>
  <c r="C969" i="5"/>
  <c r="L969" i="5" s="1"/>
  <c r="G968" i="5"/>
  <c r="F968" i="5"/>
  <c r="O968" i="5" s="1"/>
  <c r="D968" i="5"/>
  <c r="C968" i="5"/>
  <c r="H968" i="5" s="1"/>
  <c r="H967" i="5"/>
  <c r="D967" i="5"/>
  <c r="C967" i="5"/>
  <c r="M966" i="5"/>
  <c r="L966" i="5"/>
  <c r="D966" i="5"/>
  <c r="C966" i="5"/>
  <c r="L965" i="5"/>
  <c r="D965" i="5"/>
  <c r="C965" i="5"/>
  <c r="G964" i="5"/>
  <c r="D964" i="5"/>
  <c r="C964" i="5"/>
  <c r="M963" i="5"/>
  <c r="L963" i="5"/>
  <c r="I963" i="5"/>
  <c r="H963" i="5"/>
  <c r="G963" i="5"/>
  <c r="D963" i="5"/>
  <c r="C963" i="5"/>
  <c r="L962" i="5"/>
  <c r="K962" i="5"/>
  <c r="F962" i="5"/>
  <c r="D962" i="5"/>
  <c r="C962" i="5"/>
  <c r="O961" i="5"/>
  <c r="M961" i="5"/>
  <c r="K961" i="5"/>
  <c r="J961" i="5"/>
  <c r="I961" i="5"/>
  <c r="H961" i="5"/>
  <c r="G961" i="5"/>
  <c r="F961" i="5"/>
  <c r="D961" i="5"/>
  <c r="C961" i="5"/>
  <c r="L961" i="5" s="1"/>
  <c r="M960" i="5"/>
  <c r="D960" i="5"/>
  <c r="C960" i="5"/>
  <c r="M959" i="5"/>
  <c r="K959" i="5"/>
  <c r="D959" i="5"/>
  <c r="C959" i="5"/>
  <c r="I958" i="5"/>
  <c r="D958" i="5"/>
  <c r="C958" i="5"/>
  <c r="M957" i="5"/>
  <c r="L957" i="5"/>
  <c r="J957" i="5"/>
  <c r="I957" i="5"/>
  <c r="G957" i="5"/>
  <c r="F957" i="5"/>
  <c r="D957" i="5"/>
  <c r="C957" i="5"/>
  <c r="D956" i="5"/>
  <c r="C956" i="5"/>
  <c r="M955" i="5"/>
  <c r="D955" i="5"/>
  <c r="C955" i="5"/>
  <c r="P954" i="5"/>
  <c r="K954" i="5"/>
  <c r="J954" i="5"/>
  <c r="N954" i="5" s="1"/>
  <c r="I954" i="5"/>
  <c r="H954" i="5"/>
  <c r="F954" i="5"/>
  <c r="O954" i="5" s="1"/>
  <c r="D954" i="5"/>
  <c r="C954" i="5"/>
  <c r="G954" i="5" s="1"/>
  <c r="N953" i="5"/>
  <c r="M953" i="5"/>
  <c r="K953" i="5"/>
  <c r="J953" i="5"/>
  <c r="P953" i="5" s="1"/>
  <c r="I953" i="5"/>
  <c r="H953" i="5"/>
  <c r="G953" i="5"/>
  <c r="F953" i="5"/>
  <c r="O953" i="5" s="1"/>
  <c r="D953" i="5"/>
  <c r="C953" i="5"/>
  <c r="L953" i="5" s="1"/>
  <c r="H952" i="5"/>
  <c r="G952" i="5"/>
  <c r="D952" i="5"/>
  <c r="C952" i="5"/>
  <c r="M951" i="5"/>
  <c r="L951" i="5"/>
  <c r="K951" i="5"/>
  <c r="J951" i="5"/>
  <c r="H951" i="5"/>
  <c r="G951" i="5"/>
  <c r="D951" i="5"/>
  <c r="C951" i="5"/>
  <c r="L950" i="5"/>
  <c r="J950" i="5"/>
  <c r="I950" i="5"/>
  <c r="H950" i="5"/>
  <c r="G950" i="5"/>
  <c r="F950" i="5"/>
  <c r="O950" i="5" s="1"/>
  <c r="D950" i="5"/>
  <c r="C950" i="5"/>
  <c r="K950" i="5" s="1"/>
  <c r="N949" i="5"/>
  <c r="M949" i="5"/>
  <c r="J949" i="5"/>
  <c r="P949" i="5" s="1"/>
  <c r="I949" i="5"/>
  <c r="F949" i="5"/>
  <c r="D949" i="5"/>
  <c r="C949" i="5"/>
  <c r="L948" i="5"/>
  <c r="J948" i="5"/>
  <c r="I948" i="5"/>
  <c r="H948" i="5"/>
  <c r="G948" i="5"/>
  <c r="F948" i="5"/>
  <c r="D948" i="5"/>
  <c r="C948" i="5"/>
  <c r="M947" i="5"/>
  <c r="L947" i="5"/>
  <c r="K947" i="5"/>
  <c r="D947" i="5"/>
  <c r="C947" i="5"/>
  <c r="M946" i="5"/>
  <c r="L946" i="5"/>
  <c r="J946" i="5"/>
  <c r="G946" i="5"/>
  <c r="F946" i="5"/>
  <c r="O946" i="5" s="1"/>
  <c r="D946" i="5"/>
  <c r="C946" i="5"/>
  <c r="O945" i="5"/>
  <c r="N945" i="5"/>
  <c r="L945" i="5"/>
  <c r="K945" i="5"/>
  <c r="J945" i="5"/>
  <c r="P945" i="5" s="1"/>
  <c r="I945" i="5"/>
  <c r="G945" i="5"/>
  <c r="F945" i="5"/>
  <c r="D945" i="5"/>
  <c r="C945" i="5"/>
  <c r="H945" i="5" s="1"/>
  <c r="K944" i="5"/>
  <c r="F944" i="5"/>
  <c r="D944" i="5"/>
  <c r="C944" i="5"/>
  <c r="L944" i="5" s="1"/>
  <c r="P943" i="5"/>
  <c r="O943" i="5"/>
  <c r="N943" i="5"/>
  <c r="L943" i="5"/>
  <c r="K943" i="5"/>
  <c r="I943" i="5"/>
  <c r="H943" i="5"/>
  <c r="G943" i="5"/>
  <c r="F943" i="5"/>
  <c r="D943" i="5"/>
  <c r="C943" i="5"/>
  <c r="J943" i="5" s="1"/>
  <c r="M942" i="5"/>
  <c r="K942" i="5"/>
  <c r="J942" i="5"/>
  <c r="I942" i="5"/>
  <c r="F942" i="5"/>
  <c r="D942" i="5"/>
  <c r="C942" i="5"/>
  <c r="M941" i="5"/>
  <c r="K941" i="5"/>
  <c r="J941" i="5"/>
  <c r="I941" i="5"/>
  <c r="H941" i="5"/>
  <c r="G941" i="5"/>
  <c r="F941" i="5"/>
  <c r="O941" i="5" s="1"/>
  <c r="D941" i="5"/>
  <c r="C941" i="5"/>
  <c r="L941" i="5" s="1"/>
  <c r="M940" i="5"/>
  <c r="H940" i="5"/>
  <c r="F940" i="5"/>
  <c r="D940" i="5"/>
  <c r="C940" i="5"/>
  <c r="I939" i="5"/>
  <c r="G939" i="5"/>
  <c r="D939" i="5"/>
  <c r="C939" i="5"/>
  <c r="M938" i="5"/>
  <c r="L938" i="5"/>
  <c r="J938" i="5"/>
  <c r="I938" i="5"/>
  <c r="H938" i="5"/>
  <c r="G938" i="5"/>
  <c r="D938" i="5"/>
  <c r="C938" i="5"/>
  <c r="M937" i="5"/>
  <c r="L937" i="5"/>
  <c r="K937" i="5"/>
  <c r="I937" i="5"/>
  <c r="G937" i="5"/>
  <c r="D937" i="5"/>
  <c r="C937" i="5"/>
  <c r="L936" i="5"/>
  <c r="D936" i="5"/>
  <c r="C936" i="5"/>
  <c r="O935" i="5"/>
  <c r="M935" i="5"/>
  <c r="L935" i="5"/>
  <c r="K935" i="5"/>
  <c r="H935" i="5"/>
  <c r="G935" i="5"/>
  <c r="F935" i="5"/>
  <c r="D935" i="5"/>
  <c r="C935" i="5"/>
  <c r="P934" i="5"/>
  <c r="N934" i="5"/>
  <c r="L934" i="5"/>
  <c r="K934" i="5"/>
  <c r="J934" i="5"/>
  <c r="I934" i="5"/>
  <c r="H934" i="5"/>
  <c r="F934" i="5"/>
  <c r="O934" i="5" s="1"/>
  <c r="D934" i="5"/>
  <c r="C934" i="5"/>
  <c r="G934" i="5" s="1"/>
  <c r="P933" i="5"/>
  <c r="N933" i="5"/>
  <c r="M933" i="5"/>
  <c r="K933" i="5"/>
  <c r="J933" i="5"/>
  <c r="I933" i="5"/>
  <c r="H933" i="5"/>
  <c r="G933" i="5"/>
  <c r="F933" i="5"/>
  <c r="O933" i="5" s="1"/>
  <c r="D933" i="5"/>
  <c r="C933" i="5"/>
  <c r="L933" i="5" s="1"/>
  <c r="L932" i="5"/>
  <c r="K932" i="5"/>
  <c r="J932" i="5"/>
  <c r="H932" i="5"/>
  <c r="G932" i="5"/>
  <c r="F932" i="5"/>
  <c r="O932" i="5" s="1"/>
  <c r="D932" i="5"/>
  <c r="C932" i="5"/>
  <c r="I932" i="5" s="1"/>
  <c r="H931" i="5"/>
  <c r="G931" i="5"/>
  <c r="F931" i="5"/>
  <c r="O931" i="5" s="1"/>
  <c r="D931" i="5"/>
  <c r="C931" i="5"/>
  <c r="L930" i="5"/>
  <c r="K930" i="5"/>
  <c r="J930" i="5"/>
  <c r="I930" i="5"/>
  <c r="H930" i="5"/>
  <c r="G930" i="5"/>
  <c r="O930" i="5" s="1"/>
  <c r="D930" i="5"/>
  <c r="C930" i="5"/>
  <c r="F930" i="5" s="1"/>
  <c r="D929" i="5"/>
  <c r="C929" i="5"/>
  <c r="I928" i="5"/>
  <c r="G928" i="5"/>
  <c r="D928" i="5"/>
  <c r="C928" i="5"/>
  <c r="M928" i="5" s="1"/>
  <c r="K927" i="5"/>
  <c r="J927" i="5"/>
  <c r="I927" i="5"/>
  <c r="H927" i="5"/>
  <c r="F927" i="5"/>
  <c r="D927" i="5"/>
  <c r="C927" i="5"/>
  <c r="I926" i="5"/>
  <c r="D926" i="5"/>
  <c r="C926" i="5"/>
  <c r="M925" i="5"/>
  <c r="L925" i="5"/>
  <c r="K925" i="5"/>
  <c r="D925" i="5"/>
  <c r="C925" i="5"/>
  <c r="P924" i="5"/>
  <c r="N924" i="5"/>
  <c r="M924" i="5"/>
  <c r="K924" i="5"/>
  <c r="J924" i="5"/>
  <c r="I924" i="5"/>
  <c r="H924" i="5"/>
  <c r="G924" i="5"/>
  <c r="F924" i="5"/>
  <c r="O924" i="5" s="1"/>
  <c r="D924" i="5"/>
  <c r="C924" i="5"/>
  <c r="L924" i="5" s="1"/>
  <c r="J923" i="5"/>
  <c r="H923" i="5"/>
  <c r="D923" i="5"/>
  <c r="C923" i="5"/>
  <c r="K922" i="5"/>
  <c r="G922" i="5"/>
  <c r="D922" i="5"/>
  <c r="C922" i="5"/>
  <c r="L922" i="5" s="1"/>
  <c r="J921" i="5"/>
  <c r="H921" i="5"/>
  <c r="G921" i="5"/>
  <c r="D921" i="5"/>
  <c r="C921" i="5"/>
  <c r="I921" i="5" s="1"/>
  <c r="J920" i="5"/>
  <c r="P920" i="5" s="1"/>
  <c r="H920" i="5"/>
  <c r="D920" i="5"/>
  <c r="C920" i="5"/>
  <c r="D919" i="5"/>
  <c r="C919" i="5"/>
  <c r="L918" i="5"/>
  <c r="K918" i="5"/>
  <c r="J918" i="5"/>
  <c r="I918" i="5"/>
  <c r="H918" i="5"/>
  <c r="G918" i="5"/>
  <c r="D918" i="5"/>
  <c r="C918" i="5"/>
  <c r="M917" i="5"/>
  <c r="H917" i="5"/>
  <c r="G917" i="5"/>
  <c r="D917" i="5"/>
  <c r="C917" i="5"/>
  <c r="L917" i="5" s="1"/>
  <c r="P916" i="5"/>
  <c r="L916" i="5"/>
  <c r="K916" i="5"/>
  <c r="J916" i="5"/>
  <c r="N916" i="5" s="1"/>
  <c r="I916" i="5"/>
  <c r="H916" i="5"/>
  <c r="F916" i="5"/>
  <c r="O916" i="5" s="1"/>
  <c r="D916" i="5"/>
  <c r="C916" i="5"/>
  <c r="G916" i="5" s="1"/>
  <c r="P915" i="5"/>
  <c r="M915" i="5"/>
  <c r="K915" i="5"/>
  <c r="J915" i="5"/>
  <c r="N915" i="5" s="1"/>
  <c r="I915" i="5"/>
  <c r="H915" i="5"/>
  <c r="G915" i="5"/>
  <c r="F915" i="5"/>
  <c r="O915" i="5" s="1"/>
  <c r="D915" i="5"/>
  <c r="C915" i="5"/>
  <c r="L915" i="5" s="1"/>
  <c r="O914" i="5"/>
  <c r="L914" i="5"/>
  <c r="K914" i="5"/>
  <c r="J914" i="5"/>
  <c r="H914" i="5"/>
  <c r="G914" i="5"/>
  <c r="F914" i="5"/>
  <c r="D914" i="5"/>
  <c r="C914" i="5"/>
  <c r="I914" i="5" s="1"/>
  <c r="L913" i="5"/>
  <c r="K913" i="5"/>
  <c r="D913" i="5"/>
  <c r="C913" i="5"/>
  <c r="J912" i="5"/>
  <c r="N912" i="5" s="1"/>
  <c r="I912" i="5"/>
  <c r="H912" i="5"/>
  <c r="G912" i="5"/>
  <c r="F912" i="5"/>
  <c r="O912" i="5" s="1"/>
  <c r="D912" i="5"/>
  <c r="C912" i="5"/>
  <c r="K912" i="5" s="1"/>
  <c r="M911" i="5"/>
  <c r="I911" i="5"/>
  <c r="D911" i="5"/>
  <c r="C911" i="5"/>
  <c r="I910" i="5"/>
  <c r="G910" i="5"/>
  <c r="O910" i="5" s="1"/>
  <c r="F910" i="5"/>
  <c r="D910" i="5"/>
  <c r="C910" i="5"/>
  <c r="H910" i="5" s="1"/>
  <c r="L909" i="5"/>
  <c r="K909" i="5"/>
  <c r="H909" i="5"/>
  <c r="D909" i="5"/>
  <c r="C909" i="5"/>
  <c r="M908" i="5"/>
  <c r="L908" i="5"/>
  <c r="I908" i="5"/>
  <c r="D908" i="5"/>
  <c r="C908" i="5"/>
  <c r="M907" i="5"/>
  <c r="K907" i="5"/>
  <c r="J907" i="5"/>
  <c r="I907" i="5"/>
  <c r="H907" i="5"/>
  <c r="G907" i="5"/>
  <c r="F907" i="5"/>
  <c r="O907" i="5" s="1"/>
  <c r="D907" i="5"/>
  <c r="C907" i="5"/>
  <c r="L907" i="5" s="1"/>
  <c r="L906" i="5"/>
  <c r="F906" i="5"/>
  <c r="D906" i="5"/>
  <c r="C906" i="5"/>
  <c r="L905" i="5"/>
  <c r="K905" i="5"/>
  <c r="J905" i="5"/>
  <c r="I905" i="5"/>
  <c r="H905" i="5"/>
  <c r="G905" i="5"/>
  <c r="O905" i="5" s="1"/>
  <c r="D905" i="5"/>
  <c r="C905" i="5"/>
  <c r="F905" i="5" s="1"/>
  <c r="D904" i="5"/>
  <c r="C904" i="5"/>
  <c r="K903" i="5"/>
  <c r="J903" i="5"/>
  <c r="I903" i="5"/>
  <c r="G903" i="5"/>
  <c r="F903" i="5"/>
  <c r="O903" i="5" s="1"/>
  <c r="D903" i="5"/>
  <c r="C903" i="5"/>
  <c r="H903" i="5" s="1"/>
  <c r="L902" i="5"/>
  <c r="K902" i="5"/>
  <c r="J902" i="5"/>
  <c r="I902" i="5"/>
  <c r="F902" i="5"/>
  <c r="D902" i="5"/>
  <c r="C902" i="5"/>
  <c r="D901" i="5"/>
  <c r="C901" i="5"/>
  <c r="M900" i="5"/>
  <c r="I900" i="5"/>
  <c r="H900" i="5"/>
  <c r="D900" i="5"/>
  <c r="C900" i="5"/>
  <c r="P899" i="5"/>
  <c r="N899" i="5"/>
  <c r="M899" i="5"/>
  <c r="K899" i="5"/>
  <c r="J899" i="5"/>
  <c r="I899" i="5"/>
  <c r="H899" i="5"/>
  <c r="G899" i="5"/>
  <c r="F899" i="5"/>
  <c r="O899" i="5" s="1"/>
  <c r="D899" i="5"/>
  <c r="C899" i="5"/>
  <c r="L899" i="5" s="1"/>
  <c r="D898" i="5"/>
  <c r="C898" i="5"/>
  <c r="M897" i="5"/>
  <c r="L897" i="5"/>
  <c r="K897" i="5"/>
  <c r="D897" i="5"/>
  <c r="C897" i="5"/>
  <c r="D896" i="5"/>
  <c r="C896" i="5"/>
  <c r="D895" i="5"/>
  <c r="C895" i="5"/>
  <c r="G895" i="5" s="1"/>
  <c r="P894" i="5"/>
  <c r="N894" i="5"/>
  <c r="K894" i="5"/>
  <c r="J894" i="5"/>
  <c r="I894" i="5"/>
  <c r="H894" i="5"/>
  <c r="G894" i="5"/>
  <c r="F894" i="5"/>
  <c r="O894" i="5" s="1"/>
  <c r="D894" i="5"/>
  <c r="C894" i="5"/>
  <c r="M894" i="5" s="1"/>
  <c r="D893" i="5"/>
  <c r="C893" i="5"/>
  <c r="M892" i="5"/>
  <c r="K892" i="5"/>
  <c r="J892" i="5"/>
  <c r="I892" i="5"/>
  <c r="H892" i="5"/>
  <c r="F892" i="5"/>
  <c r="D892" i="5"/>
  <c r="C892" i="5"/>
  <c r="N891" i="5"/>
  <c r="M891" i="5"/>
  <c r="K891" i="5"/>
  <c r="J891" i="5"/>
  <c r="P891" i="5" s="1"/>
  <c r="I891" i="5"/>
  <c r="H891" i="5"/>
  <c r="G891" i="5"/>
  <c r="F891" i="5"/>
  <c r="O891" i="5" s="1"/>
  <c r="D891" i="5"/>
  <c r="C891" i="5"/>
  <c r="L891" i="5" s="1"/>
  <c r="G890" i="5"/>
  <c r="D890" i="5"/>
  <c r="C890" i="5"/>
  <c r="D889" i="5"/>
  <c r="C889" i="5"/>
  <c r="L888" i="5"/>
  <c r="H888" i="5"/>
  <c r="D888" i="5"/>
  <c r="C888" i="5"/>
  <c r="O887" i="5"/>
  <c r="L887" i="5"/>
  <c r="K887" i="5"/>
  <c r="J887" i="5"/>
  <c r="I887" i="5"/>
  <c r="G887" i="5"/>
  <c r="F887" i="5"/>
  <c r="D887" i="5"/>
  <c r="C887" i="5"/>
  <c r="H887" i="5" s="1"/>
  <c r="L886" i="5"/>
  <c r="I886" i="5"/>
  <c r="G886" i="5"/>
  <c r="D886" i="5"/>
  <c r="C886" i="5"/>
  <c r="P885" i="5"/>
  <c r="N885" i="5"/>
  <c r="L885" i="5"/>
  <c r="K885" i="5"/>
  <c r="I885" i="5"/>
  <c r="H885" i="5"/>
  <c r="G885" i="5"/>
  <c r="F885" i="5"/>
  <c r="D885" i="5"/>
  <c r="C885" i="5"/>
  <c r="J885" i="5" s="1"/>
  <c r="L884" i="5"/>
  <c r="K884" i="5"/>
  <c r="D884" i="5"/>
  <c r="C884" i="5"/>
  <c r="O883" i="5"/>
  <c r="M883" i="5"/>
  <c r="K883" i="5"/>
  <c r="J883" i="5"/>
  <c r="I883" i="5"/>
  <c r="H883" i="5"/>
  <c r="G883" i="5"/>
  <c r="F883" i="5"/>
  <c r="D883" i="5"/>
  <c r="C883" i="5"/>
  <c r="L883" i="5" s="1"/>
  <c r="N882" i="5"/>
  <c r="M882" i="5"/>
  <c r="J882" i="5"/>
  <c r="P882" i="5" s="1"/>
  <c r="D882" i="5"/>
  <c r="C882" i="5"/>
  <c r="J881" i="5"/>
  <c r="I881" i="5"/>
  <c r="D881" i="5"/>
  <c r="C881" i="5"/>
  <c r="M880" i="5"/>
  <c r="I880" i="5"/>
  <c r="H880" i="5"/>
  <c r="G880" i="5"/>
  <c r="D880" i="5"/>
  <c r="C880" i="5"/>
  <c r="K879" i="5"/>
  <c r="I879" i="5"/>
  <c r="F879" i="5"/>
  <c r="D879" i="5"/>
  <c r="C879" i="5"/>
  <c r="I878" i="5"/>
  <c r="H878" i="5"/>
  <c r="G878" i="5"/>
  <c r="D878" i="5"/>
  <c r="C878" i="5"/>
  <c r="D877" i="5"/>
  <c r="C877" i="5"/>
  <c r="G877" i="5" s="1"/>
  <c r="P876" i="5"/>
  <c r="L876" i="5"/>
  <c r="K876" i="5"/>
  <c r="J876" i="5"/>
  <c r="N876" i="5" s="1"/>
  <c r="I876" i="5"/>
  <c r="H876" i="5"/>
  <c r="F876" i="5"/>
  <c r="O876" i="5" s="1"/>
  <c r="D876" i="5"/>
  <c r="C876" i="5"/>
  <c r="G876" i="5" s="1"/>
  <c r="M875" i="5"/>
  <c r="K875" i="5"/>
  <c r="J875" i="5"/>
  <c r="I875" i="5"/>
  <c r="H875" i="5"/>
  <c r="G875" i="5"/>
  <c r="F875" i="5"/>
  <c r="O875" i="5" s="1"/>
  <c r="D875" i="5"/>
  <c r="C875" i="5"/>
  <c r="L875" i="5" s="1"/>
  <c r="N874" i="5"/>
  <c r="L874" i="5"/>
  <c r="K874" i="5"/>
  <c r="J874" i="5"/>
  <c r="P874" i="5" s="1"/>
  <c r="H874" i="5"/>
  <c r="G874" i="5"/>
  <c r="O874" i="5" s="1"/>
  <c r="F874" i="5"/>
  <c r="D874" i="5"/>
  <c r="C874" i="5"/>
  <c r="I874" i="5" s="1"/>
  <c r="P873" i="5"/>
  <c r="M873" i="5"/>
  <c r="L873" i="5"/>
  <c r="K873" i="5"/>
  <c r="J873" i="5"/>
  <c r="N873" i="5" s="1"/>
  <c r="I873" i="5"/>
  <c r="G873" i="5"/>
  <c r="D873" i="5"/>
  <c r="C873" i="5"/>
  <c r="D872" i="5"/>
  <c r="C872" i="5"/>
  <c r="J872" i="5" s="1"/>
  <c r="M871" i="5"/>
  <c r="L871" i="5"/>
  <c r="K871" i="5"/>
  <c r="I871" i="5"/>
  <c r="G871" i="5"/>
  <c r="D871" i="5"/>
  <c r="C871" i="5"/>
  <c r="J871" i="5" s="1"/>
  <c r="K870" i="5"/>
  <c r="I870" i="5"/>
  <c r="F870" i="5"/>
  <c r="D870" i="5"/>
  <c r="C870" i="5"/>
  <c r="L869" i="5"/>
  <c r="I869" i="5"/>
  <c r="G869" i="5"/>
  <c r="D869" i="5"/>
  <c r="C869" i="5"/>
  <c r="D868" i="5"/>
  <c r="C868" i="5"/>
  <c r="P867" i="5"/>
  <c r="O867" i="5"/>
  <c r="M867" i="5"/>
  <c r="K867" i="5"/>
  <c r="J867" i="5"/>
  <c r="N867" i="5" s="1"/>
  <c r="I867" i="5"/>
  <c r="H867" i="5"/>
  <c r="G867" i="5"/>
  <c r="F867" i="5"/>
  <c r="D867" i="5"/>
  <c r="C867" i="5"/>
  <c r="L867" i="5" s="1"/>
  <c r="D866" i="5"/>
  <c r="C866" i="5"/>
  <c r="L865" i="5"/>
  <c r="K865" i="5"/>
  <c r="J865" i="5"/>
  <c r="N865" i="5" s="1"/>
  <c r="I865" i="5"/>
  <c r="H865" i="5"/>
  <c r="G865" i="5"/>
  <c r="O865" i="5" s="1"/>
  <c r="D865" i="5"/>
  <c r="C865" i="5"/>
  <c r="F865" i="5" s="1"/>
  <c r="J864" i="5"/>
  <c r="I864" i="5"/>
  <c r="G864" i="5"/>
  <c r="D864" i="5"/>
  <c r="C864" i="5"/>
  <c r="M863" i="5"/>
  <c r="K863" i="5"/>
  <c r="J863" i="5"/>
  <c r="I863" i="5"/>
  <c r="G863" i="5"/>
  <c r="O863" i="5" s="1"/>
  <c r="F863" i="5"/>
  <c r="D863" i="5"/>
  <c r="C863" i="5"/>
  <c r="I862" i="5"/>
  <c r="D862" i="5"/>
  <c r="C862" i="5"/>
  <c r="F861" i="5"/>
  <c r="D861" i="5"/>
  <c r="C861" i="5"/>
  <c r="P860" i="5"/>
  <c r="N860" i="5"/>
  <c r="L860" i="5"/>
  <c r="K860" i="5"/>
  <c r="J860" i="5"/>
  <c r="I860" i="5"/>
  <c r="H860" i="5"/>
  <c r="F860" i="5"/>
  <c r="O860" i="5" s="1"/>
  <c r="D860" i="5"/>
  <c r="C860" i="5"/>
  <c r="G860" i="5" s="1"/>
  <c r="M859" i="5"/>
  <c r="K859" i="5"/>
  <c r="J859" i="5"/>
  <c r="I859" i="5"/>
  <c r="H859" i="5"/>
  <c r="G859" i="5"/>
  <c r="F859" i="5"/>
  <c r="O859" i="5" s="1"/>
  <c r="D859" i="5"/>
  <c r="C859" i="5"/>
  <c r="L859" i="5" s="1"/>
  <c r="P858" i="5"/>
  <c r="O858" i="5"/>
  <c r="L858" i="5"/>
  <c r="K858" i="5"/>
  <c r="J858" i="5"/>
  <c r="N858" i="5" s="1"/>
  <c r="H858" i="5"/>
  <c r="G858" i="5"/>
  <c r="F858" i="5"/>
  <c r="D858" i="5"/>
  <c r="C858" i="5"/>
  <c r="I858" i="5" s="1"/>
  <c r="D857" i="5"/>
  <c r="C857" i="5"/>
  <c r="N856" i="5"/>
  <c r="J856" i="5"/>
  <c r="P856" i="5" s="1"/>
  <c r="D856" i="5"/>
  <c r="C856" i="5"/>
  <c r="L855" i="5"/>
  <c r="J855" i="5"/>
  <c r="I855" i="5"/>
  <c r="D855" i="5"/>
  <c r="C855" i="5"/>
  <c r="L854" i="5"/>
  <c r="K854" i="5"/>
  <c r="I854" i="5"/>
  <c r="G854" i="5"/>
  <c r="D854" i="5"/>
  <c r="C854" i="5"/>
  <c r="M853" i="5"/>
  <c r="L853" i="5"/>
  <c r="I853" i="5"/>
  <c r="H853" i="5"/>
  <c r="G853" i="5"/>
  <c r="D853" i="5"/>
  <c r="C853" i="5"/>
  <c r="M852" i="5"/>
  <c r="L852" i="5"/>
  <c r="I852" i="5"/>
  <c r="H852" i="5"/>
  <c r="F852" i="5"/>
  <c r="D852" i="5"/>
  <c r="C852" i="5"/>
  <c r="O851" i="5"/>
  <c r="M851" i="5"/>
  <c r="K851" i="5"/>
  <c r="J851" i="5"/>
  <c r="I851" i="5"/>
  <c r="H851" i="5"/>
  <c r="G851" i="5"/>
  <c r="F851" i="5"/>
  <c r="D851" i="5"/>
  <c r="C851" i="5"/>
  <c r="L851" i="5" s="1"/>
  <c r="M850" i="5"/>
  <c r="D850" i="5"/>
  <c r="C850" i="5"/>
  <c r="L849" i="5"/>
  <c r="K849" i="5"/>
  <c r="J849" i="5"/>
  <c r="N849" i="5" s="1"/>
  <c r="I849" i="5"/>
  <c r="H849" i="5"/>
  <c r="G849" i="5"/>
  <c r="O849" i="5" s="1"/>
  <c r="D849" i="5"/>
  <c r="C849" i="5"/>
  <c r="F849" i="5" s="1"/>
  <c r="P848" i="5"/>
  <c r="O848" i="5"/>
  <c r="N848" i="5"/>
  <c r="L848" i="5"/>
  <c r="J848" i="5"/>
  <c r="I848" i="5"/>
  <c r="G848" i="5"/>
  <c r="F848" i="5"/>
  <c r="D848" i="5"/>
  <c r="C848" i="5"/>
  <c r="K848" i="5" s="1"/>
  <c r="O847" i="5"/>
  <c r="M847" i="5"/>
  <c r="K847" i="5"/>
  <c r="J847" i="5"/>
  <c r="G847" i="5"/>
  <c r="F847" i="5"/>
  <c r="D847" i="5"/>
  <c r="C847" i="5"/>
  <c r="J846" i="5"/>
  <c r="D846" i="5"/>
  <c r="C846" i="5"/>
  <c r="K845" i="5"/>
  <c r="H845" i="5"/>
  <c r="G845" i="5"/>
  <c r="D845" i="5"/>
  <c r="C845" i="5"/>
  <c r="K844" i="5"/>
  <c r="J844" i="5"/>
  <c r="I844" i="5"/>
  <c r="D844" i="5"/>
  <c r="C844" i="5"/>
  <c r="P843" i="5"/>
  <c r="N843" i="5"/>
  <c r="M843" i="5"/>
  <c r="K843" i="5"/>
  <c r="J843" i="5"/>
  <c r="I843" i="5"/>
  <c r="H843" i="5"/>
  <c r="G843" i="5"/>
  <c r="F843" i="5"/>
  <c r="D843" i="5"/>
  <c r="C843" i="5"/>
  <c r="L843" i="5" s="1"/>
  <c r="P842" i="5"/>
  <c r="M842" i="5"/>
  <c r="L842" i="5"/>
  <c r="K842" i="5"/>
  <c r="J842" i="5"/>
  <c r="N842" i="5" s="1"/>
  <c r="H842" i="5"/>
  <c r="G842" i="5"/>
  <c r="D842" i="5"/>
  <c r="C842" i="5"/>
  <c r="P841" i="5"/>
  <c r="O841" i="5"/>
  <c r="N841" i="5"/>
  <c r="L841" i="5"/>
  <c r="J841" i="5"/>
  <c r="I841" i="5"/>
  <c r="G841" i="5"/>
  <c r="F841" i="5"/>
  <c r="D841" i="5"/>
  <c r="C841" i="5"/>
  <c r="K841" i="5" s="1"/>
  <c r="D840" i="5"/>
  <c r="C840" i="5"/>
  <c r="D839" i="5"/>
  <c r="C839" i="5"/>
  <c r="K838" i="5"/>
  <c r="I838" i="5"/>
  <c r="H838" i="5"/>
  <c r="D838" i="5"/>
  <c r="C838" i="5"/>
  <c r="L837" i="5"/>
  <c r="J837" i="5"/>
  <c r="I837" i="5"/>
  <c r="H837" i="5"/>
  <c r="D837" i="5"/>
  <c r="C837" i="5"/>
  <c r="P836" i="5"/>
  <c r="N836" i="5"/>
  <c r="M836" i="5"/>
  <c r="K836" i="5"/>
  <c r="J836" i="5"/>
  <c r="I836" i="5"/>
  <c r="H836" i="5"/>
  <c r="G836" i="5"/>
  <c r="F836" i="5"/>
  <c r="D836" i="5"/>
  <c r="C836" i="5"/>
  <c r="L836" i="5" s="1"/>
  <c r="M835" i="5"/>
  <c r="L835" i="5"/>
  <c r="D835" i="5"/>
  <c r="C835" i="5"/>
  <c r="M834" i="5"/>
  <c r="L834" i="5"/>
  <c r="K834" i="5"/>
  <c r="G834" i="5"/>
  <c r="D834" i="5"/>
  <c r="C834" i="5"/>
  <c r="M833" i="5"/>
  <c r="H833" i="5"/>
  <c r="G833" i="5"/>
  <c r="O833" i="5" s="1"/>
  <c r="F833" i="5"/>
  <c r="D833" i="5"/>
  <c r="C833" i="5"/>
  <c r="L832" i="5"/>
  <c r="K832" i="5"/>
  <c r="J832" i="5"/>
  <c r="G832" i="5"/>
  <c r="F832" i="5"/>
  <c r="O832" i="5" s="1"/>
  <c r="D832" i="5"/>
  <c r="C832" i="5"/>
  <c r="H832" i="5" s="1"/>
  <c r="K831" i="5"/>
  <c r="J831" i="5"/>
  <c r="I831" i="5"/>
  <c r="H831" i="5"/>
  <c r="G831" i="5"/>
  <c r="F831" i="5"/>
  <c r="D831" i="5"/>
  <c r="C831" i="5"/>
  <c r="M831" i="5" s="1"/>
  <c r="P830" i="5"/>
  <c r="O830" i="5"/>
  <c r="N830" i="5"/>
  <c r="L830" i="5"/>
  <c r="K830" i="5"/>
  <c r="I830" i="5"/>
  <c r="G830" i="5"/>
  <c r="F830" i="5"/>
  <c r="D830" i="5"/>
  <c r="C830" i="5"/>
  <c r="J830" i="5" s="1"/>
  <c r="M829" i="5"/>
  <c r="D829" i="5"/>
  <c r="C829" i="5"/>
  <c r="N828" i="5"/>
  <c r="M828" i="5"/>
  <c r="K828" i="5"/>
  <c r="J828" i="5"/>
  <c r="P828" i="5" s="1"/>
  <c r="I828" i="5"/>
  <c r="H828" i="5"/>
  <c r="G828" i="5"/>
  <c r="F828" i="5"/>
  <c r="O828" i="5" s="1"/>
  <c r="D828" i="5"/>
  <c r="C828" i="5"/>
  <c r="L828" i="5" s="1"/>
  <c r="N827" i="5"/>
  <c r="M827" i="5"/>
  <c r="K827" i="5"/>
  <c r="J827" i="5"/>
  <c r="P827" i="5" s="1"/>
  <c r="H827" i="5"/>
  <c r="F827" i="5"/>
  <c r="D827" i="5"/>
  <c r="C827" i="5"/>
  <c r="M826" i="5"/>
  <c r="L826" i="5"/>
  <c r="J826" i="5"/>
  <c r="I826" i="5"/>
  <c r="H826" i="5"/>
  <c r="D826" i="5"/>
  <c r="C826" i="5"/>
  <c r="I825" i="5"/>
  <c r="H825" i="5"/>
  <c r="D825" i="5"/>
  <c r="C825" i="5"/>
  <c r="I824" i="5"/>
  <c r="D824" i="5"/>
  <c r="C824" i="5"/>
  <c r="D823" i="5"/>
  <c r="C823" i="5"/>
  <c r="D822" i="5"/>
  <c r="C822" i="5"/>
  <c r="L821" i="5"/>
  <c r="K821" i="5"/>
  <c r="J821" i="5"/>
  <c r="H821" i="5"/>
  <c r="F821" i="5"/>
  <c r="O821" i="5" s="1"/>
  <c r="D821" i="5"/>
  <c r="C821" i="5"/>
  <c r="G821" i="5" s="1"/>
  <c r="N820" i="5"/>
  <c r="M820" i="5"/>
  <c r="K820" i="5"/>
  <c r="J820" i="5"/>
  <c r="P820" i="5" s="1"/>
  <c r="I820" i="5"/>
  <c r="H820" i="5"/>
  <c r="G820" i="5"/>
  <c r="F820" i="5"/>
  <c r="O820" i="5" s="1"/>
  <c r="D820" i="5"/>
  <c r="C820" i="5"/>
  <c r="L820" i="5" s="1"/>
  <c r="L819" i="5"/>
  <c r="K819" i="5"/>
  <c r="J819" i="5"/>
  <c r="G819" i="5"/>
  <c r="F819" i="5"/>
  <c r="O819" i="5" s="1"/>
  <c r="D819" i="5"/>
  <c r="C819" i="5"/>
  <c r="I819" i="5" s="1"/>
  <c r="K818" i="5"/>
  <c r="J818" i="5"/>
  <c r="I818" i="5"/>
  <c r="G818" i="5"/>
  <c r="D818" i="5"/>
  <c r="C818" i="5"/>
  <c r="M817" i="5"/>
  <c r="J817" i="5"/>
  <c r="I817" i="5"/>
  <c r="H817" i="5"/>
  <c r="F817" i="5"/>
  <c r="D817" i="5"/>
  <c r="C817" i="5"/>
  <c r="M816" i="5"/>
  <c r="L816" i="5"/>
  <c r="J816" i="5"/>
  <c r="I816" i="5"/>
  <c r="G816" i="5"/>
  <c r="D816" i="5"/>
  <c r="C816" i="5"/>
  <c r="L815" i="5"/>
  <c r="K815" i="5"/>
  <c r="I815" i="5"/>
  <c r="H815" i="5"/>
  <c r="G815" i="5"/>
  <c r="D815" i="5"/>
  <c r="C815" i="5"/>
  <c r="I814" i="5"/>
  <c r="H814" i="5"/>
  <c r="D814" i="5"/>
  <c r="C814" i="5"/>
  <c r="K813" i="5"/>
  <c r="I813" i="5"/>
  <c r="D813" i="5"/>
  <c r="C813" i="5"/>
  <c r="P812" i="5"/>
  <c r="O812" i="5"/>
  <c r="M812" i="5"/>
  <c r="K812" i="5"/>
  <c r="J812" i="5"/>
  <c r="N812" i="5" s="1"/>
  <c r="I812" i="5"/>
  <c r="H812" i="5"/>
  <c r="G812" i="5"/>
  <c r="F812" i="5"/>
  <c r="D812" i="5"/>
  <c r="C812" i="5"/>
  <c r="L812" i="5" s="1"/>
  <c r="L811" i="5"/>
  <c r="K811" i="5"/>
  <c r="H811" i="5"/>
  <c r="G811" i="5"/>
  <c r="F811" i="5"/>
  <c r="O811" i="5" s="1"/>
  <c r="D811" i="5"/>
  <c r="C811" i="5"/>
  <c r="M811" i="5" s="1"/>
  <c r="L810" i="5"/>
  <c r="K810" i="5"/>
  <c r="J810" i="5"/>
  <c r="H810" i="5"/>
  <c r="G810" i="5"/>
  <c r="O810" i="5" s="1"/>
  <c r="D810" i="5"/>
  <c r="C810" i="5"/>
  <c r="F810" i="5" s="1"/>
  <c r="O809" i="5"/>
  <c r="L809" i="5"/>
  <c r="J809" i="5"/>
  <c r="I809" i="5"/>
  <c r="H809" i="5"/>
  <c r="G809" i="5"/>
  <c r="F809" i="5"/>
  <c r="D809" i="5"/>
  <c r="C809" i="5"/>
  <c r="K809" i="5" s="1"/>
  <c r="M808" i="5"/>
  <c r="D808" i="5"/>
  <c r="C808" i="5"/>
  <c r="I807" i="5"/>
  <c r="H807" i="5"/>
  <c r="F807" i="5"/>
  <c r="D807" i="5"/>
  <c r="C807" i="5"/>
  <c r="K806" i="5"/>
  <c r="I806" i="5"/>
  <c r="H806" i="5"/>
  <c r="F806" i="5"/>
  <c r="D806" i="5"/>
  <c r="C806" i="5"/>
  <c r="D805" i="5"/>
  <c r="C805" i="5"/>
  <c r="P804" i="5"/>
  <c r="N804" i="5"/>
  <c r="M804" i="5"/>
  <c r="K804" i="5"/>
  <c r="J804" i="5"/>
  <c r="I804" i="5"/>
  <c r="H804" i="5"/>
  <c r="G804" i="5"/>
  <c r="F804" i="5"/>
  <c r="D804" i="5"/>
  <c r="C804" i="5"/>
  <c r="L804" i="5" s="1"/>
  <c r="M803" i="5"/>
  <c r="L803" i="5"/>
  <c r="J803" i="5"/>
  <c r="P803" i="5" s="1"/>
  <c r="D803" i="5"/>
  <c r="C803" i="5"/>
  <c r="D802" i="5"/>
  <c r="C802" i="5"/>
  <c r="M801" i="5"/>
  <c r="H801" i="5"/>
  <c r="D801" i="5"/>
  <c r="C801" i="5"/>
  <c r="L800" i="5"/>
  <c r="K800" i="5"/>
  <c r="J800" i="5"/>
  <c r="I800" i="5"/>
  <c r="G800" i="5"/>
  <c r="F800" i="5"/>
  <c r="O800" i="5" s="1"/>
  <c r="D800" i="5"/>
  <c r="C800" i="5"/>
  <c r="H800" i="5" s="1"/>
  <c r="K799" i="5"/>
  <c r="J799" i="5"/>
  <c r="I799" i="5"/>
  <c r="G799" i="5"/>
  <c r="O799" i="5" s="1"/>
  <c r="F799" i="5"/>
  <c r="D799" i="5"/>
  <c r="C799" i="5"/>
  <c r="M799" i="5" s="1"/>
  <c r="P798" i="5"/>
  <c r="O798" i="5"/>
  <c r="N798" i="5"/>
  <c r="L798" i="5"/>
  <c r="K798" i="5"/>
  <c r="I798" i="5"/>
  <c r="H798" i="5"/>
  <c r="G798" i="5"/>
  <c r="F798" i="5"/>
  <c r="D798" i="5"/>
  <c r="C798" i="5"/>
  <c r="J798" i="5" s="1"/>
  <c r="D797" i="5"/>
  <c r="C797" i="5"/>
  <c r="N796" i="5"/>
  <c r="M796" i="5"/>
  <c r="K796" i="5"/>
  <c r="J796" i="5"/>
  <c r="P796" i="5" s="1"/>
  <c r="I796" i="5"/>
  <c r="H796" i="5"/>
  <c r="G796" i="5"/>
  <c r="F796" i="5"/>
  <c r="O796" i="5" s="1"/>
  <c r="D796" i="5"/>
  <c r="C796" i="5"/>
  <c r="L796" i="5" s="1"/>
  <c r="D795" i="5"/>
  <c r="C795" i="5"/>
  <c r="L794" i="5"/>
  <c r="J794" i="5"/>
  <c r="D794" i="5"/>
  <c r="C794" i="5"/>
  <c r="L793" i="5"/>
  <c r="I793" i="5"/>
  <c r="H793" i="5"/>
  <c r="D793" i="5"/>
  <c r="C793" i="5"/>
  <c r="M793" i="5" s="1"/>
  <c r="F792" i="5"/>
  <c r="D792" i="5"/>
  <c r="C792" i="5"/>
  <c r="L791" i="5"/>
  <c r="K791" i="5"/>
  <c r="H791" i="5"/>
  <c r="G791" i="5"/>
  <c r="F791" i="5"/>
  <c r="D791" i="5"/>
  <c r="C791" i="5"/>
  <c r="O790" i="5"/>
  <c r="L790" i="5"/>
  <c r="K790" i="5"/>
  <c r="H790" i="5"/>
  <c r="G790" i="5"/>
  <c r="F790" i="5"/>
  <c r="D790" i="5"/>
  <c r="C790" i="5"/>
  <c r="N789" i="5"/>
  <c r="L789" i="5"/>
  <c r="K789" i="5"/>
  <c r="J789" i="5"/>
  <c r="P789" i="5" s="1"/>
  <c r="I789" i="5"/>
  <c r="H789" i="5"/>
  <c r="F789" i="5"/>
  <c r="O789" i="5" s="1"/>
  <c r="D789" i="5"/>
  <c r="C789" i="5"/>
  <c r="G789" i="5" s="1"/>
  <c r="P788" i="5"/>
  <c r="N788" i="5"/>
  <c r="M788" i="5"/>
  <c r="K788" i="5"/>
  <c r="J788" i="5"/>
  <c r="I788" i="5"/>
  <c r="H788" i="5"/>
  <c r="G788" i="5"/>
  <c r="F788" i="5"/>
  <c r="O788" i="5" s="1"/>
  <c r="D788" i="5"/>
  <c r="C788" i="5"/>
  <c r="L788" i="5" s="1"/>
  <c r="L787" i="5"/>
  <c r="K787" i="5"/>
  <c r="J787" i="5"/>
  <c r="H787" i="5"/>
  <c r="G787" i="5"/>
  <c r="F787" i="5"/>
  <c r="O787" i="5" s="1"/>
  <c r="D787" i="5"/>
  <c r="C787" i="5"/>
  <c r="I787" i="5" s="1"/>
  <c r="N786" i="5"/>
  <c r="L786" i="5"/>
  <c r="K786" i="5"/>
  <c r="J786" i="5"/>
  <c r="P786" i="5" s="1"/>
  <c r="H786" i="5"/>
  <c r="D786" i="5"/>
  <c r="C786" i="5"/>
  <c r="M785" i="5"/>
  <c r="D785" i="5"/>
  <c r="C785" i="5"/>
  <c r="N784" i="5"/>
  <c r="L784" i="5"/>
  <c r="J784" i="5"/>
  <c r="P784" i="5" s="1"/>
  <c r="D784" i="5"/>
  <c r="C784" i="5"/>
  <c r="N783" i="5"/>
  <c r="M783" i="5"/>
  <c r="K783" i="5"/>
  <c r="J783" i="5"/>
  <c r="P783" i="5" s="1"/>
  <c r="I783" i="5"/>
  <c r="G783" i="5"/>
  <c r="F783" i="5"/>
  <c r="O783" i="5" s="1"/>
  <c r="D783" i="5"/>
  <c r="C783" i="5"/>
  <c r="H783" i="5" s="1"/>
  <c r="K782" i="5"/>
  <c r="J782" i="5"/>
  <c r="F782" i="5"/>
  <c r="D782" i="5"/>
  <c r="C782" i="5"/>
  <c r="M781" i="5"/>
  <c r="K781" i="5"/>
  <c r="I781" i="5"/>
  <c r="H781" i="5"/>
  <c r="G781" i="5"/>
  <c r="D781" i="5"/>
  <c r="C781" i="5"/>
  <c r="M780" i="5"/>
  <c r="L780" i="5"/>
  <c r="J780" i="5"/>
  <c r="I780" i="5"/>
  <c r="H780" i="5"/>
  <c r="F780" i="5"/>
  <c r="D780" i="5"/>
  <c r="C780" i="5"/>
  <c r="M779" i="5"/>
  <c r="K779" i="5"/>
  <c r="J779" i="5"/>
  <c r="I779" i="5"/>
  <c r="H779" i="5"/>
  <c r="G779" i="5"/>
  <c r="F779" i="5"/>
  <c r="O779" i="5" s="1"/>
  <c r="D779" i="5"/>
  <c r="C779" i="5"/>
  <c r="L779" i="5" s="1"/>
  <c r="D778" i="5"/>
  <c r="C778" i="5"/>
  <c r="M777" i="5"/>
  <c r="L777" i="5"/>
  <c r="K777" i="5"/>
  <c r="I777" i="5"/>
  <c r="H777" i="5"/>
  <c r="G777" i="5"/>
  <c r="D777" i="5"/>
  <c r="C777" i="5"/>
  <c r="M776" i="5"/>
  <c r="L776" i="5"/>
  <c r="J776" i="5"/>
  <c r="I776" i="5"/>
  <c r="H776" i="5"/>
  <c r="D776" i="5"/>
  <c r="C776" i="5"/>
  <c r="N775" i="5"/>
  <c r="M775" i="5"/>
  <c r="K775" i="5"/>
  <c r="J775" i="5"/>
  <c r="P775" i="5" s="1"/>
  <c r="I775" i="5"/>
  <c r="G775" i="5"/>
  <c r="F775" i="5"/>
  <c r="D775" i="5"/>
  <c r="C775" i="5"/>
  <c r="H775" i="5" s="1"/>
  <c r="D774" i="5"/>
  <c r="C774" i="5"/>
  <c r="D773" i="5"/>
  <c r="C773" i="5"/>
  <c r="P772" i="5"/>
  <c r="N772" i="5"/>
  <c r="J772" i="5"/>
  <c r="I772" i="5"/>
  <c r="F772" i="5"/>
  <c r="D772" i="5"/>
  <c r="C772" i="5"/>
  <c r="N771" i="5"/>
  <c r="M771" i="5"/>
  <c r="K771" i="5"/>
  <c r="J771" i="5"/>
  <c r="P771" i="5" s="1"/>
  <c r="I771" i="5"/>
  <c r="H771" i="5"/>
  <c r="G771" i="5"/>
  <c r="F771" i="5"/>
  <c r="O771" i="5" s="1"/>
  <c r="D771" i="5"/>
  <c r="C771" i="5"/>
  <c r="L771" i="5" s="1"/>
  <c r="D770" i="5"/>
  <c r="C770" i="5"/>
  <c r="D769" i="5"/>
  <c r="C769" i="5"/>
  <c r="D768" i="5"/>
  <c r="C768" i="5"/>
  <c r="N767" i="5"/>
  <c r="M767" i="5"/>
  <c r="K767" i="5"/>
  <c r="J767" i="5"/>
  <c r="P767" i="5" s="1"/>
  <c r="I767" i="5"/>
  <c r="G767" i="5"/>
  <c r="F767" i="5"/>
  <c r="O767" i="5" s="1"/>
  <c r="D767" i="5"/>
  <c r="C767" i="5"/>
  <c r="H767" i="5" s="1"/>
  <c r="L766" i="5"/>
  <c r="K766" i="5"/>
  <c r="J766" i="5"/>
  <c r="H766" i="5"/>
  <c r="G766" i="5"/>
  <c r="D766" i="5"/>
  <c r="C766" i="5"/>
  <c r="M765" i="5"/>
  <c r="L765" i="5"/>
  <c r="K765" i="5"/>
  <c r="H765" i="5"/>
  <c r="G765" i="5"/>
  <c r="D765" i="5"/>
  <c r="C765" i="5"/>
  <c r="D764" i="5"/>
  <c r="C764" i="5"/>
  <c r="O763" i="5"/>
  <c r="M763" i="5"/>
  <c r="K763" i="5"/>
  <c r="J763" i="5"/>
  <c r="I763" i="5"/>
  <c r="H763" i="5"/>
  <c r="G763" i="5"/>
  <c r="F763" i="5"/>
  <c r="D763" i="5"/>
  <c r="C763" i="5"/>
  <c r="L763" i="5" s="1"/>
  <c r="G762" i="5"/>
  <c r="F762" i="5"/>
  <c r="O762" i="5" s="1"/>
  <c r="D762" i="5"/>
  <c r="C762" i="5"/>
  <c r="J762" i="5" s="1"/>
  <c r="G761" i="5"/>
  <c r="D761" i="5"/>
  <c r="C761" i="5"/>
  <c r="M760" i="5"/>
  <c r="L760" i="5"/>
  <c r="J760" i="5"/>
  <c r="I760" i="5"/>
  <c r="H760" i="5"/>
  <c r="F760" i="5"/>
  <c r="D760" i="5"/>
  <c r="C760" i="5"/>
  <c r="D759" i="5"/>
  <c r="C759" i="5"/>
  <c r="L758" i="5"/>
  <c r="G758" i="5"/>
  <c r="F758" i="5"/>
  <c r="O758" i="5" s="1"/>
  <c r="D758" i="5"/>
  <c r="C758" i="5"/>
  <c r="J758" i="5" s="1"/>
  <c r="K757" i="5"/>
  <c r="H757" i="5"/>
  <c r="F757" i="5"/>
  <c r="D757" i="5"/>
  <c r="C757" i="5"/>
  <c r="I757" i="5" s="1"/>
  <c r="M756" i="5"/>
  <c r="L756" i="5"/>
  <c r="J756" i="5"/>
  <c r="I756" i="5"/>
  <c r="H756" i="5"/>
  <c r="F756" i="5"/>
  <c r="D756" i="5"/>
  <c r="C756" i="5"/>
  <c r="M755" i="5"/>
  <c r="K755" i="5"/>
  <c r="J755" i="5"/>
  <c r="I755" i="5"/>
  <c r="H755" i="5"/>
  <c r="G755" i="5"/>
  <c r="F755" i="5"/>
  <c r="O755" i="5" s="1"/>
  <c r="D755" i="5"/>
  <c r="C755" i="5"/>
  <c r="L755" i="5" s="1"/>
  <c r="O754" i="5"/>
  <c r="N754" i="5"/>
  <c r="J754" i="5"/>
  <c r="P754" i="5" s="1"/>
  <c r="H754" i="5"/>
  <c r="G754" i="5"/>
  <c r="F754" i="5"/>
  <c r="D754" i="5"/>
  <c r="C754" i="5"/>
  <c r="L753" i="5"/>
  <c r="K753" i="5"/>
  <c r="J753" i="5"/>
  <c r="I753" i="5"/>
  <c r="H753" i="5"/>
  <c r="G753" i="5"/>
  <c r="D753" i="5"/>
  <c r="C753" i="5"/>
  <c r="F753" i="5" s="1"/>
  <c r="D752" i="5"/>
  <c r="C752" i="5"/>
  <c r="N751" i="5"/>
  <c r="L751" i="5"/>
  <c r="K751" i="5"/>
  <c r="J751" i="5"/>
  <c r="P751" i="5" s="1"/>
  <c r="I751" i="5"/>
  <c r="G751" i="5"/>
  <c r="F751" i="5"/>
  <c r="O751" i="5" s="1"/>
  <c r="D751" i="5"/>
  <c r="C751" i="5"/>
  <c r="H751" i="5" s="1"/>
  <c r="L750" i="5"/>
  <c r="K750" i="5"/>
  <c r="J750" i="5"/>
  <c r="N750" i="5" s="1"/>
  <c r="I750" i="5"/>
  <c r="G750" i="5"/>
  <c r="F750" i="5"/>
  <c r="O750" i="5" s="1"/>
  <c r="D750" i="5"/>
  <c r="C750" i="5"/>
  <c r="K749" i="5"/>
  <c r="J749" i="5"/>
  <c r="G749" i="5"/>
  <c r="D749" i="5"/>
  <c r="C749" i="5"/>
  <c r="L749" i="5" s="1"/>
  <c r="P748" i="5"/>
  <c r="N748" i="5"/>
  <c r="L748" i="5"/>
  <c r="K748" i="5"/>
  <c r="I748" i="5"/>
  <c r="H748" i="5"/>
  <c r="G748" i="5"/>
  <c r="F748" i="5"/>
  <c r="O748" i="5" s="1"/>
  <c r="D748" i="5"/>
  <c r="C748" i="5"/>
  <c r="J748" i="5" s="1"/>
  <c r="D747" i="5"/>
  <c r="C747" i="5"/>
  <c r="P746" i="5"/>
  <c r="N746" i="5"/>
  <c r="M746" i="5"/>
  <c r="K746" i="5"/>
  <c r="J746" i="5"/>
  <c r="I746" i="5"/>
  <c r="H746" i="5"/>
  <c r="G746" i="5"/>
  <c r="F746" i="5"/>
  <c r="D746" i="5"/>
  <c r="C746" i="5"/>
  <c r="L746" i="5" s="1"/>
  <c r="M745" i="5"/>
  <c r="L745" i="5"/>
  <c r="K745" i="5"/>
  <c r="F745" i="5"/>
  <c r="D745" i="5"/>
  <c r="C745" i="5"/>
  <c r="M744" i="5"/>
  <c r="J744" i="5"/>
  <c r="I744" i="5"/>
  <c r="H744" i="5"/>
  <c r="G744" i="5"/>
  <c r="D744" i="5"/>
  <c r="C744" i="5"/>
  <c r="N743" i="5"/>
  <c r="M743" i="5"/>
  <c r="L743" i="5"/>
  <c r="J743" i="5"/>
  <c r="P743" i="5" s="1"/>
  <c r="I743" i="5"/>
  <c r="H743" i="5"/>
  <c r="D743" i="5"/>
  <c r="C743" i="5"/>
  <c r="D742" i="5"/>
  <c r="C742" i="5"/>
  <c r="L741" i="5"/>
  <c r="D741" i="5"/>
  <c r="C741" i="5"/>
  <c r="M740" i="5"/>
  <c r="L740" i="5"/>
  <c r="G740" i="5"/>
  <c r="F740" i="5"/>
  <c r="D740" i="5"/>
  <c r="C740" i="5"/>
  <c r="H740" i="5" s="1"/>
  <c r="P739" i="5"/>
  <c r="L739" i="5"/>
  <c r="K739" i="5"/>
  <c r="J739" i="5"/>
  <c r="N739" i="5" s="1"/>
  <c r="I739" i="5"/>
  <c r="H739" i="5"/>
  <c r="F739" i="5"/>
  <c r="O739" i="5" s="1"/>
  <c r="D739" i="5"/>
  <c r="C739" i="5"/>
  <c r="G739" i="5" s="1"/>
  <c r="M738" i="5"/>
  <c r="K738" i="5"/>
  <c r="J738" i="5"/>
  <c r="I738" i="5"/>
  <c r="H738" i="5"/>
  <c r="G738" i="5"/>
  <c r="F738" i="5"/>
  <c r="O738" i="5" s="1"/>
  <c r="D738" i="5"/>
  <c r="C738" i="5"/>
  <c r="L738" i="5" s="1"/>
  <c r="P737" i="5"/>
  <c r="L737" i="5"/>
  <c r="K737" i="5"/>
  <c r="J737" i="5"/>
  <c r="N737" i="5" s="1"/>
  <c r="H737" i="5"/>
  <c r="G737" i="5"/>
  <c r="F737" i="5"/>
  <c r="O737" i="5" s="1"/>
  <c r="D737" i="5"/>
  <c r="C737" i="5"/>
  <c r="I737" i="5" s="1"/>
  <c r="M736" i="5"/>
  <c r="L736" i="5"/>
  <c r="J736" i="5"/>
  <c r="G736" i="5"/>
  <c r="D736" i="5"/>
  <c r="C736" i="5"/>
  <c r="K736" i="5" s="1"/>
  <c r="P735" i="5"/>
  <c r="N735" i="5"/>
  <c r="J735" i="5"/>
  <c r="I735" i="5"/>
  <c r="H735" i="5"/>
  <c r="G735" i="5"/>
  <c r="O735" i="5" s="1"/>
  <c r="F735" i="5"/>
  <c r="D735" i="5"/>
  <c r="C735" i="5"/>
  <c r="K735" i="5" s="1"/>
  <c r="L734" i="5"/>
  <c r="K734" i="5"/>
  <c r="J734" i="5"/>
  <c r="D734" i="5"/>
  <c r="C734" i="5"/>
  <c r="M734" i="5" s="1"/>
  <c r="L733" i="5"/>
  <c r="I733" i="5"/>
  <c r="H733" i="5"/>
  <c r="G733" i="5"/>
  <c r="F733" i="5"/>
  <c r="O733" i="5" s="1"/>
  <c r="D733" i="5"/>
  <c r="C733" i="5"/>
  <c r="M732" i="5"/>
  <c r="L732" i="5"/>
  <c r="K732" i="5"/>
  <c r="I732" i="5"/>
  <c r="H732" i="5"/>
  <c r="D732" i="5"/>
  <c r="C732" i="5"/>
  <c r="D731" i="5"/>
  <c r="C731" i="5"/>
  <c r="P730" i="5"/>
  <c r="M730" i="5"/>
  <c r="K730" i="5"/>
  <c r="J730" i="5"/>
  <c r="N730" i="5" s="1"/>
  <c r="I730" i="5"/>
  <c r="H730" i="5"/>
  <c r="G730" i="5"/>
  <c r="F730" i="5"/>
  <c r="O730" i="5" s="1"/>
  <c r="D730" i="5"/>
  <c r="C730" i="5"/>
  <c r="L730" i="5" s="1"/>
  <c r="M729" i="5"/>
  <c r="L729" i="5"/>
  <c r="K729" i="5"/>
  <c r="H729" i="5"/>
  <c r="G729" i="5"/>
  <c r="F729" i="5"/>
  <c r="O729" i="5" s="1"/>
  <c r="D729" i="5"/>
  <c r="C729" i="5"/>
  <c r="P728" i="5"/>
  <c r="O728" i="5"/>
  <c r="L728" i="5"/>
  <c r="K728" i="5"/>
  <c r="J728" i="5"/>
  <c r="N728" i="5" s="1"/>
  <c r="I728" i="5"/>
  <c r="H728" i="5"/>
  <c r="G728" i="5"/>
  <c r="D728" i="5"/>
  <c r="C728" i="5"/>
  <c r="F728" i="5" s="1"/>
  <c r="I727" i="5"/>
  <c r="G727" i="5"/>
  <c r="F727" i="5"/>
  <c r="O727" i="5" s="1"/>
  <c r="D727" i="5"/>
  <c r="C727" i="5"/>
  <c r="M727" i="5" s="1"/>
  <c r="K726" i="5"/>
  <c r="J726" i="5"/>
  <c r="I726" i="5"/>
  <c r="F726" i="5"/>
  <c r="D726" i="5"/>
  <c r="C726" i="5"/>
  <c r="M726" i="5" s="1"/>
  <c r="L725" i="5"/>
  <c r="D725" i="5"/>
  <c r="C725" i="5"/>
  <c r="M724" i="5"/>
  <c r="K724" i="5"/>
  <c r="I724" i="5"/>
  <c r="G724" i="5"/>
  <c r="F724" i="5"/>
  <c r="O724" i="5" s="1"/>
  <c r="D724" i="5"/>
  <c r="C724" i="5"/>
  <c r="H724" i="5" s="1"/>
  <c r="J723" i="5"/>
  <c r="I723" i="5"/>
  <c r="H723" i="5"/>
  <c r="D723" i="5"/>
  <c r="C723" i="5"/>
  <c r="M723" i="5" s="1"/>
  <c r="P722" i="5"/>
  <c r="N722" i="5"/>
  <c r="M722" i="5"/>
  <c r="K722" i="5"/>
  <c r="J722" i="5"/>
  <c r="I722" i="5"/>
  <c r="H722" i="5"/>
  <c r="G722" i="5"/>
  <c r="F722" i="5"/>
  <c r="O722" i="5" s="1"/>
  <c r="D722" i="5"/>
  <c r="C722" i="5"/>
  <c r="L722" i="5" s="1"/>
  <c r="G721" i="5"/>
  <c r="D721" i="5"/>
  <c r="C721" i="5"/>
  <c r="I720" i="5"/>
  <c r="H720" i="5"/>
  <c r="G720" i="5"/>
  <c r="D720" i="5"/>
  <c r="C720" i="5"/>
  <c r="M720" i="5" s="1"/>
  <c r="L719" i="5"/>
  <c r="J719" i="5"/>
  <c r="I719" i="5"/>
  <c r="H719" i="5"/>
  <c r="G719" i="5"/>
  <c r="F719" i="5"/>
  <c r="O719" i="5" s="1"/>
  <c r="D719" i="5"/>
  <c r="C719" i="5"/>
  <c r="K719" i="5" s="1"/>
  <c r="D718" i="5"/>
  <c r="C718" i="5"/>
  <c r="P717" i="5"/>
  <c r="N717" i="5"/>
  <c r="K717" i="5"/>
  <c r="J717" i="5"/>
  <c r="I717" i="5"/>
  <c r="H717" i="5"/>
  <c r="G717" i="5"/>
  <c r="F717" i="5"/>
  <c r="O717" i="5" s="1"/>
  <c r="D717" i="5"/>
  <c r="C717" i="5"/>
  <c r="M717" i="5" s="1"/>
  <c r="M716" i="5"/>
  <c r="L716" i="5"/>
  <c r="K716" i="5"/>
  <c r="I716" i="5"/>
  <c r="G716" i="5"/>
  <c r="F716" i="5"/>
  <c r="O716" i="5" s="1"/>
  <c r="D716" i="5"/>
  <c r="C716" i="5"/>
  <c r="M715" i="5"/>
  <c r="D715" i="5"/>
  <c r="C715" i="5"/>
  <c r="O714" i="5"/>
  <c r="M714" i="5"/>
  <c r="K714" i="5"/>
  <c r="J714" i="5"/>
  <c r="P714" i="5" s="1"/>
  <c r="I714" i="5"/>
  <c r="H714" i="5"/>
  <c r="G714" i="5"/>
  <c r="F714" i="5"/>
  <c r="D714" i="5"/>
  <c r="C714" i="5"/>
  <c r="L714" i="5" s="1"/>
  <c r="M713" i="5"/>
  <c r="K713" i="5"/>
  <c r="J713" i="5"/>
  <c r="H713" i="5"/>
  <c r="G713" i="5"/>
  <c r="O713" i="5" s="1"/>
  <c r="F713" i="5"/>
  <c r="D713" i="5"/>
  <c r="C713" i="5"/>
  <c r="M712" i="5"/>
  <c r="L712" i="5"/>
  <c r="D712" i="5"/>
  <c r="C712" i="5"/>
  <c r="M711" i="5"/>
  <c r="L711" i="5"/>
  <c r="I711" i="5"/>
  <c r="G711" i="5"/>
  <c r="F711" i="5"/>
  <c r="O711" i="5" s="1"/>
  <c r="D711" i="5"/>
  <c r="C711" i="5"/>
  <c r="H711" i="5" s="1"/>
  <c r="J710" i="5"/>
  <c r="I710" i="5"/>
  <c r="G710" i="5"/>
  <c r="D710" i="5"/>
  <c r="C710" i="5"/>
  <c r="H710" i="5" s="1"/>
  <c r="K709" i="5"/>
  <c r="D709" i="5"/>
  <c r="C709" i="5"/>
  <c r="P708" i="5"/>
  <c r="O708" i="5"/>
  <c r="L708" i="5"/>
  <c r="K708" i="5"/>
  <c r="I708" i="5"/>
  <c r="G708" i="5"/>
  <c r="F708" i="5"/>
  <c r="D708" i="5"/>
  <c r="C708" i="5"/>
  <c r="J708" i="5" s="1"/>
  <c r="N708" i="5" s="1"/>
  <c r="K707" i="5"/>
  <c r="J707" i="5"/>
  <c r="H707" i="5"/>
  <c r="D707" i="5"/>
  <c r="C707" i="5"/>
  <c r="M707" i="5" s="1"/>
  <c r="P706" i="5"/>
  <c r="N706" i="5"/>
  <c r="M706" i="5"/>
  <c r="K706" i="5"/>
  <c r="J706" i="5"/>
  <c r="I706" i="5"/>
  <c r="H706" i="5"/>
  <c r="G706" i="5"/>
  <c r="F706" i="5"/>
  <c r="O706" i="5" s="1"/>
  <c r="D706" i="5"/>
  <c r="C706" i="5"/>
  <c r="L706" i="5" s="1"/>
  <c r="P705" i="5"/>
  <c r="J705" i="5"/>
  <c r="N705" i="5" s="1"/>
  <c r="G705" i="5"/>
  <c r="F705" i="5"/>
  <c r="D705" i="5"/>
  <c r="C705" i="5"/>
  <c r="M705" i="5" s="1"/>
  <c r="K704" i="5"/>
  <c r="J704" i="5"/>
  <c r="I704" i="5"/>
  <c r="D704" i="5"/>
  <c r="C704" i="5"/>
  <c r="M704" i="5" s="1"/>
  <c r="M703" i="5"/>
  <c r="L703" i="5"/>
  <c r="D703" i="5"/>
  <c r="C703" i="5"/>
  <c r="F702" i="5"/>
  <c r="D702" i="5"/>
  <c r="C702" i="5"/>
  <c r="I701" i="5"/>
  <c r="H701" i="5"/>
  <c r="G701" i="5"/>
  <c r="D701" i="5"/>
  <c r="C701" i="5"/>
  <c r="L701" i="5" s="1"/>
  <c r="M700" i="5"/>
  <c r="L700" i="5"/>
  <c r="I700" i="5"/>
  <c r="H700" i="5"/>
  <c r="G700" i="5"/>
  <c r="F700" i="5"/>
  <c r="O700" i="5" s="1"/>
  <c r="D700" i="5"/>
  <c r="C700" i="5"/>
  <c r="L699" i="5"/>
  <c r="D699" i="5"/>
  <c r="C699" i="5"/>
  <c r="P698" i="5"/>
  <c r="N698" i="5"/>
  <c r="M698" i="5"/>
  <c r="K698" i="5"/>
  <c r="J698" i="5"/>
  <c r="I698" i="5"/>
  <c r="H698" i="5"/>
  <c r="G698" i="5"/>
  <c r="F698" i="5"/>
  <c r="D698" i="5"/>
  <c r="C698" i="5"/>
  <c r="L698" i="5" s="1"/>
  <c r="M697" i="5"/>
  <c r="D697" i="5"/>
  <c r="C697" i="5"/>
  <c r="G696" i="5"/>
  <c r="D696" i="5"/>
  <c r="C696" i="5"/>
  <c r="P695" i="5"/>
  <c r="N695" i="5"/>
  <c r="L695" i="5"/>
  <c r="J695" i="5"/>
  <c r="I695" i="5"/>
  <c r="H695" i="5"/>
  <c r="G695" i="5"/>
  <c r="O695" i="5" s="1"/>
  <c r="F695" i="5"/>
  <c r="D695" i="5"/>
  <c r="C695" i="5"/>
  <c r="K695" i="5" s="1"/>
  <c r="M694" i="5"/>
  <c r="L694" i="5"/>
  <c r="K694" i="5"/>
  <c r="J694" i="5"/>
  <c r="P694" i="5" s="1"/>
  <c r="I694" i="5"/>
  <c r="F694" i="5"/>
  <c r="D694" i="5"/>
  <c r="C694" i="5"/>
  <c r="F693" i="5"/>
  <c r="D693" i="5"/>
  <c r="C693" i="5"/>
  <c r="I692" i="5"/>
  <c r="H692" i="5"/>
  <c r="F692" i="5"/>
  <c r="D692" i="5"/>
  <c r="C692" i="5"/>
  <c r="M692" i="5" s="1"/>
  <c r="L691" i="5"/>
  <c r="J691" i="5"/>
  <c r="I691" i="5"/>
  <c r="F691" i="5"/>
  <c r="D691" i="5"/>
  <c r="C691" i="5"/>
  <c r="M691" i="5" s="1"/>
  <c r="N690" i="5"/>
  <c r="M690" i="5"/>
  <c r="K690" i="5"/>
  <c r="J690" i="5"/>
  <c r="P690" i="5" s="1"/>
  <c r="I690" i="5"/>
  <c r="H690" i="5"/>
  <c r="G690" i="5"/>
  <c r="F690" i="5"/>
  <c r="D690" i="5"/>
  <c r="C690" i="5"/>
  <c r="L690" i="5" s="1"/>
  <c r="D689" i="5"/>
  <c r="C689" i="5"/>
  <c r="M689" i="5" s="1"/>
  <c r="D688" i="5"/>
  <c r="C688" i="5"/>
  <c r="M688" i="5" s="1"/>
  <c r="D687" i="5"/>
  <c r="C687" i="5"/>
  <c r="M687" i="5" s="1"/>
  <c r="L686" i="5"/>
  <c r="K686" i="5"/>
  <c r="J686" i="5"/>
  <c r="I686" i="5"/>
  <c r="G686" i="5"/>
  <c r="F686" i="5"/>
  <c r="O686" i="5" s="1"/>
  <c r="D686" i="5"/>
  <c r="C686" i="5"/>
  <c r="H686" i="5" s="1"/>
  <c r="K685" i="5"/>
  <c r="I685" i="5"/>
  <c r="F685" i="5"/>
  <c r="D685" i="5"/>
  <c r="C685" i="5"/>
  <c r="J685" i="5" s="1"/>
  <c r="P684" i="5"/>
  <c r="O684" i="5"/>
  <c r="N684" i="5"/>
  <c r="L684" i="5"/>
  <c r="K684" i="5"/>
  <c r="I684" i="5"/>
  <c r="H684" i="5"/>
  <c r="G684" i="5"/>
  <c r="F684" i="5"/>
  <c r="D684" i="5"/>
  <c r="C684" i="5"/>
  <c r="J684" i="5" s="1"/>
  <c r="M683" i="5"/>
  <c r="L683" i="5"/>
  <c r="K683" i="5"/>
  <c r="I683" i="5"/>
  <c r="F683" i="5"/>
  <c r="D683" i="5"/>
  <c r="C683" i="5"/>
  <c r="J683" i="5" s="1"/>
  <c r="N683" i="5" s="1"/>
  <c r="N682" i="5"/>
  <c r="M682" i="5"/>
  <c r="K682" i="5"/>
  <c r="J682" i="5"/>
  <c r="P682" i="5" s="1"/>
  <c r="I682" i="5"/>
  <c r="H682" i="5"/>
  <c r="G682" i="5"/>
  <c r="F682" i="5"/>
  <c r="O682" i="5" s="1"/>
  <c r="D682" i="5"/>
  <c r="C682" i="5"/>
  <c r="L682" i="5" s="1"/>
  <c r="H681" i="5"/>
  <c r="D681" i="5"/>
  <c r="C681" i="5"/>
  <c r="M681" i="5" s="1"/>
  <c r="M680" i="5"/>
  <c r="L680" i="5"/>
  <c r="J680" i="5"/>
  <c r="N680" i="5" s="1"/>
  <c r="H680" i="5"/>
  <c r="G680" i="5"/>
  <c r="D680" i="5"/>
  <c r="C680" i="5"/>
  <c r="I680" i="5" s="1"/>
  <c r="H679" i="5"/>
  <c r="D679" i="5"/>
  <c r="C679" i="5"/>
  <c r="M679" i="5" s="1"/>
  <c r="M678" i="5"/>
  <c r="L678" i="5"/>
  <c r="K678" i="5"/>
  <c r="I678" i="5"/>
  <c r="G678" i="5"/>
  <c r="F678" i="5"/>
  <c r="O678" i="5" s="1"/>
  <c r="D678" i="5"/>
  <c r="C678" i="5"/>
  <c r="I677" i="5"/>
  <c r="H677" i="5"/>
  <c r="F677" i="5"/>
  <c r="D677" i="5"/>
  <c r="C677" i="5"/>
  <c r="L677" i="5" s="1"/>
  <c r="K676" i="5"/>
  <c r="H676" i="5"/>
  <c r="G676" i="5"/>
  <c r="D676" i="5"/>
  <c r="C676" i="5"/>
  <c r="M676" i="5" s="1"/>
  <c r="L675" i="5"/>
  <c r="K675" i="5"/>
  <c r="J675" i="5"/>
  <c r="N675" i="5" s="1"/>
  <c r="I675" i="5"/>
  <c r="H675" i="5"/>
  <c r="F675" i="5"/>
  <c r="O675" i="5" s="1"/>
  <c r="D675" i="5"/>
  <c r="C675" i="5"/>
  <c r="G675" i="5" s="1"/>
  <c r="P674" i="5"/>
  <c r="N674" i="5"/>
  <c r="M674" i="5"/>
  <c r="K674" i="5"/>
  <c r="J674" i="5"/>
  <c r="I674" i="5"/>
  <c r="H674" i="5"/>
  <c r="G674" i="5"/>
  <c r="F674" i="5"/>
  <c r="O674" i="5" s="1"/>
  <c r="D674" i="5"/>
  <c r="C674" i="5"/>
  <c r="L674" i="5" s="1"/>
  <c r="P673" i="5"/>
  <c r="N673" i="5"/>
  <c r="L673" i="5"/>
  <c r="K673" i="5"/>
  <c r="J673" i="5"/>
  <c r="H673" i="5"/>
  <c r="G673" i="5"/>
  <c r="F673" i="5"/>
  <c r="O673" i="5" s="1"/>
  <c r="D673" i="5"/>
  <c r="C673" i="5"/>
  <c r="I673" i="5" s="1"/>
  <c r="J672" i="5"/>
  <c r="I672" i="5"/>
  <c r="G672" i="5"/>
  <c r="D672" i="5"/>
  <c r="C672" i="5"/>
  <c r="M672" i="5" s="1"/>
  <c r="M671" i="5"/>
  <c r="J671" i="5"/>
  <c r="N671" i="5" s="1"/>
  <c r="I671" i="5"/>
  <c r="G671" i="5"/>
  <c r="O671" i="5" s="1"/>
  <c r="F671" i="5"/>
  <c r="D671" i="5"/>
  <c r="C671" i="5"/>
  <c r="H671" i="5" s="1"/>
  <c r="L670" i="5"/>
  <c r="J670" i="5"/>
  <c r="P670" i="5" s="1"/>
  <c r="I670" i="5"/>
  <c r="D670" i="5"/>
  <c r="C670" i="5"/>
  <c r="M670" i="5" s="1"/>
  <c r="L669" i="5"/>
  <c r="K669" i="5"/>
  <c r="I669" i="5"/>
  <c r="H669" i="5"/>
  <c r="G669" i="5"/>
  <c r="F669" i="5"/>
  <c r="O669" i="5" s="1"/>
  <c r="D669" i="5"/>
  <c r="C669" i="5"/>
  <c r="M668" i="5"/>
  <c r="K668" i="5"/>
  <c r="I668" i="5"/>
  <c r="H668" i="5"/>
  <c r="D668" i="5"/>
  <c r="C668" i="5"/>
  <c r="M667" i="5"/>
  <c r="L667" i="5"/>
  <c r="K667" i="5"/>
  <c r="H667" i="5"/>
  <c r="F667" i="5"/>
  <c r="D667" i="5"/>
  <c r="C667" i="5"/>
  <c r="I667" i="5" s="1"/>
  <c r="P666" i="5"/>
  <c r="M666" i="5"/>
  <c r="K666" i="5"/>
  <c r="J666" i="5"/>
  <c r="N666" i="5" s="1"/>
  <c r="I666" i="5"/>
  <c r="H666" i="5"/>
  <c r="G666" i="5"/>
  <c r="F666" i="5"/>
  <c r="O666" i="5" s="1"/>
  <c r="D666" i="5"/>
  <c r="C666" i="5"/>
  <c r="L666" i="5" s="1"/>
  <c r="G665" i="5"/>
  <c r="D665" i="5"/>
  <c r="C665" i="5"/>
  <c r="M665" i="5" s="1"/>
  <c r="L664" i="5"/>
  <c r="K664" i="5"/>
  <c r="J664" i="5"/>
  <c r="N664" i="5" s="1"/>
  <c r="I664" i="5"/>
  <c r="H664" i="5"/>
  <c r="G664" i="5"/>
  <c r="O664" i="5" s="1"/>
  <c r="D664" i="5"/>
  <c r="C664" i="5"/>
  <c r="F664" i="5" s="1"/>
  <c r="J663" i="5"/>
  <c r="I663" i="5"/>
  <c r="F663" i="5"/>
  <c r="D663" i="5"/>
  <c r="C663" i="5"/>
  <c r="L663" i="5" s="1"/>
  <c r="I662" i="5"/>
  <c r="G662" i="5"/>
  <c r="F662" i="5"/>
  <c r="O662" i="5" s="1"/>
  <c r="D662" i="5"/>
  <c r="C662" i="5"/>
  <c r="M662" i="5" s="1"/>
  <c r="J661" i="5"/>
  <c r="I661" i="5"/>
  <c r="F661" i="5"/>
  <c r="D661" i="5"/>
  <c r="C661" i="5"/>
  <c r="K661" i="5" s="1"/>
  <c r="I660" i="5"/>
  <c r="H660" i="5"/>
  <c r="G660" i="5"/>
  <c r="D660" i="5"/>
  <c r="C660" i="5"/>
  <c r="M660" i="5" s="1"/>
  <c r="L659" i="5"/>
  <c r="J659" i="5"/>
  <c r="H659" i="5"/>
  <c r="D659" i="5"/>
  <c r="C659" i="5"/>
  <c r="K659" i="5" s="1"/>
  <c r="P658" i="5"/>
  <c r="N658" i="5"/>
  <c r="M658" i="5"/>
  <c r="K658" i="5"/>
  <c r="J658" i="5"/>
  <c r="I658" i="5"/>
  <c r="H658" i="5"/>
  <c r="G658" i="5"/>
  <c r="F658" i="5"/>
  <c r="O658" i="5" s="1"/>
  <c r="D658" i="5"/>
  <c r="C658" i="5"/>
  <c r="L658" i="5" s="1"/>
  <c r="N657" i="5"/>
  <c r="M657" i="5"/>
  <c r="L657" i="5"/>
  <c r="J657" i="5"/>
  <c r="P657" i="5" s="1"/>
  <c r="H657" i="5"/>
  <c r="G657" i="5"/>
  <c r="D657" i="5"/>
  <c r="C657" i="5"/>
  <c r="L656" i="5"/>
  <c r="K656" i="5"/>
  <c r="I656" i="5"/>
  <c r="G656" i="5"/>
  <c r="D656" i="5"/>
  <c r="C656" i="5"/>
  <c r="M655" i="5"/>
  <c r="L655" i="5"/>
  <c r="I655" i="5"/>
  <c r="H655" i="5"/>
  <c r="G655" i="5"/>
  <c r="D655" i="5"/>
  <c r="C655" i="5"/>
  <c r="O654" i="5"/>
  <c r="M654" i="5"/>
  <c r="L654" i="5"/>
  <c r="K654" i="5"/>
  <c r="G654" i="5"/>
  <c r="F654" i="5"/>
  <c r="D654" i="5"/>
  <c r="C654" i="5"/>
  <c r="J654" i="5" s="1"/>
  <c r="P653" i="5"/>
  <c r="N653" i="5"/>
  <c r="K653" i="5"/>
  <c r="J653" i="5"/>
  <c r="I653" i="5"/>
  <c r="H653" i="5"/>
  <c r="G653" i="5"/>
  <c r="F653" i="5"/>
  <c r="O653" i="5" s="1"/>
  <c r="D653" i="5"/>
  <c r="C653" i="5"/>
  <c r="M653" i="5" s="1"/>
  <c r="G652" i="5"/>
  <c r="D652" i="5"/>
  <c r="C652" i="5"/>
  <c r="M652" i="5" s="1"/>
  <c r="M651" i="5"/>
  <c r="K651" i="5"/>
  <c r="J651" i="5"/>
  <c r="N651" i="5" s="1"/>
  <c r="H651" i="5"/>
  <c r="F651" i="5"/>
  <c r="D651" i="5"/>
  <c r="C651" i="5"/>
  <c r="I651" i="5" s="1"/>
  <c r="N650" i="5"/>
  <c r="M650" i="5"/>
  <c r="K650" i="5"/>
  <c r="J650" i="5"/>
  <c r="P650" i="5" s="1"/>
  <c r="I650" i="5"/>
  <c r="H650" i="5"/>
  <c r="G650" i="5"/>
  <c r="F650" i="5"/>
  <c r="O650" i="5" s="1"/>
  <c r="D650" i="5"/>
  <c r="C650" i="5"/>
  <c r="L650" i="5" s="1"/>
  <c r="M649" i="5"/>
  <c r="J649" i="5"/>
  <c r="P649" i="5" s="1"/>
  <c r="H649" i="5"/>
  <c r="D649" i="5"/>
  <c r="C649" i="5"/>
  <c r="K648" i="5"/>
  <c r="J648" i="5"/>
  <c r="H648" i="5"/>
  <c r="D648" i="5"/>
  <c r="C648" i="5"/>
  <c r="L648" i="5" s="1"/>
  <c r="I647" i="5"/>
  <c r="H647" i="5"/>
  <c r="G647" i="5"/>
  <c r="D647" i="5"/>
  <c r="C647" i="5"/>
  <c r="M647" i="5" s="1"/>
  <c r="L646" i="5"/>
  <c r="K646" i="5"/>
  <c r="J646" i="5"/>
  <c r="I646" i="5"/>
  <c r="G646" i="5"/>
  <c r="O646" i="5" s="1"/>
  <c r="F646" i="5"/>
  <c r="D646" i="5"/>
  <c r="C646" i="5"/>
  <c r="H646" i="5" s="1"/>
  <c r="N645" i="5"/>
  <c r="K645" i="5"/>
  <c r="J645" i="5"/>
  <c r="P645" i="5" s="1"/>
  <c r="F645" i="5"/>
  <c r="D645" i="5"/>
  <c r="C645" i="5"/>
  <c r="M644" i="5"/>
  <c r="L644" i="5"/>
  <c r="I644" i="5"/>
  <c r="G644" i="5"/>
  <c r="D644" i="5"/>
  <c r="C644" i="5"/>
  <c r="P643" i="5"/>
  <c r="M643" i="5"/>
  <c r="L643" i="5"/>
  <c r="K643" i="5"/>
  <c r="J643" i="5"/>
  <c r="N643" i="5" s="1"/>
  <c r="H643" i="5"/>
  <c r="F643" i="5"/>
  <c r="D643" i="5"/>
  <c r="C643" i="5"/>
  <c r="P642" i="5"/>
  <c r="N642" i="5"/>
  <c r="M642" i="5"/>
  <c r="K642" i="5"/>
  <c r="J642" i="5"/>
  <c r="I642" i="5"/>
  <c r="H642" i="5"/>
  <c r="G642" i="5"/>
  <c r="F642" i="5"/>
  <c r="O642" i="5" s="1"/>
  <c r="D642" i="5"/>
  <c r="C642" i="5"/>
  <c r="L642" i="5" s="1"/>
  <c r="K641" i="5"/>
  <c r="J641" i="5"/>
  <c r="P641" i="5" s="1"/>
  <c r="F641" i="5"/>
  <c r="D641" i="5"/>
  <c r="C641" i="5"/>
  <c r="L641" i="5" s="1"/>
  <c r="I640" i="5"/>
  <c r="H640" i="5"/>
  <c r="G640" i="5"/>
  <c r="D640" i="5"/>
  <c r="C640" i="5"/>
  <c r="M640" i="5" s="1"/>
  <c r="J639" i="5"/>
  <c r="I639" i="5"/>
  <c r="F639" i="5"/>
  <c r="D639" i="5"/>
  <c r="C639" i="5"/>
  <c r="L639" i="5" s="1"/>
  <c r="I638" i="5"/>
  <c r="G638" i="5"/>
  <c r="F638" i="5"/>
  <c r="O638" i="5" s="1"/>
  <c r="D638" i="5"/>
  <c r="C638" i="5"/>
  <c r="M638" i="5" s="1"/>
  <c r="J637" i="5"/>
  <c r="I637" i="5"/>
  <c r="G637" i="5"/>
  <c r="D637" i="5"/>
  <c r="C637" i="5"/>
  <c r="K637" i="5" s="1"/>
  <c r="I636" i="5"/>
  <c r="H636" i="5"/>
  <c r="G636" i="5"/>
  <c r="D636" i="5"/>
  <c r="C636" i="5"/>
  <c r="M636" i="5" s="1"/>
  <c r="L635" i="5"/>
  <c r="K635" i="5"/>
  <c r="J635" i="5"/>
  <c r="H635" i="5"/>
  <c r="F635" i="5"/>
  <c r="O635" i="5" s="1"/>
  <c r="D635" i="5"/>
  <c r="C635" i="5"/>
  <c r="G635" i="5" s="1"/>
  <c r="M634" i="5"/>
  <c r="K634" i="5"/>
  <c r="J634" i="5"/>
  <c r="P634" i="5" s="1"/>
  <c r="I634" i="5"/>
  <c r="H634" i="5"/>
  <c r="G634" i="5"/>
  <c r="F634" i="5"/>
  <c r="O634" i="5" s="1"/>
  <c r="D634" i="5"/>
  <c r="C634" i="5"/>
  <c r="L634" i="5" s="1"/>
  <c r="D633" i="5"/>
  <c r="C633" i="5"/>
  <c r="M633" i="5" s="1"/>
  <c r="D632" i="5"/>
  <c r="C632" i="5"/>
  <c r="M632" i="5" s="1"/>
  <c r="P631" i="5"/>
  <c r="L631" i="5"/>
  <c r="J631" i="5"/>
  <c r="N631" i="5" s="1"/>
  <c r="I631" i="5"/>
  <c r="H631" i="5"/>
  <c r="G631" i="5"/>
  <c r="F631" i="5"/>
  <c r="D631" i="5"/>
  <c r="C631" i="5"/>
  <c r="K631" i="5" s="1"/>
  <c r="M630" i="5"/>
  <c r="J630" i="5"/>
  <c r="I630" i="5"/>
  <c r="D630" i="5"/>
  <c r="C630" i="5"/>
  <c r="K630" i="5" s="1"/>
  <c r="H629" i="5"/>
  <c r="G629" i="5"/>
  <c r="F629" i="5"/>
  <c r="O629" i="5" s="1"/>
  <c r="D629" i="5"/>
  <c r="C629" i="5"/>
  <c r="L629" i="5" s="1"/>
  <c r="K628" i="5"/>
  <c r="I628" i="5"/>
  <c r="F628" i="5"/>
  <c r="D628" i="5"/>
  <c r="C628" i="5"/>
  <c r="L628" i="5" s="1"/>
  <c r="I627" i="5"/>
  <c r="H627" i="5"/>
  <c r="F627" i="5"/>
  <c r="D627" i="5"/>
  <c r="C627" i="5"/>
  <c r="M627" i="5" s="1"/>
  <c r="M626" i="5"/>
  <c r="K626" i="5"/>
  <c r="J626" i="5"/>
  <c r="P626" i="5" s="1"/>
  <c r="I626" i="5"/>
  <c r="H626" i="5"/>
  <c r="G626" i="5"/>
  <c r="F626" i="5"/>
  <c r="O626" i="5" s="1"/>
  <c r="D626" i="5"/>
  <c r="C626" i="5"/>
  <c r="L626" i="5" s="1"/>
  <c r="D625" i="5"/>
  <c r="C625" i="5"/>
  <c r="D624" i="5"/>
  <c r="C624" i="5"/>
  <c r="P623" i="5"/>
  <c r="O623" i="5"/>
  <c r="M623" i="5"/>
  <c r="L623" i="5"/>
  <c r="J623" i="5"/>
  <c r="N623" i="5" s="1"/>
  <c r="G623" i="5"/>
  <c r="F623" i="5"/>
  <c r="D623" i="5"/>
  <c r="C623" i="5"/>
  <c r="H623" i="5" s="1"/>
  <c r="L622" i="5"/>
  <c r="K622" i="5"/>
  <c r="J622" i="5"/>
  <c r="P622" i="5" s="1"/>
  <c r="I622" i="5"/>
  <c r="G622" i="5"/>
  <c r="O622" i="5" s="1"/>
  <c r="F622" i="5"/>
  <c r="D622" i="5"/>
  <c r="C622" i="5"/>
  <c r="H622" i="5" s="1"/>
  <c r="I621" i="5"/>
  <c r="G621" i="5"/>
  <c r="F621" i="5"/>
  <c r="O621" i="5" s="1"/>
  <c r="D621" i="5"/>
  <c r="C621" i="5"/>
  <c r="L621" i="5" s="1"/>
  <c r="P620" i="5"/>
  <c r="N620" i="5"/>
  <c r="L620" i="5"/>
  <c r="K620" i="5"/>
  <c r="I620" i="5"/>
  <c r="H620" i="5"/>
  <c r="G620" i="5"/>
  <c r="F620" i="5"/>
  <c r="O620" i="5" s="1"/>
  <c r="D620" i="5"/>
  <c r="C620" i="5"/>
  <c r="J620" i="5" s="1"/>
  <c r="P619" i="5"/>
  <c r="N619" i="5"/>
  <c r="M619" i="5"/>
  <c r="K619" i="5"/>
  <c r="J619" i="5"/>
  <c r="I619" i="5"/>
  <c r="D619" i="5"/>
  <c r="C619" i="5"/>
  <c r="P618" i="5"/>
  <c r="N618" i="5"/>
  <c r="M618" i="5"/>
  <c r="K618" i="5"/>
  <c r="J618" i="5"/>
  <c r="I618" i="5"/>
  <c r="H618" i="5"/>
  <c r="G618" i="5"/>
  <c r="F618" i="5"/>
  <c r="O618" i="5" s="1"/>
  <c r="D618" i="5"/>
  <c r="C618" i="5"/>
  <c r="L618" i="5" s="1"/>
  <c r="M617" i="5"/>
  <c r="L617" i="5"/>
  <c r="K617" i="5"/>
  <c r="H617" i="5"/>
  <c r="F617" i="5"/>
  <c r="D617" i="5"/>
  <c r="C617" i="5"/>
  <c r="J617" i="5" s="1"/>
  <c r="H616" i="5"/>
  <c r="D616" i="5"/>
  <c r="C616" i="5"/>
  <c r="M616" i="5" s="1"/>
  <c r="M615" i="5"/>
  <c r="L615" i="5"/>
  <c r="J615" i="5"/>
  <c r="N615" i="5" s="1"/>
  <c r="I615" i="5"/>
  <c r="H615" i="5"/>
  <c r="G615" i="5"/>
  <c r="D615" i="5"/>
  <c r="C615" i="5"/>
  <c r="M614" i="5"/>
  <c r="I614" i="5"/>
  <c r="G614" i="5"/>
  <c r="D614" i="5"/>
  <c r="C614" i="5"/>
  <c r="K614" i="5" s="1"/>
  <c r="L613" i="5"/>
  <c r="H613" i="5"/>
  <c r="G613" i="5"/>
  <c r="F613" i="5"/>
  <c r="O613" i="5" s="1"/>
  <c r="D613" i="5"/>
  <c r="C613" i="5"/>
  <c r="K613" i="5" s="1"/>
  <c r="M612" i="5"/>
  <c r="L612" i="5"/>
  <c r="K612" i="5"/>
  <c r="H612" i="5"/>
  <c r="G612" i="5"/>
  <c r="F612" i="5"/>
  <c r="O612" i="5" s="1"/>
  <c r="D612" i="5"/>
  <c r="C612" i="5"/>
  <c r="N611" i="5"/>
  <c r="L611" i="5"/>
  <c r="K611" i="5"/>
  <c r="J611" i="5"/>
  <c r="P611" i="5" s="1"/>
  <c r="I611" i="5"/>
  <c r="H611" i="5"/>
  <c r="F611" i="5"/>
  <c r="O611" i="5" s="1"/>
  <c r="D611" i="5"/>
  <c r="C611" i="5"/>
  <c r="G611" i="5" s="1"/>
  <c r="P610" i="5"/>
  <c r="N610" i="5"/>
  <c r="M610" i="5"/>
  <c r="K610" i="5"/>
  <c r="J610" i="5"/>
  <c r="I610" i="5"/>
  <c r="H610" i="5"/>
  <c r="G610" i="5"/>
  <c r="F610" i="5"/>
  <c r="D610" i="5"/>
  <c r="C610" i="5"/>
  <c r="L610" i="5" s="1"/>
  <c r="P609" i="5"/>
  <c r="N609" i="5"/>
  <c r="L609" i="5"/>
  <c r="K609" i="5"/>
  <c r="J609" i="5"/>
  <c r="H609" i="5"/>
  <c r="G609" i="5"/>
  <c r="F609" i="5"/>
  <c r="D609" i="5"/>
  <c r="C609" i="5"/>
  <c r="I609" i="5" s="1"/>
  <c r="L608" i="5"/>
  <c r="K608" i="5"/>
  <c r="J608" i="5"/>
  <c r="D608" i="5"/>
  <c r="C608" i="5"/>
  <c r="M607" i="5"/>
  <c r="I607" i="5"/>
  <c r="H607" i="5"/>
  <c r="D607" i="5"/>
  <c r="C607" i="5"/>
  <c r="K606" i="5"/>
  <c r="J606" i="5"/>
  <c r="P606" i="5" s="1"/>
  <c r="G606" i="5"/>
  <c r="D606" i="5"/>
  <c r="C606" i="5"/>
  <c r="L606" i="5" s="1"/>
  <c r="I605" i="5"/>
  <c r="H605" i="5"/>
  <c r="G605" i="5"/>
  <c r="D605" i="5"/>
  <c r="C605" i="5"/>
  <c r="L605" i="5" s="1"/>
  <c r="M604" i="5"/>
  <c r="L604" i="5"/>
  <c r="K604" i="5"/>
  <c r="H604" i="5"/>
  <c r="G604" i="5"/>
  <c r="D604" i="5"/>
  <c r="C604" i="5"/>
  <c r="I604" i="5" s="1"/>
  <c r="K603" i="5"/>
  <c r="I603" i="5"/>
  <c r="H603" i="5"/>
  <c r="D603" i="5"/>
  <c r="C603" i="5"/>
  <c r="M603" i="5" s="1"/>
  <c r="M602" i="5"/>
  <c r="K602" i="5"/>
  <c r="J602" i="5"/>
  <c r="I602" i="5"/>
  <c r="H602" i="5"/>
  <c r="G602" i="5"/>
  <c r="F602" i="5"/>
  <c r="O602" i="5" s="1"/>
  <c r="D602" i="5"/>
  <c r="C602" i="5"/>
  <c r="L602" i="5" s="1"/>
  <c r="O601" i="5"/>
  <c r="M601" i="5"/>
  <c r="L601" i="5"/>
  <c r="K601" i="5"/>
  <c r="G601" i="5"/>
  <c r="F601" i="5"/>
  <c r="D601" i="5"/>
  <c r="C601" i="5"/>
  <c r="H601" i="5" s="1"/>
  <c r="P600" i="5"/>
  <c r="O600" i="5"/>
  <c r="L600" i="5"/>
  <c r="K600" i="5"/>
  <c r="J600" i="5"/>
  <c r="N600" i="5" s="1"/>
  <c r="I600" i="5"/>
  <c r="H600" i="5"/>
  <c r="G600" i="5"/>
  <c r="D600" i="5"/>
  <c r="C600" i="5"/>
  <c r="F600" i="5" s="1"/>
  <c r="D599" i="5"/>
  <c r="C599" i="5"/>
  <c r="F598" i="5"/>
  <c r="D598" i="5"/>
  <c r="C598" i="5"/>
  <c r="F597" i="5"/>
  <c r="D597" i="5"/>
  <c r="C597" i="5"/>
  <c r="M596" i="5"/>
  <c r="K596" i="5"/>
  <c r="I596" i="5"/>
  <c r="H596" i="5"/>
  <c r="G596" i="5"/>
  <c r="F596" i="5"/>
  <c r="O596" i="5" s="1"/>
  <c r="D596" i="5"/>
  <c r="C596" i="5"/>
  <c r="J595" i="5"/>
  <c r="I595" i="5"/>
  <c r="H595" i="5"/>
  <c r="D595" i="5"/>
  <c r="C595" i="5"/>
  <c r="M595" i="5" s="1"/>
  <c r="P594" i="5"/>
  <c r="N594" i="5"/>
  <c r="M594" i="5"/>
  <c r="K594" i="5"/>
  <c r="J594" i="5"/>
  <c r="I594" i="5"/>
  <c r="H594" i="5"/>
  <c r="G594" i="5"/>
  <c r="F594" i="5"/>
  <c r="O594" i="5" s="1"/>
  <c r="D594" i="5"/>
  <c r="C594" i="5"/>
  <c r="L594" i="5" s="1"/>
  <c r="D593" i="5"/>
  <c r="C593" i="5"/>
  <c r="M592" i="5"/>
  <c r="D592" i="5"/>
  <c r="C592" i="5"/>
  <c r="P591" i="5"/>
  <c r="O591" i="5"/>
  <c r="L591" i="5"/>
  <c r="J591" i="5"/>
  <c r="N591" i="5" s="1"/>
  <c r="I591" i="5"/>
  <c r="G591" i="5"/>
  <c r="F591" i="5"/>
  <c r="D591" i="5"/>
  <c r="C591" i="5"/>
  <c r="K591" i="5" s="1"/>
  <c r="D590" i="5"/>
  <c r="C590" i="5"/>
  <c r="M590" i="5" s="1"/>
  <c r="P589" i="5"/>
  <c r="K589" i="5"/>
  <c r="J589" i="5"/>
  <c r="N589" i="5" s="1"/>
  <c r="I589" i="5"/>
  <c r="H589" i="5"/>
  <c r="G589" i="5"/>
  <c r="F589" i="5"/>
  <c r="D589" i="5"/>
  <c r="C589" i="5"/>
  <c r="M589" i="5" s="1"/>
  <c r="M588" i="5"/>
  <c r="L588" i="5"/>
  <c r="K588" i="5"/>
  <c r="G588" i="5"/>
  <c r="F588" i="5"/>
  <c r="O588" i="5" s="1"/>
  <c r="D588" i="5"/>
  <c r="C588" i="5"/>
  <c r="I588" i="5" s="1"/>
  <c r="J587" i="5"/>
  <c r="I587" i="5"/>
  <c r="H587" i="5"/>
  <c r="D587" i="5"/>
  <c r="C587" i="5"/>
  <c r="M587" i="5" s="1"/>
  <c r="M586" i="5"/>
  <c r="K586" i="5"/>
  <c r="J586" i="5"/>
  <c r="I586" i="5"/>
  <c r="H586" i="5"/>
  <c r="G586" i="5"/>
  <c r="F586" i="5"/>
  <c r="O586" i="5" s="1"/>
  <c r="D586" i="5"/>
  <c r="C586" i="5"/>
  <c r="L586" i="5" s="1"/>
  <c r="O585" i="5"/>
  <c r="M585" i="5"/>
  <c r="K585" i="5"/>
  <c r="J585" i="5"/>
  <c r="N585" i="5" s="1"/>
  <c r="G585" i="5"/>
  <c r="F585" i="5"/>
  <c r="D585" i="5"/>
  <c r="C585" i="5"/>
  <c r="H585" i="5" s="1"/>
  <c r="M584" i="5"/>
  <c r="L584" i="5"/>
  <c r="J584" i="5"/>
  <c r="I584" i="5"/>
  <c r="H584" i="5"/>
  <c r="D584" i="5"/>
  <c r="C584" i="5"/>
  <c r="O583" i="5"/>
  <c r="M583" i="5"/>
  <c r="L583" i="5"/>
  <c r="I583" i="5"/>
  <c r="H583" i="5"/>
  <c r="G583" i="5"/>
  <c r="F583" i="5"/>
  <c r="D583" i="5"/>
  <c r="C583" i="5"/>
  <c r="D582" i="5"/>
  <c r="C582" i="5"/>
  <c r="M582" i="5" s="1"/>
  <c r="F581" i="5"/>
  <c r="D581" i="5"/>
  <c r="C581" i="5"/>
  <c r="P580" i="5"/>
  <c r="L580" i="5"/>
  <c r="K580" i="5"/>
  <c r="I580" i="5"/>
  <c r="H580" i="5"/>
  <c r="G580" i="5"/>
  <c r="F580" i="5"/>
  <c r="O580" i="5" s="1"/>
  <c r="D580" i="5"/>
  <c r="C580" i="5"/>
  <c r="J580" i="5" s="1"/>
  <c r="N580" i="5" s="1"/>
  <c r="K579" i="5"/>
  <c r="J579" i="5"/>
  <c r="P579" i="5" s="1"/>
  <c r="H579" i="5"/>
  <c r="D579" i="5"/>
  <c r="C579" i="5"/>
  <c r="M579" i="5" s="1"/>
  <c r="L578" i="5"/>
  <c r="J578" i="5"/>
  <c r="I578" i="5"/>
  <c r="D578" i="5"/>
  <c r="C578" i="5"/>
  <c r="M578" i="5" s="1"/>
  <c r="M577" i="5"/>
  <c r="L577" i="5"/>
  <c r="I577" i="5"/>
  <c r="G577" i="5"/>
  <c r="D577" i="5"/>
  <c r="C577" i="5"/>
  <c r="M576" i="5"/>
  <c r="L576" i="5"/>
  <c r="K576" i="5"/>
  <c r="I576" i="5"/>
  <c r="G576" i="5"/>
  <c r="F576" i="5"/>
  <c r="O576" i="5" s="1"/>
  <c r="D576" i="5"/>
  <c r="C576" i="5"/>
  <c r="L575" i="5"/>
  <c r="D575" i="5"/>
  <c r="C575" i="5"/>
  <c r="K575" i="5" s="1"/>
  <c r="M574" i="5"/>
  <c r="L574" i="5"/>
  <c r="K574" i="5"/>
  <c r="G574" i="5"/>
  <c r="F574" i="5"/>
  <c r="O574" i="5" s="1"/>
  <c r="D574" i="5"/>
  <c r="C574" i="5"/>
  <c r="H574" i="5" s="1"/>
  <c r="L573" i="5"/>
  <c r="K573" i="5"/>
  <c r="J573" i="5"/>
  <c r="I573" i="5"/>
  <c r="H573" i="5"/>
  <c r="F573" i="5"/>
  <c r="O573" i="5" s="1"/>
  <c r="D573" i="5"/>
  <c r="C573" i="5"/>
  <c r="G573" i="5" s="1"/>
  <c r="P572" i="5"/>
  <c r="N572" i="5"/>
  <c r="M572" i="5"/>
  <c r="K572" i="5"/>
  <c r="J572" i="5"/>
  <c r="I572" i="5"/>
  <c r="H572" i="5"/>
  <c r="G572" i="5"/>
  <c r="F572" i="5"/>
  <c r="O572" i="5" s="1"/>
  <c r="D572" i="5"/>
  <c r="C572" i="5"/>
  <c r="L572" i="5" s="1"/>
  <c r="P571" i="5"/>
  <c r="N571" i="5"/>
  <c r="L571" i="5"/>
  <c r="K571" i="5"/>
  <c r="J571" i="5"/>
  <c r="H571" i="5"/>
  <c r="G571" i="5"/>
  <c r="F571" i="5"/>
  <c r="D571" i="5"/>
  <c r="C571" i="5"/>
  <c r="I571" i="5" s="1"/>
  <c r="K570" i="5"/>
  <c r="J570" i="5"/>
  <c r="I570" i="5"/>
  <c r="D570" i="5"/>
  <c r="C570" i="5"/>
  <c r="M570" i="5" s="1"/>
  <c r="M569" i="5"/>
  <c r="J569" i="5"/>
  <c r="I569" i="5"/>
  <c r="F569" i="5"/>
  <c r="D569" i="5"/>
  <c r="C569" i="5"/>
  <c r="M568" i="5"/>
  <c r="L568" i="5"/>
  <c r="J568" i="5"/>
  <c r="G568" i="5"/>
  <c r="D568" i="5"/>
  <c r="C568" i="5"/>
  <c r="L567" i="5"/>
  <c r="K567" i="5"/>
  <c r="I567" i="5"/>
  <c r="H567" i="5"/>
  <c r="G567" i="5"/>
  <c r="D567" i="5"/>
  <c r="C567" i="5"/>
  <c r="M566" i="5"/>
  <c r="D566" i="5"/>
  <c r="C566" i="5"/>
  <c r="M565" i="5"/>
  <c r="D565" i="5"/>
  <c r="C565" i="5"/>
  <c r="P564" i="5"/>
  <c r="M564" i="5"/>
  <c r="K564" i="5"/>
  <c r="J564" i="5"/>
  <c r="N564" i="5" s="1"/>
  <c r="I564" i="5"/>
  <c r="H564" i="5"/>
  <c r="G564" i="5"/>
  <c r="F564" i="5"/>
  <c r="D564" i="5"/>
  <c r="C564" i="5"/>
  <c r="L564" i="5" s="1"/>
  <c r="L563" i="5"/>
  <c r="K563" i="5"/>
  <c r="H563" i="5"/>
  <c r="F563" i="5"/>
  <c r="D563" i="5"/>
  <c r="C563" i="5"/>
  <c r="M563" i="5" s="1"/>
  <c r="O562" i="5"/>
  <c r="L562" i="5"/>
  <c r="K562" i="5"/>
  <c r="J562" i="5"/>
  <c r="N562" i="5" s="1"/>
  <c r="I562" i="5"/>
  <c r="H562" i="5"/>
  <c r="G562" i="5"/>
  <c r="D562" i="5"/>
  <c r="C562" i="5"/>
  <c r="F562" i="5" s="1"/>
  <c r="P561" i="5"/>
  <c r="O561" i="5"/>
  <c r="L561" i="5"/>
  <c r="J561" i="5"/>
  <c r="N561" i="5" s="1"/>
  <c r="I561" i="5"/>
  <c r="G561" i="5"/>
  <c r="F561" i="5"/>
  <c r="D561" i="5"/>
  <c r="C561" i="5"/>
  <c r="K561" i="5" s="1"/>
  <c r="M560" i="5"/>
  <c r="K560" i="5"/>
  <c r="I560" i="5"/>
  <c r="F560" i="5"/>
  <c r="D560" i="5"/>
  <c r="C560" i="5"/>
  <c r="J560" i="5" s="1"/>
  <c r="I559" i="5"/>
  <c r="H559" i="5"/>
  <c r="F559" i="5"/>
  <c r="D559" i="5"/>
  <c r="C559" i="5"/>
  <c r="L559" i="5" s="1"/>
  <c r="K558" i="5"/>
  <c r="I558" i="5"/>
  <c r="H558" i="5"/>
  <c r="D558" i="5"/>
  <c r="C558" i="5"/>
  <c r="M558" i="5" s="1"/>
  <c r="L557" i="5"/>
  <c r="J557" i="5"/>
  <c r="I557" i="5"/>
  <c r="D557" i="5"/>
  <c r="C557" i="5"/>
  <c r="M557" i="5" s="1"/>
  <c r="P556" i="5"/>
  <c r="N556" i="5"/>
  <c r="M556" i="5"/>
  <c r="K556" i="5"/>
  <c r="J556" i="5"/>
  <c r="I556" i="5"/>
  <c r="H556" i="5"/>
  <c r="G556" i="5"/>
  <c r="F556" i="5"/>
  <c r="D556" i="5"/>
  <c r="C556" i="5"/>
  <c r="L556" i="5" s="1"/>
  <c r="L555" i="5"/>
  <c r="D555" i="5"/>
  <c r="C555" i="5"/>
  <c r="L554" i="5"/>
  <c r="G554" i="5"/>
  <c r="D554" i="5"/>
  <c r="C554" i="5"/>
  <c r="M553" i="5"/>
  <c r="I553" i="5"/>
  <c r="D553" i="5"/>
  <c r="C553" i="5"/>
  <c r="L552" i="5"/>
  <c r="J552" i="5"/>
  <c r="N552" i="5" s="1"/>
  <c r="I552" i="5"/>
  <c r="F552" i="5"/>
  <c r="D552" i="5"/>
  <c r="C552" i="5"/>
  <c r="M552" i="5" s="1"/>
  <c r="N551" i="5"/>
  <c r="M551" i="5"/>
  <c r="K551" i="5"/>
  <c r="J551" i="5"/>
  <c r="P551" i="5" s="1"/>
  <c r="I551" i="5"/>
  <c r="G551" i="5"/>
  <c r="F551" i="5"/>
  <c r="O551" i="5" s="1"/>
  <c r="D551" i="5"/>
  <c r="C551" i="5"/>
  <c r="L551" i="5" s="1"/>
  <c r="P550" i="5"/>
  <c r="O550" i="5"/>
  <c r="L550" i="5"/>
  <c r="K550" i="5"/>
  <c r="J550" i="5"/>
  <c r="N550" i="5" s="1"/>
  <c r="G550" i="5"/>
  <c r="F550" i="5"/>
  <c r="D550" i="5"/>
  <c r="C550" i="5"/>
  <c r="H550" i="5" s="1"/>
  <c r="K549" i="5"/>
  <c r="D549" i="5"/>
  <c r="C549" i="5"/>
  <c r="M548" i="5"/>
  <c r="L548" i="5"/>
  <c r="J548" i="5"/>
  <c r="I548" i="5"/>
  <c r="H548" i="5"/>
  <c r="F548" i="5"/>
  <c r="D548" i="5"/>
  <c r="C548" i="5"/>
  <c r="N547" i="5"/>
  <c r="M547" i="5"/>
  <c r="K547" i="5"/>
  <c r="J547" i="5"/>
  <c r="P547" i="5" s="1"/>
  <c r="I547" i="5"/>
  <c r="H547" i="5"/>
  <c r="G547" i="5"/>
  <c r="F547" i="5"/>
  <c r="O547" i="5" s="1"/>
  <c r="D547" i="5"/>
  <c r="C547" i="5"/>
  <c r="L547" i="5" s="1"/>
  <c r="D546" i="5"/>
  <c r="C546" i="5"/>
  <c r="M545" i="5"/>
  <c r="L545" i="5"/>
  <c r="K545" i="5"/>
  <c r="I545" i="5"/>
  <c r="H545" i="5"/>
  <c r="G545" i="5"/>
  <c r="D545" i="5"/>
  <c r="C545" i="5"/>
  <c r="P544" i="5"/>
  <c r="N544" i="5"/>
  <c r="M544" i="5"/>
  <c r="J544" i="5"/>
  <c r="I544" i="5"/>
  <c r="D544" i="5"/>
  <c r="C544" i="5"/>
  <c r="O543" i="5"/>
  <c r="M543" i="5"/>
  <c r="K543" i="5"/>
  <c r="J543" i="5"/>
  <c r="P543" i="5" s="1"/>
  <c r="I543" i="5"/>
  <c r="G543" i="5"/>
  <c r="F543" i="5"/>
  <c r="D543" i="5"/>
  <c r="C543" i="5"/>
  <c r="L543" i="5" s="1"/>
  <c r="P542" i="5"/>
  <c r="K542" i="5"/>
  <c r="J542" i="5"/>
  <c r="N542" i="5" s="1"/>
  <c r="H542" i="5"/>
  <c r="F542" i="5"/>
  <c r="D542" i="5"/>
  <c r="C542" i="5"/>
  <c r="L542" i="5" s="1"/>
  <c r="D541" i="5"/>
  <c r="C541" i="5"/>
  <c r="D540" i="5"/>
  <c r="C540" i="5"/>
  <c r="N539" i="5"/>
  <c r="M539" i="5"/>
  <c r="K539" i="5"/>
  <c r="J539" i="5"/>
  <c r="P539" i="5" s="1"/>
  <c r="I539" i="5"/>
  <c r="H539" i="5"/>
  <c r="G539" i="5"/>
  <c r="F539" i="5"/>
  <c r="O539" i="5" s="1"/>
  <c r="D539" i="5"/>
  <c r="C539" i="5"/>
  <c r="L539" i="5" s="1"/>
  <c r="L538" i="5"/>
  <c r="K538" i="5"/>
  <c r="G538" i="5"/>
  <c r="F538" i="5"/>
  <c r="D538" i="5"/>
  <c r="C538" i="5"/>
  <c r="H538" i="5" s="1"/>
  <c r="L537" i="5"/>
  <c r="I537" i="5"/>
  <c r="G537" i="5"/>
  <c r="D537" i="5"/>
  <c r="C537" i="5"/>
  <c r="K537" i="5" s="1"/>
  <c r="M536" i="5"/>
  <c r="L536" i="5"/>
  <c r="H536" i="5"/>
  <c r="F536" i="5"/>
  <c r="D536" i="5"/>
  <c r="C536" i="5"/>
  <c r="I536" i="5" s="1"/>
  <c r="O535" i="5"/>
  <c r="M535" i="5"/>
  <c r="K535" i="5"/>
  <c r="J535" i="5"/>
  <c r="P535" i="5" s="1"/>
  <c r="I535" i="5"/>
  <c r="G535" i="5"/>
  <c r="F535" i="5"/>
  <c r="D535" i="5"/>
  <c r="C535" i="5"/>
  <c r="L535" i="5" s="1"/>
  <c r="L534" i="5"/>
  <c r="J534" i="5"/>
  <c r="P534" i="5" s="1"/>
  <c r="H534" i="5"/>
  <c r="D534" i="5"/>
  <c r="C534" i="5"/>
  <c r="M533" i="5"/>
  <c r="L533" i="5"/>
  <c r="K533" i="5"/>
  <c r="H533" i="5"/>
  <c r="G533" i="5"/>
  <c r="D533" i="5"/>
  <c r="C533" i="5"/>
  <c r="I533" i="5" s="1"/>
  <c r="M532" i="5"/>
  <c r="J532" i="5"/>
  <c r="P532" i="5" s="1"/>
  <c r="I532" i="5"/>
  <c r="D532" i="5"/>
  <c r="C532" i="5"/>
  <c r="M531" i="5"/>
  <c r="K531" i="5"/>
  <c r="J531" i="5"/>
  <c r="I531" i="5"/>
  <c r="H531" i="5"/>
  <c r="G531" i="5"/>
  <c r="O531" i="5" s="1"/>
  <c r="F531" i="5"/>
  <c r="D531" i="5"/>
  <c r="C531" i="5"/>
  <c r="L531" i="5" s="1"/>
  <c r="P530" i="5"/>
  <c r="O530" i="5"/>
  <c r="L530" i="5"/>
  <c r="K530" i="5"/>
  <c r="J530" i="5"/>
  <c r="N530" i="5" s="1"/>
  <c r="G530" i="5"/>
  <c r="F530" i="5"/>
  <c r="D530" i="5"/>
  <c r="C530" i="5"/>
  <c r="H530" i="5" s="1"/>
  <c r="D529" i="5"/>
  <c r="C529" i="5"/>
  <c r="P528" i="5"/>
  <c r="M528" i="5"/>
  <c r="L528" i="5"/>
  <c r="J528" i="5"/>
  <c r="N528" i="5" s="1"/>
  <c r="I528" i="5"/>
  <c r="H528" i="5"/>
  <c r="F528" i="5"/>
  <c r="D528" i="5"/>
  <c r="C528" i="5"/>
  <c r="M527" i="5"/>
  <c r="K527" i="5"/>
  <c r="J527" i="5"/>
  <c r="P527" i="5" s="1"/>
  <c r="I527" i="5"/>
  <c r="G527" i="5"/>
  <c r="O527" i="5" s="1"/>
  <c r="F527" i="5"/>
  <c r="D527" i="5"/>
  <c r="C527" i="5"/>
  <c r="L527" i="5" s="1"/>
  <c r="H526" i="5"/>
  <c r="G526" i="5"/>
  <c r="F526" i="5"/>
  <c r="O526" i="5" s="1"/>
  <c r="D526" i="5"/>
  <c r="C526" i="5"/>
  <c r="L526" i="5" s="1"/>
  <c r="K525" i="5"/>
  <c r="I525" i="5"/>
  <c r="G525" i="5"/>
  <c r="D525" i="5"/>
  <c r="C525" i="5"/>
  <c r="L525" i="5" s="1"/>
  <c r="I524" i="5"/>
  <c r="H524" i="5"/>
  <c r="F524" i="5"/>
  <c r="D524" i="5"/>
  <c r="C524" i="5"/>
  <c r="M524" i="5" s="1"/>
  <c r="M523" i="5"/>
  <c r="K523" i="5"/>
  <c r="J523" i="5"/>
  <c r="P523" i="5" s="1"/>
  <c r="I523" i="5"/>
  <c r="H523" i="5"/>
  <c r="G523" i="5"/>
  <c r="F523" i="5"/>
  <c r="O523" i="5" s="1"/>
  <c r="D523" i="5"/>
  <c r="C523" i="5"/>
  <c r="L523" i="5" s="1"/>
  <c r="D522" i="5"/>
  <c r="C522" i="5"/>
  <c r="D521" i="5"/>
  <c r="C521" i="5"/>
  <c r="D520" i="5"/>
  <c r="C520" i="5"/>
  <c r="N519" i="5"/>
  <c r="M519" i="5"/>
  <c r="K519" i="5"/>
  <c r="J519" i="5"/>
  <c r="P519" i="5" s="1"/>
  <c r="I519" i="5"/>
  <c r="G519" i="5"/>
  <c r="F519" i="5"/>
  <c r="D519" i="5"/>
  <c r="C519" i="5"/>
  <c r="L519" i="5" s="1"/>
  <c r="P518" i="5"/>
  <c r="L518" i="5"/>
  <c r="K518" i="5"/>
  <c r="J518" i="5"/>
  <c r="N518" i="5" s="1"/>
  <c r="H518" i="5"/>
  <c r="G518" i="5"/>
  <c r="F518" i="5"/>
  <c r="O518" i="5" s="1"/>
  <c r="D518" i="5"/>
  <c r="C518" i="5"/>
  <c r="M517" i="5"/>
  <c r="I517" i="5"/>
  <c r="H517" i="5"/>
  <c r="D517" i="5"/>
  <c r="C517" i="5"/>
  <c r="K517" i="5" s="1"/>
  <c r="P516" i="5"/>
  <c r="M516" i="5"/>
  <c r="L516" i="5"/>
  <c r="J516" i="5"/>
  <c r="N516" i="5" s="1"/>
  <c r="H516" i="5"/>
  <c r="F516" i="5"/>
  <c r="D516" i="5"/>
  <c r="C516" i="5"/>
  <c r="I516" i="5" s="1"/>
  <c r="M515" i="5"/>
  <c r="K515" i="5"/>
  <c r="J515" i="5"/>
  <c r="P515" i="5" s="1"/>
  <c r="I515" i="5"/>
  <c r="H515" i="5"/>
  <c r="G515" i="5"/>
  <c r="F515" i="5"/>
  <c r="O515" i="5" s="1"/>
  <c r="D515" i="5"/>
  <c r="C515" i="5"/>
  <c r="L515" i="5" s="1"/>
  <c r="N514" i="5"/>
  <c r="L514" i="5"/>
  <c r="J514" i="5"/>
  <c r="P514" i="5" s="1"/>
  <c r="G514" i="5"/>
  <c r="D514" i="5"/>
  <c r="C514" i="5"/>
  <c r="M513" i="5"/>
  <c r="L513" i="5"/>
  <c r="K513" i="5"/>
  <c r="H513" i="5"/>
  <c r="G513" i="5"/>
  <c r="D513" i="5"/>
  <c r="C513" i="5"/>
  <c r="I513" i="5" s="1"/>
  <c r="N512" i="5"/>
  <c r="M512" i="5"/>
  <c r="J512" i="5"/>
  <c r="P512" i="5" s="1"/>
  <c r="H512" i="5"/>
  <c r="D512" i="5"/>
  <c r="C512" i="5"/>
  <c r="M511" i="5"/>
  <c r="K511" i="5"/>
  <c r="J511" i="5"/>
  <c r="I511" i="5"/>
  <c r="G511" i="5"/>
  <c r="F511" i="5"/>
  <c r="O511" i="5" s="1"/>
  <c r="D511" i="5"/>
  <c r="C511" i="5"/>
  <c r="L511" i="5" s="1"/>
  <c r="D510" i="5"/>
  <c r="C510" i="5"/>
  <c r="D509" i="5"/>
  <c r="C509" i="5"/>
  <c r="D508" i="5"/>
  <c r="C508" i="5"/>
  <c r="N507" i="5"/>
  <c r="M507" i="5"/>
  <c r="K507" i="5"/>
  <c r="J507" i="5"/>
  <c r="P507" i="5" s="1"/>
  <c r="I507" i="5"/>
  <c r="G507" i="5"/>
  <c r="F507" i="5"/>
  <c r="D507" i="5"/>
  <c r="C507" i="5"/>
  <c r="H507" i="5" s="1"/>
  <c r="P506" i="5"/>
  <c r="L506" i="5"/>
  <c r="K506" i="5"/>
  <c r="J506" i="5"/>
  <c r="N506" i="5" s="1"/>
  <c r="G506" i="5"/>
  <c r="F506" i="5"/>
  <c r="O506" i="5" s="1"/>
  <c r="D506" i="5"/>
  <c r="C506" i="5"/>
  <c r="H506" i="5" s="1"/>
  <c r="H505" i="5"/>
  <c r="D505" i="5"/>
  <c r="C505" i="5"/>
  <c r="M505" i="5" s="1"/>
  <c r="M504" i="5"/>
  <c r="L504" i="5"/>
  <c r="J504" i="5"/>
  <c r="N504" i="5" s="1"/>
  <c r="I504" i="5"/>
  <c r="H504" i="5"/>
  <c r="F504" i="5"/>
  <c r="D504" i="5"/>
  <c r="C504" i="5"/>
  <c r="M503" i="5"/>
  <c r="K503" i="5"/>
  <c r="J503" i="5"/>
  <c r="P503" i="5" s="1"/>
  <c r="I503" i="5"/>
  <c r="G503" i="5"/>
  <c r="O503" i="5" s="1"/>
  <c r="F503" i="5"/>
  <c r="D503" i="5"/>
  <c r="C503" i="5"/>
  <c r="L503" i="5" s="1"/>
  <c r="L502" i="5"/>
  <c r="K502" i="5"/>
  <c r="H502" i="5"/>
  <c r="D502" i="5"/>
  <c r="C502" i="5"/>
  <c r="L501" i="5"/>
  <c r="K501" i="5"/>
  <c r="D501" i="5"/>
  <c r="C501" i="5"/>
  <c r="M500" i="5"/>
  <c r="L500" i="5"/>
  <c r="I500" i="5"/>
  <c r="D500" i="5"/>
  <c r="C500" i="5"/>
  <c r="N499" i="5"/>
  <c r="M499" i="5"/>
  <c r="K499" i="5"/>
  <c r="J499" i="5"/>
  <c r="P499" i="5" s="1"/>
  <c r="I499" i="5"/>
  <c r="G499" i="5"/>
  <c r="F499" i="5"/>
  <c r="O499" i="5" s="1"/>
  <c r="D499" i="5"/>
  <c r="C499" i="5"/>
  <c r="H499" i="5" s="1"/>
  <c r="D498" i="5"/>
  <c r="C498" i="5"/>
  <c r="M497" i="5"/>
  <c r="L497" i="5"/>
  <c r="K497" i="5"/>
  <c r="I497" i="5"/>
  <c r="H497" i="5"/>
  <c r="G497" i="5"/>
  <c r="D497" i="5"/>
  <c r="C497" i="5"/>
  <c r="D496" i="5"/>
  <c r="C496" i="5"/>
  <c r="M496" i="5" s="1"/>
  <c r="M495" i="5"/>
  <c r="K495" i="5"/>
  <c r="J495" i="5"/>
  <c r="I495" i="5"/>
  <c r="G495" i="5"/>
  <c r="F495" i="5"/>
  <c r="O495" i="5" s="1"/>
  <c r="D495" i="5"/>
  <c r="C495" i="5"/>
  <c r="L495" i="5" s="1"/>
  <c r="K494" i="5"/>
  <c r="H494" i="5"/>
  <c r="F494" i="5"/>
  <c r="D494" i="5"/>
  <c r="C494" i="5"/>
  <c r="J494" i="5" s="1"/>
  <c r="M493" i="5"/>
  <c r="L493" i="5"/>
  <c r="H493" i="5"/>
  <c r="G493" i="5"/>
  <c r="D493" i="5"/>
  <c r="C493" i="5"/>
  <c r="I493" i="5" s="1"/>
  <c r="L492" i="5"/>
  <c r="I492" i="5"/>
  <c r="F492" i="5"/>
  <c r="D492" i="5"/>
  <c r="C492" i="5"/>
  <c r="J492" i="5" s="1"/>
  <c r="N491" i="5"/>
  <c r="M491" i="5"/>
  <c r="K491" i="5"/>
  <c r="J491" i="5"/>
  <c r="P491" i="5" s="1"/>
  <c r="I491" i="5"/>
  <c r="G491" i="5"/>
  <c r="F491" i="5"/>
  <c r="O491" i="5" s="1"/>
  <c r="D491" i="5"/>
  <c r="C491" i="5"/>
  <c r="H491" i="5" s="1"/>
  <c r="O490" i="5"/>
  <c r="L490" i="5"/>
  <c r="K490" i="5"/>
  <c r="J490" i="5"/>
  <c r="N490" i="5" s="1"/>
  <c r="H490" i="5"/>
  <c r="G490" i="5"/>
  <c r="F490" i="5"/>
  <c r="D490" i="5"/>
  <c r="C490" i="5"/>
  <c r="M489" i="5"/>
  <c r="K489" i="5"/>
  <c r="D489" i="5"/>
  <c r="C489" i="5"/>
  <c r="M488" i="5"/>
  <c r="L488" i="5"/>
  <c r="J488" i="5"/>
  <c r="N488" i="5" s="1"/>
  <c r="H488" i="5"/>
  <c r="F488" i="5"/>
  <c r="D488" i="5"/>
  <c r="C488" i="5"/>
  <c r="I488" i="5" s="1"/>
  <c r="N487" i="5"/>
  <c r="M487" i="5"/>
  <c r="K487" i="5"/>
  <c r="J487" i="5"/>
  <c r="P487" i="5" s="1"/>
  <c r="I487" i="5"/>
  <c r="G487" i="5"/>
  <c r="O487" i="5" s="1"/>
  <c r="F487" i="5"/>
  <c r="D487" i="5"/>
  <c r="C487" i="5"/>
  <c r="L487" i="5" s="1"/>
  <c r="D486" i="5"/>
  <c r="C486" i="5"/>
  <c r="L486" i="5" s="1"/>
  <c r="D485" i="5"/>
  <c r="C485" i="5"/>
  <c r="L485" i="5" s="1"/>
  <c r="D484" i="5"/>
  <c r="C484" i="5"/>
  <c r="M484" i="5" s="1"/>
  <c r="O483" i="5"/>
  <c r="M483" i="5"/>
  <c r="K483" i="5"/>
  <c r="J483" i="5"/>
  <c r="P483" i="5" s="1"/>
  <c r="I483" i="5"/>
  <c r="G483" i="5"/>
  <c r="F483" i="5"/>
  <c r="D483" i="5"/>
  <c r="C483" i="5"/>
  <c r="H483" i="5" s="1"/>
  <c r="L482" i="5"/>
  <c r="H482" i="5"/>
  <c r="G482" i="5"/>
  <c r="D482" i="5"/>
  <c r="C482" i="5"/>
  <c r="J482" i="5" s="1"/>
  <c r="M481" i="5"/>
  <c r="L481" i="5"/>
  <c r="K481" i="5"/>
  <c r="H481" i="5"/>
  <c r="G481" i="5"/>
  <c r="D481" i="5"/>
  <c r="C481" i="5"/>
  <c r="I481" i="5" s="1"/>
  <c r="M480" i="5"/>
  <c r="I480" i="5"/>
  <c r="H480" i="5"/>
  <c r="D480" i="5"/>
  <c r="C480" i="5"/>
  <c r="J480" i="5" s="1"/>
  <c r="M479" i="5"/>
  <c r="K479" i="5"/>
  <c r="J479" i="5"/>
  <c r="I479" i="5"/>
  <c r="G479" i="5"/>
  <c r="F479" i="5"/>
  <c r="O479" i="5" s="1"/>
  <c r="D479" i="5"/>
  <c r="C479" i="5"/>
  <c r="L479" i="5" s="1"/>
  <c r="K478" i="5"/>
  <c r="J478" i="5"/>
  <c r="P478" i="5" s="1"/>
  <c r="H478" i="5"/>
  <c r="D478" i="5"/>
  <c r="C478" i="5"/>
  <c r="L477" i="5"/>
  <c r="I477" i="5"/>
  <c r="H477" i="5"/>
  <c r="D477" i="5"/>
  <c r="C477" i="5"/>
  <c r="M477" i="5" s="1"/>
  <c r="L476" i="5"/>
  <c r="J476" i="5"/>
  <c r="P476" i="5" s="1"/>
  <c r="I476" i="5"/>
  <c r="D476" i="5"/>
  <c r="C476" i="5"/>
  <c r="N475" i="5"/>
  <c r="M475" i="5"/>
  <c r="K475" i="5"/>
  <c r="J475" i="5"/>
  <c r="P475" i="5" s="1"/>
  <c r="I475" i="5"/>
  <c r="G475" i="5"/>
  <c r="F475" i="5"/>
  <c r="O475" i="5" s="1"/>
  <c r="D475" i="5"/>
  <c r="C475" i="5"/>
  <c r="H475" i="5" s="1"/>
  <c r="O474" i="5"/>
  <c r="L474" i="5"/>
  <c r="K474" i="5"/>
  <c r="J474" i="5"/>
  <c r="N474" i="5" s="1"/>
  <c r="G474" i="5"/>
  <c r="F474" i="5"/>
  <c r="D474" i="5"/>
  <c r="C474" i="5"/>
  <c r="H474" i="5" s="1"/>
  <c r="M473" i="5"/>
  <c r="K473" i="5"/>
  <c r="I473" i="5"/>
  <c r="H473" i="5"/>
  <c r="D473" i="5"/>
  <c r="C473" i="5"/>
  <c r="P472" i="5"/>
  <c r="M472" i="5"/>
  <c r="L472" i="5"/>
  <c r="J472" i="5"/>
  <c r="N472" i="5" s="1"/>
  <c r="I472" i="5"/>
  <c r="H472" i="5"/>
  <c r="F472" i="5"/>
  <c r="D472" i="5"/>
  <c r="C472" i="5"/>
  <c r="O471" i="5"/>
  <c r="N471" i="5"/>
  <c r="M471" i="5"/>
  <c r="K471" i="5"/>
  <c r="J471" i="5"/>
  <c r="P471" i="5" s="1"/>
  <c r="I471" i="5"/>
  <c r="G471" i="5"/>
  <c r="F471" i="5"/>
  <c r="D471" i="5"/>
  <c r="C471" i="5"/>
  <c r="L471" i="5" s="1"/>
  <c r="L470" i="5"/>
  <c r="K470" i="5"/>
  <c r="G470" i="5"/>
  <c r="F470" i="5"/>
  <c r="D470" i="5"/>
  <c r="C470" i="5"/>
  <c r="H470" i="5" s="1"/>
  <c r="L469" i="5"/>
  <c r="I469" i="5"/>
  <c r="G469" i="5"/>
  <c r="D469" i="5"/>
  <c r="C469" i="5"/>
  <c r="K469" i="5" s="1"/>
  <c r="M468" i="5"/>
  <c r="L468" i="5"/>
  <c r="H468" i="5"/>
  <c r="F468" i="5"/>
  <c r="D468" i="5"/>
  <c r="C468" i="5"/>
  <c r="I468" i="5" s="1"/>
  <c r="O467" i="5"/>
  <c r="M467" i="5"/>
  <c r="K467" i="5"/>
  <c r="J467" i="5"/>
  <c r="I467" i="5"/>
  <c r="G467" i="5"/>
  <c r="F467" i="5"/>
  <c r="D467" i="5"/>
  <c r="C467" i="5"/>
  <c r="H467" i="5" s="1"/>
  <c r="L466" i="5"/>
  <c r="J466" i="5"/>
  <c r="P466" i="5" s="1"/>
  <c r="H466" i="5"/>
  <c r="D466" i="5"/>
  <c r="C466" i="5"/>
  <c r="M465" i="5"/>
  <c r="L465" i="5"/>
  <c r="K465" i="5"/>
  <c r="I465" i="5"/>
  <c r="H465" i="5"/>
  <c r="G465" i="5"/>
  <c r="D465" i="5"/>
  <c r="C465" i="5"/>
  <c r="N464" i="5"/>
  <c r="M464" i="5"/>
  <c r="J464" i="5"/>
  <c r="P464" i="5" s="1"/>
  <c r="D464" i="5"/>
  <c r="C464" i="5"/>
  <c r="M463" i="5"/>
  <c r="K463" i="5"/>
  <c r="J463" i="5"/>
  <c r="I463" i="5"/>
  <c r="G463" i="5"/>
  <c r="F463" i="5"/>
  <c r="O463" i="5" s="1"/>
  <c r="D463" i="5"/>
  <c r="C463" i="5"/>
  <c r="L463" i="5" s="1"/>
  <c r="D462" i="5"/>
  <c r="C462" i="5"/>
  <c r="D461" i="5"/>
  <c r="C461" i="5"/>
  <c r="D460" i="5"/>
  <c r="C460" i="5"/>
  <c r="D459" i="5"/>
  <c r="C459" i="5"/>
  <c r="F458" i="5"/>
  <c r="D458" i="5"/>
  <c r="C458" i="5"/>
  <c r="M458" i="5" s="1"/>
  <c r="N457" i="5"/>
  <c r="M457" i="5"/>
  <c r="K457" i="5"/>
  <c r="J457" i="5"/>
  <c r="P457" i="5" s="1"/>
  <c r="I457" i="5"/>
  <c r="H457" i="5"/>
  <c r="G457" i="5"/>
  <c r="F457" i="5"/>
  <c r="O457" i="5" s="1"/>
  <c r="D457" i="5"/>
  <c r="C457" i="5"/>
  <c r="L457" i="5" s="1"/>
  <c r="D456" i="5"/>
  <c r="C456" i="5"/>
  <c r="G455" i="5"/>
  <c r="D455" i="5"/>
  <c r="C455" i="5"/>
  <c r="M455" i="5" s="1"/>
  <c r="L454" i="5"/>
  <c r="I454" i="5"/>
  <c r="H454" i="5"/>
  <c r="F454" i="5"/>
  <c r="D454" i="5"/>
  <c r="C454" i="5"/>
  <c r="M454" i="5" s="1"/>
  <c r="M453" i="5"/>
  <c r="K453" i="5"/>
  <c r="J453" i="5"/>
  <c r="P453" i="5" s="1"/>
  <c r="I453" i="5"/>
  <c r="G453" i="5"/>
  <c r="F453" i="5"/>
  <c r="O453" i="5" s="1"/>
  <c r="D453" i="5"/>
  <c r="C453" i="5"/>
  <c r="L453" i="5" s="1"/>
  <c r="L452" i="5"/>
  <c r="D452" i="5"/>
  <c r="C452" i="5"/>
  <c r="K452" i="5" s="1"/>
  <c r="M451" i="5"/>
  <c r="L451" i="5"/>
  <c r="K451" i="5"/>
  <c r="H451" i="5"/>
  <c r="G451" i="5"/>
  <c r="D451" i="5"/>
  <c r="C451" i="5"/>
  <c r="I451" i="5" s="1"/>
  <c r="M450" i="5"/>
  <c r="J450" i="5"/>
  <c r="I450" i="5"/>
  <c r="H450" i="5"/>
  <c r="D450" i="5"/>
  <c r="C450" i="5"/>
  <c r="L450" i="5" s="1"/>
  <c r="M449" i="5"/>
  <c r="K449" i="5"/>
  <c r="J449" i="5"/>
  <c r="P449" i="5" s="1"/>
  <c r="I449" i="5"/>
  <c r="H449" i="5"/>
  <c r="G449" i="5"/>
  <c r="F449" i="5"/>
  <c r="O449" i="5" s="1"/>
  <c r="D449" i="5"/>
  <c r="C449" i="5"/>
  <c r="L449" i="5" s="1"/>
  <c r="P448" i="5"/>
  <c r="L448" i="5"/>
  <c r="K448" i="5"/>
  <c r="J448" i="5"/>
  <c r="N448" i="5" s="1"/>
  <c r="G448" i="5"/>
  <c r="O448" i="5" s="1"/>
  <c r="F448" i="5"/>
  <c r="D448" i="5"/>
  <c r="C448" i="5"/>
  <c r="H448" i="5" s="1"/>
  <c r="M447" i="5"/>
  <c r="K447" i="5"/>
  <c r="I447" i="5"/>
  <c r="H447" i="5"/>
  <c r="D447" i="5"/>
  <c r="C447" i="5"/>
  <c r="L447" i="5" s="1"/>
  <c r="M446" i="5"/>
  <c r="L446" i="5"/>
  <c r="J446" i="5"/>
  <c r="P446" i="5" s="1"/>
  <c r="I446" i="5"/>
  <c r="H446" i="5"/>
  <c r="F446" i="5"/>
  <c r="D446" i="5"/>
  <c r="C446" i="5"/>
  <c r="O445" i="5"/>
  <c r="N445" i="5"/>
  <c r="M445" i="5"/>
  <c r="K445" i="5"/>
  <c r="J445" i="5"/>
  <c r="P445" i="5" s="1"/>
  <c r="I445" i="5"/>
  <c r="G445" i="5"/>
  <c r="F445" i="5"/>
  <c r="D445" i="5"/>
  <c r="C445" i="5"/>
  <c r="L445" i="5" s="1"/>
  <c r="K444" i="5"/>
  <c r="H444" i="5"/>
  <c r="G444" i="5"/>
  <c r="F444" i="5"/>
  <c r="O444" i="5" s="1"/>
  <c r="D444" i="5"/>
  <c r="C444" i="5"/>
  <c r="L444" i="5" s="1"/>
  <c r="L443" i="5"/>
  <c r="K443" i="5"/>
  <c r="I443" i="5"/>
  <c r="D443" i="5"/>
  <c r="C443" i="5"/>
  <c r="M443" i="5" s="1"/>
  <c r="D442" i="5"/>
  <c r="C442" i="5"/>
  <c r="N441" i="5"/>
  <c r="M441" i="5"/>
  <c r="K441" i="5"/>
  <c r="J441" i="5"/>
  <c r="P441" i="5" s="1"/>
  <c r="I441" i="5"/>
  <c r="H441" i="5"/>
  <c r="G441" i="5"/>
  <c r="F441" i="5"/>
  <c r="O441" i="5" s="1"/>
  <c r="D441" i="5"/>
  <c r="C441" i="5"/>
  <c r="L441" i="5" s="1"/>
  <c r="K440" i="5"/>
  <c r="J440" i="5"/>
  <c r="P440" i="5" s="1"/>
  <c r="H440" i="5"/>
  <c r="D440" i="5"/>
  <c r="C440" i="5"/>
  <c r="L440" i="5" s="1"/>
  <c r="D439" i="5"/>
  <c r="C439" i="5"/>
  <c r="F438" i="5"/>
  <c r="D438" i="5"/>
  <c r="C438" i="5"/>
  <c r="M438" i="5" s="1"/>
  <c r="N437" i="5"/>
  <c r="M437" i="5"/>
  <c r="K437" i="5"/>
  <c r="J437" i="5"/>
  <c r="P437" i="5" s="1"/>
  <c r="I437" i="5"/>
  <c r="G437" i="5"/>
  <c r="F437" i="5"/>
  <c r="O437" i="5" s="1"/>
  <c r="D437" i="5"/>
  <c r="C437" i="5"/>
  <c r="L437" i="5" s="1"/>
  <c r="O436" i="5"/>
  <c r="L436" i="5"/>
  <c r="K436" i="5"/>
  <c r="J436" i="5"/>
  <c r="P436" i="5" s="1"/>
  <c r="H436" i="5"/>
  <c r="G436" i="5"/>
  <c r="F436" i="5"/>
  <c r="D436" i="5"/>
  <c r="C436" i="5"/>
  <c r="M435" i="5"/>
  <c r="D435" i="5"/>
  <c r="C435" i="5"/>
  <c r="L435" i="5" s="1"/>
  <c r="P434" i="5"/>
  <c r="M434" i="5"/>
  <c r="L434" i="5"/>
  <c r="J434" i="5"/>
  <c r="N434" i="5" s="1"/>
  <c r="H434" i="5"/>
  <c r="F434" i="5"/>
  <c r="D434" i="5"/>
  <c r="C434" i="5"/>
  <c r="I434" i="5" s="1"/>
  <c r="M433" i="5"/>
  <c r="K433" i="5"/>
  <c r="J433" i="5"/>
  <c r="I433" i="5"/>
  <c r="H433" i="5"/>
  <c r="G433" i="5"/>
  <c r="F433" i="5"/>
  <c r="O433" i="5" s="1"/>
  <c r="D433" i="5"/>
  <c r="C433" i="5"/>
  <c r="L433" i="5" s="1"/>
  <c r="L432" i="5"/>
  <c r="D432" i="5"/>
  <c r="C432" i="5"/>
  <c r="K432" i="5" s="1"/>
  <c r="M431" i="5"/>
  <c r="L431" i="5"/>
  <c r="K431" i="5"/>
  <c r="H431" i="5"/>
  <c r="G431" i="5"/>
  <c r="D431" i="5"/>
  <c r="C431" i="5"/>
  <c r="I431" i="5" s="1"/>
  <c r="M430" i="5"/>
  <c r="J430" i="5"/>
  <c r="I430" i="5"/>
  <c r="H430" i="5"/>
  <c r="D430" i="5"/>
  <c r="C430" i="5"/>
  <c r="L430" i="5" s="1"/>
  <c r="O429" i="5"/>
  <c r="M429" i="5"/>
  <c r="K429" i="5"/>
  <c r="J429" i="5"/>
  <c r="P429" i="5" s="1"/>
  <c r="I429" i="5"/>
  <c r="G429" i="5"/>
  <c r="F429" i="5"/>
  <c r="D429" i="5"/>
  <c r="C429" i="5"/>
  <c r="L429" i="5" s="1"/>
  <c r="F428" i="5"/>
  <c r="D428" i="5"/>
  <c r="C428" i="5"/>
  <c r="L428" i="5" s="1"/>
  <c r="L427" i="5"/>
  <c r="I427" i="5"/>
  <c r="H427" i="5"/>
  <c r="G427" i="5"/>
  <c r="D427" i="5"/>
  <c r="C427" i="5"/>
  <c r="M427" i="5" s="1"/>
  <c r="L426" i="5"/>
  <c r="I426" i="5"/>
  <c r="D426" i="5"/>
  <c r="C426" i="5"/>
  <c r="M426" i="5" s="1"/>
  <c r="N425" i="5"/>
  <c r="M425" i="5"/>
  <c r="K425" i="5"/>
  <c r="J425" i="5"/>
  <c r="P425" i="5" s="1"/>
  <c r="I425" i="5"/>
  <c r="H425" i="5"/>
  <c r="G425" i="5"/>
  <c r="F425" i="5"/>
  <c r="O425" i="5" s="1"/>
  <c r="D425" i="5"/>
  <c r="C425" i="5"/>
  <c r="L425" i="5" s="1"/>
  <c r="K424" i="5"/>
  <c r="H424" i="5"/>
  <c r="G424" i="5"/>
  <c r="F424" i="5"/>
  <c r="O424" i="5" s="1"/>
  <c r="D424" i="5"/>
  <c r="C424" i="5"/>
  <c r="L424" i="5" s="1"/>
  <c r="L423" i="5"/>
  <c r="D423" i="5"/>
  <c r="C423" i="5"/>
  <c r="M423" i="5" s="1"/>
  <c r="D422" i="5"/>
  <c r="C422" i="5"/>
  <c r="N421" i="5"/>
  <c r="M421" i="5"/>
  <c r="K421" i="5"/>
  <c r="J421" i="5"/>
  <c r="P421" i="5" s="1"/>
  <c r="I421" i="5"/>
  <c r="G421" i="5"/>
  <c r="F421" i="5"/>
  <c r="O421" i="5" s="1"/>
  <c r="D421" i="5"/>
  <c r="C421" i="5"/>
  <c r="L421" i="5" s="1"/>
  <c r="L420" i="5"/>
  <c r="J420" i="5"/>
  <c r="H420" i="5"/>
  <c r="G420" i="5"/>
  <c r="D420" i="5"/>
  <c r="C420" i="5"/>
  <c r="K420" i="5" s="1"/>
  <c r="M419" i="5"/>
  <c r="L419" i="5"/>
  <c r="K419" i="5"/>
  <c r="I419" i="5"/>
  <c r="H419" i="5"/>
  <c r="G419" i="5"/>
  <c r="D419" i="5"/>
  <c r="C419" i="5"/>
  <c r="M418" i="5"/>
  <c r="H418" i="5"/>
  <c r="D418" i="5"/>
  <c r="C418" i="5"/>
  <c r="L418" i="5" s="1"/>
  <c r="M417" i="5"/>
  <c r="K417" i="5"/>
  <c r="J417" i="5"/>
  <c r="I417" i="5"/>
  <c r="H417" i="5"/>
  <c r="G417" i="5"/>
  <c r="F417" i="5"/>
  <c r="O417" i="5" s="1"/>
  <c r="D417" i="5"/>
  <c r="C417" i="5"/>
  <c r="L417" i="5" s="1"/>
  <c r="O416" i="5"/>
  <c r="L416" i="5"/>
  <c r="K416" i="5"/>
  <c r="J416" i="5"/>
  <c r="H416" i="5"/>
  <c r="G416" i="5"/>
  <c r="F416" i="5"/>
  <c r="D416" i="5"/>
  <c r="C416" i="5"/>
  <c r="M415" i="5"/>
  <c r="H415" i="5"/>
  <c r="D415" i="5"/>
  <c r="C415" i="5"/>
  <c r="L415" i="5" s="1"/>
  <c r="P414" i="5"/>
  <c r="M414" i="5"/>
  <c r="L414" i="5"/>
  <c r="J414" i="5"/>
  <c r="N414" i="5" s="1"/>
  <c r="H414" i="5"/>
  <c r="F414" i="5"/>
  <c r="D414" i="5"/>
  <c r="C414" i="5"/>
  <c r="I414" i="5" s="1"/>
  <c r="M413" i="5"/>
  <c r="K413" i="5"/>
  <c r="J413" i="5"/>
  <c r="I413" i="5"/>
  <c r="G413" i="5"/>
  <c r="O413" i="5" s="1"/>
  <c r="F413" i="5"/>
  <c r="D413" i="5"/>
  <c r="C413" i="5"/>
  <c r="L413" i="5" s="1"/>
  <c r="D412" i="5"/>
  <c r="C412" i="5"/>
  <c r="G411" i="5"/>
  <c r="D411" i="5"/>
  <c r="C411" i="5"/>
  <c r="L410" i="5"/>
  <c r="I410" i="5"/>
  <c r="F410" i="5"/>
  <c r="D410" i="5"/>
  <c r="C410" i="5"/>
  <c r="M410" i="5" s="1"/>
  <c r="N409" i="5"/>
  <c r="M409" i="5"/>
  <c r="K409" i="5"/>
  <c r="J409" i="5"/>
  <c r="P409" i="5" s="1"/>
  <c r="I409" i="5"/>
  <c r="H409" i="5"/>
  <c r="G409" i="5"/>
  <c r="F409" i="5"/>
  <c r="O409" i="5" s="1"/>
  <c r="D409" i="5"/>
  <c r="C409" i="5"/>
  <c r="L409" i="5" s="1"/>
  <c r="F408" i="5"/>
  <c r="D408" i="5"/>
  <c r="C408" i="5"/>
  <c r="H408" i="5" s="1"/>
  <c r="D407" i="5"/>
  <c r="C407" i="5"/>
  <c r="N406" i="5"/>
  <c r="J406" i="5"/>
  <c r="P406" i="5" s="1"/>
  <c r="I406" i="5"/>
  <c r="F406" i="5"/>
  <c r="D406" i="5"/>
  <c r="C406" i="5"/>
  <c r="N405" i="5"/>
  <c r="M405" i="5"/>
  <c r="K405" i="5"/>
  <c r="J405" i="5"/>
  <c r="P405" i="5" s="1"/>
  <c r="I405" i="5"/>
  <c r="G405" i="5"/>
  <c r="F405" i="5"/>
  <c r="D405" i="5"/>
  <c r="C405" i="5"/>
  <c r="L405" i="5" s="1"/>
  <c r="P404" i="5"/>
  <c r="L404" i="5"/>
  <c r="K404" i="5"/>
  <c r="J404" i="5"/>
  <c r="N404" i="5" s="1"/>
  <c r="G404" i="5"/>
  <c r="F404" i="5"/>
  <c r="O404" i="5" s="1"/>
  <c r="D404" i="5"/>
  <c r="C404" i="5"/>
  <c r="H404" i="5" s="1"/>
  <c r="D403" i="5"/>
  <c r="C403" i="5"/>
  <c r="M402" i="5"/>
  <c r="L402" i="5"/>
  <c r="J402" i="5"/>
  <c r="N402" i="5" s="1"/>
  <c r="I402" i="5"/>
  <c r="H402" i="5"/>
  <c r="F402" i="5"/>
  <c r="D402" i="5"/>
  <c r="C402" i="5"/>
  <c r="N401" i="5"/>
  <c r="M401" i="5"/>
  <c r="K401" i="5"/>
  <c r="J401" i="5"/>
  <c r="P401" i="5" s="1"/>
  <c r="I401" i="5"/>
  <c r="H401" i="5"/>
  <c r="G401" i="5"/>
  <c r="F401" i="5"/>
  <c r="O401" i="5" s="1"/>
  <c r="D401" i="5"/>
  <c r="C401" i="5"/>
  <c r="L401" i="5" s="1"/>
  <c r="L400" i="5"/>
  <c r="J400" i="5"/>
  <c r="G400" i="5"/>
  <c r="D400" i="5"/>
  <c r="C400" i="5"/>
  <c r="M399" i="5"/>
  <c r="L399" i="5"/>
  <c r="K399" i="5"/>
  <c r="I399" i="5"/>
  <c r="H399" i="5"/>
  <c r="G399" i="5"/>
  <c r="D399" i="5"/>
  <c r="C399" i="5"/>
  <c r="M398" i="5"/>
  <c r="I398" i="5"/>
  <c r="D398" i="5"/>
  <c r="C398" i="5"/>
  <c r="M397" i="5"/>
  <c r="K397" i="5"/>
  <c r="J397" i="5"/>
  <c r="I397" i="5"/>
  <c r="G397" i="5"/>
  <c r="F397" i="5"/>
  <c r="O397" i="5" s="1"/>
  <c r="D397" i="5"/>
  <c r="C397" i="5"/>
  <c r="L397" i="5" s="1"/>
  <c r="K396" i="5"/>
  <c r="D396" i="5"/>
  <c r="C396" i="5"/>
  <c r="D395" i="5"/>
  <c r="C395" i="5"/>
  <c r="L394" i="5"/>
  <c r="D394" i="5"/>
  <c r="C394" i="5"/>
  <c r="N393" i="5"/>
  <c r="M393" i="5"/>
  <c r="K393" i="5"/>
  <c r="J393" i="5"/>
  <c r="P393" i="5" s="1"/>
  <c r="I393" i="5"/>
  <c r="H393" i="5"/>
  <c r="G393" i="5"/>
  <c r="F393" i="5"/>
  <c r="O393" i="5" s="1"/>
  <c r="D393" i="5"/>
  <c r="C393" i="5"/>
  <c r="L393" i="5" s="1"/>
  <c r="G392" i="5"/>
  <c r="F392" i="5"/>
  <c r="D392" i="5"/>
  <c r="C392" i="5"/>
  <c r="I391" i="5"/>
  <c r="G391" i="5"/>
  <c r="D391" i="5"/>
  <c r="C391" i="5"/>
  <c r="H390" i="5"/>
  <c r="F390" i="5"/>
  <c r="D390" i="5"/>
  <c r="C390" i="5"/>
  <c r="M389" i="5"/>
  <c r="K389" i="5"/>
  <c r="J389" i="5"/>
  <c r="I389" i="5"/>
  <c r="G389" i="5"/>
  <c r="F389" i="5"/>
  <c r="O389" i="5" s="1"/>
  <c r="D389" i="5"/>
  <c r="C389" i="5"/>
  <c r="L389" i="5" s="1"/>
  <c r="L388" i="5"/>
  <c r="J388" i="5"/>
  <c r="G388" i="5"/>
  <c r="D388" i="5"/>
  <c r="C388" i="5"/>
  <c r="M387" i="5"/>
  <c r="L387" i="5"/>
  <c r="K387" i="5"/>
  <c r="H387" i="5"/>
  <c r="G387" i="5"/>
  <c r="D387" i="5"/>
  <c r="C387" i="5"/>
  <c r="I387" i="5" s="1"/>
  <c r="M386" i="5"/>
  <c r="J386" i="5"/>
  <c r="H386" i="5"/>
  <c r="D386" i="5"/>
  <c r="C386" i="5"/>
  <c r="M385" i="5"/>
  <c r="K385" i="5"/>
  <c r="J385" i="5"/>
  <c r="I385" i="5"/>
  <c r="H385" i="5"/>
  <c r="G385" i="5"/>
  <c r="F385" i="5"/>
  <c r="O385" i="5" s="1"/>
  <c r="D385" i="5"/>
  <c r="C385" i="5"/>
  <c r="L385" i="5" s="1"/>
  <c r="P384" i="5"/>
  <c r="O384" i="5"/>
  <c r="L384" i="5"/>
  <c r="K384" i="5"/>
  <c r="J384" i="5"/>
  <c r="N384" i="5" s="1"/>
  <c r="G384" i="5"/>
  <c r="F384" i="5"/>
  <c r="D384" i="5"/>
  <c r="C384" i="5"/>
  <c r="H384" i="5" s="1"/>
  <c r="M383" i="5"/>
  <c r="D383" i="5"/>
  <c r="C383" i="5"/>
  <c r="P382" i="5"/>
  <c r="M382" i="5"/>
  <c r="L382" i="5"/>
  <c r="J382" i="5"/>
  <c r="N382" i="5" s="1"/>
  <c r="I382" i="5"/>
  <c r="H382" i="5"/>
  <c r="F382" i="5"/>
  <c r="D382" i="5"/>
  <c r="C382" i="5"/>
  <c r="N381" i="5"/>
  <c r="M381" i="5"/>
  <c r="K381" i="5"/>
  <c r="J381" i="5"/>
  <c r="P381" i="5" s="1"/>
  <c r="I381" i="5"/>
  <c r="G381" i="5"/>
  <c r="O381" i="5" s="1"/>
  <c r="F381" i="5"/>
  <c r="D381" i="5"/>
  <c r="C381" i="5"/>
  <c r="L381" i="5" s="1"/>
  <c r="H380" i="5"/>
  <c r="G380" i="5"/>
  <c r="D380" i="5"/>
  <c r="C380" i="5"/>
  <c r="L380" i="5" s="1"/>
  <c r="K379" i="5"/>
  <c r="I379" i="5"/>
  <c r="D379" i="5"/>
  <c r="C379" i="5"/>
  <c r="L379" i="5" s="1"/>
  <c r="I378" i="5"/>
  <c r="H378" i="5"/>
  <c r="D378" i="5"/>
  <c r="C378" i="5"/>
  <c r="M378" i="5" s="1"/>
  <c r="M377" i="5"/>
  <c r="K377" i="5"/>
  <c r="J377" i="5"/>
  <c r="I377" i="5"/>
  <c r="H377" i="5"/>
  <c r="G377" i="5"/>
  <c r="F377" i="5"/>
  <c r="O377" i="5" s="1"/>
  <c r="D377" i="5"/>
  <c r="C377" i="5"/>
  <c r="L377" i="5" s="1"/>
  <c r="K376" i="5"/>
  <c r="H376" i="5"/>
  <c r="D376" i="5"/>
  <c r="C376" i="5"/>
  <c r="L375" i="5"/>
  <c r="H375" i="5"/>
  <c r="D375" i="5"/>
  <c r="C375" i="5"/>
  <c r="D374" i="5"/>
  <c r="C374" i="5"/>
  <c r="L374" i="5" s="1"/>
  <c r="N373" i="5"/>
  <c r="M373" i="5"/>
  <c r="K373" i="5"/>
  <c r="J373" i="5"/>
  <c r="P373" i="5" s="1"/>
  <c r="I373" i="5"/>
  <c r="G373" i="5"/>
  <c r="F373" i="5"/>
  <c r="D373" i="5"/>
  <c r="C373" i="5"/>
  <c r="L373" i="5" s="1"/>
  <c r="L372" i="5"/>
  <c r="K372" i="5"/>
  <c r="J372" i="5"/>
  <c r="N372" i="5" s="1"/>
  <c r="H372" i="5"/>
  <c r="G372" i="5"/>
  <c r="F372" i="5"/>
  <c r="O372" i="5" s="1"/>
  <c r="D372" i="5"/>
  <c r="C372" i="5"/>
  <c r="D371" i="5"/>
  <c r="C371" i="5"/>
  <c r="P370" i="5"/>
  <c r="M370" i="5"/>
  <c r="L370" i="5"/>
  <c r="J370" i="5"/>
  <c r="N370" i="5" s="1"/>
  <c r="H370" i="5"/>
  <c r="F370" i="5"/>
  <c r="D370" i="5"/>
  <c r="C370" i="5"/>
  <c r="I370" i="5" s="1"/>
  <c r="N369" i="5"/>
  <c r="M369" i="5"/>
  <c r="K369" i="5"/>
  <c r="J369" i="5"/>
  <c r="P369" i="5" s="1"/>
  <c r="I369" i="5"/>
  <c r="H369" i="5"/>
  <c r="G369" i="5"/>
  <c r="F369" i="5"/>
  <c r="O369" i="5" s="1"/>
  <c r="D369" i="5"/>
  <c r="C369" i="5"/>
  <c r="L369" i="5" s="1"/>
  <c r="L368" i="5"/>
  <c r="H368" i="5"/>
  <c r="D368" i="5"/>
  <c r="C368" i="5"/>
  <c r="M367" i="5"/>
  <c r="L367" i="5"/>
  <c r="K367" i="5"/>
  <c r="H367" i="5"/>
  <c r="G367" i="5"/>
  <c r="D367" i="5"/>
  <c r="C367" i="5"/>
  <c r="I367" i="5" s="1"/>
  <c r="M366" i="5"/>
  <c r="I366" i="5"/>
  <c r="D366" i="5"/>
  <c r="C366" i="5"/>
  <c r="M365" i="5"/>
  <c r="K365" i="5"/>
  <c r="J365" i="5"/>
  <c r="I365" i="5"/>
  <c r="G365" i="5"/>
  <c r="F365" i="5"/>
  <c r="O365" i="5" s="1"/>
  <c r="D365" i="5"/>
  <c r="C365" i="5"/>
  <c r="L365" i="5" s="1"/>
  <c r="D364" i="5"/>
  <c r="C364" i="5"/>
  <c r="K364" i="5" s="1"/>
  <c r="H363" i="5"/>
  <c r="D363" i="5"/>
  <c r="C363" i="5"/>
  <c r="L362" i="5"/>
  <c r="I362" i="5"/>
  <c r="D362" i="5"/>
  <c r="C362" i="5"/>
  <c r="N361" i="5"/>
  <c r="M361" i="5"/>
  <c r="K361" i="5"/>
  <c r="J361" i="5"/>
  <c r="P361" i="5" s="1"/>
  <c r="I361" i="5"/>
  <c r="H361" i="5"/>
  <c r="G361" i="5"/>
  <c r="F361" i="5"/>
  <c r="O361" i="5" s="1"/>
  <c r="D361" i="5"/>
  <c r="C361" i="5"/>
  <c r="L361" i="5" s="1"/>
  <c r="L360" i="5"/>
  <c r="G360" i="5"/>
  <c r="F360" i="5"/>
  <c r="D360" i="5"/>
  <c r="C360" i="5"/>
  <c r="D359" i="5"/>
  <c r="C359" i="5"/>
  <c r="M358" i="5"/>
  <c r="H358" i="5"/>
  <c r="D358" i="5"/>
  <c r="C358" i="5"/>
  <c r="M357" i="5"/>
  <c r="K357" i="5"/>
  <c r="J357" i="5"/>
  <c r="P357" i="5" s="1"/>
  <c r="I357" i="5"/>
  <c r="G357" i="5"/>
  <c r="F357" i="5"/>
  <c r="O357" i="5" s="1"/>
  <c r="D357" i="5"/>
  <c r="C357" i="5"/>
  <c r="L357" i="5" s="1"/>
  <c r="L356" i="5"/>
  <c r="J356" i="5"/>
  <c r="G356" i="5"/>
  <c r="D356" i="5"/>
  <c r="C356" i="5"/>
  <c r="M355" i="5"/>
  <c r="L355" i="5"/>
  <c r="K355" i="5"/>
  <c r="I355" i="5"/>
  <c r="H355" i="5"/>
  <c r="G355" i="5"/>
  <c r="D355" i="5"/>
  <c r="C355" i="5"/>
  <c r="M354" i="5"/>
  <c r="I354" i="5"/>
  <c r="D354" i="5"/>
  <c r="C354" i="5"/>
  <c r="M353" i="5"/>
  <c r="K353" i="5"/>
  <c r="J353" i="5"/>
  <c r="I353" i="5"/>
  <c r="H353" i="5"/>
  <c r="G353" i="5"/>
  <c r="F353" i="5"/>
  <c r="D353" i="5"/>
  <c r="C353" i="5"/>
  <c r="L353" i="5" s="1"/>
  <c r="P352" i="5"/>
  <c r="L352" i="5"/>
  <c r="K352" i="5"/>
  <c r="J352" i="5"/>
  <c r="N352" i="5" s="1"/>
  <c r="H352" i="5"/>
  <c r="G352" i="5"/>
  <c r="F352" i="5"/>
  <c r="O352" i="5" s="1"/>
  <c r="D352" i="5"/>
  <c r="C352" i="5"/>
  <c r="M351" i="5"/>
  <c r="K351" i="5"/>
  <c r="H351" i="5"/>
  <c r="D351" i="5"/>
  <c r="C351" i="5"/>
  <c r="I351" i="5" s="1"/>
  <c r="P350" i="5"/>
  <c r="M350" i="5"/>
  <c r="L350" i="5"/>
  <c r="J350" i="5"/>
  <c r="N350" i="5" s="1"/>
  <c r="H350" i="5"/>
  <c r="F350" i="5"/>
  <c r="D350" i="5"/>
  <c r="C350" i="5"/>
  <c r="I350" i="5" s="1"/>
  <c r="O349" i="5"/>
  <c r="N349" i="5"/>
  <c r="M349" i="5"/>
  <c r="K349" i="5"/>
  <c r="J349" i="5"/>
  <c r="P349" i="5" s="1"/>
  <c r="I349" i="5"/>
  <c r="G349" i="5"/>
  <c r="F349" i="5"/>
  <c r="D349" i="5"/>
  <c r="C349" i="5"/>
  <c r="L349" i="5" s="1"/>
  <c r="D348" i="5"/>
  <c r="C348" i="5"/>
  <c r="K348" i="5" s="1"/>
  <c r="K347" i="5"/>
  <c r="G347" i="5"/>
  <c r="D347" i="5"/>
  <c r="C347" i="5"/>
  <c r="L346" i="5"/>
  <c r="I346" i="5"/>
  <c r="D346" i="5"/>
  <c r="C346" i="5"/>
  <c r="M345" i="5"/>
  <c r="K345" i="5"/>
  <c r="J345" i="5"/>
  <c r="P345" i="5" s="1"/>
  <c r="I345" i="5"/>
  <c r="H345" i="5"/>
  <c r="G345" i="5"/>
  <c r="F345" i="5"/>
  <c r="O345" i="5" s="1"/>
  <c r="D345" i="5"/>
  <c r="C345" i="5"/>
  <c r="L345" i="5" s="1"/>
  <c r="K344" i="5"/>
  <c r="H344" i="5"/>
  <c r="D344" i="5"/>
  <c r="C344" i="5"/>
  <c r="L343" i="5"/>
  <c r="I343" i="5"/>
  <c r="H343" i="5"/>
  <c r="D343" i="5"/>
  <c r="C343" i="5"/>
  <c r="M343" i="5" s="1"/>
  <c r="I342" i="5"/>
  <c r="D342" i="5"/>
  <c r="C342" i="5"/>
  <c r="L342" i="5" s="1"/>
  <c r="N341" i="5"/>
  <c r="M341" i="5"/>
  <c r="K341" i="5"/>
  <c r="J341" i="5"/>
  <c r="P341" i="5" s="1"/>
  <c r="I341" i="5"/>
  <c r="G341" i="5"/>
  <c r="F341" i="5"/>
  <c r="O341" i="5" s="1"/>
  <c r="D341" i="5"/>
  <c r="C341" i="5"/>
  <c r="L341" i="5" s="1"/>
  <c r="P340" i="5"/>
  <c r="L340" i="5"/>
  <c r="K340" i="5"/>
  <c r="J340" i="5"/>
  <c r="N340" i="5" s="1"/>
  <c r="G340" i="5"/>
  <c r="F340" i="5"/>
  <c r="O340" i="5" s="1"/>
  <c r="D340" i="5"/>
  <c r="C340" i="5"/>
  <c r="H340" i="5" s="1"/>
  <c r="M339" i="5"/>
  <c r="I339" i="5"/>
  <c r="H339" i="5"/>
  <c r="D339" i="5"/>
  <c r="C339" i="5"/>
  <c r="P338" i="5"/>
  <c r="M338" i="5"/>
  <c r="L338" i="5"/>
  <c r="J338" i="5"/>
  <c r="N338" i="5" s="1"/>
  <c r="I338" i="5"/>
  <c r="H338" i="5"/>
  <c r="F338" i="5"/>
  <c r="D338" i="5"/>
  <c r="C338" i="5"/>
  <c r="M337" i="5"/>
  <c r="K337" i="5"/>
  <c r="J337" i="5"/>
  <c r="P337" i="5" s="1"/>
  <c r="I337" i="5"/>
  <c r="H337" i="5"/>
  <c r="G337" i="5"/>
  <c r="F337" i="5"/>
  <c r="O337" i="5" s="1"/>
  <c r="D337" i="5"/>
  <c r="C337" i="5"/>
  <c r="L337" i="5" s="1"/>
  <c r="N336" i="5"/>
  <c r="J336" i="5"/>
  <c r="P336" i="5" s="1"/>
  <c r="H336" i="5"/>
  <c r="G336" i="5"/>
  <c r="D336" i="5"/>
  <c r="C336" i="5"/>
  <c r="M335" i="5"/>
  <c r="L335" i="5"/>
  <c r="K335" i="5"/>
  <c r="I335" i="5"/>
  <c r="H335" i="5"/>
  <c r="G335" i="5"/>
  <c r="D335" i="5"/>
  <c r="C335" i="5"/>
  <c r="P334" i="5"/>
  <c r="M334" i="5"/>
  <c r="J334" i="5"/>
  <c r="N334" i="5" s="1"/>
  <c r="H334" i="5"/>
  <c r="D334" i="5"/>
  <c r="C334" i="5"/>
  <c r="M333" i="5"/>
  <c r="K333" i="5"/>
  <c r="J333" i="5"/>
  <c r="I333" i="5"/>
  <c r="G333" i="5"/>
  <c r="O333" i="5" s="1"/>
  <c r="F333" i="5"/>
  <c r="D333" i="5"/>
  <c r="C333" i="5"/>
  <c r="L333" i="5" s="1"/>
  <c r="N332" i="5"/>
  <c r="K332" i="5"/>
  <c r="J332" i="5"/>
  <c r="P332" i="5" s="1"/>
  <c r="H332" i="5"/>
  <c r="F332" i="5"/>
  <c r="D332" i="5"/>
  <c r="C332" i="5"/>
  <c r="M331" i="5"/>
  <c r="L331" i="5"/>
  <c r="I331" i="5"/>
  <c r="H331" i="5"/>
  <c r="G331" i="5"/>
  <c r="D331" i="5"/>
  <c r="C331" i="5"/>
  <c r="P330" i="5"/>
  <c r="N330" i="5"/>
  <c r="L330" i="5"/>
  <c r="J330" i="5"/>
  <c r="I330" i="5"/>
  <c r="F330" i="5"/>
  <c r="D330" i="5"/>
  <c r="C330" i="5"/>
  <c r="N329" i="5"/>
  <c r="M329" i="5"/>
  <c r="K329" i="5"/>
  <c r="J329" i="5"/>
  <c r="P329" i="5" s="1"/>
  <c r="I329" i="5"/>
  <c r="H329" i="5"/>
  <c r="G329" i="5"/>
  <c r="F329" i="5"/>
  <c r="D329" i="5"/>
  <c r="C329" i="5"/>
  <c r="L329" i="5" s="1"/>
  <c r="D328" i="5"/>
  <c r="C328" i="5"/>
  <c r="L327" i="5"/>
  <c r="G327" i="5"/>
  <c r="D327" i="5"/>
  <c r="C327" i="5"/>
  <c r="L326" i="5"/>
  <c r="I326" i="5"/>
  <c r="F326" i="5"/>
  <c r="D326" i="5"/>
  <c r="C326" i="5"/>
  <c r="O325" i="5"/>
  <c r="M325" i="5"/>
  <c r="K325" i="5"/>
  <c r="J325" i="5"/>
  <c r="P325" i="5" s="1"/>
  <c r="I325" i="5"/>
  <c r="G325" i="5"/>
  <c r="F325" i="5"/>
  <c r="D325" i="5"/>
  <c r="C325" i="5"/>
  <c r="L325" i="5" s="1"/>
  <c r="J324" i="5"/>
  <c r="P324" i="5" s="1"/>
  <c r="H324" i="5"/>
  <c r="G324" i="5"/>
  <c r="D324" i="5"/>
  <c r="C324" i="5"/>
  <c r="M323" i="5"/>
  <c r="L323" i="5"/>
  <c r="K323" i="5"/>
  <c r="H323" i="5"/>
  <c r="G323" i="5"/>
  <c r="D323" i="5"/>
  <c r="C323" i="5"/>
  <c r="I323" i="5" s="1"/>
  <c r="P322" i="5"/>
  <c r="N322" i="5"/>
  <c r="J322" i="5"/>
  <c r="I322" i="5"/>
  <c r="H322" i="5"/>
  <c r="D322" i="5"/>
  <c r="C322" i="5"/>
  <c r="M321" i="5"/>
  <c r="K321" i="5"/>
  <c r="J321" i="5"/>
  <c r="I321" i="5"/>
  <c r="H321" i="5"/>
  <c r="G321" i="5"/>
  <c r="O321" i="5" s="1"/>
  <c r="F321" i="5"/>
  <c r="D321" i="5"/>
  <c r="C321" i="5"/>
  <c r="L321" i="5" s="1"/>
  <c r="O320" i="5"/>
  <c r="L320" i="5"/>
  <c r="K320" i="5"/>
  <c r="J320" i="5"/>
  <c r="G320" i="5"/>
  <c r="F320" i="5"/>
  <c r="D320" i="5"/>
  <c r="C320" i="5"/>
  <c r="H320" i="5" s="1"/>
  <c r="M319" i="5"/>
  <c r="K319" i="5"/>
  <c r="I319" i="5"/>
  <c r="H319" i="5"/>
  <c r="D319" i="5"/>
  <c r="C319" i="5"/>
  <c r="M318" i="5"/>
  <c r="L318" i="5"/>
  <c r="J318" i="5"/>
  <c r="N318" i="5" s="1"/>
  <c r="I318" i="5"/>
  <c r="H318" i="5"/>
  <c r="F318" i="5"/>
  <c r="D318" i="5"/>
  <c r="C318" i="5"/>
  <c r="O317" i="5"/>
  <c r="N317" i="5"/>
  <c r="M317" i="5"/>
  <c r="K317" i="5"/>
  <c r="J317" i="5"/>
  <c r="P317" i="5" s="1"/>
  <c r="I317" i="5"/>
  <c r="G317" i="5"/>
  <c r="F317" i="5"/>
  <c r="D317" i="5"/>
  <c r="C317" i="5"/>
  <c r="L317" i="5" s="1"/>
  <c r="L316" i="5"/>
  <c r="G316" i="5"/>
  <c r="F316" i="5"/>
  <c r="O316" i="5" s="1"/>
  <c r="D316" i="5"/>
  <c r="C316" i="5"/>
  <c r="L315" i="5"/>
  <c r="I315" i="5"/>
  <c r="D315" i="5"/>
  <c r="C315" i="5"/>
  <c r="M314" i="5"/>
  <c r="L314" i="5"/>
  <c r="H314" i="5"/>
  <c r="F314" i="5"/>
  <c r="D314" i="5"/>
  <c r="C314" i="5"/>
  <c r="N313" i="5"/>
  <c r="M313" i="5"/>
  <c r="K313" i="5"/>
  <c r="J313" i="5"/>
  <c r="P313" i="5" s="1"/>
  <c r="I313" i="5"/>
  <c r="H313" i="5"/>
  <c r="G313" i="5"/>
  <c r="F313" i="5"/>
  <c r="D313" i="5"/>
  <c r="C313" i="5"/>
  <c r="L313" i="5" s="1"/>
  <c r="K312" i="5"/>
  <c r="J312" i="5"/>
  <c r="P312" i="5" s="1"/>
  <c r="F312" i="5"/>
  <c r="D312" i="5"/>
  <c r="C312" i="5"/>
  <c r="H312" i="5" s="1"/>
  <c r="M311" i="5"/>
  <c r="L311" i="5"/>
  <c r="I311" i="5"/>
  <c r="G311" i="5"/>
  <c r="D311" i="5"/>
  <c r="C311" i="5"/>
  <c r="H311" i="5" s="1"/>
  <c r="P310" i="5"/>
  <c r="N310" i="5"/>
  <c r="L310" i="5"/>
  <c r="J310" i="5"/>
  <c r="F310" i="5"/>
  <c r="D310" i="5"/>
  <c r="C310" i="5"/>
  <c r="I310" i="5" s="1"/>
  <c r="N309" i="5"/>
  <c r="M309" i="5"/>
  <c r="K309" i="5"/>
  <c r="J309" i="5"/>
  <c r="P309" i="5" s="1"/>
  <c r="I309" i="5"/>
  <c r="G309" i="5"/>
  <c r="F309" i="5"/>
  <c r="D309" i="5"/>
  <c r="C309" i="5"/>
  <c r="L309" i="5" s="1"/>
  <c r="O308" i="5"/>
  <c r="L308" i="5"/>
  <c r="K308" i="5"/>
  <c r="J308" i="5"/>
  <c r="N308" i="5" s="1"/>
  <c r="H308" i="5"/>
  <c r="G308" i="5"/>
  <c r="F308" i="5"/>
  <c r="D308" i="5"/>
  <c r="C308" i="5"/>
  <c r="M307" i="5"/>
  <c r="K307" i="5"/>
  <c r="H307" i="5"/>
  <c r="D307" i="5"/>
  <c r="C307" i="5"/>
  <c r="P306" i="5"/>
  <c r="M306" i="5"/>
  <c r="L306" i="5"/>
  <c r="J306" i="5"/>
  <c r="N306" i="5" s="1"/>
  <c r="H306" i="5"/>
  <c r="F306" i="5"/>
  <c r="D306" i="5"/>
  <c r="C306" i="5"/>
  <c r="I306" i="5" s="1"/>
  <c r="O305" i="5"/>
  <c r="M305" i="5"/>
  <c r="K305" i="5"/>
  <c r="J305" i="5"/>
  <c r="P305" i="5" s="1"/>
  <c r="I305" i="5"/>
  <c r="H305" i="5"/>
  <c r="G305" i="5"/>
  <c r="F305" i="5"/>
  <c r="D305" i="5"/>
  <c r="C305" i="5"/>
  <c r="L305" i="5" s="1"/>
  <c r="J304" i="5"/>
  <c r="H304" i="5"/>
  <c r="G304" i="5"/>
  <c r="D304" i="5"/>
  <c r="C304" i="5"/>
  <c r="L304" i="5" s="1"/>
  <c r="M303" i="5"/>
  <c r="L303" i="5"/>
  <c r="K303" i="5"/>
  <c r="H303" i="5"/>
  <c r="G303" i="5"/>
  <c r="D303" i="5"/>
  <c r="C303" i="5"/>
  <c r="I303" i="5" s="1"/>
  <c r="P302" i="5"/>
  <c r="M302" i="5"/>
  <c r="J302" i="5"/>
  <c r="N302" i="5" s="1"/>
  <c r="I302" i="5"/>
  <c r="H302" i="5"/>
  <c r="D302" i="5"/>
  <c r="C302" i="5"/>
  <c r="M301" i="5"/>
  <c r="K301" i="5"/>
  <c r="J301" i="5"/>
  <c r="I301" i="5"/>
  <c r="G301" i="5"/>
  <c r="O301" i="5" s="1"/>
  <c r="F301" i="5"/>
  <c r="D301" i="5"/>
  <c r="C301" i="5"/>
  <c r="L301" i="5" s="1"/>
  <c r="K300" i="5"/>
  <c r="J300" i="5"/>
  <c r="P300" i="5" s="1"/>
  <c r="F300" i="5"/>
  <c r="D300" i="5"/>
  <c r="C300" i="5"/>
  <c r="H300" i="5" s="1"/>
  <c r="M299" i="5"/>
  <c r="L299" i="5"/>
  <c r="I299" i="5"/>
  <c r="G299" i="5"/>
  <c r="D299" i="5"/>
  <c r="C299" i="5"/>
  <c r="H299" i="5" s="1"/>
  <c r="N298" i="5"/>
  <c r="L298" i="5"/>
  <c r="J298" i="5"/>
  <c r="P298" i="5" s="1"/>
  <c r="F298" i="5"/>
  <c r="D298" i="5"/>
  <c r="C298" i="5"/>
  <c r="I298" i="5" s="1"/>
  <c r="N297" i="5"/>
  <c r="M297" i="5"/>
  <c r="K297" i="5"/>
  <c r="J297" i="5"/>
  <c r="P297" i="5" s="1"/>
  <c r="I297" i="5"/>
  <c r="H297" i="5"/>
  <c r="G297" i="5"/>
  <c r="F297" i="5"/>
  <c r="D297" i="5"/>
  <c r="C297" i="5"/>
  <c r="L297" i="5" s="1"/>
  <c r="F296" i="5"/>
  <c r="D296" i="5"/>
  <c r="C296" i="5"/>
  <c r="K296" i="5" s="1"/>
  <c r="D295" i="5"/>
  <c r="C295" i="5"/>
  <c r="L294" i="5"/>
  <c r="F294" i="5"/>
  <c r="D294" i="5"/>
  <c r="C294" i="5"/>
  <c r="M293" i="5"/>
  <c r="K293" i="5"/>
  <c r="J293" i="5"/>
  <c r="P293" i="5" s="1"/>
  <c r="I293" i="5"/>
  <c r="G293" i="5"/>
  <c r="F293" i="5"/>
  <c r="O293" i="5" s="1"/>
  <c r="D293" i="5"/>
  <c r="C293" i="5"/>
  <c r="L293" i="5" s="1"/>
  <c r="N292" i="5"/>
  <c r="L292" i="5"/>
  <c r="J292" i="5"/>
  <c r="P292" i="5" s="1"/>
  <c r="H292" i="5"/>
  <c r="G292" i="5"/>
  <c r="D292" i="5"/>
  <c r="C292" i="5"/>
  <c r="M291" i="5"/>
  <c r="L291" i="5"/>
  <c r="K291" i="5"/>
  <c r="I291" i="5"/>
  <c r="H291" i="5"/>
  <c r="G291" i="5"/>
  <c r="D291" i="5"/>
  <c r="C291" i="5"/>
  <c r="M290" i="5"/>
  <c r="I290" i="5"/>
  <c r="H290" i="5"/>
  <c r="D290" i="5"/>
  <c r="C290" i="5"/>
  <c r="O289" i="5"/>
  <c r="M289" i="5"/>
  <c r="K289" i="5"/>
  <c r="J289" i="5"/>
  <c r="I289" i="5"/>
  <c r="H289" i="5"/>
  <c r="G289" i="5"/>
  <c r="F289" i="5"/>
  <c r="D289" i="5"/>
  <c r="C289" i="5"/>
  <c r="L289" i="5" s="1"/>
  <c r="P288" i="5"/>
  <c r="L288" i="5"/>
  <c r="K288" i="5"/>
  <c r="J288" i="5"/>
  <c r="N288" i="5" s="1"/>
  <c r="H288" i="5"/>
  <c r="G288" i="5"/>
  <c r="O288" i="5" s="1"/>
  <c r="F288" i="5"/>
  <c r="D288" i="5"/>
  <c r="C288" i="5"/>
  <c r="D287" i="5"/>
  <c r="C287" i="5"/>
  <c r="K287" i="5" s="1"/>
  <c r="P286" i="5"/>
  <c r="M286" i="5"/>
  <c r="L286" i="5"/>
  <c r="J286" i="5"/>
  <c r="N286" i="5" s="1"/>
  <c r="H286" i="5"/>
  <c r="F286" i="5"/>
  <c r="D286" i="5"/>
  <c r="C286" i="5"/>
  <c r="I286" i="5" s="1"/>
  <c r="M285" i="5"/>
  <c r="K285" i="5"/>
  <c r="J285" i="5"/>
  <c r="P285" i="5" s="1"/>
  <c r="I285" i="5"/>
  <c r="G285" i="5"/>
  <c r="O285" i="5" s="1"/>
  <c r="F285" i="5"/>
  <c r="D285" i="5"/>
  <c r="C285" i="5"/>
  <c r="L285" i="5" s="1"/>
  <c r="L284" i="5"/>
  <c r="H284" i="5"/>
  <c r="G284" i="5"/>
  <c r="F284" i="5"/>
  <c r="O284" i="5" s="1"/>
  <c r="D284" i="5"/>
  <c r="C284" i="5"/>
  <c r="K283" i="5"/>
  <c r="I283" i="5"/>
  <c r="G283" i="5"/>
  <c r="D283" i="5"/>
  <c r="C283" i="5"/>
  <c r="M282" i="5"/>
  <c r="I282" i="5"/>
  <c r="H282" i="5"/>
  <c r="F282" i="5"/>
  <c r="D282" i="5"/>
  <c r="C282" i="5"/>
  <c r="N281" i="5"/>
  <c r="M281" i="5"/>
  <c r="K281" i="5"/>
  <c r="J281" i="5"/>
  <c r="P281" i="5" s="1"/>
  <c r="I281" i="5"/>
  <c r="H281" i="5"/>
  <c r="G281" i="5"/>
  <c r="F281" i="5"/>
  <c r="O281" i="5" s="1"/>
  <c r="D281" i="5"/>
  <c r="C281" i="5"/>
  <c r="L281" i="5" s="1"/>
  <c r="K280" i="5"/>
  <c r="H280" i="5"/>
  <c r="F280" i="5"/>
  <c r="D280" i="5"/>
  <c r="C280" i="5"/>
  <c r="G279" i="5"/>
  <c r="D279" i="5"/>
  <c r="C279" i="5"/>
  <c r="M279" i="5" s="1"/>
  <c r="D278" i="5"/>
  <c r="C278" i="5"/>
  <c r="L278" i="5" s="1"/>
  <c r="N277" i="5"/>
  <c r="M277" i="5"/>
  <c r="K277" i="5"/>
  <c r="J277" i="5"/>
  <c r="P277" i="5" s="1"/>
  <c r="I277" i="5"/>
  <c r="G277" i="5"/>
  <c r="F277" i="5"/>
  <c r="D277" i="5"/>
  <c r="C277" i="5"/>
  <c r="L277" i="5" s="1"/>
  <c r="L276" i="5"/>
  <c r="K276" i="5"/>
  <c r="J276" i="5"/>
  <c r="N276" i="5" s="1"/>
  <c r="G276" i="5"/>
  <c r="F276" i="5"/>
  <c r="O276" i="5" s="1"/>
  <c r="D276" i="5"/>
  <c r="C276" i="5"/>
  <c r="H276" i="5" s="1"/>
  <c r="D275" i="5"/>
  <c r="C275" i="5"/>
  <c r="M275" i="5" s="1"/>
  <c r="P274" i="5"/>
  <c r="M274" i="5"/>
  <c r="L274" i="5"/>
  <c r="J274" i="5"/>
  <c r="N274" i="5" s="1"/>
  <c r="I274" i="5"/>
  <c r="H274" i="5"/>
  <c r="F274" i="5"/>
  <c r="D274" i="5"/>
  <c r="C274" i="5"/>
  <c r="M273" i="5"/>
  <c r="K273" i="5"/>
  <c r="J273" i="5"/>
  <c r="P273" i="5" s="1"/>
  <c r="I273" i="5"/>
  <c r="H273" i="5"/>
  <c r="G273" i="5"/>
  <c r="F273" i="5"/>
  <c r="O273" i="5" s="1"/>
  <c r="D273" i="5"/>
  <c r="C273" i="5"/>
  <c r="L273" i="5" s="1"/>
  <c r="H272" i="5"/>
  <c r="D272" i="5"/>
  <c r="C272" i="5"/>
  <c r="L272" i="5" s="1"/>
  <c r="M271" i="5"/>
  <c r="L271" i="5"/>
  <c r="K271" i="5"/>
  <c r="I271" i="5"/>
  <c r="H271" i="5"/>
  <c r="G271" i="5"/>
  <c r="D271" i="5"/>
  <c r="C271" i="5"/>
  <c r="M270" i="5"/>
  <c r="J270" i="5"/>
  <c r="P270" i="5" s="1"/>
  <c r="I270" i="5"/>
  <c r="H270" i="5"/>
  <c r="D270" i="5"/>
  <c r="C270" i="5"/>
  <c r="M269" i="5"/>
  <c r="K269" i="5"/>
  <c r="J269" i="5"/>
  <c r="I269" i="5"/>
  <c r="G269" i="5"/>
  <c r="F269" i="5"/>
  <c r="O269" i="5" s="1"/>
  <c r="D269" i="5"/>
  <c r="C269" i="5"/>
  <c r="L269" i="5" s="1"/>
  <c r="H268" i="5"/>
  <c r="D268" i="5"/>
  <c r="C268" i="5"/>
  <c r="J268" i="5" s="1"/>
  <c r="D267" i="5"/>
  <c r="C267" i="5"/>
  <c r="D266" i="5"/>
  <c r="C266" i="5"/>
  <c r="N265" i="5"/>
  <c r="M265" i="5"/>
  <c r="K265" i="5"/>
  <c r="J265" i="5"/>
  <c r="P265" i="5" s="1"/>
  <c r="I265" i="5"/>
  <c r="H265" i="5"/>
  <c r="G265" i="5"/>
  <c r="F265" i="5"/>
  <c r="D265" i="5"/>
  <c r="C265" i="5"/>
  <c r="L265" i="5" s="1"/>
  <c r="L264" i="5"/>
  <c r="H264" i="5"/>
  <c r="G264" i="5"/>
  <c r="F264" i="5"/>
  <c r="O264" i="5" s="1"/>
  <c r="D264" i="5"/>
  <c r="C264" i="5"/>
  <c r="K263" i="5"/>
  <c r="I263" i="5"/>
  <c r="G263" i="5"/>
  <c r="D263" i="5"/>
  <c r="C263" i="5"/>
  <c r="M262" i="5"/>
  <c r="I262" i="5"/>
  <c r="H262" i="5"/>
  <c r="F262" i="5"/>
  <c r="D262" i="5"/>
  <c r="C262" i="5"/>
  <c r="O261" i="5"/>
  <c r="M261" i="5"/>
  <c r="K261" i="5"/>
  <c r="J261" i="5"/>
  <c r="P261" i="5" s="1"/>
  <c r="I261" i="5"/>
  <c r="G261" i="5"/>
  <c r="F261" i="5"/>
  <c r="D261" i="5"/>
  <c r="C261" i="5"/>
  <c r="L261" i="5" s="1"/>
  <c r="N260" i="5"/>
  <c r="L260" i="5"/>
  <c r="J260" i="5"/>
  <c r="P260" i="5" s="1"/>
  <c r="D260" i="5"/>
  <c r="C260" i="5"/>
  <c r="M259" i="5"/>
  <c r="L259" i="5"/>
  <c r="K259" i="5"/>
  <c r="H259" i="5"/>
  <c r="G259" i="5"/>
  <c r="D259" i="5"/>
  <c r="C259" i="5"/>
  <c r="I259" i="5" s="1"/>
  <c r="I258" i="5"/>
  <c r="D258" i="5"/>
  <c r="C258" i="5"/>
  <c r="M258" i="5" s="1"/>
  <c r="M257" i="5"/>
  <c r="K257" i="5"/>
  <c r="J257" i="5"/>
  <c r="I257" i="5"/>
  <c r="G257" i="5"/>
  <c r="F257" i="5"/>
  <c r="O257" i="5" s="1"/>
  <c r="D257" i="5"/>
  <c r="C257" i="5"/>
  <c r="H257" i="5" s="1"/>
  <c r="F256" i="5"/>
  <c r="D256" i="5"/>
  <c r="C256" i="5"/>
  <c r="K256" i="5" s="1"/>
  <c r="D255" i="5"/>
  <c r="C255" i="5"/>
  <c r="M255" i="5" s="1"/>
  <c r="D254" i="5"/>
  <c r="C254" i="5"/>
  <c r="N253" i="5"/>
  <c r="M253" i="5"/>
  <c r="K253" i="5"/>
  <c r="J253" i="5"/>
  <c r="P253" i="5" s="1"/>
  <c r="I253" i="5"/>
  <c r="G253" i="5"/>
  <c r="F253" i="5"/>
  <c r="D253" i="5"/>
  <c r="C253" i="5"/>
  <c r="L253" i="5" s="1"/>
  <c r="P252" i="5"/>
  <c r="L252" i="5"/>
  <c r="K252" i="5"/>
  <c r="J252" i="5"/>
  <c r="N252" i="5" s="1"/>
  <c r="G252" i="5"/>
  <c r="F252" i="5"/>
  <c r="O252" i="5" s="1"/>
  <c r="D252" i="5"/>
  <c r="C252" i="5"/>
  <c r="H252" i="5" s="1"/>
  <c r="D251" i="5"/>
  <c r="C251" i="5"/>
  <c r="P250" i="5"/>
  <c r="M250" i="5"/>
  <c r="L250" i="5"/>
  <c r="J250" i="5"/>
  <c r="N250" i="5" s="1"/>
  <c r="I250" i="5"/>
  <c r="H250" i="5"/>
  <c r="F250" i="5"/>
  <c r="D250" i="5"/>
  <c r="C250" i="5"/>
  <c r="N249" i="5"/>
  <c r="M249" i="5"/>
  <c r="K249" i="5"/>
  <c r="J249" i="5"/>
  <c r="P249" i="5" s="1"/>
  <c r="I249" i="5"/>
  <c r="G249" i="5"/>
  <c r="O249" i="5" s="1"/>
  <c r="F249" i="5"/>
  <c r="D249" i="5"/>
  <c r="C249" i="5"/>
  <c r="H249" i="5" s="1"/>
  <c r="D248" i="5"/>
  <c r="C248" i="5"/>
  <c r="L248" i="5" s="1"/>
  <c r="K247" i="5"/>
  <c r="I247" i="5"/>
  <c r="D247" i="5"/>
  <c r="C247" i="5"/>
  <c r="M246" i="5"/>
  <c r="L246" i="5"/>
  <c r="I246" i="5"/>
  <c r="D246" i="5"/>
  <c r="C246" i="5"/>
  <c r="M245" i="5"/>
  <c r="K245" i="5"/>
  <c r="J245" i="5"/>
  <c r="P245" i="5" s="1"/>
  <c r="I245" i="5"/>
  <c r="G245" i="5"/>
  <c r="F245" i="5"/>
  <c r="O245" i="5" s="1"/>
  <c r="D245" i="5"/>
  <c r="C245" i="5"/>
  <c r="L245" i="5" s="1"/>
  <c r="L244" i="5"/>
  <c r="H244" i="5"/>
  <c r="D244" i="5"/>
  <c r="C244" i="5"/>
  <c r="M243" i="5"/>
  <c r="L243" i="5"/>
  <c r="K243" i="5"/>
  <c r="I243" i="5"/>
  <c r="H243" i="5"/>
  <c r="G243" i="5"/>
  <c r="D243" i="5"/>
  <c r="C243" i="5"/>
  <c r="N242" i="5"/>
  <c r="J242" i="5"/>
  <c r="P242" i="5" s="1"/>
  <c r="I242" i="5"/>
  <c r="D242" i="5"/>
  <c r="C242" i="5"/>
  <c r="O241" i="5"/>
  <c r="M241" i="5"/>
  <c r="K241" i="5"/>
  <c r="J241" i="5"/>
  <c r="I241" i="5"/>
  <c r="G241" i="5"/>
  <c r="F241" i="5"/>
  <c r="D241" i="5"/>
  <c r="C241" i="5"/>
  <c r="H241" i="5" s="1"/>
  <c r="K240" i="5"/>
  <c r="H240" i="5"/>
  <c r="F240" i="5"/>
  <c r="D240" i="5"/>
  <c r="C240" i="5"/>
  <c r="G239" i="5"/>
  <c r="D239" i="5"/>
  <c r="C239" i="5"/>
  <c r="M239" i="5" s="1"/>
  <c r="D238" i="5"/>
  <c r="C238" i="5"/>
  <c r="N237" i="5"/>
  <c r="M237" i="5"/>
  <c r="K237" i="5"/>
  <c r="J237" i="5"/>
  <c r="P237" i="5" s="1"/>
  <c r="I237" i="5"/>
  <c r="G237" i="5"/>
  <c r="F237" i="5"/>
  <c r="D237" i="5"/>
  <c r="C237" i="5"/>
  <c r="L237" i="5" s="1"/>
  <c r="P236" i="5"/>
  <c r="L236" i="5"/>
  <c r="K236" i="5"/>
  <c r="J236" i="5"/>
  <c r="N236" i="5" s="1"/>
  <c r="H236" i="5"/>
  <c r="G236" i="5"/>
  <c r="O236" i="5" s="1"/>
  <c r="F236" i="5"/>
  <c r="D236" i="5"/>
  <c r="C236" i="5"/>
  <c r="D235" i="5"/>
  <c r="C235" i="5"/>
  <c r="M235" i="5" s="1"/>
  <c r="M234" i="5"/>
  <c r="L234" i="5"/>
  <c r="J234" i="5"/>
  <c r="H234" i="5"/>
  <c r="F234" i="5"/>
  <c r="D234" i="5"/>
  <c r="C234" i="5"/>
  <c r="I234" i="5" s="1"/>
  <c r="N233" i="5"/>
  <c r="M233" i="5"/>
  <c r="K233" i="5"/>
  <c r="J233" i="5"/>
  <c r="P233" i="5" s="1"/>
  <c r="I233" i="5"/>
  <c r="G233" i="5"/>
  <c r="O233" i="5" s="1"/>
  <c r="F233" i="5"/>
  <c r="D233" i="5"/>
  <c r="C233" i="5"/>
  <c r="H233" i="5" s="1"/>
  <c r="D232" i="5"/>
  <c r="C232" i="5"/>
  <c r="D231" i="5"/>
  <c r="C231" i="5"/>
  <c r="M230" i="5"/>
  <c r="I230" i="5"/>
  <c r="H230" i="5"/>
  <c r="D230" i="5"/>
  <c r="C230" i="5"/>
  <c r="O229" i="5"/>
  <c r="M229" i="5"/>
  <c r="K229" i="5"/>
  <c r="J229" i="5"/>
  <c r="P229" i="5" s="1"/>
  <c r="I229" i="5"/>
  <c r="G229" i="5"/>
  <c r="F229" i="5"/>
  <c r="D229" i="5"/>
  <c r="C229" i="5"/>
  <c r="L229" i="5" s="1"/>
  <c r="L228" i="5"/>
  <c r="H228" i="5"/>
  <c r="G228" i="5"/>
  <c r="D228" i="5"/>
  <c r="C228" i="5"/>
  <c r="M227" i="5"/>
  <c r="L227" i="5"/>
  <c r="K227" i="5"/>
  <c r="H227" i="5"/>
  <c r="G227" i="5"/>
  <c r="D227" i="5"/>
  <c r="C227" i="5"/>
  <c r="I227" i="5" s="1"/>
  <c r="D226" i="5"/>
  <c r="C226" i="5"/>
  <c r="M226" i="5" s="1"/>
  <c r="M225" i="5"/>
  <c r="K225" i="5"/>
  <c r="J225" i="5"/>
  <c r="I225" i="5"/>
  <c r="G225" i="5"/>
  <c r="F225" i="5"/>
  <c r="D225" i="5"/>
  <c r="C225" i="5"/>
  <c r="H225" i="5" s="1"/>
  <c r="D224" i="5"/>
  <c r="C224" i="5"/>
  <c r="K224" i="5" s="1"/>
  <c r="D223" i="5"/>
  <c r="C223" i="5"/>
  <c r="L222" i="5"/>
  <c r="I222" i="5"/>
  <c r="F222" i="5"/>
  <c r="D222" i="5"/>
  <c r="C222" i="5"/>
  <c r="N221" i="5"/>
  <c r="M221" i="5"/>
  <c r="K221" i="5"/>
  <c r="J221" i="5"/>
  <c r="P221" i="5" s="1"/>
  <c r="I221" i="5"/>
  <c r="G221" i="5"/>
  <c r="F221" i="5"/>
  <c r="D221" i="5"/>
  <c r="C221" i="5"/>
  <c r="L221" i="5" s="1"/>
  <c r="O220" i="5"/>
  <c r="L220" i="5"/>
  <c r="K220" i="5"/>
  <c r="J220" i="5"/>
  <c r="G220" i="5"/>
  <c r="F220" i="5"/>
  <c r="D220" i="5"/>
  <c r="C220" i="5"/>
  <c r="H220" i="5" s="1"/>
  <c r="M219" i="5"/>
  <c r="K219" i="5"/>
  <c r="I219" i="5"/>
  <c r="H219" i="5"/>
  <c r="D219" i="5"/>
  <c r="C219" i="5"/>
  <c r="P218" i="5"/>
  <c r="M218" i="5"/>
  <c r="L218" i="5"/>
  <c r="J218" i="5"/>
  <c r="N218" i="5" s="1"/>
  <c r="I218" i="5"/>
  <c r="H218" i="5"/>
  <c r="F218" i="5"/>
  <c r="D218" i="5"/>
  <c r="C218" i="5"/>
  <c r="O217" i="5"/>
  <c r="M217" i="5"/>
  <c r="K217" i="5"/>
  <c r="J217" i="5"/>
  <c r="P217" i="5" s="1"/>
  <c r="I217" i="5"/>
  <c r="G217" i="5"/>
  <c r="F217" i="5"/>
  <c r="D217" i="5"/>
  <c r="C217" i="5"/>
  <c r="H217" i="5" s="1"/>
  <c r="F216" i="5"/>
  <c r="D216" i="5"/>
  <c r="C216" i="5"/>
  <c r="L216" i="5" s="1"/>
  <c r="D215" i="5"/>
  <c r="C215" i="5"/>
  <c r="M214" i="5"/>
  <c r="L214" i="5"/>
  <c r="D214" i="5"/>
  <c r="C214" i="5"/>
  <c r="M213" i="5"/>
  <c r="K213" i="5"/>
  <c r="J213" i="5"/>
  <c r="P213" i="5" s="1"/>
  <c r="I213" i="5"/>
  <c r="G213" i="5"/>
  <c r="F213" i="5"/>
  <c r="O213" i="5" s="1"/>
  <c r="D213" i="5"/>
  <c r="C213" i="5"/>
  <c r="L213" i="5" s="1"/>
  <c r="L212" i="5"/>
  <c r="J212" i="5"/>
  <c r="D212" i="5"/>
  <c r="C212" i="5"/>
  <c r="M211" i="5"/>
  <c r="L211" i="5"/>
  <c r="K211" i="5"/>
  <c r="I211" i="5"/>
  <c r="H211" i="5"/>
  <c r="G211" i="5"/>
  <c r="D211" i="5"/>
  <c r="C211" i="5"/>
  <c r="N210" i="5"/>
  <c r="M210" i="5"/>
  <c r="J210" i="5"/>
  <c r="P210" i="5" s="1"/>
  <c r="D210" i="5"/>
  <c r="C210" i="5"/>
  <c r="M209" i="5"/>
  <c r="K209" i="5"/>
  <c r="J209" i="5"/>
  <c r="I209" i="5"/>
  <c r="G209" i="5"/>
  <c r="F209" i="5"/>
  <c r="O209" i="5" s="1"/>
  <c r="D209" i="5"/>
  <c r="C209" i="5"/>
  <c r="H209" i="5" s="1"/>
  <c r="K208" i="5"/>
  <c r="H208" i="5"/>
  <c r="D208" i="5"/>
  <c r="C208" i="5"/>
  <c r="L207" i="5"/>
  <c r="H207" i="5"/>
  <c r="G207" i="5"/>
  <c r="D207" i="5"/>
  <c r="C207" i="5"/>
  <c r="M207" i="5" s="1"/>
  <c r="L206" i="5"/>
  <c r="I206" i="5"/>
  <c r="F206" i="5"/>
  <c r="D206" i="5"/>
  <c r="C206" i="5"/>
  <c r="N205" i="5"/>
  <c r="M205" i="5"/>
  <c r="K205" i="5"/>
  <c r="J205" i="5"/>
  <c r="P205" i="5" s="1"/>
  <c r="I205" i="5"/>
  <c r="G205" i="5"/>
  <c r="F205" i="5"/>
  <c r="D205" i="5"/>
  <c r="C205" i="5"/>
  <c r="L205" i="5" s="1"/>
  <c r="L204" i="5"/>
  <c r="K204" i="5"/>
  <c r="J204" i="5"/>
  <c r="N204" i="5" s="1"/>
  <c r="H204" i="5"/>
  <c r="G204" i="5"/>
  <c r="F204" i="5"/>
  <c r="O204" i="5" s="1"/>
  <c r="D204" i="5"/>
  <c r="C204" i="5"/>
  <c r="M203" i="5"/>
  <c r="I203" i="5"/>
  <c r="H203" i="5"/>
  <c r="D203" i="5"/>
  <c r="C203" i="5"/>
  <c r="M202" i="5"/>
  <c r="L202" i="5"/>
  <c r="J202" i="5"/>
  <c r="N202" i="5" s="1"/>
  <c r="H202" i="5"/>
  <c r="F202" i="5"/>
  <c r="D202" i="5"/>
  <c r="C202" i="5"/>
  <c r="I202" i="5" s="1"/>
  <c r="N201" i="5"/>
  <c r="M201" i="5"/>
  <c r="K201" i="5"/>
  <c r="J201" i="5"/>
  <c r="P201" i="5" s="1"/>
  <c r="I201" i="5"/>
  <c r="G201" i="5"/>
  <c r="O201" i="5" s="1"/>
  <c r="F201" i="5"/>
  <c r="D201" i="5"/>
  <c r="C201" i="5"/>
  <c r="H201" i="5" s="1"/>
  <c r="L200" i="5"/>
  <c r="K200" i="5"/>
  <c r="H200" i="5"/>
  <c r="G200" i="5"/>
  <c r="D200" i="5"/>
  <c r="C200" i="5"/>
  <c r="D199" i="5"/>
  <c r="C199" i="5"/>
  <c r="L199" i="5" s="1"/>
  <c r="M198" i="5"/>
  <c r="I198" i="5"/>
  <c r="H198" i="5"/>
  <c r="D198" i="5"/>
  <c r="C198" i="5"/>
  <c r="N197" i="5"/>
  <c r="M197" i="5"/>
  <c r="K197" i="5"/>
  <c r="J197" i="5"/>
  <c r="P197" i="5" s="1"/>
  <c r="I197" i="5"/>
  <c r="G197" i="5"/>
  <c r="F197" i="5"/>
  <c r="O197" i="5" s="1"/>
  <c r="D197" i="5"/>
  <c r="C197" i="5"/>
  <c r="L197" i="5" s="1"/>
  <c r="H196" i="5"/>
  <c r="G196" i="5"/>
  <c r="D196" i="5"/>
  <c r="C196" i="5"/>
  <c r="M195" i="5"/>
  <c r="L195" i="5"/>
  <c r="K195" i="5"/>
  <c r="H195" i="5"/>
  <c r="G195" i="5"/>
  <c r="D195" i="5"/>
  <c r="C195" i="5"/>
  <c r="I195" i="5" s="1"/>
  <c r="M194" i="5"/>
  <c r="D194" i="5"/>
  <c r="C194" i="5"/>
  <c r="M193" i="5"/>
  <c r="K193" i="5"/>
  <c r="J193" i="5"/>
  <c r="I193" i="5"/>
  <c r="G193" i="5"/>
  <c r="O193" i="5" s="1"/>
  <c r="F193" i="5"/>
  <c r="D193" i="5"/>
  <c r="C193" i="5"/>
  <c r="H193" i="5" s="1"/>
  <c r="K192" i="5"/>
  <c r="D192" i="5"/>
  <c r="C192" i="5"/>
  <c r="L191" i="5"/>
  <c r="I191" i="5"/>
  <c r="G191" i="5"/>
  <c r="D191" i="5"/>
  <c r="C191" i="5"/>
  <c r="F190" i="5"/>
  <c r="D190" i="5"/>
  <c r="C190" i="5"/>
  <c r="L190" i="5" s="1"/>
  <c r="N189" i="5"/>
  <c r="M189" i="5"/>
  <c r="K189" i="5"/>
  <c r="J189" i="5"/>
  <c r="P189" i="5" s="1"/>
  <c r="I189" i="5"/>
  <c r="G189" i="5"/>
  <c r="F189" i="5"/>
  <c r="D189" i="5"/>
  <c r="C189" i="5"/>
  <c r="L189" i="5" s="1"/>
  <c r="L188" i="5"/>
  <c r="K188" i="5"/>
  <c r="J188" i="5"/>
  <c r="G188" i="5"/>
  <c r="F188" i="5"/>
  <c r="O188" i="5" s="1"/>
  <c r="D188" i="5"/>
  <c r="C188" i="5"/>
  <c r="H188" i="5" s="1"/>
  <c r="M187" i="5"/>
  <c r="K187" i="5"/>
  <c r="I187" i="5"/>
  <c r="H187" i="5"/>
  <c r="D187" i="5"/>
  <c r="C187" i="5"/>
  <c r="P186" i="5"/>
  <c r="M186" i="5"/>
  <c r="L186" i="5"/>
  <c r="J186" i="5"/>
  <c r="N186" i="5" s="1"/>
  <c r="I186" i="5"/>
  <c r="H186" i="5"/>
  <c r="F186" i="5"/>
  <c r="D186" i="5"/>
  <c r="C186" i="5"/>
  <c r="O185" i="5"/>
  <c r="M185" i="5"/>
  <c r="K185" i="5"/>
  <c r="J185" i="5"/>
  <c r="I185" i="5"/>
  <c r="G185" i="5"/>
  <c r="F185" i="5"/>
  <c r="D185" i="5"/>
  <c r="C185" i="5"/>
  <c r="H185" i="5" s="1"/>
  <c r="L184" i="5"/>
  <c r="K184" i="5"/>
  <c r="G184" i="5"/>
  <c r="D184" i="5"/>
  <c r="C184" i="5"/>
  <c r="L183" i="5"/>
  <c r="I183" i="5"/>
  <c r="G183" i="5"/>
  <c r="D183" i="5"/>
  <c r="C183" i="5"/>
  <c r="M182" i="5"/>
  <c r="L182" i="5"/>
  <c r="H182" i="5"/>
  <c r="F182" i="5"/>
  <c r="D182" i="5"/>
  <c r="C182" i="5"/>
  <c r="O181" i="5"/>
  <c r="M181" i="5"/>
  <c r="K181" i="5"/>
  <c r="J181" i="5"/>
  <c r="P181" i="5" s="1"/>
  <c r="I181" i="5"/>
  <c r="G181" i="5"/>
  <c r="F181" i="5"/>
  <c r="D181" i="5"/>
  <c r="C181" i="5"/>
  <c r="L181" i="5" s="1"/>
  <c r="L180" i="5"/>
  <c r="J180" i="5"/>
  <c r="G180" i="5"/>
  <c r="D180" i="5"/>
  <c r="C180" i="5"/>
  <c r="G179" i="5"/>
  <c r="D179" i="5"/>
  <c r="C179" i="5"/>
  <c r="L179" i="5" s="1"/>
  <c r="F178" i="5"/>
  <c r="D178" i="5"/>
  <c r="C178" i="5"/>
  <c r="M178" i="5" s="1"/>
  <c r="M177" i="5"/>
  <c r="K177" i="5"/>
  <c r="J177" i="5"/>
  <c r="I177" i="5"/>
  <c r="G177" i="5"/>
  <c r="F177" i="5"/>
  <c r="O177" i="5" s="1"/>
  <c r="D177" i="5"/>
  <c r="C177" i="5"/>
  <c r="L177" i="5" s="1"/>
  <c r="J176" i="5"/>
  <c r="P176" i="5" s="1"/>
  <c r="H176" i="5"/>
  <c r="F176" i="5"/>
  <c r="D176" i="5"/>
  <c r="C176" i="5"/>
  <c r="L176" i="5" s="1"/>
  <c r="M175" i="5"/>
  <c r="L175" i="5"/>
  <c r="I175" i="5"/>
  <c r="H175" i="5"/>
  <c r="G175" i="5"/>
  <c r="D175" i="5"/>
  <c r="C175" i="5"/>
  <c r="J174" i="5"/>
  <c r="P174" i="5" s="1"/>
  <c r="I174" i="5"/>
  <c r="H174" i="5"/>
  <c r="D174" i="5"/>
  <c r="C174" i="5"/>
  <c r="L174" i="5" s="1"/>
  <c r="M173" i="5"/>
  <c r="K173" i="5"/>
  <c r="J173" i="5"/>
  <c r="P173" i="5" s="1"/>
  <c r="I173" i="5"/>
  <c r="H173" i="5"/>
  <c r="G173" i="5"/>
  <c r="F173" i="5"/>
  <c r="O173" i="5" s="1"/>
  <c r="D173" i="5"/>
  <c r="C173" i="5"/>
  <c r="L173" i="5" s="1"/>
  <c r="O172" i="5"/>
  <c r="L172" i="5"/>
  <c r="K172" i="5"/>
  <c r="H172" i="5"/>
  <c r="G172" i="5"/>
  <c r="F172" i="5"/>
  <c r="D172" i="5"/>
  <c r="C172" i="5"/>
  <c r="L171" i="5"/>
  <c r="I171" i="5"/>
  <c r="H171" i="5"/>
  <c r="D171" i="5"/>
  <c r="C171" i="5"/>
  <c r="M170" i="5"/>
  <c r="L170" i="5"/>
  <c r="H170" i="5"/>
  <c r="F170" i="5"/>
  <c r="D170" i="5"/>
  <c r="C170" i="5"/>
  <c r="O169" i="5"/>
  <c r="N169" i="5"/>
  <c r="M169" i="5"/>
  <c r="K169" i="5"/>
  <c r="J169" i="5"/>
  <c r="P169" i="5" s="1"/>
  <c r="I169" i="5"/>
  <c r="G169" i="5"/>
  <c r="F169" i="5"/>
  <c r="D169" i="5"/>
  <c r="C169" i="5"/>
  <c r="L169" i="5" s="1"/>
  <c r="F168" i="5"/>
  <c r="D168" i="5"/>
  <c r="C168" i="5"/>
  <c r="L168" i="5" s="1"/>
  <c r="M167" i="5"/>
  <c r="L167" i="5"/>
  <c r="K167" i="5"/>
  <c r="I167" i="5"/>
  <c r="G167" i="5"/>
  <c r="D167" i="5"/>
  <c r="C167" i="5"/>
  <c r="H167" i="5" s="1"/>
  <c r="H166" i="5"/>
  <c r="D166" i="5"/>
  <c r="C166" i="5"/>
  <c r="M166" i="5" s="1"/>
  <c r="N165" i="5"/>
  <c r="M165" i="5"/>
  <c r="K165" i="5"/>
  <c r="J165" i="5"/>
  <c r="P165" i="5" s="1"/>
  <c r="I165" i="5"/>
  <c r="H165" i="5"/>
  <c r="G165" i="5"/>
  <c r="F165" i="5"/>
  <c r="O165" i="5" s="1"/>
  <c r="D165" i="5"/>
  <c r="C165" i="5"/>
  <c r="L165" i="5" s="1"/>
  <c r="L164" i="5"/>
  <c r="K164" i="5"/>
  <c r="J164" i="5"/>
  <c r="N164" i="5" s="1"/>
  <c r="H164" i="5"/>
  <c r="F164" i="5"/>
  <c r="O164" i="5" s="1"/>
  <c r="D164" i="5"/>
  <c r="C164" i="5"/>
  <c r="G164" i="5" s="1"/>
  <c r="M163" i="5"/>
  <c r="L163" i="5"/>
  <c r="H163" i="5"/>
  <c r="D163" i="5"/>
  <c r="C163" i="5"/>
  <c r="N162" i="5"/>
  <c r="L162" i="5"/>
  <c r="J162" i="5"/>
  <c r="P162" i="5" s="1"/>
  <c r="F162" i="5"/>
  <c r="D162" i="5"/>
  <c r="C162" i="5"/>
  <c r="M161" i="5"/>
  <c r="K161" i="5"/>
  <c r="J161" i="5"/>
  <c r="P161" i="5" s="1"/>
  <c r="I161" i="5"/>
  <c r="G161" i="5"/>
  <c r="F161" i="5"/>
  <c r="O161" i="5" s="1"/>
  <c r="D161" i="5"/>
  <c r="C161" i="5"/>
  <c r="L161" i="5" s="1"/>
  <c r="D160" i="5"/>
  <c r="C160" i="5"/>
  <c r="D159" i="5"/>
  <c r="C159" i="5"/>
  <c r="M158" i="5"/>
  <c r="L158" i="5"/>
  <c r="I158" i="5"/>
  <c r="H158" i="5"/>
  <c r="F158" i="5"/>
  <c r="D158" i="5"/>
  <c r="C158" i="5"/>
  <c r="N157" i="5"/>
  <c r="M157" i="5"/>
  <c r="K157" i="5"/>
  <c r="J157" i="5"/>
  <c r="P157" i="5" s="1"/>
  <c r="I157" i="5"/>
  <c r="H157" i="5"/>
  <c r="G157" i="5"/>
  <c r="F157" i="5"/>
  <c r="O157" i="5" s="1"/>
  <c r="D157" i="5"/>
  <c r="C157" i="5"/>
  <c r="L157" i="5" s="1"/>
  <c r="J156" i="5"/>
  <c r="P156" i="5" s="1"/>
  <c r="H156" i="5"/>
  <c r="F156" i="5"/>
  <c r="D156" i="5"/>
  <c r="C156" i="5"/>
  <c r="L156" i="5" s="1"/>
  <c r="M155" i="5"/>
  <c r="L155" i="5"/>
  <c r="I155" i="5"/>
  <c r="H155" i="5"/>
  <c r="G155" i="5"/>
  <c r="D155" i="5"/>
  <c r="C155" i="5"/>
  <c r="J154" i="5"/>
  <c r="P154" i="5" s="1"/>
  <c r="I154" i="5"/>
  <c r="H154" i="5"/>
  <c r="D154" i="5"/>
  <c r="C154" i="5"/>
  <c r="L154" i="5" s="1"/>
  <c r="M153" i="5"/>
  <c r="K153" i="5"/>
  <c r="J153" i="5"/>
  <c r="P153" i="5" s="1"/>
  <c r="I153" i="5"/>
  <c r="G153" i="5"/>
  <c r="F153" i="5"/>
  <c r="D153" i="5"/>
  <c r="C153" i="5"/>
  <c r="L153" i="5" s="1"/>
  <c r="N152" i="5"/>
  <c r="K152" i="5"/>
  <c r="J152" i="5"/>
  <c r="P152" i="5" s="1"/>
  <c r="F152" i="5"/>
  <c r="D152" i="5"/>
  <c r="C152" i="5"/>
  <c r="M151" i="5"/>
  <c r="K151" i="5"/>
  <c r="I151" i="5"/>
  <c r="G151" i="5"/>
  <c r="D151" i="5"/>
  <c r="C151" i="5"/>
  <c r="M150" i="5"/>
  <c r="L150" i="5"/>
  <c r="J150" i="5"/>
  <c r="N150" i="5" s="1"/>
  <c r="I150" i="5"/>
  <c r="H150" i="5"/>
  <c r="F150" i="5"/>
  <c r="D150" i="5"/>
  <c r="C150" i="5"/>
  <c r="N149" i="5"/>
  <c r="M149" i="5"/>
  <c r="K149" i="5"/>
  <c r="J149" i="5"/>
  <c r="P149" i="5" s="1"/>
  <c r="I149" i="5"/>
  <c r="H149" i="5"/>
  <c r="G149" i="5"/>
  <c r="F149" i="5"/>
  <c r="O149" i="5" s="1"/>
  <c r="D149" i="5"/>
  <c r="C149" i="5"/>
  <c r="L149" i="5" s="1"/>
  <c r="N148" i="5"/>
  <c r="L148" i="5"/>
  <c r="J148" i="5"/>
  <c r="P148" i="5" s="1"/>
  <c r="H148" i="5"/>
  <c r="G148" i="5"/>
  <c r="F148" i="5"/>
  <c r="D148" i="5"/>
  <c r="C148" i="5"/>
  <c r="M147" i="5"/>
  <c r="L147" i="5"/>
  <c r="K147" i="5"/>
  <c r="I147" i="5"/>
  <c r="G147" i="5"/>
  <c r="D147" i="5"/>
  <c r="C147" i="5"/>
  <c r="H147" i="5" s="1"/>
  <c r="M146" i="5"/>
  <c r="L146" i="5"/>
  <c r="I146" i="5"/>
  <c r="H146" i="5"/>
  <c r="D146" i="5"/>
  <c r="C146" i="5"/>
  <c r="M145" i="5"/>
  <c r="K145" i="5"/>
  <c r="J145" i="5"/>
  <c r="P145" i="5" s="1"/>
  <c r="I145" i="5"/>
  <c r="G145" i="5"/>
  <c r="O145" i="5" s="1"/>
  <c r="F145" i="5"/>
  <c r="D145" i="5"/>
  <c r="C145" i="5"/>
  <c r="L145" i="5" s="1"/>
  <c r="K144" i="5"/>
  <c r="J144" i="5"/>
  <c r="P144" i="5" s="1"/>
  <c r="H144" i="5"/>
  <c r="D144" i="5"/>
  <c r="C144" i="5"/>
  <c r="L143" i="5"/>
  <c r="K143" i="5"/>
  <c r="H143" i="5"/>
  <c r="D143" i="5"/>
  <c r="C143" i="5"/>
  <c r="M143" i="5" s="1"/>
  <c r="M142" i="5"/>
  <c r="J142" i="5"/>
  <c r="P142" i="5" s="1"/>
  <c r="I142" i="5"/>
  <c r="D142" i="5"/>
  <c r="C142" i="5"/>
  <c r="M141" i="5"/>
  <c r="K141" i="5"/>
  <c r="J141" i="5"/>
  <c r="P141" i="5" s="1"/>
  <c r="I141" i="5"/>
  <c r="H141" i="5"/>
  <c r="G141" i="5"/>
  <c r="F141" i="5"/>
  <c r="O141" i="5" s="1"/>
  <c r="D141" i="5"/>
  <c r="C141" i="5"/>
  <c r="L141" i="5" s="1"/>
  <c r="D140" i="5"/>
  <c r="C140" i="5"/>
  <c r="D139" i="5"/>
  <c r="C139" i="5"/>
  <c r="M138" i="5"/>
  <c r="L138" i="5"/>
  <c r="I138" i="5"/>
  <c r="H138" i="5"/>
  <c r="F138" i="5"/>
  <c r="D138" i="5"/>
  <c r="C138" i="5"/>
  <c r="O137" i="5"/>
  <c r="N137" i="5"/>
  <c r="M137" i="5"/>
  <c r="K137" i="5"/>
  <c r="J137" i="5"/>
  <c r="P137" i="5" s="1"/>
  <c r="I137" i="5"/>
  <c r="G137" i="5"/>
  <c r="F137" i="5"/>
  <c r="D137" i="5"/>
  <c r="C137" i="5"/>
  <c r="L137" i="5" s="1"/>
  <c r="G136" i="5"/>
  <c r="D136" i="5"/>
  <c r="C136" i="5"/>
  <c r="L136" i="5" s="1"/>
  <c r="G135" i="5"/>
  <c r="D135" i="5"/>
  <c r="C135" i="5"/>
  <c r="L135" i="5" s="1"/>
  <c r="F134" i="5"/>
  <c r="D134" i="5"/>
  <c r="C134" i="5"/>
  <c r="M134" i="5" s="1"/>
  <c r="M133" i="5"/>
  <c r="K133" i="5"/>
  <c r="J133" i="5"/>
  <c r="I133" i="5"/>
  <c r="H133" i="5"/>
  <c r="G133" i="5"/>
  <c r="F133" i="5"/>
  <c r="O133" i="5" s="1"/>
  <c r="D133" i="5"/>
  <c r="C133" i="5"/>
  <c r="L133" i="5" s="1"/>
  <c r="K132" i="5"/>
  <c r="J132" i="5"/>
  <c r="P132" i="5" s="1"/>
  <c r="G132" i="5"/>
  <c r="D132" i="5"/>
  <c r="C132" i="5"/>
  <c r="K131" i="5"/>
  <c r="I131" i="5"/>
  <c r="H131" i="5"/>
  <c r="D131" i="5"/>
  <c r="C131" i="5"/>
  <c r="M131" i="5" s="1"/>
  <c r="L130" i="5"/>
  <c r="J130" i="5"/>
  <c r="N130" i="5" s="1"/>
  <c r="I130" i="5"/>
  <c r="F130" i="5"/>
  <c r="D130" i="5"/>
  <c r="C130" i="5"/>
  <c r="M130" i="5" s="1"/>
  <c r="N129" i="5"/>
  <c r="M129" i="5"/>
  <c r="K129" i="5"/>
  <c r="J129" i="5"/>
  <c r="P129" i="5" s="1"/>
  <c r="I129" i="5"/>
  <c r="G129" i="5"/>
  <c r="F129" i="5"/>
  <c r="O129" i="5" s="1"/>
  <c r="D129" i="5"/>
  <c r="C129" i="5"/>
  <c r="L129" i="5" s="1"/>
  <c r="P128" i="5"/>
  <c r="L128" i="5"/>
  <c r="K128" i="5"/>
  <c r="J128" i="5"/>
  <c r="N128" i="5" s="1"/>
  <c r="H128" i="5"/>
  <c r="G128" i="5"/>
  <c r="F128" i="5"/>
  <c r="O128" i="5" s="1"/>
  <c r="D128" i="5"/>
  <c r="C128" i="5"/>
  <c r="K127" i="5"/>
  <c r="I127" i="5"/>
  <c r="H127" i="5"/>
  <c r="D127" i="5"/>
  <c r="C127" i="5"/>
  <c r="M127" i="5" s="1"/>
  <c r="M126" i="5"/>
  <c r="L126" i="5"/>
  <c r="J126" i="5"/>
  <c r="P126" i="5" s="1"/>
  <c r="H126" i="5"/>
  <c r="F126" i="5"/>
  <c r="D126" i="5"/>
  <c r="C126" i="5"/>
  <c r="N125" i="5"/>
  <c r="M125" i="5"/>
  <c r="K125" i="5"/>
  <c r="J125" i="5"/>
  <c r="P125" i="5" s="1"/>
  <c r="I125" i="5"/>
  <c r="H125" i="5"/>
  <c r="G125" i="5"/>
  <c r="F125" i="5"/>
  <c r="O125" i="5" s="1"/>
  <c r="D125" i="5"/>
  <c r="C125" i="5"/>
  <c r="L125" i="5" s="1"/>
  <c r="J124" i="5"/>
  <c r="P124" i="5" s="1"/>
  <c r="H124" i="5"/>
  <c r="G124" i="5"/>
  <c r="D124" i="5"/>
  <c r="C124" i="5"/>
  <c r="L124" i="5" s="1"/>
  <c r="M123" i="5"/>
  <c r="L123" i="5"/>
  <c r="K123" i="5"/>
  <c r="H123" i="5"/>
  <c r="G123" i="5"/>
  <c r="D123" i="5"/>
  <c r="C123" i="5"/>
  <c r="D122" i="5"/>
  <c r="C122" i="5"/>
  <c r="M122" i="5" s="1"/>
  <c r="M121" i="5"/>
  <c r="K121" i="5"/>
  <c r="J121" i="5"/>
  <c r="P121" i="5" s="1"/>
  <c r="I121" i="5"/>
  <c r="G121" i="5"/>
  <c r="F121" i="5"/>
  <c r="O121" i="5" s="1"/>
  <c r="D121" i="5"/>
  <c r="C121" i="5"/>
  <c r="L121" i="5" s="1"/>
  <c r="K120" i="5"/>
  <c r="J120" i="5"/>
  <c r="P120" i="5" s="1"/>
  <c r="H120" i="5"/>
  <c r="F120" i="5"/>
  <c r="D120" i="5"/>
  <c r="C120" i="5"/>
  <c r="L120" i="5" s="1"/>
  <c r="D119" i="5"/>
  <c r="C119" i="5"/>
  <c r="F118" i="5"/>
  <c r="D118" i="5"/>
  <c r="C118" i="5"/>
  <c r="M118" i="5" s="1"/>
  <c r="N117" i="5"/>
  <c r="M117" i="5"/>
  <c r="K117" i="5"/>
  <c r="J117" i="5"/>
  <c r="P117" i="5" s="1"/>
  <c r="I117" i="5"/>
  <c r="H117" i="5"/>
  <c r="G117" i="5"/>
  <c r="F117" i="5"/>
  <c r="O117" i="5" s="1"/>
  <c r="D117" i="5"/>
  <c r="C117" i="5"/>
  <c r="L117" i="5" s="1"/>
  <c r="D116" i="5"/>
  <c r="C116" i="5"/>
  <c r="G115" i="5"/>
  <c r="D115" i="5"/>
  <c r="C115" i="5"/>
  <c r="M115" i="5" s="1"/>
  <c r="M114" i="5"/>
  <c r="I114" i="5"/>
  <c r="H114" i="5"/>
  <c r="F114" i="5"/>
  <c r="D114" i="5"/>
  <c r="C114" i="5"/>
  <c r="L114" i="5" s="1"/>
  <c r="O113" i="5"/>
  <c r="M113" i="5"/>
  <c r="K113" i="5"/>
  <c r="J113" i="5"/>
  <c r="P113" i="5" s="1"/>
  <c r="I113" i="5"/>
  <c r="G113" i="5"/>
  <c r="F113" i="5"/>
  <c r="D113" i="5"/>
  <c r="C113" i="5"/>
  <c r="L113" i="5" s="1"/>
  <c r="D112" i="5"/>
  <c r="C112" i="5"/>
  <c r="L112" i="5" s="1"/>
  <c r="M111" i="5"/>
  <c r="L111" i="5"/>
  <c r="K111" i="5"/>
  <c r="I111" i="5"/>
  <c r="H111" i="5"/>
  <c r="G111" i="5"/>
  <c r="D111" i="5"/>
  <c r="C111" i="5"/>
  <c r="J110" i="5"/>
  <c r="P110" i="5" s="1"/>
  <c r="I110" i="5"/>
  <c r="H110" i="5"/>
  <c r="D110" i="5"/>
  <c r="C110" i="5"/>
  <c r="M110" i="5" s="1"/>
  <c r="M109" i="5"/>
  <c r="K109" i="5"/>
  <c r="J109" i="5"/>
  <c r="P109" i="5" s="1"/>
  <c r="I109" i="5"/>
  <c r="H109" i="5"/>
  <c r="G109" i="5"/>
  <c r="F109" i="5"/>
  <c r="O109" i="5" s="1"/>
  <c r="D109" i="5"/>
  <c r="C109" i="5"/>
  <c r="L109" i="5" s="1"/>
  <c r="P108" i="5"/>
  <c r="L108" i="5"/>
  <c r="K108" i="5"/>
  <c r="J108" i="5"/>
  <c r="N108" i="5" s="1"/>
  <c r="H108" i="5"/>
  <c r="G108" i="5"/>
  <c r="F108" i="5"/>
  <c r="O108" i="5" s="1"/>
  <c r="D108" i="5"/>
  <c r="C108" i="5"/>
  <c r="K107" i="5"/>
  <c r="I107" i="5"/>
  <c r="H107" i="5"/>
  <c r="D107" i="5"/>
  <c r="C107" i="5"/>
  <c r="M107" i="5" s="1"/>
  <c r="M106" i="5"/>
  <c r="L106" i="5"/>
  <c r="J106" i="5"/>
  <c r="P106" i="5" s="1"/>
  <c r="H106" i="5"/>
  <c r="F106" i="5"/>
  <c r="D106" i="5"/>
  <c r="C106" i="5"/>
  <c r="O105" i="5"/>
  <c r="N105" i="5"/>
  <c r="M105" i="5"/>
  <c r="K105" i="5"/>
  <c r="J105" i="5"/>
  <c r="P105" i="5" s="1"/>
  <c r="I105" i="5"/>
  <c r="G105" i="5"/>
  <c r="F105" i="5"/>
  <c r="D105" i="5"/>
  <c r="C105" i="5"/>
  <c r="L105" i="5" s="1"/>
  <c r="L104" i="5"/>
  <c r="H104" i="5"/>
  <c r="G104" i="5"/>
  <c r="F104" i="5"/>
  <c r="O104" i="5" s="1"/>
  <c r="D104" i="5"/>
  <c r="C104" i="5"/>
  <c r="K104" i="5" s="1"/>
  <c r="L103" i="5"/>
  <c r="K103" i="5"/>
  <c r="I103" i="5"/>
  <c r="G103" i="5"/>
  <c r="D103" i="5"/>
  <c r="C103" i="5"/>
  <c r="M103" i="5" s="1"/>
  <c r="D102" i="5"/>
  <c r="C102" i="5"/>
  <c r="N101" i="5"/>
  <c r="M101" i="5"/>
  <c r="K101" i="5"/>
  <c r="J101" i="5"/>
  <c r="P101" i="5" s="1"/>
  <c r="I101" i="5"/>
  <c r="H101" i="5"/>
  <c r="G101" i="5"/>
  <c r="F101" i="5"/>
  <c r="O101" i="5" s="1"/>
  <c r="D101" i="5"/>
  <c r="C101" i="5"/>
  <c r="L101" i="5" s="1"/>
  <c r="K100" i="5"/>
  <c r="J100" i="5"/>
  <c r="P100" i="5" s="1"/>
  <c r="H100" i="5"/>
  <c r="F100" i="5"/>
  <c r="D100" i="5"/>
  <c r="C100" i="5"/>
  <c r="L100" i="5" s="1"/>
  <c r="D99" i="5"/>
  <c r="C99" i="5"/>
  <c r="F98" i="5"/>
  <c r="D98" i="5"/>
  <c r="C98" i="5"/>
  <c r="M98" i="5" s="1"/>
  <c r="N97" i="5"/>
  <c r="M97" i="5"/>
  <c r="K97" i="5"/>
  <c r="J97" i="5"/>
  <c r="P97" i="5" s="1"/>
  <c r="I97" i="5"/>
  <c r="G97" i="5"/>
  <c r="F97" i="5"/>
  <c r="O97" i="5" s="1"/>
  <c r="D97" i="5"/>
  <c r="C97" i="5"/>
  <c r="L97" i="5" s="1"/>
  <c r="L96" i="5"/>
  <c r="K96" i="5"/>
  <c r="J96" i="5"/>
  <c r="P96" i="5" s="1"/>
  <c r="G96" i="5"/>
  <c r="F96" i="5"/>
  <c r="O96" i="5" s="1"/>
  <c r="D96" i="5"/>
  <c r="C96" i="5"/>
  <c r="D95" i="5"/>
  <c r="C95" i="5"/>
  <c r="M95" i="5" s="1"/>
  <c r="P94" i="5"/>
  <c r="M94" i="5"/>
  <c r="L94" i="5"/>
  <c r="J94" i="5"/>
  <c r="N94" i="5" s="1"/>
  <c r="I94" i="5"/>
  <c r="H94" i="5"/>
  <c r="F94" i="5"/>
  <c r="D94" i="5"/>
  <c r="C94" i="5"/>
  <c r="M93" i="5"/>
  <c r="K93" i="5"/>
  <c r="J93" i="5"/>
  <c r="P93" i="5" s="1"/>
  <c r="I93" i="5"/>
  <c r="H93" i="5"/>
  <c r="G93" i="5"/>
  <c r="F93" i="5"/>
  <c r="O93" i="5" s="1"/>
  <c r="D93" i="5"/>
  <c r="C93" i="5"/>
  <c r="L93" i="5" s="1"/>
  <c r="D92" i="5"/>
  <c r="C92" i="5"/>
  <c r="L92" i="5" s="1"/>
  <c r="M91" i="5"/>
  <c r="L91" i="5"/>
  <c r="K91" i="5"/>
  <c r="I91" i="5"/>
  <c r="H91" i="5"/>
  <c r="G91" i="5"/>
  <c r="D91" i="5"/>
  <c r="C91" i="5"/>
  <c r="J90" i="5"/>
  <c r="P90" i="5" s="1"/>
  <c r="I90" i="5"/>
  <c r="H90" i="5"/>
  <c r="D90" i="5"/>
  <c r="C90" i="5"/>
  <c r="M90" i="5" s="1"/>
  <c r="M89" i="5"/>
  <c r="K89" i="5"/>
  <c r="J89" i="5"/>
  <c r="P89" i="5" s="1"/>
  <c r="I89" i="5"/>
  <c r="G89" i="5"/>
  <c r="F89" i="5"/>
  <c r="O89" i="5" s="1"/>
  <c r="D89" i="5"/>
  <c r="C89" i="5"/>
  <c r="L89" i="5" s="1"/>
  <c r="F88" i="5"/>
  <c r="D88" i="5"/>
  <c r="C88" i="5"/>
  <c r="L88" i="5" s="1"/>
  <c r="M87" i="5"/>
  <c r="I87" i="5"/>
  <c r="H87" i="5"/>
  <c r="G87" i="5"/>
  <c r="D87" i="5"/>
  <c r="C87" i="5"/>
  <c r="L87" i="5" s="1"/>
  <c r="L86" i="5"/>
  <c r="J86" i="5"/>
  <c r="P86" i="5" s="1"/>
  <c r="I86" i="5"/>
  <c r="F86" i="5"/>
  <c r="D86" i="5"/>
  <c r="C86" i="5"/>
  <c r="M86" i="5" s="1"/>
  <c r="N85" i="5"/>
  <c r="M85" i="5"/>
  <c r="K85" i="5"/>
  <c r="J85" i="5"/>
  <c r="P85" i="5" s="1"/>
  <c r="I85" i="5"/>
  <c r="H85" i="5"/>
  <c r="G85" i="5"/>
  <c r="F85" i="5"/>
  <c r="O85" i="5" s="1"/>
  <c r="D85" i="5"/>
  <c r="C85" i="5"/>
  <c r="L85" i="5" s="1"/>
  <c r="L84" i="5"/>
  <c r="H84" i="5"/>
  <c r="G84" i="5"/>
  <c r="F84" i="5"/>
  <c r="O84" i="5" s="1"/>
  <c r="D84" i="5"/>
  <c r="C84" i="5"/>
  <c r="K84" i="5" s="1"/>
  <c r="L83" i="5"/>
  <c r="K83" i="5"/>
  <c r="I83" i="5"/>
  <c r="G83" i="5"/>
  <c r="D83" i="5"/>
  <c r="C83" i="5"/>
  <c r="M83" i="5" s="1"/>
  <c r="D82" i="5"/>
  <c r="C82" i="5"/>
  <c r="N81" i="5"/>
  <c r="M81" i="5"/>
  <c r="K81" i="5"/>
  <c r="J81" i="5"/>
  <c r="P81" i="5" s="1"/>
  <c r="I81" i="5"/>
  <c r="G81" i="5"/>
  <c r="F81" i="5"/>
  <c r="O81" i="5" s="1"/>
  <c r="D81" i="5"/>
  <c r="C81" i="5"/>
  <c r="L81" i="5" s="1"/>
  <c r="J80" i="5"/>
  <c r="P80" i="5" s="1"/>
  <c r="H80" i="5"/>
  <c r="G80" i="5"/>
  <c r="D80" i="5"/>
  <c r="C80" i="5"/>
  <c r="L80" i="5" s="1"/>
  <c r="M79" i="5"/>
  <c r="L79" i="5"/>
  <c r="K79" i="5"/>
  <c r="H79" i="5"/>
  <c r="G79" i="5"/>
  <c r="D79" i="5"/>
  <c r="C79" i="5"/>
  <c r="D78" i="5"/>
  <c r="C78" i="5"/>
  <c r="M78" i="5" s="1"/>
  <c r="M77" i="5"/>
  <c r="K77" i="5"/>
  <c r="J77" i="5"/>
  <c r="P77" i="5" s="1"/>
  <c r="I77" i="5"/>
  <c r="H77" i="5"/>
  <c r="G77" i="5"/>
  <c r="F77" i="5"/>
  <c r="O77" i="5" s="1"/>
  <c r="D77" i="5"/>
  <c r="C77" i="5"/>
  <c r="L77" i="5" s="1"/>
  <c r="L76" i="5"/>
  <c r="K76" i="5"/>
  <c r="J76" i="5"/>
  <c r="P76" i="5" s="1"/>
  <c r="G76" i="5"/>
  <c r="F76" i="5"/>
  <c r="O76" i="5" s="1"/>
  <c r="D76" i="5"/>
  <c r="C76" i="5"/>
  <c r="D75" i="5"/>
  <c r="C75" i="5"/>
  <c r="M75" i="5" s="1"/>
  <c r="P74" i="5"/>
  <c r="M74" i="5"/>
  <c r="L74" i="5"/>
  <c r="J74" i="5"/>
  <c r="N74" i="5" s="1"/>
  <c r="I74" i="5"/>
  <c r="H74" i="5"/>
  <c r="F74" i="5"/>
  <c r="D74" i="5"/>
  <c r="C74" i="5"/>
  <c r="M73" i="5"/>
  <c r="K73" i="5"/>
  <c r="J73" i="5"/>
  <c r="P73" i="5" s="1"/>
  <c r="I73" i="5"/>
  <c r="G73" i="5"/>
  <c r="O73" i="5" s="1"/>
  <c r="F73" i="5"/>
  <c r="D73" i="5"/>
  <c r="C73" i="5"/>
  <c r="L73" i="5" s="1"/>
  <c r="D72" i="5"/>
  <c r="C72" i="5"/>
  <c r="G71" i="5"/>
  <c r="D71" i="5"/>
  <c r="C71" i="5"/>
  <c r="M71" i="5" s="1"/>
  <c r="M70" i="5"/>
  <c r="I70" i="5"/>
  <c r="H70" i="5"/>
  <c r="F70" i="5"/>
  <c r="D70" i="5"/>
  <c r="C70" i="5"/>
  <c r="L70" i="5" s="1"/>
  <c r="M69" i="5"/>
  <c r="K69" i="5"/>
  <c r="J69" i="5"/>
  <c r="P69" i="5" s="1"/>
  <c r="I69" i="5"/>
  <c r="H69" i="5"/>
  <c r="G69" i="5"/>
  <c r="F69" i="5"/>
  <c r="O69" i="5" s="1"/>
  <c r="D69" i="5"/>
  <c r="C69" i="5"/>
  <c r="L69" i="5" s="1"/>
  <c r="F68" i="5"/>
  <c r="D68" i="5"/>
  <c r="C68" i="5"/>
  <c r="L68" i="5" s="1"/>
  <c r="M67" i="5"/>
  <c r="I67" i="5"/>
  <c r="H67" i="5"/>
  <c r="G67" i="5"/>
  <c r="D67" i="5"/>
  <c r="C67" i="5"/>
  <c r="L67" i="5" s="1"/>
  <c r="L66" i="5"/>
  <c r="J66" i="5"/>
  <c r="P66" i="5" s="1"/>
  <c r="I66" i="5"/>
  <c r="F66" i="5"/>
  <c r="D66" i="5"/>
  <c r="C66" i="5"/>
  <c r="M66" i="5" s="1"/>
  <c r="N65" i="5"/>
  <c r="M65" i="5"/>
  <c r="K65" i="5"/>
  <c r="J65" i="5"/>
  <c r="P65" i="5" s="1"/>
  <c r="I65" i="5"/>
  <c r="G65" i="5"/>
  <c r="F65" i="5"/>
  <c r="O65" i="5" s="1"/>
  <c r="D65" i="5"/>
  <c r="C65" i="5"/>
  <c r="L65" i="5" s="1"/>
  <c r="P64" i="5"/>
  <c r="L64" i="5"/>
  <c r="K64" i="5"/>
  <c r="J64" i="5"/>
  <c r="N64" i="5" s="1"/>
  <c r="H64" i="5"/>
  <c r="G64" i="5"/>
  <c r="F64" i="5"/>
  <c r="O64" i="5" s="1"/>
  <c r="D64" i="5"/>
  <c r="C64" i="5"/>
  <c r="K63" i="5"/>
  <c r="I63" i="5"/>
  <c r="H63" i="5"/>
  <c r="D63" i="5"/>
  <c r="C63" i="5"/>
  <c r="M63" i="5" s="1"/>
  <c r="M62" i="5"/>
  <c r="L62" i="5"/>
  <c r="J62" i="5"/>
  <c r="P62" i="5" s="1"/>
  <c r="H62" i="5"/>
  <c r="F62" i="5"/>
  <c r="D62" i="5"/>
  <c r="C62" i="5"/>
  <c r="N61" i="5"/>
  <c r="M61" i="5"/>
  <c r="K61" i="5"/>
  <c r="J61" i="5"/>
  <c r="P61" i="5" s="1"/>
  <c r="I61" i="5"/>
  <c r="H61" i="5"/>
  <c r="G61" i="5"/>
  <c r="F61" i="5"/>
  <c r="O61" i="5" s="1"/>
  <c r="D61" i="5"/>
  <c r="C61" i="5"/>
  <c r="L61" i="5" s="1"/>
  <c r="J60" i="5"/>
  <c r="P60" i="5" s="1"/>
  <c r="H60" i="5"/>
  <c r="G60" i="5"/>
  <c r="D60" i="5"/>
  <c r="C60" i="5"/>
  <c r="L60" i="5" s="1"/>
  <c r="M59" i="5"/>
  <c r="L59" i="5"/>
  <c r="K59" i="5"/>
  <c r="H59" i="5"/>
  <c r="G59" i="5"/>
  <c r="D59" i="5"/>
  <c r="C59" i="5"/>
  <c r="D58" i="5"/>
  <c r="C58" i="5"/>
  <c r="M58" i="5" s="1"/>
  <c r="M57" i="5"/>
  <c r="K57" i="5"/>
  <c r="J57" i="5"/>
  <c r="P57" i="5" s="1"/>
  <c r="I57" i="5"/>
  <c r="G57" i="5"/>
  <c r="F57" i="5"/>
  <c r="O57" i="5" s="1"/>
  <c r="D57" i="5"/>
  <c r="C57" i="5"/>
  <c r="L57" i="5" s="1"/>
  <c r="K56" i="5"/>
  <c r="J56" i="5"/>
  <c r="P56" i="5" s="1"/>
  <c r="H56" i="5"/>
  <c r="F56" i="5"/>
  <c r="D56" i="5"/>
  <c r="C56" i="5"/>
  <c r="L56" i="5" s="1"/>
  <c r="D55" i="5"/>
  <c r="C55" i="5"/>
  <c r="F54" i="5"/>
  <c r="D54" i="5"/>
  <c r="C54" i="5"/>
  <c r="M54" i="5" s="1"/>
  <c r="N53" i="5"/>
  <c r="M53" i="5"/>
  <c r="K53" i="5"/>
  <c r="J53" i="5"/>
  <c r="P53" i="5" s="1"/>
  <c r="I53" i="5"/>
  <c r="H53" i="5"/>
  <c r="G53" i="5"/>
  <c r="F53" i="5"/>
  <c r="O53" i="5" s="1"/>
  <c r="D53" i="5"/>
  <c r="C53" i="5"/>
  <c r="L53" i="5" s="1"/>
  <c r="D52" i="5"/>
  <c r="C52" i="5"/>
  <c r="G51" i="5"/>
  <c r="D51" i="5"/>
  <c r="C51" i="5"/>
  <c r="M51" i="5" s="1"/>
  <c r="M50" i="5"/>
  <c r="I50" i="5"/>
  <c r="H50" i="5"/>
  <c r="F50" i="5"/>
  <c r="D50" i="5"/>
  <c r="C50" i="5"/>
  <c r="L50" i="5" s="1"/>
  <c r="O49" i="5"/>
  <c r="M49" i="5"/>
  <c r="K49" i="5"/>
  <c r="J49" i="5"/>
  <c r="P49" i="5" s="1"/>
  <c r="I49" i="5"/>
  <c r="G49" i="5"/>
  <c r="F49" i="5"/>
  <c r="D49" i="5"/>
  <c r="C49" i="5"/>
  <c r="L49" i="5" s="1"/>
  <c r="D48" i="5"/>
  <c r="C48" i="5"/>
  <c r="L48" i="5" s="1"/>
  <c r="M47" i="5"/>
  <c r="L47" i="5"/>
  <c r="K47" i="5"/>
  <c r="I47" i="5"/>
  <c r="H47" i="5"/>
  <c r="G47" i="5"/>
  <c r="D47" i="5"/>
  <c r="C47" i="5"/>
  <c r="J46" i="5"/>
  <c r="P46" i="5" s="1"/>
  <c r="I46" i="5"/>
  <c r="H46" i="5"/>
  <c r="D46" i="5"/>
  <c r="C46" i="5"/>
  <c r="M46" i="5" s="1"/>
  <c r="M45" i="5"/>
  <c r="K45" i="5"/>
  <c r="J45" i="5"/>
  <c r="P45" i="5" s="1"/>
  <c r="I45" i="5"/>
  <c r="H45" i="5"/>
  <c r="G45" i="5"/>
  <c r="F45" i="5"/>
  <c r="O45" i="5" s="1"/>
  <c r="D45" i="5"/>
  <c r="C45" i="5"/>
  <c r="L45" i="5" s="1"/>
  <c r="P44" i="5"/>
  <c r="L44" i="5"/>
  <c r="K44" i="5"/>
  <c r="J44" i="5"/>
  <c r="N44" i="5" s="1"/>
  <c r="H44" i="5"/>
  <c r="G44" i="5"/>
  <c r="F44" i="5"/>
  <c r="O44" i="5" s="1"/>
  <c r="D44" i="5"/>
  <c r="C44" i="5"/>
  <c r="K43" i="5"/>
  <c r="I43" i="5"/>
  <c r="H43" i="5"/>
  <c r="D43" i="5"/>
  <c r="C43" i="5"/>
  <c r="M43" i="5" s="1"/>
  <c r="M42" i="5"/>
  <c r="L42" i="5"/>
  <c r="J42" i="5"/>
  <c r="P42" i="5" s="1"/>
  <c r="H42" i="5"/>
  <c r="F42" i="5"/>
  <c r="D42" i="5"/>
  <c r="C42" i="5"/>
  <c r="O41" i="5"/>
  <c r="N41" i="5"/>
  <c r="M41" i="5"/>
  <c r="K41" i="5"/>
  <c r="J41" i="5"/>
  <c r="P41" i="5" s="1"/>
  <c r="I41" i="5"/>
  <c r="G41" i="5"/>
  <c r="F41" i="5"/>
  <c r="D41" i="5"/>
  <c r="C41" i="5"/>
  <c r="L41" i="5" s="1"/>
  <c r="L40" i="5"/>
  <c r="H40" i="5"/>
  <c r="G40" i="5"/>
  <c r="F40" i="5"/>
  <c r="O40" i="5" s="1"/>
  <c r="D40" i="5"/>
  <c r="C40" i="5"/>
  <c r="K40" i="5" s="1"/>
  <c r="L39" i="5"/>
  <c r="K39" i="5"/>
  <c r="I39" i="5"/>
  <c r="G39" i="5"/>
  <c r="D39" i="5"/>
  <c r="C39" i="5"/>
  <c r="M39" i="5" s="1"/>
  <c r="D38" i="5"/>
  <c r="C38" i="5"/>
  <c r="N37" i="5"/>
  <c r="M37" i="5"/>
  <c r="K37" i="5"/>
  <c r="J37" i="5"/>
  <c r="P37" i="5" s="1"/>
  <c r="I37" i="5"/>
  <c r="H37" i="5"/>
  <c r="G37" i="5"/>
  <c r="F37" i="5"/>
  <c r="O37" i="5" s="1"/>
  <c r="D37" i="5"/>
  <c r="C37" i="5"/>
  <c r="L37" i="5" s="1"/>
  <c r="K36" i="5"/>
  <c r="J36" i="5"/>
  <c r="P36" i="5" s="1"/>
  <c r="H36" i="5"/>
  <c r="F36" i="5"/>
  <c r="D36" i="5"/>
  <c r="C36" i="5"/>
  <c r="L36" i="5" s="1"/>
  <c r="D35" i="5"/>
  <c r="C35" i="5"/>
  <c r="F34" i="5"/>
  <c r="D34" i="5"/>
  <c r="C34" i="5"/>
  <c r="M34" i="5" s="1"/>
  <c r="N33" i="5"/>
  <c r="M33" i="5"/>
  <c r="K33" i="5"/>
  <c r="J33" i="5"/>
  <c r="P33" i="5" s="1"/>
  <c r="I33" i="5"/>
  <c r="G33" i="5"/>
  <c r="F33" i="5"/>
  <c r="O33" i="5" s="1"/>
  <c r="D33" i="5"/>
  <c r="C33" i="5"/>
  <c r="L33" i="5" s="1"/>
  <c r="L32" i="5"/>
  <c r="K32" i="5"/>
  <c r="J32" i="5"/>
  <c r="P32" i="5" s="1"/>
  <c r="G32" i="5"/>
  <c r="F32" i="5"/>
  <c r="O32" i="5" s="1"/>
  <c r="D32" i="5"/>
  <c r="C32" i="5"/>
  <c r="D31" i="5"/>
  <c r="C31" i="5"/>
  <c r="M31" i="5" s="1"/>
  <c r="P30" i="5"/>
  <c r="M30" i="5"/>
  <c r="L30" i="5"/>
  <c r="J30" i="5"/>
  <c r="N30" i="5" s="1"/>
  <c r="I30" i="5"/>
  <c r="H30" i="5"/>
  <c r="F30" i="5"/>
  <c r="D30" i="5"/>
  <c r="C30" i="5"/>
  <c r="M29" i="5"/>
  <c r="K29" i="5"/>
  <c r="J29" i="5"/>
  <c r="P29" i="5" s="1"/>
  <c r="I29" i="5"/>
  <c r="H29" i="5"/>
  <c r="G29" i="5"/>
  <c r="F29" i="5"/>
  <c r="O29" i="5" s="1"/>
  <c r="D29" i="5"/>
  <c r="C29" i="5"/>
  <c r="L29" i="5" s="1"/>
  <c r="D28" i="5"/>
  <c r="C28" i="5"/>
  <c r="L28" i="5" s="1"/>
  <c r="M27" i="5"/>
  <c r="L27" i="5"/>
  <c r="K27" i="5"/>
  <c r="I27" i="5"/>
  <c r="H27" i="5"/>
  <c r="G27" i="5"/>
  <c r="D27" i="5"/>
  <c r="C27" i="5"/>
  <c r="J26" i="5"/>
  <c r="P26" i="5" s="1"/>
  <c r="I26" i="5"/>
  <c r="H26" i="5"/>
  <c r="D26" i="5"/>
  <c r="C26" i="5"/>
  <c r="M26" i="5" s="1"/>
  <c r="M25" i="5"/>
  <c r="K25" i="5"/>
  <c r="J25" i="5"/>
  <c r="P25" i="5" s="1"/>
  <c r="I25" i="5"/>
  <c r="G25" i="5"/>
  <c r="F25" i="5"/>
  <c r="O25" i="5" s="1"/>
  <c r="D25" i="5"/>
  <c r="C25" i="5"/>
  <c r="L25" i="5" s="1"/>
  <c r="F24" i="5"/>
  <c r="D24" i="5"/>
  <c r="C24" i="5"/>
  <c r="L24" i="5" s="1"/>
  <c r="M23" i="5"/>
  <c r="I23" i="5"/>
  <c r="H23" i="5"/>
  <c r="G23" i="5"/>
  <c r="D23" i="5"/>
  <c r="C23" i="5"/>
  <c r="L23" i="5" s="1"/>
  <c r="L22" i="5"/>
  <c r="J22" i="5"/>
  <c r="P22" i="5" s="1"/>
  <c r="I22" i="5"/>
  <c r="F22" i="5"/>
  <c r="D22" i="5"/>
  <c r="C22" i="5"/>
  <c r="M22" i="5" s="1"/>
  <c r="N21" i="5"/>
  <c r="M21" i="5"/>
  <c r="K21" i="5"/>
  <c r="J21" i="5"/>
  <c r="P21" i="5" s="1"/>
  <c r="I21" i="5"/>
  <c r="H21" i="5"/>
  <c r="G21" i="5"/>
  <c r="F21" i="5"/>
  <c r="O21" i="5" s="1"/>
  <c r="D21" i="5"/>
  <c r="C21" i="5"/>
  <c r="L21" i="5" s="1"/>
  <c r="L20" i="5"/>
  <c r="H20" i="5"/>
  <c r="G20" i="5"/>
  <c r="F20" i="5"/>
  <c r="O20" i="5" s="1"/>
  <c r="D20" i="5"/>
  <c r="C20" i="5"/>
  <c r="K20" i="5" s="1"/>
  <c r="L19" i="5"/>
  <c r="K19" i="5"/>
  <c r="I19" i="5"/>
  <c r="G19" i="5"/>
  <c r="D19" i="5"/>
  <c r="C19" i="5"/>
  <c r="M19" i="5" s="1"/>
  <c r="D18" i="5"/>
  <c r="C18" i="5"/>
  <c r="N17" i="5"/>
  <c r="M17" i="5"/>
  <c r="K17" i="5"/>
  <c r="J17" i="5"/>
  <c r="P17" i="5" s="1"/>
  <c r="I17" i="5"/>
  <c r="G17" i="5"/>
  <c r="F17" i="5"/>
  <c r="O17" i="5" s="1"/>
  <c r="D17" i="5"/>
  <c r="C17" i="5"/>
  <c r="L17" i="5" s="1"/>
  <c r="J16" i="5"/>
  <c r="P16" i="5" s="1"/>
  <c r="H16" i="5"/>
  <c r="G16" i="5"/>
  <c r="D16" i="5"/>
  <c r="C16" i="5"/>
  <c r="L16" i="5" s="1"/>
  <c r="M15" i="5"/>
  <c r="L15" i="5"/>
  <c r="K15" i="5"/>
  <c r="H15" i="5"/>
  <c r="G15" i="5"/>
  <c r="D15" i="5"/>
  <c r="C15" i="5"/>
  <c r="D14" i="5"/>
  <c r="C14" i="5"/>
  <c r="M14" i="5" s="1"/>
  <c r="I13" i="5"/>
  <c r="G13" i="5"/>
  <c r="F13" i="5"/>
  <c r="O13" i="5" s="1"/>
  <c r="E13" i="5"/>
  <c r="I12" i="5"/>
  <c r="G12" i="5"/>
  <c r="F12" i="5"/>
  <c r="O12" i="5" s="1"/>
  <c r="E12" i="5"/>
  <c r="I11" i="5"/>
  <c r="G11" i="5"/>
  <c r="O11" i="5" s="1"/>
  <c r="F11" i="5"/>
  <c r="E11" i="5"/>
  <c r="I10" i="5"/>
  <c r="G10" i="5"/>
  <c r="F10" i="5"/>
  <c r="O10" i="5" s="1"/>
  <c r="E10" i="5"/>
  <c r="I9" i="5"/>
  <c r="G9" i="5"/>
  <c r="O9" i="5" s="1"/>
  <c r="F9" i="5"/>
  <c r="E9" i="5"/>
  <c r="I8" i="5"/>
  <c r="G8" i="5"/>
  <c r="F8" i="5"/>
  <c r="O8" i="5" s="1"/>
  <c r="E8" i="5"/>
  <c r="I7" i="5"/>
  <c r="G7" i="5"/>
  <c r="O7" i="5" s="1"/>
  <c r="F7" i="5"/>
  <c r="E7" i="5"/>
  <c r="I6" i="5"/>
  <c r="G6" i="5"/>
  <c r="F6" i="5"/>
  <c r="O6" i="5" s="1"/>
  <c r="E6" i="5"/>
  <c r="I5" i="5"/>
  <c r="G5" i="5"/>
  <c r="O5" i="5" s="1"/>
  <c r="F5" i="5"/>
  <c r="E5" i="5"/>
  <c r="I4" i="5"/>
  <c r="G4" i="5"/>
  <c r="F4" i="5"/>
  <c r="O4" i="5" s="1"/>
  <c r="E4" i="5"/>
  <c r="I3" i="5"/>
  <c r="G3" i="5"/>
  <c r="O3" i="5" s="1"/>
  <c r="F3" i="5"/>
  <c r="E3" i="5"/>
  <c r="I2" i="5"/>
  <c r="G2" i="5"/>
  <c r="F2" i="5"/>
  <c r="O2" i="5" s="1"/>
  <c r="E2" i="5"/>
  <c r="N998" i="4"/>
  <c r="M998" i="4"/>
  <c r="L998" i="4"/>
  <c r="K998" i="4"/>
  <c r="J998" i="4"/>
  <c r="I998" i="4"/>
  <c r="H998" i="4"/>
  <c r="G998" i="4"/>
  <c r="F998" i="4"/>
  <c r="N997" i="4"/>
  <c r="M997" i="4"/>
  <c r="L997" i="4"/>
  <c r="K997" i="4"/>
  <c r="J997" i="4"/>
  <c r="I997" i="4"/>
  <c r="H997" i="4"/>
  <c r="G997" i="4"/>
  <c r="F997" i="4"/>
  <c r="M996" i="4"/>
  <c r="L996" i="4"/>
  <c r="K996" i="4"/>
  <c r="J996" i="4"/>
  <c r="N996" i="4" s="1"/>
  <c r="I996" i="4"/>
  <c r="H996" i="4"/>
  <c r="G996" i="4"/>
  <c r="F996" i="4"/>
  <c r="M995" i="4"/>
  <c r="L995" i="4"/>
  <c r="K995" i="4"/>
  <c r="J995" i="4"/>
  <c r="N995" i="4" s="1"/>
  <c r="I995" i="4"/>
  <c r="H995" i="4"/>
  <c r="G995" i="4"/>
  <c r="F995" i="4"/>
  <c r="M994" i="4"/>
  <c r="L994" i="4"/>
  <c r="K994" i="4"/>
  <c r="J994" i="4"/>
  <c r="N994" i="4" s="1"/>
  <c r="I994" i="4"/>
  <c r="H994" i="4"/>
  <c r="G994" i="4"/>
  <c r="F994" i="4"/>
  <c r="M993" i="4"/>
  <c r="L993" i="4"/>
  <c r="K993" i="4"/>
  <c r="J993" i="4"/>
  <c r="N993" i="4" s="1"/>
  <c r="I993" i="4"/>
  <c r="H993" i="4"/>
  <c r="G993" i="4"/>
  <c r="F993" i="4"/>
  <c r="N992" i="4"/>
  <c r="M992" i="4"/>
  <c r="L992" i="4"/>
  <c r="K992" i="4"/>
  <c r="J992" i="4"/>
  <c r="I992" i="4"/>
  <c r="H992" i="4"/>
  <c r="G992" i="4"/>
  <c r="F992" i="4"/>
  <c r="N991" i="4"/>
  <c r="M991" i="4"/>
  <c r="L991" i="4"/>
  <c r="K991" i="4"/>
  <c r="J991" i="4"/>
  <c r="I991" i="4"/>
  <c r="H991" i="4"/>
  <c r="G991" i="4"/>
  <c r="F991" i="4"/>
  <c r="N990" i="4"/>
  <c r="M990" i="4"/>
  <c r="L990" i="4"/>
  <c r="K990" i="4"/>
  <c r="J990" i="4"/>
  <c r="I990" i="4"/>
  <c r="H990" i="4"/>
  <c r="G990" i="4"/>
  <c r="F990" i="4"/>
  <c r="N989" i="4"/>
  <c r="M989" i="4"/>
  <c r="L989" i="4"/>
  <c r="K989" i="4"/>
  <c r="J989" i="4"/>
  <c r="I989" i="4"/>
  <c r="H989" i="4"/>
  <c r="G989" i="4"/>
  <c r="F989" i="4"/>
  <c r="M988" i="4"/>
  <c r="L988" i="4"/>
  <c r="K988" i="4"/>
  <c r="J988" i="4"/>
  <c r="N988" i="4" s="1"/>
  <c r="I988" i="4"/>
  <c r="H988" i="4"/>
  <c r="G988" i="4"/>
  <c r="F988" i="4"/>
  <c r="M987" i="4"/>
  <c r="L987" i="4"/>
  <c r="K987" i="4"/>
  <c r="J987" i="4"/>
  <c r="N987" i="4" s="1"/>
  <c r="I987" i="4"/>
  <c r="H987" i="4"/>
  <c r="G987" i="4"/>
  <c r="F987" i="4"/>
  <c r="M986" i="4"/>
  <c r="L986" i="4"/>
  <c r="K986" i="4"/>
  <c r="J986" i="4"/>
  <c r="N986" i="4" s="1"/>
  <c r="I986" i="4"/>
  <c r="H986" i="4"/>
  <c r="G986" i="4"/>
  <c r="F986" i="4"/>
  <c r="M985" i="4"/>
  <c r="L985" i="4"/>
  <c r="K985" i="4"/>
  <c r="J985" i="4"/>
  <c r="N985" i="4" s="1"/>
  <c r="I985" i="4"/>
  <c r="H985" i="4"/>
  <c r="G985" i="4"/>
  <c r="F985" i="4"/>
  <c r="N984" i="4"/>
  <c r="M984" i="4"/>
  <c r="L984" i="4"/>
  <c r="K984" i="4"/>
  <c r="J984" i="4"/>
  <c r="I984" i="4"/>
  <c r="H984" i="4"/>
  <c r="G984" i="4"/>
  <c r="F984" i="4"/>
  <c r="N983" i="4"/>
  <c r="M983" i="4"/>
  <c r="L983" i="4"/>
  <c r="K983" i="4"/>
  <c r="J983" i="4"/>
  <c r="I983" i="4"/>
  <c r="H983" i="4"/>
  <c r="G983" i="4"/>
  <c r="F983" i="4"/>
  <c r="N982" i="4"/>
  <c r="M982" i="4"/>
  <c r="L982" i="4"/>
  <c r="K982" i="4"/>
  <c r="J982" i="4"/>
  <c r="I982" i="4"/>
  <c r="H982" i="4"/>
  <c r="G982" i="4"/>
  <c r="F982" i="4"/>
  <c r="N981" i="4"/>
  <c r="M981" i="4"/>
  <c r="L981" i="4"/>
  <c r="K981" i="4"/>
  <c r="J981" i="4"/>
  <c r="I981" i="4"/>
  <c r="H981" i="4"/>
  <c r="G981" i="4"/>
  <c r="F981" i="4"/>
  <c r="M980" i="4"/>
  <c r="L980" i="4"/>
  <c r="K980" i="4"/>
  <c r="J980" i="4"/>
  <c r="N980" i="4" s="1"/>
  <c r="I980" i="4"/>
  <c r="H980" i="4"/>
  <c r="G980" i="4"/>
  <c r="F980" i="4"/>
  <c r="M979" i="4"/>
  <c r="L979" i="4"/>
  <c r="K979" i="4"/>
  <c r="J979" i="4"/>
  <c r="N979" i="4" s="1"/>
  <c r="I979" i="4"/>
  <c r="H979" i="4"/>
  <c r="G979" i="4"/>
  <c r="F979" i="4"/>
  <c r="M978" i="4"/>
  <c r="L978" i="4"/>
  <c r="K978" i="4"/>
  <c r="J978" i="4"/>
  <c r="N978" i="4" s="1"/>
  <c r="I978" i="4"/>
  <c r="H978" i="4"/>
  <c r="G978" i="4"/>
  <c r="F978" i="4"/>
  <c r="M977" i="4"/>
  <c r="L977" i="4"/>
  <c r="K977" i="4"/>
  <c r="J977" i="4"/>
  <c r="N977" i="4" s="1"/>
  <c r="I977" i="4"/>
  <c r="H977" i="4"/>
  <c r="G977" i="4"/>
  <c r="F977" i="4"/>
  <c r="N976" i="4"/>
  <c r="M976" i="4"/>
  <c r="L976" i="4"/>
  <c r="K976" i="4"/>
  <c r="J976" i="4"/>
  <c r="I976" i="4"/>
  <c r="H976" i="4"/>
  <c r="G976" i="4"/>
  <c r="F976" i="4"/>
  <c r="N975" i="4"/>
  <c r="M975" i="4"/>
  <c r="L975" i="4"/>
  <c r="K975" i="4"/>
  <c r="J975" i="4"/>
  <c r="I975" i="4"/>
  <c r="H975" i="4"/>
  <c r="G975" i="4"/>
  <c r="F975" i="4"/>
  <c r="N974" i="4"/>
  <c r="M974" i="4"/>
  <c r="L974" i="4"/>
  <c r="K974" i="4"/>
  <c r="J974" i="4"/>
  <c r="I974" i="4"/>
  <c r="H974" i="4"/>
  <c r="G974" i="4"/>
  <c r="F974" i="4"/>
  <c r="N973" i="4"/>
  <c r="M973" i="4"/>
  <c r="L973" i="4"/>
  <c r="K973" i="4"/>
  <c r="J973" i="4"/>
  <c r="I973" i="4"/>
  <c r="H973" i="4"/>
  <c r="G973" i="4"/>
  <c r="F973" i="4"/>
  <c r="M972" i="4"/>
  <c r="L972" i="4"/>
  <c r="K972" i="4"/>
  <c r="J972" i="4"/>
  <c r="N972" i="4" s="1"/>
  <c r="I972" i="4"/>
  <c r="H972" i="4"/>
  <c r="G972" i="4"/>
  <c r="F972" i="4"/>
  <c r="M971" i="4"/>
  <c r="L971" i="4"/>
  <c r="K971" i="4"/>
  <c r="J971" i="4"/>
  <c r="N971" i="4" s="1"/>
  <c r="I971" i="4"/>
  <c r="H971" i="4"/>
  <c r="G971" i="4"/>
  <c r="F971" i="4"/>
  <c r="M970" i="4"/>
  <c r="L970" i="4"/>
  <c r="K970" i="4"/>
  <c r="J970" i="4"/>
  <c r="N970" i="4" s="1"/>
  <c r="I970" i="4"/>
  <c r="H970" i="4"/>
  <c r="G970" i="4"/>
  <c r="F970" i="4"/>
  <c r="M969" i="4"/>
  <c r="L969" i="4"/>
  <c r="K969" i="4"/>
  <c r="J969" i="4"/>
  <c r="N969" i="4" s="1"/>
  <c r="I969" i="4"/>
  <c r="H969" i="4"/>
  <c r="G969" i="4"/>
  <c r="F969" i="4"/>
  <c r="N968" i="4"/>
  <c r="M968" i="4"/>
  <c r="L968" i="4"/>
  <c r="K968" i="4"/>
  <c r="J968" i="4"/>
  <c r="I968" i="4"/>
  <c r="H968" i="4"/>
  <c r="G968" i="4"/>
  <c r="F968" i="4"/>
  <c r="N967" i="4"/>
  <c r="M967" i="4"/>
  <c r="L967" i="4"/>
  <c r="K967" i="4"/>
  <c r="J967" i="4"/>
  <c r="I967" i="4"/>
  <c r="H967" i="4"/>
  <c r="G967" i="4"/>
  <c r="F967" i="4"/>
  <c r="N966" i="4"/>
  <c r="M966" i="4"/>
  <c r="L966" i="4"/>
  <c r="K966" i="4"/>
  <c r="J966" i="4"/>
  <c r="I966" i="4"/>
  <c r="H966" i="4"/>
  <c r="G966" i="4"/>
  <c r="F966" i="4"/>
  <c r="N965" i="4"/>
  <c r="M965" i="4"/>
  <c r="L965" i="4"/>
  <c r="K965" i="4"/>
  <c r="J965" i="4"/>
  <c r="I965" i="4"/>
  <c r="H965" i="4"/>
  <c r="G965" i="4"/>
  <c r="F965" i="4"/>
  <c r="M964" i="4"/>
  <c r="L964" i="4"/>
  <c r="K964" i="4"/>
  <c r="J964" i="4"/>
  <c r="N964" i="4" s="1"/>
  <c r="I964" i="4"/>
  <c r="H964" i="4"/>
  <c r="G964" i="4"/>
  <c r="F964" i="4"/>
  <c r="M963" i="4"/>
  <c r="L963" i="4"/>
  <c r="K963" i="4"/>
  <c r="J963" i="4"/>
  <c r="N963" i="4" s="1"/>
  <c r="I963" i="4"/>
  <c r="H963" i="4"/>
  <c r="G963" i="4"/>
  <c r="F963" i="4"/>
  <c r="M962" i="4"/>
  <c r="L962" i="4"/>
  <c r="K962" i="4"/>
  <c r="J962" i="4"/>
  <c r="N962" i="4" s="1"/>
  <c r="I962" i="4"/>
  <c r="H962" i="4"/>
  <c r="G962" i="4"/>
  <c r="F962" i="4"/>
  <c r="M961" i="4"/>
  <c r="L961" i="4"/>
  <c r="K961" i="4"/>
  <c r="J961" i="4"/>
  <c r="N961" i="4" s="1"/>
  <c r="I961" i="4"/>
  <c r="H961" i="4"/>
  <c r="G961" i="4"/>
  <c r="F961" i="4"/>
  <c r="N960" i="4"/>
  <c r="M960" i="4"/>
  <c r="L960" i="4"/>
  <c r="K960" i="4"/>
  <c r="J960" i="4"/>
  <c r="I960" i="4"/>
  <c r="H960" i="4"/>
  <c r="G960" i="4"/>
  <c r="F960" i="4"/>
  <c r="N959" i="4"/>
  <c r="M959" i="4"/>
  <c r="L959" i="4"/>
  <c r="K959" i="4"/>
  <c r="J959" i="4"/>
  <c r="I959" i="4"/>
  <c r="H959" i="4"/>
  <c r="G959" i="4"/>
  <c r="F959" i="4"/>
  <c r="N958" i="4"/>
  <c r="M958" i="4"/>
  <c r="L958" i="4"/>
  <c r="K958" i="4"/>
  <c r="J958" i="4"/>
  <c r="I958" i="4"/>
  <c r="H958" i="4"/>
  <c r="G958" i="4"/>
  <c r="F958" i="4"/>
  <c r="N957" i="4"/>
  <c r="M957" i="4"/>
  <c r="L957" i="4"/>
  <c r="K957" i="4"/>
  <c r="J957" i="4"/>
  <c r="I957" i="4"/>
  <c r="H957" i="4"/>
  <c r="G957" i="4"/>
  <c r="F957" i="4"/>
  <c r="M956" i="4"/>
  <c r="L956" i="4"/>
  <c r="K956" i="4"/>
  <c r="J956" i="4"/>
  <c r="N956" i="4" s="1"/>
  <c r="I956" i="4"/>
  <c r="H956" i="4"/>
  <c r="G956" i="4"/>
  <c r="F956" i="4"/>
  <c r="M955" i="4"/>
  <c r="L955" i="4"/>
  <c r="K955" i="4"/>
  <c r="J955" i="4"/>
  <c r="N955" i="4" s="1"/>
  <c r="I955" i="4"/>
  <c r="H955" i="4"/>
  <c r="G955" i="4"/>
  <c r="F955" i="4"/>
  <c r="M954" i="4"/>
  <c r="L954" i="4"/>
  <c r="K954" i="4"/>
  <c r="J954" i="4"/>
  <c r="N954" i="4" s="1"/>
  <c r="I954" i="4"/>
  <c r="H954" i="4"/>
  <c r="G954" i="4"/>
  <c r="F954" i="4"/>
  <c r="M953" i="4"/>
  <c r="L953" i="4"/>
  <c r="K953" i="4"/>
  <c r="J953" i="4"/>
  <c r="N953" i="4" s="1"/>
  <c r="I953" i="4"/>
  <c r="H953" i="4"/>
  <c r="G953" i="4"/>
  <c r="F953" i="4"/>
  <c r="N952" i="4"/>
  <c r="M952" i="4"/>
  <c r="L952" i="4"/>
  <c r="K952" i="4"/>
  <c r="J952" i="4"/>
  <c r="I952" i="4"/>
  <c r="H952" i="4"/>
  <c r="G952" i="4"/>
  <c r="F952" i="4"/>
  <c r="N951" i="4"/>
  <c r="M951" i="4"/>
  <c r="L951" i="4"/>
  <c r="K951" i="4"/>
  <c r="J951" i="4"/>
  <c r="I951" i="4"/>
  <c r="H951" i="4"/>
  <c r="G951" i="4"/>
  <c r="F951" i="4"/>
  <c r="N950" i="4"/>
  <c r="M950" i="4"/>
  <c r="L950" i="4"/>
  <c r="K950" i="4"/>
  <c r="J950" i="4"/>
  <c r="I950" i="4"/>
  <c r="H950" i="4"/>
  <c r="G950" i="4"/>
  <c r="F950" i="4"/>
  <c r="N949" i="4"/>
  <c r="M949" i="4"/>
  <c r="L949" i="4"/>
  <c r="K949" i="4"/>
  <c r="J949" i="4"/>
  <c r="I949" i="4"/>
  <c r="H949" i="4"/>
  <c r="G949" i="4"/>
  <c r="F949" i="4"/>
  <c r="M948" i="4"/>
  <c r="L948" i="4"/>
  <c r="K948" i="4"/>
  <c r="J948" i="4"/>
  <c r="N948" i="4" s="1"/>
  <c r="I948" i="4"/>
  <c r="H948" i="4"/>
  <c r="G948" i="4"/>
  <c r="F948" i="4"/>
  <c r="M947" i="4"/>
  <c r="L947" i="4"/>
  <c r="K947" i="4"/>
  <c r="J947" i="4"/>
  <c r="N947" i="4" s="1"/>
  <c r="I947" i="4"/>
  <c r="H947" i="4"/>
  <c r="G947" i="4"/>
  <c r="F947" i="4"/>
  <c r="M946" i="4"/>
  <c r="L946" i="4"/>
  <c r="K946" i="4"/>
  <c r="J946" i="4"/>
  <c r="N946" i="4" s="1"/>
  <c r="I946" i="4"/>
  <c r="H946" i="4"/>
  <c r="G946" i="4"/>
  <c r="F946" i="4"/>
  <c r="M945" i="4"/>
  <c r="L945" i="4"/>
  <c r="K945" i="4"/>
  <c r="J945" i="4"/>
  <c r="N945" i="4" s="1"/>
  <c r="I945" i="4"/>
  <c r="H945" i="4"/>
  <c r="G945" i="4"/>
  <c r="F945" i="4"/>
  <c r="N944" i="4"/>
  <c r="M944" i="4"/>
  <c r="L944" i="4"/>
  <c r="K944" i="4"/>
  <c r="J944" i="4"/>
  <c r="I944" i="4"/>
  <c r="H944" i="4"/>
  <c r="G944" i="4"/>
  <c r="F944" i="4"/>
  <c r="N943" i="4"/>
  <c r="M943" i="4"/>
  <c r="L943" i="4"/>
  <c r="K943" i="4"/>
  <c r="J943" i="4"/>
  <c r="I943" i="4"/>
  <c r="H943" i="4"/>
  <c r="G943" i="4"/>
  <c r="F943" i="4"/>
  <c r="N942" i="4"/>
  <c r="M942" i="4"/>
  <c r="L942" i="4"/>
  <c r="K942" i="4"/>
  <c r="J942" i="4"/>
  <c r="I942" i="4"/>
  <c r="H942" i="4"/>
  <c r="G942" i="4"/>
  <c r="F942" i="4"/>
  <c r="N941" i="4"/>
  <c r="M941" i="4"/>
  <c r="L941" i="4"/>
  <c r="K941" i="4"/>
  <c r="J941" i="4"/>
  <c r="I941" i="4"/>
  <c r="H941" i="4"/>
  <c r="G941" i="4"/>
  <c r="F941" i="4"/>
  <c r="M940" i="4"/>
  <c r="L940" i="4"/>
  <c r="K940" i="4"/>
  <c r="J940" i="4"/>
  <c r="N940" i="4" s="1"/>
  <c r="I940" i="4"/>
  <c r="H940" i="4"/>
  <c r="G940" i="4"/>
  <c r="F940" i="4"/>
  <c r="M939" i="4"/>
  <c r="L939" i="4"/>
  <c r="K939" i="4"/>
  <c r="J939" i="4"/>
  <c r="N939" i="4" s="1"/>
  <c r="I939" i="4"/>
  <c r="H939" i="4"/>
  <c r="G939" i="4"/>
  <c r="F939" i="4"/>
  <c r="M938" i="4"/>
  <c r="L938" i="4"/>
  <c r="K938" i="4"/>
  <c r="J938" i="4"/>
  <c r="N938" i="4" s="1"/>
  <c r="I938" i="4"/>
  <c r="H938" i="4"/>
  <c r="G938" i="4"/>
  <c r="F938" i="4"/>
  <c r="M937" i="4"/>
  <c r="L937" i="4"/>
  <c r="K937" i="4"/>
  <c r="J937" i="4"/>
  <c r="N937" i="4" s="1"/>
  <c r="I937" i="4"/>
  <c r="H937" i="4"/>
  <c r="G937" i="4"/>
  <c r="F937" i="4"/>
  <c r="N936" i="4"/>
  <c r="M936" i="4"/>
  <c r="L936" i="4"/>
  <c r="K936" i="4"/>
  <c r="J936" i="4"/>
  <c r="I936" i="4"/>
  <c r="H936" i="4"/>
  <c r="G936" i="4"/>
  <c r="F936" i="4"/>
  <c r="N935" i="4"/>
  <c r="M935" i="4"/>
  <c r="L935" i="4"/>
  <c r="K935" i="4"/>
  <c r="J935" i="4"/>
  <c r="I935" i="4"/>
  <c r="H935" i="4"/>
  <c r="G935" i="4"/>
  <c r="F935" i="4"/>
  <c r="N934" i="4"/>
  <c r="M934" i="4"/>
  <c r="L934" i="4"/>
  <c r="K934" i="4"/>
  <c r="J934" i="4"/>
  <c r="I934" i="4"/>
  <c r="H934" i="4"/>
  <c r="G934" i="4"/>
  <c r="F934" i="4"/>
  <c r="N933" i="4"/>
  <c r="M933" i="4"/>
  <c r="L933" i="4"/>
  <c r="K933" i="4"/>
  <c r="J933" i="4"/>
  <c r="I933" i="4"/>
  <c r="H933" i="4"/>
  <c r="G933" i="4"/>
  <c r="F933" i="4"/>
  <c r="M932" i="4"/>
  <c r="L932" i="4"/>
  <c r="K932" i="4"/>
  <c r="J932" i="4"/>
  <c r="N932" i="4" s="1"/>
  <c r="I932" i="4"/>
  <c r="H932" i="4"/>
  <c r="G932" i="4"/>
  <c r="F932" i="4"/>
  <c r="M931" i="4"/>
  <c r="L931" i="4"/>
  <c r="K931" i="4"/>
  <c r="J931" i="4"/>
  <c r="N931" i="4" s="1"/>
  <c r="I931" i="4"/>
  <c r="H931" i="4"/>
  <c r="G931" i="4"/>
  <c r="F931" i="4"/>
  <c r="M930" i="4"/>
  <c r="L930" i="4"/>
  <c r="K930" i="4"/>
  <c r="J930" i="4"/>
  <c r="N930" i="4" s="1"/>
  <c r="I930" i="4"/>
  <c r="H930" i="4"/>
  <c r="G930" i="4"/>
  <c r="F930" i="4"/>
  <c r="M929" i="4"/>
  <c r="L929" i="4"/>
  <c r="K929" i="4"/>
  <c r="J929" i="4"/>
  <c r="N929" i="4" s="1"/>
  <c r="I929" i="4"/>
  <c r="H929" i="4"/>
  <c r="G929" i="4"/>
  <c r="F929" i="4"/>
  <c r="N928" i="4"/>
  <c r="M928" i="4"/>
  <c r="L928" i="4"/>
  <c r="K928" i="4"/>
  <c r="J928" i="4"/>
  <c r="I928" i="4"/>
  <c r="H928" i="4"/>
  <c r="G928" i="4"/>
  <c r="F928" i="4"/>
  <c r="N927" i="4"/>
  <c r="M927" i="4"/>
  <c r="L927" i="4"/>
  <c r="K927" i="4"/>
  <c r="J927" i="4"/>
  <c r="I927" i="4"/>
  <c r="H927" i="4"/>
  <c r="G927" i="4"/>
  <c r="F927" i="4"/>
  <c r="N926" i="4"/>
  <c r="M926" i="4"/>
  <c r="L926" i="4"/>
  <c r="K926" i="4"/>
  <c r="J926" i="4"/>
  <c r="I926" i="4"/>
  <c r="H926" i="4"/>
  <c r="G926" i="4"/>
  <c r="F926" i="4"/>
  <c r="N925" i="4"/>
  <c r="M925" i="4"/>
  <c r="L925" i="4"/>
  <c r="K925" i="4"/>
  <c r="J925" i="4"/>
  <c r="I925" i="4"/>
  <c r="H925" i="4"/>
  <c r="G925" i="4"/>
  <c r="F925" i="4"/>
  <c r="M924" i="4"/>
  <c r="L924" i="4"/>
  <c r="K924" i="4"/>
  <c r="J924" i="4"/>
  <c r="N924" i="4" s="1"/>
  <c r="I924" i="4"/>
  <c r="H924" i="4"/>
  <c r="G924" i="4"/>
  <c r="F924" i="4"/>
  <c r="M923" i="4"/>
  <c r="L923" i="4"/>
  <c r="K923" i="4"/>
  <c r="J923" i="4"/>
  <c r="N923" i="4" s="1"/>
  <c r="I923" i="4"/>
  <c r="H923" i="4"/>
  <c r="G923" i="4"/>
  <c r="F923" i="4"/>
  <c r="M922" i="4"/>
  <c r="L922" i="4"/>
  <c r="K922" i="4"/>
  <c r="J922" i="4"/>
  <c r="N922" i="4" s="1"/>
  <c r="I922" i="4"/>
  <c r="H922" i="4"/>
  <c r="G922" i="4"/>
  <c r="F922" i="4"/>
  <c r="M921" i="4"/>
  <c r="L921" i="4"/>
  <c r="K921" i="4"/>
  <c r="J921" i="4"/>
  <c r="N921" i="4" s="1"/>
  <c r="I921" i="4"/>
  <c r="H921" i="4"/>
  <c r="G921" i="4"/>
  <c r="F921" i="4"/>
  <c r="N920" i="4"/>
  <c r="M920" i="4"/>
  <c r="L920" i="4"/>
  <c r="K920" i="4"/>
  <c r="J920" i="4"/>
  <c r="I920" i="4"/>
  <c r="H920" i="4"/>
  <c r="G920" i="4"/>
  <c r="F920" i="4"/>
  <c r="N919" i="4"/>
  <c r="M919" i="4"/>
  <c r="L919" i="4"/>
  <c r="K919" i="4"/>
  <c r="J919" i="4"/>
  <c r="I919" i="4"/>
  <c r="H919" i="4"/>
  <c r="G919" i="4"/>
  <c r="F919" i="4"/>
  <c r="N918" i="4"/>
  <c r="M918" i="4"/>
  <c r="L918" i="4"/>
  <c r="K918" i="4"/>
  <c r="J918" i="4"/>
  <c r="I918" i="4"/>
  <c r="H918" i="4"/>
  <c r="G918" i="4"/>
  <c r="F918" i="4"/>
  <c r="N917" i="4"/>
  <c r="M917" i="4"/>
  <c r="L917" i="4"/>
  <c r="K917" i="4"/>
  <c r="J917" i="4"/>
  <c r="I917" i="4"/>
  <c r="H917" i="4"/>
  <c r="G917" i="4"/>
  <c r="F917" i="4"/>
  <c r="M916" i="4"/>
  <c r="L916" i="4"/>
  <c r="K916" i="4"/>
  <c r="J916" i="4"/>
  <c r="N916" i="4" s="1"/>
  <c r="I916" i="4"/>
  <c r="H916" i="4"/>
  <c r="G916" i="4"/>
  <c r="F916" i="4"/>
  <c r="M915" i="4"/>
  <c r="L915" i="4"/>
  <c r="K915" i="4"/>
  <c r="J915" i="4"/>
  <c r="N915" i="4" s="1"/>
  <c r="I915" i="4"/>
  <c r="H915" i="4"/>
  <c r="G915" i="4"/>
  <c r="F915" i="4"/>
  <c r="M914" i="4"/>
  <c r="L914" i="4"/>
  <c r="K914" i="4"/>
  <c r="J914" i="4"/>
  <c r="N914" i="4" s="1"/>
  <c r="I914" i="4"/>
  <c r="H914" i="4"/>
  <c r="G914" i="4"/>
  <c r="F914" i="4"/>
  <c r="M913" i="4"/>
  <c r="L913" i="4"/>
  <c r="K913" i="4"/>
  <c r="J913" i="4"/>
  <c r="N913" i="4" s="1"/>
  <c r="I913" i="4"/>
  <c r="H913" i="4"/>
  <c r="G913" i="4"/>
  <c r="F913" i="4"/>
  <c r="N912" i="4"/>
  <c r="M912" i="4"/>
  <c r="L912" i="4"/>
  <c r="K912" i="4"/>
  <c r="J912" i="4"/>
  <c r="I912" i="4"/>
  <c r="H912" i="4"/>
  <c r="G912" i="4"/>
  <c r="F912" i="4"/>
  <c r="N911" i="4"/>
  <c r="M911" i="4"/>
  <c r="L911" i="4"/>
  <c r="K911" i="4"/>
  <c r="J911" i="4"/>
  <c r="I911" i="4"/>
  <c r="H911" i="4"/>
  <c r="G911" i="4"/>
  <c r="F911" i="4"/>
  <c r="N910" i="4"/>
  <c r="M910" i="4"/>
  <c r="L910" i="4"/>
  <c r="K910" i="4"/>
  <c r="J910" i="4"/>
  <c r="I910" i="4"/>
  <c r="H910" i="4"/>
  <c r="G910" i="4"/>
  <c r="F910" i="4"/>
  <c r="N909" i="4"/>
  <c r="M909" i="4"/>
  <c r="L909" i="4"/>
  <c r="K909" i="4"/>
  <c r="J909" i="4"/>
  <c r="I909" i="4"/>
  <c r="H909" i="4"/>
  <c r="G909" i="4"/>
  <c r="F909" i="4"/>
  <c r="M908" i="4"/>
  <c r="L908" i="4"/>
  <c r="K908" i="4"/>
  <c r="J908" i="4"/>
  <c r="N908" i="4" s="1"/>
  <c r="I908" i="4"/>
  <c r="H908" i="4"/>
  <c r="G908" i="4"/>
  <c r="F908" i="4"/>
  <c r="M907" i="4"/>
  <c r="L907" i="4"/>
  <c r="K907" i="4"/>
  <c r="J907" i="4"/>
  <c r="N907" i="4" s="1"/>
  <c r="I907" i="4"/>
  <c r="H907" i="4"/>
  <c r="G907" i="4"/>
  <c r="F907" i="4"/>
  <c r="M906" i="4"/>
  <c r="L906" i="4"/>
  <c r="K906" i="4"/>
  <c r="J906" i="4"/>
  <c r="N906" i="4" s="1"/>
  <c r="I906" i="4"/>
  <c r="H906" i="4"/>
  <c r="G906" i="4"/>
  <c r="F906" i="4"/>
  <c r="M905" i="4"/>
  <c r="L905" i="4"/>
  <c r="K905" i="4"/>
  <c r="J905" i="4"/>
  <c r="N905" i="4" s="1"/>
  <c r="I905" i="4"/>
  <c r="H905" i="4"/>
  <c r="G905" i="4"/>
  <c r="F905" i="4"/>
  <c r="N904" i="4"/>
  <c r="M904" i="4"/>
  <c r="L904" i="4"/>
  <c r="K904" i="4"/>
  <c r="J904" i="4"/>
  <c r="I904" i="4"/>
  <c r="H904" i="4"/>
  <c r="G904" i="4"/>
  <c r="F904" i="4"/>
  <c r="N903" i="4"/>
  <c r="M903" i="4"/>
  <c r="L903" i="4"/>
  <c r="K903" i="4"/>
  <c r="J903" i="4"/>
  <c r="I903" i="4"/>
  <c r="H903" i="4"/>
  <c r="G903" i="4"/>
  <c r="F903" i="4"/>
  <c r="N902" i="4"/>
  <c r="M902" i="4"/>
  <c r="L902" i="4"/>
  <c r="K902" i="4"/>
  <c r="J902" i="4"/>
  <c r="I902" i="4"/>
  <c r="H902" i="4"/>
  <c r="G902" i="4"/>
  <c r="F902" i="4"/>
  <c r="N901" i="4"/>
  <c r="M901" i="4"/>
  <c r="L901" i="4"/>
  <c r="K901" i="4"/>
  <c r="J901" i="4"/>
  <c r="I901" i="4"/>
  <c r="H901" i="4"/>
  <c r="G901" i="4"/>
  <c r="F901" i="4"/>
  <c r="M900" i="4"/>
  <c r="L900" i="4"/>
  <c r="K900" i="4"/>
  <c r="J900" i="4"/>
  <c r="N900" i="4" s="1"/>
  <c r="I900" i="4"/>
  <c r="H900" i="4"/>
  <c r="G900" i="4"/>
  <c r="F900" i="4"/>
  <c r="M899" i="4"/>
  <c r="L899" i="4"/>
  <c r="K899" i="4"/>
  <c r="J899" i="4"/>
  <c r="N899" i="4" s="1"/>
  <c r="I899" i="4"/>
  <c r="H899" i="4"/>
  <c r="G899" i="4"/>
  <c r="F899" i="4"/>
  <c r="M898" i="4"/>
  <c r="L898" i="4"/>
  <c r="K898" i="4"/>
  <c r="J898" i="4"/>
  <c r="N898" i="4" s="1"/>
  <c r="I898" i="4"/>
  <c r="H898" i="4"/>
  <c r="G898" i="4"/>
  <c r="F898" i="4"/>
  <c r="M897" i="4"/>
  <c r="L897" i="4"/>
  <c r="K897" i="4"/>
  <c r="J897" i="4"/>
  <c r="N897" i="4" s="1"/>
  <c r="I897" i="4"/>
  <c r="H897" i="4"/>
  <c r="G897" i="4"/>
  <c r="F897" i="4"/>
  <c r="N896" i="4"/>
  <c r="M896" i="4"/>
  <c r="L896" i="4"/>
  <c r="K896" i="4"/>
  <c r="J896" i="4"/>
  <c r="I896" i="4"/>
  <c r="H896" i="4"/>
  <c r="G896" i="4"/>
  <c r="F896" i="4"/>
  <c r="N895" i="4"/>
  <c r="M895" i="4"/>
  <c r="L895" i="4"/>
  <c r="K895" i="4"/>
  <c r="J895" i="4"/>
  <c r="I895" i="4"/>
  <c r="H895" i="4"/>
  <c r="G895" i="4"/>
  <c r="F895" i="4"/>
  <c r="N894" i="4"/>
  <c r="M894" i="4"/>
  <c r="L894" i="4"/>
  <c r="K894" i="4"/>
  <c r="J894" i="4"/>
  <c r="I894" i="4"/>
  <c r="H894" i="4"/>
  <c r="G894" i="4"/>
  <c r="F894" i="4"/>
  <c r="N893" i="4"/>
  <c r="M893" i="4"/>
  <c r="L893" i="4"/>
  <c r="K893" i="4"/>
  <c r="J893" i="4"/>
  <c r="I893" i="4"/>
  <c r="H893" i="4"/>
  <c r="G893" i="4"/>
  <c r="F893" i="4"/>
  <c r="M892" i="4"/>
  <c r="L892" i="4"/>
  <c r="K892" i="4"/>
  <c r="J892" i="4"/>
  <c r="N892" i="4" s="1"/>
  <c r="I892" i="4"/>
  <c r="H892" i="4"/>
  <c r="G892" i="4"/>
  <c r="F892" i="4"/>
  <c r="M891" i="4"/>
  <c r="L891" i="4"/>
  <c r="K891" i="4"/>
  <c r="J891" i="4"/>
  <c r="N891" i="4" s="1"/>
  <c r="I891" i="4"/>
  <c r="H891" i="4"/>
  <c r="G891" i="4"/>
  <c r="F891" i="4"/>
  <c r="M890" i="4"/>
  <c r="L890" i="4"/>
  <c r="K890" i="4"/>
  <c r="J890" i="4"/>
  <c r="N890" i="4" s="1"/>
  <c r="I890" i="4"/>
  <c r="H890" i="4"/>
  <c r="G890" i="4"/>
  <c r="F890" i="4"/>
  <c r="M889" i="4"/>
  <c r="L889" i="4"/>
  <c r="K889" i="4"/>
  <c r="J889" i="4"/>
  <c r="N889" i="4" s="1"/>
  <c r="I889" i="4"/>
  <c r="H889" i="4"/>
  <c r="G889" i="4"/>
  <c r="F889" i="4"/>
  <c r="N888" i="4"/>
  <c r="M888" i="4"/>
  <c r="L888" i="4"/>
  <c r="K888" i="4"/>
  <c r="J888" i="4"/>
  <c r="I888" i="4"/>
  <c r="H888" i="4"/>
  <c r="G888" i="4"/>
  <c r="F888" i="4"/>
  <c r="N887" i="4"/>
  <c r="M887" i="4"/>
  <c r="L887" i="4"/>
  <c r="K887" i="4"/>
  <c r="J887" i="4"/>
  <c r="I887" i="4"/>
  <c r="H887" i="4"/>
  <c r="G887" i="4"/>
  <c r="F887" i="4"/>
  <c r="N886" i="4"/>
  <c r="M886" i="4"/>
  <c r="L886" i="4"/>
  <c r="K886" i="4"/>
  <c r="J886" i="4"/>
  <c r="I886" i="4"/>
  <c r="H886" i="4"/>
  <c r="G886" i="4"/>
  <c r="F886" i="4"/>
  <c r="N885" i="4"/>
  <c r="M885" i="4"/>
  <c r="L885" i="4"/>
  <c r="K885" i="4"/>
  <c r="J885" i="4"/>
  <c r="I885" i="4"/>
  <c r="H885" i="4"/>
  <c r="G885" i="4"/>
  <c r="F885" i="4"/>
  <c r="M884" i="4"/>
  <c r="L884" i="4"/>
  <c r="K884" i="4"/>
  <c r="J884" i="4"/>
  <c r="N884" i="4" s="1"/>
  <c r="I884" i="4"/>
  <c r="H884" i="4"/>
  <c r="G884" i="4"/>
  <c r="F884" i="4"/>
  <c r="M883" i="4"/>
  <c r="L883" i="4"/>
  <c r="K883" i="4"/>
  <c r="J883" i="4"/>
  <c r="N883" i="4" s="1"/>
  <c r="I883" i="4"/>
  <c r="H883" i="4"/>
  <c r="G883" i="4"/>
  <c r="F883" i="4"/>
  <c r="M882" i="4"/>
  <c r="L882" i="4"/>
  <c r="K882" i="4"/>
  <c r="J882" i="4"/>
  <c r="N882" i="4" s="1"/>
  <c r="I882" i="4"/>
  <c r="H882" i="4"/>
  <c r="G882" i="4"/>
  <c r="F882" i="4"/>
  <c r="M881" i="4"/>
  <c r="L881" i="4"/>
  <c r="K881" i="4"/>
  <c r="J881" i="4"/>
  <c r="N881" i="4" s="1"/>
  <c r="I881" i="4"/>
  <c r="H881" i="4"/>
  <c r="G881" i="4"/>
  <c r="F881" i="4"/>
  <c r="N880" i="4"/>
  <c r="M880" i="4"/>
  <c r="L880" i="4"/>
  <c r="K880" i="4"/>
  <c r="J880" i="4"/>
  <c r="I880" i="4"/>
  <c r="H880" i="4"/>
  <c r="G880" i="4"/>
  <c r="F880" i="4"/>
  <c r="N879" i="4"/>
  <c r="M879" i="4"/>
  <c r="L879" i="4"/>
  <c r="K879" i="4"/>
  <c r="J879" i="4"/>
  <c r="I879" i="4"/>
  <c r="H879" i="4"/>
  <c r="G879" i="4"/>
  <c r="F879" i="4"/>
  <c r="N878" i="4"/>
  <c r="M878" i="4"/>
  <c r="L878" i="4"/>
  <c r="K878" i="4"/>
  <c r="J878" i="4"/>
  <c r="I878" i="4"/>
  <c r="H878" i="4"/>
  <c r="G878" i="4"/>
  <c r="F878" i="4"/>
  <c r="N877" i="4"/>
  <c r="M877" i="4"/>
  <c r="L877" i="4"/>
  <c r="K877" i="4"/>
  <c r="J877" i="4"/>
  <c r="I877" i="4"/>
  <c r="H877" i="4"/>
  <c r="G877" i="4"/>
  <c r="F877" i="4"/>
  <c r="M876" i="4"/>
  <c r="L876" i="4"/>
  <c r="K876" i="4"/>
  <c r="J876" i="4"/>
  <c r="N876" i="4" s="1"/>
  <c r="I876" i="4"/>
  <c r="H876" i="4"/>
  <c r="G876" i="4"/>
  <c r="F876" i="4"/>
  <c r="M875" i="4"/>
  <c r="L875" i="4"/>
  <c r="K875" i="4"/>
  <c r="J875" i="4"/>
  <c r="N875" i="4" s="1"/>
  <c r="I875" i="4"/>
  <c r="H875" i="4"/>
  <c r="G875" i="4"/>
  <c r="F875" i="4"/>
  <c r="M874" i="4"/>
  <c r="L874" i="4"/>
  <c r="K874" i="4"/>
  <c r="J874" i="4"/>
  <c r="N874" i="4" s="1"/>
  <c r="I874" i="4"/>
  <c r="H874" i="4"/>
  <c r="G874" i="4"/>
  <c r="F874" i="4"/>
  <c r="M873" i="4"/>
  <c r="L873" i="4"/>
  <c r="K873" i="4"/>
  <c r="J873" i="4"/>
  <c r="N873" i="4" s="1"/>
  <c r="I873" i="4"/>
  <c r="H873" i="4"/>
  <c r="G873" i="4"/>
  <c r="F873" i="4"/>
  <c r="N872" i="4"/>
  <c r="M872" i="4"/>
  <c r="L872" i="4"/>
  <c r="K872" i="4"/>
  <c r="J872" i="4"/>
  <c r="I872" i="4"/>
  <c r="H872" i="4"/>
  <c r="G872" i="4"/>
  <c r="F872" i="4"/>
  <c r="N871" i="4"/>
  <c r="M871" i="4"/>
  <c r="L871" i="4"/>
  <c r="K871" i="4"/>
  <c r="J871" i="4"/>
  <c r="I871" i="4"/>
  <c r="H871" i="4"/>
  <c r="G871" i="4"/>
  <c r="F871" i="4"/>
  <c r="N870" i="4"/>
  <c r="M870" i="4"/>
  <c r="L870" i="4"/>
  <c r="K870" i="4"/>
  <c r="J870" i="4"/>
  <c r="I870" i="4"/>
  <c r="H870" i="4"/>
  <c r="G870" i="4"/>
  <c r="F870" i="4"/>
  <c r="N869" i="4"/>
  <c r="M869" i="4"/>
  <c r="L869" i="4"/>
  <c r="K869" i="4"/>
  <c r="J869" i="4"/>
  <c r="I869" i="4"/>
  <c r="H869" i="4"/>
  <c r="G869" i="4"/>
  <c r="F869" i="4"/>
  <c r="M868" i="4"/>
  <c r="L868" i="4"/>
  <c r="K868" i="4"/>
  <c r="J868" i="4"/>
  <c r="N868" i="4" s="1"/>
  <c r="I868" i="4"/>
  <c r="H868" i="4"/>
  <c r="G868" i="4"/>
  <c r="F868" i="4"/>
  <c r="M867" i="4"/>
  <c r="L867" i="4"/>
  <c r="K867" i="4"/>
  <c r="J867" i="4"/>
  <c r="N867" i="4" s="1"/>
  <c r="I867" i="4"/>
  <c r="H867" i="4"/>
  <c r="G867" i="4"/>
  <c r="F867" i="4"/>
  <c r="M866" i="4"/>
  <c r="L866" i="4"/>
  <c r="K866" i="4"/>
  <c r="J866" i="4"/>
  <c r="N866" i="4" s="1"/>
  <c r="I866" i="4"/>
  <c r="H866" i="4"/>
  <c r="G866" i="4"/>
  <c r="F866" i="4"/>
  <c r="M865" i="4"/>
  <c r="L865" i="4"/>
  <c r="K865" i="4"/>
  <c r="J865" i="4"/>
  <c r="N865" i="4" s="1"/>
  <c r="I865" i="4"/>
  <c r="H865" i="4"/>
  <c r="G865" i="4"/>
  <c r="F865" i="4"/>
  <c r="N864" i="4"/>
  <c r="M864" i="4"/>
  <c r="L864" i="4"/>
  <c r="K864" i="4"/>
  <c r="J864" i="4"/>
  <c r="I864" i="4"/>
  <c r="H864" i="4"/>
  <c r="G864" i="4"/>
  <c r="F864" i="4"/>
  <c r="N863" i="4"/>
  <c r="M863" i="4"/>
  <c r="L863" i="4"/>
  <c r="K863" i="4"/>
  <c r="J863" i="4"/>
  <c r="I863" i="4"/>
  <c r="H863" i="4"/>
  <c r="G863" i="4"/>
  <c r="F863" i="4"/>
  <c r="N862" i="4"/>
  <c r="M862" i="4"/>
  <c r="L862" i="4"/>
  <c r="K862" i="4"/>
  <c r="J862" i="4"/>
  <c r="I862" i="4"/>
  <c r="H862" i="4"/>
  <c r="G862" i="4"/>
  <c r="F862" i="4"/>
  <c r="N861" i="4"/>
  <c r="M861" i="4"/>
  <c r="L861" i="4"/>
  <c r="K861" i="4"/>
  <c r="J861" i="4"/>
  <c r="I861" i="4"/>
  <c r="H861" i="4"/>
  <c r="G861" i="4"/>
  <c r="F861" i="4"/>
  <c r="M860" i="4"/>
  <c r="L860" i="4"/>
  <c r="K860" i="4"/>
  <c r="J860" i="4"/>
  <c r="N860" i="4" s="1"/>
  <c r="I860" i="4"/>
  <c r="H860" i="4"/>
  <c r="G860" i="4"/>
  <c r="F860" i="4"/>
  <c r="M859" i="4"/>
  <c r="L859" i="4"/>
  <c r="K859" i="4"/>
  <c r="J859" i="4"/>
  <c r="N859" i="4" s="1"/>
  <c r="I859" i="4"/>
  <c r="H859" i="4"/>
  <c r="G859" i="4"/>
  <c r="F859" i="4"/>
  <c r="M858" i="4"/>
  <c r="L858" i="4"/>
  <c r="K858" i="4"/>
  <c r="J858" i="4"/>
  <c r="N858" i="4" s="1"/>
  <c r="I858" i="4"/>
  <c r="H858" i="4"/>
  <c r="G858" i="4"/>
  <c r="F858" i="4"/>
  <c r="M857" i="4"/>
  <c r="L857" i="4"/>
  <c r="K857" i="4"/>
  <c r="J857" i="4"/>
  <c r="N857" i="4" s="1"/>
  <c r="I857" i="4"/>
  <c r="H857" i="4"/>
  <c r="G857" i="4"/>
  <c r="F857" i="4"/>
  <c r="N856" i="4"/>
  <c r="M856" i="4"/>
  <c r="L856" i="4"/>
  <c r="K856" i="4"/>
  <c r="J856" i="4"/>
  <c r="I856" i="4"/>
  <c r="H856" i="4"/>
  <c r="G856" i="4"/>
  <c r="F856" i="4"/>
  <c r="N855" i="4"/>
  <c r="M855" i="4"/>
  <c r="L855" i="4"/>
  <c r="K855" i="4"/>
  <c r="J855" i="4"/>
  <c r="I855" i="4"/>
  <c r="H855" i="4"/>
  <c r="G855" i="4"/>
  <c r="F855" i="4"/>
  <c r="N854" i="4"/>
  <c r="M854" i="4"/>
  <c r="L854" i="4"/>
  <c r="K854" i="4"/>
  <c r="J854" i="4"/>
  <c r="I854" i="4"/>
  <c r="H854" i="4"/>
  <c r="G854" i="4"/>
  <c r="F854" i="4"/>
  <c r="N853" i="4"/>
  <c r="M853" i="4"/>
  <c r="L853" i="4"/>
  <c r="K853" i="4"/>
  <c r="J853" i="4"/>
  <c r="I853" i="4"/>
  <c r="H853" i="4"/>
  <c r="G853" i="4"/>
  <c r="F853" i="4"/>
  <c r="M852" i="4"/>
  <c r="L852" i="4"/>
  <c r="K852" i="4"/>
  <c r="J852" i="4"/>
  <c r="N852" i="4" s="1"/>
  <c r="I852" i="4"/>
  <c r="H852" i="4"/>
  <c r="G852" i="4"/>
  <c r="F852" i="4"/>
  <c r="M851" i="4"/>
  <c r="L851" i="4"/>
  <c r="K851" i="4"/>
  <c r="J851" i="4"/>
  <c r="N851" i="4" s="1"/>
  <c r="I851" i="4"/>
  <c r="H851" i="4"/>
  <c r="G851" i="4"/>
  <c r="F851" i="4"/>
  <c r="M850" i="4"/>
  <c r="L850" i="4"/>
  <c r="K850" i="4"/>
  <c r="J850" i="4"/>
  <c r="N850" i="4" s="1"/>
  <c r="I850" i="4"/>
  <c r="H850" i="4"/>
  <c r="G850" i="4"/>
  <c r="F850" i="4"/>
  <c r="N849" i="4"/>
  <c r="M849" i="4"/>
  <c r="L849" i="4"/>
  <c r="K849" i="4"/>
  <c r="J849" i="4"/>
  <c r="I849" i="4"/>
  <c r="H849" i="4"/>
  <c r="G849" i="4"/>
  <c r="F849" i="4"/>
  <c r="N848" i="4"/>
  <c r="M848" i="4"/>
  <c r="L848" i="4"/>
  <c r="K848" i="4"/>
  <c r="J848" i="4"/>
  <c r="I848" i="4"/>
  <c r="H848" i="4"/>
  <c r="G848" i="4"/>
  <c r="F848" i="4"/>
  <c r="N847" i="4"/>
  <c r="M847" i="4"/>
  <c r="L847" i="4"/>
  <c r="K847" i="4"/>
  <c r="J847" i="4"/>
  <c r="I847" i="4"/>
  <c r="H847" i="4"/>
  <c r="G847" i="4"/>
  <c r="F847" i="4"/>
  <c r="N846" i="4"/>
  <c r="M846" i="4"/>
  <c r="L846" i="4"/>
  <c r="K846" i="4"/>
  <c r="J846" i="4"/>
  <c r="I846" i="4"/>
  <c r="H846" i="4"/>
  <c r="G846" i="4"/>
  <c r="F846" i="4"/>
  <c r="M845" i="4"/>
  <c r="L845" i="4"/>
  <c r="K845" i="4"/>
  <c r="J845" i="4"/>
  <c r="N845" i="4" s="1"/>
  <c r="I845" i="4"/>
  <c r="H845" i="4"/>
  <c r="G845" i="4"/>
  <c r="F845" i="4"/>
  <c r="M844" i="4"/>
  <c r="L844" i="4"/>
  <c r="K844" i="4"/>
  <c r="J844" i="4"/>
  <c r="N844" i="4" s="1"/>
  <c r="I844" i="4"/>
  <c r="H844" i="4"/>
  <c r="G844" i="4"/>
  <c r="F844" i="4"/>
  <c r="M843" i="4"/>
  <c r="L843" i="4"/>
  <c r="K843" i="4"/>
  <c r="J843" i="4"/>
  <c r="N843" i="4" s="1"/>
  <c r="I843" i="4"/>
  <c r="H843" i="4"/>
  <c r="G843" i="4"/>
  <c r="F843" i="4"/>
  <c r="M842" i="4"/>
  <c r="L842" i="4"/>
  <c r="K842" i="4"/>
  <c r="J842" i="4"/>
  <c r="N842" i="4" s="1"/>
  <c r="I842" i="4"/>
  <c r="H842" i="4"/>
  <c r="G842" i="4"/>
  <c r="F842" i="4"/>
  <c r="N841" i="4"/>
  <c r="M841" i="4"/>
  <c r="L841" i="4"/>
  <c r="K841" i="4"/>
  <c r="J841" i="4"/>
  <c r="I841" i="4"/>
  <c r="H841" i="4"/>
  <c r="G841" i="4"/>
  <c r="F841" i="4"/>
  <c r="N840" i="4"/>
  <c r="M840" i="4"/>
  <c r="L840" i="4"/>
  <c r="K840" i="4"/>
  <c r="J840" i="4"/>
  <c r="I840" i="4"/>
  <c r="H840" i="4"/>
  <c r="G840" i="4"/>
  <c r="F840" i="4"/>
  <c r="N839" i="4"/>
  <c r="M839" i="4"/>
  <c r="L839" i="4"/>
  <c r="K839" i="4"/>
  <c r="J839" i="4"/>
  <c r="I839" i="4"/>
  <c r="H839" i="4"/>
  <c r="G839" i="4"/>
  <c r="F839" i="4"/>
  <c r="N838" i="4"/>
  <c r="M838" i="4"/>
  <c r="L838" i="4"/>
  <c r="K838" i="4"/>
  <c r="J838" i="4"/>
  <c r="I838" i="4"/>
  <c r="H838" i="4"/>
  <c r="G838" i="4"/>
  <c r="F838" i="4"/>
  <c r="M837" i="4"/>
  <c r="L837" i="4"/>
  <c r="K837" i="4"/>
  <c r="J837" i="4"/>
  <c r="N837" i="4" s="1"/>
  <c r="I837" i="4"/>
  <c r="H837" i="4"/>
  <c r="G837" i="4"/>
  <c r="F837" i="4"/>
  <c r="M836" i="4"/>
  <c r="L836" i="4"/>
  <c r="K836" i="4"/>
  <c r="J836" i="4"/>
  <c r="N836" i="4" s="1"/>
  <c r="I836" i="4"/>
  <c r="H836" i="4"/>
  <c r="G836" i="4"/>
  <c r="F836" i="4"/>
  <c r="M835" i="4"/>
  <c r="L835" i="4"/>
  <c r="K835" i="4"/>
  <c r="J835" i="4"/>
  <c r="N835" i="4" s="1"/>
  <c r="I835" i="4"/>
  <c r="H835" i="4"/>
  <c r="G835" i="4"/>
  <c r="F835" i="4"/>
  <c r="M834" i="4"/>
  <c r="L834" i="4"/>
  <c r="K834" i="4"/>
  <c r="J834" i="4"/>
  <c r="N834" i="4" s="1"/>
  <c r="I834" i="4"/>
  <c r="H834" i="4"/>
  <c r="G834" i="4"/>
  <c r="F834" i="4"/>
  <c r="N833" i="4"/>
  <c r="M833" i="4"/>
  <c r="L833" i="4"/>
  <c r="K833" i="4"/>
  <c r="J833" i="4"/>
  <c r="I833" i="4"/>
  <c r="H833" i="4"/>
  <c r="G833" i="4"/>
  <c r="F833" i="4"/>
  <c r="N832" i="4"/>
  <c r="M832" i="4"/>
  <c r="L832" i="4"/>
  <c r="K832" i="4"/>
  <c r="J832" i="4"/>
  <c r="I832" i="4"/>
  <c r="H832" i="4"/>
  <c r="G832" i="4"/>
  <c r="F832" i="4"/>
  <c r="N831" i="4"/>
  <c r="M831" i="4"/>
  <c r="L831" i="4"/>
  <c r="K831" i="4"/>
  <c r="J831" i="4"/>
  <c r="I831" i="4"/>
  <c r="H831" i="4"/>
  <c r="G831" i="4"/>
  <c r="F831" i="4"/>
  <c r="N830" i="4"/>
  <c r="M830" i="4"/>
  <c r="L830" i="4"/>
  <c r="K830" i="4"/>
  <c r="J830" i="4"/>
  <c r="I830" i="4"/>
  <c r="H830" i="4"/>
  <c r="G830" i="4"/>
  <c r="F830" i="4"/>
  <c r="M829" i="4"/>
  <c r="L829" i="4"/>
  <c r="K829" i="4"/>
  <c r="J829" i="4"/>
  <c r="N829" i="4" s="1"/>
  <c r="I829" i="4"/>
  <c r="H829" i="4"/>
  <c r="G829" i="4"/>
  <c r="F829" i="4"/>
  <c r="M828" i="4"/>
  <c r="L828" i="4"/>
  <c r="K828" i="4"/>
  <c r="J828" i="4"/>
  <c r="N828" i="4" s="1"/>
  <c r="I828" i="4"/>
  <c r="H828" i="4"/>
  <c r="G828" i="4"/>
  <c r="F828" i="4"/>
  <c r="M827" i="4"/>
  <c r="L827" i="4"/>
  <c r="K827" i="4"/>
  <c r="J827" i="4"/>
  <c r="N827" i="4" s="1"/>
  <c r="I827" i="4"/>
  <c r="H827" i="4"/>
  <c r="G827" i="4"/>
  <c r="F827" i="4"/>
  <c r="M826" i="4"/>
  <c r="L826" i="4"/>
  <c r="K826" i="4"/>
  <c r="J826" i="4"/>
  <c r="N826" i="4" s="1"/>
  <c r="I826" i="4"/>
  <c r="H826" i="4"/>
  <c r="G826" i="4"/>
  <c r="F826" i="4"/>
  <c r="N825" i="4"/>
  <c r="M825" i="4"/>
  <c r="L825" i="4"/>
  <c r="K825" i="4"/>
  <c r="J825" i="4"/>
  <c r="I825" i="4"/>
  <c r="H825" i="4"/>
  <c r="G825" i="4"/>
  <c r="F825" i="4"/>
  <c r="N824" i="4"/>
  <c r="M824" i="4"/>
  <c r="L824" i="4"/>
  <c r="K824" i="4"/>
  <c r="J824" i="4"/>
  <c r="I824" i="4"/>
  <c r="H824" i="4"/>
  <c r="G824" i="4"/>
  <c r="F824" i="4"/>
  <c r="M823" i="4"/>
  <c r="L823" i="4"/>
  <c r="K823" i="4"/>
  <c r="J823" i="4"/>
  <c r="N823" i="4" s="1"/>
  <c r="I823" i="4"/>
  <c r="H823" i="4"/>
  <c r="G823" i="4"/>
  <c r="F823" i="4"/>
  <c r="N822" i="4"/>
  <c r="M822" i="4"/>
  <c r="L822" i="4"/>
  <c r="K822" i="4"/>
  <c r="J822" i="4"/>
  <c r="I822" i="4"/>
  <c r="H822" i="4"/>
  <c r="G822" i="4"/>
  <c r="F822" i="4"/>
  <c r="M821" i="4"/>
  <c r="L821" i="4"/>
  <c r="K821" i="4"/>
  <c r="J821" i="4"/>
  <c r="N821" i="4" s="1"/>
  <c r="I821" i="4"/>
  <c r="H821" i="4"/>
  <c r="G821" i="4"/>
  <c r="F821" i="4"/>
  <c r="M820" i="4"/>
  <c r="L820" i="4"/>
  <c r="K820" i="4"/>
  <c r="J820" i="4"/>
  <c r="N820" i="4" s="1"/>
  <c r="I820" i="4"/>
  <c r="H820" i="4"/>
  <c r="G820" i="4"/>
  <c r="F820" i="4"/>
  <c r="M819" i="4"/>
  <c r="L819" i="4"/>
  <c r="K819" i="4"/>
  <c r="J819" i="4"/>
  <c r="N819" i="4" s="1"/>
  <c r="I819" i="4"/>
  <c r="H819" i="4"/>
  <c r="G819" i="4"/>
  <c r="F819" i="4"/>
  <c r="M818" i="4"/>
  <c r="L818" i="4"/>
  <c r="K818" i="4"/>
  <c r="J818" i="4"/>
  <c r="N818" i="4" s="1"/>
  <c r="I818" i="4"/>
  <c r="H818" i="4"/>
  <c r="G818" i="4"/>
  <c r="F818" i="4"/>
  <c r="N817" i="4"/>
  <c r="M817" i="4"/>
  <c r="L817" i="4"/>
  <c r="K817" i="4"/>
  <c r="J817" i="4"/>
  <c r="I817" i="4"/>
  <c r="H817" i="4"/>
  <c r="G817" i="4"/>
  <c r="F817" i="4"/>
  <c r="N816" i="4"/>
  <c r="M816" i="4"/>
  <c r="L816" i="4"/>
  <c r="K816" i="4"/>
  <c r="J816" i="4"/>
  <c r="I816" i="4"/>
  <c r="H816" i="4"/>
  <c r="G816" i="4"/>
  <c r="F816" i="4"/>
  <c r="N815" i="4"/>
  <c r="M815" i="4"/>
  <c r="L815" i="4"/>
  <c r="K815" i="4"/>
  <c r="J815" i="4"/>
  <c r="I815" i="4"/>
  <c r="H815" i="4"/>
  <c r="G815" i="4"/>
  <c r="F815" i="4"/>
  <c r="N814" i="4"/>
  <c r="M814" i="4"/>
  <c r="L814" i="4"/>
  <c r="K814" i="4"/>
  <c r="J814" i="4"/>
  <c r="I814" i="4"/>
  <c r="H814" i="4"/>
  <c r="G814" i="4"/>
  <c r="F814" i="4"/>
  <c r="M813" i="4"/>
  <c r="L813" i="4"/>
  <c r="K813" i="4"/>
  <c r="J813" i="4"/>
  <c r="N813" i="4" s="1"/>
  <c r="I813" i="4"/>
  <c r="H813" i="4"/>
  <c r="G813" i="4"/>
  <c r="F813" i="4"/>
  <c r="M812" i="4"/>
  <c r="L812" i="4"/>
  <c r="K812" i="4"/>
  <c r="J812" i="4"/>
  <c r="N812" i="4" s="1"/>
  <c r="I812" i="4"/>
  <c r="H812" i="4"/>
  <c r="G812" i="4"/>
  <c r="F812" i="4"/>
  <c r="N811" i="4"/>
  <c r="M811" i="4"/>
  <c r="L811" i="4"/>
  <c r="K811" i="4"/>
  <c r="J811" i="4"/>
  <c r="I811" i="4"/>
  <c r="H811" i="4"/>
  <c r="G811" i="4"/>
  <c r="F811" i="4"/>
  <c r="M810" i="4"/>
  <c r="L810" i="4"/>
  <c r="K810" i="4"/>
  <c r="J810" i="4"/>
  <c r="N810" i="4" s="1"/>
  <c r="I810" i="4"/>
  <c r="H810" i="4"/>
  <c r="G810" i="4"/>
  <c r="F810" i="4"/>
  <c r="M809" i="4"/>
  <c r="L809" i="4"/>
  <c r="K809" i="4"/>
  <c r="J809" i="4"/>
  <c r="N809" i="4" s="1"/>
  <c r="I809" i="4"/>
  <c r="H809" i="4"/>
  <c r="G809" i="4"/>
  <c r="F809" i="4"/>
  <c r="N808" i="4"/>
  <c r="M808" i="4"/>
  <c r="L808" i="4"/>
  <c r="K808" i="4"/>
  <c r="J808" i="4"/>
  <c r="I808" i="4"/>
  <c r="H808" i="4"/>
  <c r="G808" i="4"/>
  <c r="F808" i="4"/>
  <c r="N807" i="4"/>
  <c r="M807" i="4"/>
  <c r="L807" i="4"/>
  <c r="K807" i="4"/>
  <c r="J807" i="4"/>
  <c r="I807" i="4"/>
  <c r="H807" i="4"/>
  <c r="G807" i="4"/>
  <c r="F807" i="4"/>
  <c r="N806" i="4"/>
  <c r="M806" i="4"/>
  <c r="L806" i="4"/>
  <c r="K806" i="4"/>
  <c r="J806" i="4"/>
  <c r="I806" i="4"/>
  <c r="H806" i="4"/>
  <c r="G806" i="4"/>
  <c r="F806" i="4"/>
  <c r="N805" i="4"/>
  <c r="M805" i="4"/>
  <c r="L805" i="4"/>
  <c r="K805" i="4"/>
  <c r="J805" i="4"/>
  <c r="I805" i="4"/>
  <c r="H805" i="4"/>
  <c r="G805" i="4"/>
  <c r="F805" i="4"/>
  <c r="M804" i="4"/>
  <c r="L804" i="4"/>
  <c r="K804" i="4"/>
  <c r="J804" i="4"/>
  <c r="N804" i="4" s="1"/>
  <c r="I804" i="4"/>
  <c r="H804" i="4"/>
  <c r="G804" i="4"/>
  <c r="F804" i="4"/>
  <c r="N803" i="4"/>
  <c r="M803" i="4"/>
  <c r="L803" i="4"/>
  <c r="K803" i="4"/>
  <c r="J803" i="4"/>
  <c r="I803" i="4"/>
  <c r="H803" i="4"/>
  <c r="G803" i="4"/>
  <c r="F803" i="4"/>
  <c r="M802" i="4"/>
  <c r="L802" i="4"/>
  <c r="K802" i="4"/>
  <c r="J802" i="4"/>
  <c r="N802" i="4" s="1"/>
  <c r="I802" i="4"/>
  <c r="H802" i="4"/>
  <c r="G802" i="4"/>
  <c r="F802" i="4"/>
  <c r="M801" i="4"/>
  <c r="L801" i="4"/>
  <c r="K801" i="4"/>
  <c r="J801" i="4"/>
  <c r="N801" i="4" s="1"/>
  <c r="I801" i="4"/>
  <c r="H801" i="4"/>
  <c r="G801" i="4"/>
  <c r="F801" i="4"/>
  <c r="N800" i="4"/>
  <c r="M800" i="4"/>
  <c r="L800" i="4"/>
  <c r="K800" i="4"/>
  <c r="J800" i="4"/>
  <c r="I800" i="4"/>
  <c r="H800" i="4"/>
  <c r="G800" i="4"/>
  <c r="F800" i="4"/>
  <c r="M799" i="4"/>
  <c r="L799" i="4"/>
  <c r="K799" i="4"/>
  <c r="J799" i="4"/>
  <c r="N799" i="4" s="1"/>
  <c r="I799" i="4"/>
  <c r="H799" i="4"/>
  <c r="G799" i="4"/>
  <c r="F799" i="4"/>
  <c r="N798" i="4"/>
  <c r="M798" i="4"/>
  <c r="L798" i="4"/>
  <c r="K798" i="4"/>
  <c r="J798" i="4"/>
  <c r="I798" i="4"/>
  <c r="H798" i="4"/>
  <c r="G798" i="4"/>
  <c r="F798" i="4"/>
  <c r="N797" i="4"/>
  <c r="M797" i="4"/>
  <c r="L797" i="4"/>
  <c r="K797" i="4"/>
  <c r="J797" i="4"/>
  <c r="I797" i="4"/>
  <c r="H797" i="4"/>
  <c r="G797" i="4"/>
  <c r="F797" i="4"/>
  <c r="M796" i="4"/>
  <c r="L796" i="4"/>
  <c r="K796" i="4"/>
  <c r="J796" i="4"/>
  <c r="N796" i="4" s="1"/>
  <c r="I796" i="4"/>
  <c r="H796" i="4"/>
  <c r="G796" i="4"/>
  <c r="F796" i="4"/>
  <c r="M795" i="4"/>
  <c r="L795" i="4"/>
  <c r="K795" i="4"/>
  <c r="J795" i="4"/>
  <c r="N795" i="4" s="1"/>
  <c r="I795" i="4"/>
  <c r="H795" i="4"/>
  <c r="G795" i="4"/>
  <c r="F795" i="4"/>
  <c r="M794" i="4"/>
  <c r="L794" i="4"/>
  <c r="K794" i="4"/>
  <c r="J794" i="4"/>
  <c r="N794" i="4" s="1"/>
  <c r="I794" i="4"/>
  <c r="H794" i="4"/>
  <c r="G794" i="4"/>
  <c r="F794" i="4"/>
  <c r="N793" i="4"/>
  <c r="M793" i="4"/>
  <c r="L793" i="4"/>
  <c r="K793" i="4"/>
  <c r="J793" i="4"/>
  <c r="I793" i="4"/>
  <c r="H793" i="4"/>
  <c r="G793" i="4"/>
  <c r="F793" i="4"/>
  <c r="N792" i="4"/>
  <c r="M792" i="4"/>
  <c r="L792" i="4"/>
  <c r="K792" i="4"/>
  <c r="J792" i="4"/>
  <c r="I792" i="4"/>
  <c r="H792" i="4"/>
  <c r="G792" i="4"/>
  <c r="F792" i="4"/>
  <c r="M791" i="4"/>
  <c r="L791" i="4"/>
  <c r="K791" i="4"/>
  <c r="J791" i="4"/>
  <c r="N791" i="4" s="1"/>
  <c r="I791" i="4"/>
  <c r="H791" i="4"/>
  <c r="G791" i="4"/>
  <c r="F791" i="4"/>
  <c r="N790" i="4"/>
  <c r="M790" i="4"/>
  <c r="L790" i="4"/>
  <c r="K790" i="4"/>
  <c r="J790" i="4"/>
  <c r="I790" i="4"/>
  <c r="H790" i="4"/>
  <c r="G790" i="4"/>
  <c r="F790" i="4"/>
  <c r="M789" i="4"/>
  <c r="L789" i="4"/>
  <c r="K789" i="4"/>
  <c r="J789" i="4"/>
  <c r="N789" i="4" s="1"/>
  <c r="I789" i="4"/>
  <c r="H789" i="4"/>
  <c r="G789" i="4"/>
  <c r="F789" i="4"/>
  <c r="M788" i="4"/>
  <c r="L788" i="4"/>
  <c r="K788" i="4"/>
  <c r="J788" i="4"/>
  <c r="N788" i="4" s="1"/>
  <c r="I788" i="4"/>
  <c r="H788" i="4"/>
  <c r="G788" i="4"/>
  <c r="F788" i="4"/>
  <c r="M787" i="4"/>
  <c r="L787" i="4"/>
  <c r="K787" i="4"/>
  <c r="J787" i="4"/>
  <c r="N787" i="4" s="1"/>
  <c r="I787" i="4"/>
  <c r="H787" i="4"/>
  <c r="G787" i="4"/>
  <c r="F787" i="4"/>
  <c r="M786" i="4"/>
  <c r="L786" i="4"/>
  <c r="K786" i="4"/>
  <c r="J786" i="4"/>
  <c r="N786" i="4" s="1"/>
  <c r="I786" i="4"/>
  <c r="H786" i="4"/>
  <c r="G786" i="4"/>
  <c r="F786" i="4"/>
  <c r="N785" i="4"/>
  <c r="M785" i="4"/>
  <c r="L785" i="4"/>
  <c r="K785" i="4"/>
  <c r="J785" i="4"/>
  <c r="I785" i="4"/>
  <c r="H785" i="4"/>
  <c r="G785" i="4"/>
  <c r="F785" i="4"/>
  <c r="N784" i="4"/>
  <c r="M784" i="4"/>
  <c r="L784" i="4"/>
  <c r="K784" i="4"/>
  <c r="J784" i="4"/>
  <c r="I784" i="4"/>
  <c r="H784" i="4"/>
  <c r="G784" i="4"/>
  <c r="F784" i="4"/>
  <c r="N783" i="4"/>
  <c r="M783" i="4"/>
  <c r="L783" i="4"/>
  <c r="K783" i="4"/>
  <c r="J783" i="4"/>
  <c r="I783" i="4"/>
  <c r="H783" i="4"/>
  <c r="G783" i="4"/>
  <c r="F783" i="4"/>
  <c r="N782" i="4"/>
  <c r="M782" i="4"/>
  <c r="L782" i="4"/>
  <c r="K782" i="4"/>
  <c r="J782" i="4"/>
  <c r="I782" i="4"/>
  <c r="H782" i="4"/>
  <c r="G782" i="4"/>
  <c r="F782" i="4"/>
  <c r="M781" i="4"/>
  <c r="L781" i="4"/>
  <c r="K781" i="4"/>
  <c r="J781" i="4"/>
  <c r="N781" i="4" s="1"/>
  <c r="I781" i="4"/>
  <c r="H781" i="4"/>
  <c r="G781" i="4"/>
  <c r="F781" i="4"/>
  <c r="M780" i="4"/>
  <c r="L780" i="4"/>
  <c r="K780" i="4"/>
  <c r="J780" i="4"/>
  <c r="N780" i="4" s="1"/>
  <c r="I780" i="4"/>
  <c r="H780" i="4"/>
  <c r="G780" i="4"/>
  <c r="F780" i="4"/>
  <c r="N779" i="4"/>
  <c r="M779" i="4"/>
  <c r="L779" i="4"/>
  <c r="K779" i="4"/>
  <c r="J779" i="4"/>
  <c r="I779" i="4"/>
  <c r="H779" i="4"/>
  <c r="G779" i="4"/>
  <c r="F779" i="4"/>
  <c r="M778" i="4"/>
  <c r="L778" i="4"/>
  <c r="K778" i="4"/>
  <c r="J778" i="4"/>
  <c r="N778" i="4" s="1"/>
  <c r="I778" i="4"/>
  <c r="H778" i="4"/>
  <c r="G778" i="4"/>
  <c r="F778" i="4"/>
  <c r="M777" i="4"/>
  <c r="L777" i="4"/>
  <c r="K777" i="4"/>
  <c r="J777" i="4"/>
  <c r="N777" i="4" s="1"/>
  <c r="I777" i="4"/>
  <c r="H777" i="4"/>
  <c r="G777" i="4"/>
  <c r="F777" i="4"/>
  <c r="N776" i="4"/>
  <c r="M776" i="4"/>
  <c r="L776" i="4"/>
  <c r="K776" i="4"/>
  <c r="J776" i="4"/>
  <c r="I776" i="4"/>
  <c r="H776" i="4"/>
  <c r="G776" i="4"/>
  <c r="F776" i="4"/>
  <c r="N775" i="4"/>
  <c r="M775" i="4"/>
  <c r="L775" i="4"/>
  <c r="K775" i="4"/>
  <c r="J775" i="4"/>
  <c r="I775" i="4"/>
  <c r="H775" i="4"/>
  <c r="G775" i="4"/>
  <c r="F775" i="4"/>
  <c r="N774" i="4"/>
  <c r="M774" i="4"/>
  <c r="L774" i="4"/>
  <c r="K774" i="4"/>
  <c r="J774" i="4"/>
  <c r="I774" i="4"/>
  <c r="H774" i="4"/>
  <c r="G774" i="4"/>
  <c r="F774" i="4"/>
  <c r="N773" i="4"/>
  <c r="M773" i="4"/>
  <c r="L773" i="4"/>
  <c r="K773" i="4"/>
  <c r="J773" i="4"/>
  <c r="I773" i="4"/>
  <c r="H773" i="4"/>
  <c r="G773" i="4"/>
  <c r="F773" i="4"/>
  <c r="M772" i="4"/>
  <c r="L772" i="4"/>
  <c r="K772" i="4"/>
  <c r="J772" i="4"/>
  <c r="N772" i="4" s="1"/>
  <c r="I772" i="4"/>
  <c r="H772" i="4"/>
  <c r="G772" i="4"/>
  <c r="F772" i="4"/>
  <c r="N771" i="4"/>
  <c r="M771" i="4"/>
  <c r="L771" i="4"/>
  <c r="K771" i="4"/>
  <c r="J771" i="4"/>
  <c r="I771" i="4"/>
  <c r="H771" i="4"/>
  <c r="G771" i="4"/>
  <c r="F771" i="4"/>
  <c r="M770" i="4"/>
  <c r="L770" i="4"/>
  <c r="K770" i="4"/>
  <c r="J770" i="4"/>
  <c r="N770" i="4" s="1"/>
  <c r="I770" i="4"/>
  <c r="H770" i="4"/>
  <c r="G770" i="4"/>
  <c r="F770" i="4"/>
  <c r="M769" i="4"/>
  <c r="L769" i="4"/>
  <c r="K769" i="4"/>
  <c r="J769" i="4"/>
  <c r="N769" i="4" s="1"/>
  <c r="I769" i="4"/>
  <c r="H769" i="4"/>
  <c r="G769" i="4"/>
  <c r="F769" i="4"/>
  <c r="N768" i="4"/>
  <c r="M768" i="4"/>
  <c r="L768" i="4"/>
  <c r="K768" i="4"/>
  <c r="J768" i="4"/>
  <c r="I768" i="4"/>
  <c r="H768" i="4"/>
  <c r="G768" i="4"/>
  <c r="F768" i="4"/>
  <c r="M767" i="4"/>
  <c r="L767" i="4"/>
  <c r="K767" i="4"/>
  <c r="J767" i="4"/>
  <c r="N767" i="4" s="1"/>
  <c r="I767" i="4"/>
  <c r="H767" i="4"/>
  <c r="G767" i="4"/>
  <c r="F767" i="4"/>
  <c r="N766" i="4"/>
  <c r="M766" i="4"/>
  <c r="L766" i="4"/>
  <c r="K766" i="4"/>
  <c r="J766" i="4"/>
  <c r="I766" i="4"/>
  <c r="H766" i="4"/>
  <c r="G766" i="4"/>
  <c r="F766" i="4"/>
  <c r="N765" i="4"/>
  <c r="M765" i="4"/>
  <c r="L765" i="4"/>
  <c r="K765" i="4"/>
  <c r="J765" i="4"/>
  <c r="I765" i="4"/>
  <c r="H765" i="4"/>
  <c r="G765" i="4"/>
  <c r="F765" i="4"/>
  <c r="M764" i="4"/>
  <c r="L764" i="4"/>
  <c r="K764" i="4"/>
  <c r="J764" i="4"/>
  <c r="N764" i="4" s="1"/>
  <c r="I764" i="4"/>
  <c r="H764" i="4"/>
  <c r="G764" i="4"/>
  <c r="F764" i="4"/>
  <c r="M763" i="4"/>
  <c r="L763" i="4"/>
  <c r="K763" i="4"/>
  <c r="J763" i="4"/>
  <c r="N763" i="4" s="1"/>
  <c r="I763" i="4"/>
  <c r="H763" i="4"/>
  <c r="G763" i="4"/>
  <c r="F763" i="4"/>
  <c r="M762" i="4"/>
  <c r="L762" i="4"/>
  <c r="K762" i="4"/>
  <c r="J762" i="4"/>
  <c r="N762" i="4" s="1"/>
  <c r="I762" i="4"/>
  <c r="H762" i="4"/>
  <c r="G762" i="4"/>
  <c r="F762" i="4"/>
  <c r="N761" i="4"/>
  <c r="M761" i="4"/>
  <c r="L761" i="4"/>
  <c r="K761" i="4"/>
  <c r="J761" i="4"/>
  <c r="I761" i="4"/>
  <c r="H761" i="4"/>
  <c r="G761" i="4"/>
  <c r="F761" i="4"/>
  <c r="N760" i="4"/>
  <c r="M760" i="4"/>
  <c r="L760" i="4"/>
  <c r="K760" i="4"/>
  <c r="J760" i="4"/>
  <c r="I760" i="4"/>
  <c r="H760" i="4"/>
  <c r="G760" i="4"/>
  <c r="F760" i="4"/>
  <c r="M759" i="4"/>
  <c r="L759" i="4"/>
  <c r="K759" i="4"/>
  <c r="J759" i="4"/>
  <c r="N759" i="4" s="1"/>
  <c r="I759" i="4"/>
  <c r="H759" i="4"/>
  <c r="G759" i="4"/>
  <c r="F759" i="4"/>
  <c r="N758" i="4"/>
  <c r="M758" i="4"/>
  <c r="L758" i="4"/>
  <c r="K758" i="4"/>
  <c r="J758" i="4"/>
  <c r="I758" i="4"/>
  <c r="H758" i="4"/>
  <c r="G758" i="4"/>
  <c r="F758" i="4"/>
  <c r="M757" i="4"/>
  <c r="L757" i="4"/>
  <c r="K757" i="4"/>
  <c r="J757" i="4"/>
  <c r="N757" i="4" s="1"/>
  <c r="I757" i="4"/>
  <c r="H757" i="4"/>
  <c r="G757" i="4"/>
  <c r="F757" i="4"/>
  <c r="M756" i="4"/>
  <c r="L756" i="4"/>
  <c r="K756" i="4"/>
  <c r="J756" i="4"/>
  <c r="N756" i="4" s="1"/>
  <c r="I756" i="4"/>
  <c r="H756" i="4"/>
  <c r="G756" i="4"/>
  <c r="F756" i="4"/>
  <c r="M755" i="4"/>
  <c r="L755" i="4"/>
  <c r="K755" i="4"/>
  <c r="J755" i="4"/>
  <c r="N755" i="4" s="1"/>
  <c r="I755" i="4"/>
  <c r="H755" i="4"/>
  <c r="G755" i="4"/>
  <c r="F755" i="4"/>
  <c r="M754" i="4"/>
  <c r="L754" i="4"/>
  <c r="K754" i="4"/>
  <c r="J754" i="4"/>
  <c r="N754" i="4" s="1"/>
  <c r="I754" i="4"/>
  <c r="H754" i="4"/>
  <c r="G754" i="4"/>
  <c r="F754" i="4"/>
  <c r="N753" i="4"/>
  <c r="M753" i="4"/>
  <c r="L753" i="4"/>
  <c r="K753" i="4"/>
  <c r="J753" i="4"/>
  <c r="I753" i="4"/>
  <c r="H753" i="4"/>
  <c r="G753" i="4"/>
  <c r="F753" i="4"/>
  <c r="N752" i="4"/>
  <c r="M752" i="4"/>
  <c r="L752" i="4"/>
  <c r="K752" i="4"/>
  <c r="J752" i="4"/>
  <c r="I752" i="4"/>
  <c r="H752" i="4"/>
  <c r="G752" i="4"/>
  <c r="F752" i="4"/>
  <c r="N751" i="4"/>
  <c r="M751" i="4"/>
  <c r="L751" i="4"/>
  <c r="K751" i="4"/>
  <c r="J751" i="4"/>
  <c r="I751" i="4"/>
  <c r="H751" i="4"/>
  <c r="G751" i="4"/>
  <c r="F751" i="4"/>
  <c r="N750" i="4"/>
  <c r="M750" i="4"/>
  <c r="L750" i="4"/>
  <c r="K750" i="4"/>
  <c r="J750" i="4"/>
  <c r="I750" i="4"/>
  <c r="H750" i="4"/>
  <c r="G750" i="4"/>
  <c r="F750" i="4"/>
  <c r="M749" i="4"/>
  <c r="L749" i="4"/>
  <c r="K749" i="4"/>
  <c r="J749" i="4"/>
  <c r="N749" i="4" s="1"/>
  <c r="I749" i="4"/>
  <c r="H749" i="4"/>
  <c r="G749" i="4"/>
  <c r="F749" i="4"/>
  <c r="M748" i="4"/>
  <c r="L748" i="4"/>
  <c r="K748" i="4"/>
  <c r="J748" i="4"/>
  <c r="N748" i="4" s="1"/>
  <c r="I748" i="4"/>
  <c r="H748" i="4"/>
  <c r="G748" i="4"/>
  <c r="F748" i="4"/>
  <c r="N747" i="4"/>
  <c r="M747" i="4"/>
  <c r="L747" i="4"/>
  <c r="K747" i="4"/>
  <c r="J747" i="4"/>
  <c r="I747" i="4"/>
  <c r="H747" i="4"/>
  <c r="G747" i="4"/>
  <c r="F747" i="4"/>
  <c r="M746" i="4"/>
  <c r="L746" i="4"/>
  <c r="K746" i="4"/>
  <c r="J746" i="4"/>
  <c r="N746" i="4" s="1"/>
  <c r="I746" i="4"/>
  <c r="H746" i="4"/>
  <c r="G746" i="4"/>
  <c r="F746" i="4"/>
  <c r="M745" i="4"/>
  <c r="L745" i="4"/>
  <c r="K745" i="4"/>
  <c r="J745" i="4"/>
  <c r="N745" i="4" s="1"/>
  <c r="I745" i="4"/>
  <c r="H745" i="4"/>
  <c r="G745" i="4"/>
  <c r="F745" i="4"/>
  <c r="N744" i="4"/>
  <c r="M744" i="4"/>
  <c r="L744" i="4"/>
  <c r="K744" i="4"/>
  <c r="J744" i="4"/>
  <c r="I744" i="4"/>
  <c r="H744" i="4"/>
  <c r="G744" i="4"/>
  <c r="F744" i="4"/>
  <c r="N743" i="4"/>
  <c r="M743" i="4"/>
  <c r="L743" i="4"/>
  <c r="K743" i="4"/>
  <c r="J743" i="4"/>
  <c r="I743" i="4"/>
  <c r="H743" i="4"/>
  <c r="G743" i="4"/>
  <c r="F743" i="4"/>
  <c r="N742" i="4"/>
  <c r="M742" i="4"/>
  <c r="L742" i="4"/>
  <c r="K742" i="4"/>
  <c r="J742" i="4"/>
  <c r="I742" i="4"/>
  <c r="H742" i="4"/>
  <c r="G742" i="4"/>
  <c r="F742" i="4"/>
  <c r="N741" i="4"/>
  <c r="M741" i="4"/>
  <c r="L741" i="4"/>
  <c r="K741" i="4"/>
  <c r="J741" i="4"/>
  <c r="I741" i="4"/>
  <c r="H741" i="4"/>
  <c r="G741" i="4"/>
  <c r="F741" i="4"/>
  <c r="M740" i="4"/>
  <c r="L740" i="4"/>
  <c r="K740" i="4"/>
  <c r="J740" i="4"/>
  <c r="N740" i="4" s="1"/>
  <c r="I740" i="4"/>
  <c r="H740" i="4"/>
  <c r="G740" i="4"/>
  <c r="F740" i="4"/>
  <c r="N739" i="4"/>
  <c r="M739" i="4"/>
  <c r="L739" i="4"/>
  <c r="K739" i="4"/>
  <c r="J739" i="4"/>
  <c r="I739" i="4"/>
  <c r="H739" i="4"/>
  <c r="G739" i="4"/>
  <c r="F739" i="4"/>
  <c r="M738" i="4"/>
  <c r="L738" i="4"/>
  <c r="K738" i="4"/>
  <c r="J738" i="4"/>
  <c r="N738" i="4" s="1"/>
  <c r="I738" i="4"/>
  <c r="H738" i="4"/>
  <c r="G738" i="4"/>
  <c r="F738" i="4"/>
  <c r="M737" i="4"/>
  <c r="L737" i="4"/>
  <c r="K737" i="4"/>
  <c r="J737" i="4"/>
  <c r="N737" i="4" s="1"/>
  <c r="I737" i="4"/>
  <c r="H737" i="4"/>
  <c r="G737" i="4"/>
  <c r="F737" i="4"/>
  <c r="N736" i="4"/>
  <c r="M736" i="4"/>
  <c r="L736" i="4"/>
  <c r="K736" i="4"/>
  <c r="J736" i="4"/>
  <c r="I736" i="4"/>
  <c r="H736" i="4"/>
  <c r="G736" i="4"/>
  <c r="F736" i="4"/>
  <c r="M735" i="4"/>
  <c r="L735" i="4"/>
  <c r="K735" i="4"/>
  <c r="J735" i="4"/>
  <c r="N735" i="4" s="1"/>
  <c r="I735" i="4"/>
  <c r="H735" i="4"/>
  <c r="G735" i="4"/>
  <c r="F735" i="4"/>
  <c r="N734" i="4"/>
  <c r="M734" i="4"/>
  <c r="L734" i="4"/>
  <c r="K734" i="4"/>
  <c r="J734" i="4"/>
  <c r="I734" i="4"/>
  <c r="H734" i="4"/>
  <c r="G734" i="4"/>
  <c r="F734" i="4"/>
  <c r="N733" i="4"/>
  <c r="M733" i="4"/>
  <c r="L733" i="4"/>
  <c r="K733" i="4"/>
  <c r="J733" i="4"/>
  <c r="I733" i="4"/>
  <c r="H733" i="4"/>
  <c r="G733" i="4"/>
  <c r="F733" i="4"/>
  <c r="M732" i="4"/>
  <c r="L732" i="4"/>
  <c r="K732" i="4"/>
  <c r="J732" i="4"/>
  <c r="N732" i="4" s="1"/>
  <c r="I732" i="4"/>
  <c r="H732" i="4"/>
  <c r="G732" i="4"/>
  <c r="F732" i="4"/>
  <c r="M731" i="4"/>
  <c r="L731" i="4"/>
  <c r="K731" i="4"/>
  <c r="J731" i="4"/>
  <c r="N731" i="4" s="1"/>
  <c r="I731" i="4"/>
  <c r="H731" i="4"/>
  <c r="G731" i="4"/>
  <c r="F731" i="4"/>
  <c r="M730" i="4"/>
  <c r="L730" i="4"/>
  <c r="K730" i="4"/>
  <c r="J730" i="4"/>
  <c r="N730" i="4" s="1"/>
  <c r="I730" i="4"/>
  <c r="H730" i="4"/>
  <c r="G730" i="4"/>
  <c r="F730" i="4"/>
  <c r="N729" i="4"/>
  <c r="M729" i="4"/>
  <c r="L729" i="4"/>
  <c r="K729" i="4"/>
  <c r="J729" i="4"/>
  <c r="I729" i="4"/>
  <c r="H729" i="4"/>
  <c r="G729" i="4"/>
  <c r="F729" i="4"/>
  <c r="N728" i="4"/>
  <c r="M728" i="4"/>
  <c r="L728" i="4"/>
  <c r="K728" i="4"/>
  <c r="J728" i="4"/>
  <c r="I728" i="4"/>
  <c r="H728" i="4"/>
  <c r="G728" i="4"/>
  <c r="F728" i="4"/>
  <c r="M727" i="4"/>
  <c r="L727" i="4"/>
  <c r="K727" i="4"/>
  <c r="J727" i="4"/>
  <c r="N727" i="4" s="1"/>
  <c r="I727" i="4"/>
  <c r="H727" i="4"/>
  <c r="G727" i="4"/>
  <c r="F727" i="4"/>
  <c r="N726" i="4"/>
  <c r="M726" i="4"/>
  <c r="L726" i="4"/>
  <c r="K726" i="4"/>
  <c r="J726" i="4"/>
  <c r="I726" i="4"/>
  <c r="H726" i="4"/>
  <c r="G726" i="4"/>
  <c r="F726" i="4"/>
  <c r="M725" i="4"/>
  <c r="L725" i="4"/>
  <c r="K725" i="4"/>
  <c r="J725" i="4"/>
  <c r="N725" i="4" s="1"/>
  <c r="I725" i="4"/>
  <c r="H725" i="4"/>
  <c r="G725" i="4"/>
  <c r="F725" i="4"/>
  <c r="M724" i="4"/>
  <c r="L724" i="4"/>
  <c r="K724" i="4"/>
  <c r="J724" i="4"/>
  <c r="N724" i="4" s="1"/>
  <c r="I724" i="4"/>
  <c r="H724" i="4"/>
  <c r="G724" i="4"/>
  <c r="F724" i="4"/>
  <c r="M723" i="4"/>
  <c r="L723" i="4"/>
  <c r="K723" i="4"/>
  <c r="J723" i="4"/>
  <c r="N723" i="4" s="1"/>
  <c r="I723" i="4"/>
  <c r="H723" i="4"/>
  <c r="G723" i="4"/>
  <c r="F723" i="4"/>
  <c r="M722" i="4"/>
  <c r="L722" i="4"/>
  <c r="K722" i="4"/>
  <c r="J722" i="4"/>
  <c r="N722" i="4" s="1"/>
  <c r="I722" i="4"/>
  <c r="H722" i="4"/>
  <c r="G722" i="4"/>
  <c r="F722" i="4"/>
  <c r="N721" i="4"/>
  <c r="M721" i="4"/>
  <c r="L721" i="4"/>
  <c r="K721" i="4"/>
  <c r="J721" i="4"/>
  <c r="I721" i="4"/>
  <c r="H721" i="4"/>
  <c r="G721" i="4"/>
  <c r="F721" i="4"/>
  <c r="N720" i="4"/>
  <c r="M720" i="4"/>
  <c r="L720" i="4"/>
  <c r="K720" i="4"/>
  <c r="J720" i="4"/>
  <c r="I720" i="4"/>
  <c r="H720" i="4"/>
  <c r="G720" i="4"/>
  <c r="F720" i="4"/>
  <c r="N719" i="4"/>
  <c r="M719" i="4"/>
  <c r="L719" i="4"/>
  <c r="K719" i="4"/>
  <c r="J719" i="4"/>
  <c r="I719" i="4"/>
  <c r="H719" i="4"/>
  <c r="G719" i="4"/>
  <c r="F719" i="4"/>
  <c r="N718" i="4"/>
  <c r="M718" i="4"/>
  <c r="L718" i="4"/>
  <c r="K718" i="4"/>
  <c r="J718" i="4"/>
  <c r="I718" i="4"/>
  <c r="H718" i="4"/>
  <c r="G718" i="4"/>
  <c r="F718" i="4"/>
  <c r="M717" i="4"/>
  <c r="L717" i="4"/>
  <c r="K717" i="4"/>
  <c r="J717" i="4"/>
  <c r="N717" i="4" s="1"/>
  <c r="I717" i="4"/>
  <c r="H717" i="4"/>
  <c r="G717" i="4"/>
  <c r="F717" i="4"/>
  <c r="M716" i="4"/>
  <c r="L716" i="4"/>
  <c r="K716" i="4"/>
  <c r="J716" i="4"/>
  <c r="N716" i="4" s="1"/>
  <c r="I716" i="4"/>
  <c r="H716" i="4"/>
  <c r="G716" i="4"/>
  <c r="F716" i="4"/>
  <c r="N715" i="4"/>
  <c r="M715" i="4"/>
  <c r="L715" i="4"/>
  <c r="K715" i="4"/>
  <c r="J715" i="4"/>
  <c r="I715" i="4"/>
  <c r="H715" i="4"/>
  <c r="G715" i="4"/>
  <c r="F715" i="4"/>
  <c r="M714" i="4"/>
  <c r="L714" i="4"/>
  <c r="K714" i="4"/>
  <c r="J714" i="4"/>
  <c r="N714" i="4" s="1"/>
  <c r="I714" i="4"/>
  <c r="H714" i="4"/>
  <c r="G714" i="4"/>
  <c r="F714" i="4"/>
  <c r="M713" i="4"/>
  <c r="L713" i="4"/>
  <c r="K713" i="4"/>
  <c r="J713" i="4"/>
  <c r="N713" i="4" s="1"/>
  <c r="I713" i="4"/>
  <c r="H713" i="4"/>
  <c r="G713" i="4"/>
  <c r="F713" i="4"/>
  <c r="N712" i="4"/>
  <c r="M712" i="4"/>
  <c r="L712" i="4"/>
  <c r="K712" i="4"/>
  <c r="J712" i="4"/>
  <c r="I712" i="4"/>
  <c r="H712" i="4"/>
  <c r="G712" i="4"/>
  <c r="F712" i="4"/>
  <c r="N711" i="4"/>
  <c r="M711" i="4"/>
  <c r="L711" i="4"/>
  <c r="K711" i="4"/>
  <c r="J711" i="4"/>
  <c r="I711" i="4"/>
  <c r="H711" i="4"/>
  <c r="G711" i="4"/>
  <c r="F711" i="4"/>
  <c r="N710" i="4"/>
  <c r="M710" i="4"/>
  <c r="L710" i="4"/>
  <c r="K710" i="4"/>
  <c r="J710" i="4"/>
  <c r="I710" i="4"/>
  <c r="H710" i="4"/>
  <c r="G710" i="4"/>
  <c r="F710" i="4"/>
  <c r="N709" i="4"/>
  <c r="M709" i="4"/>
  <c r="L709" i="4"/>
  <c r="K709" i="4"/>
  <c r="J709" i="4"/>
  <c r="I709" i="4"/>
  <c r="H709" i="4"/>
  <c r="G709" i="4"/>
  <c r="F709" i="4"/>
  <c r="M708" i="4"/>
  <c r="L708" i="4"/>
  <c r="K708" i="4"/>
  <c r="J708" i="4"/>
  <c r="N708" i="4" s="1"/>
  <c r="I708" i="4"/>
  <c r="H708" i="4"/>
  <c r="G708" i="4"/>
  <c r="F708" i="4"/>
  <c r="N707" i="4"/>
  <c r="M707" i="4"/>
  <c r="L707" i="4"/>
  <c r="K707" i="4"/>
  <c r="J707" i="4"/>
  <c r="I707" i="4"/>
  <c r="H707" i="4"/>
  <c r="G707" i="4"/>
  <c r="F707" i="4"/>
  <c r="M706" i="4"/>
  <c r="L706" i="4"/>
  <c r="K706" i="4"/>
  <c r="J706" i="4"/>
  <c r="N706" i="4" s="1"/>
  <c r="I706" i="4"/>
  <c r="H706" i="4"/>
  <c r="G706" i="4"/>
  <c r="F706" i="4"/>
  <c r="M705" i="4"/>
  <c r="L705" i="4"/>
  <c r="K705" i="4"/>
  <c r="J705" i="4"/>
  <c r="N705" i="4" s="1"/>
  <c r="I705" i="4"/>
  <c r="H705" i="4"/>
  <c r="G705" i="4"/>
  <c r="F705" i="4"/>
  <c r="N704" i="4"/>
  <c r="M704" i="4"/>
  <c r="L704" i="4"/>
  <c r="K704" i="4"/>
  <c r="J704" i="4"/>
  <c r="I704" i="4"/>
  <c r="H704" i="4"/>
  <c r="G704" i="4"/>
  <c r="F704" i="4"/>
  <c r="M703" i="4"/>
  <c r="L703" i="4"/>
  <c r="K703" i="4"/>
  <c r="J703" i="4"/>
  <c r="N703" i="4" s="1"/>
  <c r="I703" i="4"/>
  <c r="H703" i="4"/>
  <c r="G703" i="4"/>
  <c r="F703" i="4"/>
  <c r="N702" i="4"/>
  <c r="M702" i="4"/>
  <c r="L702" i="4"/>
  <c r="K702" i="4"/>
  <c r="J702" i="4"/>
  <c r="I702" i="4"/>
  <c r="H702" i="4"/>
  <c r="G702" i="4"/>
  <c r="F702" i="4"/>
  <c r="N701" i="4"/>
  <c r="M701" i="4"/>
  <c r="L701" i="4"/>
  <c r="K701" i="4"/>
  <c r="J701" i="4"/>
  <c r="I701" i="4"/>
  <c r="H701" i="4"/>
  <c r="G701" i="4"/>
  <c r="F701" i="4"/>
  <c r="M700" i="4"/>
  <c r="L700" i="4"/>
  <c r="K700" i="4"/>
  <c r="J700" i="4"/>
  <c r="N700" i="4" s="1"/>
  <c r="I700" i="4"/>
  <c r="H700" i="4"/>
  <c r="G700" i="4"/>
  <c r="F700" i="4"/>
  <c r="M699" i="4"/>
  <c r="L699" i="4"/>
  <c r="K699" i="4"/>
  <c r="J699" i="4"/>
  <c r="N699" i="4" s="1"/>
  <c r="I699" i="4"/>
  <c r="H699" i="4"/>
  <c r="G699" i="4"/>
  <c r="F699" i="4"/>
  <c r="M698" i="4"/>
  <c r="L698" i="4"/>
  <c r="K698" i="4"/>
  <c r="J698" i="4"/>
  <c r="N698" i="4" s="1"/>
  <c r="I698" i="4"/>
  <c r="H698" i="4"/>
  <c r="G698" i="4"/>
  <c r="F698" i="4"/>
  <c r="N697" i="4"/>
  <c r="M697" i="4"/>
  <c r="L697" i="4"/>
  <c r="K697" i="4"/>
  <c r="J697" i="4"/>
  <c r="I697" i="4"/>
  <c r="H697" i="4"/>
  <c r="G697" i="4"/>
  <c r="F697" i="4"/>
  <c r="N696" i="4"/>
  <c r="M696" i="4"/>
  <c r="L696" i="4"/>
  <c r="K696" i="4"/>
  <c r="J696" i="4"/>
  <c r="I696" i="4"/>
  <c r="H696" i="4"/>
  <c r="G696" i="4"/>
  <c r="F696" i="4"/>
  <c r="M695" i="4"/>
  <c r="L695" i="4"/>
  <c r="K695" i="4"/>
  <c r="J695" i="4"/>
  <c r="N695" i="4" s="1"/>
  <c r="I695" i="4"/>
  <c r="H695" i="4"/>
  <c r="G695" i="4"/>
  <c r="F695" i="4"/>
  <c r="N694" i="4"/>
  <c r="M694" i="4"/>
  <c r="L694" i="4"/>
  <c r="K694" i="4"/>
  <c r="J694" i="4"/>
  <c r="I694" i="4"/>
  <c r="H694" i="4"/>
  <c r="G694" i="4"/>
  <c r="F694" i="4"/>
  <c r="M693" i="4"/>
  <c r="L693" i="4"/>
  <c r="K693" i="4"/>
  <c r="J693" i="4"/>
  <c r="N693" i="4" s="1"/>
  <c r="I693" i="4"/>
  <c r="H693" i="4"/>
  <c r="G693" i="4"/>
  <c r="F693" i="4"/>
  <c r="M692" i="4"/>
  <c r="L692" i="4"/>
  <c r="K692" i="4"/>
  <c r="J692" i="4"/>
  <c r="N692" i="4" s="1"/>
  <c r="I692" i="4"/>
  <c r="H692" i="4"/>
  <c r="G692" i="4"/>
  <c r="F692" i="4"/>
  <c r="M691" i="4"/>
  <c r="L691" i="4"/>
  <c r="K691" i="4"/>
  <c r="J691" i="4"/>
  <c r="N691" i="4" s="1"/>
  <c r="I691" i="4"/>
  <c r="H691" i="4"/>
  <c r="G691" i="4"/>
  <c r="F691" i="4"/>
  <c r="M690" i="4"/>
  <c r="L690" i="4"/>
  <c r="K690" i="4"/>
  <c r="J690" i="4"/>
  <c r="N690" i="4" s="1"/>
  <c r="I690" i="4"/>
  <c r="H690" i="4"/>
  <c r="G690" i="4"/>
  <c r="F690" i="4"/>
  <c r="N689" i="4"/>
  <c r="M689" i="4"/>
  <c r="L689" i="4"/>
  <c r="K689" i="4"/>
  <c r="J689" i="4"/>
  <c r="I689" i="4"/>
  <c r="H689" i="4"/>
  <c r="G689" i="4"/>
  <c r="F689" i="4"/>
  <c r="N688" i="4"/>
  <c r="M688" i="4"/>
  <c r="L688" i="4"/>
  <c r="K688" i="4"/>
  <c r="J688" i="4"/>
  <c r="I688" i="4"/>
  <c r="H688" i="4"/>
  <c r="G688" i="4"/>
  <c r="F688" i="4"/>
  <c r="N687" i="4"/>
  <c r="M687" i="4"/>
  <c r="L687" i="4"/>
  <c r="K687" i="4"/>
  <c r="J687" i="4"/>
  <c r="I687" i="4"/>
  <c r="H687" i="4"/>
  <c r="G687" i="4"/>
  <c r="F687" i="4"/>
  <c r="N686" i="4"/>
  <c r="M686" i="4"/>
  <c r="L686" i="4"/>
  <c r="K686" i="4"/>
  <c r="J686" i="4"/>
  <c r="I686" i="4"/>
  <c r="H686" i="4"/>
  <c r="G686" i="4"/>
  <c r="F686" i="4"/>
  <c r="M685" i="4"/>
  <c r="L685" i="4"/>
  <c r="K685" i="4"/>
  <c r="J685" i="4"/>
  <c r="N685" i="4" s="1"/>
  <c r="I685" i="4"/>
  <c r="H685" i="4"/>
  <c r="G685" i="4"/>
  <c r="F685" i="4"/>
  <c r="M684" i="4"/>
  <c r="L684" i="4"/>
  <c r="K684" i="4"/>
  <c r="J684" i="4"/>
  <c r="N684" i="4" s="1"/>
  <c r="I684" i="4"/>
  <c r="H684" i="4"/>
  <c r="G684" i="4"/>
  <c r="F684" i="4"/>
  <c r="N683" i="4"/>
  <c r="M683" i="4"/>
  <c r="L683" i="4"/>
  <c r="K683" i="4"/>
  <c r="J683" i="4"/>
  <c r="I683" i="4"/>
  <c r="H683" i="4"/>
  <c r="G683" i="4"/>
  <c r="F683" i="4"/>
  <c r="M682" i="4"/>
  <c r="L682" i="4"/>
  <c r="K682" i="4"/>
  <c r="J682" i="4"/>
  <c r="N682" i="4" s="1"/>
  <c r="I682" i="4"/>
  <c r="H682" i="4"/>
  <c r="G682" i="4"/>
  <c r="F682" i="4"/>
  <c r="M681" i="4"/>
  <c r="L681" i="4"/>
  <c r="K681" i="4"/>
  <c r="J681" i="4"/>
  <c r="N681" i="4" s="1"/>
  <c r="I681" i="4"/>
  <c r="H681" i="4"/>
  <c r="G681" i="4"/>
  <c r="F681" i="4"/>
  <c r="N680" i="4"/>
  <c r="M680" i="4"/>
  <c r="L680" i="4"/>
  <c r="K680" i="4"/>
  <c r="J680" i="4"/>
  <c r="I680" i="4"/>
  <c r="H680" i="4"/>
  <c r="G680" i="4"/>
  <c r="F680" i="4"/>
  <c r="N679" i="4"/>
  <c r="M679" i="4"/>
  <c r="L679" i="4"/>
  <c r="K679" i="4"/>
  <c r="J679" i="4"/>
  <c r="I679" i="4"/>
  <c r="H679" i="4"/>
  <c r="G679" i="4"/>
  <c r="F679" i="4"/>
  <c r="N678" i="4"/>
  <c r="M678" i="4"/>
  <c r="L678" i="4"/>
  <c r="K678" i="4"/>
  <c r="J678" i="4"/>
  <c r="I678" i="4"/>
  <c r="H678" i="4"/>
  <c r="G678" i="4"/>
  <c r="F678" i="4"/>
  <c r="N677" i="4"/>
  <c r="M677" i="4"/>
  <c r="L677" i="4"/>
  <c r="K677" i="4"/>
  <c r="J677" i="4"/>
  <c r="I677" i="4"/>
  <c r="H677" i="4"/>
  <c r="G677" i="4"/>
  <c r="F677" i="4"/>
  <c r="M676" i="4"/>
  <c r="L676" i="4"/>
  <c r="K676" i="4"/>
  <c r="J676" i="4"/>
  <c r="N676" i="4" s="1"/>
  <c r="I676" i="4"/>
  <c r="H676" i="4"/>
  <c r="G676" i="4"/>
  <c r="F676" i="4"/>
  <c r="N675" i="4"/>
  <c r="M675" i="4"/>
  <c r="L675" i="4"/>
  <c r="K675" i="4"/>
  <c r="J675" i="4"/>
  <c r="I675" i="4"/>
  <c r="H675" i="4"/>
  <c r="G675" i="4"/>
  <c r="F675" i="4"/>
  <c r="M674" i="4"/>
  <c r="L674" i="4"/>
  <c r="K674" i="4"/>
  <c r="J674" i="4"/>
  <c r="N674" i="4" s="1"/>
  <c r="I674" i="4"/>
  <c r="H674" i="4"/>
  <c r="G674" i="4"/>
  <c r="F674" i="4"/>
  <c r="M673" i="4"/>
  <c r="L673" i="4"/>
  <c r="K673" i="4"/>
  <c r="J673" i="4"/>
  <c r="N673" i="4" s="1"/>
  <c r="I673" i="4"/>
  <c r="H673" i="4"/>
  <c r="G673" i="4"/>
  <c r="F673" i="4"/>
  <c r="N672" i="4"/>
  <c r="M672" i="4"/>
  <c r="L672" i="4"/>
  <c r="K672" i="4"/>
  <c r="J672" i="4"/>
  <c r="I672" i="4"/>
  <c r="H672" i="4"/>
  <c r="G672" i="4"/>
  <c r="F672" i="4"/>
  <c r="M671" i="4"/>
  <c r="L671" i="4"/>
  <c r="K671" i="4"/>
  <c r="J671" i="4"/>
  <c r="N671" i="4" s="1"/>
  <c r="I671" i="4"/>
  <c r="H671" i="4"/>
  <c r="G671" i="4"/>
  <c r="F671" i="4"/>
  <c r="N670" i="4"/>
  <c r="M670" i="4"/>
  <c r="L670" i="4"/>
  <c r="K670" i="4"/>
  <c r="J670" i="4"/>
  <c r="I670" i="4"/>
  <c r="H670" i="4"/>
  <c r="G670" i="4"/>
  <c r="F670" i="4"/>
  <c r="N669" i="4"/>
  <c r="M669" i="4"/>
  <c r="L669" i="4"/>
  <c r="K669" i="4"/>
  <c r="J669" i="4"/>
  <c r="I669" i="4"/>
  <c r="H669" i="4"/>
  <c r="G669" i="4"/>
  <c r="F669" i="4"/>
  <c r="M668" i="4"/>
  <c r="L668" i="4"/>
  <c r="K668" i="4"/>
  <c r="J668" i="4"/>
  <c r="N668" i="4" s="1"/>
  <c r="I668" i="4"/>
  <c r="H668" i="4"/>
  <c r="G668" i="4"/>
  <c r="F668" i="4"/>
  <c r="M667" i="4"/>
  <c r="L667" i="4"/>
  <c r="K667" i="4"/>
  <c r="J667" i="4"/>
  <c r="N667" i="4" s="1"/>
  <c r="I667" i="4"/>
  <c r="H667" i="4"/>
  <c r="G667" i="4"/>
  <c r="F667" i="4"/>
  <c r="M666" i="4"/>
  <c r="L666" i="4"/>
  <c r="K666" i="4"/>
  <c r="J666" i="4"/>
  <c r="N666" i="4" s="1"/>
  <c r="I666" i="4"/>
  <c r="H666" i="4"/>
  <c r="G666" i="4"/>
  <c r="F666" i="4"/>
  <c r="N665" i="4"/>
  <c r="M665" i="4"/>
  <c r="L665" i="4"/>
  <c r="K665" i="4"/>
  <c r="J665" i="4"/>
  <c r="I665" i="4"/>
  <c r="H665" i="4"/>
  <c r="G665" i="4"/>
  <c r="F665" i="4"/>
  <c r="N664" i="4"/>
  <c r="M664" i="4"/>
  <c r="L664" i="4"/>
  <c r="K664" i="4"/>
  <c r="J664" i="4"/>
  <c r="I664" i="4"/>
  <c r="H664" i="4"/>
  <c r="G664" i="4"/>
  <c r="F664" i="4"/>
  <c r="M663" i="4"/>
  <c r="L663" i="4"/>
  <c r="K663" i="4"/>
  <c r="J663" i="4"/>
  <c r="N663" i="4" s="1"/>
  <c r="I663" i="4"/>
  <c r="H663" i="4"/>
  <c r="G663" i="4"/>
  <c r="F663" i="4"/>
  <c r="N662" i="4"/>
  <c r="M662" i="4"/>
  <c r="L662" i="4"/>
  <c r="K662" i="4"/>
  <c r="J662" i="4"/>
  <c r="I662" i="4"/>
  <c r="H662" i="4"/>
  <c r="G662" i="4"/>
  <c r="F662" i="4"/>
  <c r="M661" i="4"/>
  <c r="L661" i="4"/>
  <c r="K661" i="4"/>
  <c r="J661" i="4"/>
  <c r="N661" i="4" s="1"/>
  <c r="I661" i="4"/>
  <c r="H661" i="4"/>
  <c r="G661" i="4"/>
  <c r="F661" i="4"/>
  <c r="M660" i="4"/>
  <c r="L660" i="4"/>
  <c r="K660" i="4"/>
  <c r="J660" i="4"/>
  <c r="N660" i="4" s="1"/>
  <c r="I660" i="4"/>
  <c r="H660" i="4"/>
  <c r="G660" i="4"/>
  <c r="F660" i="4"/>
  <c r="M659" i="4"/>
  <c r="L659" i="4"/>
  <c r="K659" i="4"/>
  <c r="J659" i="4"/>
  <c r="N659" i="4" s="1"/>
  <c r="I659" i="4"/>
  <c r="H659" i="4"/>
  <c r="G659" i="4"/>
  <c r="F659" i="4"/>
  <c r="M658" i="4"/>
  <c r="L658" i="4"/>
  <c r="K658" i="4"/>
  <c r="J658" i="4"/>
  <c r="N658" i="4" s="1"/>
  <c r="I658" i="4"/>
  <c r="H658" i="4"/>
  <c r="G658" i="4"/>
  <c r="F658" i="4"/>
  <c r="N657" i="4"/>
  <c r="M657" i="4"/>
  <c r="L657" i="4"/>
  <c r="K657" i="4"/>
  <c r="J657" i="4"/>
  <c r="I657" i="4"/>
  <c r="H657" i="4"/>
  <c r="G657" i="4"/>
  <c r="F657" i="4"/>
  <c r="N656" i="4"/>
  <c r="M656" i="4"/>
  <c r="L656" i="4"/>
  <c r="K656" i="4"/>
  <c r="J656" i="4"/>
  <c r="I656" i="4"/>
  <c r="H656" i="4"/>
  <c r="G656" i="4"/>
  <c r="F656" i="4"/>
  <c r="N655" i="4"/>
  <c r="M655" i="4"/>
  <c r="L655" i="4"/>
  <c r="K655" i="4"/>
  <c r="J655" i="4"/>
  <c r="I655" i="4"/>
  <c r="H655" i="4"/>
  <c r="G655" i="4"/>
  <c r="F655" i="4"/>
  <c r="N654" i="4"/>
  <c r="M654" i="4"/>
  <c r="L654" i="4"/>
  <c r="K654" i="4"/>
  <c r="J654" i="4"/>
  <c r="I654" i="4"/>
  <c r="H654" i="4"/>
  <c r="G654" i="4"/>
  <c r="F654" i="4"/>
  <c r="M653" i="4"/>
  <c r="L653" i="4"/>
  <c r="K653" i="4"/>
  <c r="J653" i="4"/>
  <c r="N653" i="4" s="1"/>
  <c r="I653" i="4"/>
  <c r="H653" i="4"/>
  <c r="G653" i="4"/>
  <c r="F653" i="4"/>
  <c r="M652" i="4"/>
  <c r="L652" i="4"/>
  <c r="K652" i="4"/>
  <c r="J652" i="4"/>
  <c r="N652" i="4" s="1"/>
  <c r="I652" i="4"/>
  <c r="H652" i="4"/>
  <c r="G652" i="4"/>
  <c r="F652" i="4"/>
  <c r="N651" i="4"/>
  <c r="M651" i="4"/>
  <c r="L651" i="4"/>
  <c r="K651" i="4"/>
  <c r="J651" i="4"/>
  <c r="I651" i="4"/>
  <c r="H651" i="4"/>
  <c r="G651" i="4"/>
  <c r="F651" i="4"/>
  <c r="M650" i="4"/>
  <c r="L650" i="4"/>
  <c r="K650" i="4"/>
  <c r="J650" i="4"/>
  <c r="N650" i="4" s="1"/>
  <c r="I650" i="4"/>
  <c r="H650" i="4"/>
  <c r="G650" i="4"/>
  <c r="F650" i="4"/>
  <c r="M649" i="4"/>
  <c r="L649" i="4"/>
  <c r="K649" i="4"/>
  <c r="J649" i="4"/>
  <c r="N649" i="4" s="1"/>
  <c r="I649" i="4"/>
  <c r="H649" i="4"/>
  <c r="G649" i="4"/>
  <c r="F649" i="4"/>
  <c r="N648" i="4"/>
  <c r="M648" i="4"/>
  <c r="L648" i="4"/>
  <c r="K648" i="4"/>
  <c r="J648" i="4"/>
  <c r="I648" i="4"/>
  <c r="H648" i="4"/>
  <c r="G648" i="4"/>
  <c r="F648" i="4"/>
  <c r="N647" i="4"/>
  <c r="M647" i="4"/>
  <c r="L647" i="4"/>
  <c r="K647" i="4"/>
  <c r="J647" i="4"/>
  <c r="I647" i="4"/>
  <c r="H647" i="4"/>
  <c r="G647" i="4"/>
  <c r="F647" i="4"/>
  <c r="N646" i="4"/>
  <c r="M646" i="4"/>
  <c r="L646" i="4"/>
  <c r="K646" i="4"/>
  <c r="J646" i="4"/>
  <c r="I646" i="4"/>
  <c r="H646" i="4"/>
  <c r="G646" i="4"/>
  <c r="F646" i="4"/>
  <c r="N645" i="4"/>
  <c r="M645" i="4"/>
  <c r="L645" i="4"/>
  <c r="K645" i="4"/>
  <c r="J645" i="4"/>
  <c r="I645" i="4"/>
  <c r="H645" i="4"/>
  <c r="G645" i="4"/>
  <c r="F645" i="4"/>
  <c r="M644" i="4"/>
  <c r="L644" i="4"/>
  <c r="K644" i="4"/>
  <c r="J644" i="4"/>
  <c r="N644" i="4" s="1"/>
  <c r="I644" i="4"/>
  <c r="H644" i="4"/>
  <c r="G644" i="4"/>
  <c r="F644" i="4"/>
  <c r="N643" i="4"/>
  <c r="M643" i="4"/>
  <c r="L643" i="4"/>
  <c r="K643" i="4"/>
  <c r="J643" i="4"/>
  <c r="I643" i="4"/>
  <c r="H643" i="4"/>
  <c r="G643" i="4"/>
  <c r="F643" i="4"/>
  <c r="M642" i="4"/>
  <c r="L642" i="4"/>
  <c r="K642" i="4"/>
  <c r="J642" i="4"/>
  <c r="N642" i="4" s="1"/>
  <c r="I642" i="4"/>
  <c r="H642" i="4"/>
  <c r="G642" i="4"/>
  <c r="F642" i="4"/>
  <c r="M641" i="4"/>
  <c r="L641" i="4"/>
  <c r="K641" i="4"/>
  <c r="J641" i="4"/>
  <c r="N641" i="4" s="1"/>
  <c r="I641" i="4"/>
  <c r="H641" i="4"/>
  <c r="G641" i="4"/>
  <c r="F641" i="4"/>
  <c r="N640" i="4"/>
  <c r="M640" i="4"/>
  <c r="L640" i="4"/>
  <c r="K640" i="4"/>
  <c r="J640" i="4"/>
  <c r="I640" i="4"/>
  <c r="H640" i="4"/>
  <c r="G640" i="4"/>
  <c r="F640" i="4"/>
  <c r="M639" i="4"/>
  <c r="L639" i="4"/>
  <c r="K639" i="4"/>
  <c r="J639" i="4"/>
  <c r="N639" i="4" s="1"/>
  <c r="I639" i="4"/>
  <c r="H639" i="4"/>
  <c r="G639" i="4"/>
  <c r="F639" i="4"/>
  <c r="N638" i="4"/>
  <c r="M638" i="4"/>
  <c r="L638" i="4"/>
  <c r="K638" i="4"/>
  <c r="J638" i="4"/>
  <c r="I638" i="4"/>
  <c r="H638" i="4"/>
  <c r="G638" i="4"/>
  <c r="F638" i="4"/>
  <c r="N637" i="4"/>
  <c r="M637" i="4"/>
  <c r="L637" i="4"/>
  <c r="K637" i="4"/>
  <c r="J637" i="4"/>
  <c r="I637" i="4"/>
  <c r="H637" i="4"/>
  <c r="G637" i="4"/>
  <c r="F637" i="4"/>
  <c r="M636" i="4"/>
  <c r="L636" i="4"/>
  <c r="K636" i="4"/>
  <c r="J636" i="4"/>
  <c r="N636" i="4" s="1"/>
  <c r="I636" i="4"/>
  <c r="H636" i="4"/>
  <c r="G636" i="4"/>
  <c r="F636" i="4"/>
  <c r="M635" i="4"/>
  <c r="L635" i="4"/>
  <c r="K635" i="4"/>
  <c r="J635" i="4"/>
  <c r="N635" i="4" s="1"/>
  <c r="I635" i="4"/>
  <c r="H635" i="4"/>
  <c r="G635" i="4"/>
  <c r="F635" i="4"/>
  <c r="M634" i="4"/>
  <c r="L634" i="4"/>
  <c r="K634" i="4"/>
  <c r="J634" i="4"/>
  <c r="N634" i="4" s="1"/>
  <c r="I634" i="4"/>
  <c r="H634" i="4"/>
  <c r="G634" i="4"/>
  <c r="F634" i="4"/>
  <c r="N633" i="4"/>
  <c r="M633" i="4"/>
  <c r="L633" i="4"/>
  <c r="K633" i="4"/>
  <c r="J633" i="4"/>
  <c r="I633" i="4"/>
  <c r="H633" i="4"/>
  <c r="G633" i="4"/>
  <c r="F633" i="4"/>
  <c r="N632" i="4"/>
  <c r="M632" i="4"/>
  <c r="L632" i="4"/>
  <c r="K632" i="4"/>
  <c r="J632" i="4"/>
  <c r="I632" i="4"/>
  <c r="H632" i="4"/>
  <c r="G632" i="4"/>
  <c r="F632" i="4"/>
  <c r="M631" i="4"/>
  <c r="L631" i="4"/>
  <c r="K631" i="4"/>
  <c r="J631" i="4"/>
  <c r="N631" i="4" s="1"/>
  <c r="I631" i="4"/>
  <c r="H631" i="4"/>
  <c r="G631" i="4"/>
  <c r="F631" i="4"/>
  <c r="N630" i="4"/>
  <c r="M630" i="4"/>
  <c r="L630" i="4"/>
  <c r="K630" i="4"/>
  <c r="J630" i="4"/>
  <c r="I630" i="4"/>
  <c r="H630" i="4"/>
  <c r="G630" i="4"/>
  <c r="F630" i="4"/>
  <c r="M629" i="4"/>
  <c r="L629" i="4"/>
  <c r="K629" i="4"/>
  <c r="J629" i="4"/>
  <c r="N629" i="4" s="1"/>
  <c r="I629" i="4"/>
  <c r="H629" i="4"/>
  <c r="G629" i="4"/>
  <c r="F629" i="4"/>
  <c r="M628" i="4"/>
  <c r="L628" i="4"/>
  <c r="K628" i="4"/>
  <c r="J628" i="4"/>
  <c r="N628" i="4" s="1"/>
  <c r="I628" i="4"/>
  <c r="H628" i="4"/>
  <c r="G628" i="4"/>
  <c r="F628" i="4"/>
  <c r="M627" i="4"/>
  <c r="L627" i="4"/>
  <c r="K627" i="4"/>
  <c r="J627" i="4"/>
  <c r="N627" i="4" s="1"/>
  <c r="I627" i="4"/>
  <c r="H627" i="4"/>
  <c r="G627" i="4"/>
  <c r="F627" i="4"/>
  <c r="M626" i="4"/>
  <c r="L626" i="4"/>
  <c r="K626" i="4"/>
  <c r="J626" i="4"/>
  <c r="N626" i="4" s="1"/>
  <c r="I626" i="4"/>
  <c r="H626" i="4"/>
  <c r="G626" i="4"/>
  <c r="F626" i="4"/>
  <c r="N625" i="4"/>
  <c r="M625" i="4"/>
  <c r="L625" i="4"/>
  <c r="K625" i="4"/>
  <c r="J625" i="4"/>
  <c r="I625" i="4"/>
  <c r="H625" i="4"/>
  <c r="G625" i="4"/>
  <c r="F625" i="4"/>
  <c r="N624" i="4"/>
  <c r="M624" i="4"/>
  <c r="L624" i="4"/>
  <c r="K624" i="4"/>
  <c r="J624" i="4"/>
  <c r="I624" i="4"/>
  <c r="H624" i="4"/>
  <c r="G624" i="4"/>
  <c r="F624" i="4"/>
  <c r="N623" i="4"/>
  <c r="M623" i="4"/>
  <c r="L623" i="4"/>
  <c r="K623" i="4"/>
  <c r="J623" i="4"/>
  <c r="I623" i="4"/>
  <c r="H623" i="4"/>
  <c r="G623" i="4"/>
  <c r="F623" i="4"/>
  <c r="N622" i="4"/>
  <c r="M622" i="4"/>
  <c r="L622" i="4"/>
  <c r="K622" i="4"/>
  <c r="J622" i="4"/>
  <c r="I622" i="4"/>
  <c r="H622" i="4"/>
  <c r="G622" i="4"/>
  <c r="F622" i="4"/>
  <c r="M621" i="4"/>
  <c r="L621" i="4"/>
  <c r="K621" i="4"/>
  <c r="J621" i="4"/>
  <c r="N621" i="4" s="1"/>
  <c r="I621" i="4"/>
  <c r="H621" i="4"/>
  <c r="G621" i="4"/>
  <c r="F621" i="4"/>
  <c r="M620" i="4"/>
  <c r="L620" i="4"/>
  <c r="K620" i="4"/>
  <c r="J620" i="4"/>
  <c r="N620" i="4" s="1"/>
  <c r="I620" i="4"/>
  <c r="H620" i="4"/>
  <c r="G620" i="4"/>
  <c r="F620" i="4"/>
  <c r="N619" i="4"/>
  <c r="M619" i="4"/>
  <c r="L619" i="4"/>
  <c r="K619" i="4"/>
  <c r="J619" i="4"/>
  <c r="I619" i="4"/>
  <c r="H619" i="4"/>
  <c r="G619" i="4"/>
  <c r="F619" i="4"/>
  <c r="M618" i="4"/>
  <c r="L618" i="4"/>
  <c r="K618" i="4"/>
  <c r="J618" i="4"/>
  <c r="N618" i="4" s="1"/>
  <c r="I618" i="4"/>
  <c r="H618" i="4"/>
  <c r="G618" i="4"/>
  <c r="F618" i="4"/>
  <c r="M617" i="4"/>
  <c r="L617" i="4"/>
  <c r="K617" i="4"/>
  <c r="J617" i="4"/>
  <c r="N617" i="4" s="1"/>
  <c r="I617" i="4"/>
  <c r="H617" i="4"/>
  <c r="G617" i="4"/>
  <c r="F617" i="4"/>
  <c r="N616" i="4"/>
  <c r="M616" i="4"/>
  <c r="L616" i="4"/>
  <c r="K616" i="4"/>
  <c r="J616" i="4"/>
  <c r="I616" i="4"/>
  <c r="H616" i="4"/>
  <c r="G616" i="4"/>
  <c r="F616" i="4"/>
  <c r="N615" i="4"/>
  <c r="M615" i="4"/>
  <c r="L615" i="4"/>
  <c r="K615" i="4"/>
  <c r="J615" i="4"/>
  <c r="I615" i="4"/>
  <c r="H615" i="4"/>
  <c r="G615" i="4"/>
  <c r="F615" i="4"/>
  <c r="N614" i="4"/>
  <c r="M614" i="4"/>
  <c r="L614" i="4"/>
  <c r="K614" i="4"/>
  <c r="J614" i="4"/>
  <c r="I614" i="4"/>
  <c r="H614" i="4"/>
  <c r="G614" i="4"/>
  <c r="F614" i="4"/>
  <c r="N613" i="4"/>
  <c r="M613" i="4"/>
  <c r="L613" i="4"/>
  <c r="K613" i="4"/>
  <c r="J613" i="4"/>
  <c r="I613" i="4"/>
  <c r="H613" i="4"/>
  <c r="G613" i="4"/>
  <c r="F613" i="4"/>
  <c r="M612" i="4"/>
  <c r="L612" i="4"/>
  <c r="K612" i="4"/>
  <c r="J612" i="4"/>
  <c r="N612" i="4" s="1"/>
  <c r="I612" i="4"/>
  <c r="H612" i="4"/>
  <c r="G612" i="4"/>
  <c r="F612" i="4"/>
  <c r="N611" i="4"/>
  <c r="M611" i="4"/>
  <c r="L611" i="4"/>
  <c r="K611" i="4"/>
  <c r="J611" i="4"/>
  <c r="I611" i="4"/>
  <c r="H611" i="4"/>
  <c r="G611" i="4"/>
  <c r="F611" i="4"/>
  <c r="M610" i="4"/>
  <c r="L610" i="4"/>
  <c r="K610" i="4"/>
  <c r="J610" i="4"/>
  <c r="N610" i="4" s="1"/>
  <c r="I610" i="4"/>
  <c r="H610" i="4"/>
  <c r="G610" i="4"/>
  <c r="F610" i="4"/>
  <c r="M609" i="4"/>
  <c r="L609" i="4"/>
  <c r="K609" i="4"/>
  <c r="J609" i="4"/>
  <c r="N609" i="4" s="1"/>
  <c r="I609" i="4"/>
  <c r="H609" i="4"/>
  <c r="G609" i="4"/>
  <c r="F609" i="4"/>
  <c r="N608" i="4"/>
  <c r="M608" i="4"/>
  <c r="L608" i="4"/>
  <c r="K608" i="4"/>
  <c r="J608" i="4"/>
  <c r="I608" i="4"/>
  <c r="H608" i="4"/>
  <c r="G608" i="4"/>
  <c r="F608" i="4"/>
  <c r="M607" i="4"/>
  <c r="L607" i="4"/>
  <c r="K607" i="4"/>
  <c r="J607" i="4"/>
  <c r="N607" i="4" s="1"/>
  <c r="I607" i="4"/>
  <c r="H607" i="4"/>
  <c r="G607" i="4"/>
  <c r="F607" i="4"/>
  <c r="N606" i="4"/>
  <c r="M606" i="4"/>
  <c r="L606" i="4"/>
  <c r="K606" i="4"/>
  <c r="J606" i="4"/>
  <c r="I606" i="4"/>
  <c r="H606" i="4"/>
  <c r="G606" i="4"/>
  <c r="F606" i="4"/>
  <c r="N605" i="4"/>
  <c r="M605" i="4"/>
  <c r="L605" i="4"/>
  <c r="K605" i="4"/>
  <c r="J605" i="4"/>
  <c r="I605" i="4"/>
  <c r="H605" i="4"/>
  <c r="G605" i="4"/>
  <c r="F605" i="4"/>
  <c r="M604" i="4"/>
  <c r="L604" i="4"/>
  <c r="K604" i="4"/>
  <c r="J604" i="4"/>
  <c r="N604" i="4" s="1"/>
  <c r="I604" i="4"/>
  <c r="H604" i="4"/>
  <c r="G604" i="4"/>
  <c r="F604" i="4"/>
  <c r="M603" i="4"/>
  <c r="L603" i="4"/>
  <c r="K603" i="4"/>
  <c r="J603" i="4"/>
  <c r="N603" i="4" s="1"/>
  <c r="I603" i="4"/>
  <c r="H603" i="4"/>
  <c r="G603" i="4"/>
  <c r="F603" i="4"/>
  <c r="M602" i="4"/>
  <c r="L602" i="4"/>
  <c r="K602" i="4"/>
  <c r="J602" i="4"/>
  <c r="N602" i="4" s="1"/>
  <c r="I602" i="4"/>
  <c r="H602" i="4"/>
  <c r="G602" i="4"/>
  <c r="F602" i="4"/>
  <c r="N601" i="4"/>
  <c r="M601" i="4"/>
  <c r="L601" i="4"/>
  <c r="K601" i="4"/>
  <c r="J601" i="4"/>
  <c r="I601" i="4"/>
  <c r="H601" i="4"/>
  <c r="G601" i="4"/>
  <c r="F601" i="4"/>
  <c r="N600" i="4"/>
  <c r="M600" i="4"/>
  <c r="L600" i="4"/>
  <c r="K600" i="4"/>
  <c r="J600" i="4"/>
  <c r="I600" i="4"/>
  <c r="H600" i="4"/>
  <c r="G600" i="4"/>
  <c r="F600" i="4"/>
  <c r="M599" i="4"/>
  <c r="L599" i="4"/>
  <c r="K599" i="4"/>
  <c r="J599" i="4"/>
  <c r="N599" i="4" s="1"/>
  <c r="I599" i="4"/>
  <c r="H599" i="4"/>
  <c r="G599" i="4"/>
  <c r="F599" i="4"/>
  <c r="N598" i="4"/>
  <c r="M598" i="4"/>
  <c r="L598" i="4"/>
  <c r="K598" i="4"/>
  <c r="J598" i="4"/>
  <c r="I598" i="4"/>
  <c r="H598" i="4"/>
  <c r="G598" i="4"/>
  <c r="F598" i="4"/>
  <c r="M597" i="4"/>
  <c r="L597" i="4"/>
  <c r="K597" i="4"/>
  <c r="J597" i="4"/>
  <c r="N597" i="4" s="1"/>
  <c r="I597" i="4"/>
  <c r="H597" i="4"/>
  <c r="G597" i="4"/>
  <c r="F597" i="4"/>
  <c r="M596" i="4"/>
  <c r="L596" i="4"/>
  <c r="K596" i="4"/>
  <c r="J596" i="4"/>
  <c r="N596" i="4" s="1"/>
  <c r="I596" i="4"/>
  <c r="H596" i="4"/>
  <c r="G596" i="4"/>
  <c r="F596" i="4"/>
  <c r="M595" i="4"/>
  <c r="L595" i="4"/>
  <c r="K595" i="4"/>
  <c r="J595" i="4"/>
  <c r="N595" i="4" s="1"/>
  <c r="I595" i="4"/>
  <c r="H595" i="4"/>
  <c r="G595" i="4"/>
  <c r="F595" i="4"/>
  <c r="M594" i="4"/>
  <c r="L594" i="4"/>
  <c r="K594" i="4"/>
  <c r="J594" i="4"/>
  <c r="N594" i="4" s="1"/>
  <c r="I594" i="4"/>
  <c r="H594" i="4"/>
  <c r="G594" i="4"/>
  <c r="F594" i="4"/>
  <c r="N593" i="4"/>
  <c r="M593" i="4"/>
  <c r="L593" i="4"/>
  <c r="K593" i="4"/>
  <c r="J593" i="4"/>
  <c r="I593" i="4"/>
  <c r="H593" i="4"/>
  <c r="G593" i="4"/>
  <c r="F593" i="4"/>
  <c r="N592" i="4"/>
  <c r="M592" i="4"/>
  <c r="L592" i="4"/>
  <c r="K592" i="4"/>
  <c r="J592" i="4"/>
  <c r="I592" i="4"/>
  <c r="H592" i="4"/>
  <c r="G592" i="4"/>
  <c r="F592" i="4"/>
  <c r="N591" i="4"/>
  <c r="M591" i="4"/>
  <c r="L591" i="4"/>
  <c r="K591" i="4"/>
  <c r="J591" i="4"/>
  <c r="I591" i="4"/>
  <c r="H591" i="4"/>
  <c r="G591" i="4"/>
  <c r="F591" i="4"/>
  <c r="N590" i="4"/>
  <c r="M590" i="4"/>
  <c r="L590" i="4"/>
  <c r="K590" i="4"/>
  <c r="J590" i="4"/>
  <c r="I590" i="4"/>
  <c r="H590" i="4"/>
  <c r="G590" i="4"/>
  <c r="F590" i="4"/>
  <c r="M589" i="4"/>
  <c r="L589" i="4"/>
  <c r="K589" i="4"/>
  <c r="J589" i="4"/>
  <c r="N589" i="4" s="1"/>
  <c r="I589" i="4"/>
  <c r="H589" i="4"/>
  <c r="G589" i="4"/>
  <c r="F589" i="4"/>
  <c r="M588" i="4"/>
  <c r="L588" i="4"/>
  <c r="K588" i="4"/>
  <c r="J588" i="4"/>
  <c r="N588" i="4" s="1"/>
  <c r="I588" i="4"/>
  <c r="H588" i="4"/>
  <c r="G588" i="4"/>
  <c r="F588" i="4"/>
  <c r="N587" i="4"/>
  <c r="M587" i="4"/>
  <c r="L587" i="4"/>
  <c r="K587" i="4"/>
  <c r="J587" i="4"/>
  <c r="I587" i="4"/>
  <c r="H587" i="4"/>
  <c r="G587" i="4"/>
  <c r="F587" i="4"/>
  <c r="M586" i="4"/>
  <c r="L586" i="4"/>
  <c r="K586" i="4"/>
  <c r="J586" i="4"/>
  <c r="N586" i="4" s="1"/>
  <c r="I586" i="4"/>
  <c r="H586" i="4"/>
  <c r="G586" i="4"/>
  <c r="F586" i="4"/>
  <c r="M585" i="4"/>
  <c r="L585" i="4"/>
  <c r="K585" i="4"/>
  <c r="J585" i="4"/>
  <c r="N585" i="4" s="1"/>
  <c r="I585" i="4"/>
  <c r="H585" i="4"/>
  <c r="G585" i="4"/>
  <c r="F585" i="4"/>
  <c r="N584" i="4"/>
  <c r="M584" i="4"/>
  <c r="L584" i="4"/>
  <c r="K584" i="4"/>
  <c r="J584" i="4"/>
  <c r="I584" i="4"/>
  <c r="H584" i="4"/>
  <c r="G584" i="4"/>
  <c r="F584" i="4"/>
  <c r="N583" i="4"/>
  <c r="M583" i="4"/>
  <c r="L583" i="4"/>
  <c r="K583" i="4"/>
  <c r="J583" i="4"/>
  <c r="I583" i="4"/>
  <c r="H583" i="4"/>
  <c r="G583" i="4"/>
  <c r="F583" i="4"/>
  <c r="N582" i="4"/>
  <c r="M582" i="4"/>
  <c r="L582" i="4"/>
  <c r="K582" i="4"/>
  <c r="J582" i="4"/>
  <c r="I582" i="4"/>
  <c r="H582" i="4"/>
  <c r="G582" i="4"/>
  <c r="F582" i="4"/>
  <c r="N581" i="4"/>
  <c r="M581" i="4"/>
  <c r="L581" i="4"/>
  <c r="K581" i="4"/>
  <c r="J581" i="4"/>
  <c r="I581" i="4"/>
  <c r="H581" i="4"/>
  <c r="G581" i="4"/>
  <c r="F581" i="4"/>
  <c r="M580" i="4"/>
  <c r="L580" i="4"/>
  <c r="K580" i="4"/>
  <c r="J580" i="4"/>
  <c r="N580" i="4" s="1"/>
  <c r="I580" i="4"/>
  <c r="H580" i="4"/>
  <c r="G580" i="4"/>
  <c r="F580" i="4"/>
  <c r="N579" i="4"/>
  <c r="M579" i="4"/>
  <c r="L579" i="4"/>
  <c r="K579" i="4"/>
  <c r="J579" i="4"/>
  <c r="I579" i="4"/>
  <c r="H579" i="4"/>
  <c r="G579" i="4"/>
  <c r="F579" i="4"/>
  <c r="M578" i="4"/>
  <c r="L578" i="4"/>
  <c r="K578" i="4"/>
  <c r="J578" i="4"/>
  <c r="N578" i="4" s="1"/>
  <c r="I578" i="4"/>
  <c r="H578" i="4"/>
  <c r="G578" i="4"/>
  <c r="F578" i="4"/>
  <c r="M577" i="4"/>
  <c r="L577" i="4"/>
  <c r="K577" i="4"/>
  <c r="J577" i="4"/>
  <c r="N577" i="4" s="1"/>
  <c r="I577" i="4"/>
  <c r="H577" i="4"/>
  <c r="G577" i="4"/>
  <c r="F577" i="4"/>
  <c r="N576" i="4"/>
  <c r="M576" i="4"/>
  <c r="L576" i="4"/>
  <c r="K576" i="4"/>
  <c r="J576" i="4"/>
  <c r="I576" i="4"/>
  <c r="H576" i="4"/>
  <c r="G576" i="4"/>
  <c r="F576" i="4"/>
  <c r="M575" i="4"/>
  <c r="L575" i="4"/>
  <c r="K575" i="4"/>
  <c r="J575" i="4"/>
  <c r="N575" i="4" s="1"/>
  <c r="I575" i="4"/>
  <c r="H575" i="4"/>
  <c r="G575" i="4"/>
  <c r="F575" i="4"/>
  <c r="N574" i="4"/>
  <c r="M574" i="4"/>
  <c r="L574" i="4"/>
  <c r="K574" i="4"/>
  <c r="J574" i="4"/>
  <c r="I574" i="4"/>
  <c r="H574" i="4"/>
  <c r="G574" i="4"/>
  <c r="F574" i="4"/>
  <c r="N573" i="4"/>
  <c r="M573" i="4"/>
  <c r="L573" i="4"/>
  <c r="K573" i="4"/>
  <c r="J573" i="4"/>
  <c r="I573" i="4"/>
  <c r="H573" i="4"/>
  <c r="G573" i="4"/>
  <c r="F573" i="4"/>
  <c r="M572" i="4"/>
  <c r="L572" i="4"/>
  <c r="K572" i="4"/>
  <c r="J572" i="4"/>
  <c r="N572" i="4" s="1"/>
  <c r="I572" i="4"/>
  <c r="H572" i="4"/>
  <c r="G572" i="4"/>
  <c r="F572" i="4"/>
  <c r="M571" i="4"/>
  <c r="L571" i="4"/>
  <c r="K571" i="4"/>
  <c r="J571" i="4"/>
  <c r="N571" i="4" s="1"/>
  <c r="I571" i="4"/>
  <c r="H571" i="4"/>
  <c r="G571" i="4"/>
  <c r="F571" i="4"/>
  <c r="M570" i="4"/>
  <c r="L570" i="4"/>
  <c r="K570" i="4"/>
  <c r="J570" i="4"/>
  <c r="N570" i="4" s="1"/>
  <c r="I570" i="4"/>
  <c r="H570" i="4"/>
  <c r="G570" i="4"/>
  <c r="F570" i="4"/>
  <c r="N569" i="4"/>
  <c r="M569" i="4"/>
  <c r="L569" i="4"/>
  <c r="K569" i="4"/>
  <c r="J569" i="4"/>
  <c r="I569" i="4"/>
  <c r="H569" i="4"/>
  <c r="G569" i="4"/>
  <c r="F569" i="4"/>
  <c r="N568" i="4"/>
  <c r="M568" i="4"/>
  <c r="L568" i="4"/>
  <c r="K568" i="4"/>
  <c r="J568" i="4"/>
  <c r="I568" i="4"/>
  <c r="H568" i="4"/>
  <c r="G568" i="4"/>
  <c r="F568" i="4"/>
  <c r="M567" i="4"/>
  <c r="L567" i="4"/>
  <c r="K567" i="4"/>
  <c r="J567" i="4"/>
  <c r="N567" i="4" s="1"/>
  <c r="I567" i="4"/>
  <c r="H567" i="4"/>
  <c r="G567" i="4"/>
  <c r="F567" i="4"/>
  <c r="N566" i="4"/>
  <c r="M566" i="4"/>
  <c r="L566" i="4"/>
  <c r="K566" i="4"/>
  <c r="J566" i="4"/>
  <c r="I566" i="4"/>
  <c r="H566" i="4"/>
  <c r="G566" i="4"/>
  <c r="F566" i="4"/>
  <c r="M565" i="4"/>
  <c r="L565" i="4"/>
  <c r="K565" i="4"/>
  <c r="J565" i="4"/>
  <c r="N565" i="4" s="1"/>
  <c r="I565" i="4"/>
  <c r="H565" i="4"/>
  <c r="G565" i="4"/>
  <c r="F565" i="4"/>
  <c r="M564" i="4"/>
  <c r="L564" i="4"/>
  <c r="K564" i="4"/>
  <c r="J564" i="4"/>
  <c r="N564" i="4" s="1"/>
  <c r="I564" i="4"/>
  <c r="H564" i="4"/>
  <c r="G564" i="4"/>
  <c r="F564" i="4"/>
  <c r="M563" i="4"/>
  <c r="L563" i="4"/>
  <c r="K563" i="4"/>
  <c r="J563" i="4"/>
  <c r="N563" i="4" s="1"/>
  <c r="I563" i="4"/>
  <c r="H563" i="4"/>
  <c r="G563" i="4"/>
  <c r="F563" i="4"/>
  <c r="M562" i="4"/>
  <c r="L562" i="4"/>
  <c r="K562" i="4"/>
  <c r="J562" i="4"/>
  <c r="N562" i="4" s="1"/>
  <c r="I562" i="4"/>
  <c r="H562" i="4"/>
  <c r="G562" i="4"/>
  <c r="F562" i="4"/>
  <c r="N561" i="4"/>
  <c r="M561" i="4"/>
  <c r="L561" i="4"/>
  <c r="K561" i="4"/>
  <c r="J561" i="4"/>
  <c r="I561" i="4"/>
  <c r="H561" i="4"/>
  <c r="G561" i="4"/>
  <c r="F561" i="4"/>
  <c r="N560" i="4"/>
  <c r="M560" i="4"/>
  <c r="L560" i="4"/>
  <c r="K560" i="4"/>
  <c r="J560" i="4"/>
  <c r="I560" i="4"/>
  <c r="H560" i="4"/>
  <c r="G560" i="4"/>
  <c r="F560" i="4"/>
  <c r="N559" i="4"/>
  <c r="M559" i="4"/>
  <c r="L559" i="4"/>
  <c r="K559" i="4"/>
  <c r="J559" i="4"/>
  <c r="I559" i="4"/>
  <c r="H559" i="4"/>
  <c r="G559" i="4"/>
  <c r="F559" i="4"/>
  <c r="N558" i="4"/>
  <c r="M558" i="4"/>
  <c r="L558" i="4"/>
  <c r="K558" i="4"/>
  <c r="J558" i="4"/>
  <c r="I558" i="4"/>
  <c r="H558" i="4"/>
  <c r="G558" i="4"/>
  <c r="F558" i="4"/>
  <c r="M557" i="4"/>
  <c r="L557" i="4"/>
  <c r="K557" i="4"/>
  <c r="J557" i="4"/>
  <c r="N557" i="4" s="1"/>
  <c r="I557" i="4"/>
  <c r="H557" i="4"/>
  <c r="G557" i="4"/>
  <c r="F557" i="4"/>
  <c r="M556" i="4"/>
  <c r="L556" i="4"/>
  <c r="K556" i="4"/>
  <c r="J556" i="4"/>
  <c r="N556" i="4" s="1"/>
  <c r="I556" i="4"/>
  <c r="H556" i="4"/>
  <c r="G556" i="4"/>
  <c r="F556" i="4"/>
  <c r="N555" i="4"/>
  <c r="M555" i="4"/>
  <c r="L555" i="4"/>
  <c r="K555" i="4"/>
  <c r="J555" i="4"/>
  <c r="I555" i="4"/>
  <c r="H555" i="4"/>
  <c r="G555" i="4"/>
  <c r="F555" i="4"/>
  <c r="M554" i="4"/>
  <c r="L554" i="4"/>
  <c r="K554" i="4"/>
  <c r="J554" i="4"/>
  <c r="N554" i="4" s="1"/>
  <c r="I554" i="4"/>
  <c r="H554" i="4"/>
  <c r="G554" i="4"/>
  <c r="F554" i="4"/>
  <c r="M553" i="4"/>
  <c r="L553" i="4"/>
  <c r="K553" i="4"/>
  <c r="J553" i="4"/>
  <c r="N553" i="4" s="1"/>
  <c r="I553" i="4"/>
  <c r="H553" i="4"/>
  <c r="G553" i="4"/>
  <c r="F553" i="4"/>
  <c r="N552" i="4"/>
  <c r="M552" i="4"/>
  <c r="L552" i="4"/>
  <c r="K552" i="4"/>
  <c r="J552" i="4"/>
  <c r="I552" i="4"/>
  <c r="H552" i="4"/>
  <c r="G552" i="4"/>
  <c r="F552" i="4"/>
  <c r="N551" i="4"/>
  <c r="M551" i="4"/>
  <c r="L551" i="4"/>
  <c r="K551" i="4"/>
  <c r="J551" i="4"/>
  <c r="I551" i="4"/>
  <c r="H551" i="4"/>
  <c r="G551" i="4"/>
  <c r="F551" i="4"/>
  <c r="N550" i="4"/>
  <c r="M550" i="4"/>
  <c r="L550" i="4"/>
  <c r="K550" i="4"/>
  <c r="J550" i="4"/>
  <c r="I550" i="4"/>
  <c r="H550" i="4"/>
  <c r="G550" i="4"/>
  <c r="F550" i="4"/>
  <c r="N549" i="4"/>
  <c r="M549" i="4"/>
  <c r="L549" i="4"/>
  <c r="K549" i="4"/>
  <c r="J549" i="4"/>
  <c r="I549" i="4"/>
  <c r="H549" i="4"/>
  <c r="G549" i="4"/>
  <c r="F549" i="4"/>
  <c r="M548" i="4"/>
  <c r="L548" i="4"/>
  <c r="K548" i="4"/>
  <c r="J548" i="4"/>
  <c r="N548" i="4" s="1"/>
  <c r="I548" i="4"/>
  <c r="H548" i="4"/>
  <c r="G548" i="4"/>
  <c r="F548" i="4"/>
  <c r="N547" i="4"/>
  <c r="M547" i="4"/>
  <c r="L547" i="4"/>
  <c r="K547" i="4"/>
  <c r="J547" i="4"/>
  <c r="I547" i="4"/>
  <c r="H547" i="4"/>
  <c r="G547" i="4"/>
  <c r="F547" i="4"/>
  <c r="M546" i="4"/>
  <c r="L546" i="4"/>
  <c r="K546" i="4"/>
  <c r="J546" i="4"/>
  <c r="N546" i="4" s="1"/>
  <c r="I546" i="4"/>
  <c r="H546" i="4"/>
  <c r="G546" i="4"/>
  <c r="F546" i="4"/>
  <c r="M545" i="4"/>
  <c r="L545" i="4"/>
  <c r="K545" i="4"/>
  <c r="J545" i="4"/>
  <c r="N545" i="4" s="1"/>
  <c r="I545" i="4"/>
  <c r="H545" i="4"/>
  <c r="G545" i="4"/>
  <c r="F545" i="4"/>
  <c r="N544" i="4"/>
  <c r="M544" i="4"/>
  <c r="L544" i="4"/>
  <c r="K544" i="4"/>
  <c r="J544" i="4"/>
  <c r="I544" i="4"/>
  <c r="H544" i="4"/>
  <c r="G544" i="4"/>
  <c r="F544" i="4"/>
  <c r="M543" i="4"/>
  <c r="L543" i="4"/>
  <c r="K543" i="4"/>
  <c r="J543" i="4"/>
  <c r="N543" i="4" s="1"/>
  <c r="I543" i="4"/>
  <c r="H543" i="4"/>
  <c r="G543" i="4"/>
  <c r="F543" i="4"/>
  <c r="N542" i="4"/>
  <c r="M542" i="4"/>
  <c r="L542" i="4"/>
  <c r="K542" i="4"/>
  <c r="J542" i="4"/>
  <c r="I542" i="4"/>
  <c r="H542" i="4"/>
  <c r="G542" i="4"/>
  <c r="F542" i="4"/>
  <c r="N541" i="4"/>
  <c r="M541" i="4"/>
  <c r="L541" i="4"/>
  <c r="K541" i="4"/>
  <c r="J541" i="4"/>
  <c r="I541" i="4"/>
  <c r="H541" i="4"/>
  <c r="G541" i="4"/>
  <c r="F541" i="4"/>
  <c r="M540" i="4"/>
  <c r="L540" i="4"/>
  <c r="K540" i="4"/>
  <c r="J540" i="4"/>
  <c r="N540" i="4" s="1"/>
  <c r="I540" i="4"/>
  <c r="H540" i="4"/>
  <c r="G540" i="4"/>
  <c r="F540" i="4"/>
  <c r="M539" i="4"/>
  <c r="L539" i="4"/>
  <c r="K539" i="4"/>
  <c r="J539" i="4"/>
  <c r="N539" i="4" s="1"/>
  <c r="I539" i="4"/>
  <c r="H539" i="4"/>
  <c r="G539" i="4"/>
  <c r="F539" i="4"/>
  <c r="M538" i="4"/>
  <c r="L538" i="4"/>
  <c r="K538" i="4"/>
  <c r="J538" i="4"/>
  <c r="N538" i="4" s="1"/>
  <c r="I538" i="4"/>
  <c r="H538" i="4"/>
  <c r="G538" i="4"/>
  <c r="F538" i="4"/>
  <c r="N537" i="4"/>
  <c r="M537" i="4"/>
  <c r="L537" i="4"/>
  <c r="K537" i="4"/>
  <c r="J537" i="4"/>
  <c r="I537" i="4"/>
  <c r="H537" i="4"/>
  <c r="G537" i="4"/>
  <c r="F537" i="4"/>
  <c r="N536" i="4"/>
  <c r="M536" i="4"/>
  <c r="L536" i="4"/>
  <c r="K536" i="4"/>
  <c r="J536" i="4"/>
  <c r="I536" i="4"/>
  <c r="H536" i="4"/>
  <c r="G536" i="4"/>
  <c r="F536" i="4"/>
  <c r="M535" i="4"/>
  <c r="L535" i="4"/>
  <c r="K535" i="4"/>
  <c r="J535" i="4"/>
  <c r="N535" i="4" s="1"/>
  <c r="I535" i="4"/>
  <c r="H535" i="4"/>
  <c r="G535" i="4"/>
  <c r="F535" i="4"/>
  <c r="N534" i="4"/>
  <c r="M534" i="4"/>
  <c r="L534" i="4"/>
  <c r="K534" i="4"/>
  <c r="J534" i="4"/>
  <c r="I534" i="4"/>
  <c r="H534" i="4"/>
  <c r="G534" i="4"/>
  <c r="F534" i="4"/>
  <c r="M533" i="4"/>
  <c r="L533" i="4"/>
  <c r="K533" i="4"/>
  <c r="J533" i="4"/>
  <c r="N533" i="4" s="1"/>
  <c r="I533" i="4"/>
  <c r="H533" i="4"/>
  <c r="G533" i="4"/>
  <c r="F533" i="4"/>
  <c r="M532" i="4"/>
  <c r="L532" i="4"/>
  <c r="K532" i="4"/>
  <c r="J532" i="4"/>
  <c r="N532" i="4" s="1"/>
  <c r="I532" i="4"/>
  <c r="H532" i="4"/>
  <c r="G532" i="4"/>
  <c r="F532" i="4"/>
  <c r="M531" i="4"/>
  <c r="L531" i="4"/>
  <c r="K531" i="4"/>
  <c r="J531" i="4"/>
  <c r="N531" i="4" s="1"/>
  <c r="I531" i="4"/>
  <c r="H531" i="4"/>
  <c r="G531" i="4"/>
  <c r="F531" i="4"/>
  <c r="M530" i="4"/>
  <c r="L530" i="4"/>
  <c r="K530" i="4"/>
  <c r="J530" i="4"/>
  <c r="N530" i="4" s="1"/>
  <c r="I530" i="4"/>
  <c r="H530" i="4"/>
  <c r="G530" i="4"/>
  <c r="F530" i="4"/>
  <c r="N529" i="4"/>
  <c r="M529" i="4"/>
  <c r="L529" i="4"/>
  <c r="K529" i="4"/>
  <c r="J529" i="4"/>
  <c r="I529" i="4"/>
  <c r="H529" i="4"/>
  <c r="G529" i="4"/>
  <c r="F529" i="4"/>
  <c r="N528" i="4"/>
  <c r="M528" i="4"/>
  <c r="L528" i="4"/>
  <c r="K528" i="4"/>
  <c r="J528" i="4"/>
  <c r="I528" i="4"/>
  <c r="H528" i="4"/>
  <c r="G528" i="4"/>
  <c r="F528" i="4"/>
  <c r="N527" i="4"/>
  <c r="M527" i="4"/>
  <c r="L527" i="4"/>
  <c r="K527" i="4"/>
  <c r="J527" i="4"/>
  <c r="I527" i="4"/>
  <c r="H527" i="4"/>
  <c r="G527" i="4"/>
  <c r="F527" i="4"/>
  <c r="N526" i="4"/>
  <c r="M526" i="4"/>
  <c r="L526" i="4"/>
  <c r="K526" i="4"/>
  <c r="J526" i="4"/>
  <c r="I526" i="4"/>
  <c r="H526" i="4"/>
  <c r="G526" i="4"/>
  <c r="F526" i="4"/>
  <c r="M525" i="4"/>
  <c r="L525" i="4"/>
  <c r="K525" i="4"/>
  <c r="J525" i="4"/>
  <c r="N525" i="4" s="1"/>
  <c r="I525" i="4"/>
  <c r="H525" i="4"/>
  <c r="G525" i="4"/>
  <c r="F525" i="4"/>
  <c r="M524" i="4"/>
  <c r="L524" i="4"/>
  <c r="K524" i="4"/>
  <c r="J524" i="4"/>
  <c r="N524" i="4" s="1"/>
  <c r="I524" i="4"/>
  <c r="H524" i="4"/>
  <c r="G524" i="4"/>
  <c r="F524" i="4"/>
  <c r="M523" i="4"/>
  <c r="L523" i="4"/>
  <c r="K523" i="4"/>
  <c r="J523" i="4"/>
  <c r="N523" i="4" s="1"/>
  <c r="I523" i="4"/>
  <c r="H523" i="4"/>
  <c r="G523" i="4"/>
  <c r="F523" i="4"/>
  <c r="M522" i="4"/>
  <c r="L522" i="4"/>
  <c r="K522" i="4"/>
  <c r="J522" i="4"/>
  <c r="N522" i="4" s="1"/>
  <c r="I522" i="4"/>
  <c r="H522" i="4"/>
  <c r="G522" i="4"/>
  <c r="F522" i="4"/>
  <c r="M521" i="4"/>
  <c r="L521" i="4"/>
  <c r="K521" i="4"/>
  <c r="J521" i="4"/>
  <c r="N521" i="4" s="1"/>
  <c r="I521" i="4"/>
  <c r="H521" i="4"/>
  <c r="G521" i="4"/>
  <c r="F521" i="4"/>
  <c r="N520" i="4"/>
  <c r="M520" i="4"/>
  <c r="L520" i="4"/>
  <c r="K520" i="4"/>
  <c r="J520" i="4"/>
  <c r="I520" i="4"/>
  <c r="H520" i="4"/>
  <c r="G520" i="4"/>
  <c r="F520" i="4"/>
  <c r="N519" i="4"/>
  <c r="M519" i="4"/>
  <c r="L519" i="4"/>
  <c r="K519" i="4"/>
  <c r="J519" i="4"/>
  <c r="I519" i="4"/>
  <c r="H519" i="4"/>
  <c r="G519" i="4"/>
  <c r="F519" i="4"/>
  <c r="N518" i="4"/>
  <c r="M518" i="4"/>
  <c r="L518" i="4"/>
  <c r="K518" i="4"/>
  <c r="J518" i="4"/>
  <c r="I518" i="4"/>
  <c r="H518" i="4"/>
  <c r="G518" i="4"/>
  <c r="F518" i="4"/>
  <c r="N517" i="4"/>
  <c r="M517" i="4"/>
  <c r="L517" i="4"/>
  <c r="K517" i="4"/>
  <c r="J517" i="4"/>
  <c r="I517" i="4"/>
  <c r="H517" i="4"/>
  <c r="G517" i="4"/>
  <c r="F517" i="4"/>
  <c r="M516" i="4"/>
  <c r="L516" i="4"/>
  <c r="K516" i="4"/>
  <c r="J516" i="4"/>
  <c r="N516" i="4" s="1"/>
  <c r="I516" i="4"/>
  <c r="H516" i="4"/>
  <c r="G516" i="4"/>
  <c r="F516" i="4"/>
  <c r="N515" i="4"/>
  <c r="M515" i="4"/>
  <c r="L515" i="4"/>
  <c r="K515" i="4"/>
  <c r="J515" i="4"/>
  <c r="I515" i="4"/>
  <c r="H515" i="4"/>
  <c r="G515" i="4"/>
  <c r="F515" i="4"/>
  <c r="M514" i="4"/>
  <c r="L514" i="4"/>
  <c r="K514" i="4"/>
  <c r="J514" i="4"/>
  <c r="N514" i="4" s="1"/>
  <c r="I514" i="4"/>
  <c r="H514" i="4"/>
  <c r="G514" i="4"/>
  <c r="F514" i="4"/>
  <c r="M513" i="4"/>
  <c r="L513" i="4"/>
  <c r="K513" i="4"/>
  <c r="J513" i="4"/>
  <c r="N513" i="4" s="1"/>
  <c r="I513" i="4"/>
  <c r="H513" i="4"/>
  <c r="G513" i="4"/>
  <c r="F513" i="4"/>
  <c r="N512" i="4"/>
  <c r="M512" i="4"/>
  <c r="L512" i="4"/>
  <c r="K512" i="4"/>
  <c r="J512" i="4"/>
  <c r="I512" i="4"/>
  <c r="H512" i="4"/>
  <c r="G512" i="4"/>
  <c r="F512" i="4"/>
  <c r="M511" i="4"/>
  <c r="L511" i="4"/>
  <c r="K511" i="4"/>
  <c r="J511" i="4"/>
  <c r="N511" i="4" s="1"/>
  <c r="I511" i="4"/>
  <c r="H511" i="4"/>
  <c r="G511" i="4"/>
  <c r="F511" i="4"/>
  <c r="N510" i="4"/>
  <c r="M510" i="4"/>
  <c r="L510" i="4"/>
  <c r="K510" i="4"/>
  <c r="J510" i="4"/>
  <c r="I510" i="4"/>
  <c r="H510" i="4"/>
  <c r="G510" i="4"/>
  <c r="F510" i="4"/>
  <c r="N509" i="4"/>
  <c r="M509" i="4"/>
  <c r="L509" i="4"/>
  <c r="K509" i="4"/>
  <c r="J509" i="4"/>
  <c r="I509" i="4"/>
  <c r="H509" i="4"/>
  <c r="G509" i="4"/>
  <c r="F509" i="4"/>
  <c r="M508" i="4"/>
  <c r="L508" i="4"/>
  <c r="K508" i="4"/>
  <c r="J508" i="4"/>
  <c r="N508" i="4" s="1"/>
  <c r="I508" i="4"/>
  <c r="H508" i="4"/>
  <c r="G508" i="4"/>
  <c r="F508" i="4"/>
  <c r="M507" i="4"/>
  <c r="L507" i="4"/>
  <c r="K507" i="4"/>
  <c r="J507" i="4"/>
  <c r="N507" i="4" s="1"/>
  <c r="I507" i="4"/>
  <c r="H507" i="4"/>
  <c r="G507" i="4"/>
  <c r="F507" i="4"/>
  <c r="M506" i="4"/>
  <c r="L506" i="4"/>
  <c r="K506" i="4"/>
  <c r="J506" i="4"/>
  <c r="N506" i="4" s="1"/>
  <c r="I506" i="4"/>
  <c r="H506" i="4"/>
  <c r="G506" i="4"/>
  <c r="F506" i="4"/>
  <c r="N505" i="4"/>
  <c r="M505" i="4"/>
  <c r="L505" i="4"/>
  <c r="K505" i="4"/>
  <c r="J505" i="4"/>
  <c r="I505" i="4"/>
  <c r="H505" i="4"/>
  <c r="G505" i="4"/>
  <c r="F505" i="4"/>
  <c r="N504" i="4"/>
  <c r="M504" i="4"/>
  <c r="L504" i="4"/>
  <c r="K504" i="4"/>
  <c r="J504" i="4"/>
  <c r="I504" i="4"/>
  <c r="H504" i="4"/>
  <c r="G504" i="4"/>
  <c r="F504" i="4"/>
  <c r="M503" i="4"/>
  <c r="L503" i="4"/>
  <c r="K503" i="4"/>
  <c r="J503" i="4"/>
  <c r="N503" i="4" s="1"/>
  <c r="I503" i="4"/>
  <c r="H503" i="4"/>
  <c r="G503" i="4"/>
  <c r="F503" i="4"/>
  <c r="N502" i="4"/>
  <c r="M502" i="4"/>
  <c r="L502" i="4"/>
  <c r="K502" i="4"/>
  <c r="J502" i="4"/>
  <c r="I502" i="4"/>
  <c r="H502" i="4"/>
  <c r="G502" i="4"/>
  <c r="F502" i="4"/>
  <c r="M501" i="4"/>
  <c r="L501" i="4"/>
  <c r="K501" i="4"/>
  <c r="J501" i="4"/>
  <c r="N501" i="4" s="1"/>
  <c r="I501" i="4"/>
  <c r="H501" i="4"/>
  <c r="G501" i="4"/>
  <c r="F501" i="4"/>
  <c r="M500" i="4"/>
  <c r="L500" i="4"/>
  <c r="K500" i="4"/>
  <c r="J500" i="4"/>
  <c r="N500" i="4" s="1"/>
  <c r="I500" i="4"/>
  <c r="H500" i="4"/>
  <c r="G500" i="4"/>
  <c r="F500" i="4"/>
  <c r="M499" i="4"/>
  <c r="L499" i="4"/>
  <c r="K499" i="4"/>
  <c r="J499" i="4"/>
  <c r="N499" i="4" s="1"/>
  <c r="I499" i="4"/>
  <c r="H499" i="4"/>
  <c r="G499" i="4"/>
  <c r="F499" i="4"/>
  <c r="M498" i="4"/>
  <c r="L498" i="4"/>
  <c r="K498" i="4"/>
  <c r="J498" i="4"/>
  <c r="N498" i="4" s="1"/>
  <c r="I498" i="4"/>
  <c r="H498" i="4"/>
  <c r="G498" i="4"/>
  <c r="F498" i="4"/>
  <c r="N497" i="4"/>
  <c r="M497" i="4"/>
  <c r="L497" i="4"/>
  <c r="K497" i="4"/>
  <c r="J497" i="4"/>
  <c r="I497" i="4"/>
  <c r="H497" i="4"/>
  <c r="G497" i="4"/>
  <c r="F497" i="4"/>
  <c r="N496" i="4"/>
  <c r="M496" i="4"/>
  <c r="L496" i="4"/>
  <c r="K496" i="4"/>
  <c r="J496" i="4"/>
  <c r="I496" i="4"/>
  <c r="H496" i="4"/>
  <c r="G496" i="4"/>
  <c r="F496" i="4"/>
  <c r="N495" i="4"/>
  <c r="M495" i="4"/>
  <c r="L495" i="4"/>
  <c r="K495" i="4"/>
  <c r="J495" i="4"/>
  <c r="I495" i="4"/>
  <c r="H495" i="4"/>
  <c r="G495" i="4"/>
  <c r="F495" i="4"/>
  <c r="N494" i="4"/>
  <c r="M494" i="4"/>
  <c r="L494" i="4"/>
  <c r="K494" i="4"/>
  <c r="J494" i="4"/>
  <c r="I494" i="4"/>
  <c r="H494" i="4"/>
  <c r="G494" i="4"/>
  <c r="F494" i="4"/>
  <c r="M493" i="4"/>
  <c r="L493" i="4"/>
  <c r="K493" i="4"/>
  <c r="J493" i="4"/>
  <c r="N493" i="4" s="1"/>
  <c r="I493" i="4"/>
  <c r="H493" i="4"/>
  <c r="G493" i="4"/>
  <c r="F493" i="4"/>
  <c r="M492" i="4"/>
  <c r="L492" i="4"/>
  <c r="K492" i="4"/>
  <c r="J492" i="4"/>
  <c r="N492" i="4" s="1"/>
  <c r="I492" i="4"/>
  <c r="H492" i="4"/>
  <c r="G492" i="4"/>
  <c r="F492" i="4"/>
  <c r="M491" i="4"/>
  <c r="L491" i="4"/>
  <c r="K491" i="4"/>
  <c r="J491" i="4"/>
  <c r="N491" i="4" s="1"/>
  <c r="I491" i="4"/>
  <c r="H491" i="4"/>
  <c r="G491" i="4"/>
  <c r="F491" i="4"/>
  <c r="M490" i="4"/>
  <c r="L490" i="4"/>
  <c r="K490" i="4"/>
  <c r="J490" i="4"/>
  <c r="N490" i="4" s="1"/>
  <c r="I490" i="4"/>
  <c r="H490" i="4"/>
  <c r="G490" i="4"/>
  <c r="F490" i="4"/>
  <c r="M489" i="4"/>
  <c r="L489" i="4"/>
  <c r="K489" i="4"/>
  <c r="J489" i="4"/>
  <c r="N489" i="4" s="1"/>
  <c r="I489" i="4"/>
  <c r="H489" i="4"/>
  <c r="G489" i="4"/>
  <c r="F489" i="4"/>
  <c r="N488" i="4"/>
  <c r="M488" i="4"/>
  <c r="L488" i="4"/>
  <c r="K488" i="4"/>
  <c r="J488" i="4"/>
  <c r="I488" i="4"/>
  <c r="H488" i="4"/>
  <c r="G488" i="4"/>
  <c r="F488" i="4"/>
  <c r="N487" i="4"/>
  <c r="M487" i="4"/>
  <c r="L487" i="4"/>
  <c r="K487" i="4"/>
  <c r="J487" i="4"/>
  <c r="I487" i="4"/>
  <c r="H487" i="4"/>
  <c r="G487" i="4"/>
  <c r="F487" i="4"/>
  <c r="N486" i="4"/>
  <c r="M486" i="4"/>
  <c r="L486" i="4"/>
  <c r="K486" i="4"/>
  <c r="J486" i="4"/>
  <c r="I486" i="4"/>
  <c r="H486" i="4"/>
  <c r="G486" i="4"/>
  <c r="F486" i="4"/>
  <c r="N485" i="4"/>
  <c r="M485" i="4"/>
  <c r="L485" i="4"/>
  <c r="K485" i="4"/>
  <c r="J485" i="4"/>
  <c r="I485" i="4"/>
  <c r="H485" i="4"/>
  <c r="G485" i="4"/>
  <c r="F485" i="4"/>
  <c r="M484" i="4"/>
  <c r="L484" i="4"/>
  <c r="K484" i="4"/>
  <c r="J484" i="4"/>
  <c r="N484" i="4" s="1"/>
  <c r="I484" i="4"/>
  <c r="H484" i="4"/>
  <c r="G484" i="4"/>
  <c r="F484" i="4"/>
  <c r="N483" i="4"/>
  <c r="M483" i="4"/>
  <c r="L483" i="4"/>
  <c r="K483" i="4"/>
  <c r="J483" i="4"/>
  <c r="I483" i="4"/>
  <c r="H483" i="4"/>
  <c r="G483" i="4"/>
  <c r="F483" i="4"/>
  <c r="M482" i="4"/>
  <c r="L482" i="4"/>
  <c r="K482" i="4"/>
  <c r="J482" i="4"/>
  <c r="N482" i="4" s="1"/>
  <c r="I482" i="4"/>
  <c r="H482" i="4"/>
  <c r="G482" i="4"/>
  <c r="F482" i="4"/>
  <c r="M481" i="4"/>
  <c r="L481" i="4"/>
  <c r="K481" i="4"/>
  <c r="J481" i="4"/>
  <c r="N481" i="4" s="1"/>
  <c r="I481" i="4"/>
  <c r="H481" i="4"/>
  <c r="G481" i="4"/>
  <c r="F481" i="4"/>
  <c r="N480" i="4"/>
  <c r="M480" i="4"/>
  <c r="L480" i="4"/>
  <c r="K480" i="4"/>
  <c r="J480" i="4"/>
  <c r="I480" i="4"/>
  <c r="H480" i="4"/>
  <c r="G480" i="4"/>
  <c r="F480" i="4"/>
  <c r="M479" i="4"/>
  <c r="L479" i="4"/>
  <c r="K479" i="4"/>
  <c r="J479" i="4"/>
  <c r="N479" i="4" s="1"/>
  <c r="I479" i="4"/>
  <c r="H479" i="4"/>
  <c r="G479" i="4"/>
  <c r="F479" i="4"/>
  <c r="N478" i="4"/>
  <c r="M478" i="4"/>
  <c r="L478" i="4"/>
  <c r="K478" i="4"/>
  <c r="J478" i="4"/>
  <c r="I478" i="4"/>
  <c r="H478" i="4"/>
  <c r="G478" i="4"/>
  <c r="F478" i="4"/>
  <c r="N477" i="4"/>
  <c r="M477" i="4"/>
  <c r="L477" i="4"/>
  <c r="K477" i="4"/>
  <c r="J477" i="4"/>
  <c r="I477" i="4"/>
  <c r="H477" i="4"/>
  <c r="G477" i="4"/>
  <c r="F477" i="4"/>
  <c r="M476" i="4"/>
  <c r="L476" i="4"/>
  <c r="K476" i="4"/>
  <c r="J476" i="4"/>
  <c r="N476" i="4" s="1"/>
  <c r="I476" i="4"/>
  <c r="H476" i="4"/>
  <c r="G476" i="4"/>
  <c r="F476" i="4"/>
  <c r="M475" i="4"/>
  <c r="L475" i="4"/>
  <c r="K475" i="4"/>
  <c r="J475" i="4"/>
  <c r="N475" i="4" s="1"/>
  <c r="I475" i="4"/>
  <c r="H475" i="4"/>
  <c r="G475" i="4"/>
  <c r="F475" i="4"/>
  <c r="M474" i="4"/>
  <c r="L474" i="4"/>
  <c r="K474" i="4"/>
  <c r="J474" i="4"/>
  <c r="N474" i="4" s="1"/>
  <c r="I474" i="4"/>
  <c r="H474" i="4"/>
  <c r="G474" i="4"/>
  <c r="F474" i="4"/>
  <c r="N473" i="4"/>
  <c r="M473" i="4"/>
  <c r="L473" i="4"/>
  <c r="K473" i="4"/>
  <c r="J473" i="4"/>
  <c r="I473" i="4"/>
  <c r="H473" i="4"/>
  <c r="G473" i="4"/>
  <c r="F473" i="4"/>
  <c r="N472" i="4"/>
  <c r="M472" i="4"/>
  <c r="L472" i="4"/>
  <c r="K472" i="4"/>
  <c r="J472" i="4"/>
  <c r="I472" i="4"/>
  <c r="H472" i="4"/>
  <c r="G472" i="4"/>
  <c r="F472" i="4"/>
  <c r="M471" i="4"/>
  <c r="L471" i="4"/>
  <c r="K471" i="4"/>
  <c r="J471" i="4"/>
  <c r="N471" i="4" s="1"/>
  <c r="I471" i="4"/>
  <c r="H471" i="4"/>
  <c r="G471" i="4"/>
  <c r="F471" i="4"/>
  <c r="N470" i="4"/>
  <c r="M470" i="4"/>
  <c r="L470" i="4"/>
  <c r="K470" i="4"/>
  <c r="J470" i="4"/>
  <c r="I470" i="4"/>
  <c r="H470" i="4"/>
  <c r="G470" i="4"/>
  <c r="F470" i="4"/>
  <c r="M469" i="4"/>
  <c r="L469" i="4"/>
  <c r="K469" i="4"/>
  <c r="J469" i="4"/>
  <c r="N469" i="4" s="1"/>
  <c r="I469" i="4"/>
  <c r="H469" i="4"/>
  <c r="G469" i="4"/>
  <c r="F469" i="4"/>
  <c r="M468" i="4"/>
  <c r="L468" i="4"/>
  <c r="K468" i="4"/>
  <c r="J468" i="4"/>
  <c r="N468" i="4" s="1"/>
  <c r="I468" i="4"/>
  <c r="H468" i="4"/>
  <c r="G468" i="4"/>
  <c r="F468" i="4"/>
  <c r="M467" i="4"/>
  <c r="L467" i="4"/>
  <c r="K467" i="4"/>
  <c r="J467" i="4"/>
  <c r="N467" i="4" s="1"/>
  <c r="I467" i="4"/>
  <c r="H467" i="4"/>
  <c r="G467" i="4"/>
  <c r="F467" i="4"/>
  <c r="M466" i="4"/>
  <c r="L466" i="4"/>
  <c r="K466" i="4"/>
  <c r="J466" i="4"/>
  <c r="N466" i="4" s="1"/>
  <c r="I466" i="4"/>
  <c r="H466" i="4"/>
  <c r="G466" i="4"/>
  <c r="F466" i="4"/>
  <c r="N465" i="4"/>
  <c r="M465" i="4"/>
  <c r="L465" i="4"/>
  <c r="K465" i="4"/>
  <c r="J465" i="4"/>
  <c r="I465" i="4"/>
  <c r="H465" i="4"/>
  <c r="G465" i="4"/>
  <c r="F465" i="4"/>
  <c r="N464" i="4"/>
  <c r="M464" i="4"/>
  <c r="L464" i="4"/>
  <c r="K464" i="4"/>
  <c r="J464" i="4"/>
  <c r="I464" i="4"/>
  <c r="H464" i="4"/>
  <c r="G464" i="4"/>
  <c r="F464" i="4"/>
  <c r="N463" i="4"/>
  <c r="M463" i="4"/>
  <c r="L463" i="4"/>
  <c r="K463" i="4"/>
  <c r="J463" i="4"/>
  <c r="I463" i="4"/>
  <c r="H463" i="4"/>
  <c r="G463" i="4"/>
  <c r="F463" i="4"/>
  <c r="N462" i="4"/>
  <c r="M462" i="4"/>
  <c r="L462" i="4"/>
  <c r="K462" i="4"/>
  <c r="J462" i="4"/>
  <c r="I462" i="4"/>
  <c r="H462" i="4"/>
  <c r="G462" i="4"/>
  <c r="F462" i="4"/>
  <c r="M461" i="4"/>
  <c r="L461" i="4"/>
  <c r="K461" i="4"/>
  <c r="J461" i="4"/>
  <c r="N461" i="4" s="1"/>
  <c r="I461" i="4"/>
  <c r="H461" i="4"/>
  <c r="G461" i="4"/>
  <c r="F461" i="4"/>
  <c r="M460" i="4"/>
  <c r="L460" i="4"/>
  <c r="K460" i="4"/>
  <c r="J460" i="4"/>
  <c r="N460" i="4" s="1"/>
  <c r="I460" i="4"/>
  <c r="H460" i="4"/>
  <c r="G460" i="4"/>
  <c r="F460" i="4"/>
  <c r="M459" i="4"/>
  <c r="L459" i="4"/>
  <c r="K459" i="4"/>
  <c r="J459" i="4"/>
  <c r="N459" i="4" s="1"/>
  <c r="I459" i="4"/>
  <c r="H459" i="4"/>
  <c r="G459" i="4"/>
  <c r="F459" i="4"/>
  <c r="M458" i="4"/>
  <c r="L458" i="4"/>
  <c r="K458" i="4"/>
  <c r="J458" i="4"/>
  <c r="N458" i="4" s="1"/>
  <c r="I458" i="4"/>
  <c r="H458" i="4"/>
  <c r="G458" i="4"/>
  <c r="F458" i="4"/>
  <c r="M457" i="4"/>
  <c r="L457" i="4"/>
  <c r="K457" i="4"/>
  <c r="J457" i="4"/>
  <c r="N457" i="4" s="1"/>
  <c r="I457" i="4"/>
  <c r="H457" i="4"/>
  <c r="G457" i="4"/>
  <c r="F457" i="4"/>
  <c r="N456" i="4"/>
  <c r="M456" i="4"/>
  <c r="L456" i="4"/>
  <c r="K456" i="4"/>
  <c r="J456" i="4"/>
  <c r="I456" i="4"/>
  <c r="H456" i="4"/>
  <c r="G456" i="4"/>
  <c r="F456" i="4"/>
  <c r="N455" i="4"/>
  <c r="M455" i="4"/>
  <c r="L455" i="4"/>
  <c r="K455" i="4"/>
  <c r="J455" i="4"/>
  <c r="I455" i="4"/>
  <c r="H455" i="4"/>
  <c r="G455" i="4"/>
  <c r="F455" i="4"/>
  <c r="N454" i="4"/>
  <c r="M454" i="4"/>
  <c r="L454" i="4"/>
  <c r="K454" i="4"/>
  <c r="J454" i="4"/>
  <c r="I454" i="4"/>
  <c r="H454" i="4"/>
  <c r="G454" i="4"/>
  <c r="F454" i="4"/>
  <c r="N453" i="4"/>
  <c r="M453" i="4"/>
  <c r="L453" i="4"/>
  <c r="K453" i="4"/>
  <c r="J453" i="4"/>
  <c r="I453" i="4"/>
  <c r="H453" i="4"/>
  <c r="G453" i="4"/>
  <c r="F453" i="4"/>
  <c r="M452" i="4"/>
  <c r="L452" i="4"/>
  <c r="K452" i="4"/>
  <c r="J452" i="4"/>
  <c r="N452" i="4" s="1"/>
  <c r="I452" i="4"/>
  <c r="H452" i="4"/>
  <c r="G452" i="4"/>
  <c r="F452" i="4"/>
  <c r="N451" i="4"/>
  <c r="M451" i="4"/>
  <c r="L451" i="4"/>
  <c r="K451" i="4"/>
  <c r="J451" i="4"/>
  <c r="I451" i="4"/>
  <c r="H451" i="4"/>
  <c r="G451" i="4"/>
  <c r="F451" i="4"/>
  <c r="M450" i="4"/>
  <c r="L450" i="4"/>
  <c r="K450" i="4"/>
  <c r="J450" i="4"/>
  <c r="N450" i="4" s="1"/>
  <c r="I450" i="4"/>
  <c r="H450" i="4"/>
  <c r="G450" i="4"/>
  <c r="F450" i="4"/>
  <c r="M449" i="4"/>
  <c r="L449" i="4"/>
  <c r="K449" i="4"/>
  <c r="J449" i="4"/>
  <c r="N449" i="4" s="1"/>
  <c r="I449" i="4"/>
  <c r="H449" i="4"/>
  <c r="G449" i="4"/>
  <c r="F449" i="4"/>
  <c r="N448" i="4"/>
  <c r="M448" i="4"/>
  <c r="L448" i="4"/>
  <c r="K448" i="4"/>
  <c r="J448" i="4"/>
  <c r="I448" i="4"/>
  <c r="H448" i="4"/>
  <c r="G448" i="4"/>
  <c r="F448" i="4"/>
  <c r="M447" i="4"/>
  <c r="L447" i="4"/>
  <c r="K447" i="4"/>
  <c r="J447" i="4"/>
  <c r="N447" i="4" s="1"/>
  <c r="I447" i="4"/>
  <c r="H447" i="4"/>
  <c r="G447" i="4"/>
  <c r="F447" i="4"/>
  <c r="N446" i="4"/>
  <c r="M446" i="4"/>
  <c r="L446" i="4"/>
  <c r="K446" i="4"/>
  <c r="J446" i="4"/>
  <c r="I446" i="4"/>
  <c r="H446" i="4"/>
  <c r="G446" i="4"/>
  <c r="F446" i="4"/>
  <c r="N445" i="4"/>
  <c r="M445" i="4"/>
  <c r="L445" i="4"/>
  <c r="K445" i="4"/>
  <c r="J445" i="4"/>
  <c r="I445" i="4"/>
  <c r="H445" i="4"/>
  <c r="G445" i="4"/>
  <c r="F445" i="4"/>
  <c r="M444" i="4"/>
  <c r="L444" i="4"/>
  <c r="K444" i="4"/>
  <c r="J444" i="4"/>
  <c r="N444" i="4" s="1"/>
  <c r="I444" i="4"/>
  <c r="H444" i="4"/>
  <c r="G444" i="4"/>
  <c r="F444" i="4"/>
  <c r="M443" i="4"/>
  <c r="L443" i="4"/>
  <c r="K443" i="4"/>
  <c r="J443" i="4"/>
  <c r="N443" i="4" s="1"/>
  <c r="I443" i="4"/>
  <c r="H443" i="4"/>
  <c r="G443" i="4"/>
  <c r="F443" i="4"/>
  <c r="M442" i="4"/>
  <c r="L442" i="4"/>
  <c r="K442" i="4"/>
  <c r="J442" i="4"/>
  <c r="N442" i="4" s="1"/>
  <c r="I442" i="4"/>
  <c r="H442" i="4"/>
  <c r="G442" i="4"/>
  <c r="F442" i="4"/>
  <c r="N441" i="4"/>
  <c r="M441" i="4"/>
  <c r="L441" i="4"/>
  <c r="K441" i="4"/>
  <c r="J441" i="4"/>
  <c r="I441" i="4"/>
  <c r="H441" i="4"/>
  <c r="G441" i="4"/>
  <c r="F441" i="4"/>
  <c r="N440" i="4"/>
  <c r="M440" i="4"/>
  <c r="L440" i="4"/>
  <c r="K440" i="4"/>
  <c r="J440" i="4"/>
  <c r="I440" i="4"/>
  <c r="H440" i="4"/>
  <c r="G440" i="4"/>
  <c r="F440" i="4"/>
  <c r="M439" i="4"/>
  <c r="L439" i="4"/>
  <c r="K439" i="4"/>
  <c r="J439" i="4"/>
  <c r="N439" i="4" s="1"/>
  <c r="I439" i="4"/>
  <c r="H439" i="4"/>
  <c r="G439" i="4"/>
  <c r="F439" i="4"/>
  <c r="N438" i="4"/>
  <c r="M438" i="4"/>
  <c r="L438" i="4"/>
  <c r="K438" i="4"/>
  <c r="J438" i="4"/>
  <c r="I438" i="4"/>
  <c r="H438" i="4"/>
  <c r="G438" i="4"/>
  <c r="F438" i="4"/>
  <c r="M437" i="4"/>
  <c r="L437" i="4"/>
  <c r="K437" i="4"/>
  <c r="J437" i="4"/>
  <c r="N437" i="4" s="1"/>
  <c r="I437" i="4"/>
  <c r="H437" i="4"/>
  <c r="G437" i="4"/>
  <c r="F437" i="4"/>
  <c r="M436" i="4"/>
  <c r="L436" i="4"/>
  <c r="K436" i="4"/>
  <c r="J436" i="4"/>
  <c r="N436" i="4" s="1"/>
  <c r="I436" i="4"/>
  <c r="H436" i="4"/>
  <c r="G436" i="4"/>
  <c r="F436" i="4"/>
  <c r="M435" i="4"/>
  <c r="L435" i="4"/>
  <c r="K435" i="4"/>
  <c r="J435" i="4"/>
  <c r="N435" i="4" s="1"/>
  <c r="I435" i="4"/>
  <c r="H435" i="4"/>
  <c r="G435" i="4"/>
  <c r="F435" i="4"/>
  <c r="M434" i="4"/>
  <c r="L434" i="4"/>
  <c r="K434" i="4"/>
  <c r="J434" i="4"/>
  <c r="N434" i="4" s="1"/>
  <c r="I434" i="4"/>
  <c r="H434" i="4"/>
  <c r="G434" i="4"/>
  <c r="F434" i="4"/>
  <c r="N433" i="4"/>
  <c r="M433" i="4"/>
  <c r="L433" i="4"/>
  <c r="K433" i="4"/>
  <c r="J433" i="4"/>
  <c r="I433" i="4"/>
  <c r="H433" i="4"/>
  <c r="G433" i="4"/>
  <c r="F433" i="4"/>
  <c r="N432" i="4"/>
  <c r="M432" i="4"/>
  <c r="L432" i="4"/>
  <c r="K432" i="4"/>
  <c r="J432" i="4"/>
  <c r="I432" i="4"/>
  <c r="H432" i="4"/>
  <c r="G432" i="4"/>
  <c r="F432" i="4"/>
  <c r="N431" i="4"/>
  <c r="M431" i="4"/>
  <c r="L431" i="4"/>
  <c r="K431" i="4"/>
  <c r="J431" i="4"/>
  <c r="I431" i="4"/>
  <c r="H431" i="4"/>
  <c r="G431" i="4"/>
  <c r="F431" i="4"/>
  <c r="N430" i="4"/>
  <c r="M430" i="4"/>
  <c r="L430" i="4"/>
  <c r="K430" i="4"/>
  <c r="J430" i="4"/>
  <c r="I430" i="4"/>
  <c r="H430" i="4"/>
  <c r="G430" i="4"/>
  <c r="F430" i="4"/>
  <c r="M429" i="4"/>
  <c r="L429" i="4"/>
  <c r="K429" i="4"/>
  <c r="J429" i="4"/>
  <c r="N429" i="4" s="1"/>
  <c r="I429" i="4"/>
  <c r="H429" i="4"/>
  <c r="G429" i="4"/>
  <c r="F429" i="4"/>
  <c r="M428" i="4"/>
  <c r="L428" i="4"/>
  <c r="K428" i="4"/>
  <c r="J428" i="4"/>
  <c r="N428" i="4" s="1"/>
  <c r="I428" i="4"/>
  <c r="H428" i="4"/>
  <c r="G428" i="4"/>
  <c r="F428" i="4"/>
  <c r="M427" i="4"/>
  <c r="L427" i="4"/>
  <c r="K427" i="4"/>
  <c r="J427" i="4"/>
  <c r="N427" i="4" s="1"/>
  <c r="I427" i="4"/>
  <c r="H427" i="4"/>
  <c r="G427" i="4"/>
  <c r="F427" i="4"/>
  <c r="M426" i="4"/>
  <c r="L426" i="4"/>
  <c r="K426" i="4"/>
  <c r="J426" i="4"/>
  <c r="N426" i="4" s="1"/>
  <c r="I426" i="4"/>
  <c r="H426" i="4"/>
  <c r="G426" i="4"/>
  <c r="F426" i="4"/>
  <c r="M425" i="4"/>
  <c r="L425" i="4"/>
  <c r="K425" i="4"/>
  <c r="J425" i="4"/>
  <c r="N425" i="4" s="1"/>
  <c r="I425" i="4"/>
  <c r="H425" i="4"/>
  <c r="G425" i="4"/>
  <c r="F425" i="4"/>
  <c r="N424" i="4"/>
  <c r="M424" i="4"/>
  <c r="L424" i="4"/>
  <c r="K424" i="4"/>
  <c r="J424" i="4"/>
  <c r="I424" i="4"/>
  <c r="H424" i="4"/>
  <c r="G424" i="4"/>
  <c r="F424" i="4"/>
  <c r="N423" i="4"/>
  <c r="M423" i="4"/>
  <c r="L423" i="4"/>
  <c r="K423" i="4"/>
  <c r="J423" i="4"/>
  <c r="I423" i="4"/>
  <c r="H423" i="4"/>
  <c r="G423" i="4"/>
  <c r="F423" i="4"/>
  <c r="N422" i="4"/>
  <c r="M422" i="4"/>
  <c r="L422" i="4"/>
  <c r="K422" i="4"/>
  <c r="J422" i="4"/>
  <c r="I422" i="4"/>
  <c r="H422" i="4"/>
  <c r="G422" i="4"/>
  <c r="F422" i="4"/>
  <c r="N421" i="4"/>
  <c r="M421" i="4"/>
  <c r="L421" i="4"/>
  <c r="K421" i="4"/>
  <c r="J421" i="4"/>
  <c r="I421" i="4"/>
  <c r="H421" i="4"/>
  <c r="G421" i="4"/>
  <c r="F421" i="4"/>
  <c r="M420" i="4"/>
  <c r="L420" i="4"/>
  <c r="K420" i="4"/>
  <c r="J420" i="4"/>
  <c r="N420" i="4" s="1"/>
  <c r="I420" i="4"/>
  <c r="H420" i="4"/>
  <c r="G420" i="4"/>
  <c r="F420" i="4"/>
  <c r="N419" i="4"/>
  <c r="M419" i="4"/>
  <c r="L419" i="4"/>
  <c r="K419" i="4"/>
  <c r="J419" i="4"/>
  <c r="I419" i="4"/>
  <c r="H419" i="4"/>
  <c r="G419" i="4"/>
  <c r="F419" i="4"/>
  <c r="M418" i="4"/>
  <c r="L418" i="4"/>
  <c r="K418" i="4"/>
  <c r="J418" i="4"/>
  <c r="N418" i="4" s="1"/>
  <c r="I418" i="4"/>
  <c r="H418" i="4"/>
  <c r="G418" i="4"/>
  <c r="F418" i="4"/>
  <c r="M417" i="4"/>
  <c r="L417" i="4"/>
  <c r="K417" i="4"/>
  <c r="J417" i="4"/>
  <c r="N417" i="4" s="1"/>
  <c r="I417" i="4"/>
  <c r="H417" i="4"/>
  <c r="G417" i="4"/>
  <c r="F417" i="4"/>
  <c r="N416" i="4"/>
  <c r="M416" i="4"/>
  <c r="L416" i="4"/>
  <c r="K416" i="4"/>
  <c r="J416" i="4"/>
  <c r="I416" i="4"/>
  <c r="H416" i="4"/>
  <c r="G416" i="4"/>
  <c r="F416" i="4"/>
  <c r="M415" i="4"/>
  <c r="L415" i="4"/>
  <c r="K415" i="4"/>
  <c r="J415" i="4"/>
  <c r="N415" i="4" s="1"/>
  <c r="I415" i="4"/>
  <c r="H415" i="4"/>
  <c r="G415" i="4"/>
  <c r="F415" i="4"/>
  <c r="N414" i="4"/>
  <c r="M414" i="4"/>
  <c r="L414" i="4"/>
  <c r="K414" i="4"/>
  <c r="J414" i="4"/>
  <c r="I414" i="4"/>
  <c r="H414" i="4"/>
  <c r="G414" i="4"/>
  <c r="F414" i="4"/>
  <c r="N413" i="4"/>
  <c r="M413" i="4"/>
  <c r="L413" i="4"/>
  <c r="K413" i="4"/>
  <c r="J413" i="4"/>
  <c r="I413" i="4"/>
  <c r="H413" i="4"/>
  <c r="G413" i="4"/>
  <c r="F413" i="4"/>
  <c r="M412" i="4"/>
  <c r="L412" i="4"/>
  <c r="K412" i="4"/>
  <c r="J412" i="4"/>
  <c r="N412" i="4" s="1"/>
  <c r="I412" i="4"/>
  <c r="H412" i="4"/>
  <c r="G412" i="4"/>
  <c r="F412" i="4"/>
  <c r="M411" i="4"/>
  <c r="L411" i="4"/>
  <c r="K411" i="4"/>
  <c r="J411" i="4"/>
  <c r="N411" i="4" s="1"/>
  <c r="I411" i="4"/>
  <c r="H411" i="4"/>
  <c r="G411" i="4"/>
  <c r="F411" i="4"/>
  <c r="M410" i="4"/>
  <c r="L410" i="4"/>
  <c r="K410" i="4"/>
  <c r="J410" i="4"/>
  <c r="N410" i="4" s="1"/>
  <c r="I410" i="4"/>
  <c r="H410" i="4"/>
  <c r="G410" i="4"/>
  <c r="F410" i="4"/>
  <c r="N409" i="4"/>
  <c r="M409" i="4"/>
  <c r="L409" i="4"/>
  <c r="K409" i="4"/>
  <c r="J409" i="4"/>
  <c r="I409" i="4"/>
  <c r="H409" i="4"/>
  <c r="G409" i="4"/>
  <c r="F409" i="4"/>
  <c r="N408" i="4"/>
  <c r="M408" i="4"/>
  <c r="L408" i="4"/>
  <c r="K408" i="4"/>
  <c r="J408" i="4"/>
  <c r="I408" i="4"/>
  <c r="H408" i="4"/>
  <c r="G408" i="4"/>
  <c r="F408" i="4"/>
  <c r="M407" i="4"/>
  <c r="L407" i="4"/>
  <c r="K407" i="4"/>
  <c r="J407" i="4"/>
  <c r="N407" i="4" s="1"/>
  <c r="I407" i="4"/>
  <c r="H407" i="4"/>
  <c r="G407" i="4"/>
  <c r="F407" i="4"/>
  <c r="N406" i="4"/>
  <c r="M406" i="4"/>
  <c r="L406" i="4"/>
  <c r="K406" i="4"/>
  <c r="J406" i="4"/>
  <c r="I406" i="4"/>
  <c r="H406" i="4"/>
  <c r="G406" i="4"/>
  <c r="F406" i="4"/>
  <c r="M405" i="4"/>
  <c r="L405" i="4"/>
  <c r="K405" i="4"/>
  <c r="J405" i="4"/>
  <c r="N405" i="4" s="1"/>
  <c r="I405" i="4"/>
  <c r="H405" i="4"/>
  <c r="G405" i="4"/>
  <c r="F405" i="4"/>
  <c r="M404" i="4"/>
  <c r="L404" i="4"/>
  <c r="K404" i="4"/>
  <c r="J404" i="4"/>
  <c r="N404" i="4" s="1"/>
  <c r="I404" i="4"/>
  <c r="H404" i="4"/>
  <c r="G404" i="4"/>
  <c r="F404" i="4"/>
  <c r="M403" i="4"/>
  <c r="L403" i="4"/>
  <c r="K403" i="4"/>
  <c r="J403" i="4"/>
  <c r="N403" i="4" s="1"/>
  <c r="I403" i="4"/>
  <c r="H403" i="4"/>
  <c r="G403" i="4"/>
  <c r="F403" i="4"/>
  <c r="M402" i="4"/>
  <c r="L402" i="4"/>
  <c r="K402" i="4"/>
  <c r="J402" i="4"/>
  <c r="N402" i="4" s="1"/>
  <c r="I402" i="4"/>
  <c r="H402" i="4"/>
  <c r="G402" i="4"/>
  <c r="F402" i="4"/>
  <c r="N401" i="4"/>
  <c r="M401" i="4"/>
  <c r="L401" i="4"/>
  <c r="K401" i="4"/>
  <c r="J401" i="4"/>
  <c r="I401" i="4"/>
  <c r="H401" i="4"/>
  <c r="G401" i="4"/>
  <c r="F401" i="4"/>
  <c r="N400" i="4"/>
  <c r="M400" i="4"/>
  <c r="L400" i="4"/>
  <c r="K400" i="4"/>
  <c r="J400" i="4"/>
  <c r="I400" i="4"/>
  <c r="H400" i="4"/>
  <c r="G400" i="4"/>
  <c r="F400" i="4"/>
  <c r="N399" i="4"/>
  <c r="M399" i="4"/>
  <c r="L399" i="4"/>
  <c r="K399" i="4"/>
  <c r="J399" i="4"/>
  <c r="I399" i="4"/>
  <c r="H399" i="4"/>
  <c r="G399" i="4"/>
  <c r="F399" i="4"/>
  <c r="N398" i="4"/>
  <c r="M398" i="4"/>
  <c r="L398" i="4"/>
  <c r="K398" i="4"/>
  <c r="J398" i="4"/>
  <c r="I398" i="4"/>
  <c r="H398" i="4"/>
  <c r="G398" i="4"/>
  <c r="F398" i="4"/>
  <c r="M397" i="4"/>
  <c r="L397" i="4"/>
  <c r="K397" i="4"/>
  <c r="J397" i="4"/>
  <c r="N397" i="4" s="1"/>
  <c r="I397" i="4"/>
  <c r="H397" i="4"/>
  <c r="G397" i="4"/>
  <c r="F397" i="4"/>
  <c r="M396" i="4"/>
  <c r="L396" i="4"/>
  <c r="K396" i="4"/>
  <c r="J396" i="4"/>
  <c r="N396" i="4" s="1"/>
  <c r="I396" i="4"/>
  <c r="H396" i="4"/>
  <c r="G396" i="4"/>
  <c r="F396" i="4"/>
  <c r="M395" i="4"/>
  <c r="L395" i="4"/>
  <c r="K395" i="4"/>
  <c r="J395" i="4"/>
  <c r="N395" i="4" s="1"/>
  <c r="I395" i="4"/>
  <c r="H395" i="4"/>
  <c r="G395" i="4"/>
  <c r="F395" i="4"/>
  <c r="M394" i="4"/>
  <c r="L394" i="4"/>
  <c r="K394" i="4"/>
  <c r="J394" i="4"/>
  <c r="N394" i="4" s="1"/>
  <c r="I394" i="4"/>
  <c r="H394" i="4"/>
  <c r="G394" i="4"/>
  <c r="F394" i="4"/>
  <c r="M393" i="4"/>
  <c r="L393" i="4"/>
  <c r="K393" i="4"/>
  <c r="J393" i="4"/>
  <c r="N393" i="4" s="1"/>
  <c r="I393" i="4"/>
  <c r="H393" i="4"/>
  <c r="G393" i="4"/>
  <c r="F393" i="4"/>
  <c r="N392" i="4"/>
  <c r="M392" i="4"/>
  <c r="L392" i="4"/>
  <c r="K392" i="4"/>
  <c r="J392" i="4"/>
  <c r="I392" i="4"/>
  <c r="H392" i="4"/>
  <c r="G392" i="4"/>
  <c r="F392" i="4"/>
  <c r="N391" i="4"/>
  <c r="M391" i="4"/>
  <c r="L391" i="4"/>
  <c r="K391" i="4"/>
  <c r="J391" i="4"/>
  <c r="I391" i="4"/>
  <c r="H391" i="4"/>
  <c r="G391" i="4"/>
  <c r="F391" i="4"/>
  <c r="N390" i="4"/>
  <c r="M390" i="4"/>
  <c r="L390" i="4"/>
  <c r="K390" i="4"/>
  <c r="J390" i="4"/>
  <c r="I390" i="4"/>
  <c r="H390" i="4"/>
  <c r="G390" i="4"/>
  <c r="F390" i="4"/>
  <c r="N389" i="4"/>
  <c r="M389" i="4"/>
  <c r="L389" i="4"/>
  <c r="K389" i="4"/>
  <c r="J389" i="4"/>
  <c r="I389" i="4"/>
  <c r="H389" i="4"/>
  <c r="G389" i="4"/>
  <c r="F389" i="4"/>
  <c r="M388" i="4"/>
  <c r="L388" i="4"/>
  <c r="K388" i="4"/>
  <c r="J388" i="4"/>
  <c r="N388" i="4" s="1"/>
  <c r="I388" i="4"/>
  <c r="H388" i="4"/>
  <c r="G388" i="4"/>
  <c r="F388" i="4"/>
  <c r="N387" i="4"/>
  <c r="M387" i="4"/>
  <c r="L387" i="4"/>
  <c r="K387" i="4"/>
  <c r="J387" i="4"/>
  <c r="I387" i="4"/>
  <c r="H387" i="4"/>
  <c r="G387" i="4"/>
  <c r="F387" i="4"/>
  <c r="M386" i="4"/>
  <c r="L386" i="4"/>
  <c r="K386" i="4"/>
  <c r="J386" i="4"/>
  <c r="N386" i="4" s="1"/>
  <c r="I386" i="4"/>
  <c r="H386" i="4"/>
  <c r="G386" i="4"/>
  <c r="F386" i="4"/>
  <c r="M385" i="4"/>
  <c r="L385" i="4"/>
  <c r="K385" i="4"/>
  <c r="J385" i="4"/>
  <c r="N385" i="4" s="1"/>
  <c r="I385" i="4"/>
  <c r="H385" i="4"/>
  <c r="G385" i="4"/>
  <c r="F385" i="4"/>
  <c r="N384" i="4"/>
  <c r="M384" i="4"/>
  <c r="L384" i="4"/>
  <c r="K384" i="4"/>
  <c r="J384" i="4"/>
  <c r="I384" i="4"/>
  <c r="H384" i="4"/>
  <c r="G384" i="4"/>
  <c r="F384" i="4"/>
  <c r="M383" i="4"/>
  <c r="L383" i="4"/>
  <c r="K383" i="4"/>
  <c r="J383" i="4"/>
  <c r="N383" i="4" s="1"/>
  <c r="I383" i="4"/>
  <c r="H383" i="4"/>
  <c r="G383" i="4"/>
  <c r="F383" i="4"/>
  <c r="N382" i="4"/>
  <c r="M382" i="4"/>
  <c r="L382" i="4"/>
  <c r="K382" i="4"/>
  <c r="J382" i="4"/>
  <c r="I382" i="4"/>
  <c r="H382" i="4"/>
  <c r="G382" i="4"/>
  <c r="F382" i="4"/>
  <c r="N381" i="4"/>
  <c r="M381" i="4"/>
  <c r="L381" i="4"/>
  <c r="K381" i="4"/>
  <c r="J381" i="4"/>
  <c r="I381" i="4"/>
  <c r="H381" i="4"/>
  <c r="G381" i="4"/>
  <c r="F381" i="4"/>
  <c r="M380" i="4"/>
  <c r="L380" i="4"/>
  <c r="K380" i="4"/>
  <c r="J380" i="4"/>
  <c r="N380" i="4" s="1"/>
  <c r="I380" i="4"/>
  <c r="H380" i="4"/>
  <c r="G380" i="4"/>
  <c r="F380" i="4"/>
  <c r="M379" i="4"/>
  <c r="L379" i="4"/>
  <c r="K379" i="4"/>
  <c r="J379" i="4"/>
  <c r="N379" i="4" s="1"/>
  <c r="I379" i="4"/>
  <c r="H379" i="4"/>
  <c r="G379" i="4"/>
  <c r="F379" i="4"/>
  <c r="M378" i="4"/>
  <c r="L378" i="4"/>
  <c r="K378" i="4"/>
  <c r="J378" i="4"/>
  <c r="N378" i="4" s="1"/>
  <c r="I378" i="4"/>
  <c r="H378" i="4"/>
  <c r="G378" i="4"/>
  <c r="F378" i="4"/>
  <c r="N377" i="4"/>
  <c r="M377" i="4"/>
  <c r="L377" i="4"/>
  <c r="K377" i="4"/>
  <c r="J377" i="4"/>
  <c r="I377" i="4"/>
  <c r="H377" i="4"/>
  <c r="G377" i="4"/>
  <c r="F377" i="4"/>
  <c r="N376" i="4"/>
  <c r="M376" i="4"/>
  <c r="L376" i="4"/>
  <c r="K376" i="4"/>
  <c r="J376" i="4"/>
  <c r="I376" i="4"/>
  <c r="H376" i="4"/>
  <c r="G376" i="4"/>
  <c r="F376" i="4"/>
  <c r="M375" i="4"/>
  <c r="L375" i="4"/>
  <c r="K375" i="4"/>
  <c r="J375" i="4"/>
  <c r="N375" i="4" s="1"/>
  <c r="I375" i="4"/>
  <c r="H375" i="4"/>
  <c r="G375" i="4"/>
  <c r="F375" i="4"/>
  <c r="N374" i="4"/>
  <c r="M374" i="4"/>
  <c r="L374" i="4"/>
  <c r="K374" i="4"/>
  <c r="J374" i="4"/>
  <c r="I374" i="4"/>
  <c r="H374" i="4"/>
  <c r="G374" i="4"/>
  <c r="F374" i="4"/>
  <c r="M373" i="4"/>
  <c r="L373" i="4"/>
  <c r="K373" i="4"/>
  <c r="J373" i="4"/>
  <c r="N373" i="4" s="1"/>
  <c r="I373" i="4"/>
  <c r="H373" i="4"/>
  <c r="G373" i="4"/>
  <c r="F373" i="4"/>
  <c r="M372" i="4"/>
  <c r="L372" i="4"/>
  <c r="K372" i="4"/>
  <c r="J372" i="4"/>
  <c r="N372" i="4" s="1"/>
  <c r="I372" i="4"/>
  <c r="H372" i="4"/>
  <c r="G372" i="4"/>
  <c r="F372" i="4"/>
  <c r="M371" i="4"/>
  <c r="L371" i="4"/>
  <c r="K371" i="4"/>
  <c r="J371" i="4"/>
  <c r="N371" i="4" s="1"/>
  <c r="I371" i="4"/>
  <c r="H371" i="4"/>
  <c r="G371" i="4"/>
  <c r="F371" i="4"/>
  <c r="M370" i="4"/>
  <c r="L370" i="4"/>
  <c r="K370" i="4"/>
  <c r="J370" i="4"/>
  <c r="N370" i="4" s="1"/>
  <c r="I370" i="4"/>
  <c r="H370" i="4"/>
  <c r="G370" i="4"/>
  <c r="F370" i="4"/>
  <c r="N369" i="4"/>
  <c r="M369" i="4"/>
  <c r="L369" i="4"/>
  <c r="K369" i="4"/>
  <c r="J369" i="4"/>
  <c r="I369" i="4"/>
  <c r="H369" i="4"/>
  <c r="G369" i="4"/>
  <c r="F369" i="4"/>
  <c r="N368" i="4"/>
  <c r="M368" i="4"/>
  <c r="L368" i="4"/>
  <c r="K368" i="4"/>
  <c r="J368" i="4"/>
  <c r="I368" i="4"/>
  <c r="H368" i="4"/>
  <c r="G368" i="4"/>
  <c r="F368" i="4"/>
  <c r="N367" i="4"/>
  <c r="M367" i="4"/>
  <c r="L367" i="4"/>
  <c r="K367" i="4"/>
  <c r="J367" i="4"/>
  <c r="I367" i="4"/>
  <c r="H367" i="4"/>
  <c r="G367" i="4"/>
  <c r="F367" i="4"/>
  <c r="N366" i="4"/>
  <c r="M366" i="4"/>
  <c r="L366" i="4"/>
  <c r="K366" i="4"/>
  <c r="J366" i="4"/>
  <c r="I366" i="4"/>
  <c r="H366" i="4"/>
  <c r="G366" i="4"/>
  <c r="F366" i="4"/>
  <c r="M365" i="4"/>
  <c r="L365" i="4"/>
  <c r="K365" i="4"/>
  <c r="J365" i="4"/>
  <c r="N365" i="4" s="1"/>
  <c r="I365" i="4"/>
  <c r="H365" i="4"/>
  <c r="G365" i="4"/>
  <c r="F365" i="4"/>
  <c r="M364" i="4"/>
  <c r="L364" i="4"/>
  <c r="K364" i="4"/>
  <c r="J364" i="4"/>
  <c r="N364" i="4" s="1"/>
  <c r="I364" i="4"/>
  <c r="H364" i="4"/>
  <c r="G364" i="4"/>
  <c r="F364" i="4"/>
  <c r="M363" i="4"/>
  <c r="L363" i="4"/>
  <c r="K363" i="4"/>
  <c r="J363" i="4"/>
  <c r="N363" i="4" s="1"/>
  <c r="I363" i="4"/>
  <c r="H363" i="4"/>
  <c r="G363" i="4"/>
  <c r="F363" i="4"/>
  <c r="M362" i="4"/>
  <c r="L362" i="4"/>
  <c r="K362" i="4"/>
  <c r="J362" i="4"/>
  <c r="N362" i="4" s="1"/>
  <c r="I362" i="4"/>
  <c r="H362" i="4"/>
  <c r="G362" i="4"/>
  <c r="F362" i="4"/>
  <c r="M361" i="4"/>
  <c r="L361" i="4"/>
  <c r="K361" i="4"/>
  <c r="J361" i="4"/>
  <c r="N361" i="4" s="1"/>
  <c r="I361" i="4"/>
  <c r="H361" i="4"/>
  <c r="G361" i="4"/>
  <c r="F361" i="4"/>
  <c r="N360" i="4"/>
  <c r="M360" i="4"/>
  <c r="L360" i="4"/>
  <c r="K360" i="4"/>
  <c r="J360" i="4"/>
  <c r="I360" i="4"/>
  <c r="H360" i="4"/>
  <c r="G360" i="4"/>
  <c r="F360" i="4"/>
  <c r="N359" i="4"/>
  <c r="M359" i="4"/>
  <c r="L359" i="4"/>
  <c r="K359" i="4"/>
  <c r="J359" i="4"/>
  <c r="I359" i="4"/>
  <c r="H359" i="4"/>
  <c r="G359" i="4"/>
  <c r="F359" i="4"/>
  <c r="N358" i="4"/>
  <c r="M358" i="4"/>
  <c r="L358" i="4"/>
  <c r="K358" i="4"/>
  <c r="J358" i="4"/>
  <c r="I358" i="4"/>
  <c r="H358" i="4"/>
  <c r="G358" i="4"/>
  <c r="F358" i="4"/>
  <c r="N357" i="4"/>
  <c r="M357" i="4"/>
  <c r="L357" i="4"/>
  <c r="K357" i="4"/>
  <c r="J357" i="4"/>
  <c r="I357" i="4"/>
  <c r="H357" i="4"/>
  <c r="G357" i="4"/>
  <c r="F357" i="4"/>
  <c r="M356" i="4"/>
  <c r="L356" i="4"/>
  <c r="K356" i="4"/>
  <c r="J356" i="4"/>
  <c r="N356" i="4" s="1"/>
  <c r="I356" i="4"/>
  <c r="H356" i="4"/>
  <c r="G356" i="4"/>
  <c r="F356" i="4"/>
  <c r="N355" i="4"/>
  <c r="M355" i="4"/>
  <c r="L355" i="4"/>
  <c r="K355" i="4"/>
  <c r="J355" i="4"/>
  <c r="I355" i="4"/>
  <c r="H355" i="4"/>
  <c r="G355" i="4"/>
  <c r="F355" i="4"/>
  <c r="M354" i="4"/>
  <c r="L354" i="4"/>
  <c r="K354" i="4"/>
  <c r="J354" i="4"/>
  <c r="N354" i="4" s="1"/>
  <c r="I354" i="4"/>
  <c r="H354" i="4"/>
  <c r="G354" i="4"/>
  <c r="F354" i="4"/>
  <c r="M353" i="4"/>
  <c r="L353" i="4"/>
  <c r="K353" i="4"/>
  <c r="J353" i="4"/>
  <c r="N353" i="4" s="1"/>
  <c r="I353" i="4"/>
  <c r="H353" i="4"/>
  <c r="G353" i="4"/>
  <c r="F353" i="4"/>
  <c r="N352" i="4"/>
  <c r="M352" i="4"/>
  <c r="L352" i="4"/>
  <c r="K352" i="4"/>
  <c r="J352" i="4"/>
  <c r="I352" i="4"/>
  <c r="H352" i="4"/>
  <c r="G352" i="4"/>
  <c r="F352" i="4"/>
  <c r="M351" i="4"/>
  <c r="L351" i="4"/>
  <c r="K351" i="4"/>
  <c r="J351" i="4"/>
  <c r="N351" i="4" s="1"/>
  <c r="I351" i="4"/>
  <c r="H351" i="4"/>
  <c r="G351" i="4"/>
  <c r="F351" i="4"/>
  <c r="N350" i="4"/>
  <c r="M350" i="4"/>
  <c r="L350" i="4"/>
  <c r="K350" i="4"/>
  <c r="J350" i="4"/>
  <c r="I350" i="4"/>
  <c r="H350" i="4"/>
  <c r="G350" i="4"/>
  <c r="F350" i="4"/>
  <c r="N349" i="4"/>
  <c r="M349" i="4"/>
  <c r="L349" i="4"/>
  <c r="K349" i="4"/>
  <c r="J349" i="4"/>
  <c r="I349" i="4"/>
  <c r="H349" i="4"/>
  <c r="G349" i="4"/>
  <c r="F349" i="4"/>
  <c r="M348" i="4"/>
  <c r="L348" i="4"/>
  <c r="K348" i="4"/>
  <c r="J348" i="4"/>
  <c r="N348" i="4" s="1"/>
  <c r="I348" i="4"/>
  <c r="H348" i="4"/>
  <c r="G348" i="4"/>
  <c r="F348" i="4"/>
  <c r="M347" i="4"/>
  <c r="L347" i="4"/>
  <c r="K347" i="4"/>
  <c r="J347" i="4"/>
  <c r="N347" i="4" s="1"/>
  <c r="I347" i="4"/>
  <c r="H347" i="4"/>
  <c r="G347" i="4"/>
  <c r="F347" i="4"/>
  <c r="M346" i="4"/>
  <c r="L346" i="4"/>
  <c r="K346" i="4"/>
  <c r="J346" i="4"/>
  <c r="N346" i="4" s="1"/>
  <c r="I346" i="4"/>
  <c r="H346" i="4"/>
  <c r="G346" i="4"/>
  <c r="F346" i="4"/>
  <c r="N345" i="4"/>
  <c r="M345" i="4"/>
  <c r="L345" i="4"/>
  <c r="K345" i="4"/>
  <c r="J345" i="4"/>
  <c r="I345" i="4"/>
  <c r="H345" i="4"/>
  <c r="G345" i="4"/>
  <c r="F345" i="4"/>
  <c r="N344" i="4"/>
  <c r="M344" i="4"/>
  <c r="L344" i="4"/>
  <c r="K344" i="4"/>
  <c r="J344" i="4"/>
  <c r="I344" i="4"/>
  <c r="H344" i="4"/>
  <c r="G344" i="4"/>
  <c r="F344" i="4"/>
  <c r="M343" i="4"/>
  <c r="L343" i="4"/>
  <c r="K343" i="4"/>
  <c r="J343" i="4"/>
  <c r="N343" i="4" s="1"/>
  <c r="I343" i="4"/>
  <c r="H343" i="4"/>
  <c r="G343" i="4"/>
  <c r="F343" i="4"/>
  <c r="N342" i="4"/>
  <c r="M342" i="4"/>
  <c r="L342" i="4"/>
  <c r="K342" i="4"/>
  <c r="J342" i="4"/>
  <c r="I342" i="4"/>
  <c r="H342" i="4"/>
  <c r="G342" i="4"/>
  <c r="F342" i="4"/>
  <c r="M341" i="4"/>
  <c r="L341" i="4"/>
  <c r="K341" i="4"/>
  <c r="J341" i="4"/>
  <c r="N341" i="4" s="1"/>
  <c r="I341" i="4"/>
  <c r="H341" i="4"/>
  <c r="G341" i="4"/>
  <c r="F341" i="4"/>
  <c r="M340" i="4"/>
  <c r="L340" i="4"/>
  <c r="K340" i="4"/>
  <c r="J340" i="4"/>
  <c r="N340" i="4" s="1"/>
  <c r="I340" i="4"/>
  <c r="H340" i="4"/>
  <c r="G340" i="4"/>
  <c r="F340" i="4"/>
  <c r="N339" i="4"/>
  <c r="M339" i="4"/>
  <c r="L339" i="4"/>
  <c r="K339" i="4"/>
  <c r="J339" i="4"/>
  <c r="I339" i="4"/>
  <c r="H339" i="4"/>
  <c r="G339" i="4"/>
  <c r="F339" i="4"/>
  <c r="M338" i="4"/>
  <c r="L338" i="4"/>
  <c r="K338" i="4"/>
  <c r="J338" i="4"/>
  <c r="N338" i="4" s="1"/>
  <c r="I338" i="4"/>
  <c r="H338" i="4"/>
  <c r="G338" i="4"/>
  <c r="F338" i="4"/>
  <c r="M337" i="4"/>
  <c r="L337" i="4"/>
  <c r="K337" i="4"/>
  <c r="J337" i="4"/>
  <c r="N337" i="4" s="1"/>
  <c r="I337" i="4"/>
  <c r="H337" i="4"/>
  <c r="G337" i="4"/>
  <c r="F337" i="4"/>
  <c r="N336" i="4"/>
  <c r="M336" i="4"/>
  <c r="L336" i="4"/>
  <c r="K336" i="4"/>
  <c r="J336" i="4"/>
  <c r="I336" i="4"/>
  <c r="H336" i="4"/>
  <c r="G336" i="4"/>
  <c r="F336" i="4"/>
  <c r="N335" i="4"/>
  <c r="M335" i="4"/>
  <c r="L335" i="4"/>
  <c r="K335" i="4"/>
  <c r="J335" i="4"/>
  <c r="I335" i="4"/>
  <c r="H335" i="4"/>
  <c r="G335" i="4"/>
  <c r="F335" i="4"/>
  <c r="N334" i="4"/>
  <c r="M334" i="4"/>
  <c r="L334" i="4"/>
  <c r="K334" i="4"/>
  <c r="J334" i="4"/>
  <c r="I334" i="4"/>
  <c r="H334" i="4"/>
  <c r="G334" i="4"/>
  <c r="F334" i="4"/>
  <c r="N333" i="4"/>
  <c r="M333" i="4"/>
  <c r="L333" i="4"/>
  <c r="K333" i="4"/>
  <c r="J333" i="4"/>
  <c r="I333" i="4"/>
  <c r="H333" i="4"/>
  <c r="G333" i="4"/>
  <c r="F333" i="4"/>
  <c r="M332" i="4"/>
  <c r="L332" i="4"/>
  <c r="K332" i="4"/>
  <c r="J332" i="4"/>
  <c r="N332" i="4" s="1"/>
  <c r="I332" i="4"/>
  <c r="H332" i="4"/>
  <c r="G332" i="4"/>
  <c r="F332" i="4"/>
  <c r="M331" i="4"/>
  <c r="L331" i="4"/>
  <c r="K331" i="4"/>
  <c r="J331" i="4"/>
  <c r="N331" i="4" s="1"/>
  <c r="I331" i="4"/>
  <c r="H331" i="4"/>
  <c r="G331" i="4"/>
  <c r="F331" i="4"/>
  <c r="M330" i="4"/>
  <c r="L330" i="4"/>
  <c r="K330" i="4"/>
  <c r="J330" i="4"/>
  <c r="N330" i="4" s="1"/>
  <c r="I330" i="4"/>
  <c r="H330" i="4"/>
  <c r="G330" i="4"/>
  <c r="F330" i="4"/>
  <c r="N329" i="4"/>
  <c r="M329" i="4"/>
  <c r="L329" i="4"/>
  <c r="K329" i="4"/>
  <c r="J329" i="4"/>
  <c r="I329" i="4"/>
  <c r="H329" i="4"/>
  <c r="G329" i="4"/>
  <c r="F329" i="4"/>
  <c r="M328" i="4"/>
  <c r="L328" i="4"/>
  <c r="K328" i="4"/>
  <c r="J328" i="4"/>
  <c r="N328" i="4" s="1"/>
  <c r="I328" i="4"/>
  <c r="H328" i="4"/>
  <c r="G328" i="4"/>
  <c r="F328" i="4"/>
  <c r="N327" i="4"/>
  <c r="M327" i="4"/>
  <c r="L327" i="4"/>
  <c r="K327" i="4"/>
  <c r="J327" i="4"/>
  <c r="I327" i="4"/>
  <c r="H327" i="4"/>
  <c r="G327" i="4"/>
  <c r="F327" i="4"/>
  <c r="N326" i="4"/>
  <c r="M326" i="4"/>
  <c r="L326" i="4"/>
  <c r="K326" i="4"/>
  <c r="J326" i="4"/>
  <c r="I326" i="4"/>
  <c r="H326" i="4"/>
  <c r="G326" i="4"/>
  <c r="F326" i="4"/>
  <c r="M325" i="4"/>
  <c r="L325" i="4"/>
  <c r="K325" i="4"/>
  <c r="J325" i="4"/>
  <c r="N325" i="4" s="1"/>
  <c r="I325" i="4"/>
  <c r="H325" i="4"/>
  <c r="G325" i="4"/>
  <c r="F325" i="4"/>
  <c r="N324" i="4"/>
  <c r="M324" i="4"/>
  <c r="L324" i="4"/>
  <c r="K324" i="4"/>
  <c r="J324" i="4"/>
  <c r="I324" i="4"/>
  <c r="H324" i="4"/>
  <c r="G324" i="4"/>
  <c r="F324" i="4"/>
  <c r="M323" i="4"/>
  <c r="L323" i="4"/>
  <c r="K323" i="4"/>
  <c r="J323" i="4"/>
  <c r="N323" i="4" s="1"/>
  <c r="I323" i="4"/>
  <c r="H323" i="4"/>
  <c r="G323" i="4"/>
  <c r="F323" i="4"/>
  <c r="M322" i="4"/>
  <c r="L322" i="4"/>
  <c r="K322" i="4"/>
  <c r="J322" i="4"/>
  <c r="N322" i="4" s="1"/>
  <c r="I322" i="4"/>
  <c r="H322" i="4"/>
  <c r="G322" i="4"/>
  <c r="F322" i="4"/>
  <c r="M321" i="4"/>
  <c r="L321" i="4"/>
  <c r="K321" i="4"/>
  <c r="J321" i="4"/>
  <c r="N321" i="4" s="1"/>
  <c r="I321" i="4"/>
  <c r="H321" i="4"/>
  <c r="G321" i="4"/>
  <c r="F321" i="4"/>
  <c r="N320" i="4"/>
  <c r="M320" i="4"/>
  <c r="L320" i="4"/>
  <c r="K320" i="4"/>
  <c r="J320" i="4"/>
  <c r="I320" i="4"/>
  <c r="H320" i="4"/>
  <c r="G320" i="4"/>
  <c r="F320" i="4"/>
  <c r="M319" i="4"/>
  <c r="L319" i="4"/>
  <c r="K319" i="4"/>
  <c r="J319" i="4"/>
  <c r="N319" i="4" s="1"/>
  <c r="I319" i="4"/>
  <c r="H319" i="4"/>
  <c r="G319" i="4"/>
  <c r="F319" i="4"/>
  <c r="N318" i="4"/>
  <c r="M318" i="4"/>
  <c r="L318" i="4"/>
  <c r="K318" i="4"/>
  <c r="J318" i="4"/>
  <c r="I318" i="4"/>
  <c r="H318" i="4"/>
  <c r="G318" i="4"/>
  <c r="F318" i="4"/>
  <c r="N317" i="4"/>
  <c r="M317" i="4"/>
  <c r="L317" i="4"/>
  <c r="K317" i="4"/>
  <c r="J317" i="4"/>
  <c r="I317" i="4"/>
  <c r="H317" i="4"/>
  <c r="G317" i="4"/>
  <c r="F317" i="4"/>
  <c r="M316" i="4"/>
  <c r="L316" i="4"/>
  <c r="K316" i="4"/>
  <c r="J316" i="4"/>
  <c r="N316" i="4" s="1"/>
  <c r="I316" i="4"/>
  <c r="H316" i="4"/>
  <c r="G316" i="4"/>
  <c r="F316" i="4"/>
  <c r="N315" i="4"/>
  <c r="M315" i="4"/>
  <c r="L315" i="4"/>
  <c r="K315" i="4"/>
  <c r="J315" i="4"/>
  <c r="I315" i="4"/>
  <c r="H315" i="4"/>
  <c r="G315" i="4"/>
  <c r="F315" i="4"/>
  <c r="M314" i="4"/>
  <c r="L314" i="4"/>
  <c r="K314" i="4"/>
  <c r="J314" i="4"/>
  <c r="N314" i="4" s="1"/>
  <c r="I314" i="4"/>
  <c r="H314" i="4"/>
  <c r="G314" i="4"/>
  <c r="F314" i="4"/>
  <c r="M313" i="4"/>
  <c r="L313" i="4"/>
  <c r="K313" i="4"/>
  <c r="J313" i="4"/>
  <c r="N313" i="4" s="1"/>
  <c r="I313" i="4"/>
  <c r="H313" i="4"/>
  <c r="G313" i="4"/>
  <c r="F313" i="4"/>
  <c r="M312" i="4"/>
  <c r="L312" i="4"/>
  <c r="K312" i="4"/>
  <c r="J312" i="4"/>
  <c r="N312" i="4" s="1"/>
  <c r="I312" i="4"/>
  <c r="H312" i="4"/>
  <c r="G312" i="4"/>
  <c r="F312" i="4"/>
  <c r="N311" i="4"/>
  <c r="M311" i="4"/>
  <c r="L311" i="4"/>
  <c r="K311" i="4"/>
  <c r="J311" i="4"/>
  <c r="I311" i="4"/>
  <c r="H311" i="4"/>
  <c r="G311" i="4"/>
  <c r="F311" i="4"/>
  <c r="N310" i="4"/>
  <c r="M310" i="4"/>
  <c r="L310" i="4"/>
  <c r="K310" i="4"/>
  <c r="J310" i="4"/>
  <c r="I310" i="4"/>
  <c r="H310" i="4"/>
  <c r="G310" i="4"/>
  <c r="F310" i="4"/>
  <c r="N309" i="4"/>
  <c r="M309" i="4"/>
  <c r="L309" i="4"/>
  <c r="K309" i="4"/>
  <c r="J309" i="4"/>
  <c r="I309" i="4"/>
  <c r="H309" i="4"/>
  <c r="G309" i="4"/>
  <c r="F309" i="4"/>
  <c r="N308" i="4"/>
  <c r="M308" i="4"/>
  <c r="L308" i="4"/>
  <c r="K308" i="4"/>
  <c r="J308" i="4"/>
  <c r="I308" i="4"/>
  <c r="H308" i="4"/>
  <c r="G308" i="4"/>
  <c r="F308" i="4"/>
  <c r="M307" i="4"/>
  <c r="L307" i="4"/>
  <c r="K307" i="4"/>
  <c r="J307" i="4"/>
  <c r="N307" i="4" s="1"/>
  <c r="I307" i="4"/>
  <c r="H307" i="4"/>
  <c r="G307" i="4"/>
  <c r="F307" i="4"/>
  <c r="M306" i="4"/>
  <c r="L306" i="4"/>
  <c r="K306" i="4"/>
  <c r="J306" i="4"/>
  <c r="N306" i="4" s="1"/>
  <c r="I306" i="4"/>
  <c r="H306" i="4"/>
  <c r="G306" i="4"/>
  <c r="F306" i="4"/>
  <c r="M305" i="4"/>
  <c r="L305" i="4"/>
  <c r="K305" i="4"/>
  <c r="J305" i="4"/>
  <c r="N305" i="4" s="1"/>
  <c r="I305" i="4"/>
  <c r="H305" i="4"/>
  <c r="G305" i="4"/>
  <c r="F305" i="4"/>
  <c r="M304" i="4"/>
  <c r="L304" i="4"/>
  <c r="K304" i="4"/>
  <c r="J304" i="4"/>
  <c r="N304" i="4" s="1"/>
  <c r="I304" i="4"/>
  <c r="H304" i="4"/>
  <c r="G304" i="4"/>
  <c r="F304" i="4"/>
  <c r="M303" i="4"/>
  <c r="L303" i="4"/>
  <c r="K303" i="4"/>
  <c r="J303" i="4"/>
  <c r="N303" i="4" s="1"/>
  <c r="I303" i="4"/>
  <c r="H303" i="4"/>
  <c r="G303" i="4"/>
  <c r="F303" i="4"/>
  <c r="N302" i="4"/>
  <c r="M302" i="4"/>
  <c r="L302" i="4"/>
  <c r="K302" i="4"/>
  <c r="J302" i="4"/>
  <c r="I302" i="4"/>
  <c r="H302" i="4"/>
  <c r="G302" i="4"/>
  <c r="F302" i="4"/>
  <c r="M301" i="4"/>
  <c r="L301" i="4"/>
  <c r="K301" i="4"/>
  <c r="J301" i="4"/>
  <c r="N301" i="4" s="1"/>
  <c r="I301" i="4"/>
  <c r="H301" i="4"/>
  <c r="G301" i="4"/>
  <c r="F301" i="4"/>
  <c r="N300" i="4"/>
  <c r="M300" i="4"/>
  <c r="L300" i="4"/>
  <c r="K300" i="4"/>
  <c r="J300" i="4"/>
  <c r="I300" i="4"/>
  <c r="H300" i="4"/>
  <c r="G300" i="4"/>
  <c r="F300" i="4"/>
  <c r="N299" i="4"/>
  <c r="M299" i="4"/>
  <c r="L299" i="4"/>
  <c r="K299" i="4"/>
  <c r="J299" i="4"/>
  <c r="I299" i="4"/>
  <c r="H299" i="4"/>
  <c r="G299" i="4"/>
  <c r="F299" i="4"/>
  <c r="M298" i="4"/>
  <c r="L298" i="4"/>
  <c r="K298" i="4"/>
  <c r="J298" i="4"/>
  <c r="N298" i="4" s="1"/>
  <c r="I298" i="4"/>
  <c r="H298" i="4"/>
  <c r="G298" i="4"/>
  <c r="F298" i="4"/>
  <c r="M297" i="4"/>
  <c r="L297" i="4"/>
  <c r="K297" i="4"/>
  <c r="J297" i="4"/>
  <c r="N297" i="4" s="1"/>
  <c r="I297" i="4"/>
  <c r="H297" i="4"/>
  <c r="G297" i="4"/>
  <c r="F297" i="4"/>
  <c r="M296" i="4"/>
  <c r="L296" i="4"/>
  <c r="K296" i="4"/>
  <c r="J296" i="4"/>
  <c r="N296" i="4" s="1"/>
  <c r="I296" i="4"/>
  <c r="H296" i="4"/>
  <c r="G296" i="4"/>
  <c r="F296" i="4"/>
  <c r="M295" i="4"/>
  <c r="L295" i="4"/>
  <c r="K295" i="4"/>
  <c r="J295" i="4"/>
  <c r="N295" i="4" s="1"/>
  <c r="I295" i="4"/>
  <c r="H295" i="4"/>
  <c r="G295" i="4"/>
  <c r="F295" i="4"/>
  <c r="N294" i="4"/>
  <c r="M294" i="4"/>
  <c r="L294" i="4"/>
  <c r="K294" i="4"/>
  <c r="J294" i="4"/>
  <c r="I294" i="4"/>
  <c r="H294" i="4"/>
  <c r="G294" i="4"/>
  <c r="F294" i="4"/>
  <c r="N293" i="4"/>
  <c r="M293" i="4"/>
  <c r="L293" i="4"/>
  <c r="K293" i="4"/>
  <c r="J293" i="4"/>
  <c r="I293" i="4"/>
  <c r="H293" i="4"/>
  <c r="G293" i="4"/>
  <c r="F293" i="4"/>
  <c r="M292" i="4"/>
  <c r="L292" i="4"/>
  <c r="K292" i="4"/>
  <c r="J292" i="4"/>
  <c r="N292" i="4" s="1"/>
  <c r="I292" i="4"/>
  <c r="H292" i="4"/>
  <c r="G292" i="4"/>
  <c r="F292" i="4"/>
  <c r="N291" i="4"/>
  <c r="M291" i="4"/>
  <c r="L291" i="4"/>
  <c r="K291" i="4"/>
  <c r="J291" i="4"/>
  <c r="I291" i="4"/>
  <c r="H291" i="4"/>
  <c r="G291" i="4"/>
  <c r="F291" i="4"/>
  <c r="M290" i="4"/>
  <c r="L290" i="4"/>
  <c r="K290" i="4"/>
  <c r="J290" i="4"/>
  <c r="N290" i="4" s="1"/>
  <c r="I290" i="4"/>
  <c r="H290" i="4"/>
  <c r="G290" i="4"/>
  <c r="F290" i="4"/>
  <c r="N289" i="4"/>
  <c r="M289" i="4"/>
  <c r="L289" i="4"/>
  <c r="K289" i="4"/>
  <c r="J289" i="4"/>
  <c r="I289" i="4"/>
  <c r="H289" i="4"/>
  <c r="G289" i="4"/>
  <c r="F289" i="4"/>
  <c r="M288" i="4"/>
  <c r="L288" i="4"/>
  <c r="K288" i="4"/>
  <c r="J288" i="4"/>
  <c r="N288" i="4" s="1"/>
  <c r="I288" i="4"/>
  <c r="H288" i="4"/>
  <c r="G288" i="4"/>
  <c r="F288" i="4"/>
  <c r="M287" i="4"/>
  <c r="L287" i="4"/>
  <c r="K287" i="4"/>
  <c r="J287" i="4"/>
  <c r="N287" i="4" s="1"/>
  <c r="I287" i="4"/>
  <c r="H287" i="4"/>
  <c r="G287" i="4"/>
  <c r="F287" i="4"/>
  <c r="N286" i="4"/>
  <c r="M286" i="4"/>
  <c r="L286" i="4"/>
  <c r="K286" i="4"/>
  <c r="J286" i="4"/>
  <c r="I286" i="4"/>
  <c r="H286" i="4"/>
  <c r="G286" i="4"/>
  <c r="F286" i="4"/>
  <c r="M285" i="4"/>
  <c r="L285" i="4"/>
  <c r="K285" i="4"/>
  <c r="J285" i="4"/>
  <c r="N285" i="4" s="1"/>
  <c r="I285" i="4"/>
  <c r="H285" i="4"/>
  <c r="G285" i="4"/>
  <c r="F285" i="4"/>
  <c r="N284" i="4"/>
  <c r="M284" i="4"/>
  <c r="L284" i="4"/>
  <c r="K284" i="4"/>
  <c r="J284" i="4"/>
  <c r="I284" i="4"/>
  <c r="H284" i="4"/>
  <c r="G284" i="4"/>
  <c r="F284" i="4"/>
  <c r="M283" i="4"/>
  <c r="L283" i="4"/>
  <c r="K283" i="4"/>
  <c r="J283" i="4"/>
  <c r="N283" i="4" s="1"/>
  <c r="I283" i="4"/>
  <c r="H283" i="4"/>
  <c r="G283" i="4"/>
  <c r="F283" i="4"/>
  <c r="M282" i="4"/>
  <c r="L282" i="4"/>
  <c r="K282" i="4"/>
  <c r="J282" i="4"/>
  <c r="N282" i="4" s="1"/>
  <c r="I282" i="4"/>
  <c r="H282" i="4"/>
  <c r="G282" i="4"/>
  <c r="F282" i="4"/>
  <c r="N281" i="4"/>
  <c r="M281" i="4"/>
  <c r="L281" i="4"/>
  <c r="K281" i="4"/>
  <c r="J281" i="4"/>
  <c r="I281" i="4"/>
  <c r="H281" i="4"/>
  <c r="G281" i="4"/>
  <c r="F281" i="4"/>
  <c r="N280" i="4"/>
  <c r="M280" i="4"/>
  <c r="L280" i="4"/>
  <c r="K280" i="4"/>
  <c r="J280" i="4"/>
  <c r="I280" i="4"/>
  <c r="H280" i="4"/>
  <c r="G280" i="4"/>
  <c r="F280" i="4"/>
  <c r="M279" i="4"/>
  <c r="L279" i="4"/>
  <c r="K279" i="4"/>
  <c r="J279" i="4"/>
  <c r="N279" i="4" s="1"/>
  <c r="I279" i="4"/>
  <c r="H279" i="4"/>
  <c r="G279" i="4"/>
  <c r="F279" i="4"/>
  <c r="N278" i="4"/>
  <c r="M278" i="4"/>
  <c r="L278" i="4"/>
  <c r="K278" i="4"/>
  <c r="J278" i="4"/>
  <c r="I278" i="4"/>
  <c r="H278" i="4"/>
  <c r="G278" i="4"/>
  <c r="F278" i="4"/>
  <c r="M277" i="4"/>
  <c r="L277" i="4"/>
  <c r="K277" i="4"/>
  <c r="J277" i="4"/>
  <c r="N277" i="4" s="1"/>
  <c r="I277" i="4"/>
  <c r="H277" i="4"/>
  <c r="G277" i="4"/>
  <c r="F277" i="4"/>
  <c r="M276" i="4"/>
  <c r="L276" i="4"/>
  <c r="K276" i="4"/>
  <c r="J276" i="4"/>
  <c r="N276" i="4" s="1"/>
  <c r="I276" i="4"/>
  <c r="H276" i="4"/>
  <c r="G276" i="4"/>
  <c r="F276" i="4"/>
  <c r="N275" i="4"/>
  <c r="M275" i="4"/>
  <c r="L275" i="4"/>
  <c r="K275" i="4"/>
  <c r="J275" i="4"/>
  <c r="I275" i="4"/>
  <c r="H275" i="4"/>
  <c r="G275" i="4"/>
  <c r="F275" i="4"/>
  <c r="M274" i="4"/>
  <c r="L274" i="4"/>
  <c r="K274" i="4"/>
  <c r="J274" i="4"/>
  <c r="N274" i="4" s="1"/>
  <c r="I274" i="4"/>
  <c r="H274" i="4"/>
  <c r="G274" i="4"/>
  <c r="F274" i="4"/>
  <c r="M273" i="4"/>
  <c r="L273" i="4"/>
  <c r="K273" i="4"/>
  <c r="J273" i="4"/>
  <c r="N273" i="4" s="1"/>
  <c r="I273" i="4"/>
  <c r="H273" i="4"/>
  <c r="G273" i="4"/>
  <c r="F273" i="4"/>
  <c r="N272" i="4"/>
  <c r="M272" i="4"/>
  <c r="L272" i="4"/>
  <c r="K272" i="4"/>
  <c r="J272" i="4"/>
  <c r="I272" i="4"/>
  <c r="H272" i="4"/>
  <c r="G272" i="4"/>
  <c r="F272" i="4"/>
  <c r="N271" i="4"/>
  <c r="M271" i="4"/>
  <c r="L271" i="4"/>
  <c r="K271" i="4"/>
  <c r="J271" i="4"/>
  <c r="I271" i="4"/>
  <c r="H271" i="4"/>
  <c r="G271" i="4"/>
  <c r="F271" i="4"/>
  <c r="M270" i="4"/>
  <c r="L270" i="4"/>
  <c r="K270" i="4"/>
  <c r="J270" i="4"/>
  <c r="N270" i="4" s="1"/>
  <c r="I270" i="4"/>
  <c r="H270" i="4"/>
  <c r="G270" i="4"/>
  <c r="F270" i="4"/>
  <c r="M269" i="4"/>
  <c r="L269" i="4"/>
  <c r="K269" i="4"/>
  <c r="J269" i="4"/>
  <c r="N269" i="4" s="1"/>
  <c r="I269" i="4"/>
  <c r="H269" i="4"/>
  <c r="G269" i="4"/>
  <c r="F269" i="4"/>
  <c r="N268" i="4"/>
  <c r="M268" i="4"/>
  <c r="L268" i="4"/>
  <c r="K268" i="4"/>
  <c r="J268" i="4"/>
  <c r="I268" i="4"/>
  <c r="H268" i="4"/>
  <c r="G268" i="4"/>
  <c r="F268" i="4"/>
  <c r="M267" i="4"/>
  <c r="L267" i="4"/>
  <c r="K267" i="4"/>
  <c r="J267" i="4"/>
  <c r="N267" i="4" s="1"/>
  <c r="I267" i="4"/>
  <c r="H267" i="4"/>
  <c r="G267" i="4"/>
  <c r="F267" i="4"/>
  <c r="M266" i="4"/>
  <c r="L266" i="4"/>
  <c r="K266" i="4"/>
  <c r="J266" i="4"/>
  <c r="N266" i="4" s="1"/>
  <c r="I266" i="4"/>
  <c r="H266" i="4"/>
  <c r="G266" i="4"/>
  <c r="F266" i="4"/>
  <c r="M265" i="4"/>
  <c r="L265" i="4"/>
  <c r="K265" i="4"/>
  <c r="J265" i="4"/>
  <c r="N265" i="4" s="1"/>
  <c r="I265" i="4"/>
  <c r="H265" i="4"/>
  <c r="G265" i="4"/>
  <c r="F265" i="4"/>
  <c r="N264" i="4"/>
  <c r="M264" i="4"/>
  <c r="L264" i="4"/>
  <c r="K264" i="4"/>
  <c r="J264" i="4"/>
  <c r="I264" i="4"/>
  <c r="H264" i="4"/>
  <c r="G264" i="4"/>
  <c r="F264" i="4"/>
  <c r="M263" i="4"/>
  <c r="L263" i="4"/>
  <c r="K263" i="4"/>
  <c r="J263" i="4"/>
  <c r="N263" i="4" s="1"/>
  <c r="I263" i="4"/>
  <c r="H263" i="4"/>
  <c r="G263" i="4"/>
  <c r="F263" i="4"/>
  <c r="N262" i="4"/>
  <c r="M262" i="4"/>
  <c r="L262" i="4"/>
  <c r="K262" i="4"/>
  <c r="J262" i="4"/>
  <c r="I262" i="4"/>
  <c r="H262" i="4"/>
  <c r="G262" i="4"/>
  <c r="F262" i="4"/>
  <c r="N261" i="4"/>
  <c r="M261" i="4"/>
  <c r="L261" i="4"/>
  <c r="K261" i="4"/>
  <c r="J261" i="4"/>
  <c r="I261" i="4"/>
  <c r="H261" i="4"/>
  <c r="G261" i="4"/>
  <c r="F261" i="4"/>
  <c r="M260" i="4"/>
  <c r="L260" i="4"/>
  <c r="K260" i="4"/>
  <c r="J260" i="4"/>
  <c r="N260" i="4" s="1"/>
  <c r="I260" i="4"/>
  <c r="H260" i="4"/>
  <c r="G260" i="4"/>
  <c r="F260" i="4"/>
  <c r="M259" i="4"/>
  <c r="L259" i="4"/>
  <c r="K259" i="4"/>
  <c r="J259" i="4"/>
  <c r="N259" i="4" s="1"/>
  <c r="I259" i="4"/>
  <c r="H259" i="4"/>
  <c r="G259" i="4"/>
  <c r="F259" i="4"/>
  <c r="M258" i="4"/>
  <c r="L258" i="4"/>
  <c r="K258" i="4"/>
  <c r="J258" i="4"/>
  <c r="N258" i="4" s="1"/>
  <c r="I258" i="4"/>
  <c r="H258" i="4"/>
  <c r="G258" i="4"/>
  <c r="F258" i="4"/>
  <c r="M257" i="4"/>
  <c r="L257" i="4"/>
  <c r="K257" i="4"/>
  <c r="J257" i="4"/>
  <c r="N257" i="4" s="1"/>
  <c r="I257" i="4"/>
  <c r="H257" i="4"/>
  <c r="G257" i="4"/>
  <c r="F257" i="4"/>
  <c r="M256" i="4"/>
  <c r="L256" i="4"/>
  <c r="K256" i="4"/>
  <c r="J256" i="4"/>
  <c r="N256" i="4" s="1"/>
  <c r="I256" i="4"/>
  <c r="H256" i="4"/>
  <c r="G256" i="4"/>
  <c r="F256" i="4"/>
  <c r="N255" i="4"/>
  <c r="M255" i="4"/>
  <c r="L255" i="4"/>
  <c r="K255" i="4"/>
  <c r="J255" i="4"/>
  <c r="I255" i="4"/>
  <c r="H255" i="4"/>
  <c r="G255" i="4"/>
  <c r="F255" i="4"/>
  <c r="N254" i="4"/>
  <c r="M254" i="4"/>
  <c r="L254" i="4"/>
  <c r="K254" i="4"/>
  <c r="J254" i="4"/>
  <c r="I254" i="4"/>
  <c r="H254" i="4"/>
  <c r="G254" i="4"/>
  <c r="F254" i="4"/>
  <c r="N253" i="4"/>
  <c r="M253" i="4"/>
  <c r="L253" i="4"/>
  <c r="K253" i="4"/>
  <c r="J253" i="4"/>
  <c r="I253" i="4"/>
  <c r="H253" i="4"/>
  <c r="G253" i="4"/>
  <c r="F253" i="4"/>
  <c r="N252" i="4"/>
  <c r="M252" i="4"/>
  <c r="L252" i="4"/>
  <c r="K252" i="4"/>
  <c r="J252" i="4"/>
  <c r="I252" i="4"/>
  <c r="H252" i="4"/>
  <c r="G252" i="4"/>
  <c r="F252" i="4"/>
  <c r="M251" i="4"/>
  <c r="L251" i="4"/>
  <c r="K251" i="4"/>
  <c r="J251" i="4"/>
  <c r="N251" i="4" s="1"/>
  <c r="I251" i="4"/>
  <c r="H251" i="4"/>
  <c r="G251" i="4"/>
  <c r="F251" i="4"/>
  <c r="M250" i="4"/>
  <c r="L250" i="4"/>
  <c r="K250" i="4"/>
  <c r="J250" i="4"/>
  <c r="N250" i="4" s="1"/>
  <c r="I250" i="4"/>
  <c r="H250" i="4"/>
  <c r="G250" i="4"/>
  <c r="F250" i="4"/>
  <c r="M249" i="4"/>
  <c r="L249" i="4"/>
  <c r="K249" i="4"/>
  <c r="J249" i="4"/>
  <c r="N249" i="4" s="1"/>
  <c r="I249" i="4"/>
  <c r="H249" i="4"/>
  <c r="G249" i="4"/>
  <c r="F249" i="4"/>
  <c r="M248" i="4"/>
  <c r="L248" i="4"/>
  <c r="K248" i="4"/>
  <c r="J248" i="4"/>
  <c r="N248" i="4" s="1"/>
  <c r="I248" i="4"/>
  <c r="H248" i="4"/>
  <c r="G248" i="4"/>
  <c r="F248" i="4"/>
  <c r="M247" i="4"/>
  <c r="L247" i="4"/>
  <c r="K247" i="4"/>
  <c r="J247" i="4"/>
  <c r="N247" i="4" s="1"/>
  <c r="I247" i="4"/>
  <c r="H247" i="4"/>
  <c r="G247" i="4"/>
  <c r="F247" i="4"/>
  <c r="N246" i="4"/>
  <c r="M246" i="4"/>
  <c r="L246" i="4"/>
  <c r="K246" i="4"/>
  <c r="J246" i="4"/>
  <c r="I246" i="4"/>
  <c r="H246" i="4"/>
  <c r="G246" i="4"/>
  <c r="F246" i="4"/>
  <c r="M245" i="4"/>
  <c r="L245" i="4"/>
  <c r="K245" i="4"/>
  <c r="J245" i="4"/>
  <c r="N245" i="4" s="1"/>
  <c r="I245" i="4"/>
  <c r="H245" i="4"/>
  <c r="G245" i="4"/>
  <c r="F245" i="4"/>
  <c r="N244" i="4"/>
  <c r="M244" i="4"/>
  <c r="L244" i="4"/>
  <c r="K244" i="4"/>
  <c r="J244" i="4"/>
  <c r="I244" i="4"/>
  <c r="H244" i="4"/>
  <c r="G244" i="4"/>
  <c r="F244" i="4"/>
  <c r="N243" i="4"/>
  <c r="M243" i="4"/>
  <c r="L243" i="4"/>
  <c r="K243" i="4"/>
  <c r="J243" i="4"/>
  <c r="I243" i="4"/>
  <c r="H243" i="4"/>
  <c r="G243" i="4"/>
  <c r="F243" i="4"/>
  <c r="M242" i="4"/>
  <c r="L242" i="4"/>
  <c r="K242" i="4"/>
  <c r="J242" i="4"/>
  <c r="N242" i="4" s="1"/>
  <c r="I242" i="4"/>
  <c r="H242" i="4"/>
  <c r="G242" i="4"/>
  <c r="F242" i="4"/>
  <c r="M241" i="4"/>
  <c r="L241" i="4"/>
  <c r="K241" i="4"/>
  <c r="J241" i="4"/>
  <c r="N241" i="4" s="1"/>
  <c r="I241" i="4"/>
  <c r="H241" i="4"/>
  <c r="G241" i="4"/>
  <c r="F241" i="4"/>
  <c r="M240" i="4"/>
  <c r="L240" i="4"/>
  <c r="K240" i="4"/>
  <c r="J240" i="4"/>
  <c r="N240" i="4" s="1"/>
  <c r="I240" i="4"/>
  <c r="H240" i="4"/>
  <c r="G240" i="4"/>
  <c r="F240" i="4"/>
  <c r="M239" i="4"/>
  <c r="L239" i="4"/>
  <c r="K239" i="4"/>
  <c r="J239" i="4"/>
  <c r="N239" i="4" s="1"/>
  <c r="I239" i="4"/>
  <c r="H239" i="4"/>
  <c r="G239" i="4"/>
  <c r="F239" i="4"/>
  <c r="N238" i="4"/>
  <c r="M238" i="4"/>
  <c r="L238" i="4"/>
  <c r="K238" i="4"/>
  <c r="J238" i="4"/>
  <c r="I238" i="4"/>
  <c r="H238" i="4"/>
  <c r="G238" i="4"/>
  <c r="F238" i="4"/>
  <c r="N237" i="4"/>
  <c r="M237" i="4"/>
  <c r="L237" i="4"/>
  <c r="K237" i="4"/>
  <c r="J237" i="4"/>
  <c r="I237" i="4"/>
  <c r="H237" i="4"/>
  <c r="G237" i="4"/>
  <c r="F237" i="4"/>
  <c r="M236" i="4"/>
  <c r="L236" i="4"/>
  <c r="K236" i="4"/>
  <c r="J236" i="4"/>
  <c r="N236" i="4" s="1"/>
  <c r="I236" i="4"/>
  <c r="H236" i="4"/>
  <c r="G236" i="4"/>
  <c r="F236" i="4"/>
  <c r="N235" i="4"/>
  <c r="M235" i="4"/>
  <c r="L235" i="4"/>
  <c r="K235" i="4"/>
  <c r="J235" i="4"/>
  <c r="I235" i="4"/>
  <c r="H235" i="4"/>
  <c r="G235" i="4"/>
  <c r="F235" i="4"/>
  <c r="M234" i="4"/>
  <c r="L234" i="4"/>
  <c r="K234" i="4"/>
  <c r="J234" i="4"/>
  <c r="N234" i="4" s="1"/>
  <c r="I234" i="4"/>
  <c r="H234" i="4"/>
  <c r="G234" i="4"/>
  <c r="F234" i="4"/>
  <c r="N233" i="4"/>
  <c r="M233" i="4"/>
  <c r="L233" i="4"/>
  <c r="K233" i="4"/>
  <c r="J233" i="4"/>
  <c r="I233" i="4"/>
  <c r="H233" i="4"/>
  <c r="G233" i="4"/>
  <c r="F233" i="4"/>
  <c r="M232" i="4"/>
  <c r="L232" i="4"/>
  <c r="K232" i="4"/>
  <c r="J232" i="4"/>
  <c r="N232" i="4" s="1"/>
  <c r="I232" i="4"/>
  <c r="H232" i="4"/>
  <c r="G232" i="4"/>
  <c r="F232" i="4"/>
  <c r="M231" i="4"/>
  <c r="L231" i="4"/>
  <c r="K231" i="4"/>
  <c r="J231" i="4"/>
  <c r="N231" i="4" s="1"/>
  <c r="I231" i="4"/>
  <c r="H231" i="4"/>
  <c r="G231" i="4"/>
  <c r="F231" i="4"/>
  <c r="N230" i="4"/>
  <c r="M230" i="4"/>
  <c r="L230" i="4"/>
  <c r="K230" i="4"/>
  <c r="J230" i="4"/>
  <c r="I230" i="4"/>
  <c r="H230" i="4"/>
  <c r="G230" i="4"/>
  <c r="F230" i="4"/>
  <c r="M229" i="4"/>
  <c r="L229" i="4"/>
  <c r="K229" i="4"/>
  <c r="J229" i="4"/>
  <c r="N229" i="4" s="1"/>
  <c r="I229" i="4"/>
  <c r="H229" i="4"/>
  <c r="G229" i="4"/>
  <c r="F229" i="4"/>
  <c r="N228" i="4"/>
  <c r="M228" i="4"/>
  <c r="L228" i="4"/>
  <c r="K228" i="4"/>
  <c r="J228" i="4"/>
  <c r="I228" i="4"/>
  <c r="H228" i="4"/>
  <c r="G228" i="4"/>
  <c r="F228" i="4"/>
  <c r="M227" i="4"/>
  <c r="L227" i="4"/>
  <c r="K227" i="4"/>
  <c r="J227" i="4"/>
  <c r="N227" i="4" s="1"/>
  <c r="I227" i="4"/>
  <c r="H227" i="4"/>
  <c r="G227" i="4"/>
  <c r="F227" i="4"/>
  <c r="M226" i="4"/>
  <c r="L226" i="4"/>
  <c r="K226" i="4"/>
  <c r="J226" i="4"/>
  <c r="N226" i="4" s="1"/>
  <c r="I226" i="4"/>
  <c r="H226" i="4"/>
  <c r="G226" i="4"/>
  <c r="F226" i="4"/>
  <c r="N225" i="4"/>
  <c r="M225" i="4"/>
  <c r="L225" i="4"/>
  <c r="K225" i="4"/>
  <c r="J225" i="4"/>
  <c r="I225" i="4"/>
  <c r="H225" i="4"/>
  <c r="G225" i="4"/>
  <c r="F225" i="4"/>
  <c r="N224" i="4"/>
  <c r="M224" i="4"/>
  <c r="L224" i="4"/>
  <c r="K224" i="4"/>
  <c r="J224" i="4"/>
  <c r="I224" i="4"/>
  <c r="H224" i="4"/>
  <c r="G224" i="4"/>
  <c r="F224" i="4"/>
  <c r="M223" i="4"/>
  <c r="L223" i="4"/>
  <c r="K223" i="4"/>
  <c r="J223" i="4"/>
  <c r="N223" i="4" s="1"/>
  <c r="I223" i="4"/>
  <c r="H223" i="4"/>
  <c r="G223" i="4"/>
  <c r="F223" i="4"/>
  <c r="M222" i="4"/>
  <c r="L222" i="4"/>
  <c r="K222" i="4"/>
  <c r="J222" i="4"/>
  <c r="N222" i="4" s="1"/>
  <c r="I222" i="4"/>
  <c r="H222" i="4"/>
  <c r="G222" i="4"/>
  <c r="F222" i="4"/>
  <c r="M221" i="4"/>
  <c r="L221" i="4"/>
  <c r="K221" i="4"/>
  <c r="J221" i="4"/>
  <c r="N221" i="4" s="1"/>
  <c r="I221" i="4"/>
  <c r="H221" i="4"/>
  <c r="G221" i="4"/>
  <c r="F221" i="4"/>
  <c r="M220" i="4"/>
  <c r="L220" i="4"/>
  <c r="K220" i="4"/>
  <c r="J220" i="4"/>
  <c r="N220" i="4" s="1"/>
  <c r="I220" i="4"/>
  <c r="H220" i="4"/>
  <c r="G220" i="4"/>
  <c r="F220" i="4"/>
  <c r="M219" i="4"/>
  <c r="L219" i="4"/>
  <c r="K219" i="4"/>
  <c r="J219" i="4"/>
  <c r="N219" i="4" s="1"/>
  <c r="I219" i="4"/>
  <c r="H219" i="4"/>
  <c r="G219" i="4"/>
  <c r="F219" i="4"/>
  <c r="M218" i="4"/>
  <c r="L218" i="4"/>
  <c r="K218" i="4"/>
  <c r="J218" i="4"/>
  <c r="N218" i="4" s="1"/>
  <c r="I218" i="4"/>
  <c r="H218" i="4"/>
  <c r="G218" i="4"/>
  <c r="F218" i="4"/>
  <c r="N217" i="4"/>
  <c r="M217" i="4"/>
  <c r="L217" i="4"/>
  <c r="K217" i="4"/>
  <c r="J217" i="4"/>
  <c r="I217" i="4"/>
  <c r="H217" i="4"/>
  <c r="G217" i="4"/>
  <c r="F217" i="4"/>
  <c r="M216" i="4"/>
  <c r="L216" i="4"/>
  <c r="K216" i="4"/>
  <c r="J216" i="4"/>
  <c r="N216" i="4" s="1"/>
  <c r="I216" i="4"/>
  <c r="H216" i="4"/>
  <c r="G216" i="4"/>
  <c r="F216" i="4"/>
  <c r="N215" i="4"/>
  <c r="M215" i="4"/>
  <c r="L215" i="4"/>
  <c r="K215" i="4"/>
  <c r="J215" i="4"/>
  <c r="I215" i="4"/>
  <c r="H215" i="4"/>
  <c r="G215" i="4"/>
  <c r="F215" i="4"/>
  <c r="M214" i="4"/>
  <c r="L214" i="4"/>
  <c r="K214" i="4"/>
  <c r="J214" i="4"/>
  <c r="N214" i="4" s="1"/>
  <c r="I214" i="4"/>
  <c r="H214" i="4"/>
  <c r="G214" i="4"/>
  <c r="F214" i="4"/>
  <c r="N213" i="4"/>
  <c r="M213" i="4"/>
  <c r="L213" i="4"/>
  <c r="K213" i="4"/>
  <c r="J213" i="4"/>
  <c r="I213" i="4"/>
  <c r="H213" i="4"/>
  <c r="G213" i="4"/>
  <c r="F213" i="4"/>
  <c r="M212" i="4"/>
  <c r="L212" i="4"/>
  <c r="K212" i="4"/>
  <c r="J212" i="4"/>
  <c r="N212" i="4" s="1"/>
  <c r="I212" i="4"/>
  <c r="H212" i="4"/>
  <c r="G212" i="4"/>
  <c r="F212" i="4"/>
  <c r="M211" i="4"/>
  <c r="L211" i="4"/>
  <c r="K211" i="4"/>
  <c r="J211" i="4"/>
  <c r="N211" i="4" s="1"/>
  <c r="I211" i="4"/>
  <c r="H211" i="4"/>
  <c r="G211" i="4"/>
  <c r="F211" i="4"/>
  <c r="M210" i="4"/>
  <c r="L210" i="4"/>
  <c r="K210" i="4"/>
  <c r="J210" i="4"/>
  <c r="N210" i="4" s="1"/>
  <c r="I210" i="4"/>
  <c r="H210" i="4"/>
  <c r="G210" i="4"/>
  <c r="F210" i="4"/>
  <c r="M209" i="4"/>
  <c r="L209" i="4"/>
  <c r="K209" i="4"/>
  <c r="J209" i="4"/>
  <c r="N209" i="4" s="1"/>
  <c r="I209" i="4"/>
  <c r="H209" i="4"/>
  <c r="G209" i="4"/>
  <c r="F209" i="4"/>
  <c r="M208" i="4"/>
  <c r="L208" i="4"/>
  <c r="K208" i="4"/>
  <c r="J208" i="4"/>
  <c r="N208" i="4" s="1"/>
  <c r="I208" i="4"/>
  <c r="H208" i="4"/>
  <c r="G208" i="4"/>
  <c r="F208" i="4"/>
  <c r="N207" i="4"/>
  <c r="M207" i="4"/>
  <c r="L207" i="4"/>
  <c r="K207" i="4"/>
  <c r="J207" i="4"/>
  <c r="I207" i="4"/>
  <c r="H207" i="4"/>
  <c r="G207" i="4"/>
  <c r="F207" i="4"/>
  <c r="M206" i="4"/>
  <c r="L206" i="4"/>
  <c r="K206" i="4"/>
  <c r="J206" i="4"/>
  <c r="N206" i="4" s="1"/>
  <c r="I206" i="4"/>
  <c r="H206" i="4"/>
  <c r="G206" i="4"/>
  <c r="F206" i="4"/>
  <c r="M205" i="4"/>
  <c r="L205" i="4"/>
  <c r="K205" i="4"/>
  <c r="J205" i="4"/>
  <c r="N205" i="4" s="1"/>
  <c r="I205" i="4"/>
  <c r="H205" i="4"/>
  <c r="G205" i="4"/>
  <c r="F205" i="4"/>
  <c r="N204" i="4"/>
  <c r="M204" i="4"/>
  <c r="L204" i="4"/>
  <c r="K204" i="4"/>
  <c r="J204" i="4"/>
  <c r="I204" i="4"/>
  <c r="H204" i="4"/>
  <c r="G204" i="4"/>
  <c r="F204" i="4"/>
  <c r="N203" i="4"/>
  <c r="M203" i="4"/>
  <c r="L203" i="4"/>
  <c r="K203" i="4"/>
  <c r="J203" i="4"/>
  <c r="I203" i="4"/>
  <c r="H203" i="4"/>
  <c r="G203" i="4"/>
  <c r="F203" i="4"/>
  <c r="M202" i="4"/>
  <c r="L202" i="4"/>
  <c r="K202" i="4"/>
  <c r="J202" i="4"/>
  <c r="N202" i="4" s="1"/>
  <c r="I202" i="4"/>
  <c r="H202" i="4"/>
  <c r="G202" i="4"/>
  <c r="F202" i="4"/>
  <c r="M201" i="4"/>
  <c r="L201" i="4"/>
  <c r="K201" i="4"/>
  <c r="J201" i="4"/>
  <c r="N201" i="4" s="1"/>
  <c r="I201" i="4"/>
  <c r="H201" i="4"/>
  <c r="G201" i="4"/>
  <c r="F201" i="4"/>
  <c r="M200" i="4"/>
  <c r="L200" i="4"/>
  <c r="K200" i="4"/>
  <c r="J200" i="4"/>
  <c r="N200" i="4" s="1"/>
  <c r="I200" i="4"/>
  <c r="H200" i="4"/>
  <c r="G200" i="4"/>
  <c r="F200" i="4"/>
  <c r="M199" i="4"/>
  <c r="L199" i="4"/>
  <c r="K199" i="4"/>
  <c r="J199" i="4"/>
  <c r="N199" i="4" s="1"/>
  <c r="I199" i="4"/>
  <c r="H199" i="4"/>
  <c r="G199" i="4"/>
  <c r="F199" i="4"/>
  <c r="M198" i="4"/>
  <c r="L198" i="4"/>
  <c r="K198" i="4"/>
  <c r="J198" i="4"/>
  <c r="N198" i="4" s="1"/>
  <c r="I198" i="4"/>
  <c r="H198" i="4"/>
  <c r="G198" i="4"/>
  <c r="F198" i="4"/>
  <c r="M197" i="4"/>
  <c r="L197" i="4"/>
  <c r="K197" i="4"/>
  <c r="J197" i="4"/>
  <c r="N197" i="4" s="1"/>
  <c r="I197" i="4"/>
  <c r="H197" i="4"/>
  <c r="G197" i="4"/>
  <c r="F197" i="4"/>
  <c r="N196" i="4"/>
  <c r="M196" i="4"/>
  <c r="L196" i="4"/>
  <c r="K196" i="4"/>
  <c r="J196" i="4"/>
  <c r="I196" i="4"/>
  <c r="H196" i="4"/>
  <c r="G196" i="4"/>
  <c r="F196" i="4"/>
  <c r="M195" i="4"/>
  <c r="L195" i="4"/>
  <c r="K195" i="4"/>
  <c r="J195" i="4"/>
  <c r="N195" i="4" s="1"/>
  <c r="I195" i="4"/>
  <c r="H195" i="4"/>
  <c r="G195" i="4"/>
  <c r="F195" i="4"/>
  <c r="M194" i="4"/>
  <c r="L194" i="4"/>
  <c r="K194" i="4"/>
  <c r="J194" i="4"/>
  <c r="N194" i="4" s="1"/>
  <c r="I194" i="4"/>
  <c r="H194" i="4"/>
  <c r="G194" i="4"/>
  <c r="F194" i="4"/>
  <c r="N193" i="4"/>
  <c r="M193" i="4"/>
  <c r="L193" i="4"/>
  <c r="K193" i="4"/>
  <c r="J193" i="4"/>
  <c r="I193" i="4"/>
  <c r="H193" i="4"/>
  <c r="G193" i="4"/>
  <c r="F193" i="4"/>
  <c r="N192" i="4"/>
  <c r="M192" i="4"/>
  <c r="L192" i="4"/>
  <c r="K192" i="4"/>
  <c r="J192" i="4"/>
  <c r="I192" i="4"/>
  <c r="H192" i="4"/>
  <c r="G192" i="4"/>
  <c r="F192" i="4"/>
  <c r="M191" i="4"/>
  <c r="L191" i="4"/>
  <c r="K191" i="4"/>
  <c r="J191" i="4"/>
  <c r="N191" i="4" s="1"/>
  <c r="I191" i="4"/>
  <c r="H191" i="4"/>
  <c r="G191" i="4"/>
  <c r="F191" i="4"/>
  <c r="M190" i="4"/>
  <c r="L190" i="4"/>
  <c r="K190" i="4"/>
  <c r="J190" i="4"/>
  <c r="N190" i="4" s="1"/>
  <c r="I190" i="4"/>
  <c r="H190" i="4"/>
  <c r="G190" i="4"/>
  <c r="F190" i="4"/>
  <c r="M189" i="4"/>
  <c r="L189" i="4"/>
  <c r="K189" i="4"/>
  <c r="J189" i="4"/>
  <c r="N189" i="4" s="1"/>
  <c r="I189" i="4"/>
  <c r="H189" i="4"/>
  <c r="G189" i="4"/>
  <c r="F189" i="4"/>
  <c r="M188" i="4"/>
  <c r="L188" i="4"/>
  <c r="K188" i="4"/>
  <c r="J188" i="4"/>
  <c r="N188" i="4" s="1"/>
  <c r="I188" i="4"/>
  <c r="H188" i="4"/>
  <c r="G188" i="4"/>
  <c r="F188" i="4"/>
  <c r="M187" i="4"/>
  <c r="L187" i="4"/>
  <c r="K187" i="4"/>
  <c r="J187" i="4"/>
  <c r="N187" i="4" s="1"/>
  <c r="I187" i="4"/>
  <c r="H187" i="4"/>
  <c r="G187" i="4"/>
  <c r="F187" i="4"/>
  <c r="M186" i="4"/>
  <c r="L186" i="4"/>
  <c r="K186" i="4"/>
  <c r="J186" i="4"/>
  <c r="N186" i="4" s="1"/>
  <c r="I186" i="4"/>
  <c r="H186" i="4"/>
  <c r="G186" i="4"/>
  <c r="F186" i="4"/>
  <c r="N185" i="4"/>
  <c r="M185" i="4"/>
  <c r="L185" i="4"/>
  <c r="K185" i="4"/>
  <c r="J185" i="4"/>
  <c r="I185" i="4"/>
  <c r="H185" i="4"/>
  <c r="G185" i="4"/>
  <c r="F185" i="4"/>
  <c r="M184" i="4"/>
  <c r="L184" i="4"/>
  <c r="K184" i="4"/>
  <c r="J184" i="4"/>
  <c r="N184" i="4" s="1"/>
  <c r="I184" i="4"/>
  <c r="H184" i="4"/>
  <c r="G184" i="4"/>
  <c r="F184" i="4"/>
  <c r="N183" i="4"/>
  <c r="M183" i="4"/>
  <c r="L183" i="4"/>
  <c r="K183" i="4"/>
  <c r="J183" i="4"/>
  <c r="I183" i="4"/>
  <c r="H183" i="4"/>
  <c r="G183" i="4"/>
  <c r="F183" i="4"/>
  <c r="N182" i="4"/>
  <c r="M182" i="4"/>
  <c r="L182" i="4"/>
  <c r="K182" i="4"/>
  <c r="J182" i="4"/>
  <c r="I182" i="4"/>
  <c r="H182" i="4"/>
  <c r="G182" i="4"/>
  <c r="F182" i="4"/>
  <c r="M181" i="4"/>
  <c r="L181" i="4"/>
  <c r="K181" i="4"/>
  <c r="J181" i="4"/>
  <c r="N181" i="4" s="1"/>
  <c r="I181" i="4"/>
  <c r="H181" i="4"/>
  <c r="G181" i="4"/>
  <c r="F181" i="4"/>
  <c r="M180" i="4"/>
  <c r="L180" i="4"/>
  <c r="K180" i="4"/>
  <c r="J180" i="4"/>
  <c r="N180" i="4" s="1"/>
  <c r="I180" i="4"/>
  <c r="H180" i="4"/>
  <c r="G180" i="4"/>
  <c r="F180" i="4"/>
  <c r="M179" i="4"/>
  <c r="L179" i="4"/>
  <c r="K179" i="4"/>
  <c r="J179" i="4"/>
  <c r="N179" i="4" s="1"/>
  <c r="I179" i="4"/>
  <c r="H179" i="4"/>
  <c r="G179" i="4"/>
  <c r="F179" i="4"/>
  <c r="M178" i="4"/>
  <c r="L178" i="4"/>
  <c r="K178" i="4"/>
  <c r="J178" i="4"/>
  <c r="N178" i="4" s="1"/>
  <c r="I178" i="4"/>
  <c r="H178" i="4"/>
  <c r="G178" i="4"/>
  <c r="F178" i="4"/>
  <c r="M177" i="4"/>
  <c r="L177" i="4"/>
  <c r="K177" i="4"/>
  <c r="J177" i="4"/>
  <c r="N177" i="4" s="1"/>
  <c r="I177" i="4"/>
  <c r="H177" i="4"/>
  <c r="G177" i="4"/>
  <c r="F177" i="4"/>
  <c r="N176" i="4"/>
  <c r="M176" i="4"/>
  <c r="L176" i="4"/>
  <c r="K176" i="4"/>
  <c r="J176" i="4"/>
  <c r="I176" i="4"/>
  <c r="H176" i="4"/>
  <c r="G176" i="4"/>
  <c r="F176" i="4"/>
  <c r="M175" i="4"/>
  <c r="L175" i="4"/>
  <c r="K175" i="4"/>
  <c r="J175" i="4"/>
  <c r="N175" i="4" s="1"/>
  <c r="I175" i="4"/>
  <c r="H175" i="4"/>
  <c r="G175" i="4"/>
  <c r="F175" i="4"/>
  <c r="M174" i="4"/>
  <c r="L174" i="4"/>
  <c r="K174" i="4"/>
  <c r="J174" i="4"/>
  <c r="N174" i="4" s="1"/>
  <c r="I174" i="4"/>
  <c r="H174" i="4"/>
  <c r="G174" i="4"/>
  <c r="F174" i="4"/>
  <c r="N173" i="4"/>
  <c r="M173" i="4"/>
  <c r="L173" i="4"/>
  <c r="K173" i="4"/>
  <c r="J173" i="4"/>
  <c r="I173" i="4"/>
  <c r="H173" i="4"/>
  <c r="G173" i="4"/>
  <c r="F173" i="4"/>
  <c r="N172" i="4"/>
  <c r="M172" i="4"/>
  <c r="L172" i="4"/>
  <c r="K172" i="4"/>
  <c r="J172" i="4"/>
  <c r="I172" i="4"/>
  <c r="H172" i="4"/>
  <c r="G172" i="4"/>
  <c r="F172" i="4"/>
  <c r="M171" i="4"/>
  <c r="L171" i="4"/>
  <c r="K171" i="4"/>
  <c r="J171" i="4"/>
  <c r="N171" i="4" s="1"/>
  <c r="I171" i="4"/>
  <c r="H171" i="4"/>
  <c r="G171" i="4"/>
  <c r="F171" i="4"/>
  <c r="N170" i="4"/>
  <c r="M170" i="4"/>
  <c r="L170" i="4"/>
  <c r="K170" i="4"/>
  <c r="J170" i="4"/>
  <c r="I170" i="4"/>
  <c r="H170" i="4"/>
  <c r="G170" i="4"/>
  <c r="F170" i="4"/>
  <c r="M169" i="4"/>
  <c r="L169" i="4"/>
  <c r="K169" i="4"/>
  <c r="J169" i="4"/>
  <c r="N169" i="4" s="1"/>
  <c r="I169" i="4"/>
  <c r="H169" i="4"/>
  <c r="G169" i="4"/>
  <c r="F169" i="4"/>
  <c r="M168" i="4"/>
  <c r="L168" i="4"/>
  <c r="K168" i="4"/>
  <c r="J168" i="4"/>
  <c r="N168" i="4" s="1"/>
  <c r="I168" i="4"/>
  <c r="H168" i="4"/>
  <c r="G168" i="4"/>
  <c r="F168" i="4"/>
  <c r="N167" i="4"/>
  <c r="M167" i="4"/>
  <c r="L167" i="4"/>
  <c r="K167" i="4"/>
  <c r="J167" i="4"/>
  <c r="I167" i="4"/>
  <c r="H167" i="4"/>
  <c r="G167" i="4"/>
  <c r="F167" i="4"/>
  <c r="M166" i="4"/>
  <c r="L166" i="4"/>
  <c r="K166" i="4"/>
  <c r="J166" i="4"/>
  <c r="N166" i="4" s="1"/>
  <c r="I166" i="4"/>
  <c r="H166" i="4"/>
  <c r="G166" i="4"/>
  <c r="F166" i="4"/>
  <c r="M165" i="4"/>
  <c r="L165" i="4"/>
  <c r="K165" i="4"/>
  <c r="J165" i="4"/>
  <c r="N165" i="4" s="1"/>
  <c r="I165" i="4"/>
  <c r="H165" i="4"/>
  <c r="G165" i="4"/>
  <c r="F165" i="4"/>
  <c r="N164" i="4"/>
  <c r="M164" i="4"/>
  <c r="L164" i="4"/>
  <c r="K164" i="4"/>
  <c r="J164" i="4"/>
  <c r="I164" i="4"/>
  <c r="H164" i="4"/>
  <c r="G164" i="4"/>
  <c r="F164" i="4"/>
  <c r="N163" i="4"/>
  <c r="M163" i="4"/>
  <c r="L163" i="4"/>
  <c r="K163" i="4"/>
  <c r="J163" i="4"/>
  <c r="I163" i="4"/>
  <c r="H163" i="4"/>
  <c r="G163" i="4"/>
  <c r="F163" i="4"/>
  <c r="N162" i="4"/>
  <c r="M162" i="4"/>
  <c r="L162" i="4"/>
  <c r="K162" i="4"/>
  <c r="J162" i="4"/>
  <c r="I162" i="4"/>
  <c r="H162" i="4"/>
  <c r="G162" i="4"/>
  <c r="F162" i="4"/>
  <c r="M161" i="4"/>
  <c r="L161" i="4"/>
  <c r="K161" i="4"/>
  <c r="J161" i="4"/>
  <c r="N161" i="4" s="1"/>
  <c r="I161" i="4"/>
  <c r="H161" i="4"/>
  <c r="G161" i="4"/>
  <c r="F161" i="4"/>
  <c r="M160" i="4"/>
  <c r="L160" i="4"/>
  <c r="K160" i="4"/>
  <c r="J160" i="4"/>
  <c r="N160" i="4" s="1"/>
  <c r="I160" i="4"/>
  <c r="H160" i="4"/>
  <c r="G160" i="4"/>
  <c r="F160" i="4"/>
  <c r="M159" i="4"/>
  <c r="L159" i="4"/>
  <c r="K159" i="4"/>
  <c r="J159" i="4"/>
  <c r="N159" i="4" s="1"/>
  <c r="I159" i="4"/>
  <c r="H159" i="4"/>
  <c r="G159" i="4"/>
  <c r="F159" i="4"/>
  <c r="M158" i="4"/>
  <c r="L158" i="4"/>
  <c r="K158" i="4"/>
  <c r="J158" i="4"/>
  <c r="N158" i="4" s="1"/>
  <c r="I158" i="4"/>
  <c r="H158" i="4"/>
  <c r="G158" i="4"/>
  <c r="F158" i="4"/>
  <c r="N157" i="4"/>
  <c r="M157" i="4"/>
  <c r="L157" i="4"/>
  <c r="K157" i="4"/>
  <c r="J157" i="4"/>
  <c r="I157" i="4"/>
  <c r="H157" i="4"/>
  <c r="G157" i="4"/>
  <c r="F157" i="4"/>
  <c r="M156" i="4"/>
  <c r="L156" i="4"/>
  <c r="K156" i="4"/>
  <c r="J156" i="4"/>
  <c r="N156" i="4" s="1"/>
  <c r="I156" i="4"/>
  <c r="H156" i="4"/>
  <c r="G156" i="4"/>
  <c r="F156" i="4"/>
  <c r="N155" i="4"/>
  <c r="M155" i="4"/>
  <c r="L155" i="4"/>
  <c r="K155" i="4"/>
  <c r="J155" i="4"/>
  <c r="I155" i="4"/>
  <c r="H155" i="4"/>
  <c r="G155" i="4"/>
  <c r="F155" i="4"/>
  <c r="M154" i="4"/>
  <c r="L154" i="4"/>
  <c r="K154" i="4"/>
  <c r="J154" i="4"/>
  <c r="N154" i="4" s="1"/>
  <c r="I154" i="4"/>
  <c r="H154" i="4"/>
  <c r="G154" i="4"/>
  <c r="F154" i="4"/>
  <c r="N153" i="4"/>
  <c r="M153" i="4"/>
  <c r="L153" i="4"/>
  <c r="K153" i="4"/>
  <c r="J153" i="4"/>
  <c r="I153" i="4"/>
  <c r="H153" i="4"/>
  <c r="G153" i="4"/>
  <c r="F153" i="4"/>
  <c r="M152" i="4"/>
  <c r="L152" i="4"/>
  <c r="K152" i="4"/>
  <c r="J152" i="4"/>
  <c r="N152" i="4" s="1"/>
  <c r="I152" i="4"/>
  <c r="H152" i="4"/>
  <c r="G152" i="4"/>
  <c r="F152" i="4"/>
  <c r="M151" i="4"/>
  <c r="L151" i="4"/>
  <c r="K151" i="4"/>
  <c r="J151" i="4"/>
  <c r="N151" i="4" s="1"/>
  <c r="I151" i="4"/>
  <c r="H151" i="4"/>
  <c r="G151" i="4"/>
  <c r="F151" i="4"/>
  <c r="M150" i="4"/>
  <c r="L150" i="4"/>
  <c r="K150" i="4"/>
  <c r="J150" i="4"/>
  <c r="N150" i="4" s="1"/>
  <c r="I150" i="4"/>
  <c r="H150" i="4"/>
  <c r="G150" i="4"/>
  <c r="F150" i="4"/>
  <c r="M149" i="4"/>
  <c r="L149" i="4"/>
  <c r="K149" i="4"/>
  <c r="J149" i="4"/>
  <c r="N149" i="4" s="1"/>
  <c r="I149" i="4"/>
  <c r="H149" i="4"/>
  <c r="G149" i="4"/>
  <c r="F149" i="4"/>
  <c r="M148" i="4"/>
  <c r="L148" i="4"/>
  <c r="K148" i="4"/>
  <c r="J148" i="4"/>
  <c r="N148" i="4" s="1"/>
  <c r="I148" i="4"/>
  <c r="H148" i="4"/>
  <c r="G148" i="4"/>
  <c r="F148" i="4"/>
  <c r="N147" i="4"/>
  <c r="M147" i="4"/>
  <c r="L147" i="4"/>
  <c r="K147" i="4"/>
  <c r="J147" i="4"/>
  <c r="I147" i="4"/>
  <c r="H147" i="4"/>
  <c r="G147" i="4"/>
  <c r="F147" i="4"/>
  <c r="M146" i="4"/>
  <c r="L146" i="4"/>
  <c r="K146" i="4"/>
  <c r="J146" i="4"/>
  <c r="N146" i="4" s="1"/>
  <c r="I146" i="4"/>
  <c r="H146" i="4"/>
  <c r="G146" i="4"/>
  <c r="F146" i="4"/>
  <c r="M145" i="4"/>
  <c r="L145" i="4"/>
  <c r="K145" i="4"/>
  <c r="J145" i="4"/>
  <c r="N145" i="4" s="1"/>
  <c r="I145" i="4"/>
  <c r="H145" i="4"/>
  <c r="G145" i="4"/>
  <c r="F145" i="4"/>
  <c r="N144" i="4"/>
  <c r="M144" i="4"/>
  <c r="L144" i="4"/>
  <c r="K144" i="4"/>
  <c r="J144" i="4"/>
  <c r="I144" i="4"/>
  <c r="H144" i="4"/>
  <c r="G144" i="4"/>
  <c r="F144" i="4"/>
  <c r="N143" i="4"/>
  <c r="M143" i="4"/>
  <c r="L143" i="4"/>
  <c r="K143" i="4"/>
  <c r="J143" i="4"/>
  <c r="I143" i="4"/>
  <c r="H143" i="4"/>
  <c r="G143" i="4"/>
  <c r="F143" i="4"/>
  <c r="M142" i="4"/>
  <c r="L142" i="4"/>
  <c r="K142" i="4"/>
  <c r="J142" i="4"/>
  <c r="N142" i="4" s="1"/>
  <c r="I142" i="4"/>
  <c r="H142" i="4"/>
  <c r="G142" i="4"/>
  <c r="F142" i="4"/>
  <c r="M141" i="4"/>
  <c r="L141" i="4"/>
  <c r="K141" i="4"/>
  <c r="J141" i="4"/>
  <c r="N141" i="4" s="1"/>
  <c r="I141" i="4"/>
  <c r="H141" i="4"/>
  <c r="G141" i="4"/>
  <c r="F141" i="4"/>
  <c r="M140" i="4"/>
  <c r="L140" i="4"/>
  <c r="K140" i="4"/>
  <c r="J140" i="4"/>
  <c r="N140" i="4" s="1"/>
  <c r="I140" i="4"/>
  <c r="H140" i="4"/>
  <c r="G140" i="4"/>
  <c r="F140" i="4"/>
  <c r="M139" i="4"/>
  <c r="L139" i="4"/>
  <c r="K139" i="4"/>
  <c r="J139" i="4"/>
  <c r="N139" i="4" s="1"/>
  <c r="I139" i="4"/>
  <c r="H139" i="4"/>
  <c r="G139" i="4"/>
  <c r="F139" i="4"/>
  <c r="M138" i="4"/>
  <c r="L138" i="4"/>
  <c r="K138" i="4"/>
  <c r="J138" i="4"/>
  <c r="N138" i="4" s="1"/>
  <c r="I138" i="4"/>
  <c r="H138" i="4"/>
  <c r="G138" i="4"/>
  <c r="F138" i="4"/>
  <c r="M137" i="4"/>
  <c r="L137" i="4"/>
  <c r="K137" i="4"/>
  <c r="J137" i="4"/>
  <c r="N137" i="4" s="1"/>
  <c r="I137" i="4"/>
  <c r="H137" i="4"/>
  <c r="G137" i="4"/>
  <c r="F137" i="4"/>
  <c r="N136" i="4"/>
  <c r="M136" i="4"/>
  <c r="L136" i="4"/>
  <c r="K136" i="4"/>
  <c r="J136" i="4"/>
  <c r="I136" i="4"/>
  <c r="H136" i="4"/>
  <c r="G136" i="4"/>
  <c r="F136" i="4"/>
  <c r="M135" i="4"/>
  <c r="L135" i="4"/>
  <c r="K135" i="4"/>
  <c r="J135" i="4"/>
  <c r="N135" i="4" s="1"/>
  <c r="I135" i="4"/>
  <c r="H135" i="4"/>
  <c r="G135" i="4"/>
  <c r="F135" i="4"/>
  <c r="M134" i="4"/>
  <c r="L134" i="4"/>
  <c r="K134" i="4"/>
  <c r="J134" i="4"/>
  <c r="N134" i="4" s="1"/>
  <c r="I134" i="4"/>
  <c r="H134" i="4"/>
  <c r="G134" i="4"/>
  <c r="F134" i="4"/>
  <c r="N133" i="4"/>
  <c r="M133" i="4"/>
  <c r="L133" i="4"/>
  <c r="K133" i="4"/>
  <c r="J133" i="4"/>
  <c r="I133" i="4"/>
  <c r="H133" i="4"/>
  <c r="G133" i="4"/>
  <c r="F133" i="4"/>
  <c r="N132" i="4"/>
  <c r="M132" i="4"/>
  <c r="L132" i="4"/>
  <c r="K132" i="4"/>
  <c r="J132" i="4"/>
  <c r="I132" i="4"/>
  <c r="H132" i="4"/>
  <c r="G132" i="4"/>
  <c r="F132" i="4"/>
  <c r="M131" i="4"/>
  <c r="L131" i="4"/>
  <c r="K131" i="4"/>
  <c r="J131" i="4"/>
  <c r="N131" i="4" s="1"/>
  <c r="I131" i="4"/>
  <c r="H131" i="4"/>
  <c r="G131" i="4"/>
  <c r="F131" i="4"/>
  <c r="M130" i="4"/>
  <c r="L130" i="4"/>
  <c r="K130" i="4"/>
  <c r="J130" i="4"/>
  <c r="N130" i="4" s="1"/>
  <c r="I130" i="4"/>
  <c r="H130" i="4"/>
  <c r="G130" i="4"/>
  <c r="F130" i="4"/>
  <c r="N129" i="4"/>
  <c r="M129" i="4"/>
  <c r="L129" i="4"/>
  <c r="K129" i="4"/>
  <c r="J129" i="4"/>
  <c r="I129" i="4"/>
  <c r="H129" i="4"/>
  <c r="G129" i="4"/>
  <c r="F129" i="4"/>
  <c r="M128" i="4"/>
  <c r="L128" i="4"/>
  <c r="K128" i="4"/>
  <c r="J128" i="4"/>
  <c r="N128" i="4" s="1"/>
  <c r="I128" i="4"/>
  <c r="H128" i="4"/>
  <c r="G128" i="4"/>
  <c r="F128" i="4"/>
  <c r="M127" i="4"/>
  <c r="L127" i="4"/>
  <c r="K127" i="4"/>
  <c r="J127" i="4"/>
  <c r="N127" i="4" s="1"/>
  <c r="I127" i="4"/>
  <c r="H127" i="4"/>
  <c r="G127" i="4"/>
  <c r="F127" i="4"/>
  <c r="M126" i="4"/>
  <c r="L126" i="4"/>
  <c r="K126" i="4"/>
  <c r="J126" i="4"/>
  <c r="N126" i="4" s="1"/>
  <c r="I126" i="4"/>
  <c r="H126" i="4"/>
  <c r="G126" i="4"/>
  <c r="F126" i="4"/>
  <c r="N125" i="4"/>
  <c r="M125" i="4"/>
  <c r="L125" i="4"/>
  <c r="K125" i="4"/>
  <c r="J125" i="4"/>
  <c r="I125" i="4"/>
  <c r="H125" i="4"/>
  <c r="G125" i="4"/>
  <c r="F125" i="4"/>
  <c r="M124" i="4"/>
  <c r="L124" i="4"/>
  <c r="K124" i="4"/>
  <c r="J124" i="4"/>
  <c r="N124" i="4" s="1"/>
  <c r="I124" i="4"/>
  <c r="H124" i="4"/>
  <c r="G124" i="4"/>
  <c r="F124" i="4"/>
  <c r="N123" i="4"/>
  <c r="M123" i="4"/>
  <c r="L123" i="4"/>
  <c r="K123" i="4"/>
  <c r="J123" i="4"/>
  <c r="I123" i="4"/>
  <c r="H123" i="4"/>
  <c r="G123" i="4"/>
  <c r="F123" i="4"/>
  <c r="N122" i="4"/>
  <c r="M122" i="4"/>
  <c r="L122" i="4"/>
  <c r="K122" i="4"/>
  <c r="J122" i="4"/>
  <c r="I122" i="4"/>
  <c r="H122" i="4"/>
  <c r="G122" i="4"/>
  <c r="F122" i="4"/>
  <c r="M121" i="4"/>
  <c r="L121" i="4"/>
  <c r="K121" i="4"/>
  <c r="J121" i="4"/>
  <c r="N121" i="4" s="1"/>
  <c r="I121" i="4"/>
  <c r="H121" i="4"/>
  <c r="G121" i="4"/>
  <c r="F121" i="4"/>
  <c r="N120" i="4"/>
  <c r="M120" i="4"/>
  <c r="L120" i="4"/>
  <c r="K120" i="4"/>
  <c r="J120" i="4"/>
  <c r="I120" i="4"/>
  <c r="H120" i="4"/>
  <c r="G120" i="4"/>
  <c r="F120" i="4"/>
  <c r="M119" i="4"/>
  <c r="L119" i="4"/>
  <c r="K119" i="4"/>
  <c r="J119" i="4"/>
  <c r="N119" i="4" s="1"/>
  <c r="I119" i="4"/>
  <c r="H119" i="4"/>
  <c r="G119" i="4"/>
  <c r="F119" i="4"/>
  <c r="M118" i="4"/>
  <c r="L118" i="4"/>
  <c r="K118" i="4"/>
  <c r="J118" i="4"/>
  <c r="N118" i="4" s="1"/>
  <c r="I118" i="4"/>
  <c r="H118" i="4"/>
  <c r="G118" i="4"/>
  <c r="F118" i="4"/>
  <c r="M117" i="4"/>
  <c r="L117" i="4"/>
  <c r="K117" i="4"/>
  <c r="J117" i="4"/>
  <c r="N117" i="4" s="1"/>
  <c r="I117" i="4"/>
  <c r="H117" i="4"/>
  <c r="G117" i="4"/>
  <c r="F117" i="4"/>
  <c r="N116" i="4"/>
  <c r="M116" i="4"/>
  <c r="L116" i="4"/>
  <c r="K116" i="4"/>
  <c r="J116" i="4"/>
  <c r="I116" i="4"/>
  <c r="H116" i="4"/>
  <c r="G116" i="4"/>
  <c r="F116" i="4"/>
  <c r="M115" i="4"/>
  <c r="L115" i="4"/>
  <c r="K115" i="4"/>
  <c r="J115" i="4"/>
  <c r="N115" i="4" s="1"/>
  <c r="I115" i="4"/>
  <c r="H115" i="4"/>
  <c r="G115" i="4"/>
  <c r="F115" i="4"/>
  <c r="M114" i="4"/>
  <c r="L114" i="4"/>
  <c r="K114" i="4"/>
  <c r="J114" i="4"/>
  <c r="N114" i="4" s="1"/>
  <c r="I114" i="4"/>
  <c r="H114" i="4"/>
  <c r="G114" i="4"/>
  <c r="F114" i="4"/>
  <c r="N113" i="4"/>
  <c r="M113" i="4"/>
  <c r="L113" i="4"/>
  <c r="K113" i="4"/>
  <c r="J113" i="4"/>
  <c r="I113" i="4"/>
  <c r="H113" i="4"/>
  <c r="G113" i="4"/>
  <c r="F113" i="4"/>
  <c r="N112" i="4"/>
  <c r="M112" i="4"/>
  <c r="L112" i="4"/>
  <c r="K112" i="4"/>
  <c r="J112" i="4"/>
  <c r="I112" i="4"/>
  <c r="H112" i="4"/>
  <c r="G112" i="4"/>
  <c r="F112" i="4"/>
  <c r="M111" i="4"/>
  <c r="L111" i="4"/>
  <c r="K111" i="4"/>
  <c r="J111" i="4"/>
  <c r="N111" i="4" s="1"/>
  <c r="I111" i="4"/>
  <c r="H111" i="4"/>
  <c r="G111" i="4"/>
  <c r="F111" i="4"/>
  <c r="M110" i="4"/>
  <c r="L110" i="4"/>
  <c r="K110" i="4"/>
  <c r="J110" i="4"/>
  <c r="N110" i="4" s="1"/>
  <c r="I110" i="4"/>
  <c r="H110" i="4"/>
  <c r="G110" i="4"/>
  <c r="F110" i="4"/>
  <c r="N109" i="4"/>
  <c r="M109" i="4"/>
  <c r="L109" i="4"/>
  <c r="K109" i="4"/>
  <c r="J109" i="4"/>
  <c r="I109" i="4"/>
  <c r="H109" i="4"/>
  <c r="G109" i="4"/>
  <c r="F109" i="4"/>
  <c r="M108" i="4"/>
  <c r="L108" i="4"/>
  <c r="K108" i="4"/>
  <c r="J108" i="4"/>
  <c r="N108" i="4" s="1"/>
  <c r="I108" i="4"/>
  <c r="H108" i="4"/>
  <c r="G108" i="4"/>
  <c r="F108" i="4"/>
  <c r="M107" i="4"/>
  <c r="L107" i="4"/>
  <c r="K107" i="4"/>
  <c r="J107" i="4"/>
  <c r="N107" i="4" s="1"/>
  <c r="I107" i="4"/>
  <c r="H107" i="4"/>
  <c r="G107" i="4"/>
  <c r="F107" i="4"/>
  <c r="M106" i="4"/>
  <c r="L106" i="4"/>
  <c r="K106" i="4"/>
  <c r="J106" i="4"/>
  <c r="N106" i="4" s="1"/>
  <c r="I106" i="4"/>
  <c r="H106" i="4"/>
  <c r="G106" i="4"/>
  <c r="F106" i="4"/>
  <c r="N105" i="4"/>
  <c r="M105" i="4"/>
  <c r="L105" i="4"/>
  <c r="K105" i="4"/>
  <c r="J105" i="4"/>
  <c r="I105" i="4"/>
  <c r="H105" i="4"/>
  <c r="G105" i="4"/>
  <c r="F105" i="4"/>
  <c r="M104" i="4"/>
  <c r="L104" i="4"/>
  <c r="K104" i="4"/>
  <c r="J104" i="4"/>
  <c r="N104" i="4" s="1"/>
  <c r="I104" i="4"/>
  <c r="H104" i="4"/>
  <c r="G104" i="4"/>
  <c r="F104" i="4"/>
  <c r="N103" i="4"/>
  <c r="M103" i="4"/>
  <c r="L103" i="4"/>
  <c r="K103" i="4"/>
  <c r="J103" i="4"/>
  <c r="I103" i="4"/>
  <c r="H103" i="4"/>
  <c r="G103" i="4"/>
  <c r="F103" i="4"/>
  <c r="M102" i="4"/>
  <c r="L102" i="4"/>
  <c r="K102" i="4"/>
  <c r="J102" i="4"/>
  <c r="N102" i="4" s="1"/>
  <c r="I102" i="4"/>
  <c r="H102" i="4"/>
  <c r="G102" i="4"/>
  <c r="F102" i="4"/>
  <c r="N101" i="4"/>
  <c r="M101" i="4"/>
  <c r="L101" i="4"/>
  <c r="K101" i="4"/>
  <c r="J101" i="4"/>
  <c r="I101" i="4"/>
  <c r="H101" i="4"/>
  <c r="G101" i="4"/>
  <c r="F101" i="4"/>
  <c r="M100" i="4"/>
  <c r="L100" i="4"/>
  <c r="K100" i="4"/>
  <c r="J100" i="4"/>
  <c r="N100" i="4" s="1"/>
  <c r="I100" i="4"/>
  <c r="H100" i="4"/>
  <c r="G100" i="4"/>
  <c r="F100" i="4"/>
  <c r="N99" i="4"/>
  <c r="M99" i="4"/>
  <c r="L99" i="4"/>
  <c r="K99" i="4"/>
  <c r="J99" i="4"/>
  <c r="I99" i="4"/>
  <c r="H99" i="4"/>
  <c r="G99" i="4"/>
  <c r="F99" i="4"/>
  <c r="N98" i="4"/>
  <c r="M98" i="4"/>
  <c r="L98" i="4"/>
  <c r="K98" i="4"/>
  <c r="J98" i="4"/>
  <c r="I98" i="4"/>
  <c r="H98" i="4"/>
  <c r="G98" i="4"/>
  <c r="F98" i="4"/>
  <c r="M97" i="4"/>
  <c r="L97" i="4"/>
  <c r="K97" i="4"/>
  <c r="J97" i="4"/>
  <c r="N97" i="4" s="1"/>
  <c r="I97" i="4"/>
  <c r="H97" i="4"/>
  <c r="G97" i="4"/>
  <c r="F97" i="4"/>
  <c r="N96" i="4"/>
  <c r="M96" i="4"/>
  <c r="L96" i="4"/>
  <c r="K96" i="4"/>
  <c r="J96" i="4"/>
  <c r="I96" i="4"/>
  <c r="H96" i="4"/>
  <c r="G96" i="4"/>
  <c r="F96" i="4"/>
  <c r="M95" i="4"/>
  <c r="L95" i="4"/>
  <c r="K95" i="4"/>
  <c r="J95" i="4"/>
  <c r="N95" i="4" s="1"/>
  <c r="I95" i="4"/>
  <c r="H95" i="4"/>
  <c r="G95" i="4"/>
  <c r="F95" i="4"/>
  <c r="M94" i="4"/>
  <c r="L94" i="4"/>
  <c r="K94" i="4"/>
  <c r="J94" i="4"/>
  <c r="N94" i="4" s="1"/>
  <c r="I94" i="4"/>
  <c r="H94" i="4"/>
  <c r="G94" i="4"/>
  <c r="F94" i="4"/>
  <c r="N93" i="4"/>
  <c r="M93" i="4"/>
  <c r="L93" i="4"/>
  <c r="K93" i="4"/>
  <c r="J93" i="4"/>
  <c r="I93" i="4"/>
  <c r="H93" i="4"/>
  <c r="G93" i="4"/>
  <c r="F93" i="4"/>
  <c r="N92" i="4"/>
  <c r="M92" i="4"/>
  <c r="L92" i="4"/>
  <c r="K92" i="4"/>
  <c r="J92" i="4"/>
  <c r="I92" i="4"/>
  <c r="H92" i="4"/>
  <c r="G92" i="4"/>
  <c r="F92" i="4"/>
  <c r="M91" i="4"/>
  <c r="L91" i="4"/>
  <c r="K91" i="4"/>
  <c r="J91" i="4"/>
  <c r="N91" i="4" s="1"/>
  <c r="I91" i="4"/>
  <c r="H91" i="4"/>
  <c r="G91" i="4"/>
  <c r="F91" i="4"/>
  <c r="N90" i="4"/>
  <c r="M90" i="4"/>
  <c r="L90" i="4"/>
  <c r="K90" i="4"/>
  <c r="J90" i="4"/>
  <c r="I90" i="4"/>
  <c r="H90" i="4"/>
  <c r="G90" i="4"/>
  <c r="F90" i="4"/>
  <c r="M89" i="4"/>
  <c r="L89" i="4"/>
  <c r="K89" i="4"/>
  <c r="J89" i="4"/>
  <c r="N89" i="4" s="1"/>
  <c r="I89" i="4"/>
  <c r="H89" i="4"/>
  <c r="G89" i="4"/>
  <c r="F89" i="4"/>
  <c r="M88" i="4"/>
  <c r="L88" i="4"/>
  <c r="K88" i="4"/>
  <c r="J88" i="4"/>
  <c r="N88" i="4" s="1"/>
  <c r="I88" i="4"/>
  <c r="H88" i="4"/>
  <c r="G88" i="4"/>
  <c r="F88" i="4"/>
  <c r="N87" i="4"/>
  <c r="M87" i="4"/>
  <c r="L87" i="4"/>
  <c r="K87" i="4"/>
  <c r="J87" i="4"/>
  <c r="I87" i="4"/>
  <c r="H87" i="4"/>
  <c r="G87" i="4"/>
  <c r="F87" i="4"/>
  <c r="M86" i="4"/>
  <c r="L86" i="4"/>
  <c r="K86" i="4"/>
  <c r="J86" i="4"/>
  <c r="N86" i="4" s="1"/>
  <c r="I86" i="4"/>
  <c r="H86" i="4"/>
  <c r="G86" i="4"/>
  <c r="F86" i="4"/>
  <c r="M85" i="4"/>
  <c r="L85" i="4"/>
  <c r="K85" i="4"/>
  <c r="J85" i="4"/>
  <c r="N85" i="4" s="1"/>
  <c r="I85" i="4"/>
  <c r="H85" i="4"/>
  <c r="G85" i="4"/>
  <c r="F85" i="4"/>
  <c r="N84" i="4"/>
  <c r="M84" i="4"/>
  <c r="L84" i="4"/>
  <c r="K84" i="4"/>
  <c r="J84" i="4"/>
  <c r="I84" i="4"/>
  <c r="H84" i="4"/>
  <c r="G84" i="4"/>
  <c r="F84" i="4"/>
  <c r="N83" i="4"/>
  <c r="M83" i="4"/>
  <c r="L83" i="4"/>
  <c r="K83" i="4"/>
  <c r="J83" i="4"/>
  <c r="I83" i="4"/>
  <c r="H83" i="4"/>
  <c r="G83" i="4"/>
  <c r="F83" i="4"/>
  <c r="N82" i="4"/>
  <c r="M82" i="4"/>
  <c r="L82" i="4"/>
  <c r="K82" i="4"/>
  <c r="J82" i="4"/>
  <c r="I82" i="4"/>
  <c r="H82" i="4"/>
  <c r="G82" i="4"/>
  <c r="F82" i="4"/>
  <c r="N81" i="4"/>
  <c r="M81" i="4"/>
  <c r="L81" i="4"/>
  <c r="K81" i="4"/>
  <c r="J81" i="4"/>
  <c r="I81" i="4"/>
  <c r="H81" i="4"/>
  <c r="G81" i="4"/>
  <c r="F81" i="4"/>
  <c r="M80" i="4"/>
  <c r="L80" i="4"/>
  <c r="K80" i="4"/>
  <c r="J80" i="4"/>
  <c r="N80" i="4" s="1"/>
  <c r="I80" i="4"/>
  <c r="H80" i="4"/>
  <c r="G80" i="4"/>
  <c r="F80" i="4"/>
  <c r="M79" i="4"/>
  <c r="L79" i="4"/>
  <c r="K79" i="4"/>
  <c r="J79" i="4"/>
  <c r="N79" i="4" s="1"/>
  <c r="I79" i="4"/>
  <c r="H79" i="4"/>
  <c r="G79" i="4"/>
  <c r="F79" i="4"/>
  <c r="M78" i="4"/>
  <c r="L78" i="4"/>
  <c r="K78" i="4"/>
  <c r="J78" i="4"/>
  <c r="N78" i="4" s="1"/>
  <c r="I78" i="4"/>
  <c r="H78" i="4"/>
  <c r="G78" i="4"/>
  <c r="F78" i="4"/>
  <c r="N77" i="4"/>
  <c r="M77" i="4"/>
  <c r="L77" i="4"/>
  <c r="K77" i="4"/>
  <c r="J77" i="4"/>
  <c r="I77" i="4"/>
  <c r="H77" i="4"/>
  <c r="G77" i="4"/>
  <c r="F77" i="4"/>
  <c r="M76" i="4"/>
  <c r="L76" i="4"/>
  <c r="K76" i="4"/>
  <c r="J76" i="4"/>
  <c r="N76" i="4" s="1"/>
  <c r="I76" i="4"/>
  <c r="H76" i="4"/>
  <c r="G76" i="4"/>
  <c r="F76" i="4"/>
  <c r="N75" i="4"/>
  <c r="M75" i="4"/>
  <c r="L75" i="4"/>
  <c r="K75" i="4"/>
  <c r="J75" i="4"/>
  <c r="I75" i="4"/>
  <c r="H75" i="4"/>
  <c r="G75" i="4"/>
  <c r="F75" i="4"/>
  <c r="M74" i="4"/>
  <c r="L74" i="4"/>
  <c r="K74" i="4"/>
  <c r="J74" i="4"/>
  <c r="N74" i="4" s="1"/>
  <c r="I74" i="4"/>
  <c r="H74" i="4"/>
  <c r="G74" i="4"/>
  <c r="F74" i="4"/>
  <c r="N73" i="4"/>
  <c r="M73" i="4"/>
  <c r="L73" i="4"/>
  <c r="K73" i="4"/>
  <c r="J73" i="4"/>
  <c r="I73" i="4"/>
  <c r="H73" i="4"/>
  <c r="G73" i="4"/>
  <c r="F73" i="4"/>
  <c r="M72" i="4"/>
  <c r="L72" i="4"/>
  <c r="K72" i="4"/>
  <c r="J72" i="4"/>
  <c r="N72" i="4" s="1"/>
  <c r="I72" i="4"/>
  <c r="H72" i="4"/>
  <c r="G72" i="4"/>
  <c r="F72" i="4"/>
  <c r="N71" i="4"/>
  <c r="M71" i="4"/>
  <c r="L71" i="4"/>
  <c r="K71" i="4"/>
  <c r="J71" i="4"/>
  <c r="I71" i="4"/>
  <c r="H71" i="4"/>
  <c r="G71" i="4"/>
  <c r="F71" i="4"/>
  <c r="M70" i="4"/>
  <c r="L70" i="4"/>
  <c r="K70" i="4"/>
  <c r="J70" i="4"/>
  <c r="N70" i="4" s="1"/>
  <c r="I70" i="4"/>
  <c r="H70" i="4"/>
  <c r="G70" i="4"/>
  <c r="F70" i="4"/>
  <c r="M69" i="4"/>
  <c r="L69" i="4"/>
  <c r="K69" i="4"/>
  <c r="J69" i="4"/>
  <c r="N69" i="4" s="1"/>
  <c r="I69" i="4"/>
  <c r="H69" i="4"/>
  <c r="G69" i="4"/>
  <c r="F69" i="4"/>
  <c r="M68" i="4"/>
  <c r="L68" i="4"/>
  <c r="K68" i="4"/>
  <c r="J68" i="4"/>
  <c r="N68" i="4" s="1"/>
  <c r="I68" i="4"/>
  <c r="H68" i="4"/>
  <c r="G68" i="4"/>
  <c r="F68" i="4"/>
  <c r="N67" i="4"/>
  <c r="M67" i="4"/>
  <c r="L67" i="4"/>
  <c r="K67" i="4"/>
  <c r="J67" i="4"/>
  <c r="I67" i="4"/>
  <c r="H67" i="4"/>
  <c r="G67" i="4"/>
  <c r="F67" i="4"/>
  <c r="M66" i="4"/>
  <c r="L66" i="4"/>
  <c r="K66" i="4"/>
  <c r="J66" i="4"/>
  <c r="N66" i="4" s="1"/>
  <c r="I66" i="4"/>
  <c r="H66" i="4"/>
  <c r="G66" i="4"/>
  <c r="F66" i="4"/>
  <c r="M65" i="4"/>
  <c r="L65" i="4"/>
  <c r="K65" i="4"/>
  <c r="J65" i="4"/>
  <c r="N65" i="4" s="1"/>
  <c r="I65" i="4"/>
  <c r="H65" i="4"/>
  <c r="G65" i="4"/>
  <c r="F65" i="4"/>
  <c r="N64" i="4"/>
  <c r="M64" i="4"/>
  <c r="L64" i="4"/>
  <c r="K64" i="4"/>
  <c r="J64" i="4"/>
  <c r="I64" i="4"/>
  <c r="H64" i="4"/>
  <c r="G64" i="4"/>
  <c r="F64" i="4"/>
  <c r="N63" i="4"/>
  <c r="M63" i="4"/>
  <c r="L63" i="4"/>
  <c r="K63" i="4"/>
  <c r="J63" i="4"/>
  <c r="I63" i="4"/>
  <c r="H63" i="4"/>
  <c r="G63" i="4"/>
  <c r="F63" i="4"/>
  <c r="M62" i="4"/>
  <c r="L62" i="4"/>
  <c r="K62" i="4"/>
  <c r="J62" i="4"/>
  <c r="N62" i="4" s="1"/>
  <c r="I62" i="4"/>
  <c r="H62" i="4"/>
  <c r="G62" i="4"/>
  <c r="F62" i="4"/>
  <c r="M61" i="4"/>
  <c r="L61" i="4"/>
  <c r="K61" i="4"/>
  <c r="J61" i="4"/>
  <c r="N61" i="4" s="1"/>
  <c r="I61" i="4"/>
  <c r="H61" i="4"/>
  <c r="G61" i="4"/>
  <c r="F61" i="4"/>
  <c r="N60" i="4"/>
  <c r="M60" i="4"/>
  <c r="L60" i="4"/>
  <c r="K60" i="4"/>
  <c r="J60" i="4"/>
  <c r="I60" i="4"/>
  <c r="H60" i="4"/>
  <c r="G60" i="4"/>
  <c r="F60" i="4"/>
  <c r="M59" i="4"/>
  <c r="L59" i="4"/>
  <c r="K59" i="4"/>
  <c r="J59" i="4"/>
  <c r="N59" i="4" s="1"/>
  <c r="I59" i="4"/>
  <c r="H59" i="4"/>
  <c r="G59" i="4"/>
  <c r="F59" i="4"/>
  <c r="M58" i="4"/>
  <c r="L58" i="4"/>
  <c r="K58" i="4"/>
  <c r="J58" i="4"/>
  <c r="N58" i="4" s="1"/>
  <c r="I58" i="4"/>
  <c r="H58" i="4"/>
  <c r="G58" i="4"/>
  <c r="F58" i="4"/>
  <c r="M57" i="4"/>
  <c r="L57" i="4"/>
  <c r="K57" i="4"/>
  <c r="J57" i="4"/>
  <c r="N57" i="4" s="1"/>
  <c r="I57" i="4"/>
  <c r="H57" i="4"/>
  <c r="G57" i="4"/>
  <c r="F57" i="4"/>
  <c r="N56" i="4"/>
  <c r="M56" i="4"/>
  <c r="L56" i="4"/>
  <c r="K56" i="4"/>
  <c r="J56" i="4"/>
  <c r="I56" i="4"/>
  <c r="H56" i="4"/>
  <c r="G56" i="4"/>
  <c r="F56" i="4"/>
  <c r="M55" i="4"/>
  <c r="L55" i="4"/>
  <c r="K55" i="4"/>
  <c r="J55" i="4"/>
  <c r="N55" i="4" s="1"/>
  <c r="I55" i="4"/>
  <c r="H55" i="4"/>
  <c r="G55" i="4"/>
  <c r="F55" i="4"/>
  <c r="M54" i="4"/>
  <c r="L54" i="4"/>
  <c r="K54" i="4"/>
  <c r="J54" i="4"/>
  <c r="N54" i="4" s="1"/>
  <c r="I54" i="4"/>
  <c r="H54" i="4"/>
  <c r="G54" i="4"/>
  <c r="F54" i="4"/>
  <c r="N53" i="4"/>
  <c r="M53" i="4"/>
  <c r="L53" i="4"/>
  <c r="K53" i="4"/>
  <c r="J53" i="4"/>
  <c r="I53" i="4"/>
  <c r="H53" i="4"/>
  <c r="G53" i="4"/>
  <c r="F53" i="4"/>
  <c r="N52" i="4"/>
  <c r="M52" i="4"/>
  <c r="L52" i="4"/>
  <c r="K52" i="4"/>
  <c r="J52" i="4"/>
  <c r="I52" i="4"/>
  <c r="H52" i="4"/>
  <c r="G52" i="4"/>
  <c r="F52" i="4"/>
  <c r="M51" i="4"/>
  <c r="L51" i="4"/>
  <c r="K51" i="4"/>
  <c r="J51" i="4"/>
  <c r="N51" i="4" s="1"/>
  <c r="I51" i="4"/>
  <c r="H51" i="4"/>
  <c r="G51" i="4"/>
  <c r="F51" i="4"/>
  <c r="N50" i="4"/>
  <c r="M50" i="4"/>
  <c r="L50" i="4"/>
  <c r="K50" i="4"/>
  <c r="J50" i="4"/>
  <c r="I50" i="4"/>
  <c r="H50" i="4"/>
  <c r="G50" i="4"/>
  <c r="F50" i="4"/>
  <c r="M49" i="4"/>
  <c r="L49" i="4"/>
  <c r="K49" i="4"/>
  <c r="J49" i="4"/>
  <c r="N49" i="4" s="1"/>
  <c r="I49" i="4"/>
  <c r="H49" i="4"/>
  <c r="G49" i="4"/>
  <c r="F49" i="4"/>
  <c r="M48" i="4"/>
  <c r="L48" i="4"/>
  <c r="K48" i="4"/>
  <c r="J48" i="4"/>
  <c r="N48" i="4" s="1"/>
  <c r="I48" i="4"/>
  <c r="H48" i="4"/>
  <c r="G48" i="4"/>
  <c r="F48" i="4"/>
  <c r="N47" i="4"/>
  <c r="M47" i="4"/>
  <c r="L47" i="4"/>
  <c r="K47" i="4"/>
  <c r="J47" i="4"/>
  <c r="I47" i="4"/>
  <c r="H47" i="4"/>
  <c r="G47" i="4"/>
  <c r="F47" i="4"/>
  <c r="M46" i="4"/>
  <c r="L46" i="4"/>
  <c r="K46" i="4"/>
  <c r="J46" i="4"/>
  <c r="N46" i="4" s="1"/>
  <c r="I46" i="4"/>
  <c r="H46" i="4"/>
  <c r="G46" i="4"/>
  <c r="F46" i="4"/>
  <c r="M45" i="4"/>
  <c r="L45" i="4"/>
  <c r="K45" i="4"/>
  <c r="J45" i="4"/>
  <c r="N45" i="4" s="1"/>
  <c r="I45" i="4"/>
  <c r="H45" i="4"/>
  <c r="G45" i="4"/>
  <c r="F45" i="4"/>
  <c r="N44" i="4"/>
  <c r="M44" i="4"/>
  <c r="L44" i="4"/>
  <c r="K44" i="4"/>
  <c r="J44" i="4"/>
  <c r="I44" i="4"/>
  <c r="H44" i="4"/>
  <c r="G44" i="4"/>
  <c r="F44" i="4"/>
  <c r="N43" i="4"/>
  <c r="M43" i="4"/>
  <c r="L43" i="4"/>
  <c r="K43" i="4"/>
  <c r="J43" i="4"/>
  <c r="I43" i="4"/>
  <c r="H43" i="4"/>
  <c r="G43" i="4"/>
  <c r="F43" i="4"/>
  <c r="N42" i="4"/>
  <c r="M42" i="4"/>
  <c r="L42" i="4"/>
  <c r="K42" i="4"/>
  <c r="J42" i="4"/>
  <c r="I42" i="4"/>
  <c r="H42" i="4"/>
  <c r="G42" i="4"/>
  <c r="F42" i="4"/>
  <c r="N41" i="4"/>
  <c r="M41" i="4"/>
  <c r="L41" i="4"/>
  <c r="K41" i="4"/>
  <c r="J41" i="4"/>
  <c r="I41" i="4"/>
  <c r="H41" i="4"/>
  <c r="G41" i="4"/>
  <c r="F41" i="4"/>
  <c r="M40" i="4"/>
  <c r="L40" i="4"/>
  <c r="K40" i="4"/>
  <c r="J40" i="4"/>
  <c r="N40" i="4" s="1"/>
  <c r="I40" i="4"/>
  <c r="H40" i="4"/>
  <c r="G40" i="4"/>
  <c r="F40" i="4"/>
  <c r="M39" i="4"/>
  <c r="L39" i="4"/>
  <c r="K39" i="4"/>
  <c r="J39" i="4"/>
  <c r="N39" i="4" s="1"/>
  <c r="I39" i="4"/>
  <c r="H39" i="4"/>
  <c r="G39" i="4"/>
  <c r="F39" i="4"/>
  <c r="M38" i="4"/>
  <c r="L38" i="4"/>
  <c r="K38" i="4"/>
  <c r="J38" i="4"/>
  <c r="N38" i="4" s="1"/>
  <c r="I38" i="4"/>
  <c r="H38" i="4"/>
  <c r="G38" i="4"/>
  <c r="F38" i="4"/>
  <c r="N37" i="4"/>
  <c r="M37" i="4"/>
  <c r="L37" i="4"/>
  <c r="K37" i="4"/>
  <c r="J37" i="4"/>
  <c r="I37" i="4"/>
  <c r="H37" i="4"/>
  <c r="G37" i="4"/>
  <c r="F37" i="4"/>
  <c r="M36" i="4"/>
  <c r="L36" i="4"/>
  <c r="K36" i="4"/>
  <c r="J36" i="4"/>
  <c r="N36" i="4" s="1"/>
  <c r="I36" i="4"/>
  <c r="H36" i="4"/>
  <c r="G36" i="4"/>
  <c r="F36" i="4"/>
  <c r="N35" i="4"/>
  <c r="M35" i="4"/>
  <c r="L35" i="4"/>
  <c r="K35" i="4"/>
  <c r="J35" i="4"/>
  <c r="I35" i="4"/>
  <c r="H35" i="4"/>
  <c r="G35" i="4"/>
  <c r="F35" i="4"/>
  <c r="M34" i="4"/>
  <c r="L34" i="4"/>
  <c r="K34" i="4"/>
  <c r="J34" i="4"/>
  <c r="N34" i="4" s="1"/>
  <c r="I34" i="4"/>
  <c r="H34" i="4"/>
  <c r="G34" i="4"/>
  <c r="F34" i="4"/>
  <c r="N33" i="4"/>
  <c r="M33" i="4"/>
  <c r="L33" i="4"/>
  <c r="K33" i="4"/>
  <c r="J33" i="4"/>
  <c r="I33" i="4"/>
  <c r="H33" i="4"/>
  <c r="G33" i="4"/>
  <c r="F33" i="4"/>
  <c r="M32" i="4"/>
  <c r="L32" i="4"/>
  <c r="K32" i="4"/>
  <c r="J32" i="4"/>
  <c r="N32" i="4" s="1"/>
  <c r="I32" i="4"/>
  <c r="H32" i="4"/>
  <c r="G32" i="4"/>
  <c r="F32" i="4"/>
  <c r="N31" i="4"/>
  <c r="M31" i="4"/>
  <c r="L31" i="4"/>
  <c r="K31" i="4"/>
  <c r="J31" i="4"/>
  <c r="I31" i="4"/>
  <c r="H31" i="4"/>
  <c r="G31" i="4"/>
  <c r="F31" i="4"/>
  <c r="M30" i="4"/>
  <c r="L30" i="4"/>
  <c r="K30" i="4"/>
  <c r="J30" i="4"/>
  <c r="N30" i="4" s="1"/>
  <c r="I30" i="4"/>
  <c r="H30" i="4"/>
  <c r="G30" i="4"/>
  <c r="F30" i="4"/>
  <c r="M29" i="4"/>
  <c r="L29" i="4"/>
  <c r="K29" i="4"/>
  <c r="J29" i="4"/>
  <c r="N29" i="4" s="1"/>
  <c r="I29" i="4"/>
  <c r="H29" i="4"/>
  <c r="G29" i="4"/>
  <c r="F29" i="4"/>
  <c r="M28" i="4"/>
  <c r="L28" i="4"/>
  <c r="K28" i="4"/>
  <c r="J28" i="4"/>
  <c r="N28" i="4" s="1"/>
  <c r="I28" i="4"/>
  <c r="H28" i="4"/>
  <c r="G28" i="4"/>
  <c r="F28" i="4"/>
  <c r="N27" i="4"/>
  <c r="M27" i="4"/>
  <c r="L27" i="4"/>
  <c r="K27" i="4"/>
  <c r="J27" i="4"/>
  <c r="I27" i="4"/>
  <c r="H27" i="4"/>
  <c r="G27" i="4"/>
  <c r="F27" i="4"/>
  <c r="M26" i="4"/>
  <c r="L26" i="4"/>
  <c r="K26" i="4"/>
  <c r="J26" i="4"/>
  <c r="N26" i="4" s="1"/>
  <c r="I26" i="4"/>
  <c r="H26" i="4"/>
  <c r="G26" i="4"/>
  <c r="F26" i="4"/>
  <c r="M25" i="4"/>
  <c r="L25" i="4"/>
  <c r="K25" i="4"/>
  <c r="J25" i="4"/>
  <c r="N25" i="4" s="1"/>
  <c r="I25" i="4"/>
  <c r="H25" i="4"/>
  <c r="G25" i="4"/>
  <c r="F25" i="4"/>
  <c r="N24" i="4"/>
  <c r="M24" i="4"/>
  <c r="L24" i="4"/>
  <c r="K24" i="4"/>
  <c r="J24" i="4"/>
  <c r="I24" i="4"/>
  <c r="H24" i="4"/>
  <c r="G24" i="4"/>
  <c r="F24" i="4"/>
  <c r="N23" i="4"/>
  <c r="M23" i="4"/>
  <c r="L23" i="4"/>
  <c r="K23" i="4"/>
  <c r="J23" i="4"/>
  <c r="I23" i="4"/>
  <c r="H23" i="4"/>
  <c r="G23" i="4"/>
  <c r="F23" i="4"/>
  <c r="M22" i="4"/>
  <c r="L22" i="4"/>
  <c r="K22" i="4"/>
  <c r="J22" i="4"/>
  <c r="N22" i="4" s="1"/>
  <c r="I22" i="4"/>
  <c r="H22" i="4"/>
  <c r="G22" i="4"/>
  <c r="F22" i="4"/>
  <c r="M21" i="4"/>
  <c r="L21" i="4"/>
  <c r="K21" i="4"/>
  <c r="J21" i="4"/>
  <c r="N21" i="4" s="1"/>
  <c r="I21" i="4"/>
  <c r="H21" i="4"/>
  <c r="G21" i="4"/>
  <c r="F21" i="4"/>
  <c r="M20" i="4"/>
  <c r="L20" i="4"/>
  <c r="K20" i="4"/>
  <c r="J20" i="4"/>
  <c r="N20" i="4" s="1"/>
  <c r="I20" i="4"/>
  <c r="H20" i="4"/>
  <c r="G20" i="4"/>
  <c r="F20" i="4"/>
  <c r="M19" i="4"/>
  <c r="L19" i="4"/>
  <c r="K19" i="4"/>
  <c r="J19" i="4"/>
  <c r="N19" i="4" s="1"/>
  <c r="I19" i="4"/>
  <c r="H19" i="4"/>
  <c r="G19" i="4"/>
  <c r="F19" i="4"/>
  <c r="M18" i="4"/>
  <c r="L18" i="4"/>
  <c r="K18" i="4"/>
  <c r="J18" i="4"/>
  <c r="N18" i="4" s="1"/>
  <c r="I18" i="4"/>
  <c r="H18" i="4"/>
  <c r="G18" i="4"/>
  <c r="F18" i="4"/>
  <c r="M17" i="4"/>
  <c r="L17" i="4"/>
  <c r="K17" i="4"/>
  <c r="J17" i="4"/>
  <c r="N17" i="4" s="1"/>
  <c r="I17" i="4"/>
  <c r="H17" i="4"/>
  <c r="G17" i="4"/>
  <c r="F17" i="4"/>
  <c r="N16" i="4"/>
  <c r="M16" i="4"/>
  <c r="L16" i="4"/>
  <c r="K16" i="4"/>
  <c r="J16" i="4"/>
  <c r="I16" i="4"/>
  <c r="H16" i="4"/>
  <c r="G16" i="4"/>
  <c r="F16" i="4"/>
  <c r="M15" i="4"/>
  <c r="L15" i="4"/>
  <c r="K15" i="4"/>
  <c r="J15" i="4"/>
  <c r="N15" i="4" s="1"/>
  <c r="I15" i="4"/>
  <c r="H15" i="4"/>
  <c r="G15" i="4"/>
  <c r="F15" i="4"/>
  <c r="M14" i="4"/>
  <c r="L14" i="4"/>
  <c r="K14" i="4"/>
  <c r="J14" i="4"/>
  <c r="N14" i="4" s="1"/>
  <c r="I14" i="4"/>
  <c r="H14" i="4"/>
  <c r="G14" i="4"/>
  <c r="F14" i="4"/>
  <c r="N13" i="4"/>
  <c r="M13" i="4"/>
  <c r="L13" i="4"/>
  <c r="K13" i="4"/>
  <c r="J13" i="4"/>
  <c r="I13" i="4"/>
  <c r="H13" i="4"/>
  <c r="G13" i="4"/>
  <c r="F13" i="4"/>
  <c r="N12" i="4"/>
  <c r="M12" i="4"/>
  <c r="L12" i="4"/>
  <c r="K12" i="4"/>
  <c r="J12" i="4"/>
  <c r="I12" i="4"/>
  <c r="H12" i="4"/>
  <c r="G12" i="4"/>
  <c r="F12" i="4"/>
  <c r="I11" i="4"/>
  <c r="G11" i="4"/>
  <c r="O11" i="4" s="1"/>
  <c r="F11" i="4"/>
  <c r="D11" i="4"/>
  <c r="I10" i="4"/>
  <c r="G10" i="4"/>
  <c r="F10" i="4"/>
  <c r="O10" i="4" s="1"/>
  <c r="D10" i="4"/>
  <c r="I9" i="4"/>
  <c r="G9" i="4"/>
  <c r="O9" i="4" s="1"/>
  <c r="F9" i="4"/>
  <c r="D9" i="4"/>
  <c r="I8" i="4"/>
  <c r="G8" i="4"/>
  <c r="F8" i="4"/>
  <c r="D8" i="4"/>
  <c r="O7" i="4"/>
  <c r="I7" i="4"/>
  <c r="G7" i="4"/>
  <c r="F7" i="4"/>
  <c r="D7" i="4"/>
  <c r="I6" i="4"/>
  <c r="G6" i="4"/>
  <c r="O6" i="4" s="1"/>
  <c r="F6" i="4"/>
  <c r="D6" i="4"/>
  <c r="N5" i="4"/>
  <c r="M5" i="4"/>
  <c r="L5" i="4"/>
  <c r="K5" i="4"/>
  <c r="J5" i="4"/>
  <c r="I5" i="4"/>
  <c r="H5" i="4"/>
  <c r="G5" i="4"/>
  <c r="O5" i="4" s="1"/>
  <c r="F5" i="4"/>
  <c r="D5" i="4"/>
  <c r="M4" i="4"/>
  <c r="L4" i="4"/>
  <c r="K4" i="4"/>
  <c r="J4" i="4"/>
  <c r="N4" i="4" s="1"/>
  <c r="I4" i="4"/>
  <c r="H4" i="4"/>
  <c r="G4" i="4"/>
  <c r="F4" i="4"/>
  <c r="D4" i="4"/>
  <c r="N3" i="4"/>
  <c r="M3" i="4"/>
  <c r="L3" i="4"/>
  <c r="K3" i="4"/>
  <c r="J3" i="4"/>
  <c r="I3" i="4"/>
  <c r="H3" i="4"/>
  <c r="G3" i="4"/>
  <c r="O3" i="4" s="1"/>
  <c r="F3" i="4"/>
  <c r="D3" i="4"/>
  <c r="N2" i="4"/>
  <c r="M2" i="4"/>
  <c r="L2" i="4"/>
  <c r="K2" i="4"/>
  <c r="J2" i="4"/>
  <c r="I2" i="4"/>
  <c r="H2" i="4"/>
  <c r="G2" i="4"/>
  <c r="O2" i="4" s="1"/>
  <c r="F2" i="4"/>
  <c r="D2" i="4"/>
  <c r="M997" i="3"/>
  <c r="L997" i="3"/>
  <c r="K997" i="3"/>
  <c r="J997" i="3"/>
  <c r="N997" i="3" s="1"/>
  <c r="I997" i="3"/>
  <c r="H997" i="3"/>
  <c r="G997" i="3"/>
  <c r="F997" i="3"/>
  <c r="N996" i="3"/>
  <c r="M996" i="3"/>
  <c r="L996" i="3"/>
  <c r="K996" i="3"/>
  <c r="J996" i="3"/>
  <c r="I996" i="3"/>
  <c r="H996" i="3"/>
  <c r="G996" i="3"/>
  <c r="F996" i="3"/>
  <c r="M995" i="3"/>
  <c r="L995" i="3"/>
  <c r="K995" i="3"/>
  <c r="J995" i="3"/>
  <c r="N995" i="3" s="1"/>
  <c r="I995" i="3"/>
  <c r="H995" i="3"/>
  <c r="G995" i="3"/>
  <c r="F995" i="3"/>
  <c r="N994" i="3"/>
  <c r="M994" i="3"/>
  <c r="L994" i="3"/>
  <c r="K994" i="3"/>
  <c r="J994" i="3"/>
  <c r="I994" i="3"/>
  <c r="H994" i="3"/>
  <c r="G994" i="3"/>
  <c r="F994" i="3"/>
  <c r="N993" i="3"/>
  <c r="M993" i="3"/>
  <c r="L993" i="3"/>
  <c r="K993" i="3"/>
  <c r="J993" i="3"/>
  <c r="I993" i="3"/>
  <c r="H993" i="3"/>
  <c r="G993" i="3"/>
  <c r="F993" i="3"/>
  <c r="M992" i="3"/>
  <c r="L992" i="3"/>
  <c r="K992" i="3"/>
  <c r="J992" i="3"/>
  <c r="N992" i="3" s="1"/>
  <c r="I992" i="3"/>
  <c r="H992" i="3"/>
  <c r="G992" i="3"/>
  <c r="F992" i="3"/>
  <c r="N991" i="3"/>
  <c r="M991" i="3"/>
  <c r="L991" i="3"/>
  <c r="K991" i="3"/>
  <c r="J991" i="3"/>
  <c r="I991" i="3"/>
  <c r="H991" i="3"/>
  <c r="G991" i="3"/>
  <c r="F991" i="3"/>
  <c r="M990" i="3"/>
  <c r="L990" i="3"/>
  <c r="K990" i="3"/>
  <c r="J990" i="3"/>
  <c r="N990" i="3" s="1"/>
  <c r="I990" i="3"/>
  <c r="H990" i="3"/>
  <c r="G990" i="3"/>
  <c r="F990" i="3"/>
  <c r="M989" i="3"/>
  <c r="L989" i="3"/>
  <c r="K989" i="3"/>
  <c r="J989" i="3"/>
  <c r="N989" i="3" s="1"/>
  <c r="I989" i="3"/>
  <c r="H989" i="3"/>
  <c r="G989" i="3"/>
  <c r="F989" i="3"/>
  <c r="M988" i="3"/>
  <c r="L988" i="3"/>
  <c r="K988" i="3"/>
  <c r="J988" i="3"/>
  <c r="N988" i="3" s="1"/>
  <c r="I988" i="3"/>
  <c r="H988" i="3"/>
  <c r="G988" i="3"/>
  <c r="F988" i="3"/>
  <c r="N987" i="3"/>
  <c r="M987" i="3"/>
  <c r="L987" i="3"/>
  <c r="K987" i="3"/>
  <c r="J987" i="3"/>
  <c r="I987" i="3"/>
  <c r="H987" i="3"/>
  <c r="G987" i="3"/>
  <c r="F987" i="3"/>
  <c r="N986" i="3"/>
  <c r="M986" i="3"/>
  <c r="L986" i="3"/>
  <c r="K986" i="3"/>
  <c r="J986" i="3"/>
  <c r="I986" i="3"/>
  <c r="H986" i="3"/>
  <c r="G986" i="3"/>
  <c r="F986" i="3"/>
  <c r="N985" i="3"/>
  <c r="M985" i="3"/>
  <c r="L985" i="3"/>
  <c r="K985" i="3"/>
  <c r="J985" i="3"/>
  <c r="I985" i="3"/>
  <c r="H985" i="3"/>
  <c r="G985" i="3"/>
  <c r="F985" i="3"/>
  <c r="N984" i="3"/>
  <c r="M984" i="3"/>
  <c r="L984" i="3"/>
  <c r="K984" i="3"/>
  <c r="J984" i="3"/>
  <c r="I984" i="3"/>
  <c r="H984" i="3"/>
  <c r="G984" i="3"/>
  <c r="F984" i="3"/>
  <c r="M983" i="3"/>
  <c r="L983" i="3"/>
  <c r="K983" i="3"/>
  <c r="J983" i="3"/>
  <c r="N983" i="3" s="1"/>
  <c r="I983" i="3"/>
  <c r="H983" i="3"/>
  <c r="G983" i="3"/>
  <c r="F983" i="3"/>
  <c r="M982" i="3"/>
  <c r="L982" i="3"/>
  <c r="K982" i="3"/>
  <c r="J982" i="3"/>
  <c r="N982" i="3" s="1"/>
  <c r="I982" i="3"/>
  <c r="H982" i="3"/>
  <c r="G982" i="3"/>
  <c r="F982" i="3"/>
  <c r="N981" i="3"/>
  <c r="M981" i="3"/>
  <c r="L981" i="3"/>
  <c r="K981" i="3"/>
  <c r="J981" i="3"/>
  <c r="I981" i="3"/>
  <c r="H981" i="3"/>
  <c r="G981" i="3"/>
  <c r="F981" i="3"/>
  <c r="M980" i="3"/>
  <c r="L980" i="3"/>
  <c r="K980" i="3"/>
  <c r="J980" i="3"/>
  <c r="N980" i="3" s="1"/>
  <c r="I980" i="3"/>
  <c r="H980" i="3"/>
  <c r="G980" i="3"/>
  <c r="F980" i="3"/>
  <c r="M979" i="3"/>
  <c r="L979" i="3"/>
  <c r="K979" i="3"/>
  <c r="J979" i="3"/>
  <c r="N979" i="3" s="1"/>
  <c r="I979" i="3"/>
  <c r="H979" i="3"/>
  <c r="G979" i="3"/>
  <c r="F979" i="3"/>
  <c r="N978" i="3"/>
  <c r="M978" i="3"/>
  <c r="L978" i="3"/>
  <c r="K978" i="3"/>
  <c r="J978" i="3"/>
  <c r="I978" i="3"/>
  <c r="H978" i="3"/>
  <c r="G978" i="3"/>
  <c r="F978" i="3"/>
  <c r="M977" i="3"/>
  <c r="L977" i="3"/>
  <c r="K977" i="3"/>
  <c r="J977" i="3"/>
  <c r="N977" i="3" s="1"/>
  <c r="I977" i="3"/>
  <c r="H977" i="3"/>
  <c r="G977" i="3"/>
  <c r="F977" i="3"/>
  <c r="N976" i="3"/>
  <c r="M976" i="3"/>
  <c r="L976" i="3"/>
  <c r="K976" i="3"/>
  <c r="J976" i="3"/>
  <c r="I976" i="3"/>
  <c r="H976" i="3"/>
  <c r="G976" i="3"/>
  <c r="F976" i="3"/>
  <c r="N975" i="3"/>
  <c r="M975" i="3"/>
  <c r="L975" i="3"/>
  <c r="K975" i="3"/>
  <c r="J975" i="3"/>
  <c r="I975" i="3"/>
  <c r="H975" i="3"/>
  <c r="G975" i="3"/>
  <c r="F975" i="3"/>
  <c r="M974" i="3"/>
  <c r="L974" i="3"/>
  <c r="K974" i="3"/>
  <c r="J974" i="3"/>
  <c r="N974" i="3" s="1"/>
  <c r="I974" i="3"/>
  <c r="H974" i="3"/>
  <c r="G974" i="3"/>
  <c r="F974" i="3"/>
  <c r="M973" i="3"/>
  <c r="L973" i="3"/>
  <c r="K973" i="3"/>
  <c r="J973" i="3"/>
  <c r="N973" i="3" s="1"/>
  <c r="I973" i="3"/>
  <c r="H973" i="3"/>
  <c r="G973" i="3"/>
  <c r="F973" i="3"/>
  <c r="N972" i="3"/>
  <c r="M972" i="3"/>
  <c r="L972" i="3"/>
  <c r="K972" i="3"/>
  <c r="J972" i="3"/>
  <c r="I972" i="3"/>
  <c r="H972" i="3"/>
  <c r="G972" i="3"/>
  <c r="F972" i="3"/>
  <c r="M971" i="3"/>
  <c r="L971" i="3"/>
  <c r="K971" i="3"/>
  <c r="J971" i="3"/>
  <c r="N971" i="3" s="1"/>
  <c r="I971" i="3"/>
  <c r="H971" i="3"/>
  <c r="G971" i="3"/>
  <c r="F971" i="3"/>
  <c r="N970" i="3"/>
  <c r="M970" i="3"/>
  <c r="L970" i="3"/>
  <c r="K970" i="3"/>
  <c r="J970" i="3"/>
  <c r="I970" i="3"/>
  <c r="H970" i="3"/>
  <c r="G970" i="3"/>
  <c r="F970" i="3"/>
  <c r="N969" i="3"/>
  <c r="M969" i="3"/>
  <c r="L969" i="3"/>
  <c r="K969" i="3"/>
  <c r="J969" i="3"/>
  <c r="I969" i="3"/>
  <c r="H969" i="3"/>
  <c r="G969" i="3"/>
  <c r="F969" i="3"/>
  <c r="M968" i="3"/>
  <c r="L968" i="3"/>
  <c r="K968" i="3"/>
  <c r="J968" i="3"/>
  <c r="N968" i="3" s="1"/>
  <c r="I968" i="3"/>
  <c r="H968" i="3"/>
  <c r="G968" i="3"/>
  <c r="F968" i="3"/>
  <c r="N967" i="3"/>
  <c r="M967" i="3"/>
  <c r="L967" i="3"/>
  <c r="K967" i="3"/>
  <c r="J967" i="3"/>
  <c r="I967" i="3"/>
  <c r="H967" i="3"/>
  <c r="G967" i="3"/>
  <c r="F967" i="3"/>
  <c r="M966" i="3"/>
  <c r="L966" i="3"/>
  <c r="K966" i="3"/>
  <c r="J966" i="3"/>
  <c r="N966" i="3" s="1"/>
  <c r="I966" i="3"/>
  <c r="H966" i="3"/>
  <c r="G966" i="3"/>
  <c r="F966" i="3"/>
  <c r="N965" i="3"/>
  <c r="M965" i="3"/>
  <c r="L965" i="3"/>
  <c r="K965" i="3"/>
  <c r="J965" i="3"/>
  <c r="I965" i="3"/>
  <c r="H965" i="3"/>
  <c r="G965" i="3"/>
  <c r="F965" i="3"/>
  <c r="M964" i="3"/>
  <c r="L964" i="3"/>
  <c r="K964" i="3"/>
  <c r="J964" i="3"/>
  <c r="N964" i="3" s="1"/>
  <c r="I964" i="3"/>
  <c r="H964" i="3"/>
  <c r="G964" i="3"/>
  <c r="F964" i="3"/>
  <c r="N963" i="3"/>
  <c r="M963" i="3"/>
  <c r="L963" i="3"/>
  <c r="K963" i="3"/>
  <c r="J963" i="3"/>
  <c r="I963" i="3"/>
  <c r="H963" i="3"/>
  <c r="G963" i="3"/>
  <c r="F963" i="3"/>
  <c r="N962" i="3"/>
  <c r="M962" i="3"/>
  <c r="L962" i="3"/>
  <c r="K962" i="3"/>
  <c r="J962" i="3"/>
  <c r="I962" i="3"/>
  <c r="H962" i="3"/>
  <c r="G962" i="3"/>
  <c r="F962" i="3"/>
  <c r="M961" i="3"/>
  <c r="L961" i="3"/>
  <c r="K961" i="3"/>
  <c r="J961" i="3"/>
  <c r="N961" i="3" s="1"/>
  <c r="I961" i="3"/>
  <c r="H961" i="3"/>
  <c r="G961" i="3"/>
  <c r="F961" i="3"/>
  <c r="N960" i="3"/>
  <c r="M960" i="3"/>
  <c r="L960" i="3"/>
  <c r="K960" i="3"/>
  <c r="J960" i="3"/>
  <c r="I960" i="3"/>
  <c r="H960" i="3"/>
  <c r="G960" i="3"/>
  <c r="F960" i="3"/>
  <c r="M959" i="3"/>
  <c r="L959" i="3"/>
  <c r="K959" i="3"/>
  <c r="J959" i="3"/>
  <c r="N959" i="3" s="1"/>
  <c r="I959" i="3"/>
  <c r="H959" i="3"/>
  <c r="G959" i="3"/>
  <c r="F959" i="3"/>
  <c r="M958" i="3"/>
  <c r="L958" i="3"/>
  <c r="K958" i="3"/>
  <c r="J958" i="3"/>
  <c r="N958" i="3" s="1"/>
  <c r="I958" i="3"/>
  <c r="H958" i="3"/>
  <c r="G958" i="3"/>
  <c r="F958" i="3"/>
  <c r="N957" i="3"/>
  <c r="M957" i="3"/>
  <c r="L957" i="3"/>
  <c r="K957" i="3"/>
  <c r="J957" i="3"/>
  <c r="I957" i="3"/>
  <c r="H957" i="3"/>
  <c r="G957" i="3"/>
  <c r="F957" i="3"/>
  <c r="N956" i="3"/>
  <c r="M956" i="3"/>
  <c r="L956" i="3"/>
  <c r="K956" i="3"/>
  <c r="J956" i="3"/>
  <c r="I956" i="3"/>
  <c r="H956" i="3"/>
  <c r="G956" i="3"/>
  <c r="F956" i="3"/>
  <c r="M955" i="3"/>
  <c r="L955" i="3"/>
  <c r="K955" i="3"/>
  <c r="J955" i="3"/>
  <c r="N955" i="3" s="1"/>
  <c r="I955" i="3"/>
  <c r="H955" i="3"/>
  <c r="G955" i="3"/>
  <c r="F955" i="3"/>
  <c r="N954" i="3"/>
  <c r="M954" i="3"/>
  <c r="L954" i="3"/>
  <c r="K954" i="3"/>
  <c r="J954" i="3"/>
  <c r="I954" i="3"/>
  <c r="H954" i="3"/>
  <c r="G954" i="3"/>
  <c r="F954" i="3"/>
  <c r="M953" i="3"/>
  <c r="L953" i="3"/>
  <c r="K953" i="3"/>
  <c r="J953" i="3"/>
  <c r="N953" i="3" s="1"/>
  <c r="I953" i="3"/>
  <c r="H953" i="3"/>
  <c r="G953" i="3"/>
  <c r="F953" i="3"/>
  <c r="M952" i="3"/>
  <c r="L952" i="3"/>
  <c r="K952" i="3"/>
  <c r="J952" i="3"/>
  <c r="N952" i="3" s="1"/>
  <c r="I952" i="3"/>
  <c r="H952" i="3"/>
  <c r="G952" i="3"/>
  <c r="F952" i="3"/>
  <c r="N951" i="3"/>
  <c r="M951" i="3"/>
  <c r="L951" i="3"/>
  <c r="K951" i="3"/>
  <c r="J951" i="3"/>
  <c r="I951" i="3"/>
  <c r="H951" i="3"/>
  <c r="G951" i="3"/>
  <c r="F951" i="3"/>
  <c r="M950" i="3"/>
  <c r="L950" i="3"/>
  <c r="K950" i="3"/>
  <c r="J950" i="3"/>
  <c r="N950" i="3" s="1"/>
  <c r="I950" i="3"/>
  <c r="H950" i="3"/>
  <c r="G950" i="3"/>
  <c r="F950" i="3"/>
  <c r="M949" i="3"/>
  <c r="L949" i="3"/>
  <c r="K949" i="3"/>
  <c r="J949" i="3"/>
  <c r="N949" i="3" s="1"/>
  <c r="I949" i="3"/>
  <c r="H949" i="3"/>
  <c r="G949" i="3"/>
  <c r="F949" i="3"/>
  <c r="N948" i="3"/>
  <c r="M948" i="3"/>
  <c r="L948" i="3"/>
  <c r="K948" i="3"/>
  <c r="J948" i="3"/>
  <c r="I948" i="3"/>
  <c r="H948" i="3"/>
  <c r="G948" i="3"/>
  <c r="F948" i="3"/>
  <c r="N947" i="3"/>
  <c r="M947" i="3"/>
  <c r="L947" i="3"/>
  <c r="K947" i="3"/>
  <c r="J947" i="3"/>
  <c r="I947" i="3"/>
  <c r="H947" i="3"/>
  <c r="G947" i="3"/>
  <c r="F947" i="3"/>
  <c r="M946" i="3"/>
  <c r="L946" i="3"/>
  <c r="K946" i="3"/>
  <c r="J946" i="3"/>
  <c r="N946" i="3" s="1"/>
  <c r="I946" i="3"/>
  <c r="H946" i="3"/>
  <c r="G946" i="3"/>
  <c r="F946" i="3"/>
  <c r="M945" i="3"/>
  <c r="L945" i="3"/>
  <c r="K945" i="3"/>
  <c r="J945" i="3"/>
  <c r="N945" i="3" s="1"/>
  <c r="I945" i="3"/>
  <c r="H945" i="3"/>
  <c r="G945" i="3"/>
  <c r="F945" i="3"/>
  <c r="N944" i="3"/>
  <c r="M944" i="3"/>
  <c r="L944" i="3"/>
  <c r="K944" i="3"/>
  <c r="J944" i="3"/>
  <c r="I944" i="3"/>
  <c r="H944" i="3"/>
  <c r="G944" i="3"/>
  <c r="F944" i="3"/>
  <c r="M943" i="3"/>
  <c r="L943" i="3"/>
  <c r="K943" i="3"/>
  <c r="J943" i="3"/>
  <c r="N943" i="3" s="1"/>
  <c r="I943" i="3"/>
  <c r="H943" i="3"/>
  <c r="G943" i="3"/>
  <c r="F943" i="3"/>
  <c r="M942" i="3"/>
  <c r="L942" i="3"/>
  <c r="K942" i="3"/>
  <c r="J942" i="3"/>
  <c r="N942" i="3" s="1"/>
  <c r="I942" i="3"/>
  <c r="H942" i="3"/>
  <c r="G942" i="3"/>
  <c r="F942" i="3"/>
  <c r="M941" i="3"/>
  <c r="L941" i="3"/>
  <c r="K941" i="3"/>
  <c r="J941" i="3"/>
  <c r="N941" i="3" s="1"/>
  <c r="I941" i="3"/>
  <c r="H941" i="3"/>
  <c r="G941" i="3"/>
  <c r="F941" i="3"/>
  <c r="N940" i="3"/>
  <c r="M940" i="3"/>
  <c r="L940" i="3"/>
  <c r="K940" i="3"/>
  <c r="J940" i="3"/>
  <c r="I940" i="3"/>
  <c r="H940" i="3"/>
  <c r="G940" i="3"/>
  <c r="F940" i="3"/>
  <c r="M939" i="3"/>
  <c r="L939" i="3"/>
  <c r="K939" i="3"/>
  <c r="J939" i="3"/>
  <c r="N939" i="3" s="1"/>
  <c r="I939" i="3"/>
  <c r="H939" i="3"/>
  <c r="G939" i="3"/>
  <c r="F939" i="3"/>
  <c r="M938" i="3"/>
  <c r="L938" i="3"/>
  <c r="K938" i="3"/>
  <c r="J938" i="3"/>
  <c r="N938" i="3" s="1"/>
  <c r="I938" i="3"/>
  <c r="H938" i="3"/>
  <c r="G938" i="3"/>
  <c r="F938" i="3"/>
  <c r="N937" i="3"/>
  <c r="M937" i="3"/>
  <c r="L937" i="3"/>
  <c r="K937" i="3"/>
  <c r="J937" i="3"/>
  <c r="I937" i="3"/>
  <c r="H937" i="3"/>
  <c r="G937" i="3"/>
  <c r="F937" i="3"/>
  <c r="N936" i="3"/>
  <c r="M936" i="3"/>
  <c r="L936" i="3"/>
  <c r="K936" i="3"/>
  <c r="J936" i="3"/>
  <c r="I936" i="3"/>
  <c r="H936" i="3"/>
  <c r="G936" i="3"/>
  <c r="F936" i="3"/>
  <c r="M935" i="3"/>
  <c r="L935" i="3"/>
  <c r="K935" i="3"/>
  <c r="J935" i="3"/>
  <c r="N935" i="3" s="1"/>
  <c r="I935" i="3"/>
  <c r="H935" i="3"/>
  <c r="G935" i="3"/>
  <c r="F935" i="3"/>
  <c r="M934" i="3"/>
  <c r="L934" i="3"/>
  <c r="K934" i="3"/>
  <c r="J934" i="3"/>
  <c r="N934" i="3" s="1"/>
  <c r="I934" i="3"/>
  <c r="H934" i="3"/>
  <c r="G934" i="3"/>
  <c r="F934" i="3"/>
  <c r="N933" i="3"/>
  <c r="M933" i="3"/>
  <c r="L933" i="3"/>
  <c r="K933" i="3"/>
  <c r="J933" i="3"/>
  <c r="I933" i="3"/>
  <c r="H933" i="3"/>
  <c r="G933" i="3"/>
  <c r="F933" i="3"/>
  <c r="M932" i="3"/>
  <c r="L932" i="3"/>
  <c r="K932" i="3"/>
  <c r="J932" i="3"/>
  <c r="N932" i="3" s="1"/>
  <c r="I932" i="3"/>
  <c r="H932" i="3"/>
  <c r="G932" i="3"/>
  <c r="F932" i="3"/>
  <c r="M931" i="3"/>
  <c r="L931" i="3"/>
  <c r="K931" i="3"/>
  <c r="J931" i="3"/>
  <c r="N931" i="3" s="1"/>
  <c r="I931" i="3"/>
  <c r="H931" i="3"/>
  <c r="G931" i="3"/>
  <c r="F931" i="3"/>
  <c r="M930" i="3"/>
  <c r="L930" i="3"/>
  <c r="K930" i="3"/>
  <c r="J930" i="3"/>
  <c r="N930" i="3" s="1"/>
  <c r="I930" i="3"/>
  <c r="H930" i="3"/>
  <c r="G930" i="3"/>
  <c r="F930" i="3"/>
  <c r="N929" i="3"/>
  <c r="M929" i="3"/>
  <c r="L929" i="3"/>
  <c r="K929" i="3"/>
  <c r="J929" i="3"/>
  <c r="I929" i="3"/>
  <c r="H929" i="3"/>
  <c r="G929" i="3"/>
  <c r="F929" i="3"/>
  <c r="M928" i="3"/>
  <c r="L928" i="3"/>
  <c r="K928" i="3"/>
  <c r="J928" i="3"/>
  <c r="N928" i="3" s="1"/>
  <c r="I928" i="3"/>
  <c r="H928" i="3"/>
  <c r="G928" i="3"/>
  <c r="F928" i="3"/>
  <c r="N927" i="3"/>
  <c r="M927" i="3"/>
  <c r="L927" i="3"/>
  <c r="K927" i="3"/>
  <c r="J927" i="3"/>
  <c r="I927" i="3"/>
  <c r="H927" i="3"/>
  <c r="G927" i="3"/>
  <c r="F927" i="3"/>
  <c r="M926" i="3"/>
  <c r="L926" i="3"/>
  <c r="K926" i="3"/>
  <c r="J926" i="3"/>
  <c r="N926" i="3" s="1"/>
  <c r="I926" i="3"/>
  <c r="H926" i="3"/>
  <c r="G926" i="3"/>
  <c r="F926" i="3"/>
  <c r="N925" i="3"/>
  <c r="M925" i="3"/>
  <c r="L925" i="3"/>
  <c r="K925" i="3"/>
  <c r="J925" i="3"/>
  <c r="I925" i="3"/>
  <c r="H925" i="3"/>
  <c r="G925" i="3"/>
  <c r="F925" i="3"/>
  <c r="M924" i="3"/>
  <c r="L924" i="3"/>
  <c r="K924" i="3"/>
  <c r="J924" i="3"/>
  <c r="N924" i="3" s="1"/>
  <c r="I924" i="3"/>
  <c r="H924" i="3"/>
  <c r="G924" i="3"/>
  <c r="F924" i="3"/>
  <c r="N923" i="3"/>
  <c r="M923" i="3"/>
  <c r="L923" i="3"/>
  <c r="K923" i="3"/>
  <c r="J923" i="3"/>
  <c r="I923" i="3"/>
  <c r="H923" i="3"/>
  <c r="G923" i="3"/>
  <c r="F923" i="3"/>
  <c r="M922" i="3"/>
  <c r="L922" i="3"/>
  <c r="K922" i="3"/>
  <c r="J922" i="3"/>
  <c r="N922" i="3" s="1"/>
  <c r="I922" i="3"/>
  <c r="H922" i="3"/>
  <c r="G922" i="3"/>
  <c r="F922" i="3"/>
  <c r="M921" i="3"/>
  <c r="L921" i="3"/>
  <c r="K921" i="3"/>
  <c r="J921" i="3"/>
  <c r="N921" i="3" s="1"/>
  <c r="I921" i="3"/>
  <c r="H921" i="3"/>
  <c r="G921" i="3"/>
  <c r="F921" i="3"/>
  <c r="M920" i="3"/>
  <c r="L920" i="3"/>
  <c r="K920" i="3"/>
  <c r="J920" i="3"/>
  <c r="N920" i="3" s="1"/>
  <c r="I920" i="3"/>
  <c r="H920" i="3"/>
  <c r="G920" i="3"/>
  <c r="F920" i="3"/>
  <c r="N919" i="3"/>
  <c r="M919" i="3"/>
  <c r="L919" i="3"/>
  <c r="K919" i="3"/>
  <c r="J919" i="3"/>
  <c r="I919" i="3"/>
  <c r="H919" i="3"/>
  <c r="G919" i="3"/>
  <c r="F919" i="3"/>
  <c r="M918" i="3"/>
  <c r="L918" i="3"/>
  <c r="K918" i="3"/>
  <c r="J918" i="3"/>
  <c r="N918" i="3" s="1"/>
  <c r="I918" i="3"/>
  <c r="H918" i="3"/>
  <c r="G918" i="3"/>
  <c r="F918" i="3"/>
  <c r="M917" i="3"/>
  <c r="L917" i="3"/>
  <c r="K917" i="3"/>
  <c r="J917" i="3"/>
  <c r="N917" i="3" s="1"/>
  <c r="I917" i="3"/>
  <c r="H917" i="3"/>
  <c r="G917" i="3"/>
  <c r="F917" i="3"/>
  <c r="N916" i="3"/>
  <c r="M916" i="3"/>
  <c r="L916" i="3"/>
  <c r="K916" i="3"/>
  <c r="J916" i="3"/>
  <c r="I916" i="3"/>
  <c r="H916" i="3"/>
  <c r="G916" i="3"/>
  <c r="F916" i="3"/>
  <c r="N915" i="3"/>
  <c r="M915" i="3"/>
  <c r="L915" i="3"/>
  <c r="K915" i="3"/>
  <c r="J915" i="3"/>
  <c r="I915" i="3"/>
  <c r="H915" i="3"/>
  <c r="G915" i="3"/>
  <c r="F915" i="3"/>
  <c r="M914" i="3"/>
  <c r="L914" i="3"/>
  <c r="K914" i="3"/>
  <c r="J914" i="3"/>
  <c r="N914" i="3" s="1"/>
  <c r="I914" i="3"/>
  <c r="H914" i="3"/>
  <c r="G914" i="3"/>
  <c r="F914" i="3"/>
  <c r="M913" i="3"/>
  <c r="L913" i="3"/>
  <c r="K913" i="3"/>
  <c r="J913" i="3"/>
  <c r="N913" i="3" s="1"/>
  <c r="I913" i="3"/>
  <c r="H913" i="3"/>
  <c r="G913" i="3"/>
  <c r="F913" i="3"/>
  <c r="N912" i="3"/>
  <c r="M912" i="3"/>
  <c r="L912" i="3"/>
  <c r="K912" i="3"/>
  <c r="J912" i="3"/>
  <c r="I912" i="3"/>
  <c r="H912" i="3"/>
  <c r="G912" i="3"/>
  <c r="F912" i="3"/>
  <c r="M911" i="3"/>
  <c r="L911" i="3"/>
  <c r="K911" i="3"/>
  <c r="J911" i="3"/>
  <c r="N911" i="3" s="1"/>
  <c r="I911" i="3"/>
  <c r="H911" i="3"/>
  <c r="G911" i="3"/>
  <c r="F911" i="3"/>
  <c r="M910" i="3"/>
  <c r="L910" i="3"/>
  <c r="K910" i="3"/>
  <c r="J910" i="3"/>
  <c r="N910" i="3" s="1"/>
  <c r="I910" i="3"/>
  <c r="H910" i="3"/>
  <c r="G910" i="3"/>
  <c r="F910" i="3"/>
  <c r="M909" i="3"/>
  <c r="L909" i="3"/>
  <c r="K909" i="3"/>
  <c r="J909" i="3"/>
  <c r="N909" i="3" s="1"/>
  <c r="I909" i="3"/>
  <c r="H909" i="3"/>
  <c r="G909" i="3"/>
  <c r="F909" i="3"/>
  <c r="N908" i="3"/>
  <c r="M908" i="3"/>
  <c r="L908" i="3"/>
  <c r="K908" i="3"/>
  <c r="J908" i="3"/>
  <c r="I908" i="3"/>
  <c r="H908" i="3"/>
  <c r="G908" i="3"/>
  <c r="F908" i="3"/>
  <c r="M907" i="3"/>
  <c r="L907" i="3"/>
  <c r="K907" i="3"/>
  <c r="J907" i="3"/>
  <c r="N907" i="3" s="1"/>
  <c r="I907" i="3"/>
  <c r="H907" i="3"/>
  <c r="G907" i="3"/>
  <c r="F907" i="3"/>
  <c r="N906" i="3"/>
  <c r="M906" i="3"/>
  <c r="L906" i="3"/>
  <c r="K906" i="3"/>
  <c r="J906" i="3"/>
  <c r="I906" i="3"/>
  <c r="H906" i="3"/>
  <c r="G906" i="3"/>
  <c r="F906" i="3"/>
  <c r="N905" i="3"/>
  <c r="M905" i="3"/>
  <c r="L905" i="3"/>
  <c r="K905" i="3"/>
  <c r="J905" i="3"/>
  <c r="I905" i="3"/>
  <c r="H905" i="3"/>
  <c r="G905" i="3"/>
  <c r="F905" i="3"/>
  <c r="M904" i="3"/>
  <c r="L904" i="3"/>
  <c r="K904" i="3"/>
  <c r="J904" i="3"/>
  <c r="N904" i="3" s="1"/>
  <c r="I904" i="3"/>
  <c r="H904" i="3"/>
  <c r="G904" i="3"/>
  <c r="F904" i="3"/>
  <c r="N903" i="3"/>
  <c r="M903" i="3"/>
  <c r="L903" i="3"/>
  <c r="K903" i="3"/>
  <c r="J903" i="3"/>
  <c r="I903" i="3"/>
  <c r="H903" i="3"/>
  <c r="G903" i="3"/>
  <c r="F903" i="3"/>
  <c r="M902" i="3"/>
  <c r="L902" i="3"/>
  <c r="K902" i="3"/>
  <c r="J902" i="3"/>
  <c r="N902" i="3" s="1"/>
  <c r="I902" i="3"/>
  <c r="H902" i="3"/>
  <c r="G902" i="3"/>
  <c r="F902" i="3"/>
  <c r="M901" i="3"/>
  <c r="L901" i="3"/>
  <c r="K901" i="3"/>
  <c r="J901" i="3"/>
  <c r="N901" i="3" s="1"/>
  <c r="I901" i="3"/>
  <c r="H901" i="3"/>
  <c r="G901" i="3"/>
  <c r="F901" i="3"/>
  <c r="M900" i="3"/>
  <c r="L900" i="3"/>
  <c r="K900" i="3"/>
  <c r="J900" i="3"/>
  <c r="N900" i="3" s="1"/>
  <c r="I900" i="3"/>
  <c r="H900" i="3"/>
  <c r="G900" i="3"/>
  <c r="F900" i="3"/>
  <c r="N899" i="3"/>
  <c r="M899" i="3"/>
  <c r="L899" i="3"/>
  <c r="K899" i="3"/>
  <c r="J899" i="3"/>
  <c r="I899" i="3"/>
  <c r="H899" i="3"/>
  <c r="G899" i="3"/>
  <c r="F899" i="3"/>
  <c r="M898" i="3"/>
  <c r="L898" i="3"/>
  <c r="K898" i="3"/>
  <c r="J898" i="3"/>
  <c r="N898" i="3" s="1"/>
  <c r="I898" i="3"/>
  <c r="H898" i="3"/>
  <c r="G898" i="3"/>
  <c r="F898" i="3"/>
  <c r="M897" i="3"/>
  <c r="L897" i="3"/>
  <c r="K897" i="3"/>
  <c r="J897" i="3"/>
  <c r="N897" i="3" s="1"/>
  <c r="I897" i="3"/>
  <c r="H897" i="3"/>
  <c r="G897" i="3"/>
  <c r="F897" i="3"/>
  <c r="N896" i="3"/>
  <c r="M896" i="3"/>
  <c r="L896" i="3"/>
  <c r="K896" i="3"/>
  <c r="J896" i="3"/>
  <c r="I896" i="3"/>
  <c r="H896" i="3"/>
  <c r="G896" i="3"/>
  <c r="F896" i="3"/>
  <c r="N895" i="3"/>
  <c r="M895" i="3"/>
  <c r="L895" i="3"/>
  <c r="K895" i="3"/>
  <c r="J895" i="3"/>
  <c r="I895" i="3"/>
  <c r="H895" i="3"/>
  <c r="G895" i="3"/>
  <c r="F895" i="3"/>
  <c r="N894" i="3"/>
  <c r="M894" i="3"/>
  <c r="L894" i="3"/>
  <c r="K894" i="3"/>
  <c r="J894" i="3"/>
  <c r="I894" i="3"/>
  <c r="H894" i="3"/>
  <c r="G894" i="3"/>
  <c r="F894" i="3"/>
  <c r="M893" i="3"/>
  <c r="L893" i="3"/>
  <c r="K893" i="3"/>
  <c r="J893" i="3"/>
  <c r="N893" i="3" s="1"/>
  <c r="I893" i="3"/>
  <c r="H893" i="3"/>
  <c r="G893" i="3"/>
  <c r="F893" i="3"/>
  <c r="M892" i="3"/>
  <c r="L892" i="3"/>
  <c r="K892" i="3"/>
  <c r="J892" i="3"/>
  <c r="N892" i="3" s="1"/>
  <c r="I892" i="3"/>
  <c r="H892" i="3"/>
  <c r="G892" i="3"/>
  <c r="F892" i="3"/>
  <c r="M891" i="3"/>
  <c r="L891" i="3"/>
  <c r="K891" i="3"/>
  <c r="J891" i="3"/>
  <c r="N891" i="3" s="1"/>
  <c r="I891" i="3"/>
  <c r="H891" i="3"/>
  <c r="G891" i="3"/>
  <c r="F891" i="3"/>
  <c r="M890" i="3"/>
  <c r="L890" i="3"/>
  <c r="K890" i="3"/>
  <c r="J890" i="3"/>
  <c r="N890" i="3" s="1"/>
  <c r="I890" i="3"/>
  <c r="H890" i="3"/>
  <c r="G890" i="3"/>
  <c r="F890" i="3"/>
  <c r="N889" i="3"/>
  <c r="M889" i="3"/>
  <c r="L889" i="3"/>
  <c r="K889" i="3"/>
  <c r="J889" i="3"/>
  <c r="I889" i="3"/>
  <c r="H889" i="3"/>
  <c r="G889" i="3"/>
  <c r="F889" i="3"/>
  <c r="M888" i="3"/>
  <c r="L888" i="3"/>
  <c r="K888" i="3"/>
  <c r="J888" i="3"/>
  <c r="N888" i="3" s="1"/>
  <c r="I888" i="3"/>
  <c r="H888" i="3"/>
  <c r="G888" i="3"/>
  <c r="F888" i="3"/>
  <c r="N887" i="3"/>
  <c r="M887" i="3"/>
  <c r="L887" i="3"/>
  <c r="K887" i="3"/>
  <c r="J887" i="3"/>
  <c r="I887" i="3"/>
  <c r="H887" i="3"/>
  <c r="G887" i="3"/>
  <c r="F887" i="3"/>
  <c r="N886" i="3"/>
  <c r="M886" i="3"/>
  <c r="L886" i="3"/>
  <c r="K886" i="3"/>
  <c r="J886" i="3"/>
  <c r="I886" i="3"/>
  <c r="H886" i="3"/>
  <c r="G886" i="3"/>
  <c r="F886" i="3"/>
  <c r="M885" i="3"/>
  <c r="L885" i="3"/>
  <c r="K885" i="3"/>
  <c r="J885" i="3"/>
  <c r="N885" i="3" s="1"/>
  <c r="I885" i="3"/>
  <c r="H885" i="3"/>
  <c r="G885" i="3"/>
  <c r="F885" i="3"/>
  <c r="N884" i="3"/>
  <c r="M884" i="3"/>
  <c r="L884" i="3"/>
  <c r="K884" i="3"/>
  <c r="J884" i="3"/>
  <c r="I884" i="3"/>
  <c r="H884" i="3"/>
  <c r="G884" i="3"/>
  <c r="F884" i="3"/>
  <c r="M883" i="3"/>
  <c r="L883" i="3"/>
  <c r="K883" i="3"/>
  <c r="J883" i="3"/>
  <c r="N883" i="3" s="1"/>
  <c r="I883" i="3"/>
  <c r="H883" i="3"/>
  <c r="G883" i="3"/>
  <c r="F883" i="3"/>
  <c r="M882" i="3"/>
  <c r="L882" i="3"/>
  <c r="K882" i="3"/>
  <c r="J882" i="3"/>
  <c r="N882" i="3" s="1"/>
  <c r="I882" i="3"/>
  <c r="H882" i="3"/>
  <c r="G882" i="3"/>
  <c r="F882" i="3"/>
  <c r="M881" i="3"/>
  <c r="L881" i="3"/>
  <c r="K881" i="3"/>
  <c r="J881" i="3"/>
  <c r="N881" i="3" s="1"/>
  <c r="I881" i="3"/>
  <c r="H881" i="3"/>
  <c r="G881" i="3"/>
  <c r="F881" i="3"/>
  <c r="N880" i="3"/>
  <c r="M880" i="3"/>
  <c r="L880" i="3"/>
  <c r="K880" i="3"/>
  <c r="J880" i="3"/>
  <c r="I880" i="3"/>
  <c r="H880" i="3"/>
  <c r="G880" i="3"/>
  <c r="F880" i="3"/>
  <c r="M879" i="3"/>
  <c r="L879" i="3"/>
  <c r="K879" i="3"/>
  <c r="J879" i="3"/>
  <c r="N879" i="3" s="1"/>
  <c r="I879" i="3"/>
  <c r="H879" i="3"/>
  <c r="G879" i="3"/>
  <c r="F879" i="3"/>
  <c r="N878" i="3"/>
  <c r="M878" i="3"/>
  <c r="L878" i="3"/>
  <c r="K878" i="3"/>
  <c r="J878" i="3"/>
  <c r="I878" i="3"/>
  <c r="H878" i="3"/>
  <c r="G878" i="3"/>
  <c r="F878" i="3"/>
  <c r="N877" i="3"/>
  <c r="M877" i="3"/>
  <c r="L877" i="3"/>
  <c r="K877" i="3"/>
  <c r="J877" i="3"/>
  <c r="I877" i="3"/>
  <c r="H877" i="3"/>
  <c r="G877" i="3"/>
  <c r="F877" i="3"/>
  <c r="M876" i="3"/>
  <c r="L876" i="3"/>
  <c r="K876" i="3"/>
  <c r="J876" i="3"/>
  <c r="N876" i="3" s="1"/>
  <c r="I876" i="3"/>
  <c r="H876" i="3"/>
  <c r="G876" i="3"/>
  <c r="F876" i="3"/>
  <c r="M875" i="3"/>
  <c r="L875" i="3"/>
  <c r="K875" i="3"/>
  <c r="J875" i="3"/>
  <c r="N875" i="3" s="1"/>
  <c r="I875" i="3"/>
  <c r="H875" i="3"/>
  <c r="G875" i="3"/>
  <c r="F875" i="3"/>
  <c r="M874" i="3"/>
  <c r="L874" i="3"/>
  <c r="K874" i="3"/>
  <c r="J874" i="3"/>
  <c r="N874" i="3" s="1"/>
  <c r="I874" i="3"/>
  <c r="H874" i="3"/>
  <c r="G874" i="3"/>
  <c r="F874" i="3"/>
  <c r="M873" i="3"/>
  <c r="L873" i="3"/>
  <c r="K873" i="3"/>
  <c r="J873" i="3"/>
  <c r="N873" i="3" s="1"/>
  <c r="I873" i="3"/>
  <c r="H873" i="3"/>
  <c r="G873" i="3"/>
  <c r="F873" i="3"/>
  <c r="M872" i="3"/>
  <c r="L872" i="3"/>
  <c r="K872" i="3"/>
  <c r="J872" i="3"/>
  <c r="N872" i="3" s="1"/>
  <c r="I872" i="3"/>
  <c r="H872" i="3"/>
  <c r="G872" i="3"/>
  <c r="F872" i="3"/>
  <c r="N871" i="3"/>
  <c r="M871" i="3"/>
  <c r="L871" i="3"/>
  <c r="K871" i="3"/>
  <c r="J871" i="3"/>
  <c r="I871" i="3"/>
  <c r="H871" i="3"/>
  <c r="G871" i="3"/>
  <c r="F871" i="3"/>
  <c r="N870" i="3"/>
  <c r="M870" i="3"/>
  <c r="L870" i="3"/>
  <c r="K870" i="3"/>
  <c r="J870" i="3"/>
  <c r="I870" i="3"/>
  <c r="H870" i="3"/>
  <c r="G870" i="3"/>
  <c r="F870" i="3"/>
  <c r="N869" i="3"/>
  <c r="M869" i="3"/>
  <c r="L869" i="3"/>
  <c r="K869" i="3"/>
  <c r="J869" i="3"/>
  <c r="I869" i="3"/>
  <c r="H869" i="3"/>
  <c r="G869" i="3"/>
  <c r="F869" i="3"/>
  <c r="N868" i="3"/>
  <c r="M868" i="3"/>
  <c r="L868" i="3"/>
  <c r="K868" i="3"/>
  <c r="J868" i="3"/>
  <c r="I868" i="3"/>
  <c r="H868" i="3"/>
  <c r="G868" i="3"/>
  <c r="F868" i="3"/>
  <c r="M867" i="3"/>
  <c r="L867" i="3"/>
  <c r="K867" i="3"/>
  <c r="J867" i="3"/>
  <c r="N867" i="3" s="1"/>
  <c r="I867" i="3"/>
  <c r="H867" i="3"/>
  <c r="G867" i="3"/>
  <c r="F867" i="3"/>
  <c r="M866" i="3"/>
  <c r="L866" i="3"/>
  <c r="K866" i="3"/>
  <c r="J866" i="3"/>
  <c r="N866" i="3" s="1"/>
  <c r="I866" i="3"/>
  <c r="H866" i="3"/>
  <c r="G866" i="3"/>
  <c r="F866" i="3"/>
  <c r="M865" i="3"/>
  <c r="L865" i="3"/>
  <c r="K865" i="3"/>
  <c r="J865" i="3"/>
  <c r="N865" i="3" s="1"/>
  <c r="I865" i="3"/>
  <c r="H865" i="3"/>
  <c r="G865" i="3"/>
  <c r="F865" i="3"/>
  <c r="M864" i="3"/>
  <c r="L864" i="3"/>
  <c r="K864" i="3"/>
  <c r="J864" i="3"/>
  <c r="N864" i="3" s="1"/>
  <c r="I864" i="3"/>
  <c r="H864" i="3"/>
  <c r="G864" i="3"/>
  <c r="F864" i="3"/>
  <c r="M863" i="3"/>
  <c r="L863" i="3"/>
  <c r="K863" i="3"/>
  <c r="J863" i="3"/>
  <c r="N863" i="3" s="1"/>
  <c r="I863" i="3"/>
  <c r="H863" i="3"/>
  <c r="G863" i="3"/>
  <c r="F863" i="3"/>
  <c r="N862" i="3"/>
  <c r="M862" i="3"/>
  <c r="L862" i="3"/>
  <c r="K862" i="3"/>
  <c r="J862" i="3"/>
  <c r="I862" i="3"/>
  <c r="H862" i="3"/>
  <c r="G862" i="3"/>
  <c r="F862" i="3"/>
  <c r="M861" i="3"/>
  <c r="L861" i="3"/>
  <c r="K861" i="3"/>
  <c r="J861" i="3"/>
  <c r="N861" i="3" s="1"/>
  <c r="I861" i="3"/>
  <c r="H861" i="3"/>
  <c r="G861" i="3"/>
  <c r="F861" i="3"/>
  <c r="N860" i="3"/>
  <c r="M860" i="3"/>
  <c r="L860" i="3"/>
  <c r="K860" i="3"/>
  <c r="J860" i="3"/>
  <c r="I860" i="3"/>
  <c r="H860" i="3"/>
  <c r="G860" i="3"/>
  <c r="F860" i="3"/>
  <c r="N859" i="3"/>
  <c r="M859" i="3"/>
  <c r="L859" i="3"/>
  <c r="K859" i="3"/>
  <c r="J859" i="3"/>
  <c r="I859" i="3"/>
  <c r="H859" i="3"/>
  <c r="G859" i="3"/>
  <c r="F859" i="3"/>
  <c r="M858" i="3"/>
  <c r="L858" i="3"/>
  <c r="K858" i="3"/>
  <c r="J858" i="3"/>
  <c r="N858" i="3" s="1"/>
  <c r="I858" i="3"/>
  <c r="H858" i="3"/>
  <c r="G858" i="3"/>
  <c r="F858" i="3"/>
  <c r="M857" i="3"/>
  <c r="L857" i="3"/>
  <c r="K857" i="3"/>
  <c r="J857" i="3"/>
  <c r="N857" i="3" s="1"/>
  <c r="I857" i="3"/>
  <c r="H857" i="3"/>
  <c r="G857" i="3"/>
  <c r="F857" i="3"/>
  <c r="M856" i="3"/>
  <c r="L856" i="3"/>
  <c r="K856" i="3"/>
  <c r="J856" i="3"/>
  <c r="N856" i="3" s="1"/>
  <c r="I856" i="3"/>
  <c r="H856" i="3"/>
  <c r="G856" i="3"/>
  <c r="F856" i="3"/>
  <c r="M855" i="3"/>
  <c r="L855" i="3"/>
  <c r="K855" i="3"/>
  <c r="J855" i="3"/>
  <c r="N855" i="3" s="1"/>
  <c r="I855" i="3"/>
  <c r="H855" i="3"/>
  <c r="G855" i="3"/>
  <c r="F855" i="3"/>
  <c r="N854" i="3"/>
  <c r="M854" i="3"/>
  <c r="L854" i="3"/>
  <c r="K854" i="3"/>
  <c r="J854" i="3"/>
  <c r="I854" i="3"/>
  <c r="H854" i="3"/>
  <c r="G854" i="3"/>
  <c r="F854" i="3"/>
  <c r="N853" i="3"/>
  <c r="M853" i="3"/>
  <c r="L853" i="3"/>
  <c r="K853" i="3"/>
  <c r="J853" i="3"/>
  <c r="I853" i="3"/>
  <c r="H853" i="3"/>
  <c r="G853" i="3"/>
  <c r="F853" i="3"/>
  <c r="M852" i="3"/>
  <c r="L852" i="3"/>
  <c r="K852" i="3"/>
  <c r="J852" i="3"/>
  <c r="N852" i="3" s="1"/>
  <c r="I852" i="3"/>
  <c r="H852" i="3"/>
  <c r="G852" i="3"/>
  <c r="F852" i="3"/>
  <c r="N851" i="3"/>
  <c r="M851" i="3"/>
  <c r="L851" i="3"/>
  <c r="K851" i="3"/>
  <c r="J851" i="3"/>
  <c r="I851" i="3"/>
  <c r="H851" i="3"/>
  <c r="G851" i="3"/>
  <c r="F851" i="3"/>
  <c r="M850" i="3"/>
  <c r="L850" i="3"/>
  <c r="K850" i="3"/>
  <c r="J850" i="3"/>
  <c r="N850" i="3" s="1"/>
  <c r="I850" i="3"/>
  <c r="H850" i="3"/>
  <c r="G850" i="3"/>
  <c r="F850" i="3"/>
  <c r="N849" i="3"/>
  <c r="M849" i="3"/>
  <c r="L849" i="3"/>
  <c r="K849" i="3"/>
  <c r="J849" i="3"/>
  <c r="I849" i="3"/>
  <c r="H849" i="3"/>
  <c r="G849" i="3"/>
  <c r="F849" i="3"/>
  <c r="M848" i="3"/>
  <c r="L848" i="3"/>
  <c r="K848" i="3"/>
  <c r="J848" i="3"/>
  <c r="N848" i="3" s="1"/>
  <c r="I848" i="3"/>
  <c r="H848" i="3"/>
  <c r="G848" i="3"/>
  <c r="F848" i="3"/>
  <c r="M847" i="3"/>
  <c r="L847" i="3"/>
  <c r="K847" i="3"/>
  <c r="J847" i="3"/>
  <c r="N847" i="3" s="1"/>
  <c r="I847" i="3"/>
  <c r="H847" i="3"/>
  <c r="G847" i="3"/>
  <c r="F847" i="3"/>
  <c r="N846" i="3"/>
  <c r="M846" i="3"/>
  <c r="L846" i="3"/>
  <c r="K846" i="3"/>
  <c r="J846" i="3"/>
  <c r="I846" i="3"/>
  <c r="H846" i="3"/>
  <c r="G846" i="3"/>
  <c r="F846" i="3"/>
  <c r="M845" i="3"/>
  <c r="L845" i="3"/>
  <c r="K845" i="3"/>
  <c r="J845" i="3"/>
  <c r="N845" i="3" s="1"/>
  <c r="I845" i="3"/>
  <c r="H845" i="3"/>
  <c r="G845" i="3"/>
  <c r="F845" i="3"/>
  <c r="N844" i="3"/>
  <c r="M844" i="3"/>
  <c r="L844" i="3"/>
  <c r="K844" i="3"/>
  <c r="J844" i="3"/>
  <c r="I844" i="3"/>
  <c r="H844" i="3"/>
  <c r="G844" i="3"/>
  <c r="F844" i="3"/>
  <c r="N843" i="3"/>
  <c r="M843" i="3"/>
  <c r="L843" i="3"/>
  <c r="K843" i="3"/>
  <c r="J843" i="3"/>
  <c r="I843" i="3"/>
  <c r="H843" i="3"/>
  <c r="G843" i="3"/>
  <c r="F843" i="3"/>
  <c r="M842" i="3"/>
  <c r="L842" i="3"/>
  <c r="K842" i="3"/>
  <c r="J842" i="3"/>
  <c r="N842" i="3" s="1"/>
  <c r="I842" i="3"/>
  <c r="H842" i="3"/>
  <c r="G842" i="3"/>
  <c r="F842" i="3"/>
  <c r="N841" i="3"/>
  <c r="M841" i="3"/>
  <c r="L841" i="3"/>
  <c r="K841" i="3"/>
  <c r="J841" i="3"/>
  <c r="I841" i="3"/>
  <c r="H841" i="3"/>
  <c r="G841" i="3"/>
  <c r="F841" i="3"/>
  <c r="N840" i="3"/>
  <c r="M840" i="3"/>
  <c r="L840" i="3"/>
  <c r="K840" i="3"/>
  <c r="J840" i="3"/>
  <c r="I840" i="3"/>
  <c r="H840" i="3"/>
  <c r="G840" i="3"/>
  <c r="F840" i="3"/>
  <c r="M839" i="3"/>
  <c r="L839" i="3"/>
  <c r="K839" i="3"/>
  <c r="J839" i="3"/>
  <c r="N839" i="3" s="1"/>
  <c r="I839" i="3"/>
  <c r="H839" i="3"/>
  <c r="G839" i="3"/>
  <c r="F839" i="3"/>
  <c r="N838" i="3"/>
  <c r="M838" i="3"/>
  <c r="L838" i="3"/>
  <c r="K838" i="3"/>
  <c r="J838" i="3"/>
  <c r="I838" i="3"/>
  <c r="H838" i="3"/>
  <c r="G838" i="3"/>
  <c r="F838" i="3"/>
  <c r="M837" i="3"/>
  <c r="L837" i="3"/>
  <c r="K837" i="3"/>
  <c r="J837" i="3"/>
  <c r="N837" i="3" s="1"/>
  <c r="I837" i="3"/>
  <c r="H837" i="3"/>
  <c r="G837" i="3"/>
  <c r="F837" i="3"/>
  <c r="M836" i="3"/>
  <c r="L836" i="3"/>
  <c r="K836" i="3"/>
  <c r="J836" i="3"/>
  <c r="N836" i="3" s="1"/>
  <c r="I836" i="3"/>
  <c r="H836" i="3"/>
  <c r="G836" i="3"/>
  <c r="F836" i="3"/>
  <c r="N835" i="3"/>
  <c r="M835" i="3"/>
  <c r="L835" i="3"/>
  <c r="K835" i="3"/>
  <c r="J835" i="3"/>
  <c r="I835" i="3"/>
  <c r="H835" i="3"/>
  <c r="G835" i="3"/>
  <c r="F835" i="3"/>
  <c r="M834" i="3"/>
  <c r="L834" i="3"/>
  <c r="K834" i="3"/>
  <c r="J834" i="3"/>
  <c r="N834" i="3" s="1"/>
  <c r="I834" i="3"/>
  <c r="H834" i="3"/>
  <c r="G834" i="3"/>
  <c r="F834" i="3"/>
  <c r="M833" i="3"/>
  <c r="L833" i="3"/>
  <c r="K833" i="3"/>
  <c r="J833" i="3"/>
  <c r="N833" i="3" s="1"/>
  <c r="I833" i="3"/>
  <c r="H833" i="3"/>
  <c r="G833" i="3"/>
  <c r="F833" i="3"/>
  <c r="N832" i="3"/>
  <c r="M832" i="3"/>
  <c r="L832" i="3"/>
  <c r="K832" i="3"/>
  <c r="J832" i="3"/>
  <c r="I832" i="3"/>
  <c r="H832" i="3"/>
  <c r="G832" i="3"/>
  <c r="F832" i="3"/>
  <c r="N831" i="3"/>
  <c r="M831" i="3"/>
  <c r="L831" i="3"/>
  <c r="K831" i="3"/>
  <c r="J831" i="3"/>
  <c r="I831" i="3"/>
  <c r="H831" i="3"/>
  <c r="G831" i="3"/>
  <c r="F831" i="3"/>
  <c r="N830" i="3"/>
  <c r="M830" i="3"/>
  <c r="L830" i="3"/>
  <c r="K830" i="3"/>
  <c r="J830" i="3"/>
  <c r="I830" i="3"/>
  <c r="H830" i="3"/>
  <c r="G830" i="3"/>
  <c r="F830" i="3"/>
  <c r="N829" i="3"/>
  <c r="M829" i="3"/>
  <c r="L829" i="3"/>
  <c r="K829" i="3"/>
  <c r="J829" i="3"/>
  <c r="I829" i="3"/>
  <c r="H829" i="3"/>
  <c r="G829" i="3"/>
  <c r="F829" i="3"/>
  <c r="M828" i="3"/>
  <c r="L828" i="3"/>
  <c r="K828" i="3"/>
  <c r="J828" i="3"/>
  <c r="N828" i="3" s="1"/>
  <c r="I828" i="3"/>
  <c r="H828" i="3"/>
  <c r="G828" i="3"/>
  <c r="F828" i="3"/>
  <c r="M827" i="3"/>
  <c r="L827" i="3"/>
  <c r="K827" i="3"/>
  <c r="J827" i="3"/>
  <c r="N827" i="3" s="1"/>
  <c r="I827" i="3"/>
  <c r="H827" i="3"/>
  <c r="G827" i="3"/>
  <c r="F827" i="3"/>
  <c r="M826" i="3"/>
  <c r="L826" i="3"/>
  <c r="K826" i="3"/>
  <c r="J826" i="3"/>
  <c r="N826" i="3" s="1"/>
  <c r="I826" i="3"/>
  <c r="H826" i="3"/>
  <c r="G826" i="3"/>
  <c r="F826" i="3"/>
  <c r="N825" i="3"/>
  <c r="M825" i="3"/>
  <c r="L825" i="3"/>
  <c r="K825" i="3"/>
  <c r="J825" i="3"/>
  <c r="I825" i="3"/>
  <c r="H825" i="3"/>
  <c r="G825" i="3"/>
  <c r="F825" i="3"/>
  <c r="M824" i="3"/>
  <c r="L824" i="3"/>
  <c r="K824" i="3"/>
  <c r="J824" i="3"/>
  <c r="N824" i="3" s="1"/>
  <c r="I824" i="3"/>
  <c r="H824" i="3"/>
  <c r="G824" i="3"/>
  <c r="F824" i="3"/>
  <c r="N823" i="3"/>
  <c r="M823" i="3"/>
  <c r="L823" i="3"/>
  <c r="K823" i="3"/>
  <c r="J823" i="3"/>
  <c r="I823" i="3"/>
  <c r="H823" i="3"/>
  <c r="G823" i="3"/>
  <c r="F823" i="3"/>
  <c r="N822" i="3"/>
  <c r="M822" i="3"/>
  <c r="L822" i="3"/>
  <c r="K822" i="3"/>
  <c r="J822" i="3"/>
  <c r="I822" i="3"/>
  <c r="H822" i="3"/>
  <c r="G822" i="3"/>
  <c r="F822" i="3"/>
  <c r="M821" i="3"/>
  <c r="L821" i="3"/>
  <c r="K821" i="3"/>
  <c r="J821" i="3"/>
  <c r="N821" i="3" s="1"/>
  <c r="I821" i="3"/>
  <c r="H821" i="3"/>
  <c r="G821" i="3"/>
  <c r="F821" i="3"/>
  <c r="N820" i="3"/>
  <c r="M820" i="3"/>
  <c r="L820" i="3"/>
  <c r="K820" i="3"/>
  <c r="J820" i="3"/>
  <c r="I820" i="3"/>
  <c r="H820" i="3"/>
  <c r="G820" i="3"/>
  <c r="F820" i="3"/>
  <c r="M819" i="3"/>
  <c r="L819" i="3"/>
  <c r="K819" i="3"/>
  <c r="J819" i="3"/>
  <c r="N819" i="3" s="1"/>
  <c r="I819" i="3"/>
  <c r="H819" i="3"/>
  <c r="G819" i="3"/>
  <c r="F819" i="3"/>
  <c r="M818" i="3"/>
  <c r="L818" i="3"/>
  <c r="K818" i="3"/>
  <c r="J818" i="3"/>
  <c r="N818" i="3" s="1"/>
  <c r="I818" i="3"/>
  <c r="H818" i="3"/>
  <c r="G818" i="3"/>
  <c r="F818" i="3"/>
  <c r="M817" i="3"/>
  <c r="L817" i="3"/>
  <c r="K817" i="3"/>
  <c r="J817" i="3"/>
  <c r="N817" i="3" s="1"/>
  <c r="I817" i="3"/>
  <c r="H817" i="3"/>
  <c r="G817" i="3"/>
  <c r="F817" i="3"/>
  <c r="N816" i="3"/>
  <c r="M816" i="3"/>
  <c r="L816" i="3"/>
  <c r="K816" i="3"/>
  <c r="J816" i="3"/>
  <c r="I816" i="3"/>
  <c r="H816" i="3"/>
  <c r="G816" i="3"/>
  <c r="F816" i="3"/>
  <c r="N815" i="3"/>
  <c r="M815" i="3"/>
  <c r="L815" i="3"/>
  <c r="K815" i="3"/>
  <c r="J815" i="3"/>
  <c r="I815" i="3"/>
  <c r="H815" i="3"/>
  <c r="G815" i="3"/>
  <c r="F815" i="3"/>
  <c r="N814" i="3"/>
  <c r="M814" i="3"/>
  <c r="L814" i="3"/>
  <c r="K814" i="3"/>
  <c r="J814" i="3"/>
  <c r="I814" i="3"/>
  <c r="H814" i="3"/>
  <c r="G814" i="3"/>
  <c r="F814" i="3"/>
  <c r="N813" i="3"/>
  <c r="M813" i="3"/>
  <c r="L813" i="3"/>
  <c r="K813" i="3"/>
  <c r="J813" i="3"/>
  <c r="I813" i="3"/>
  <c r="H813" i="3"/>
  <c r="G813" i="3"/>
  <c r="F813" i="3"/>
  <c r="M812" i="3"/>
  <c r="L812" i="3"/>
  <c r="K812" i="3"/>
  <c r="J812" i="3"/>
  <c r="N812" i="3" s="1"/>
  <c r="I812" i="3"/>
  <c r="H812" i="3"/>
  <c r="G812" i="3"/>
  <c r="F812" i="3"/>
  <c r="M811" i="3"/>
  <c r="L811" i="3"/>
  <c r="K811" i="3"/>
  <c r="J811" i="3"/>
  <c r="N811" i="3" s="1"/>
  <c r="I811" i="3"/>
  <c r="H811" i="3"/>
  <c r="G811" i="3"/>
  <c r="F811" i="3"/>
  <c r="M810" i="3"/>
  <c r="L810" i="3"/>
  <c r="K810" i="3"/>
  <c r="J810" i="3"/>
  <c r="N810" i="3" s="1"/>
  <c r="I810" i="3"/>
  <c r="H810" i="3"/>
  <c r="G810" i="3"/>
  <c r="F810" i="3"/>
  <c r="M809" i="3"/>
  <c r="L809" i="3"/>
  <c r="K809" i="3"/>
  <c r="J809" i="3"/>
  <c r="N809" i="3" s="1"/>
  <c r="I809" i="3"/>
  <c r="H809" i="3"/>
  <c r="G809" i="3"/>
  <c r="F809" i="3"/>
  <c r="M808" i="3"/>
  <c r="L808" i="3"/>
  <c r="K808" i="3"/>
  <c r="J808" i="3"/>
  <c r="N808" i="3" s="1"/>
  <c r="I808" i="3"/>
  <c r="H808" i="3"/>
  <c r="G808" i="3"/>
  <c r="F808" i="3"/>
  <c r="N807" i="3"/>
  <c r="M807" i="3"/>
  <c r="L807" i="3"/>
  <c r="K807" i="3"/>
  <c r="J807" i="3"/>
  <c r="I807" i="3"/>
  <c r="H807" i="3"/>
  <c r="G807" i="3"/>
  <c r="F807" i="3"/>
  <c r="N806" i="3"/>
  <c r="M806" i="3"/>
  <c r="L806" i="3"/>
  <c r="K806" i="3"/>
  <c r="J806" i="3"/>
  <c r="I806" i="3"/>
  <c r="H806" i="3"/>
  <c r="G806" i="3"/>
  <c r="F806" i="3"/>
  <c r="N805" i="3"/>
  <c r="M805" i="3"/>
  <c r="L805" i="3"/>
  <c r="K805" i="3"/>
  <c r="J805" i="3"/>
  <c r="I805" i="3"/>
  <c r="H805" i="3"/>
  <c r="G805" i="3"/>
  <c r="F805" i="3"/>
  <c r="N804" i="3"/>
  <c r="M804" i="3"/>
  <c r="L804" i="3"/>
  <c r="K804" i="3"/>
  <c r="J804" i="3"/>
  <c r="I804" i="3"/>
  <c r="H804" i="3"/>
  <c r="G804" i="3"/>
  <c r="F804" i="3"/>
  <c r="M803" i="3"/>
  <c r="L803" i="3"/>
  <c r="K803" i="3"/>
  <c r="J803" i="3"/>
  <c r="N803" i="3" s="1"/>
  <c r="I803" i="3"/>
  <c r="H803" i="3"/>
  <c r="G803" i="3"/>
  <c r="F803" i="3"/>
  <c r="M802" i="3"/>
  <c r="L802" i="3"/>
  <c r="K802" i="3"/>
  <c r="J802" i="3"/>
  <c r="N802" i="3" s="1"/>
  <c r="I802" i="3"/>
  <c r="H802" i="3"/>
  <c r="G802" i="3"/>
  <c r="F802" i="3"/>
  <c r="N801" i="3"/>
  <c r="M801" i="3"/>
  <c r="L801" i="3"/>
  <c r="K801" i="3"/>
  <c r="J801" i="3"/>
  <c r="I801" i="3"/>
  <c r="H801" i="3"/>
  <c r="G801" i="3"/>
  <c r="F801" i="3"/>
  <c r="M800" i="3"/>
  <c r="L800" i="3"/>
  <c r="K800" i="3"/>
  <c r="J800" i="3"/>
  <c r="N800" i="3" s="1"/>
  <c r="I800" i="3"/>
  <c r="H800" i="3"/>
  <c r="G800" i="3"/>
  <c r="F800" i="3"/>
  <c r="M799" i="3"/>
  <c r="L799" i="3"/>
  <c r="K799" i="3"/>
  <c r="J799" i="3"/>
  <c r="N799" i="3" s="1"/>
  <c r="I799" i="3"/>
  <c r="H799" i="3"/>
  <c r="G799" i="3"/>
  <c r="F799" i="3"/>
  <c r="N798" i="3"/>
  <c r="M798" i="3"/>
  <c r="L798" i="3"/>
  <c r="K798" i="3"/>
  <c r="J798" i="3"/>
  <c r="I798" i="3"/>
  <c r="H798" i="3"/>
  <c r="G798" i="3"/>
  <c r="F798" i="3"/>
  <c r="M797" i="3"/>
  <c r="L797" i="3"/>
  <c r="K797" i="3"/>
  <c r="J797" i="3"/>
  <c r="N797" i="3" s="1"/>
  <c r="I797" i="3"/>
  <c r="H797" i="3"/>
  <c r="G797" i="3"/>
  <c r="F797" i="3"/>
  <c r="N796" i="3"/>
  <c r="M796" i="3"/>
  <c r="L796" i="3"/>
  <c r="K796" i="3"/>
  <c r="J796" i="3"/>
  <c r="I796" i="3"/>
  <c r="H796" i="3"/>
  <c r="G796" i="3"/>
  <c r="F796" i="3"/>
  <c r="N795" i="3"/>
  <c r="M795" i="3"/>
  <c r="L795" i="3"/>
  <c r="K795" i="3"/>
  <c r="J795" i="3"/>
  <c r="I795" i="3"/>
  <c r="H795" i="3"/>
  <c r="G795" i="3"/>
  <c r="F795" i="3"/>
  <c r="M794" i="3"/>
  <c r="L794" i="3"/>
  <c r="K794" i="3"/>
  <c r="J794" i="3"/>
  <c r="N794" i="3" s="1"/>
  <c r="I794" i="3"/>
  <c r="H794" i="3"/>
  <c r="G794" i="3"/>
  <c r="F794" i="3"/>
  <c r="M793" i="3"/>
  <c r="L793" i="3"/>
  <c r="K793" i="3"/>
  <c r="J793" i="3"/>
  <c r="N793" i="3" s="1"/>
  <c r="I793" i="3"/>
  <c r="H793" i="3"/>
  <c r="G793" i="3"/>
  <c r="F793" i="3"/>
  <c r="M792" i="3"/>
  <c r="L792" i="3"/>
  <c r="K792" i="3"/>
  <c r="J792" i="3"/>
  <c r="N792" i="3" s="1"/>
  <c r="I792" i="3"/>
  <c r="H792" i="3"/>
  <c r="G792" i="3"/>
  <c r="F792" i="3"/>
  <c r="M791" i="3"/>
  <c r="L791" i="3"/>
  <c r="K791" i="3"/>
  <c r="J791" i="3"/>
  <c r="N791" i="3" s="1"/>
  <c r="I791" i="3"/>
  <c r="H791" i="3"/>
  <c r="G791" i="3"/>
  <c r="F791" i="3"/>
  <c r="N790" i="3"/>
  <c r="M790" i="3"/>
  <c r="L790" i="3"/>
  <c r="K790" i="3"/>
  <c r="J790" i="3"/>
  <c r="I790" i="3"/>
  <c r="H790" i="3"/>
  <c r="G790" i="3"/>
  <c r="F790" i="3"/>
  <c r="N789" i="3"/>
  <c r="M789" i="3"/>
  <c r="L789" i="3"/>
  <c r="K789" i="3"/>
  <c r="J789" i="3"/>
  <c r="I789" i="3"/>
  <c r="H789" i="3"/>
  <c r="G789" i="3"/>
  <c r="F789" i="3"/>
  <c r="N788" i="3"/>
  <c r="M788" i="3"/>
  <c r="L788" i="3"/>
  <c r="K788" i="3"/>
  <c r="J788" i="3"/>
  <c r="I788" i="3"/>
  <c r="H788" i="3"/>
  <c r="G788" i="3"/>
  <c r="F788" i="3"/>
  <c r="N787" i="3"/>
  <c r="M787" i="3"/>
  <c r="L787" i="3"/>
  <c r="K787" i="3"/>
  <c r="J787" i="3"/>
  <c r="I787" i="3"/>
  <c r="H787" i="3"/>
  <c r="G787" i="3"/>
  <c r="F787" i="3"/>
  <c r="M786" i="3"/>
  <c r="L786" i="3"/>
  <c r="K786" i="3"/>
  <c r="J786" i="3"/>
  <c r="N786" i="3" s="1"/>
  <c r="I786" i="3"/>
  <c r="H786" i="3"/>
  <c r="G786" i="3"/>
  <c r="F786" i="3"/>
  <c r="N785" i="3"/>
  <c r="M785" i="3"/>
  <c r="L785" i="3"/>
  <c r="K785" i="3"/>
  <c r="J785" i="3"/>
  <c r="I785" i="3"/>
  <c r="H785" i="3"/>
  <c r="G785" i="3"/>
  <c r="F785" i="3"/>
  <c r="M784" i="3"/>
  <c r="L784" i="3"/>
  <c r="K784" i="3"/>
  <c r="J784" i="3"/>
  <c r="N784" i="3" s="1"/>
  <c r="I784" i="3"/>
  <c r="H784" i="3"/>
  <c r="G784" i="3"/>
  <c r="F784" i="3"/>
  <c r="M783" i="3"/>
  <c r="L783" i="3"/>
  <c r="K783" i="3"/>
  <c r="J783" i="3"/>
  <c r="N783" i="3" s="1"/>
  <c r="I783" i="3"/>
  <c r="H783" i="3"/>
  <c r="G783" i="3"/>
  <c r="F783" i="3"/>
  <c r="N782" i="3"/>
  <c r="M782" i="3"/>
  <c r="L782" i="3"/>
  <c r="K782" i="3"/>
  <c r="J782" i="3"/>
  <c r="I782" i="3"/>
  <c r="H782" i="3"/>
  <c r="G782" i="3"/>
  <c r="F782" i="3"/>
  <c r="M781" i="3"/>
  <c r="L781" i="3"/>
  <c r="K781" i="3"/>
  <c r="J781" i="3"/>
  <c r="N781" i="3" s="1"/>
  <c r="I781" i="3"/>
  <c r="H781" i="3"/>
  <c r="G781" i="3"/>
  <c r="F781" i="3"/>
  <c r="N780" i="3"/>
  <c r="M780" i="3"/>
  <c r="L780" i="3"/>
  <c r="K780" i="3"/>
  <c r="J780" i="3"/>
  <c r="I780" i="3"/>
  <c r="H780" i="3"/>
  <c r="G780" i="3"/>
  <c r="F780" i="3"/>
  <c r="M779" i="3"/>
  <c r="L779" i="3"/>
  <c r="K779" i="3"/>
  <c r="J779" i="3"/>
  <c r="N779" i="3" s="1"/>
  <c r="I779" i="3"/>
  <c r="H779" i="3"/>
  <c r="G779" i="3"/>
  <c r="F779" i="3"/>
  <c r="M778" i="3"/>
  <c r="L778" i="3"/>
  <c r="K778" i="3"/>
  <c r="J778" i="3"/>
  <c r="N778" i="3" s="1"/>
  <c r="I778" i="3"/>
  <c r="H778" i="3"/>
  <c r="G778" i="3"/>
  <c r="F778" i="3"/>
  <c r="N777" i="3"/>
  <c r="M777" i="3"/>
  <c r="L777" i="3"/>
  <c r="K777" i="3"/>
  <c r="J777" i="3"/>
  <c r="I777" i="3"/>
  <c r="H777" i="3"/>
  <c r="G777" i="3"/>
  <c r="F777" i="3"/>
  <c r="N776" i="3"/>
  <c r="M776" i="3"/>
  <c r="L776" i="3"/>
  <c r="K776" i="3"/>
  <c r="J776" i="3"/>
  <c r="I776" i="3"/>
  <c r="H776" i="3"/>
  <c r="G776" i="3"/>
  <c r="F776" i="3"/>
  <c r="M775" i="3"/>
  <c r="L775" i="3"/>
  <c r="K775" i="3"/>
  <c r="J775" i="3"/>
  <c r="N775" i="3" s="1"/>
  <c r="I775" i="3"/>
  <c r="H775" i="3"/>
  <c r="G775" i="3"/>
  <c r="F775" i="3"/>
  <c r="N774" i="3"/>
  <c r="M774" i="3"/>
  <c r="L774" i="3"/>
  <c r="K774" i="3"/>
  <c r="J774" i="3"/>
  <c r="I774" i="3"/>
  <c r="H774" i="3"/>
  <c r="G774" i="3"/>
  <c r="F774" i="3"/>
  <c r="M773" i="3"/>
  <c r="L773" i="3"/>
  <c r="K773" i="3"/>
  <c r="J773" i="3"/>
  <c r="N773" i="3" s="1"/>
  <c r="I773" i="3"/>
  <c r="H773" i="3"/>
  <c r="G773" i="3"/>
  <c r="F773" i="3"/>
  <c r="M772" i="3"/>
  <c r="L772" i="3"/>
  <c r="K772" i="3"/>
  <c r="J772" i="3"/>
  <c r="N772" i="3" s="1"/>
  <c r="I772" i="3"/>
  <c r="H772" i="3"/>
  <c r="G772" i="3"/>
  <c r="F772" i="3"/>
  <c r="N771" i="3"/>
  <c r="M771" i="3"/>
  <c r="L771" i="3"/>
  <c r="K771" i="3"/>
  <c r="J771" i="3"/>
  <c r="I771" i="3"/>
  <c r="H771" i="3"/>
  <c r="G771" i="3"/>
  <c r="F771" i="3"/>
  <c r="M770" i="3"/>
  <c r="L770" i="3"/>
  <c r="K770" i="3"/>
  <c r="J770" i="3"/>
  <c r="N770" i="3" s="1"/>
  <c r="I770" i="3"/>
  <c r="H770" i="3"/>
  <c r="G770" i="3"/>
  <c r="F770" i="3"/>
  <c r="M769" i="3"/>
  <c r="L769" i="3"/>
  <c r="K769" i="3"/>
  <c r="J769" i="3"/>
  <c r="N769" i="3" s="1"/>
  <c r="I769" i="3"/>
  <c r="H769" i="3"/>
  <c r="G769" i="3"/>
  <c r="F769" i="3"/>
  <c r="N768" i="3"/>
  <c r="M768" i="3"/>
  <c r="L768" i="3"/>
  <c r="K768" i="3"/>
  <c r="J768" i="3"/>
  <c r="I768" i="3"/>
  <c r="H768" i="3"/>
  <c r="G768" i="3"/>
  <c r="F768" i="3"/>
  <c r="N767" i="3"/>
  <c r="M767" i="3"/>
  <c r="L767" i="3"/>
  <c r="K767" i="3"/>
  <c r="J767" i="3"/>
  <c r="I767" i="3"/>
  <c r="H767" i="3"/>
  <c r="G767" i="3"/>
  <c r="F767" i="3"/>
  <c r="N766" i="3"/>
  <c r="M766" i="3"/>
  <c r="L766" i="3"/>
  <c r="K766" i="3"/>
  <c r="J766" i="3"/>
  <c r="I766" i="3"/>
  <c r="H766" i="3"/>
  <c r="G766" i="3"/>
  <c r="F766" i="3"/>
  <c r="N765" i="3"/>
  <c r="M765" i="3"/>
  <c r="L765" i="3"/>
  <c r="K765" i="3"/>
  <c r="J765" i="3"/>
  <c r="I765" i="3"/>
  <c r="H765" i="3"/>
  <c r="G765" i="3"/>
  <c r="F765" i="3"/>
  <c r="M764" i="3"/>
  <c r="L764" i="3"/>
  <c r="K764" i="3"/>
  <c r="J764" i="3"/>
  <c r="N764" i="3" s="1"/>
  <c r="I764" i="3"/>
  <c r="H764" i="3"/>
  <c r="G764" i="3"/>
  <c r="F764" i="3"/>
  <c r="M763" i="3"/>
  <c r="L763" i="3"/>
  <c r="K763" i="3"/>
  <c r="J763" i="3"/>
  <c r="N763" i="3" s="1"/>
  <c r="I763" i="3"/>
  <c r="H763" i="3"/>
  <c r="G763" i="3"/>
  <c r="F763" i="3"/>
  <c r="M762" i="3"/>
  <c r="L762" i="3"/>
  <c r="K762" i="3"/>
  <c r="J762" i="3"/>
  <c r="N762" i="3" s="1"/>
  <c r="I762" i="3"/>
  <c r="H762" i="3"/>
  <c r="G762" i="3"/>
  <c r="F762" i="3"/>
  <c r="N761" i="3"/>
  <c r="M761" i="3"/>
  <c r="L761" i="3"/>
  <c r="K761" i="3"/>
  <c r="J761" i="3"/>
  <c r="I761" i="3"/>
  <c r="H761" i="3"/>
  <c r="G761" i="3"/>
  <c r="F761" i="3"/>
  <c r="N760" i="3"/>
  <c r="M760" i="3"/>
  <c r="L760" i="3"/>
  <c r="K760" i="3"/>
  <c r="J760" i="3"/>
  <c r="I760" i="3"/>
  <c r="H760" i="3"/>
  <c r="G760" i="3"/>
  <c r="F760" i="3"/>
  <c r="N759" i="3"/>
  <c r="M759" i="3"/>
  <c r="L759" i="3"/>
  <c r="K759" i="3"/>
  <c r="J759" i="3"/>
  <c r="I759" i="3"/>
  <c r="H759" i="3"/>
  <c r="G759" i="3"/>
  <c r="F759" i="3"/>
  <c r="N758" i="3"/>
  <c r="M758" i="3"/>
  <c r="L758" i="3"/>
  <c r="K758" i="3"/>
  <c r="J758" i="3"/>
  <c r="I758" i="3"/>
  <c r="H758" i="3"/>
  <c r="G758" i="3"/>
  <c r="F758" i="3"/>
  <c r="M757" i="3"/>
  <c r="L757" i="3"/>
  <c r="K757" i="3"/>
  <c r="J757" i="3"/>
  <c r="N757" i="3" s="1"/>
  <c r="I757" i="3"/>
  <c r="H757" i="3"/>
  <c r="G757" i="3"/>
  <c r="F757" i="3"/>
  <c r="M756" i="3"/>
  <c r="L756" i="3"/>
  <c r="K756" i="3"/>
  <c r="J756" i="3"/>
  <c r="N756" i="3" s="1"/>
  <c r="I756" i="3"/>
  <c r="H756" i="3"/>
  <c r="G756" i="3"/>
  <c r="F756" i="3"/>
  <c r="M755" i="3"/>
  <c r="L755" i="3"/>
  <c r="K755" i="3"/>
  <c r="J755" i="3"/>
  <c r="N755" i="3" s="1"/>
  <c r="I755" i="3"/>
  <c r="H755" i="3"/>
  <c r="G755" i="3"/>
  <c r="F755" i="3"/>
  <c r="M754" i="3"/>
  <c r="L754" i="3"/>
  <c r="K754" i="3"/>
  <c r="J754" i="3"/>
  <c r="N754" i="3" s="1"/>
  <c r="I754" i="3"/>
  <c r="H754" i="3"/>
  <c r="G754" i="3"/>
  <c r="F754" i="3"/>
  <c r="M753" i="3"/>
  <c r="L753" i="3"/>
  <c r="K753" i="3"/>
  <c r="J753" i="3"/>
  <c r="N753" i="3" s="1"/>
  <c r="I753" i="3"/>
  <c r="H753" i="3"/>
  <c r="G753" i="3"/>
  <c r="F753" i="3"/>
  <c r="N752" i="3"/>
  <c r="M752" i="3"/>
  <c r="L752" i="3"/>
  <c r="K752" i="3"/>
  <c r="J752" i="3"/>
  <c r="I752" i="3"/>
  <c r="H752" i="3"/>
  <c r="G752" i="3"/>
  <c r="F752" i="3"/>
  <c r="M751" i="3"/>
  <c r="L751" i="3"/>
  <c r="K751" i="3"/>
  <c r="J751" i="3"/>
  <c r="N751" i="3" s="1"/>
  <c r="I751" i="3"/>
  <c r="H751" i="3"/>
  <c r="G751" i="3"/>
  <c r="F751" i="3"/>
  <c r="N750" i="3"/>
  <c r="M750" i="3"/>
  <c r="L750" i="3"/>
  <c r="K750" i="3"/>
  <c r="J750" i="3"/>
  <c r="I750" i="3"/>
  <c r="H750" i="3"/>
  <c r="G750" i="3"/>
  <c r="F750" i="3"/>
  <c r="N749" i="3"/>
  <c r="M749" i="3"/>
  <c r="L749" i="3"/>
  <c r="K749" i="3"/>
  <c r="J749" i="3"/>
  <c r="I749" i="3"/>
  <c r="H749" i="3"/>
  <c r="G749" i="3"/>
  <c r="F749" i="3"/>
  <c r="M748" i="3"/>
  <c r="L748" i="3"/>
  <c r="K748" i="3"/>
  <c r="J748" i="3"/>
  <c r="N748" i="3" s="1"/>
  <c r="I748" i="3"/>
  <c r="H748" i="3"/>
  <c r="G748" i="3"/>
  <c r="F748" i="3"/>
  <c r="N747" i="3"/>
  <c r="M747" i="3"/>
  <c r="L747" i="3"/>
  <c r="K747" i="3"/>
  <c r="J747" i="3"/>
  <c r="I747" i="3"/>
  <c r="H747" i="3"/>
  <c r="G747" i="3"/>
  <c r="F747" i="3"/>
  <c r="M746" i="3"/>
  <c r="L746" i="3"/>
  <c r="K746" i="3"/>
  <c r="J746" i="3"/>
  <c r="N746" i="3" s="1"/>
  <c r="I746" i="3"/>
  <c r="H746" i="3"/>
  <c r="G746" i="3"/>
  <c r="F746" i="3"/>
  <c r="M745" i="3"/>
  <c r="L745" i="3"/>
  <c r="K745" i="3"/>
  <c r="J745" i="3"/>
  <c r="N745" i="3" s="1"/>
  <c r="I745" i="3"/>
  <c r="H745" i="3"/>
  <c r="G745" i="3"/>
  <c r="F745" i="3"/>
  <c r="M744" i="3"/>
  <c r="L744" i="3"/>
  <c r="K744" i="3"/>
  <c r="J744" i="3"/>
  <c r="N744" i="3" s="1"/>
  <c r="I744" i="3"/>
  <c r="H744" i="3"/>
  <c r="G744" i="3"/>
  <c r="F744" i="3"/>
  <c r="N743" i="3"/>
  <c r="M743" i="3"/>
  <c r="L743" i="3"/>
  <c r="K743" i="3"/>
  <c r="J743" i="3"/>
  <c r="I743" i="3"/>
  <c r="H743" i="3"/>
  <c r="G743" i="3"/>
  <c r="F743" i="3"/>
  <c r="N742" i="3"/>
  <c r="M742" i="3"/>
  <c r="L742" i="3"/>
  <c r="K742" i="3"/>
  <c r="J742" i="3"/>
  <c r="I742" i="3"/>
  <c r="H742" i="3"/>
  <c r="G742" i="3"/>
  <c r="F742" i="3"/>
  <c r="N741" i="3"/>
  <c r="M741" i="3"/>
  <c r="L741" i="3"/>
  <c r="K741" i="3"/>
  <c r="J741" i="3"/>
  <c r="I741" i="3"/>
  <c r="H741" i="3"/>
  <c r="G741" i="3"/>
  <c r="F741" i="3"/>
  <c r="N740" i="3"/>
  <c r="M740" i="3"/>
  <c r="L740" i="3"/>
  <c r="K740" i="3"/>
  <c r="J740" i="3"/>
  <c r="I740" i="3"/>
  <c r="H740" i="3"/>
  <c r="G740" i="3"/>
  <c r="F740" i="3"/>
  <c r="M739" i="3"/>
  <c r="L739" i="3"/>
  <c r="K739" i="3"/>
  <c r="J739" i="3"/>
  <c r="N739" i="3" s="1"/>
  <c r="I739" i="3"/>
  <c r="H739" i="3"/>
  <c r="G739" i="3"/>
  <c r="F739" i="3"/>
  <c r="M738" i="3"/>
  <c r="L738" i="3"/>
  <c r="K738" i="3"/>
  <c r="J738" i="3"/>
  <c r="N738" i="3" s="1"/>
  <c r="I738" i="3"/>
  <c r="H738" i="3"/>
  <c r="G738" i="3"/>
  <c r="F738" i="3"/>
  <c r="M737" i="3"/>
  <c r="L737" i="3"/>
  <c r="K737" i="3"/>
  <c r="J737" i="3"/>
  <c r="N737" i="3" s="1"/>
  <c r="I737" i="3"/>
  <c r="H737" i="3"/>
  <c r="G737" i="3"/>
  <c r="F737" i="3"/>
  <c r="M736" i="3"/>
  <c r="L736" i="3"/>
  <c r="K736" i="3"/>
  <c r="J736" i="3"/>
  <c r="N736" i="3" s="1"/>
  <c r="I736" i="3"/>
  <c r="H736" i="3"/>
  <c r="G736" i="3"/>
  <c r="F736" i="3"/>
  <c r="M735" i="3"/>
  <c r="L735" i="3"/>
  <c r="K735" i="3"/>
  <c r="J735" i="3"/>
  <c r="N735" i="3" s="1"/>
  <c r="I735" i="3"/>
  <c r="H735" i="3"/>
  <c r="G735" i="3"/>
  <c r="F735" i="3"/>
  <c r="N734" i="3"/>
  <c r="M734" i="3"/>
  <c r="L734" i="3"/>
  <c r="K734" i="3"/>
  <c r="J734" i="3"/>
  <c r="I734" i="3"/>
  <c r="H734" i="3"/>
  <c r="G734" i="3"/>
  <c r="F734" i="3"/>
  <c r="N733" i="3"/>
  <c r="M733" i="3"/>
  <c r="L733" i="3"/>
  <c r="K733" i="3"/>
  <c r="J733" i="3"/>
  <c r="I733" i="3"/>
  <c r="H733" i="3"/>
  <c r="G733" i="3"/>
  <c r="F733" i="3"/>
  <c r="N732" i="3"/>
  <c r="M732" i="3"/>
  <c r="L732" i="3"/>
  <c r="K732" i="3"/>
  <c r="J732" i="3"/>
  <c r="I732" i="3"/>
  <c r="H732" i="3"/>
  <c r="G732" i="3"/>
  <c r="F732" i="3"/>
  <c r="N731" i="3"/>
  <c r="M731" i="3"/>
  <c r="L731" i="3"/>
  <c r="K731" i="3"/>
  <c r="J731" i="3"/>
  <c r="I731" i="3"/>
  <c r="H731" i="3"/>
  <c r="G731" i="3"/>
  <c r="F731" i="3"/>
  <c r="M730" i="3"/>
  <c r="L730" i="3"/>
  <c r="K730" i="3"/>
  <c r="J730" i="3"/>
  <c r="N730" i="3" s="1"/>
  <c r="I730" i="3"/>
  <c r="H730" i="3"/>
  <c r="G730" i="3"/>
  <c r="F730" i="3"/>
  <c r="M729" i="3"/>
  <c r="L729" i="3"/>
  <c r="K729" i="3"/>
  <c r="J729" i="3"/>
  <c r="N729" i="3" s="1"/>
  <c r="I729" i="3"/>
  <c r="H729" i="3"/>
  <c r="G729" i="3"/>
  <c r="F729" i="3"/>
  <c r="M728" i="3"/>
  <c r="L728" i="3"/>
  <c r="K728" i="3"/>
  <c r="J728" i="3"/>
  <c r="N728" i="3" s="1"/>
  <c r="I728" i="3"/>
  <c r="H728" i="3"/>
  <c r="G728" i="3"/>
  <c r="F728" i="3"/>
  <c r="M727" i="3"/>
  <c r="L727" i="3"/>
  <c r="K727" i="3"/>
  <c r="J727" i="3"/>
  <c r="N727" i="3" s="1"/>
  <c r="I727" i="3"/>
  <c r="H727" i="3"/>
  <c r="G727" i="3"/>
  <c r="F727" i="3"/>
  <c r="N726" i="3"/>
  <c r="M726" i="3"/>
  <c r="L726" i="3"/>
  <c r="K726" i="3"/>
  <c r="J726" i="3"/>
  <c r="I726" i="3"/>
  <c r="H726" i="3"/>
  <c r="G726" i="3"/>
  <c r="F726" i="3"/>
  <c r="N725" i="3"/>
  <c r="M725" i="3"/>
  <c r="L725" i="3"/>
  <c r="K725" i="3"/>
  <c r="J725" i="3"/>
  <c r="I725" i="3"/>
  <c r="H725" i="3"/>
  <c r="G725" i="3"/>
  <c r="F725" i="3"/>
  <c r="M724" i="3"/>
  <c r="L724" i="3"/>
  <c r="K724" i="3"/>
  <c r="J724" i="3"/>
  <c r="N724" i="3" s="1"/>
  <c r="I724" i="3"/>
  <c r="H724" i="3"/>
  <c r="G724" i="3"/>
  <c r="F724" i="3"/>
  <c r="N723" i="3"/>
  <c r="M723" i="3"/>
  <c r="L723" i="3"/>
  <c r="K723" i="3"/>
  <c r="J723" i="3"/>
  <c r="I723" i="3"/>
  <c r="H723" i="3"/>
  <c r="G723" i="3"/>
  <c r="F723" i="3"/>
  <c r="M722" i="3"/>
  <c r="L722" i="3"/>
  <c r="K722" i="3"/>
  <c r="J722" i="3"/>
  <c r="N722" i="3" s="1"/>
  <c r="I722" i="3"/>
  <c r="H722" i="3"/>
  <c r="G722" i="3"/>
  <c r="F722" i="3"/>
  <c r="N721" i="3"/>
  <c r="M721" i="3"/>
  <c r="L721" i="3"/>
  <c r="K721" i="3"/>
  <c r="J721" i="3"/>
  <c r="I721" i="3"/>
  <c r="H721" i="3"/>
  <c r="G721" i="3"/>
  <c r="F721" i="3"/>
  <c r="M720" i="3"/>
  <c r="L720" i="3"/>
  <c r="K720" i="3"/>
  <c r="J720" i="3"/>
  <c r="N720" i="3" s="1"/>
  <c r="I720" i="3"/>
  <c r="H720" i="3"/>
  <c r="G720" i="3"/>
  <c r="F720" i="3"/>
  <c r="N719" i="3"/>
  <c r="M719" i="3"/>
  <c r="L719" i="3"/>
  <c r="K719" i="3"/>
  <c r="J719" i="3"/>
  <c r="I719" i="3"/>
  <c r="H719" i="3"/>
  <c r="G719" i="3"/>
  <c r="F719" i="3"/>
  <c r="N718" i="3"/>
  <c r="M718" i="3"/>
  <c r="L718" i="3"/>
  <c r="K718" i="3"/>
  <c r="J718" i="3"/>
  <c r="I718" i="3"/>
  <c r="H718" i="3"/>
  <c r="G718" i="3"/>
  <c r="F718" i="3"/>
  <c r="M717" i="3"/>
  <c r="L717" i="3"/>
  <c r="K717" i="3"/>
  <c r="J717" i="3"/>
  <c r="N717" i="3" s="1"/>
  <c r="I717" i="3"/>
  <c r="H717" i="3"/>
  <c r="G717" i="3"/>
  <c r="F717" i="3"/>
  <c r="N716" i="3"/>
  <c r="M716" i="3"/>
  <c r="L716" i="3"/>
  <c r="K716" i="3"/>
  <c r="J716" i="3"/>
  <c r="I716" i="3"/>
  <c r="H716" i="3"/>
  <c r="G716" i="3"/>
  <c r="F716" i="3"/>
  <c r="M715" i="3"/>
  <c r="L715" i="3"/>
  <c r="K715" i="3"/>
  <c r="J715" i="3"/>
  <c r="N715" i="3" s="1"/>
  <c r="I715" i="3"/>
  <c r="H715" i="3"/>
  <c r="G715" i="3"/>
  <c r="F715" i="3"/>
  <c r="M714" i="3"/>
  <c r="L714" i="3"/>
  <c r="K714" i="3"/>
  <c r="J714" i="3"/>
  <c r="N714" i="3" s="1"/>
  <c r="I714" i="3"/>
  <c r="H714" i="3"/>
  <c r="G714" i="3"/>
  <c r="F714" i="3"/>
  <c r="N713" i="3"/>
  <c r="M713" i="3"/>
  <c r="L713" i="3"/>
  <c r="K713" i="3"/>
  <c r="J713" i="3"/>
  <c r="I713" i="3"/>
  <c r="H713" i="3"/>
  <c r="G713" i="3"/>
  <c r="F713" i="3"/>
  <c r="N712" i="3"/>
  <c r="M712" i="3"/>
  <c r="L712" i="3"/>
  <c r="K712" i="3"/>
  <c r="J712" i="3"/>
  <c r="I712" i="3"/>
  <c r="H712" i="3"/>
  <c r="G712" i="3"/>
  <c r="F712" i="3"/>
  <c r="M711" i="3"/>
  <c r="L711" i="3"/>
  <c r="K711" i="3"/>
  <c r="J711" i="3"/>
  <c r="N711" i="3" s="1"/>
  <c r="I711" i="3"/>
  <c r="H711" i="3"/>
  <c r="G711" i="3"/>
  <c r="F711" i="3"/>
  <c r="N710" i="3"/>
  <c r="M710" i="3"/>
  <c r="L710" i="3"/>
  <c r="K710" i="3"/>
  <c r="J710" i="3"/>
  <c r="I710" i="3"/>
  <c r="H710" i="3"/>
  <c r="G710" i="3"/>
  <c r="F710" i="3"/>
  <c r="M709" i="3"/>
  <c r="L709" i="3"/>
  <c r="K709" i="3"/>
  <c r="J709" i="3"/>
  <c r="N709" i="3" s="1"/>
  <c r="I709" i="3"/>
  <c r="H709" i="3"/>
  <c r="G709" i="3"/>
  <c r="F709" i="3"/>
  <c r="M708" i="3"/>
  <c r="L708" i="3"/>
  <c r="K708" i="3"/>
  <c r="J708" i="3"/>
  <c r="N708" i="3" s="1"/>
  <c r="I708" i="3"/>
  <c r="H708" i="3"/>
  <c r="G708" i="3"/>
  <c r="F708" i="3"/>
  <c r="N707" i="3"/>
  <c r="M707" i="3"/>
  <c r="L707" i="3"/>
  <c r="K707" i="3"/>
  <c r="J707" i="3"/>
  <c r="I707" i="3"/>
  <c r="H707" i="3"/>
  <c r="G707" i="3"/>
  <c r="F707" i="3"/>
  <c r="M706" i="3"/>
  <c r="L706" i="3"/>
  <c r="K706" i="3"/>
  <c r="J706" i="3"/>
  <c r="N706" i="3" s="1"/>
  <c r="I706" i="3"/>
  <c r="H706" i="3"/>
  <c r="G706" i="3"/>
  <c r="F706" i="3"/>
  <c r="M705" i="3"/>
  <c r="L705" i="3"/>
  <c r="K705" i="3"/>
  <c r="J705" i="3"/>
  <c r="N705" i="3" s="1"/>
  <c r="I705" i="3"/>
  <c r="H705" i="3"/>
  <c r="G705" i="3"/>
  <c r="F705" i="3"/>
  <c r="N704" i="3"/>
  <c r="M704" i="3"/>
  <c r="L704" i="3"/>
  <c r="K704" i="3"/>
  <c r="J704" i="3"/>
  <c r="I704" i="3"/>
  <c r="H704" i="3"/>
  <c r="G704" i="3"/>
  <c r="F704" i="3"/>
  <c r="N703" i="3"/>
  <c r="M703" i="3"/>
  <c r="L703" i="3"/>
  <c r="K703" i="3"/>
  <c r="J703" i="3"/>
  <c r="I703" i="3"/>
  <c r="H703" i="3"/>
  <c r="G703" i="3"/>
  <c r="F703" i="3"/>
  <c r="N702" i="3"/>
  <c r="M702" i="3"/>
  <c r="L702" i="3"/>
  <c r="K702" i="3"/>
  <c r="J702" i="3"/>
  <c r="I702" i="3"/>
  <c r="H702" i="3"/>
  <c r="G702" i="3"/>
  <c r="F702" i="3"/>
  <c r="N701" i="3"/>
  <c r="M701" i="3"/>
  <c r="L701" i="3"/>
  <c r="K701" i="3"/>
  <c r="J701" i="3"/>
  <c r="I701" i="3"/>
  <c r="H701" i="3"/>
  <c r="G701" i="3"/>
  <c r="F701" i="3"/>
  <c r="M700" i="3"/>
  <c r="L700" i="3"/>
  <c r="K700" i="3"/>
  <c r="J700" i="3"/>
  <c r="N700" i="3" s="1"/>
  <c r="I700" i="3"/>
  <c r="H700" i="3"/>
  <c r="G700" i="3"/>
  <c r="F700" i="3"/>
  <c r="M699" i="3"/>
  <c r="L699" i="3"/>
  <c r="K699" i="3"/>
  <c r="J699" i="3"/>
  <c r="N699" i="3" s="1"/>
  <c r="I699" i="3"/>
  <c r="H699" i="3"/>
  <c r="G699" i="3"/>
  <c r="F699" i="3"/>
  <c r="M698" i="3"/>
  <c r="L698" i="3"/>
  <c r="K698" i="3"/>
  <c r="J698" i="3"/>
  <c r="N698" i="3" s="1"/>
  <c r="I698" i="3"/>
  <c r="H698" i="3"/>
  <c r="G698" i="3"/>
  <c r="F698" i="3"/>
  <c r="N697" i="3"/>
  <c r="M697" i="3"/>
  <c r="L697" i="3"/>
  <c r="K697" i="3"/>
  <c r="J697" i="3"/>
  <c r="I697" i="3"/>
  <c r="H697" i="3"/>
  <c r="G697" i="3"/>
  <c r="F697" i="3"/>
  <c r="N696" i="3"/>
  <c r="M696" i="3"/>
  <c r="L696" i="3"/>
  <c r="K696" i="3"/>
  <c r="J696" i="3"/>
  <c r="I696" i="3"/>
  <c r="H696" i="3"/>
  <c r="G696" i="3"/>
  <c r="F696" i="3"/>
  <c r="N695" i="3"/>
  <c r="M695" i="3"/>
  <c r="L695" i="3"/>
  <c r="K695" i="3"/>
  <c r="J695" i="3"/>
  <c r="I695" i="3"/>
  <c r="H695" i="3"/>
  <c r="G695" i="3"/>
  <c r="F695" i="3"/>
  <c r="N694" i="3"/>
  <c r="M694" i="3"/>
  <c r="L694" i="3"/>
  <c r="K694" i="3"/>
  <c r="J694" i="3"/>
  <c r="I694" i="3"/>
  <c r="H694" i="3"/>
  <c r="G694" i="3"/>
  <c r="F694" i="3"/>
  <c r="M693" i="3"/>
  <c r="L693" i="3"/>
  <c r="K693" i="3"/>
  <c r="J693" i="3"/>
  <c r="N693" i="3" s="1"/>
  <c r="I693" i="3"/>
  <c r="H693" i="3"/>
  <c r="G693" i="3"/>
  <c r="F693" i="3"/>
  <c r="N692" i="3"/>
  <c r="M692" i="3"/>
  <c r="L692" i="3"/>
  <c r="K692" i="3"/>
  <c r="J692" i="3"/>
  <c r="I692" i="3"/>
  <c r="H692" i="3"/>
  <c r="G692" i="3"/>
  <c r="F692" i="3"/>
  <c r="M691" i="3"/>
  <c r="L691" i="3"/>
  <c r="K691" i="3"/>
  <c r="J691" i="3"/>
  <c r="N691" i="3" s="1"/>
  <c r="I691" i="3"/>
  <c r="H691" i="3"/>
  <c r="G691" i="3"/>
  <c r="F691" i="3"/>
  <c r="M690" i="3"/>
  <c r="L690" i="3"/>
  <c r="K690" i="3"/>
  <c r="J690" i="3"/>
  <c r="N690" i="3" s="1"/>
  <c r="I690" i="3"/>
  <c r="H690" i="3"/>
  <c r="G690" i="3"/>
  <c r="F690" i="3"/>
  <c r="M689" i="3"/>
  <c r="L689" i="3"/>
  <c r="K689" i="3"/>
  <c r="J689" i="3"/>
  <c r="N689" i="3" s="1"/>
  <c r="I689" i="3"/>
  <c r="H689" i="3"/>
  <c r="G689" i="3"/>
  <c r="F689" i="3"/>
  <c r="N688" i="3"/>
  <c r="M688" i="3"/>
  <c r="L688" i="3"/>
  <c r="K688" i="3"/>
  <c r="J688" i="3"/>
  <c r="I688" i="3"/>
  <c r="H688" i="3"/>
  <c r="G688" i="3"/>
  <c r="F688" i="3"/>
  <c r="M687" i="3"/>
  <c r="L687" i="3"/>
  <c r="K687" i="3"/>
  <c r="J687" i="3"/>
  <c r="N687" i="3" s="1"/>
  <c r="I687" i="3"/>
  <c r="H687" i="3"/>
  <c r="G687" i="3"/>
  <c r="F687" i="3"/>
  <c r="N686" i="3"/>
  <c r="M686" i="3"/>
  <c r="L686" i="3"/>
  <c r="K686" i="3"/>
  <c r="J686" i="3"/>
  <c r="I686" i="3"/>
  <c r="H686" i="3"/>
  <c r="G686" i="3"/>
  <c r="F686" i="3"/>
  <c r="N685" i="3"/>
  <c r="M685" i="3"/>
  <c r="L685" i="3"/>
  <c r="K685" i="3"/>
  <c r="J685" i="3"/>
  <c r="I685" i="3"/>
  <c r="H685" i="3"/>
  <c r="G685" i="3"/>
  <c r="F685" i="3"/>
  <c r="M684" i="3"/>
  <c r="L684" i="3"/>
  <c r="K684" i="3"/>
  <c r="J684" i="3"/>
  <c r="N684" i="3" s="1"/>
  <c r="I684" i="3"/>
  <c r="H684" i="3"/>
  <c r="G684" i="3"/>
  <c r="F684" i="3"/>
  <c r="N683" i="3"/>
  <c r="M683" i="3"/>
  <c r="L683" i="3"/>
  <c r="K683" i="3"/>
  <c r="J683" i="3"/>
  <c r="I683" i="3"/>
  <c r="H683" i="3"/>
  <c r="G683" i="3"/>
  <c r="F683" i="3"/>
  <c r="M682" i="3"/>
  <c r="L682" i="3"/>
  <c r="K682" i="3"/>
  <c r="J682" i="3"/>
  <c r="N682" i="3" s="1"/>
  <c r="I682" i="3"/>
  <c r="H682" i="3"/>
  <c r="G682" i="3"/>
  <c r="F682" i="3"/>
  <c r="M681" i="3"/>
  <c r="L681" i="3"/>
  <c r="K681" i="3"/>
  <c r="J681" i="3"/>
  <c r="N681" i="3" s="1"/>
  <c r="I681" i="3"/>
  <c r="H681" i="3"/>
  <c r="G681" i="3"/>
  <c r="F681" i="3"/>
  <c r="M680" i="3"/>
  <c r="L680" i="3"/>
  <c r="K680" i="3"/>
  <c r="J680" i="3"/>
  <c r="N680" i="3" s="1"/>
  <c r="I680" i="3"/>
  <c r="H680" i="3"/>
  <c r="G680" i="3"/>
  <c r="F680" i="3"/>
  <c r="N679" i="3"/>
  <c r="M679" i="3"/>
  <c r="L679" i="3"/>
  <c r="K679" i="3"/>
  <c r="J679" i="3"/>
  <c r="I679" i="3"/>
  <c r="H679" i="3"/>
  <c r="G679" i="3"/>
  <c r="F679" i="3"/>
  <c r="N678" i="3"/>
  <c r="M678" i="3"/>
  <c r="L678" i="3"/>
  <c r="K678" i="3"/>
  <c r="J678" i="3"/>
  <c r="I678" i="3"/>
  <c r="H678" i="3"/>
  <c r="G678" i="3"/>
  <c r="F678" i="3"/>
  <c r="N677" i="3"/>
  <c r="M677" i="3"/>
  <c r="L677" i="3"/>
  <c r="K677" i="3"/>
  <c r="J677" i="3"/>
  <c r="I677" i="3"/>
  <c r="H677" i="3"/>
  <c r="G677" i="3"/>
  <c r="F677" i="3"/>
  <c r="N676" i="3"/>
  <c r="M676" i="3"/>
  <c r="L676" i="3"/>
  <c r="K676" i="3"/>
  <c r="J676" i="3"/>
  <c r="I676" i="3"/>
  <c r="H676" i="3"/>
  <c r="G676" i="3"/>
  <c r="F676" i="3"/>
  <c r="M675" i="3"/>
  <c r="L675" i="3"/>
  <c r="K675" i="3"/>
  <c r="J675" i="3"/>
  <c r="N675" i="3" s="1"/>
  <c r="I675" i="3"/>
  <c r="H675" i="3"/>
  <c r="G675" i="3"/>
  <c r="F675" i="3"/>
  <c r="M674" i="3"/>
  <c r="L674" i="3"/>
  <c r="K674" i="3"/>
  <c r="J674" i="3"/>
  <c r="N674" i="3" s="1"/>
  <c r="I674" i="3"/>
  <c r="H674" i="3"/>
  <c r="G674" i="3"/>
  <c r="F674" i="3"/>
  <c r="M673" i="3"/>
  <c r="L673" i="3"/>
  <c r="K673" i="3"/>
  <c r="J673" i="3"/>
  <c r="N673" i="3" s="1"/>
  <c r="I673" i="3"/>
  <c r="H673" i="3"/>
  <c r="G673" i="3"/>
  <c r="F673" i="3"/>
  <c r="M672" i="3"/>
  <c r="L672" i="3"/>
  <c r="K672" i="3"/>
  <c r="J672" i="3"/>
  <c r="N672" i="3" s="1"/>
  <c r="I672" i="3"/>
  <c r="H672" i="3"/>
  <c r="G672" i="3"/>
  <c r="F672" i="3"/>
  <c r="M671" i="3"/>
  <c r="L671" i="3"/>
  <c r="K671" i="3"/>
  <c r="J671" i="3"/>
  <c r="N671" i="3" s="1"/>
  <c r="I671" i="3"/>
  <c r="H671" i="3"/>
  <c r="G671" i="3"/>
  <c r="F671" i="3"/>
  <c r="N670" i="3"/>
  <c r="M670" i="3"/>
  <c r="L670" i="3"/>
  <c r="K670" i="3"/>
  <c r="J670" i="3"/>
  <c r="I670" i="3"/>
  <c r="H670" i="3"/>
  <c r="G670" i="3"/>
  <c r="F670" i="3"/>
  <c r="M669" i="3"/>
  <c r="L669" i="3"/>
  <c r="K669" i="3"/>
  <c r="J669" i="3"/>
  <c r="N669" i="3" s="1"/>
  <c r="I669" i="3"/>
  <c r="H669" i="3"/>
  <c r="G669" i="3"/>
  <c r="F669" i="3"/>
  <c r="N668" i="3"/>
  <c r="M668" i="3"/>
  <c r="L668" i="3"/>
  <c r="K668" i="3"/>
  <c r="J668" i="3"/>
  <c r="I668" i="3"/>
  <c r="H668" i="3"/>
  <c r="G668" i="3"/>
  <c r="F668" i="3"/>
  <c r="N667" i="3"/>
  <c r="M667" i="3"/>
  <c r="L667" i="3"/>
  <c r="K667" i="3"/>
  <c r="J667" i="3"/>
  <c r="I667" i="3"/>
  <c r="H667" i="3"/>
  <c r="G667" i="3"/>
  <c r="F667" i="3"/>
  <c r="M666" i="3"/>
  <c r="L666" i="3"/>
  <c r="K666" i="3"/>
  <c r="J666" i="3"/>
  <c r="N666" i="3" s="1"/>
  <c r="I666" i="3"/>
  <c r="H666" i="3"/>
  <c r="G666" i="3"/>
  <c r="F666" i="3"/>
  <c r="M665" i="3"/>
  <c r="L665" i="3"/>
  <c r="K665" i="3"/>
  <c r="J665" i="3"/>
  <c r="N665" i="3" s="1"/>
  <c r="I665" i="3"/>
  <c r="H665" i="3"/>
  <c r="G665" i="3"/>
  <c r="F665" i="3"/>
  <c r="N664" i="3"/>
  <c r="M664" i="3"/>
  <c r="L664" i="3"/>
  <c r="K664" i="3"/>
  <c r="J664" i="3"/>
  <c r="I664" i="3"/>
  <c r="H664" i="3"/>
  <c r="G664" i="3"/>
  <c r="F664" i="3"/>
  <c r="M663" i="3"/>
  <c r="L663" i="3"/>
  <c r="K663" i="3"/>
  <c r="J663" i="3"/>
  <c r="N663" i="3" s="1"/>
  <c r="I663" i="3"/>
  <c r="H663" i="3"/>
  <c r="G663" i="3"/>
  <c r="F663" i="3"/>
  <c r="M662" i="3"/>
  <c r="L662" i="3"/>
  <c r="K662" i="3"/>
  <c r="J662" i="3"/>
  <c r="N662" i="3" s="1"/>
  <c r="I662" i="3"/>
  <c r="H662" i="3"/>
  <c r="G662" i="3"/>
  <c r="F662" i="3"/>
  <c r="N661" i="3"/>
  <c r="M661" i="3"/>
  <c r="L661" i="3"/>
  <c r="K661" i="3"/>
  <c r="J661" i="3"/>
  <c r="I661" i="3"/>
  <c r="H661" i="3"/>
  <c r="G661" i="3"/>
  <c r="F661" i="3"/>
  <c r="N660" i="3"/>
  <c r="M660" i="3"/>
  <c r="L660" i="3"/>
  <c r="K660" i="3"/>
  <c r="J660" i="3"/>
  <c r="I660" i="3"/>
  <c r="H660" i="3"/>
  <c r="G660" i="3"/>
  <c r="F660" i="3"/>
  <c r="N659" i="3"/>
  <c r="M659" i="3"/>
  <c r="L659" i="3"/>
  <c r="K659" i="3"/>
  <c r="J659" i="3"/>
  <c r="I659" i="3"/>
  <c r="H659" i="3"/>
  <c r="G659" i="3"/>
  <c r="F659" i="3"/>
  <c r="N658" i="3"/>
  <c r="M658" i="3"/>
  <c r="L658" i="3"/>
  <c r="K658" i="3"/>
  <c r="J658" i="3"/>
  <c r="I658" i="3"/>
  <c r="H658" i="3"/>
  <c r="G658" i="3"/>
  <c r="F658" i="3"/>
  <c r="M657" i="3"/>
  <c r="L657" i="3"/>
  <c r="K657" i="3"/>
  <c r="J657" i="3"/>
  <c r="N657" i="3" s="1"/>
  <c r="I657" i="3"/>
  <c r="H657" i="3"/>
  <c r="G657" i="3"/>
  <c r="F657" i="3"/>
  <c r="M656" i="3"/>
  <c r="L656" i="3"/>
  <c r="K656" i="3"/>
  <c r="J656" i="3"/>
  <c r="N656" i="3" s="1"/>
  <c r="I656" i="3"/>
  <c r="H656" i="3"/>
  <c r="G656" i="3"/>
  <c r="F656" i="3"/>
  <c r="M655" i="3"/>
  <c r="L655" i="3"/>
  <c r="K655" i="3"/>
  <c r="J655" i="3"/>
  <c r="N655" i="3" s="1"/>
  <c r="I655" i="3"/>
  <c r="H655" i="3"/>
  <c r="G655" i="3"/>
  <c r="F655" i="3"/>
  <c r="M654" i="3"/>
  <c r="L654" i="3"/>
  <c r="K654" i="3"/>
  <c r="J654" i="3"/>
  <c r="N654" i="3" s="1"/>
  <c r="I654" i="3"/>
  <c r="H654" i="3"/>
  <c r="G654" i="3"/>
  <c r="F654" i="3"/>
  <c r="N653" i="3"/>
  <c r="M653" i="3"/>
  <c r="L653" i="3"/>
  <c r="K653" i="3"/>
  <c r="J653" i="3"/>
  <c r="I653" i="3"/>
  <c r="H653" i="3"/>
  <c r="G653" i="3"/>
  <c r="F653" i="3"/>
  <c r="N652" i="3"/>
  <c r="M652" i="3"/>
  <c r="L652" i="3"/>
  <c r="K652" i="3"/>
  <c r="J652" i="3"/>
  <c r="I652" i="3"/>
  <c r="H652" i="3"/>
  <c r="G652" i="3"/>
  <c r="F652" i="3"/>
  <c r="N651" i="3"/>
  <c r="M651" i="3"/>
  <c r="L651" i="3"/>
  <c r="K651" i="3"/>
  <c r="J651" i="3"/>
  <c r="I651" i="3"/>
  <c r="H651" i="3"/>
  <c r="G651" i="3"/>
  <c r="F651" i="3"/>
  <c r="N650" i="3"/>
  <c r="M650" i="3"/>
  <c r="L650" i="3"/>
  <c r="K650" i="3"/>
  <c r="J650" i="3"/>
  <c r="I650" i="3"/>
  <c r="H650" i="3"/>
  <c r="G650" i="3"/>
  <c r="F650" i="3"/>
  <c r="M649" i="3"/>
  <c r="L649" i="3"/>
  <c r="K649" i="3"/>
  <c r="J649" i="3"/>
  <c r="N649" i="3" s="1"/>
  <c r="I649" i="3"/>
  <c r="H649" i="3"/>
  <c r="G649" i="3"/>
  <c r="F649" i="3"/>
  <c r="N648" i="3"/>
  <c r="M648" i="3"/>
  <c r="L648" i="3"/>
  <c r="K648" i="3"/>
  <c r="J648" i="3"/>
  <c r="I648" i="3"/>
  <c r="H648" i="3"/>
  <c r="G648" i="3"/>
  <c r="F648" i="3"/>
  <c r="M647" i="3"/>
  <c r="L647" i="3"/>
  <c r="K647" i="3"/>
  <c r="J647" i="3"/>
  <c r="N647" i="3" s="1"/>
  <c r="I647" i="3"/>
  <c r="H647" i="3"/>
  <c r="G647" i="3"/>
  <c r="F647" i="3"/>
  <c r="M646" i="3"/>
  <c r="L646" i="3"/>
  <c r="K646" i="3"/>
  <c r="J646" i="3"/>
  <c r="N646" i="3" s="1"/>
  <c r="I646" i="3"/>
  <c r="H646" i="3"/>
  <c r="G646" i="3"/>
  <c r="F646" i="3"/>
  <c r="N645" i="3"/>
  <c r="M645" i="3"/>
  <c r="L645" i="3"/>
  <c r="K645" i="3"/>
  <c r="J645" i="3"/>
  <c r="I645" i="3"/>
  <c r="H645" i="3"/>
  <c r="G645" i="3"/>
  <c r="F645" i="3"/>
  <c r="M644" i="3"/>
  <c r="L644" i="3"/>
  <c r="K644" i="3"/>
  <c r="J644" i="3"/>
  <c r="N644" i="3" s="1"/>
  <c r="I644" i="3"/>
  <c r="H644" i="3"/>
  <c r="G644" i="3"/>
  <c r="F644" i="3"/>
  <c r="N643" i="3"/>
  <c r="M643" i="3"/>
  <c r="L643" i="3"/>
  <c r="K643" i="3"/>
  <c r="J643" i="3"/>
  <c r="I643" i="3"/>
  <c r="H643" i="3"/>
  <c r="G643" i="3"/>
  <c r="F643" i="3"/>
  <c r="N642" i="3"/>
  <c r="M642" i="3"/>
  <c r="L642" i="3"/>
  <c r="K642" i="3"/>
  <c r="J642" i="3"/>
  <c r="I642" i="3"/>
  <c r="H642" i="3"/>
  <c r="G642" i="3"/>
  <c r="F642" i="3"/>
  <c r="M641" i="3"/>
  <c r="L641" i="3"/>
  <c r="K641" i="3"/>
  <c r="J641" i="3"/>
  <c r="N641" i="3" s="1"/>
  <c r="I641" i="3"/>
  <c r="H641" i="3"/>
  <c r="G641" i="3"/>
  <c r="F641" i="3"/>
  <c r="N640" i="3"/>
  <c r="M640" i="3"/>
  <c r="L640" i="3"/>
  <c r="K640" i="3"/>
  <c r="J640" i="3"/>
  <c r="I640" i="3"/>
  <c r="H640" i="3"/>
  <c r="G640" i="3"/>
  <c r="F640" i="3"/>
  <c r="M639" i="3"/>
  <c r="L639" i="3"/>
  <c r="K639" i="3"/>
  <c r="J639" i="3"/>
  <c r="N639" i="3" s="1"/>
  <c r="I639" i="3"/>
  <c r="H639" i="3"/>
  <c r="G639" i="3"/>
  <c r="F639" i="3"/>
  <c r="M638" i="3"/>
  <c r="L638" i="3"/>
  <c r="K638" i="3"/>
  <c r="J638" i="3"/>
  <c r="N638" i="3" s="1"/>
  <c r="I638" i="3"/>
  <c r="H638" i="3"/>
  <c r="G638" i="3"/>
  <c r="F638" i="3"/>
  <c r="N637" i="3"/>
  <c r="M637" i="3"/>
  <c r="L637" i="3"/>
  <c r="K637" i="3"/>
  <c r="J637" i="3"/>
  <c r="I637" i="3"/>
  <c r="H637" i="3"/>
  <c r="G637" i="3"/>
  <c r="F637" i="3"/>
  <c r="M636" i="3"/>
  <c r="L636" i="3"/>
  <c r="K636" i="3"/>
  <c r="J636" i="3"/>
  <c r="N636" i="3" s="1"/>
  <c r="I636" i="3"/>
  <c r="H636" i="3"/>
  <c r="G636" i="3"/>
  <c r="F636" i="3"/>
  <c r="N635" i="3"/>
  <c r="M635" i="3"/>
  <c r="L635" i="3"/>
  <c r="K635" i="3"/>
  <c r="J635" i="3"/>
  <c r="I635" i="3"/>
  <c r="H635" i="3"/>
  <c r="G635" i="3"/>
  <c r="F635" i="3"/>
  <c r="N634" i="3"/>
  <c r="M634" i="3"/>
  <c r="L634" i="3"/>
  <c r="K634" i="3"/>
  <c r="J634" i="3"/>
  <c r="I634" i="3"/>
  <c r="H634" i="3"/>
  <c r="G634" i="3"/>
  <c r="F634" i="3"/>
  <c r="M633" i="3"/>
  <c r="L633" i="3"/>
  <c r="K633" i="3"/>
  <c r="J633" i="3"/>
  <c r="N633" i="3" s="1"/>
  <c r="I633" i="3"/>
  <c r="H633" i="3"/>
  <c r="G633" i="3"/>
  <c r="F633" i="3"/>
  <c r="N632" i="3"/>
  <c r="M632" i="3"/>
  <c r="L632" i="3"/>
  <c r="K632" i="3"/>
  <c r="J632" i="3"/>
  <c r="I632" i="3"/>
  <c r="H632" i="3"/>
  <c r="G632" i="3"/>
  <c r="F632" i="3"/>
  <c r="M631" i="3"/>
  <c r="L631" i="3"/>
  <c r="K631" i="3"/>
  <c r="J631" i="3"/>
  <c r="N631" i="3" s="1"/>
  <c r="I631" i="3"/>
  <c r="H631" i="3"/>
  <c r="G631" i="3"/>
  <c r="F631" i="3"/>
  <c r="M630" i="3"/>
  <c r="L630" i="3"/>
  <c r="K630" i="3"/>
  <c r="J630" i="3"/>
  <c r="N630" i="3" s="1"/>
  <c r="I630" i="3"/>
  <c r="H630" i="3"/>
  <c r="G630" i="3"/>
  <c r="F630" i="3"/>
  <c r="N629" i="3"/>
  <c r="M629" i="3"/>
  <c r="L629" i="3"/>
  <c r="K629" i="3"/>
  <c r="J629" i="3"/>
  <c r="I629" i="3"/>
  <c r="H629" i="3"/>
  <c r="G629" i="3"/>
  <c r="F629" i="3"/>
  <c r="M628" i="3"/>
  <c r="L628" i="3"/>
  <c r="K628" i="3"/>
  <c r="J628" i="3"/>
  <c r="N628" i="3" s="1"/>
  <c r="I628" i="3"/>
  <c r="H628" i="3"/>
  <c r="G628" i="3"/>
  <c r="F628" i="3"/>
  <c r="N627" i="3"/>
  <c r="M627" i="3"/>
  <c r="L627" i="3"/>
  <c r="K627" i="3"/>
  <c r="J627" i="3"/>
  <c r="I627" i="3"/>
  <c r="H627" i="3"/>
  <c r="G627" i="3"/>
  <c r="F627" i="3"/>
  <c r="N626" i="3"/>
  <c r="M626" i="3"/>
  <c r="L626" i="3"/>
  <c r="K626" i="3"/>
  <c r="J626" i="3"/>
  <c r="I626" i="3"/>
  <c r="H626" i="3"/>
  <c r="G626" i="3"/>
  <c r="F626" i="3"/>
  <c r="M625" i="3"/>
  <c r="L625" i="3"/>
  <c r="K625" i="3"/>
  <c r="J625" i="3"/>
  <c r="N625" i="3" s="1"/>
  <c r="I625" i="3"/>
  <c r="H625" i="3"/>
  <c r="G625" i="3"/>
  <c r="F625" i="3"/>
  <c r="N624" i="3"/>
  <c r="M624" i="3"/>
  <c r="L624" i="3"/>
  <c r="K624" i="3"/>
  <c r="J624" i="3"/>
  <c r="I624" i="3"/>
  <c r="H624" i="3"/>
  <c r="G624" i="3"/>
  <c r="F624" i="3"/>
  <c r="M623" i="3"/>
  <c r="L623" i="3"/>
  <c r="K623" i="3"/>
  <c r="J623" i="3"/>
  <c r="N623" i="3" s="1"/>
  <c r="I623" i="3"/>
  <c r="H623" i="3"/>
  <c r="G623" i="3"/>
  <c r="F623" i="3"/>
  <c r="M622" i="3"/>
  <c r="L622" i="3"/>
  <c r="K622" i="3"/>
  <c r="J622" i="3"/>
  <c r="N622" i="3" s="1"/>
  <c r="I622" i="3"/>
  <c r="H622" i="3"/>
  <c r="G622" i="3"/>
  <c r="F622" i="3"/>
  <c r="N621" i="3"/>
  <c r="M621" i="3"/>
  <c r="L621" i="3"/>
  <c r="K621" i="3"/>
  <c r="J621" i="3"/>
  <c r="I621" i="3"/>
  <c r="H621" i="3"/>
  <c r="G621" i="3"/>
  <c r="F621" i="3"/>
  <c r="M620" i="3"/>
  <c r="L620" i="3"/>
  <c r="K620" i="3"/>
  <c r="J620" i="3"/>
  <c r="N620" i="3" s="1"/>
  <c r="I620" i="3"/>
  <c r="H620" i="3"/>
  <c r="G620" i="3"/>
  <c r="F620" i="3"/>
  <c r="N619" i="3"/>
  <c r="M619" i="3"/>
  <c r="L619" i="3"/>
  <c r="K619" i="3"/>
  <c r="J619" i="3"/>
  <c r="I619" i="3"/>
  <c r="H619" i="3"/>
  <c r="G619" i="3"/>
  <c r="F619" i="3"/>
  <c r="N618" i="3"/>
  <c r="M618" i="3"/>
  <c r="L618" i="3"/>
  <c r="K618" i="3"/>
  <c r="J618" i="3"/>
  <c r="I618" i="3"/>
  <c r="H618" i="3"/>
  <c r="G618" i="3"/>
  <c r="F618" i="3"/>
  <c r="M617" i="3"/>
  <c r="L617" i="3"/>
  <c r="K617" i="3"/>
  <c r="J617" i="3"/>
  <c r="N617" i="3" s="1"/>
  <c r="I617" i="3"/>
  <c r="H617" i="3"/>
  <c r="G617" i="3"/>
  <c r="F617" i="3"/>
  <c r="M616" i="3"/>
  <c r="L616" i="3"/>
  <c r="K616" i="3"/>
  <c r="J616" i="3"/>
  <c r="N616" i="3" s="1"/>
  <c r="I616" i="3"/>
  <c r="H616" i="3"/>
  <c r="G616" i="3"/>
  <c r="F616" i="3"/>
  <c r="M615" i="3"/>
  <c r="L615" i="3"/>
  <c r="K615" i="3"/>
  <c r="J615" i="3"/>
  <c r="N615" i="3" s="1"/>
  <c r="I615" i="3"/>
  <c r="H615" i="3"/>
  <c r="G615" i="3"/>
  <c r="F615" i="3"/>
  <c r="M614" i="3"/>
  <c r="L614" i="3"/>
  <c r="K614" i="3"/>
  <c r="J614" i="3"/>
  <c r="N614" i="3" s="1"/>
  <c r="I614" i="3"/>
  <c r="H614" i="3"/>
  <c r="G614" i="3"/>
  <c r="F614" i="3"/>
  <c r="N613" i="3"/>
  <c r="M613" i="3"/>
  <c r="L613" i="3"/>
  <c r="K613" i="3"/>
  <c r="J613" i="3"/>
  <c r="I613" i="3"/>
  <c r="H613" i="3"/>
  <c r="G613" i="3"/>
  <c r="F613" i="3"/>
  <c r="M612" i="3"/>
  <c r="L612" i="3"/>
  <c r="K612" i="3"/>
  <c r="J612" i="3"/>
  <c r="N612" i="3" s="1"/>
  <c r="I612" i="3"/>
  <c r="H612" i="3"/>
  <c r="G612" i="3"/>
  <c r="F612" i="3"/>
  <c r="N611" i="3"/>
  <c r="M611" i="3"/>
  <c r="L611" i="3"/>
  <c r="K611" i="3"/>
  <c r="J611" i="3"/>
  <c r="I611" i="3"/>
  <c r="H611" i="3"/>
  <c r="G611" i="3"/>
  <c r="F611" i="3"/>
  <c r="N610" i="3"/>
  <c r="M610" i="3"/>
  <c r="L610" i="3"/>
  <c r="K610" i="3"/>
  <c r="J610" i="3"/>
  <c r="I610" i="3"/>
  <c r="H610" i="3"/>
  <c r="G610" i="3"/>
  <c r="F610" i="3"/>
  <c r="M609" i="3"/>
  <c r="L609" i="3"/>
  <c r="K609" i="3"/>
  <c r="J609" i="3"/>
  <c r="N609" i="3" s="1"/>
  <c r="I609" i="3"/>
  <c r="H609" i="3"/>
  <c r="G609" i="3"/>
  <c r="F609" i="3"/>
  <c r="M608" i="3"/>
  <c r="L608" i="3"/>
  <c r="K608" i="3"/>
  <c r="J608" i="3"/>
  <c r="N608" i="3" s="1"/>
  <c r="I608" i="3"/>
  <c r="H608" i="3"/>
  <c r="G608" i="3"/>
  <c r="F608" i="3"/>
  <c r="M607" i="3"/>
  <c r="L607" i="3"/>
  <c r="K607" i="3"/>
  <c r="J607" i="3"/>
  <c r="N607" i="3" s="1"/>
  <c r="I607" i="3"/>
  <c r="H607" i="3"/>
  <c r="G607" i="3"/>
  <c r="F607" i="3"/>
  <c r="M606" i="3"/>
  <c r="L606" i="3"/>
  <c r="K606" i="3"/>
  <c r="J606" i="3"/>
  <c r="N606" i="3" s="1"/>
  <c r="I606" i="3"/>
  <c r="H606" i="3"/>
  <c r="G606" i="3"/>
  <c r="F606" i="3"/>
  <c r="N605" i="3"/>
  <c r="M605" i="3"/>
  <c r="L605" i="3"/>
  <c r="K605" i="3"/>
  <c r="J605" i="3"/>
  <c r="I605" i="3"/>
  <c r="H605" i="3"/>
  <c r="G605" i="3"/>
  <c r="F605" i="3"/>
  <c r="M604" i="3"/>
  <c r="L604" i="3"/>
  <c r="K604" i="3"/>
  <c r="J604" i="3"/>
  <c r="N604" i="3" s="1"/>
  <c r="I604" i="3"/>
  <c r="H604" i="3"/>
  <c r="G604" i="3"/>
  <c r="F604" i="3"/>
  <c r="N603" i="3"/>
  <c r="M603" i="3"/>
  <c r="L603" i="3"/>
  <c r="K603" i="3"/>
  <c r="J603" i="3"/>
  <c r="I603" i="3"/>
  <c r="H603" i="3"/>
  <c r="G603" i="3"/>
  <c r="F603" i="3"/>
  <c r="N602" i="3"/>
  <c r="M602" i="3"/>
  <c r="L602" i="3"/>
  <c r="K602" i="3"/>
  <c r="J602" i="3"/>
  <c r="I602" i="3"/>
  <c r="H602" i="3"/>
  <c r="G602" i="3"/>
  <c r="F602" i="3"/>
  <c r="M601" i="3"/>
  <c r="L601" i="3"/>
  <c r="K601" i="3"/>
  <c r="J601" i="3"/>
  <c r="N601" i="3" s="1"/>
  <c r="I601" i="3"/>
  <c r="H601" i="3"/>
  <c r="G601" i="3"/>
  <c r="F601" i="3"/>
  <c r="M600" i="3"/>
  <c r="L600" i="3"/>
  <c r="K600" i="3"/>
  <c r="J600" i="3"/>
  <c r="N600" i="3" s="1"/>
  <c r="I600" i="3"/>
  <c r="H600" i="3"/>
  <c r="G600" i="3"/>
  <c r="F600" i="3"/>
  <c r="M599" i="3"/>
  <c r="L599" i="3"/>
  <c r="K599" i="3"/>
  <c r="J599" i="3"/>
  <c r="N599" i="3" s="1"/>
  <c r="I599" i="3"/>
  <c r="H599" i="3"/>
  <c r="G599" i="3"/>
  <c r="F599" i="3"/>
  <c r="M598" i="3"/>
  <c r="L598" i="3"/>
  <c r="K598" i="3"/>
  <c r="J598" i="3"/>
  <c r="N598" i="3" s="1"/>
  <c r="I598" i="3"/>
  <c r="H598" i="3"/>
  <c r="G598" i="3"/>
  <c r="F598" i="3"/>
  <c r="N597" i="3"/>
  <c r="M597" i="3"/>
  <c r="L597" i="3"/>
  <c r="K597" i="3"/>
  <c r="J597" i="3"/>
  <c r="I597" i="3"/>
  <c r="H597" i="3"/>
  <c r="G597" i="3"/>
  <c r="F597" i="3"/>
  <c r="N596" i="3"/>
  <c r="M596" i="3"/>
  <c r="L596" i="3"/>
  <c r="K596" i="3"/>
  <c r="J596" i="3"/>
  <c r="I596" i="3"/>
  <c r="H596" i="3"/>
  <c r="G596" i="3"/>
  <c r="F596" i="3"/>
  <c r="N595" i="3"/>
  <c r="M595" i="3"/>
  <c r="L595" i="3"/>
  <c r="K595" i="3"/>
  <c r="J595" i="3"/>
  <c r="I595" i="3"/>
  <c r="H595" i="3"/>
  <c r="G595" i="3"/>
  <c r="F595" i="3"/>
  <c r="N594" i="3"/>
  <c r="M594" i="3"/>
  <c r="L594" i="3"/>
  <c r="K594" i="3"/>
  <c r="J594" i="3"/>
  <c r="I594" i="3"/>
  <c r="H594" i="3"/>
  <c r="G594" i="3"/>
  <c r="F594" i="3"/>
  <c r="M593" i="3"/>
  <c r="L593" i="3"/>
  <c r="K593" i="3"/>
  <c r="J593" i="3"/>
  <c r="N593" i="3" s="1"/>
  <c r="I593" i="3"/>
  <c r="H593" i="3"/>
  <c r="G593" i="3"/>
  <c r="F593" i="3"/>
  <c r="N592" i="3"/>
  <c r="M592" i="3"/>
  <c r="L592" i="3"/>
  <c r="K592" i="3"/>
  <c r="J592" i="3"/>
  <c r="I592" i="3"/>
  <c r="H592" i="3"/>
  <c r="G592" i="3"/>
  <c r="F592" i="3"/>
  <c r="M591" i="3"/>
  <c r="L591" i="3"/>
  <c r="K591" i="3"/>
  <c r="J591" i="3"/>
  <c r="N591" i="3" s="1"/>
  <c r="I591" i="3"/>
  <c r="H591" i="3"/>
  <c r="G591" i="3"/>
  <c r="F591" i="3"/>
  <c r="M590" i="3"/>
  <c r="L590" i="3"/>
  <c r="K590" i="3"/>
  <c r="J590" i="3"/>
  <c r="N590" i="3" s="1"/>
  <c r="I590" i="3"/>
  <c r="H590" i="3"/>
  <c r="G590" i="3"/>
  <c r="F590" i="3"/>
  <c r="N589" i="3"/>
  <c r="M589" i="3"/>
  <c r="L589" i="3"/>
  <c r="K589" i="3"/>
  <c r="J589" i="3"/>
  <c r="I589" i="3"/>
  <c r="H589" i="3"/>
  <c r="G589" i="3"/>
  <c r="F589" i="3"/>
  <c r="N588" i="3"/>
  <c r="M588" i="3"/>
  <c r="L588" i="3"/>
  <c r="K588" i="3"/>
  <c r="J588" i="3"/>
  <c r="I588" i="3"/>
  <c r="H588" i="3"/>
  <c r="G588" i="3"/>
  <c r="F588" i="3"/>
  <c r="N587" i="3"/>
  <c r="M587" i="3"/>
  <c r="L587" i="3"/>
  <c r="K587" i="3"/>
  <c r="J587" i="3"/>
  <c r="I587" i="3"/>
  <c r="H587" i="3"/>
  <c r="G587" i="3"/>
  <c r="F587" i="3"/>
  <c r="N586" i="3"/>
  <c r="M586" i="3"/>
  <c r="L586" i="3"/>
  <c r="K586" i="3"/>
  <c r="J586" i="3"/>
  <c r="I586" i="3"/>
  <c r="H586" i="3"/>
  <c r="G586" i="3"/>
  <c r="F586" i="3"/>
  <c r="M585" i="3"/>
  <c r="L585" i="3"/>
  <c r="K585" i="3"/>
  <c r="J585" i="3"/>
  <c r="N585" i="3" s="1"/>
  <c r="I585" i="3"/>
  <c r="H585" i="3"/>
  <c r="G585" i="3"/>
  <c r="F585" i="3"/>
  <c r="N584" i="3"/>
  <c r="M584" i="3"/>
  <c r="L584" i="3"/>
  <c r="K584" i="3"/>
  <c r="J584" i="3"/>
  <c r="I584" i="3"/>
  <c r="H584" i="3"/>
  <c r="G584" i="3"/>
  <c r="F584" i="3"/>
  <c r="M583" i="3"/>
  <c r="L583" i="3"/>
  <c r="K583" i="3"/>
  <c r="J583" i="3"/>
  <c r="N583" i="3" s="1"/>
  <c r="I583" i="3"/>
  <c r="H583" i="3"/>
  <c r="G583" i="3"/>
  <c r="F583" i="3"/>
  <c r="M582" i="3"/>
  <c r="L582" i="3"/>
  <c r="K582" i="3"/>
  <c r="J582" i="3"/>
  <c r="N582" i="3" s="1"/>
  <c r="I582" i="3"/>
  <c r="H582" i="3"/>
  <c r="G582" i="3"/>
  <c r="F582" i="3"/>
  <c r="N581" i="3"/>
  <c r="M581" i="3"/>
  <c r="L581" i="3"/>
  <c r="K581" i="3"/>
  <c r="J581" i="3"/>
  <c r="I581" i="3"/>
  <c r="H581" i="3"/>
  <c r="G581" i="3"/>
  <c r="F581" i="3"/>
  <c r="M580" i="3"/>
  <c r="L580" i="3"/>
  <c r="K580" i="3"/>
  <c r="J580" i="3"/>
  <c r="N580" i="3" s="1"/>
  <c r="I580" i="3"/>
  <c r="H580" i="3"/>
  <c r="G580" i="3"/>
  <c r="F580" i="3"/>
  <c r="N579" i="3"/>
  <c r="M579" i="3"/>
  <c r="L579" i="3"/>
  <c r="K579" i="3"/>
  <c r="J579" i="3"/>
  <c r="I579" i="3"/>
  <c r="H579" i="3"/>
  <c r="G579" i="3"/>
  <c r="F579" i="3"/>
  <c r="N578" i="3"/>
  <c r="M578" i="3"/>
  <c r="L578" i="3"/>
  <c r="K578" i="3"/>
  <c r="J578" i="3"/>
  <c r="I578" i="3"/>
  <c r="H578" i="3"/>
  <c r="G578" i="3"/>
  <c r="F578" i="3"/>
  <c r="M577" i="3"/>
  <c r="L577" i="3"/>
  <c r="K577" i="3"/>
  <c r="J577" i="3"/>
  <c r="N577" i="3" s="1"/>
  <c r="I577" i="3"/>
  <c r="H577" i="3"/>
  <c r="G577" i="3"/>
  <c r="F577" i="3"/>
  <c r="N576" i="3"/>
  <c r="M576" i="3"/>
  <c r="L576" i="3"/>
  <c r="K576" i="3"/>
  <c r="J576" i="3"/>
  <c r="I576" i="3"/>
  <c r="H576" i="3"/>
  <c r="G576" i="3"/>
  <c r="F576" i="3"/>
  <c r="M575" i="3"/>
  <c r="L575" i="3"/>
  <c r="K575" i="3"/>
  <c r="J575" i="3"/>
  <c r="N575" i="3" s="1"/>
  <c r="I575" i="3"/>
  <c r="H575" i="3"/>
  <c r="G575" i="3"/>
  <c r="F575" i="3"/>
  <c r="M574" i="3"/>
  <c r="L574" i="3"/>
  <c r="K574" i="3"/>
  <c r="J574" i="3"/>
  <c r="N574" i="3" s="1"/>
  <c r="I574" i="3"/>
  <c r="H574" i="3"/>
  <c r="G574" i="3"/>
  <c r="F574" i="3"/>
  <c r="N573" i="3"/>
  <c r="M573" i="3"/>
  <c r="L573" i="3"/>
  <c r="K573" i="3"/>
  <c r="J573" i="3"/>
  <c r="I573" i="3"/>
  <c r="H573" i="3"/>
  <c r="G573" i="3"/>
  <c r="F573" i="3"/>
  <c r="M572" i="3"/>
  <c r="L572" i="3"/>
  <c r="K572" i="3"/>
  <c r="J572" i="3"/>
  <c r="N572" i="3" s="1"/>
  <c r="I572" i="3"/>
  <c r="H572" i="3"/>
  <c r="G572" i="3"/>
  <c r="F572" i="3"/>
  <c r="N571" i="3"/>
  <c r="M571" i="3"/>
  <c r="L571" i="3"/>
  <c r="K571" i="3"/>
  <c r="J571" i="3"/>
  <c r="I571" i="3"/>
  <c r="H571" i="3"/>
  <c r="G571" i="3"/>
  <c r="F571" i="3"/>
  <c r="N570" i="3"/>
  <c r="M570" i="3"/>
  <c r="L570" i="3"/>
  <c r="K570" i="3"/>
  <c r="J570" i="3"/>
  <c r="I570" i="3"/>
  <c r="H570" i="3"/>
  <c r="G570" i="3"/>
  <c r="F570" i="3"/>
  <c r="M569" i="3"/>
  <c r="L569" i="3"/>
  <c r="K569" i="3"/>
  <c r="J569" i="3"/>
  <c r="N569" i="3" s="1"/>
  <c r="I569" i="3"/>
  <c r="H569" i="3"/>
  <c r="G569" i="3"/>
  <c r="F569" i="3"/>
  <c r="N568" i="3"/>
  <c r="M568" i="3"/>
  <c r="L568" i="3"/>
  <c r="K568" i="3"/>
  <c r="J568" i="3"/>
  <c r="I568" i="3"/>
  <c r="H568" i="3"/>
  <c r="G568" i="3"/>
  <c r="F568" i="3"/>
  <c r="M567" i="3"/>
  <c r="L567" i="3"/>
  <c r="K567" i="3"/>
  <c r="J567" i="3"/>
  <c r="N567" i="3" s="1"/>
  <c r="I567" i="3"/>
  <c r="H567" i="3"/>
  <c r="G567" i="3"/>
  <c r="F567" i="3"/>
  <c r="M566" i="3"/>
  <c r="L566" i="3"/>
  <c r="K566" i="3"/>
  <c r="J566" i="3"/>
  <c r="N566" i="3" s="1"/>
  <c r="I566" i="3"/>
  <c r="H566" i="3"/>
  <c r="G566" i="3"/>
  <c r="F566" i="3"/>
  <c r="N565" i="3"/>
  <c r="M565" i="3"/>
  <c r="L565" i="3"/>
  <c r="K565" i="3"/>
  <c r="J565" i="3"/>
  <c r="I565" i="3"/>
  <c r="H565" i="3"/>
  <c r="G565" i="3"/>
  <c r="F565" i="3"/>
  <c r="M564" i="3"/>
  <c r="L564" i="3"/>
  <c r="K564" i="3"/>
  <c r="J564" i="3"/>
  <c r="N564" i="3" s="1"/>
  <c r="I564" i="3"/>
  <c r="H564" i="3"/>
  <c r="G564" i="3"/>
  <c r="F564" i="3"/>
  <c r="N563" i="3"/>
  <c r="M563" i="3"/>
  <c r="L563" i="3"/>
  <c r="K563" i="3"/>
  <c r="J563" i="3"/>
  <c r="I563" i="3"/>
  <c r="H563" i="3"/>
  <c r="G563" i="3"/>
  <c r="F563" i="3"/>
  <c r="N562" i="3"/>
  <c r="M562" i="3"/>
  <c r="L562" i="3"/>
  <c r="K562" i="3"/>
  <c r="J562" i="3"/>
  <c r="I562" i="3"/>
  <c r="H562" i="3"/>
  <c r="G562" i="3"/>
  <c r="F562" i="3"/>
  <c r="M561" i="3"/>
  <c r="L561" i="3"/>
  <c r="K561" i="3"/>
  <c r="J561" i="3"/>
  <c r="N561" i="3" s="1"/>
  <c r="I561" i="3"/>
  <c r="H561" i="3"/>
  <c r="G561" i="3"/>
  <c r="F561" i="3"/>
  <c r="M560" i="3"/>
  <c r="L560" i="3"/>
  <c r="K560" i="3"/>
  <c r="J560" i="3"/>
  <c r="N560" i="3" s="1"/>
  <c r="I560" i="3"/>
  <c r="H560" i="3"/>
  <c r="G560" i="3"/>
  <c r="F560" i="3"/>
  <c r="M559" i="3"/>
  <c r="L559" i="3"/>
  <c r="K559" i="3"/>
  <c r="J559" i="3"/>
  <c r="N559" i="3" s="1"/>
  <c r="I559" i="3"/>
  <c r="H559" i="3"/>
  <c r="G559" i="3"/>
  <c r="F559" i="3"/>
  <c r="M558" i="3"/>
  <c r="L558" i="3"/>
  <c r="K558" i="3"/>
  <c r="J558" i="3"/>
  <c r="N558" i="3" s="1"/>
  <c r="I558" i="3"/>
  <c r="H558" i="3"/>
  <c r="G558" i="3"/>
  <c r="F558" i="3"/>
  <c r="N557" i="3"/>
  <c r="M557" i="3"/>
  <c r="L557" i="3"/>
  <c r="K557" i="3"/>
  <c r="J557" i="3"/>
  <c r="I557" i="3"/>
  <c r="H557" i="3"/>
  <c r="G557" i="3"/>
  <c r="F557" i="3"/>
  <c r="M556" i="3"/>
  <c r="L556" i="3"/>
  <c r="K556" i="3"/>
  <c r="J556" i="3"/>
  <c r="N556" i="3" s="1"/>
  <c r="I556" i="3"/>
  <c r="H556" i="3"/>
  <c r="G556" i="3"/>
  <c r="F556" i="3"/>
  <c r="N555" i="3"/>
  <c r="M555" i="3"/>
  <c r="L555" i="3"/>
  <c r="K555" i="3"/>
  <c r="J555" i="3"/>
  <c r="I555" i="3"/>
  <c r="H555" i="3"/>
  <c r="G555" i="3"/>
  <c r="F555" i="3"/>
  <c r="N554" i="3"/>
  <c r="M554" i="3"/>
  <c r="L554" i="3"/>
  <c r="K554" i="3"/>
  <c r="J554" i="3"/>
  <c r="I554" i="3"/>
  <c r="H554" i="3"/>
  <c r="G554" i="3"/>
  <c r="F554" i="3"/>
  <c r="M553" i="3"/>
  <c r="L553" i="3"/>
  <c r="K553" i="3"/>
  <c r="J553" i="3"/>
  <c r="N553" i="3" s="1"/>
  <c r="I553" i="3"/>
  <c r="H553" i="3"/>
  <c r="G553" i="3"/>
  <c r="F553" i="3"/>
  <c r="M552" i="3"/>
  <c r="L552" i="3"/>
  <c r="K552" i="3"/>
  <c r="J552" i="3"/>
  <c r="N552" i="3" s="1"/>
  <c r="I552" i="3"/>
  <c r="H552" i="3"/>
  <c r="G552" i="3"/>
  <c r="F552" i="3"/>
  <c r="M551" i="3"/>
  <c r="L551" i="3"/>
  <c r="K551" i="3"/>
  <c r="J551" i="3"/>
  <c r="N551" i="3" s="1"/>
  <c r="I551" i="3"/>
  <c r="H551" i="3"/>
  <c r="G551" i="3"/>
  <c r="F551" i="3"/>
  <c r="M550" i="3"/>
  <c r="L550" i="3"/>
  <c r="K550" i="3"/>
  <c r="J550" i="3"/>
  <c r="N550" i="3" s="1"/>
  <c r="I550" i="3"/>
  <c r="H550" i="3"/>
  <c r="G550" i="3"/>
  <c r="F550" i="3"/>
  <c r="N549" i="3"/>
  <c r="M549" i="3"/>
  <c r="L549" i="3"/>
  <c r="K549" i="3"/>
  <c r="J549" i="3"/>
  <c r="I549" i="3"/>
  <c r="H549" i="3"/>
  <c r="G549" i="3"/>
  <c r="F549" i="3"/>
  <c r="M548" i="3"/>
  <c r="L548" i="3"/>
  <c r="K548" i="3"/>
  <c r="J548" i="3"/>
  <c r="N548" i="3" s="1"/>
  <c r="I548" i="3"/>
  <c r="H548" i="3"/>
  <c r="G548" i="3"/>
  <c r="F548" i="3"/>
  <c r="N547" i="3"/>
  <c r="M547" i="3"/>
  <c r="L547" i="3"/>
  <c r="K547" i="3"/>
  <c r="J547" i="3"/>
  <c r="I547" i="3"/>
  <c r="H547" i="3"/>
  <c r="G547" i="3"/>
  <c r="F547" i="3"/>
  <c r="N546" i="3"/>
  <c r="M546" i="3"/>
  <c r="L546" i="3"/>
  <c r="K546" i="3"/>
  <c r="J546" i="3"/>
  <c r="I546" i="3"/>
  <c r="H546" i="3"/>
  <c r="G546" i="3"/>
  <c r="F546" i="3"/>
  <c r="M545" i="3"/>
  <c r="L545" i="3"/>
  <c r="K545" i="3"/>
  <c r="J545" i="3"/>
  <c r="N545" i="3" s="1"/>
  <c r="I545" i="3"/>
  <c r="H545" i="3"/>
  <c r="G545" i="3"/>
  <c r="F545" i="3"/>
  <c r="M544" i="3"/>
  <c r="L544" i="3"/>
  <c r="K544" i="3"/>
  <c r="J544" i="3"/>
  <c r="N544" i="3" s="1"/>
  <c r="I544" i="3"/>
  <c r="H544" i="3"/>
  <c r="G544" i="3"/>
  <c r="F544" i="3"/>
  <c r="M543" i="3"/>
  <c r="L543" i="3"/>
  <c r="K543" i="3"/>
  <c r="J543" i="3"/>
  <c r="N543" i="3" s="1"/>
  <c r="I543" i="3"/>
  <c r="H543" i="3"/>
  <c r="G543" i="3"/>
  <c r="F543" i="3"/>
  <c r="M542" i="3"/>
  <c r="L542" i="3"/>
  <c r="K542" i="3"/>
  <c r="J542" i="3"/>
  <c r="N542" i="3" s="1"/>
  <c r="I542" i="3"/>
  <c r="H542" i="3"/>
  <c r="G542" i="3"/>
  <c r="F542" i="3"/>
  <c r="N541" i="3"/>
  <c r="M541" i="3"/>
  <c r="L541" i="3"/>
  <c r="K541" i="3"/>
  <c r="J541" i="3"/>
  <c r="I541" i="3"/>
  <c r="H541" i="3"/>
  <c r="G541" i="3"/>
  <c r="F541" i="3"/>
  <c r="M540" i="3"/>
  <c r="L540" i="3"/>
  <c r="K540" i="3"/>
  <c r="J540" i="3"/>
  <c r="N540" i="3" s="1"/>
  <c r="I540" i="3"/>
  <c r="H540" i="3"/>
  <c r="G540" i="3"/>
  <c r="F540" i="3"/>
  <c r="N539" i="3"/>
  <c r="M539" i="3"/>
  <c r="L539" i="3"/>
  <c r="K539" i="3"/>
  <c r="J539" i="3"/>
  <c r="I539" i="3"/>
  <c r="H539" i="3"/>
  <c r="G539" i="3"/>
  <c r="F539" i="3"/>
  <c r="N538" i="3"/>
  <c r="M538" i="3"/>
  <c r="L538" i="3"/>
  <c r="K538" i="3"/>
  <c r="J538" i="3"/>
  <c r="I538" i="3"/>
  <c r="H538" i="3"/>
  <c r="G538" i="3"/>
  <c r="F538" i="3"/>
  <c r="M537" i="3"/>
  <c r="L537" i="3"/>
  <c r="K537" i="3"/>
  <c r="J537" i="3"/>
  <c r="N537" i="3" s="1"/>
  <c r="I537" i="3"/>
  <c r="H537" i="3"/>
  <c r="G537" i="3"/>
  <c r="F537" i="3"/>
  <c r="M536" i="3"/>
  <c r="L536" i="3"/>
  <c r="K536" i="3"/>
  <c r="J536" i="3"/>
  <c r="N536" i="3" s="1"/>
  <c r="I536" i="3"/>
  <c r="H536" i="3"/>
  <c r="G536" i="3"/>
  <c r="F536" i="3"/>
  <c r="M535" i="3"/>
  <c r="L535" i="3"/>
  <c r="K535" i="3"/>
  <c r="J535" i="3"/>
  <c r="N535" i="3" s="1"/>
  <c r="I535" i="3"/>
  <c r="H535" i="3"/>
  <c r="G535" i="3"/>
  <c r="F535" i="3"/>
  <c r="M534" i="3"/>
  <c r="L534" i="3"/>
  <c r="K534" i="3"/>
  <c r="J534" i="3"/>
  <c r="N534" i="3" s="1"/>
  <c r="I534" i="3"/>
  <c r="H534" i="3"/>
  <c r="G534" i="3"/>
  <c r="F534" i="3"/>
  <c r="N533" i="3"/>
  <c r="M533" i="3"/>
  <c r="L533" i="3"/>
  <c r="K533" i="3"/>
  <c r="J533" i="3"/>
  <c r="I533" i="3"/>
  <c r="H533" i="3"/>
  <c r="G533" i="3"/>
  <c r="F533" i="3"/>
  <c r="N532" i="3"/>
  <c r="M532" i="3"/>
  <c r="L532" i="3"/>
  <c r="K532" i="3"/>
  <c r="J532" i="3"/>
  <c r="I532" i="3"/>
  <c r="H532" i="3"/>
  <c r="G532" i="3"/>
  <c r="F532" i="3"/>
  <c r="N531" i="3"/>
  <c r="M531" i="3"/>
  <c r="L531" i="3"/>
  <c r="K531" i="3"/>
  <c r="J531" i="3"/>
  <c r="I531" i="3"/>
  <c r="H531" i="3"/>
  <c r="G531" i="3"/>
  <c r="F531" i="3"/>
  <c r="N530" i="3"/>
  <c r="M530" i="3"/>
  <c r="L530" i="3"/>
  <c r="K530" i="3"/>
  <c r="J530" i="3"/>
  <c r="I530" i="3"/>
  <c r="H530" i="3"/>
  <c r="G530" i="3"/>
  <c r="F530" i="3"/>
  <c r="M529" i="3"/>
  <c r="L529" i="3"/>
  <c r="K529" i="3"/>
  <c r="J529" i="3"/>
  <c r="N529" i="3" s="1"/>
  <c r="I529" i="3"/>
  <c r="H529" i="3"/>
  <c r="G529" i="3"/>
  <c r="F529" i="3"/>
  <c r="N528" i="3"/>
  <c r="M528" i="3"/>
  <c r="L528" i="3"/>
  <c r="K528" i="3"/>
  <c r="J528" i="3"/>
  <c r="I528" i="3"/>
  <c r="H528" i="3"/>
  <c r="G528" i="3"/>
  <c r="F528" i="3"/>
  <c r="M527" i="3"/>
  <c r="L527" i="3"/>
  <c r="K527" i="3"/>
  <c r="J527" i="3"/>
  <c r="N527" i="3" s="1"/>
  <c r="I527" i="3"/>
  <c r="H527" i="3"/>
  <c r="G527" i="3"/>
  <c r="F527" i="3"/>
  <c r="M526" i="3"/>
  <c r="L526" i="3"/>
  <c r="K526" i="3"/>
  <c r="J526" i="3"/>
  <c r="N526" i="3" s="1"/>
  <c r="I526" i="3"/>
  <c r="H526" i="3"/>
  <c r="G526" i="3"/>
  <c r="F526" i="3"/>
  <c r="N525" i="3"/>
  <c r="M525" i="3"/>
  <c r="L525" i="3"/>
  <c r="K525" i="3"/>
  <c r="J525" i="3"/>
  <c r="I525" i="3"/>
  <c r="H525" i="3"/>
  <c r="G525" i="3"/>
  <c r="F525" i="3"/>
  <c r="N524" i="3"/>
  <c r="M524" i="3"/>
  <c r="L524" i="3"/>
  <c r="K524" i="3"/>
  <c r="J524" i="3"/>
  <c r="I524" i="3"/>
  <c r="H524" i="3"/>
  <c r="G524" i="3"/>
  <c r="F524" i="3"/>
  <c r="N523" i="3"/>
  <c r="M523" i="3"/>
  <c r="L523" i="3"/>
  <c r="K523" i="3"/>
  <c r="J523" i="3"/>
  <c r="I523" i="3"/>
  <c r="H523" i="3"/>
  <c r="G523" i="3"/>
  <c r="F523" i="3"/>
  <c r="N522" i="3"/>
  <c r="M522" i="3"/>
  <c r="L522" i="3"/>
  <c r="K522" i="3"/>
  <c r="J522" i="3"/>
  <c r="I522" i="3"/>
  <c r="H522" i="3"/>
  <c r="G522" i="3"/>
  <c r="F522" i="3"/>
  <c r="M521" i="3"/>
  <c r="L521" i="3"/>
  <c r="K521" i="3"/>
  <c r="J521" i="3"/>
  <c r="N521" i="3" s="1"/>
  <c r="I521" i="3"/>
  <c r="H521" i="3"/>
  <c r="G521" i="3"/>
  <c r="F521" i="3"/>
  <c r="N520" i="3"/>
  <c r="M520" i="3"/>
  <c r="L520" i="3"/>
  <c r="K520" i="3"/>
  <c r="J520" i="3"/>
  <c r="I520" i="3"/>
  <c r="H520" i="3"/>
  <c r="G520" i="3"/>
  <c r="F520" i="3"/>
  <c r="M519" i="3"/>
  <c r="L519" i="3"/>
  <c r="K519" i="3"/>
  <c r="J519" i="3"/>
  <c r="N519" i="3" s="1"/>
  <c r="I519" i="3"/>
  <c r="H519" i="3"/>
  <c r="G519" i="3"/>
  <c r="F519" i="3"/>
  <c r="M518" i="3"/>
  <c r="L518" i="3"/>
  <c r="K518" i="3"/>
  <c r="J518" i="3"/>
  <c r="N518" i="3" s="1"/>
  <c r="I518" i="3"/>
  <c r="H518" i="3"/>
  <c r="G518" i="3"/>
  <c r="F518" i="3"/>
  <c r="N517" i="3"/>
  <c r="M517" i="3"/>
  <c r="L517" i="3"/>
  <c r="K517" i="3"/>
  <c r="J517" i="3"/>
  <c r="I517" i="3"/>
  <c r="H517" i="3"/>
  <c r="G517" i="3"/>
  <c r="F517" i="3"/>
  <c r="M516" i="3"/>
  <c r="L516" i="3"/>
  <c r="K516" i="3"/>
  <c r="J516" i="3"/>
  <c r="N516" i="3" s="1"/>
  <c r="I516" i="3"/>
  <c r="H516" i="3"/>
  <c r="G516" i="3"/>
  <c r="F516" i="3"/>
  <c r="N515" i="3"/>
  <c r="M515" i="3"/>
  <c r="L515" i="3"/>
  <c r="K515" i="3"/>
  <c r="J515" i="3"/>
  <c r="I515" i="3"/>
  <c r="H515" i="3"/>
  <c r="G515" i="3"/>
  <c r="F515" i="3"/>
  <c r="N514" i="3"/>
  <c r="M514" i="3"/>
  <c r="L514" i="3"/>
  <c r="K514" i="3"/>
  <c r="J514" i="3"/>
  <c r="I514" i="3"/>
  <c r="H514" i="3"/>
  <c r="G514" i="3"/>
  <c r="F514" i="3"/>
  <c r="M513" i="3"/>
  <c r="L513" i="3"/>
  <c r="K513" i="3"/>
  <c r="J513" i="3"/>
  <c r="N513" i="3" s="1"/>
  <c r="I513" i="3"/>
  <c r="H513" i="3"/>
  <c r="G513" i="3"/>
  <c r="F513" i="3"/>
  <c r="N512" i="3"/>
  <c r="M512" i="3"/>
  <c r="L512" i="3"/>
  <c r="K512" i="3"/>
  <c r="J512" i="3"/>
  <c r="I512" i="3"/>
  <c r="H512" i="3"/>
  <c r="G512" i="3"/>
  <c r="F512" i="3"/>
  <c r="M511" i="3"/>
  <c r="L511" i="3"/>
  <c r="K511" i="3"/>
  <c r="J511" i="3"/>
  <c r="N511" i="3" s="1"/>
  <c r="I511" i="3"/>
  <c r="H511" i="3"/>
  <c r="G511" i="3"/>
  <c r="F511" i="3"/>
  <c r="M510" i="3"/>
  <c r="L510" i="3"/>
  <c r="K510" i="3"/>
  <c r="J510" i="3"/>
  <c r="N510" i="3" s="1"/>
  <c r="I510" i="3"/>
  <c r="H510" i="3"/>
  <c r="G510" i="3"/>
  <c r="F510" i="3"/>
  <c r="N509" i="3"/>
  <c r="M509" i="3"/>
  <c r="L509" i="3"/>
  <c r="K509" i="3"/>
  <c r="J509" i="3"/>
  <c r="I509" i="3"/>
  <c r="H509" i="3"/>
  <c r="G509" i="3"/>
  <c r="F509" i="3"/>
  <c r="M508" i="3"/>
  <c r="L508" i="3"/>
  <c r="K508" i="3"/>
  <c r="J508" i="3"/>
  <c r="N508" i="3" s="1"/>
  <c r="I508" i="3"/>
  <c r="H508" i="3"/>
  <c r="G508" i="3"/>
  <c r="F508" i="3"/>
  <c r="N507" i="3"/>
  <c r="M507" i="3"/>
  <c r="L507" i="3"/>
  <c r="K507" i="3"/>
  <c r="J507" i="3"/>
  <c r="I507" i="3"/>
  <c r="H507" i="3"/>
  <c r="G507" i="3"/>
  <c r="F507" i="3"/>
  <c r="N506" i="3"/>
  <c r="M506" i="3"/>
  <c r="L506" i="3"/>
  <c r="K506" i="3"/>
  <c r="J506" i="3"/>
  <c r="I506" i="3"/>
  <c r="H506" i="3"/>
  <c r="G506" i="3"/>
  <c r="F506" i="3"/>
  <c r="M505" i="3"/>
  <c r="L505" i="3"/>
  <c r="K505" i="3"/>
  <c r="J505" i="3"/>
  <c r="N505" i="3" s="1"/>
  <c r="I505" i="3"/>
  <c r="H505" i="3"/>
  <c r="G505" i="3"/>
  <c r="F505" i="3"/>
  <c r="M504" i="3"/>
  <c r="L504" i="3"/>
  <c r="K504" i="3"/>
  <c r="J504" i="3"/>
  <c r="N504" i="3" s="1"/>
  <c r="I504" i="3"/>
  <c r="H504" i="3"/>
  <c r="G504" i="3"/>
  <c r="F504" i="3"/>
  <c r="M503" i="3"/>
  <c r="L503" i="3"/>
  <c r="K503" i="3"/>
  <c r="J503" i="3"/>
  <c r="N503" i="3" s="1"/>
  <c r="I503" i="3"/>
  <c r="H503" i="3"/>
  <c r="G503" i="3"/>
  <c r="F503" i="3"/>
  <c r="M502" i="3"/>
  <c r="L502" i="3"/>
  <c r="K502" i="3"/>
  <c r="J502" i="3"/>
  <c r="N502" i="3" s="1"/>
  <c r="I502" i="3"/>
  <c r="H502" i="3"/>
  <c r="G502" i="3"/>
  <c r="F502" i="3"/>
  <c r="N501" i="3"/>
  <c r="M501" i="3"/>
  <c r="L501" i="3"/>
  <c r="K501" i="3"/>
  <c r="J501" i="3"/>
  <c r="I501" i="3"/>
  <c r="H501" i="3"/>
  <c r="G501" i="3"/>
  <c r="F501" i="3"/>
  <c r="M500" i="3"/>
  <c r="L500" i="3"/>
  <c r="K500" i="3"/>
  <c r="J500" i="3"/>
  <c r="N500" i="3" s="1"/>
  <c r="I500" i="3"/>
  <c r="H500" i="3"/>
  <c r="G500" i="3"/>
  <c r="F500" i="3"/>
  <c r="N499" i="3"/>
  <c r="M499" i="3"/>
  <c r="L499" i="3"/>
  <c r="K499" i="3"/>
  <c r="J499" i="3"/>
  <c r="I499" i="3"/>
  <c r="H499" i="3"/>
  <c r="G499" i="3"/>
  <c r="F499" i="3"/>
  <c r="N498" i="3"/>
  <c r="M498" i="3"/>
  <c r="L498" i="3"/>
  <c r="K498" i="3"/>
  <c r="J498" i="3"/>
  <c r="I498" i="3"/>
  <c r="H498" i="3"/>
  <c r="G498" i="3"/>
  <c r="F498" i="3"/>
  <c r="M497" i="3"/>
  <c r="L497" i="3"/>
  <c r="K497" i="3"/>
  <c r="J497" i="3"/>
  <c r="N497" i="3" s="1"/>
  <c r="I497" i="3"/>
  <c r="H497" i="3"/>
  <c r="G497" i="3"/>
  <c r="F497" i="3"/>
  <c r="N496" i="3"/>
  <c r="M496" i="3"/>
  <c r="L496" i="3"/>
  <c r="K496" i="3"/>
  <c r="J496" i="3"/>
  <c r="I496" i="3"/>
  <c r="H496" i="3"/>
  <c r="G496" i="3"/>
  <c r="F496" i="3"/>
  <c r="M495" i="3"/>
  <c r="L495" i="3"/>
  <c r="K495" i="3"/>
  <c r="J495" i="3"/>
  <c r="N495" i="3" s="1"/>
  <c r="I495" i="3"/>
  <c r="H495" i="3"/>
  <c r="G495" i="3"/>
  <c r="F495" i="3"/>
  <c r="M494" i="3"/>
  <c r="L494" i="3"/>
  <c r="K494" i="3"/>
  <c r="J494" i="3"/>
  <c r="N494" i="3" s="1"/>
  <c r="I494" i="3"/>
  <c r="H494" i="3"/>
  <c r="G494" i="3"/>
  <c r="F494" i="3"/>
  <c r="N493" i="3"/>
  <c r="M493" i="3"/>
  <c r="L493" i="3"/>
  <c r="K493" i="3"/>
  <c r="J493" i="3"/>
  <c r="I493" i="3"/>
  <c r="H493" i="3"/>
  <c r="G493" i="3"/>
  <c r="F493" i="3"/>
  <c r="M492" i="3"/>
  <c r="L492" i="3"/>
  <c r="K492" i="3"/>
  <c r="J492" i="3"/>
  <c r="N492" i="3" s="1"/>
  <c r="I492" i="3"/>
  <c r="H492" i="3"/>
  <c r="G492" i="3"/>
  <c r="F492" i="3"/>
  <c r="N491" i="3"/>
  <c r="M491" i="3"/>
  <c r="L491" i="3"/>
  <c r="K491" i="3"/>
  <c r="J491" i="3"/>
  <c r="I491" i="3"/>
  <c r="H491" i="3"/>
  <c r="G491" i="3"/>
  <c r="F491" i="3"/>
  <c r="N490" i="3"/>
  <c r="M490" i="3"/>
  <c r="L490" i="3"/>
  <c r="K490" i="3"/>
  <c r="J490" i="3"/>
  <c r="I490" i="3"/>
  <c r="H490" i="3"/>
  <c r="G490" i="3"/>
  <c r="F490" i="3"/>
  <c r="M489" i="3"/>
  <c r="L489" i="3"/>
  <c r="K489" i="3"/>
  <c r="J489" i="3"/>
  <c r="N489" i="3" s="1"/>
  <c r="I489" i="3"/>
  <c r="H489" i="3"/>
  <c r="G489" i="3"/>
  <c r="F489" i="3"/>
  <c r="M488" i="3"/>
  <c r="L488" i="3"/>
  <c r="K488" i="3"/>
  <c r="J488" i="3"/>
  <c r="N488" i="3" s="1"/>
  <c r="I488" i="3"/>
  <c r="H488" i="3"/>
  <c r="G488" i="3"/>
  <c r="F488" i="3"/>
  <c r="M487" i="3"/>
  <c r="L487" i="3"/>
  <c r="K487" i="3"/>
  <c r="J487" i="3"/>
  <c r="N487" i="3" s="1"/>
  <c r="I487" i="3"/>
  <c r="H487" i="3"/>
  <c r="G487" i="3"/>
  <c r="F487" i="3"/>
  <c r="M486" i="3"/>
  <c r="L486" i="3"/>
  <c r="K486" i="3"/>
  <c r="J486" i="3"/>
  <c r="N486" i="3" s="1"/>
  <c r="I486" i="3"/>
  <c r="H486" i="3"/>
  <c r="G486" i="3"/>
  <c r="F486" i="3"/>
  <c r="N485" i="3"/>
  <c r="M485" i="3"/>
  <c r="L485" i="3"/>
  <c r="K485" i="3"/>
  <c r="J485" i="3"/>
  <c r="I485" i="3"/>
  <c r="H485" i="3"/>
  <c r="G485" i="3"/>
  <c r="F485" i="3"/>
  <c r="N484" i="3"/>
  <c r="M484" i="3"/>
  <c r="L484" i="3"/>
  <c r="K484" i="3"/>
  <c r="J484" i="3"/>
  <c r="I484" i="3"/>
  <c r="H484" i="3"/>
  <c r="G484" i="3"/>
  <c r="F484" i="3"/>
  <c r="N483" i="3"/>
  <c r="M483" i="3"/>
  <c r="L483" i="3"/>
  <c r="K483" i="3"/>
  <c r="J483" i="3"/>
  <c r="I483" i="3"/>
  <c r="H483" i="3"/>
  <c r="G483" i="3"/>
  <c r="F483" i="3"/>
  <c r="N482" i="3"/>
  <c r="M482" i="3"/>
  <c r="L482" i="3"/>
  <c r="K482" i="3"/>
  <c r="J482" i="3"/>
  <c r="I482" i="3"/>
  <c r="H482" i="3"/>
  <c r="G482" i="3"/>
  <c r="F482" i="3"/>
  <c r="M481" i="3"/>
  <c r="L481" i="3"/>
  <c r="K481" i="3"/>
  <c r="J481" i="3"/>
  <c r="N481" i="3" s="1"/>
  <c r="I481" i="3"/>
  <c r="H481" i="3"/>
  <c r="G481" i="3"/>
  <c r="F481" i="3"/>
  <c r="M480" i="3"/>
  <c r="L480" i="3"/>
  <c r="K480" i="3"/>
  <c r="J480" i="3"/>
  <c r="N480" i="3" s="1"/>
  <c r="I480" i="3"/>
  <c r="H480" i="3"/>
  <c r="G480" i="3"/>
  <c r="F480" i="3"/>
  <c r="M479" i="3"/>
  <c r="L479" i="3"/>
  <c r="K479" i="3"/>
  <c r="J479" i="3"/>
  <c r="N479" i="3" s="1"/>
  <c r="I479" i="3"/>
  <c r="H479" i="3"/>
  <c r="G479" i="3"/>
  <c r="F479" i="3"/>
  <c r="M478" i="3"/>
  <c r="L478" i="3"/>
  <c r="K478" i="3"/>
  <c r="J478" i="3"/>
  <c r="N478" i="3" s="1"/>
  <c r="I478" i="3"/>
  <c r="H478" i="3"/>
  <c r="G478" i="3"/>
  <c r="F478" i="3"/>
  <c r="N477" i="3"/>
  <c r="M477" i="3"/>
  <c r="L477" i="3"/>
  <c r="K477" i="3"/>
  <c r="J477" i="3"/>
  <c r="I477" i="3"/>
  <c r="H477" i="3"/>
  <c r="G477" i="3"/>
  <c r="F477" i="3"/>
  <c r="M476" i="3"/>
  <c r="L476" i="3"/>
  <c r="K476" i="3"/>
  <c r="J476" i="3"/>
  <c r="N476" i="3" s="1"/>
  <c r="I476" i="3"/>
  <c r="H476" i="3"/>
  <c r="G476" i="3"/>
  <c r="F476" i="3"/>
  <c r="N475" i="3"/>
  <c r="M475" i="3"/>
  <c r="L475" i="3"/>
  <c r="K475" i="3"/>
  <c r="J475" i="3"/>
  <c r="I475" i="3"/>
  <c r="H475" i="3"/>
  <c r="G475" i="3"/>
  <c r="F475" i="3"/>
  <c r="N474" i="3"/>
  <c r="M474" i="3"/>
  <c r="L474" i="3"/>
  <c r="K474" i="3"/>
  <c r="J474" i="3"/>
  <c r="I474" i="3"/>
  <c r="H474" i="3"/>
  <c r="G474" i="3"/>
  <c r="F474" i="3"/>
  <c r="M473" i="3"/>
  <c r="L473" i="3"/>
  <c r="K473" i="3"/>
  <c r="J473" i="3"/>
  <c r="N473" i="3" s="1"/>
  <c r="I473" i="3"/>
  <c r="H473" i="3"/>
  <c r="G473" i="3"/>
  <c r="F473" i="3"/>
  <c r="N472" i="3"/>
  <c r="M472" i="3"/>
  <c r="L472" i="3"/>
  <c r="K472" i="3"/>
  <c r="J472" i="3"/>
  <c r="I472" i="3"/>
  <c r="H472" i="3"/>
  <c r="G472" i="3"/>
  <c r="F472" i="3"/>
  <c r="M471" i="3"/>
  <c r="L471" i="3"/>
  <c r="K471" i="3"/>
  <c r="J471" i="3"/>
  <c r="N471" i="3" s="1"/>
  <c r="I471" i="3"/>
  <c r="H471" i="3"/>
  <c r="G471" i="3"/>
  <c r="F471" i="3"/>
  <c r="M470" i="3"/>
  <c r="L470" i="3"/>
  <c r="K470" i="3"/>
  <c r="J470" i="3"/>
  <c r="N470" i="3" s="1"/>
  <c r="I470" i="3"/>
  <c r="H470" i="3"/>
  <c r="G470" i="3"/>
  <c r="F470" i="3"/>
  <c r="N469" i="3"/>
  <c r="M469" i="3"/>
  <c r="L469" i="3"/>
  <c r="K469" i="3"/>
  <c r="J469" i="3"/>
  <c r="I469" i="3"/>
  <c r="H469" i="3"/>
  <c r="G469" i="3"/>
  <c r="F469" i="3"/>
  <c r="N468" i="3"/>
  <c r="M468" i="3"/>
  <c r="L468" i="3"/>
  <c r="K468" i="3"/>
  <c r="J468" i="3"/>
  <c r="I468" i="3"/>
  <c r="H468" i="3"/>
  <c r="G468" i="3"/>
  <c r="F468" i="3"/>
  <c r="N467" i="3"/>
  <c r="M467" i="3"/>
  <c r="L467" i="3"/>
  <c r="K467" i="3"/>
  <c r="J467" i="3"/>
  <c r="I467" i="3"/>
  <c r="H467" i="3"/>
  <c r="G467" i="3"/>
  <c r="F467" i="3"/>
  <c r="N466" i="3"/>
  <c r="M466" i="3"/>
  <c r="L466" i="3"/>
  <c r="K466" i="3"/>
  <c r="J466" i="3"/>
  <c r="I466" i="3"/>
  <c r="H466" i="3"/>
  <c r="G466" i="3"/>
  <c r="F466" i="3"/>
  <c r="M465" i="3"/>
  <c r="L465" i="3"/>
  <c r="K465" i="3"/>
  <c r="J465" i="3"/>
  <c r="N465" i="3" s="1"/>
  <c r="I465" i="3"/>
  <c r="H465" i="3"/>
  <c r="G465" i="3"/>
  <c r="F465" i="3"/>
  <c r="N464" i="3"/>
  <c r="M464" i="3"/>
  <c r="L464" i="3"/>
  <c r="K464" i="3"/>
  <c r="J464" i="3"/>
  <c r="I464" i="3"/>
  <c r="H464" i="3"/>
  <c r="G464" i="3"/>
  <c r="F464" i="3"/>
  <c r="M463" i="3"/>
  <c r="L463" i="3"/>
  <c r="K463" i="3"/>
  <c r="J463" i="3"/>
  <c r="N463" i="3" s="1"/>
  <c r="I463" i="3"/>
  <c r="H463" i="3"/>
  <c r="G463" i="3"/>
  <c r="F463" i="3"/>
  <c r="M462" i="3"/>
  <c r="L462" i="3"/>
  <c r="K462" i="3"/>
  <c r="J462" i="3"/>
  <c r="N462" i="3" s="1"/>
  <c r="I462" i="3"/>
  <c r="H462" i="3"/>
  <c r="G462" i="3"/>
  <c r="F462" i="3"/>
  <c r="N461" i="3"/>
  <c r="M461" i="3"/>
  <c r="L461" i="3"/>
  <c r="K461" i="3"/>
  <c r="J461" i="3"/>
  <c r="I461" i="3"/>
  <c r="H461" i="3"/>
  <c r="G461" i="3"/>
  <c r="F461" i="3"/>
  <c r="N460" i="3"/>
  <c r="M460" i="3"/>
  <c r="L460" i="3"/>
  <c r="K460" i="3"/>
  <c r="J460" i="3"/>
  <c r="I460" i="3"/>
  <c r="H460" i="3"/>
  <c r="G460" i="3"/>
  <c r="F460" i="3"/>
  <c r="N459" i="3"/>
  <c r="M459" i="3"/>
  <c r="L459" i="3"/>
  <c r="K459" i="3"/>
  <c r="J459" i="3"/>
  <c r="I459" i="3"/>
  <c r="H459" i="3"/>
  <c r="G459" i="3"/>
  <c r="F459" i="3"/>
  <c r="N458" i="3"/>
  <c r="M458" i="3"/>
  <c r="L458" i="3"/>
  <c r="K458" i="3"/>
  <c r="J458" i="3"/>
  <c r="I458" i="3"/>
  <c r="H458" i="3"/>
  <c r="G458" i="3"/>
  <c r="F458" i="3"/>
  <c r="M457" i="3"/>
  <c r="L457" i="3"/>
  <c r="K457" i="3"/>
  <c r="J457" i="3"/>
  <c r="N457" i="3" s="1"/>
  <c r="I457" i="3"/>
  <c r="H457" i="3"/>
  <c r="G457" i="3"/>
  <c r="F457" i="3"/>
  <c r="N456" i="3"/>
  <c r="M456" i="3"/>
  <c r="L456" i="3"/>
  <c r="K456" i="3"/>
  <c r="J456" i="3"/>
  <c r="I456" i="3"/>
  <c r="H456" i="3"/>
  <c r="G456" i="3"/>
  <c r="F456" i="3"/>
  <c r="M455" i="3"/>
  <c r="L455" i="3"/>
  <c r="K455" i="3"/>
  <c r="J455" i="3"/>
  <c r="N455" i="3" s="1"/>
  <c r="I455" i="3"/>
  <c r="H455" i="3"/>
  <c r="G455" i="3"/>
  <c r="F455" i="3"/>
  <c r="M454" i="3"/>
  <c r="L454" i="3"/>
  <c r="K454" i="3"/>
  <c r="J454" i="3"/>
  <c r="N454" i="3" s="1"/>
  <c r="I454" i="3"/>
  <c r="H454" i="3"/>
  <c r="G454" i="3"/>
  <c r="F454" i="3"/>
  <c r="N453" i="3"/>
  <c r="M453" i="3"/>
  <c r="L453" i="3"/>
  <c r="K453" i="3"/>
  <c r="J453" i="3"/>
  <c r="I453" i="3"/>
  <c r="H453" i="3"/>
  <c r="G453" i="3"/>
  <c r="F453" i="3"/>
  <c r="M452" i="3"/>
  <c r="L452" i="3"/>
  <c r="K452" i="3"/>
  <c r="J452" i="3"/>
  <c r="N452" i="3" s="1"/>
  <c r="I452" i="3"/>
  <c r="H452" i="3"/>
  <c r="G452" i="3"/>
  <c r="F452" i="3"/>
  <c r="N451" i="3"/>
  <c r="M451" i="3"/>
  <c r="L451" i="3"/>
  <c r="K451" i="3"/>
  <c r="J451" i="3"/>
  <c r="I451" i="3"/>
  <c r="H451" i="3"/>
  <c r="G451" i="3"/>
  <c r="F451" i="3"/>
  <c r="N450" i="3"/>
  <c r="M450" i="3"/>
  <c r="L450" i="3"/>
  <c r="K450" i="3"/>
  <c r="J450" i="3"/>
  <c r="I450" i="3"/>
  <c r="H450" i="3"/>
  <c r="G450" i="3"/>
  <c r="F450" i="3"/>
  <c r="M449" i="3"/>
  <c r="L449" i="3"/>
  <c r="K449" i="3"/>
  <c r="J449" i="3"/>
  <c r="N449" i="3" s="1"/>
  <c r="I449" i="3"/>
  <c r="H449" i="3"/>
  <c r="G449" i="3"/>
  <c r="F449" i="3"/>
  <c r="N448" i="3"/>
  <c r="M448" i="3"/>
  <c r="L448" i="3"/>
  <c r="K448" i="3"/>
  <c r="J448" i="3"/>
  <c r="I448" i="3"/>
  <c r="H448" i="3"/>
  <c r="G448" i="3"/>
  <c r="F448" i="3"/>
  <c r="M447" i="3"/>
  <c r="L447" i="3"/>
  <c r="K447" i="3"/>
  <c r="J447" i="3"/>
  <c r="N447" i="3" s="1"/>
  <c r="I447" i="3"/>
  <c r="H447" i="3"/>
  <c r="G447" i="3"/>
  <c r="F447" i="3"/>
  <c r="M446" i="3"/>
  <c r="L446" i="3"/>
  <c r="K446" i="3"/>
  <c r="J446" i="3"/>
  <c r="N446" i="3" s="1"/>
  <c r="I446" i="3"/>
  <c r="H446" i="3"/>
  <c r="G446" i="3"/>
  <c r="F446" i="3"/>
  <c r="N445" i="3"/>
  <c r="M445" i="3"/>
  <c r="L445" i="3"/>
  <c r="K445" i="3"/>
  <c r="J445" i="3"/>
  <c r="I445" i="3"/>
  <c r="H445" i="3"/>
  <c r="G445" i="3"/>
  <c r="F445" i="3"/>
  <c r="M444" i="3"/>
  <c r="L444" i="3"/>
  <c r="K444" i="3"/>
  <c r="J444" i="3"/>
  <c r="N444" i="3" s="1"/>
  <c r="I444" i="3"/>
  <c r="H444" i="3"/>
  <c r="G444" i="3"/>
  <c r="F444" i="3"/>
  <c r="N443" i="3"/>
  <c r="M443" i="3"/>
  <c r="L443" i="3"/>
  <c r="K443" i="3"/>
  <c r="J443" i="3"/>
  <c r="I443" i="3"/>
  <c r="H443" i="3"/>
  <c r="G443" i="3"/>
  <c r="F443" i="3"/>
  <c r="N442" i="3"/>
  <c r="M442" i="3"/>
  <c r="L442" i="3"/>
  <c r="K442" i="3"/>
  <c r="J442" i="3"/>
  <c r="I442" i="3"/>
  <c r="H442" i="3"/>
  <c r="G442" i="3"/>
  <c r="F442" i="3"/>
  <c r="M441" i="3"/>
  <c r="L441" i="3"/>
  <c r="K441" i="3"/>
  <c r="J441" i="3"/>
  <c r="N441" i="3" s="1"/>
  <c r="I441" i="3"/>
  <c r="H441" i="3"/>
  <c r="G441" i="3"/>
  <c r="F441" i="3"/>
  <c r="M440" i="3"/>
  <c r="L440" i="3"/>
  <c r="K440" i="3"/>
  <c r="J440" i="3"/>
  <c r="N440" i="3" s="1"/>
  <c r="I440" i="3"/>
  <c r="H440" i="3"/>
  <c r="G440" i="3"/>
  <c r="F440" i="3"/>
  <c r="M439" i="3"/>
  <c r="L439" i="3"/>
  <c r="K439" i="3"/>
  <c r="J439" i="3"/>
  <c r="N439" i="3" s="1"/>
  <c r="I439" i="3"/>
  <c r="H439" i="3"/>
  <c r="G439" i="3"/>
  <c r="F439" i="3"/>
  <c r="M438" i="3"/>
  <c r="L438" i="3"/>
  <c r="K438" i="3"/>
  <c r="J438" i="3"/>
  <c r="N438" i="3" s="1"/>
  <c r="I438" i="3"/>
  <c r="H438" i="3"/>
  <c r="G438" i="3"/>
  <c r="F438" i="3"/>
  <c r="N437" i="3"/>
  <c r="M437" i="3"/>
  <c r="L437" i="3"/>
  <c r="K437" i="3"/>
  <c r="J437" i="3"/>
  <c r="I437" i="3"/>
  <c r="H437" i="3"/>
  <c r="G437" i="3"/>
  <c r="F437" i="3"/>
  <c r="M436" i="3"/>
  <c r="L436" i="3"/>
  <c r="K436" i="3"/>
  <c r="J436" i="3"/>
  <c r="N436" i="3" s="1"/>
  <c r="I436" i="3"/>
  <c r="H436" i="3"/>
  <c r="G436" i="3"/>
  <c r="F436" i="3"/>
  <c r="N435" i="3"/>
  <c r="M435" i="3"/>
  <c r="L435" i="3"/>
  <c r="K435" i="3"/>
  <c r="J435" i="3"/>
  <c r="I435" i="3"/>
  <c r="H435" i="3"/>
  <c r="G435" i="3"/>
  <c r="F435" i="3"/>
  <c r="N434" i="3"/>
  <c r="M434" i="3"/>
  <c r="L434" i="3"/>
  <c r="K434" i="3"/>
  <c r="J434" i="3"/>
  <c r="I434" i="3"/>
  <c r="H434" i="3"/>
  <c r="G434" i="3"/>
  <c r="F434" i="3"/>
  <c r="M433" i="3"/>
  <c r="L433" i="3"/>
  <c r="K433" i="3"/>
  <c r="J433" i="3"/>
  <c r="N433" i="3" s="1"/>
  <c r="I433" i="3"/>
  <c r="H433" i="3"/>
  <c r="G433" i="3"/>
  <c r="F433" i="3"/>
  <c r="M432" i="3"/>
  <c r="L432" i="3"/>
  <c r="K432" i="3"/>
  <c r="J432" i="3"/>
  <c r="N432" i="3" s="1"/>
  <c r="I432" i="3"/>
  <c r="H432" i="3"/>
  <c r="G432" i="3"/>
  <c r="F432" i="3"/>
  <c r="M431" i="3"/>
  <c r="L431" i="3"/>
  <c r="K431" i="3"/>
  <c r="J431" i="3"/>
  <c r="N431" i="3" s="1"/>
  <c r="I431" i="3"/>
  <c r="H431" i="3"/>
  <c r="G431" i="3"/>
  <c r="F431" i="3"/>
  <c r="M430" i="3"/>
  <c r="L430" i="3"/>
  <c r="K430" i="3"/>
  <c r="J430" i="3"/>
  <c r="N430" i="3" s="1"/>
  <c r="I430" i="3"/>
  <c r="H430" i="3"/>
  <c r="G430" i="3"/>
  <c r="F430" i="3"/>
  <c r="N429" i="3"/>
  <c r="M429" i="3"/>
  <c r="L429" i="3"/>
  <c r="K429" i="3"/>
  <c r="J429" i="3"/>
  <c r="I429" i="3"/>
  <c r="H429" i="3"/>
  <c r="G429" i="3"/>
  <c r="F429" i="3"/>
  <c r="M428" i="3"/>
  <c r="L428" i="3"/>
  <c r="K428" i="3"/>
  <c r="J428" i="3"/>
  <c r="N428" i="3" s="1"/>
  <c r="I428" i="3"/>
  <c r="H428" i="3"/>
  <c r="G428" i="3"/>
  <c r="F428" i="3"/>
  <c r="N427" i="3"/>
  <c r="M427" i="3"/>
  <c r="L427" i="3"/>
  <c r="K427" i="3"/>
  <c r="J427" i="3"/>
  <c r="I427" i="3"/>
  <c r="H427" i="3"/>
  <c r="G427" i="3"/>
  <c r="F427" i="3"/>
  <c r="N426" i="3"/>
  <c r="M426" i="3"/>
  <c r="L426" i="3"/>
  <c r="K426" i="3"/>
  <c r="J426" i="3"/>
  <c r="I426" i="3"/>
  <c r="H426" i="3"/>
  <c r="G426" i="3"/>
  <c r="F426" i="3"/>
  <c r="M425" i="3"/>
  <c r="L425" i="3"/>
  <c r="K425" i="3"/>
  <c r="J425" i="3"/>
  <c r="N425" i="3" s="1"/>
  <c r="I425" i="3"/>
  <c r="H425" i="3"/>
  <c r="G425" i="3"/>
  <c r="F425" i="3"/>
  <c r="M424" i="3"/>
  <c r="L424" i="3"/>
  <c r="K424" i="3"/>
  <c r="J424" i="3"/>
  <c r="N424" i="3" s="1"/>
  <c r="I424" i="3"/>
  <c r="H424" i="3"/>
  <c r="G424" i="3"/>
  <c r="F424" i="3"/>
  <c r="M423" i="3"/>
  <c r="L423" i="3"/>
  <c r="K423" i="3"/>
  <c r="J423" i="3"/>
  <c r="N423" i="3" s="1"/>
  <c r="I423" i="3"/>
  <c r="H423" i="3"/>
  <c r="G423" i="3"/>
  <c r="F423" i="3"/>
  <c r="M422" i="3"/>
  <c r="L422" i="3"/>
  <c r="K422" i="3"/>
  <c r="J422" i="3"/>
  <c r="N422" i="3" s="1"/>
  <c r="I422" i="3"/>
  <c r="H422" i="3"/>
  <c r="G422" i="3"/>
  <c r="F422" i="3"/>
  <c r="N421" i="3"/>
  <c r="M421" i="3"/>
  <c r="L421" i="3"/>
  <c r="K421" i="3"/>
  <c r="J421" i="3"/>
  <c r="I421" i="3"/>
  <c r="H421" i="3"/>
  <c r="G421" i="3"/>
  <c r="F421" i="3"/>
  <c r="N420" i="3"/>
  <c r="M420" i="3"/>
  <c r="L420" i="3"/>
  <c r="K420" i="3"/>
  <c r="J420" i="3"/>
  <c r="I420" i="3"/>
  <c r="H420" i="3"/>
  <c r="G420" i="3"/>
  <c r="F420" i="3"/>
  <c r="N419" i="3"/>
  <c r="M419" i="3"/>
  <c r="L419" i="3"/>
  <c r="K419" i="3"/>
  <c r="J419" i="3"/>
  <c r="I419" i="3"/>
  <c r="H419" i="3"/>
  <c r="G419" i="3"/>
  <c r="F419" i="3"/>
  <c r="N418" i="3"/>
  <c r="M418" i="3"/>
  <c r="L418" i="3"/>
  <c r="K418" i="3"/>
  <c r="J418" i="3"/>
  <c r="I418" i="3"/>
  <c r="H418" i="3"/>
  <c r="G418" i="3"/>
  <c r="F418" i="3"/>
  <c r="M417" i="3"/>
  <c r="L417" i="3"/>
  <c r="K417" i="3"/>
  <c r="J417" i="3"/>
  <c r="N417" i="3" s="1"/>
  <c r="I417" i="3"/>
  <c r="H417" i="3"/>
  <c r="G417" i="3"/>
  <c r="F417" i="3"/>
  <c r="M416" i="3"/>
  <c r="L416" i="3"/>
  <c r="K416" i="3"/>
  <c r="J416" i="3"/>
  <c r="N416" i="3" s="1"/>
  <c r="I416" i="3"/>
  <c r="H416" i="3"/>
  <c r="G416" i="3"/>
  <c r="F416" i="3"/>
  <c r="M415" i="3"/>
  <c r="L415" i="3"/>
  <c r="K415" i="3"/>
  <c r="J415" i="3"/>
  <c r="N415" i="3" s="1"/>
  <c r="I415" i="3"/>
  <c r="H415" i="3"/>
  <c r="G415" i="3"/>
  <c r="F415" i="3"/>
  <c r="M414" i="3"/>
  <c r="L414" i="3"/>
  <c r="K414" i="3"/>
  <c r="J414" i="3"/>
  <c r="N414" i="3" s="1"/>
  <c r="I414" i="3"/>
  <c r="H414" i="3"/>
  <c r="G414" i="3"/>
  <c r="F414" i="3"/>
  <c r="N413" i="3"/>
  <c r="M413" i="3"/>
  <c r="L413" i="3"/>
  <c r="K413" i="3"/>
  <c r="J413" i="3"/>
  <c r="I413" i="3"/>
  <c r="H413" i="3"/>
  <c r="G413" i="3"/>
  <c r="F413" i="3"/>
  <c r="M412" i="3"/>
  <c r="L412" i="3"/>
  <c r="K412" i="3"/>
  <c r="J412" i="3"/>
  <c r="N412" i="3" s="1"/>
  <c r="I412" i="3"/>
  <c r="H412" i="3"/>
  <c r="G412" i="3"/>
  <c r="F412" i="3"/>
  <c r="N411" i="3"/>
  <c r="M411" i="3"/>
  <c r="L411" i="3"/>
  <c r="K411" i="3"/>
  <c r="J411" i="3"/>
  <c r="I411" i="3"/>
  <c r="H411" i="3"/>
  <c r="G411" i="3"/>
  <c r="F411" i="3"/>
  <c r="N410" i="3"/>
  <c r="M410" i="3"/>
  <c r="L410" i="3"/>
  <c r="K410" i="3"/>
  <c r="J410" i="3"/>
  <c r="I410" i="3"/>
  <c r="H410" i="3"/>
  <c r="G410" i="3"/>
  <c r="F410" i="3"/>
  <c r="M409" i="3"/>
  <c r="L409" i="3"/>
  <c r="K409" i="3"/>
  <c r="J409" i="3"/>
  <c r="N409" i="3" s="1"/>
  <c r="I409" i="3"/>
  <c r="H409" i="3"/>
  <c r="G409" i="3"/>
  <c r="F409" i="3"/>
  <c r="N408" i="3"/>
  <c r="M408" i="3"/>
  <c r="L408" i="3"/>
  <c r="K408" i="3"/>
  <c r="J408" i="3"/>
  <c r="I408" i="3"/>
  <c r="H408" i="3"/>
  <c r="G408" i="3"/>
  <c r="F408" i="3"/>
  <c r="M407" i="3"/>
  <c r="L407" i="3"/>
  <c r="K407" i="3"/>
  <c r="J407" i="3"/>
  <c r="N407" i="3" s="1"/>
  <c r="I407" i="3"/>
  <c r="H407" i="3"/>
  <c r="G407" i="3"/>
  <c r="F407" i="3"/>
  <c r="M406" i="3"/>
  <c r="L406" i="3"/>
  <c r="K406" i="3"/>
  <c r="J406" i="3"/>
  <c r="N406" i="3" s="1"/>
  <c r="I406" i="3"/>
  <c r="H406" i="3"/>
  <c r="G406" i="3"/>
  <c r="F406" i="3"/>
  <c r="N405" i="3"/>
  <c r="M405" i="3"/>
  <c r="L405" i="3"/>
  <c r="K405" i="3"/>
  <c r="J405" i="3"/>
  <c r="I405" i="3"/>
  <c r="H405" i="3"/>
  <c r="G405" i="3"/>
  <c r="F405" i="3"/>
  <c r="N404" i="3"/>
  <c r="M404" i="3"/>
  <c r="L404" i="3"/>
  <c r="K404" i="3"/>
  <c r="J404" i="3"/>
  <c r="I404" i="3"/>
  <c r="H404" i="3"/>
  <c r="G404" i="3"/>
  <c r="F404" i="3"/>
  <c r="N403" i="3"/>
  <c r="M403" i="3"/>
  <c r="L403" i="3"/>
  <c r="K403" i="3"/>
  <c r="J403" i="3"/>
  <c r="I403" i="3"/>
  <c r="H403" i="3"/>
  <c r="G403" i="3"/>
  <c r="F403" i="3"/>
  <c r="N402" i="3"/>
  <c r="M402" i="3"/>
  <c r="L402" i="3"/>
  <c r="K402" i="3"/>
  <c r="J402" i="3"/>
  <c r="I402" i="3"/>
  <c r="H402" i="3"/>
  <c r="G402" i="3"/>
  <c r="F402" i="3"/>
  <c r="M401" i="3"/>
  <c r="L401" i="3"/>
  <c r="K401" i="3"/>
  <c r="J401" i="3"/>
  <c r="N401" i="3" s="1"/>
  <c r="I401" i="3"/>
  <c r="H401" i="3"/>
  <c r="G401" i="3"/>
  <c r="F401" i="3"/>
  <c r="N400" i="3"/>
  <c r="M400" i="3"/>
  <c r="L400" i="3"/>
  <c r="K400" i="3"/>
  <c r="J400" i="3"/>
  <c r="I400" i="3"/>
  <c r="H400" i="3"/>
  <c r="G400" i="3"/>
  <c r="F400" i="3"/>
  <c r="M399" i="3"/>
  <c r="L399" i="3"/>
  <c r="K399" i="3"/>
  <c r="J399" i="3"/>
  <c r="N399" i="3" s="1"/>
  <c r="I399" i="3"/>
  <c r="H399" i="3"/>
  <c r="G399" i="3"/>
  <c r="F399" i="3"/>
  <c r="M398" i="3"/>
  <c r="L398" i="3"/>
  <c r="K398" i="3"/>
  <c r="J398" i="3"/>
  <c r="N398" i="3" s="1"/>
  <c r="I398" i="3"/>
  <c r="H398" i="3"/>
  <c r="G398" i="3"/>
  <c r="F398" i="3"/>
  <c r="N397" i="3"/>
  <c r="M397" i="3"/>
  <c r="L397" i="3"/>
  <c r="K397" i="3"/>
  <c r="J397" i="3"/>
  <c r="I397" i="3"/>
  <c r="H397" i="3"/>
  <c r="G397" i="3"/>
  <c r="F397" i="3"/>
  <c r="N396" i="3"/>
  <c r="M396" i="3"/>
  <c r="L396" i="3"/>
  <c r="K396" i="3"/>
  <c r="J396" i="3"/>
  <c r="I396" i="3"/>
  <c r="H396" i="3"/>
  <c r="G396" i="3"/>
  <c r="F396" i="3"/>
  <c r="N395" i="3"/>
  <c r="M395" i="3"/>
  <c r="L395" i="3"/>
  <c r="K395" i="3"/>
  <c r="J395" i="3"/>
  <c r="I395" i="3"/>
  <c r="H395" i="3"/>
  <c r="G395" i="3"/>
  <c r="F395" i="3"/>
  <c r="N394" i="3"/>
  <c r="M394" i="3"/>
  <c r="L394" i="3"/>
  <c r="K394" i="3"/>
  <c r="J394" i="3"/>
  <c r="I394" i="3"/>
  <c r="H394" i="3"/>
  <c r="G394" i="3"/>
  <c r="F394" i="3"/>
  <c r="M393" i="3"/>
  <c r="L393" i="3"/>
  <c r="K393" i="3"/>
  <c r="J393" i="3"/>
  <c r="N393" i="3" s="1"/>
  <c r="I393" i="3"/>
  <c r="H393" i="3"/>
  <c r="G393" i="3"/>
  <c r="F393" i="3"/>
  <c r="N392" i="3"/>
  <c r="M392" i="3"/>
  <c r="L392" i="3"/>
  <c r="K392" i="3"/>
  <c r="J392" i="3"/>
  <c r="I392" i="3"/>
  <c r="H392" i="3"/>
  <c r="G392" i="3"/>
  <c r="F392" i="3"/>
  <c r="M391" i="3"/>
  <c r="L391" i="3"/>
  <c r="K391" i="3"/>
  <c r="J391" i="3"/>
  <c r="N391" i="3" s="1"/>
  <c r="I391" i="3"/>
  <c r="H391" i="3"/>
  <c r="G391" i="3"/>
  <c r="F391" i="3"/>
  <c r="M390" i="3"/>
  <c r="L390" i="3"/>
  <c r="K390" i="3"/>
  <c r="J390" i="3"/>
  <c r="N390" i="3" s="1"/>
  <c r="I390" i="3"/>
  <c r="H390" i="3"/>
  <c r="G390" i="3"/>
  <c r="F390" i="3"/>
  <c r="N389" i="3"/>
  <c r="M389" i="3"/>
  <c r="L389" i="3"/>
  <c r="K389" i="3"/>
  <c r="J389" i="3"/>
  <c r="I389" i="3"/>
  <c r="H389" i="3"/>
  <c r="G389" i="3"/>
  <c r="F389" i="3"/>
  <c r="M388" i="3"/>
  <c r="L388" i="3"/>
  <c r="K388" i="3"/>
  <c r="J388" i="3"/>
  <c r="N388" i="3" s="1"/>
  <c r="I388" i="3"/>
  <c r="H388" i="3"/>
  <c r="G388" i="3"/>
  <c r="F388" i="3"/>
  <c r="N387" i="3"/>
  <c r="M387" i="3"/>
  <c r="L387" i="3"/>
  <c r="K387" i="3"/>
  <c r="J387" i="3"/>
  <c r="I387" i="3"/>
  <c r="H387" i="3"/>
  <c r="G387" i="3"/>
  <c r="F387" i="3"/>
  <c r="N386" i="3"/>
  <c r="M386" i="3"/>
  <c r="L386" i="3"/>
  <c r="K386" i="3"/>
  <c r="J386" i="3"/>
  <c r="I386" i="3"/>
  <c r="H386" i="3"/>
  <c r="G386" i="3"/>
  <c r="F386" i="3"/>
  <c r="M385" i="3"/>
  <c r="L385" i="3"/>
  <c r="K385" i="3"/>
  <c r="J385" i="3"/>
  <c r="N385" i="3" s="1"/>
  <c r="I385" i="3"/>
  <c r="H385" i="3"/>
  <c r="G385" i="3"/>
  <c r="F385" i="3"/>
  <c r="N384" i="3"/>
  <c r="M384" i="3"/>
  <c r="L384" i="3"/>
  <c r="K384" i="3"/>
  <c r="J384" i="3"/>
  <c r="I384" i="3"/>
  <c r="H384" i="3"/>
  <c r="G384" i="3"/>
  <c r="F384" i="3"/>
  <c r="M383" i="3"/>
  <c r="L383" i="3"/>
  <c r="K383" i="3"/>
  <c r="J383" i="3"/>
  <c r="N383" i="3" s="1"/>
  <c r="I383" i="3"/>
  <c r="H383" i="3"/>
  <c r="G383" i="3"/>
  <c r="F383" i="3"/>
  <c r="M382" i="3"/>
  <c r="L382" i="3"/>
  <c r="K382" i="3"/>
  <c r="J382" i="3"/>
  <c r="N382" i="3" s="1"/>
  <c r="I382" i="3"/>
  <c r="H382" i="3"/>
  <c r="G382" i="3"/>
  <c r="F382" i="3"/>
  <c r="N381" i="3"/>
  <c r="M381" i="3"/>
  <c r="L381" i="3"/>
  <c r="K381" i="3"/>
  <c r="J381" i="3"/>
  <c r="I381" i="3"/>
  <c r="H381" i="3"/>
  <c r="G381" i="3"/>
  <c r="F381" i="3"/>
  <c r="M380" i="3"/>
  <c r="L380" i="3"/>
  <c r="K380" i="3"/>
  <c r="J380" i="3"/>
  <c r="N380" i="3" s="1"/>
  <c r="I380" i="3"/>
  <c r="H380" i="3"/>
  <c r="G380" i="3"/>
  <c r="F380" i="3"/>
  <c r="N379" i="3"/>
  <c r="M379" i="3"/>
  <c r="L379" i="3"/>
  <c r="K379" i="3"/>
  <c r="J379" i="3"/>
  <c r="I379" i="3"/>
  <c r="H379" i="3"/>
  <c r="G379" i="3"/>
  <c r="F379" i="3"/>
  <c r="N378" i="3"/>
  <c r="M378" i="3"/>
  <c r="L378" i="3"/>
  <c r="K378" i="3"/>
  <c r="J378" i="3"/>
  <c r="I378" i="3"/>
  <c r="H378" i="3"/>
  <c r="G378" i="3"/>
  <c r="F378" i="3"/>
  <c r="M377" i="3"/>
  <c r="L377" i="3"/>
  <c r="K377" i="3"/>
  <c r="J377" i="3"/>
  <c r="N377" i="3" s="1"/>
  <c r="I377" i="3"/>
  <c r="H377" i="3"/>
  <c r="G377" i="3"/>
  <c r="F377" i="3"/>
  <c r="M376" i="3"/>
  <c r="L376" i="3"/>
  <c r="K376" i="3"/>
  <c r="J376" i="3"/>
  <c r="N376" i="3" s="1"/>
  <c r="I376" i="3"/>
  <c r="H376" i="3"/>
  <c r="G376" i="3"/>
  <c r="F376" i="3"/>
  <c r="M375" i="3"/>
  <c r="L375" i="3"/>
  <c r="K375" i="3"/>
  <c r="J375" i="3"/>
  <c r="N375" i="3" s="1"/>
  <c r="I375" i="3"/>
  <c r="H375" i="3"/>
  <c r="G375" i="3"/>
  <c r="F375" i="3"/>
  <c r="M374" i="3"/>
  <c r="L374" i="3"/>
  <c r="K374" i="3"/>
  <c r="J374" i="3"/>
  <c r="N374" i="3" s="1"/>
  <c r="I374" i="3"/>
  <c r="H374" i="3"/>
  <c r="G374" i="3"/>
  <c r="F374" i="3"/>
  <c r="N373" i="3"/>
  <c r="M373" i="3"/>
  <c r="L373" i="3"/>
  <c r="K373" i="3"/>
  <c r="J373" i="3"/>
  <c r="I373" i="3"/>
  <c r="H373" i="3"/>
  <c r="G373" i="3"/>
  <c r="F373" i="3"/>
  <c r="M372" i="3"/>
  <c r="L372" i="3"/>
  <c r="K372" i="3"/>
  <c r="J372" i="3"/>
  <c r="N372" i="3" s="1"/>
  <c r="I372" i="3"/>
  <c r="H372" i="3"/>
  <c r="G372" i="3"/>
  <c r="F372" i="3"/>
  <c r="N371" i="3"/>
  <c r="M371" i="3"/>
  <c r="L371" i="3"/>
  <c r="K371" i="3"/>
  <c r="J371" i="3"/>
  <c r="I371" i="3"/>
  <c r="H371" i="3"/>
  <c r="G371" i="3"/>
  <c r="F371" i="3"/>
  <c r="N370" i="3"/>
  <c r="M370" i="3"/>
  <c r="L370" i="3"/>
  <c r="K370" i="3"/>
  <c r="J370" i="3"/>
  <c r="I370" i="3"/>
  <c r="H370" i="3"/>
  <c r="G370" i="3"/>
  <c r="F370" i="3"/>
  <c r="M369" i="3"/>
  <c r="L369" i="3"/>
  <c r="K369" i="3"/>
  <c r="J369" i="3"/>
  <c r="N369" i="3" s="1"/>
  <c r="I369" i="3"/>
  <c r="H369" i="3"/>
  <c r="G369" i="3"/>
  <c r="F369" i="3"/>
  <c r="M368" i="3"/>
  <c r="L368" i="3"/>
  <c r="K368" i="3"/>
  <c r="J368" i="3"/>
  <c r="N368" i="3" s="1"/>
  <c r="I368" i="3"/>
  <c r="H368" i="3"/>
  <c r="G368" i="3"/>
  <c r="F368" i="3"/>
  <c r="M367" i="3"/>
  <c r="L367" i="3"/>
  <c r="K367" i="3"/>
  <c r="J367" i="3"/>
  <c r="N367" i="3" s="1"/>
  <c r="I367" i="3"/>
  <c r="H367" i="3"/>
  <c r="G367" i="3"/>
  <c r="F367" i="3"/>
  <c r="M366" i="3"/>
  <c r="L366" i="3"/>
  <c r="K366" i="3"/>
  <c r="J366" i="3"/>
  <c r="N366" i="3" s="1"/>
  <c r="I366" i="3"/>
  <c r="H366" i="3"/>
  <c r="G366" i="3"/>
  <c r="F366" i="3"/>
  <c r="N365" i="3"/>
  <c r="M365" i="3"/>
  <c r="L365" i="3"/>
  <c r="K365" i="3"/>
  <c r="J365" i="3"/>
  <c r="I365" i="3"/>
  <c r="H365" i="3"/>
  <c r="G365" i="3"/>
  <c r="F365" i="3"/>
  <c r="M364" i="3"/>
  <c r="L364" i="3"/>
  <c r="K364" i="3"/>
  <c r="J364" i="3"/>
  <c r="N364" i="3" s="1"/>
  <c r="I364" i="3"/>
  <c r="H364" i="3"/>
  <c r="G364" i="3"/>
  <c r="F364" i="3"/>
  <c r="N363" i="3"/>
  <c r="M363" i="3"/>
  <c r="L363" i="3"/>
  <c r="K363" i="3"/>
  <c r="J363" i="3"/>
  <c r="I363" i="3"/>
  <c r="H363" i="3"/>
  <c r="G363" i="3"/>
  <c r="F363" i="3"/>
  <c r="N362" i="3"/>
  <c r="M362" i="3"/>
  <c r="L362" i="3"/>
  <c r="K362" i="3"/>
  <c r="J362" i="3"/>
  <c r="I362" i="3"/>
  <c r="H362" i="3"/>
  <c r="G362" i="3"/>
  <c r="F362" i="3"/>
  <c r="M361" i="3"/>
  <c r="L361" i="3"/>
  <c r="K361" i="3"/>
  <c r="J361" i="3"/>
  <c r="N361" i="3" s="1"/>
  <c r="I361" i="3"/>
  <c r="H361" i="3"/>
  <c r="G361" i="3"/>
  <c r="F361" i="3"/>
  <c r="M360" i="3"/>
  <c r="L360" i="3"/>
  <c r="K360" i="3"/>
  <c r="J360" i="3"/>
  <c r="N360" i="3" s="1"/>
  <c r="I360" i="3"/>
  <c r="H360" i="3"/>
  <c r="G360" i="3"/>
  <c r="F360" i="3"/>
  <c r="M359" i="3"/>
  <c r="L359" i="3"/>
  <c r="K359" i="3"/>
  <c r="J359" i="3"/>
  <c r="N359" i="3" s="1"/>
  <c r="I359" i="3"/>
  <c r="H359" i="3"/>
  <c r="G359" i="3"/>
  <c r="F359" i="3"/>
  <c r="M358" i="3"/>
  <c r="L358" i="3"/>
  <c r="K358" i="3"/>
  <c r="J358" i="3"/>
  <c r="N358" i="3" s="1"/>
  <c r="I358" i="3"/>
  <c r="H358" i="3"/>
  <c r="G358" i="3"/>
  <c r="F358" i="3"/>
  <c r="N357" i="3"/>
  <c r="M357" i="3"/>
  <c r="L357" i="3"/>
  <c r="K357" i="3"/>
  <c r="J357" i="3"/>
  <c r="I357" i="3"/>
  <c r="H357" i="3"/>
  <c r="G357" i="3"/>
  <c r="F357" i="3"/>
  <c r="N356" i="3"/>
  <c r="M356" i="3"/>
  <c r="L356" i="3"/>
  <c r="K356" i="3"/>
  <c r="J356" i="3"/>
  <c r="I356" i="3"/>
  <c r="H356" i="3"/>
  <c r="G356" i="3"/>
  <c r="F356" i="3"/>
  <c r="N355" i="3"/>
  <c r="M355" i="3"/>
  <c r="L355" i="3"/>
  <c r="K355" i="3"/>
  <c r="J355" i="3"/>
  <c r="I355" i="3"/>
  <c r="H355" i="3"/>
  <c r="G355" i="3"/>
  <c r="F355" i="3"/>
  <c r="N354" i="3"/>
  <c r="M354" i="3"/>
  <c r="L354" i="3"/>
  <c r="K354" i="3"/>
  <c r="J354" i="3"/>
  <c r="I354" i="3"/>
  <c r="H354" i="3"/>
  <c r="G354" i="3"/>
  <c r="F354" i="3"/>
  <c r="M353" i="3"/>
  <c r="L353" i="3"/>
  <c r="K353" i="3"/>
  <c r="J353" i="3"/>
  <c r="N353" i="3" s="1"/>
  <c r="I353" i="3"/>
  <c r="H353" i="3"/>
  <c r="G353" i="3"/>
  <c r="F353" i="3"/>
  <c r="M352" i="3"/>
  <c r="L352" i="3"/>
  <c r="K352" i="3"/>
  <c r="J352" i="3"/>
  <c r="N352" i="3" s="1"/>
  <c r="I352" i="3"/>
  <c r="H352" i="3"/>
  <c r="G352" i="3"/>
  <c r="F352" i="3"/>
  <c r="M351" i="3"/>
  <c r="L351" i="3"/>
  <c r="K351" i="3"/>
  <c r="J351" i="3"/>
  <c r="N351" i="3" s="1"/>
  <c r="I351" i="3"/>
  <c r="H351" i="3"/>
  <c r="G351" i="3"/>
  <c r="F351" i="3"/>
  <c r="M350" i="3"/>
  <c r="L350" i="3"/>
  <c r="K350" i="3"/>
  <c r="J350" i="3"/>
  <c r="N350" i="3" s="1"/>
  <c r="I350" i="3"/>
  <c r="H350" i="3"/>
  <c r="G350" i="3"/>
  <c r="F350" i="3"/>
  <c r="N349" i="3"/>
  <c r="M349" i="3"/>
  <c r="L349" i="3"/>
  <c r="K349" i="3"/>
  <c r="J349" i="3"/>
  <c r="I349" i="3"/>
  <c r="H349" i="3"/>
  <c r="G349" i="3"/>
  <c r="F349" i="3"/>
  <c r="M348" i="3"/>
  <c r="L348" i="3"/>
  <c r="K348" i="3"/>
  <c r="J348" i="3"/>
  <c r="N348" i="3" s="1"/>
  <c r="I348" i="3"/>
  <c r="H348" i="3"/>
  <c r="G348" i="3"/>
  <c r="F348" i="3"/>
  <c r="N347" i="3"/>
  <c r="M347" i="3"/>
  <c r="L347" i="3"/>
  <c r="K347" i="3"/>
  <c r="J347" i="3"/>
  <c r="I347" i="3"/>
  <c r="H347" i="3"/>
  <c r="G347" i="3"/>
  <c r="F347" i="3"/>
  <c r="N346" i="3"/>
  <c r="M346" i="3"/>
  <c r="L346" i="3"/>
  <c r="K346" i="3"/>
  <c r="J346" i="3"/>
  <c r="I346" i="3"/>
  <c r="H346" i="3"/>
  <c r="G346" i="3"/>
  <c r="F346" i="3"/>
  <c r="M345" i="3"/>
  <c r="L345" i="3"/>
  <c r="K345" i="3"/>
  <c r="J345" i="3"/>
  <c r="N345" i="3" s="1"/>
  <c r="I345" i="3"/>
  <c r="H345" i="3"/>
  <c r="G345" i="3"/>
  <c r="F345" i="3"/>
  <c r="N344" i="3"/>
  <c r="M344" i="3"/>
  <c r="L344" i="3"/>
  <c r="K344" i="3"/>
  <c r="J344" i="3"/>
  <c r="I344" i="3"/>
  <c r="H344" i="3"/>
  <c r="G344" i="3"/>
  <c r="F344" i="3"/>
  <c r="M343" i="3"/>
  <c r="L343" i="3"/>
  <c r="K343" i="3"/>
  <c r="J343" i="3"/>
  <c r="N343" i="3" s="1"/>
  <c r="I343" i="3"/>
  <c r="H343" i="3"/>
  <c r="G343" i="3"/>
  <c r="F343" i="3"/>
  <c r="M342" i="3"/>
  <c r="L342" i="3"/>
  <c r="K342" i="3"/>
  <c r="J342" i="3"/>
  <c r="N342" i="3" s="1"/>
  <c r="I342" i="3"/>
  <c r="H342" i="3"/>
  <c r="G342" i="3"/>
  <c r="F342" i="3"/>
  <c r="N341" i="3"/>
  <c r="M341" i="3"/>
  <c r="L341" i="3"/>
  <c r="K341" i="3"/>
  <c r="J341" i="3"/>
  <c r="I341" i="3"/>
  <c r="H341" i="3"/>
  <c r="G341" i="3"/>
  <c r="F341" i="3"/>
  <c r="N340" i="3"/>
  <c r="M340" i="3"/>
  <c r="L340" i="3"/>
  <c r="K340" i="3"/>
  <c r="J340" i="3"/>
  <c r="I340" i="3"/>
  <c r="H340" i="3"/>
  <c r="G340" i="3"/>
  <c r="F340" i="3"/>
  <c r="N339" i="3"/>
  <c r="M339" i="3"/>
  <c r="L339" i="3"/>
  <c r="K339" i="3"/>
  <c r="J339" i="3"/>
  <c r="I339" i="3"/>
  <c r="H339" i="3"/>
  <c r="G339" i="3"/>
  <c r="F339" i="3"/>
  <c r="N338" i="3"/>
  <c r="M338" i="3"/>
  <c r="L338" i="3"/>
  <c r="K338" i="3"/>
  <c r="J338" i="3"/>
  <c r="I338" i="3"/>
  <c r="H338" i="3"/>
  <c r="G338" i="3"/>
  <c r="F338" i="3"/>
  <c r="M337" i="3"/>
  <c r="L337" i="3"/>
  <c r="K337" i="3"/>
  <c r="J337" i="3"/>
  <c r="N337" i="3" s="1"/>
  <c r="I337" i="3"/>
  <c r="H337" i="3"/>
  <c r="G337" i="3"/>
  <c r="F337" i="3"/>
  <c r="N336" i="3"/>
  <c r="M336" i="3"/>
  <c r="L336" i="3"/>
  <c r="K336" i="3"/>
  <c r="J336" i="3"/>
  <c r="I336" i="3"/>
  <c r="H336" i="3"/>
  <c r="G336" i="3"/>
  <c r="F336" i="3"/>
  <c r="M335" i="3"/>
  <c r="L335" i="3"/>
  <c r="K335" i="3"/>
  <c r="J335" i="3"/>
  <c r="N335" i="3" s="1"/>
  <c r="I335" i="3"/>
  <c r="H335" i="3"/>
  <c r="G335" i="3"/>
  <c r="F335" i="3"/>
  <c r="M334" i="3"/>
  <c r="L334" i="3"/>
  <c r="K334" i="3"/>
  <c r="J334" i="3"/>
  <c r="N334" i="3" s="1"/>
  <c r="I334" i="3"/>
  <c r="H334" i="3"/>
  <c r="G334" i="3"/>
  <c r="F334" i="3"/>
  <c r="N333" i="3"/>
  <c r="M333" i="3"/>
  <c r="L333" i="3"/>
  <c r="K333" i="3"/>
  <c r="J333" i="3"/>
  <c r="I333" i="3"/>
  <c r="H333" i="3"/>
  <c r="G333" i="3"/>
  <c r="F333" i="3"/>
  <c r="N332" i="3"/>
  <c r="M332" i="3"/>
  <c r="L332" i="3"/>
  <c r="K332" i="3"/>
  <c r="J332" i="3"/>
  <c r="I332" i="3"/>
  <c r="H332" i="3"/>
  <c r="G332" i="3"/>
  <c r="F332" i="3"/>
  <c r="N331" i="3"/>
  <c r="M331" i="3"/>
  <c r="L331" i="3"/>
  <c r="K331" i="3"/>
  <c r="J331" i="3"/>
  <c r="I331" i="3"/>
  <c r="H331" i="3"/>
  <c r="G331" i="3"/>
  <c r="F331" i="3"/>
  <c r="N330" i="3"/>
  <c r="M330" i="3"/>
  <c r="L330" i="3"/>
  <c r="K330" i="3"/>
  <c r="J330" i="3"/>
  <c r="I330" i="3"/>
  <c r="H330" i="3"/>
  <c r="G330" i="3"/>
  <c r="F330" i="3"/>
  <c r="M329" i="3"/>
  <c r="L329" i="3"/>
  <c r="K329" i="3"/>
  <c r="J329" i="3"/>
  <c r="N329" i="3" s="1"/>
  <c r="I329" i="3"/>
  <c r="H329" i="3"/>
  <c r="G329" i="3"/>
  <c r="F329" i="3"/>
  <c r="N328" i="3"/>
  <c r="M328" i="3"/>
  <c r="L328" i="3"/>
  <c r="K328" i="3"/>
  <c r="J328" i="3"/>
  <c r="I328" i="3"/>
  <c r="H328" i="3"/>
  <c r="G328" i="3"/>
  <c r="F328" i="3"/>
  <c r="M327" i="3"/>
  <c r="L327" i="3"/>
  <c r="K327" i="3"/>
  <c r="J327" i="3"/>
  <c r="N327" i="3" s="1"/>
  <c r="I327" i="3"/>
  <c r="H327" i="3"/>
  <c r="G327" i="3"/>
  <c r="F327" i="3"/>
  <c r="M326" i="3"/>
  <c r="L326" i="3"/>
  <c r="K326" i="3"/>
  <c r="J326" i="3"/>
  <c r="N326" i="3" s="1"/>
  <c r="I326" i="3"/>
  <c r="H326" i="3"/>
  <c r="G326" i="3"/>
  <c r="F326" i="3"/>
  <c r="N325" i="3"/>
  <c r="M325" i="3"/>
  <c r="L325" i="3"/>
  <c r="K325" i="3"/>
  <c r="J325" i="3"/>
  <c r="I325" i="3"/>
  <c r="H325" i="3"/>
  <c r="G325" i="3"/>
  <c r="F325" i="3"/>
  <c r="M324" i="3"/>
  <c r="L324" i="3"/>
  <c r="K324" i="3"/>
  <c r="J324" i="3"/>
  <c r="N324" i="3" s="1"/>
  <c r="I324" i="3"/>
  <c r="H324" i="3"/>
  <c r="G324" i="3"/>
  <c r="F324" i="3"/>
  <c r="N323" i="3"/>
  <c r="M323" i="3"/>
  <c r="L323" i="3"/>
  <c r="K323" i="3"/>
  <c r="J323" i="3"/>
  <c r="I323" i="3"/>
  <c r="H323" i="3"/>
  <c r="G323" i="3"/>
  <c r="F323" i="3"/>
  <c r="N322" i="3"/>
  <c r="M322" i="3"/>
  <c r="L322" i="3"/>
  <c r="K322" i="3"/>
  <c r="J322" i="3"/>
  <c r="I322" i="3"/>
  <c r="H322" i="3"/>
  <c r="G322" i="3"/>
  <c r="F322" i="3"/>
  <c r="M321" i="3"/>
  <c r="L321" i="3"/>
  <c r="K321" i="3"/>
  <c r="J321" i="3"/>
  <c r="N321" i="3" s="1"/>
  <c r="I321" i="3"/>
  <c r="H321" i="3"/>
  <c r="G321" i="3"/>
  <c r="F321" i="3"/>
  <c r="N320" i="3"/>
  <c r="M320" i="3"/>
  <c r="L320" i="3"/>
  <c r="K320" i="3"/>
  <c r="J320" i="3"/>
  <c r="I320" i="3"/>
  <c r="H320" i="3"/>
  <c r="G320" i="3"/>
  <c r="F320" i="3"/>
  <c r="M319" i="3"/>
  <c r="L319" i="3"/>
  <c r="K319" i="3"/>
  <c r="J319" i="3"/>
  <c r="N319" i="3" s="1"/>
  <c r="I319" i="3"/>
  <c r="H319" i="3"/>
  <c r="G319" i="3"/>
  <c r="F319" i="3"/>
  <c r="M318" i="3"/>
  <c r="L318" i="3"/>
  <c r="K318" i="3"/>
  <c r="J318" i="3"/>
  <c r="N318" i="3" s="1"/>
  <c r="I318" i="3"/>
  <c r="H318" i="3"/>
  <c r="G318" i="3"/>
  <c r="F318" i="3"/>
  <c r="N317" i="3"/>
  <c r="M317" i="3"/>
  <c r="L317" i="3"/>
  <c r="K317" i="3"/>
  <c r="J317" i="3"/>
  <c r="I317" i="3"/>
  <c r="H317" i="3"/>
  <c r="G317" i="3"/>
  <c r="F317" i="3"/>
  <c r="M316" i="3"/>
  <c r="L316" i="3"/>
  <c r="K316" i="3"/>
  <c r="J316" i="3"/>
  <c r="N316" i="3" s="1"/>
  <c r="I316" i="3"/>
  <c r="H316" i="3"/>
  <c r="G316" i="3"/>
  <c r="F316" i="3"/>
  <c r="N315" i="3"/>
  <c r="M315" i="3"/>
  <c r="L315" i="3"/>
  <c r="K315" i="3"/>
  <c r="J315" i="3"/>
  <c r="I315" i="3"/>
  <c r="H315" i="3"/>
  <c r="G315" i="3"/>
  <c r="F315" i="3"/>
  <c r="N314" i="3"/>
  <c r="M314" i="3"/>
  <c r="L314" i="3"/>
  <c r="K314" i="3"/>
  <c r="J314" i="3"/>
  <c r="I314" i="3"/>
  <c r="H314" i="3"/>
  <c r="G314" i="3"/>
  <c r="F314" i="3"/>
  <c r="M313" i="3"/>
  <c r="L313" i="3"/>
  <c r="K313" i="3"/>
  <c r="J313" i="3"/>
  <c r="N313" i="3" s="1"/>
  <c r="I313" i="3"/>
  <c r="H313" i="3"/>
  <c r="G313" i="3"/>
  <c r="F313" i="3"/>
  <c r="M312" i="3"/>
  <c r="L312" i="3"/>
  <c r="K312" i="3"/>
  <c r="J312" i="3"/>
  <c r="N312" i="3" s="1"/>
  <c r="I312" i="3"/>
  <c r="H312" i="3"/>
  <c r="G312" i="3"/>
  <c r="F312" i="3"/>
  <c r="M311" i="3"/>
  <c r="L311" i="3"/>
  <c r="K311" i="3"/>
  <c r="J311" i="3"/>
  <c r="N311" i="3" s="1"/>
  <c r="I311" i="3"/>
  <c r="H311" i="3"/>
  <c r="G311" i="3"/>
  <c r="F311" i="3"/>
  <c r="M310" i="3"/>
  <c r="L310" i="3"/>
  <c r="K310" i="3"/>
  <c r="J310" i="3"/>
  <c r="N310" i="3" s="1"/>
  <c r="I310" i="3"/>
  <c r="H310" i="3"/>
  <c r="G310" i="3"/>
  <c r="F310" i="3"/>
  <c r="N309" i="3"/>
  <c r="M309" i="3"/>
  <c r="L309" i="3"/>
  <c r="K309" i="3"/>
  <c r="J309" i="3"/>
  <c r="I309" i="3"/>
  <c r="H309" i="3"/>
  <c r="G309" i="3"/>
  <c r="F309" i="3"/>
  <c r="M308" i="3"/>
  <c r="L308" i="3"/>
  <c r="K308" i="3"/>
  <c r="J308" i="3"/>
  <c r="N308" i="3" s="1"/>
  <c r="I308" i="3"/>
  <c r="H308" i="3"/>
  <c r="G308" i="3"/>
  <c r="F308" i="3"/>
  <c r="N307" i="3"/>
  <c r="M307" i="3"/>
  <c r="L307" i="3"/>
  <c r="K307" i="3"/>
  <c r="J307" i="3"/>
  <c r="I307" i="3"/>
  <c r="H307" i="3"/>
  <c r="G307" i="3"/>
  <c r="F307" i="3"/>
  <c r="N306" i="3"/>
  <c r="M306" i="3"/>
  <c r="L306" i="3"/>
  <c r="K306" i="3"/>
  <c r="J306" i="3"/>
  <c r="I306" i="3"/>
  <c r="H306" i="3"/>
  <c r="G306" i="3"/>
  <c r="F306" i="3"/>
  <c r="M305" i="3"/>
  <c r="L305" i="3"/>
  <c r="K305" i="3"/>
  <c r="J305" i="3"/>
  <c r="N305" i="3" s="1"/>
  <c r="I305" i="3"/>
  <c r="H305" i="3"/>
  <c r="G305" i="3"/>
  <c r="F305" i="3"/>
  <c r="N304" i="3"/>
  <c r="M304" i="3"/>
  <c r="L304" i="3"/>
  <c r="K304" i="3"/>
  <c r="J304" i="3"/>
  <c r="I304" i="3"/>
  <c r="H304" i="3"/>
  <c r="G304" i="3"/>
  <c r="F304" i="3"/>
  <c r="M303" i="3"/>
  <c r="L303" i="3"/>
  <c r="K303" i="3"/>
  <c r="J303" i="3"/>
  <c r="N303" i="3" s="1"/>
  <c r="I303" i="3"/>
  <c r="H303" i="3"/>
  <c r="G303" i="3"/>
  <c r="F303" i="3"/>
  <c r="M302" i="3"/>
  <c r="L302" i="3"/>
  <c r="K302" i="3"/>
  <c r="J302" i="3"/>
  <c r="N302" i="3" s="1"/>
  <c r="I302" i="3"/>
  <c r="H302" i="3"/>
  <c r="G302" i="3"/>
  <c r="F302" i="3"/>
  <c r="N301" i="3"/>
  <c r="M301" i="3"/>
  <c r="L301" i="3"/>
  <c r="K301" i="3"/>
  <c r="J301" i="3"/>
  <c r="I301" i="3"/>
  <c r="H301" i="3"/>
  <c r="G301" i="3"/>
  <c r="F301" i="3"/>
  <c r="M300" i="3"/>
  <c r="L300" i="3"/>
  <c r="K300" i="3"/>
  <c r="J300" i="3"/>
  <c r="N300" i="3" s="1"/>
  <c r="I300" i="3"/>
  <c r="H300" i="3"/>
  <c r="G300" i="3"/>
  <c r="F300" i="3"/>
  <c r="N299" i="3"/>
  <c r="M299" i="3"/>
  <c r="L299" i="3"/>
  <c r="K299" i="3"/>
  <c r="J299" i="3"/>
  <c r="I299" i="3"/>
  <c r="H299" i="3"/>
  <c r="G299" i="3"/>
  <c r="F299" i="3"/>
  <c r="N298" i="3"/>
  <c r="M298" i="3"/>
  <c r="L298" i="3"/>
  <c r="K298" i="3"/>
  <c r="J298" i="3"/>
  <c r="I298" i="3"/>
  <c r="H298" i="3"/>
  <c r="G298" i="3"/>
  <c r="F298" i="3"/>
  <c r="M297" i="3"/>
  <c r="L297" i="3"/>
  <c r="K297" i="3"/>
  <c r="J297" i="3"/>
  <c r="N297" i="3" s="1"/>
  <c r="I297" i="3"/>
  <c r="H297" i="3"/>
  <c r="G297" i="3"/>
  <c r="F297" i="3"/>
  <c r="M296" i="3"/>
  <c r="L296" i="3"/>
  <c r="K296" i="3"/>
  <c r="J296" i="3"/>
  <c r="N296" i="3" s="1"/>
  <c r="I296" i="3"/>
  <c r="H296" i="3"/>
  <c r="G296" i="3"/>
  <c r="F296" i="3"/>
  <c r="M295" i="3"/>
  <c r="L295" i="3"/>
  <c r="K295" i="3"/>
  <c r="J295" i="3"/>
  <c r="N295" i="3" s="1"/>
  <c r="I295" i="3"/>
  <c r="H295" i="3"/>
  <c r="G295" i="3"/>
  <c r="F295" i="3"/>
  <c r="M294" i="3"/>
  <c r="L294" i="3"/>
  <c r="K294" i="3"/>
  <c r="J294" i="3"/>
  <c r="N294" i="3" s="1"/>
  <c r="I294" i="3"/>
  <c r="H294" i="3"/>
  <c r="G294" i="3"/>
  <c r="F294" i="3"/>
  <c r="N293" i="3"/>
  <c r="M293" i="3"/>
  <c r="L293" i="3"/>
  <c r="K293" i="3"/>
  <c r="J293" i="3"/>
  <c r="I293" i="3"/>
  <c r="H293" i="3"/>
  <c r="G293" i="3"/>
  <c r="F293" i="3"/>
  <c r="M292" i="3"/>
  <c r="L292" i="3"/>
  <c r="K292" i="3"/>
  <c r="J292" i="3"/>
  <c r="N292" i="3" s="1"/>
  <c r="I292" i="3"/>
  <c r="H292" i="3"/>
  <c r="G292" i="3"/>
  <c r="F292" i="3"/>
  <c r="N291" i="3"/>
  <c r="M291" i="3"/>
  <c r="L291" i="3"/>
  <c r="K291" i="3"/>
  <c r="J291" i="3"/>
  <c r="I291" i="3"/>
  <c r="H291" i="3"/>
  <c r="G291" i="3"/>
  <c r="F291" i="3"/>
  <c r="N290" i="3"/>
  <c r="M290" i="3"/>
  <c r="L290" i="3"/>
  <c r="K290" i="3"/>
  <c r="J290" i="3"/>
  <c r="I290" i="3"/>
  <c r="H290" i="3"/>
  <c r="G290" i="3"/>
  <c r="F290" i="3"/>
  <c r="M289" i="3"/>
  <c r="L289" i="3"/>
  <c r="K289" i="3"/>
  <c r="J289" i="3"/>
  <c r="N289" i="3" s="1"/>
  <c r="I289" i="3"/>
  <c r="H289" i="3"/>
  <c r="G289" i="3"/>
  <c r="F289" i="3"/>
  <c r="M288" i="3"/>
  <c r="L288" i="3"/>
  <c r="K288" i="3"/>
  <c r="J288" i="3"/>
  <c r="N288" i="3" s="1"/>
  <c r="I288" i="3"/>
  <c r="H288" i="3"/>
  <c r="G288" i="3"/>
  <c r="F288" i="3"/>
  <c r="M287" i="3"/>
  <c r="L287" i="3"/>
  <c r="K287" i="3"/>
  <c r="J287" i="3"/>
  <c r="N287" i="3" s="1"/>
  <c r="I287" i="3"/>
  <c r="H287" i="3"/>
  <c r="G287" i="3"/>
  <c r="F287" i="3"/>
  <c r="M286" i="3"/>
  <c r="L286" i="3"/>
  <c r="K286" i="3"/>
  <c r="J286" i="3"/>
  <c r="N286" i="3" s="1"/>
  <c r="I286" i="3"/>
  <c r="H286" i="3"/>
  <c r="G286" i="3"/>
  <c r="F286" i="3"/>
  <c r="N285" i="3"/>
  <c r="M285" i="3"/>
  <c r="L285" i="3"/>
  <c r="K285" i="3"/>
  <c r="J285" i="3"/>
  <c r="I285" i="3"/>
  <c r="H285" i="3"/>
  <c r="G285" i="3"/>
  <c r="F285" i="3"/>
  <c r="M284" i="3"/>
  <c r="L284" i="3"/>
  <c r="K284" i="3"/>
  <c r="J284" i="3"/>
  <c r="N284" i="3" s="1"/>
  <c r="I284" i="3"/>
  <c r="H284" i="3"/>
  <c r="G284" i="3"/>
  <c r="F284" i="3"/>
  <c r="N283" i="3"/>
  <c r="M283" i="3"/>
  <c r="L283" i="3"/>
  <c r="K283" i="3"/>
  <c r="J283" i="3"/>
  <c r="I283" i="3"/>
  <c r="H283" i="3"/>
  <c r="G283" i="3"/>
  <c r="F283" i="3"/>
  <c r="N282" i="3"/>
  <c r="M282" i="3"/>
  <c r="L282" i="3"/>
  <c r="K282" i="3"/>
  <c r="J282" i="3"/>
  <c r="I282" i="3"/>
  <c r="H282" i="3"/>
  <c r="G282" i="3"/>
  <c r="F282" i="3"/>
  <c r="M281" i="3"/>
  <c r="L281" i="3"/>
  <c r="K281" i="3"/>
  <c r="J281" i="3"/>
  <c r="N281" i="3" s="1"/>
  <c r="I281" i="3"/>
  <c r="H281" i="3"/>
  <c r="G281" i="3"/>
  <c r="F281" i="3"/>
  <c r="M280" i="3"/>
  <c r="L280" i="3"/>
  <c r="K280" i="3"/>
  <c r="J280" i="3"/>
  <c r="N280" i="3" s="1"/>
  <c r="I280" i="3"/>
  <c r="H280" i="3"/>
  <c r="G280" i="3"/>
  <c r="F280" i="3"/>
  <c r="M279" i="3"/>
  <c r="L279" i="3"/>
  <c r="K279" i="3"/>
  <c r="J279" i="3"/>
  <c r="N279" i="3" s="1"/>
  <c r="I279" i="3"/>
  <c r="H279" i="3"/>
  <c r="G279" i="3"/>
  <c r="F279" i="3"/>
  <c r="M278" i="3"/>
  <c r="L278" i="3"/>
  <c r="K278" i="3"/>
  <c r="J278" i="3"/>
  <c r="N278" i="3" s="1"/>
  <c r="I278" i="3"/>
  <c r="H278" i="3"/>
  <c r="G278" i="3"/>
  <c r="F278" i="3"/>
  <c r="N277" i="3"/>
  <c r="M277" i="3"/>
  <c r="L277" i="3"/>
  <c r="K277" i="3"/>
  <c r="J277" i="3"/>
  <c r="I277" i="3"/>
  <c r="H277" i="3"/>
  <c r="G277" i="3"/>
  <c r="F277" i="3"/>
  <c r="N276" i="3"/>
  <c r="M276" i="3"/>
  <c r="L276" i="3"/>
  <c r="K276" i="3"/>
  <c r="J276" i="3"/>
  <c r="I276" i="3"/>
  <c r="H276" i="3"/>
  <c r="G276" i="3"/>
  <c r="F276" i="3"/>
  <c r="N275" i="3"/>
  <c r="M275" i="3"/>
  <c r="L275" i="3"/>
  <c r="K275" i="3"/>
  <c r="J275" i="3"/>
  <c r="I275" i="3"/>
  <c r="H275" i="3"/>
  <c r="G275" i="3"/>
  <c r="F275" i="3"/>
  <c r="N274" i="3"/>
  <c r="M274" i="3"/>
  <c r="L274" i="3"/>
  <c r="K274" i="3"/>
  <c r="J274" i="3"/>
  <c r="I274" i="3"/>
  <c r="H274" i="3"/>
  <c r="G274" i="3"/>
  <c r="F274" i="3"/>
  <c r="M273" i="3"/>
  <c r="L273" i="3"/>
  <c r="K273" i="3"/>
  <c r="J273" i="3"/>
  <c r="N273" i="3" s="1"/>
  <c r="I273" i="3"/>
  <c r="H273" i="3"/>
  <c r="G273" i="3"/>
  <c r="F273" i="3"/>
  <c r="M272" i="3"/>
  <c r="L272" i="3"/>
  <c r="K272" i="3"/>
  <c r="J272" i="3"/>
  <c r="N272" i="3" s="1"/>
  <c r="I272" i="3"/>
  <c r="H272" i="3"/>
  <c r="G272" i="3"/>
  <c r="F272" i="3"/>
  <c r="M271" i="3"/>
  <c r="L271" i="3"/>
  <c r="K271" i="3"/>
  <c r="J271" i="3"/>
  <c r="N271" i="3" s="1"/>
  <c r="I271" i="3"/>
  <c r="H271" i="3"/>
  <c r="G271" i="3"/>
  <c r="F271" i="3"/>
  <c r="M270" i="3"/>
  <c r="L270" i="3"/>
  <c r="K270" i="3"/>
  <c r="J270" i="3"/>
  <c r="N270" i="3" s="1"/>
  <c r="I270" i="3"/>
  <c r="H270" i="3"/>
  <c r="G270" i="3"/>
  <c r="F270" i="3"/>
  <c r="N269" i="3"/>
  <c r="M269" i="3"/>
  <c r="L269" i="3"/>
  <c r="K269" i="3"/>
  <c r="J269" i="3"/>
  <c r="I269" i="3"/>
  <c r="H269" i="3"/>
  <c r="G269" i="3"/>
  <c r="F269" i="3"/>
  <c r="N268" i="3"/>
  <c r="M268" i="3"/>
  <c r="L268" i="3"/>
  <c r="K268" i="3"/>
  <c r="J268" i="3"/>
  <c r="I268" i="3"/>
  <c r="H268" i="3"/>
  <c r="G268" i="3"/>
  <c r="F268" i="3"/>
  <c r="N267" i="3"/>
  <c r="M267" i="3"/>
  <c r="L267" i="3"/>
  <c r="K267" i="3"/>
  <c r="J267" i="3"/>
  <c r="I267" i="3"/>
  <c r="H267" i="3"/>
  <c r="G267" i="3"/>
  <c r="F267" i="3"/>
  <c r="N266" i="3"/>
  <c r="M266" i="3"/>
  <c r="L266" i="3"/>
  <c r="K266" i="3"/>
  <c r="J266" i="3"/>
  <c r="I266" i="3"/>
  <c r="H266" i="3"/>
  <c r="G266" i="3"/>
  <c r="F266" i="3"/>
  <c r="M265" i="3"/>
  <c r="L265" i="3"/>
  <c r="K265" i="3"/>
  <c r="J265" i="3"/>
  <c r="N265" i="3" s="1"/>
  <c r="I265" i="3"/>
  <c r="H265" i="3"/>
  <c r="G265" i="3"/>
  <c r="F265" i="3"/>
  <c r="N264" i="3"/>
  <c r="M264" i="3"/>
  <c r="L264" i="3"/>
  <c r="K264" i="3"/>
  <c r="J264" i="3"/>
  <c r="I264" i="3"/>
  <c r="H264" i="3"/>
  <c r="G264" i="3"/>
  <c r="F264" i="3"/>
  <c r="M263" i="3"/>
  <c r="L263" i="3"/>
  <c r="K263" i="3"/>
  <c r="J263" i="3"/>
  <c r="N263" i="3" s="1"/>
  <c r="I263" i="3"/>
  <c r="H263" i="3"/>
  <c r="G263" i="3"/>
  <c r="F263" i="3"/>
  <c r="M262" i="3"/>
  <c r="L262" i="3"/>
  <c r="K262" i="3"/>
  <c r="J262" i="3"/>
  <c r="N262" i="3" s="1"/>
  <c r="I262" i="3"/>
  <c r="H262" i="3"/>
  <c r="G262" i="3"/>
  <c r="F262" i="3"/>
  <c r="N261" i="3"/>
  <c r="M261" i="3"/>
  <c r="L261" i="3"/>
  <c r="K261" i="3"/>
  <c r="J261" i="3"/>
  <c r="I261" i="3"/>
  <c r="H261" i="3"/>
  <c r="G261" i="3"/>
  <c r="F261" i="3"/>
  <c r="M260" i="3"/>
  <c r="L260" i="3"/>
  <c r="K260" i="3"/>
  <c r="J260" i="3"/>
  <c r="N260" i="3" s="1"/>
  <c r="I260" i="3"/>
  <c r="H260" i="3"/>
  <c r="G260" i="3"/>
  <c r="F260" i="3"/>
  <c r="N259" i="3"/>
  <c r="M259" i="3"/>
  <c r="L259" i="3"/>
  <c r="K259" i="3"/>
  <c r="J259" i="3"/>
  <c r="I259" i="3"/>
  <c r="H259" i="3"/>
  <c r="G259" i="3"/>
  <c r="F259" i="3"/>
  <c r="N258" i="3"/>
  <c r="M258" i="3"/>
  <c r="L258" i="3"/>
  <c r="K258" i="3"/>
  <c r="J258" i="3"/>
  <c r="I258" i="3"/>
  <c r="H258" i="3"/>
  <c r="G258" i="3"/>
  <c r="F258" i="3"/>
  <c r="M257" i="3"/>
  <c r="L257" i="3"/>
  <c r="K257" i="3"/>
  <c r="J257" i="3"/>
  <c r="N257" i="3" s="1"/>
  <c r="I257" i="3"/>
  <c r="H257" i="3"/>
  <c r="G257" i="3"/>
  <c r="F257" i="3"/>
  <c r="N256" i="3"/>
  <c r="M256" i="3"/>
  <c r="L256" i="3"/>
  <c r="K256" i="3"/>
  <c r="J256" i="3"/>
  <c r="I256" i="3"/>
  <c r="H256" i="3"/>
  <c r="G256" i="3"/>
  <c r="F256" i="3"/>
  <c r="M255" i="3"/>
  <c r="L255" i="3"/>
  <c r="K255" i="3"/>
  <c r="J255" i="3"/>
  <c r="N255" i="3" s="1"/>
  <c r="I255" i="3"/>
  <c r="H255" i="3"/>
  <c r="G255" i="3"/>
  <c r="F255" i="3"/>
  <c r="M254" i="3"/>
  <c r="L254" i="3"/>
  <c r="K254" i="3"/>
  <c r="J254" i="3"/>
  <c r="N254" i="3" s="1"/>
  <c r="I254" i="3"/>
  <c r="H254" i="3"/>
  <c r="G254" i="3"/>
  <c r="F254" i="3"/>
  <c r="N253" i="3"/>
  <c r="M253" i="3"/>
  <c r="L253" i="3"/>
  <c r="K253" i="3"/>
  <c r="J253" i="3"/>
  <c r="I253" i="3"/>
  <c r="H253" i="3"/>
  <c r="G253" i="3"/>
  <c r="F253" i="3"/>
  <c r="M252" i="3"/>
  <c r="L252" i="3"/>
  <c r="K252" i="3"/>
  <c r="J252" i="3"/>
  <c r="N252" i="3" s="1"/>
  <c r="I252" i="3"/>
  <c r="H252" i="3"/>
  <c r="G252" i="3"/>
  <c r="F252" i="3"/>
  <c r="N251" i="3"/>
  <c r="M251" i="3"/>
  <c r="L251" i="3"/>
  <c r="K251" i="3"/>
  <c r="J251" i="3"/>
  <c r="I251" i="3"/>
  <c r="H251" i="3"/>
  <c r="G251" i="3"/>
  <c r="F251" i="3"/>
  <c r="N250" i="3"/>
  <c r="M250" i="3"/>
  <c r="L250" i="3"/>
  <c r="K250" i="3"/>
  <c r="J250" i="3"/>
  <c r="I250" i="3"/>
  <c r="H250" i="3"/>
  <c r="G250" i="3"/>
  <c r="F250" i="3"/>
  <c r="M249" i="3"/>
  <c r="L249" i="3"/>
  <c r="K249" i="3"/>
  <c r="J249" i="3"/>
  <c r="N249" i="3" s="1"/>
  <c r="I249" i="3"/>
  <c r="H249" i="3"/>
  <c r="G249" i="3"/>
  <c r="F249" i="3"/>
  <c r="M248" i="3"/>
  <c r="L248" i="3"/>
  <c r="K248" i="3"/>
  <c r="J248" i="3"/>
  <c r="N248" i="3" s="1"/>
  <c r="I248" i="3"/>
  <c r="H248" i="3"/>
  <c r="G248" i="3"/>
  <c r="F248" i="3"/>
  <c r="M247" i="3"/>
  <c r="L247" i="3"/>
  <c r="K247" i="3"/>
  <c r="J247" i="3"/>
  <c r="N247" i="3" s="1"/>
  <c r="I247" i="3"/>
  <c r="H247" i="3"/>
  <c r="G247" i="3"/>
  <c r="F247" i="3"/>
  <c r="M246" i="3"/>
  <c r="L246" i="3"/>
  <c r="K246" i="3"/>
  <c r="J246" i="3"/>
  <c r="N246" i="3" s="1"/>
  <c r="I246" i="3"/>
  <c r="H246" i="3"/>
  <c r="G246" i="3"/>
  <c r="F246" i="3"/>
  <c r="N245" i="3"/>
  <c r="M245" i="3"/>
  <c r="L245" i="3"/>
  <c r="K245" i="3"/>
  <c r="J245" i="3"/>
  <c r="I245" i="3"/>
  <c r="H245" i="3"/>
  <c r="G245" i="3"/>
  <c r="F245" i="3"/>
  <c r="M244" i="3"/>
  <c r="L244" i="3"/>
  <c r="K244" i="3"/>
  <c r="J244" i="3"/>
  <c r="N244" i="3" s="1"/>
  <c r="I244" i="3"/>
  <c r="H244" i="3"/>
  <c r="G244" i="3"/>
  <c r="F244" i="3"/>
  <c r="N243" i="3"/>
  <c r="M243" i="3"/>
  <c r="L243" i="3"/>
  <c r="K243" i="3"/>
  <c r="J243" i="3"/>
  <c r="I243" i="3"/>
  <c r="H243" i="3"/>
  <c r="G243" i="3"/>
  <c r="F243" i="3"/>
  <c r="N242" i="3"/>
  <c r="M242" i="3"/>
  <c r="L242" i="3"/>
  <c r="K242" i="3"/>
  <c r="J242" i="3"/>
  <c r="I242" i="3"/>
  <c r="H242" i="3"/>
  <c r="G242" i="3"/>
  <c r="F242" i="3"/>
  <c r="M241" i="3"/>
  <c r="L241" i="3"/>
  <c r="K241" i="3"/>
  <c r="J241" i="3"/>
  <c r="N241" i="3" s="1"/>
  <c r="I241" i="3"/>
  <c r="H241" i="3"/>
  <c r="G241" i="3"/>
  <c r="F241" i="3"/>
  <c r="M240" i="3"/>
  <c r="L240" i="3"/>
  <c r="K240" i="3"/>
  <c r="J240" i="3"/>
  <c r="N240" i="3" s="1"/>
  <c r="I240" i="3"/>
  <c r="H240" i="3"/>
  <c r="G240" i="3"/>
  <c r="F240" i="3"/>
  <c r="M239" i="3"/>
  <c r="L239" i="3"/>
  <c r="K239" i="3"/>
  <c r="J239" i="3"/>
  <c r="N239" i="3" s="1"/>
  <c r="I239" i="3"/>
  <c r="H239" i="3"/>
  <c r="G239" i="3"/>
  <c r="F239" i="3"/>
  <c r="M238" i="3"/>
  <c r="L238" i="3"/>
  <c r="K238" i="3"/>
  <c r="J238" i="3"/>
  <c r="N238" i="3" s="1"/>
  <c r="I238" i="3"/>
  <c r="H238" i="3"/>
  <c r="G238" i="3"/>
  <c r="F238" i="3"/>
  <c r="N237" i="3"/>
  <c r="M237" i="3"/>
  <c r="L237" i="3"/>
  <c r="K237" i="3"/>
  <c r="J237" i="3"/>
  <c r="I237" i="3"/>
  <c r="H237" i="3"/>
  <c r="G237" i="3"/>
  <c r="F237" i="3"/>
  <c r="M236" i="3"/>
  <c r="L236" i="3"/>
  <c r="K236" i="3"/>
  <c r="J236" i="3"/>
  <c r="N236" i="3" s="1"/>
  <c r="I236" i="3"/>
  <c r="H236" i="3"/>
  <c r="G236" i="3"/>
  <c r="F236" i="3"/>
  <c r="N235" i="3"/>
  <c r="M235" i="3"/>
  <c r="L235" i="3"/>
  <c r="K235" i="3"/>
  <c r="J235" i="3"/>
  <c r="I235" i="3"/>
  <c r="H235" i="3"/>
  <c r="G235" i="3"/>
  <c r="F235" i="3"/>
  <c r="N234" i="3"/>
  <c r="M234" i="3"/>
  <c r="L234" i="3"/>
  <c r="K234" i="3"/>
  <c r="J234" i="3"/>
  <c r="I234" i="3"/>
  <c r="H234" i="3"/>
  <c r="G234" i="3"/>
  <c r="F234" i="3"/>
  <c r="M233" i="3"/>
  <c r="L233" i="3"/>
  <c r="K233" i="3"/>
  <c r="J233" i="3"/>
  <c r="N233" i="3" s="1"/>
  <c r="I233" i="3"/>
  <c r="H233" i="3"/>
  <c r="G233" i="3"/>
  <c r="F233" i="3"/>
  <c r="M232" i="3"/>
  <c r="L232" i="3"/>
  <c r="K232" i="3"/>
  <c r="J232" i="3"/>
  <c r="N232" i="3" s="1"/>
  <c r="I232" i="3"/>
  <c r="H232" i="3"/>
  <c r="G232" i="3"/>
  <c r="F232" i="3"/>
  <c r="M231" i="3"/>
  <c r="L231" i="3"/>
  <c r="K231" i="3"/>
  <c r="J231" i="3"/>
  <c r="N231" i="3" s="1"/>
  <c r="I231" i="3"/>
  <c r="H231" i="3"/>
  <c r="G231" i="3"/>
  <c r="F231" i="3"/>
  <c r="M230" i="3"/>
  <c r="L230" i="3"/>
  <c r="K230" i="3"/>
  <c r="J230" i="3"/>
  <c r="N230" i="3" s="1"/>
  <c r="I230" i="3"/>
  <c r="H230" i="3"/>
  <c r="G230" i="3"/>
  <c r="F230" i="3"/>
  <c r="N229" i="3"/>
  <c r="M229" i="3"/>
  <c r="L229" i="3"/>
  <c r="K229" i="3"/>
  <c r="J229" i="3"/>
  <c r="I229" i="3"/>
  <c r="H229" i="3"/>
  <c r="G229" i="3"/>
  <c r="F229" i="3"/>
  <c r="N228" i="3"/>
  <c r="M228" i="3"/>
  <c r="L228" i="3"/>
  <c r="K228" i="3"/>
  <c r="J228" i="3"/>
  <c r="I228" i="3"/>
  <c r="H228" i="3"/>
  <c r="G228" i="3"/>
  <c r="F228" i="3"/>
  <c r="N227" i="3"/>
  <c r="M227" i="3"/>
  <c r="L227" i="3"/>
  <c r="K227" i="3"/>
  <c r="J227" i="3"/>
  <c r="I227" i="3"/>
  <c r="H227" i="3"/>
  <c r="G227" i="3"/>
  <c r="F227" i="3"/>
  <c r="N226" i="3"/>
  <c r="M226" i="3"/>
  <c r="L226" i="3"/>
  <c r="K226" i="3"/>
  <c r="J226" i="3"/>
  <c r="I226" i="3"/>
  <c r="H226" i="3"/>
  <c r="G226" i="3"/>
  <c r="F226" i="3"/>
  <c r="M225" i="3"/>
  <c r="L225" i="3"/>
  <c r="K225" i="3"/>
  <c r="J225" i="3"/>
  <c r="N225" i="3" s="1"/>
  <c r="I225" i="3"/>
  <c r="H225" i="3"/>
  <c r="G225" i="3"/>
  <c r="F225" i="3"/>
  <c r="M224" i="3"/>
  <c r="L224" i="3"/>
  <c r="K224" i="3"/>
  <c r="J224" i="3"/>
  <c r="N224" i="3" s="1"/>
  <c r="I224" i="3"/>
  <c r="H224" i="3"/>
  <c r="G224" i="3"/>
  <c r="F224" i="3"/>
  <c r="M223" i="3"/>
  <c r="L223" i="3"/>
  <c r="K223" i="3"/>
  <c r="J223" i="3"/>
  <c r="N223" i="3" s="1"/>
  <c r="I223" i="3"/>
  <c r="H223" i="3"/>
  <c r="G223" i="3"/>
  <c r="F223" i="3"/>
  <c r="M222" i="3"/>
  <c r="L222" i="3"/>
  <c r="K222" i="3"/>
  <c r="J222" i="3"/>
  <c r="N222" i="3" s="1"/>
  <c r="I222" i="3"/>
  <c r="H222" i="3"/>
  <c r="G222" i="3"/>
  <c r="F222" i="3"/>
  <c r="N221" i="3"/>
  <c r="M221" i="3"/>
  <c r="L221" i="3"/>
  <c r="K221" i="3"/>
  <c r="J221" i="3"/>
  <c r="I221" i="3"/>
  <c r="H221" i="3"/>
  <c r="G221" i="3"/>
  <c r="F221" i="3"/>
  <c r="M220" i="3"/>
  <c r="L220" i="3"/>
  <c r="K220" i="3"/>
  <c r="J220" i="3"/>
  <c r="N220" i="3" s="1"/>
  <c r="I220" i="3"/>
  <c r="H220" i="3"/>
  <c r="G220" i="3"/>
  <c r="F220" i="3"/>
  <c r="N219" i="3"/>
  <c r="M219" i="3"/>
  <c r="L219" i="3"/>
  <c r="K219" i="3"/>
  <c r="J219" i="3"/>
  <c r="I219" i="3"/>
  <c r="H219" i="3"/>
  <c r="G219" i="3"/>
  <c r="F219" i="3"/>
  <c r="N218" i="3"/>
  <c r="M218" i="3"/>
  <c r="L218" i="3"/>
  <c r="K218" i="3"/>
  <c r="J218" i="3"/>
  <c r="I218" i="3"/>
  <c r="H218" i="3"/>
  <c r="G218" i="3"/>
  <c r="F218" i="3"/>
  <c r="M217" i="3"/>
  <c r="L217" i="3"/>
  <c r="K217" i="3"/>
  <c r="J217" i="3"/>
  <c r="N217" i="3" s="1"/>
  <c r="I217" i="3"/>
  <c r="H217" i="3"/>
  <c r="G217" i="3"/>
  <c r="F217" i="3"/>
  <c r="N216" i="3"/>
  <c r="M216" i="3"/>
  <c r="L216" i="3"/>
  <c r="K216" i="3"/>
  <c r="J216" i="3"/>
  <c r="I216" i="3"/>
  <c r="H216" i="3"/>
  <c r="G216" i="3"/>
  <c r="F216" i="3"/>
  <c r="M215" i="3"/>
  <c r="L215" i="3"/>
  <c r="K215" i="3"/>
  <c r="J215" i="3"/>
  <c r="N215" i="3" s="1"/>
  <c r="I215" i="3"/>
  <c r="H215" i="3"/>
  <c r="G215" i="3"/>
  <c r="F215" i="3"/>
  <c r="M214" i="3"/>
  <c r="L214" i="3"/>
  <c r="K214" i="3"/>
  <c r="J214" i="3"/>
  <c r="N214" i="3" s="1"/>
  <c r="I214" i="3"/>
  <c r="H214" i="3"/>
  <c r="G214" i="3"/>
  <c r="F214" i="3"/>
  <c r="N213" i="3"/>
  <c r="M213" i="3"/>
  <c r="L213" i="3"/>
  <c r="K213" i="3"/>
  <c r="J213" i="3"/>
  <c r="I213" i="3"/>
  <c r="H213" i="3"/>
  <c r="G213" i="3"/>
  <c r="F213" i="3"/>
  <c r="N212" i="3"/>
  <c r="M212" i="3"/>
  <c r="L212" i="3"/>
  <c r="K212" i="3"/>
  <c r="J212" i="3"/>
  <c r="I212" i="3"/>
  <c r="H212" i="3"/>
  <c r="G212" i="3"/>
  <c r="F212" i="3"/>
  <c r="N211" i="3"/>
  <c r="M211" i="3"/>
  <c r="L211" i="3"/>
  <c r="K211" i="3"/>
  <c r="J211" i="3"/>
  <c r="I211" i="3"/>
  <c r="H211" i="3"/>
  <c r="G211" i="3"/>
  <c r="F211" i="3"/>
  <c r="N210" i="3"/>
  <c r="M210" i="3"/>
  <c r="L210" i="3"/>
  <c r="K210" i="3"/>
  <c r="J210" i="3"/>
  <c r="I210" i="3"/>
  <c r="H210" i="3"/>
  <c r="G210" i="3"/>
  <c r="F210" i="3"/>
  <c r="M209" i="3"/>
  <c r="L209" i="3"/>
  <c r="K209" i="3"/>
  <c r="J209" i="3"/>
  <c r="N209" i="3" s="1"/>
  <c r="I209" i="3"/>
  <c r="H209" i="3"/>
  <c r="G209" i="3"/>
  <c r="F209" i="3"/>
  <c r="N208" i="3"/>
  <c r="M208" i="3"/>
  <c r="L208" i="3"/>
  <c r="K208" i="3"/>
  <c r="J208" i="3"/>
  <c r="I208" i="3"/>
  <c r="H208" i="3"/>
  <c r="G208" i="3"/>
  <c r="F208" i="3"/>
  <c r="M207" i="3"/>
  <c r="L207" i="3"/>
  <c r="K207" i="3"/>
  <c r="J207" i="3"/>
  <c r="N207" i="3" s="1"/>
  <c r="I207" i="3"/>
  <c r="H207" i="3"/>
  <c r="G207" i="3"/>
  <c r="F207" i="3"/>
  <c r="M206" i="3"/>
  <c r="L206" i="3"/>
  <c r="K206" i="3"/>
  <c r="J206" i="3"/>
  <c r="N206" i="3" s="1"/>
  <c r="I206" i="3"/>
  <c r="H206" i="3"/>
  <c r="G206" i="3"/>
  <c r="F206" i="3"/>
  <c r="N205" i="3"/>
  <c r="M205" i="3"/>
  <c r="L205" i="3"/>
  <c r="K205" i="3"/>
  <c r="J205" i="3"/>
  <c r="I205" i="3"/>
  <c r="H205" i="3"/>
  <c r="G205" i="3"/>
  <c r="F205" i="3"/>
  <c r="N204" i="3"/>
  <c r="M204" i="3"/>
  <c r="L204" i="3"/>
  <c r="K204" i="3"/>
  <c r="J204" i="3"/>
  <c r="I204" i="3"/>
  <c r="H204" i="3"/>
  <c r="G204" i="3"/>
  <c r="F204" i="3"/>
  <c r="N203" i="3"/>
  <c r="M203" i="3"/>
  <c r="L203" i="3"/>
  <c r="K203" i="3"/>
  <c r="J203" i="3"/>
  <c r="I203" i="3"/>
  <c r="H203" i="3"/>
  <c r="G203" i="3"/>
  <c r="F203" i="3"/>
  <c r="N202" i="3"/>
  <c r="M202" i="3"/>
  <c r="L202" i="3"/>
  <c r="K202" i="3"/>
  <c r="J202" i="3"/>
  <c r="I202" i="3"/>
  <c r="H202" i="3"/>
  <c r="G202" i="3"/>
  <c r="F202" i="3"/>
  <c r="M201" i="3"/>
  <c r="L201" i="3"/>
  <c r="K201" i="3"/>
  <c r="J201" i="3"/>
  <c r="N201" i="3" s="1"/>
  <c r="I201" i="3"/>
  <c r="H201" i="3"/>
  <c r="G201" i="3"/>
  <c r="F201" i="3"/>
  <c r="N200" i="3"/>
  <c r="M200" i="3"/>
  <c r="L200" i="3"/>
  <c r="K200" i="3"/>
  <c r="J200" i="3"/>
  <c r="I200" i="3"/>
  <c r="H200" i="3"/>
  <c r="G200" i="3"/>
  <c r="F200" i="3"/>
  <c r="M199" i="3"/>
  <c r="L199" i="3"/>
  <c r="K199" i="3"/>
  <c r="J199" i="3"/>
  <c r="N199" i="3" s="1"/>
  <c r="I199" i="3"/>
  <c r="H199" i="3"/>
  <c r="G199" i="3"/>
  <c r="F199" i="3"/>
  <c r="M198" i="3"/>
  <c r="L198" i="3"/>
  <c r="K198" i="3"/>
  <c r="J198" i="3"/>
  <c r="N198" i="3" s="1"/>
  <c r="I198" i="3"/>
  <c r="H198" i="3"/>
  <c r="G198" i="3"/>
  <c r="F198" i="3"/>
  <c r="N197" i="3"/>
  <c r="M197" i="3"/>
  <c r="L197" i="3"/>
  <c r="K197" i="3"/>
  <c r="J197" i="3"/>
  <c r="I197" i="3"/>
  <c r="H197" i="3"/>
  <c r="G197" i="3"/>
  <c r="F197" i="3"/>
  <c r="M196" i="3"/>
  <c r="L196" i="3"/>
  <c r="K196" i="3"/>
  <c r="J196" i="3"/>
  <c r="N196" i="3" s="1"/>
  <c r="I196" i="3"/>
  <c r="H196" i="3"/>
  <c r="G196" i="3"/>
  <c r="F196" i="3"/>
  <c r="N195" i="3"/>
  <c r="M195" i="3"/>
  <c r="L195" i="3"/>
  <c r="K195" i="3"/>
  <c r="J195" i="3"/>
  <c r="I195" i="3"/>
  <c r="H195" i="3"/>
  <c r="G195" i="3"/>
  <c r="F195" i="3"/>
  <c r="N194" i="3"/>
  <c r="M194" i="3"/>
  <c r="L194" i="3"/>
  <c r="K194" i="3"/>
  <c r="J194" i="3"/>
  <c r="I194" i="3"/>
  <c r="H194" i="3"/>
  <c r="G194" i="3"/>
  <c r="F194" i="3"/>
  <c r="M193" i="3"/>
  <c r="L193" i="3"/>
  <c r="K193" i="3"/>
  <c r="J193" i="3"/>
  <c r="N193" i="3" s="1"/>
  <c r="I193" i="3"/>
  <c r="H193" i="3"/>
  <c r="G193" i="3"/>
  <c r="F193" i="3"/>
  <c r="N192" i="3"/>
  <c r="M192" i="3"/>
  <c r="L192" i="3"/>
  <c r="K192" i="3"/>
  <c r="J192" i="3"/>
  <c r="I192" i="3"/>
  <c r="H192" i="3"/>
  <c r="G192" i="3"/>
  <c r="F192" i="3"/>
  <c r="M191" i="3"/>
  <c r="L191" i="3"/>
  <c r="K191" i="3"/>
  <c r="J191" i="3"/>
  <c r="N191" i="3" s="1"/>
  <c r="I191" i="3"/>
  <c r="H191" i="3"/>
  <c r="G191" i="3"/>
  <c r="F191" i="3"/>
  <c r="M190" i="3"/>
  <c r="L190" i="3"/>
  <c r="K190" i="3"/>
  <c r="J190" i="3"/>
  <c r="N190" i="3" s="1"/>
  <c r="I190" i="3"/>
  <c r="H190" i="3"/>
  <c r="G190" i="3"/>
  <c r="F190" i="3"/>
  <c r="N189" i="3"/>
  <c r="M189" i="3"/>
  <c r="L189" i="3"/>
  <c r="K189" i="3"/>
  <c r="J189" i="3"/>
  <c r="I189" i="3"/>
  <c r="H189" i="3"/>
  <c r="G189" i="3"/>
  <c r="F189" i="3"/>
  <c r="M188" i="3"/>
  <c r="L188" i="3"/>
  <c r="K188" i="3"/>
  <c r="J188" i="3"/>
  <c r="N188" i="3" s="1"/>
  <c r="I188" i="3"/>
  <c r="H188" i="3"/>
  <c r="G188" i="3"/>
  <c r="F188" i="3"/>
  <c r="N187" i="3"/>
  <c r="M187" i="3"/>
  <c r="L187" i="3"/>
  <c r="K187" i="3"/>
  <c r="J187" i="3"/>
  <c r="I187" i="3"/>
  <c r="H187" i="3"/>
  <c r="G187" i="3"/>
  <c r="F187" i="3"/>
  <c r="N186" i="3"/>
  <c r="M186" i="3"/>
  <c r="L186" i="3"/>
  <c r="K186" i="3"/>
  <c r="J186" i="3"/>
  <c r="I186" i="3"/>
  <c r="H186" i="3"/>
  <c r="G186" i="3"/>
  <c r="F186" i="3"/>
  <c r="M185" i="3"/>
  <c r="L185" i="3"/>
  <c r="K185" i="3"/>
  <c r="J185" i="3"/>
  <c r="N185" i="3" s="1"/>
  <c r="I185" i="3"/>
  <c r="H185" i="3"/>
  <c r="G185" i="3"/>
  <c r="F185" i="3"/>
  <c r="M184" i="3"/>
  <c r="L184" i="3"/>
  <c r="K184" i="3"/>
  <c r="J184" i="3"/>
  <c r="N184" i="3" s="1"/>
  <c r="I184" i="3"/>
  <c r="H184" i="3"/>
  <c r="G184" i="3"/>
  <c r="F184" i="3"/>
  <c r="M183" i="3"/>
  <c r="L183" i="3"/>
  <c r="K183" i="3"/>
  <c r="J183" i="3"/>
  <c r="N183" i="3" s="1"/>
  <c r="I183" i="3"/>
  <c r="H183" i="3"/>
  <c r="G183" i="3"/>
  <c r="F183" i="3"/>
  <c r="M182" i="3"/>
  <c r="L182" i="3"/>
  <c r="K182" i="3"/>
  <c r="J182" i="3"/>
  <c r="N182" i="3" s="1"/>
  <c r="I182" i="3"/>
  <c r="H182" i="3"/>
  <c r="G182" i="3"/>
  <c r="F182" i="3"/>
  <c r="N181" i="3"/>
  <c r="M181" i="3"/>
  <c r="L181" i="3"/>
  <c r="K181" i="3"/>
  <c r="J181" i="3"/>
  <c r="I181" i="3"/>
  <c r="H181" i="3"/>
  <c r="G181" i="3"/>
  <c r="F181" i="3"/>
  <c r="M180" i="3"/>
  <c r="L180" i="3"/>
  <c r="K180" i="3"/>
  <c r="J180" i="3"/>
  <c r="N180" i="3" s="1"/>
  <c r="I180" i="3"/>
  <c r="H180" i="3"/>
  <c r="G180" i="3"/>
  <c r="F180" i="3"/>
  <c r="N179" i="3"/>
  <c r="M179" i="3"/>
  <c r="L179" i="3"/>
  <c r="K179" i="3"/>
  <c r="J179" i="3"/>
  <c r="I179" i="3"/>
  <c r="H179" i="3"/>
  <c r="G179" i="3"/>
  <c r="F179" i="3"/>
  <c r="N178" i="3"/>
  <c r="M178" i="3"/>
  <c r="L178" i="3"/>
  <c r="K178" i="3"/>
  <c r="J178" i="3"/>
  <c r="I178" i="3"/>
  <c r="H178" i="3"/>
  <c r="G178" i="3"/>
  <c r="F178" i="3"/>
  <c r="M177" i="3"/>
  <c r="L177" i="3"/>
  <c r="K177" i="3"/>
  <c r="J177" i="3"/>
  <c r="N177" i="3" s="1"/>
  <c r="I177" i="3"/>
  <c r="H177" i="3"/>
  <c r="G177" i="3"/>
  <c r="F177" i="3"/>
  <c r="M176" i="3"/>
  <c r="L176" i="3"/>
  <c r="K176" i="3"/>
  <c r="J176" i="3"/>
  <c r="N176" i="3" s="1"/>
  <c r="I176" i="3"/>
  <c r="H176" i="3"/>
  <c r="G176" i="3"/>
  <c r="F176" i="3"/>
  <c r="M175" i="3"/>
  <c r="L175" i="3"/>
  <c r="K175" i="3"/>
  <c r="J175" i="3"/>
  <c r="N175" i="3" s="1"/>
  <c r="I175" i="3"/>
  <c r="H175" i="3"/>
  <c r="G175" i="3"/>
  <c r="F175" i="3"/>
  <c r="M174" i="3"/>
  <c r="L174" i="3"/>
  <c r="K174" i="3"/>
  <c r="J174" i="3"/>
  <c r="N174" i="3" s="1"/>
  <c r="I174" i="3"/>
  <c r="H174" i="3"/>
  <c r="G174" i="3"/>
  <c r="F174" i="3"/>
  <c r="N173" i="3"/>
  <c r="M173" i="3"/>
  <c r="L173" i="3"/>
  <c r="K173" i="3"/>
  <c r="J173" i="3"/>
  <c r="I173" i="3"/>
  <c r="H173" i="3"/>
  <c r="G173" i="3"/>
  <c r="F173" i="3"/>
  <c r="M172" i="3"/>
  <c r="L172" i="3"/>
  <c r="K172" i="3"/>
  <c r="J172" i="3"/>
  <c r="N172" i="3" s="1"/>
  <c r="I172" i="3"/>
  <c r="H172" i="3"/>
  <c r="G172" i="3"/>
  <c r="F172" i="3"/>
  <c r="N171" i="3"/>
  <c r="M171" i="3"/>
  <c r="L171" i="3"/>
  <c r="K171" i="3"/>
  <c r="J171" i="3"/>
  <c r="I171" i="3"/>
  <c r="H171" i="3"/>
  <c r="G171" i="3"/>
  <c r="F171" i="3"/>
  <c r="N170" i="3"/>
  <c r="M170" i="3"/>
  <c r="L170" i="3"/>
  <c r="K170" i="3"/>
  <c r="J170" i="3"/>
  <c r="I170" i="3"/>
  <c r="H170" i="3"/>
  <c r="G170" i="3"/>
  <c r="F170" i="3"/>
  <c r="M169" i="3"/>
  <c r="L169" i="3"/>
  <c r="K169" i="3"/>
  <c r="J169" i="3"/>
  <c r="N169" i="3" s="1"/>
  <c r="I169" i="3"/>
  <c r="H169" i="3"/>
  <c r="G169" i="3"/>
  <c r="F169" i="3"/>
  <c r="M168" i="3"/>
  <c r="L168" i="3"/>
  <c r="K168" i="3"/>
  <c r="J168" i="3"/>
  <c r="N168" i="3" s="1"/>
  <c r="I168" i="3"/>
  <c r="H168" i="3"/>
  <c r="G168" i="3"/>
  <c r="F168" i="3"/>
  <c r="M167" i="3"/>
  <c r="L167" i="3"/>
  <c r="K167" i="3"/>
  <c r="J167" i="3"/>
  <c r="N167" i="3" s="1"/>
  <c r="I167" i="3"/>
  <c r="H167" i="3"/>
  <c r="G167" i="3"/>
  <c r="F167" i="3"/>
  <c r="M166" i="3"/>
  <c r="L166" i="3"/>
  <c r="K166" i="3"/>
  <c r="J166" i="3"/>
  <c r="N166" i="3" s="1"/>
  <c r="I166" i="3"/>
  <c r="H166" i="3"/>
  <c r="G166" i="3"/>
  <c r="F166" i="3"/>
  <c r="N165" i="3"/>
  <c r="M165" i="3"/>
  <c r="L165" i="3"/>
  <c r="K165" i="3"/>
  <c r="J165" i="3"/>
  <c r="I165" i="3"/>
  <c r="H165" i="3"/>
  <c r="G165" i="3"/>
  <c r="F165" i="3"/>
  <c r="N164" i="3"/>
  <c r="M164" i="3"/>
  <c r="L164" i="3"/>
  <c r="K164" i="3"/>
  <c r="J164" i="3"/>
  <c r="I164" i="3"/>
  <c r="H164" i="3"/>
  <c r="G164" i="3"/>
  <c r="F164" i="3"/>
  <c r="N163" i="3"/>
  <c r="M163" i="3"/>
  <c r="L163" i="3"/>
  <c r="K163" i="3"/>
  <c r="J163" i="3"/>
  <c r="I163" i="3"/>
  <c r="H163" i="3"/>
  <c r="G163" i="3"/>
  <c r="F163" i="3"/>
  <c r="N162" i="3"/>
  <c r="M162" i="3"/>
  <c r="L162" i="3"/>
  <c r="K162" i="3"/>
  <c r="J162" i="3"/>
  <c r="I162" i="3"/>
  <c r="H162" i="3"/>
  <c r="G162" i="3"/>
  <c r="F162" i="3"/>
  <c r="M161" i="3"/>
  <c r="L161" i="3"/>
  <c r="K161" i="3"/>
  <c r="J161" i="3"/>
  <c r="N161" i="3" s="1"/>
  <c r="I161" i="3"/>
  <c r="H161" i="3"/>
  <c r="G161" i="3"/>
  <c r="F161" i="3"/>
  <c r="M160" i="3"/>
  <c r="L160" i="3"/>
  <c r="K160" i="3"/>
  <c r="J160" i="3"/>
  <c r="N160" i="3" s="1"/>
  <c r="I160" i="3"/>
  <c r="H160" i="3"/>
  <c r="G160" i="3"/>
  <c r="F160" i="3"/>
  <c r="M159" i="3"/>
  <c r="L159" i="3"/>
  <c r="K159" i="3"/>
  <c r="J159" i="3"/>
  <c r="N159" i="3" s="1"/>
  <c r="I159" i="3"/>
  <c r="H159" i="3"/>
  <c r="G159" i="3"/>
  <c r="F159" i="3"/>
  <c r="M158" i="3"/>
  <c r="L158" i="3"/>
  <c r="K158" i="3"/>
  <c r="J158" i="3"/>
  <c r="N158" i="3" s="1"/>
  <c r="I158" i="3"/>
  <c r="H158" i="3"/>
  <c r="G158" i="3"/>
  <c r="F158" i="3"/>
  <c r="N157" i="3"/>
  <c r="M157" i="3"/>
  <c r="L157" i="3"/>
  <c r="K157" i="3"/>
  <c r="J157" i="3"/>
  <c r="I157" i="3"/>
  <c r="H157" i="3"/>
  <c r="G157" i="3"/>
  <c r="F157" i="3"/>
  <c r="M156" i="3"/>
  <c r="L156" i="3"/>
  <c r="K156" i="3"/>
  <c r="J156" i="3"/>
  <c r="N156" i="3" s="1"/>
  <c r="I156" i="3"/>
  <c r="H156" i="3"/>
  <c r="G156" i="3"/>
  <c r="F156" i="3"/>
  <c r="N155" i="3"/>
  <c r="M155" i="3"/>
  <c r="L155" i="3"/>
  <c r="K155" i="3"/>
  <c r="J155" i="3"/>
  <c r="I155" i="3"/>
  <c r="H155" i="3"/>
  <c r="G155" i="3"/>
  <c r="F155" i="3"/>
  <c r="N154" i="3"/>
  <c r="M154" i="3"/>
  <c r="L154" i="3"/>
  <c r="K154" i="3"/>
  <c r="J154" i="3"/>
  <c r="I154" i="3"/>
  <c r="H154" i="3"/>
  <c r="G154" i="3"/>
  <c r="F154" i="3"/>
  <c r="M153" i="3"/>
  <c r="L153" i="3"/>
  <c r="K153" i="3"/>
  <c r="J153" i="3"/>
  <c r="N153" i="3" s="1"/>
  <c r="I153" i="3"/>
  <c r="H153" i="3"/>
  <c r="G153" i="3"/>
  <c r="F153" i="3"/>
  <c r="N152" i="3"/>
  <c r="M152" i="3"/>
  <c r="L152" i="3"/>
  <c r="K152" i="3"/>
  <c r="J152" i="3"/>
  <c r="I152" i="3"/>
  <c r="H152" i="3"/>
  <c r="G152" i="3"/>
  <c r="F152" i="3"/>
  <c r="M151" i="3"/>
  <c r="L151" i="3"/>
  <c r="K151" i="3"/>
  <c r="J151" i="3"/>
  <c r="N151" i="3" s="1"/>
  <c r="I151" i="3"/>
  <c r="H151" i="3"/>
  <c r="G151" i="3"/>
  <c r="F151" i="3"/>
  <c r="M150" i="3"/>
  <c r="L150" i="3"/>
  <c r="K150" i="3"/>
  <c r="J150" i="3"/>
  <c r="N150" i="3" s="1"/>
  <c r="I150" i="3"/>
  <c r="H150" i="3"/>
  <c r="G150" i="3"/>
  <c r="F150" i="3"/>
  <c r="N149" i="3"/>
  <c r="M149" i="3"/>
  <c r="L149" i="3"/>
  <c r="K149" i="3"/>
  <c r="J149" i="3"/>
  <c r="I149" i="3"/>
  <c r="H149" i="3"/>
  <c r="G149" i="3"/>
  <c r="F149" i="3"/>
  <c r="N148" i="3"/>
  <c r="M148" i="3"/>
  <c r="L148" i="3"/>
  <c r="K148" i="3"/>
  <c r="J148" i="3"/>
  <c r="I148" i="3"/>
  <c r="H148" i="3"/>
  <c r="G148" i="3"/>
  <c r="F148" i="3"/>
  <c r="N147" i="3"/>
  <c r="M147" i="3"/>
  <c r="L147" i="3"/>
  <c r="K147" i="3"/>
  <c r="J147" i="3"/>
  <c r="I147" i="3"/>
  <c r="H147" i="3"/>
  <c r="G147" i="3"/>
  <c r="F147" i="3"/>
  <c r="N146" i="3"/>
  <c r="M146" i="3"/>
  <c r="L146" i="3"/>
  <c r="K146" i="3"/>
  <c r="J146" i="3"/>
  <c r="I146" i="3"/>
  <c r="H146" i="3"/>
  <c r="G146" i="3"/>
  <c r="F146" i="3"/>
  <c r="M145" i="3"/>
  <c r="L145" i="3"/>
  <c r="K145" i="3"/>
  <c r="J145" i="3"/>
  <c r="N145" i="3" s="1"/>
  <c r="I145" i="3"/>
  <c r="H145" i="3"/>
  <c r="G145" i="3"/>
  <c r="F145" i="3"/>
  <c r="M144" i="3"/>
  <c r="L144" i="3"/>
  <c r="K144" i="3"/>
  <c r="J144" i="3"/>
  <c r="N144" i="3" s="1"/>
  <c r="I144" i="3"/>
  <c r="H144" i="3"/>
  <c r="G144" i="3"/>
  <c r="F144" i="3"/>
  <c r="M143" i="3"/>
  <c r="L143" i="3"/>
  <c r="K143" i="3"/>
  <c r="J143" i="3"/>
  <c r="N143" i="3" s="1"/>
  <c r="I143" i="3"/>
  <c r="H143" i="3"/>
  <c r="G143" i="3"/>
  <c r="F143" i="3"/>
  <c r="M142" i="3"/>
  <c r="L142" i="3"/>
  <c r="K142" i="3"/>
  <c r="J142" i="3"/>
  <c r="N142" i="3" s="1"/>
  <c r="I142" i="3"/>
  <c r="H142" i="3"/>
  <c r="G142" i="3"/>
  <c r="F142" i="3"/>
  <c r="N141" i="3"/>
  <c r="M141" i="3"/>
  <c r="L141" i="3"/>
  <c r="K141" i="3"/>
  <c r="J141" i="3"/>
  <c r="I141" i="3"/>
  <c r="H141" i="3"/>
  <c r="G141" i="3"/>
  <c r="F141" i="3"/>
  <c r="N140" i="3"/>
  <c r="M140" i="3"/>
  <c r="L140" i="3"/>
  <c r="K140" i="3"/>
  <c r="J140" i="3"/>
  <c r="I140" i="3"/>
  <c r="H140" i="3"/>
  <c r="G140" i="3"/>
  <c r="F140" i="3"/>
  <c r="N139" i="3"/>
  <c r="M139" i="3"/>
  <c r="L139" i="3"/>
  <c r="K139" i="3"/>
  <c r="J139" i="3"/>
  <c r="I139" i="3"/>
  <c r="H139" i="3"/>
  <c r="G139" i="3"/>
  <c r="F139" i="3"/>
  <c r="N138" i="3"/>
  <c r="M138" i="3"/>
  <c r="L138" i="3"/>
  <c r="K138" i="3"/>
  <c r="J138" i="3"/>
  <c r="I138" i="3"/>
  <c r="H138" i="3"/>
  <c r="G138" i="3"/>
  <c r="F138" i="3"/>
  <c r="M137" i="3"/>
  <c r="L137" i="3"/>
  <c r="K137" i="3"/>
  <c r="J137" i="3"/>
  <c r="N137" i="3" s="1"/>
  <c r="I137" i="3"/>
  <c r="H137" i="3"/>
  <c r="G137" i="3"/>
  <c r="F137" i="3"/>
  <c r="N136" i="3"/>
  <c r="M136" i="3"/>
  <c r="L136" i="3"/>
  <c r="K136" i="3"/>
  <c r="J136" i="3"/>
  <c r="I136" i="3"/>
  <c r="H136" i="3"/>
  <c r="G136" i="3"/>
  <c r="F136" i="3"/>
  <c r="M135" i="3"/>
  <c r="L135" i="3"/>
  <c r="K135" i="3"/>
  <c r="J135" i="3"/>
  <c r="N135" i="3" s="1"/>
  <c r="I135" i="3"/>
  <c r="H135" i="3"/>
  <c r="G135" i="3"/>
  <c r="F135" i="3"/>
  <c r="M134" i="3"/>
  <c r="L134" i="3"/>
  <c r="K134" i="3"/>
  <c r="J134" i="3"/>
  <c r="N134" i="3" s="1"/>
  <c r="I134" i="3"/>
  <c r="H134" i="3"/>
  <c r="G134" i="3"/>
  <c r="F134" i="3"/>
  <c r="N133" i="3"/>
  <c r="M133" i="3"/>
  <c r="L133" i="3"/>
  <c r="K133" i="3"/>
  <c r="J133" i="3"/>
  <c r="I133" i="3"/>
  <c r="H133" i="3"/>
  <c r="G133" i="3"/>
  <c r="F133" i="3"/>
  <c r="M132" i="3"/>
  <c r="L132" i="3"/>
  <c r="K132" i="3"/>
  <c r="J132" i="3"/>
  <c r="N132" i="3" s="1"/>
  <c r="I132" i="3"/>
  <c r="H132" i="3"/>
  <c r="G132" i="3"/>
  <c r="F132" i="3"/>
  <c r="N131" i="3"/>
  <c r="M131" i="3"/>
  <c r="L131" i="3"/>
  <c r="K131" i="3"/>
  <c r="J131" i="3"/>
  <c r="I131" i="3"/>
  <c r="H131" i="3"/>
  <c r="G131" i="3"/>
  <c r="F131" i="3"/>
  <c r="N130" i="3"/>
  <c r="M130" i="3"/>
  <c r="L130" i="3"/>
  <c r="K130" i="3"/>
  <c r="J130" i="3"/>
  <c r="I130" i="3"/>
  <c r="H130" i="3"/>
  <c r="G130" i="3"/>
  <c r="F130" i="3"/>
  <c r="M129" i="3"/>
  <c r="L129" i="3"/>
  <c r="K129" i="3"/>
  <c r="J129" i="3"/>
  <c r="N129" i="3" s="1"/>
  <c r="I129" i="3"/>
  <c r="H129" i="3"/>
  <c r="G129" i="3"/>
  <c r="F129" i="3"/>
  <c r="N128" i="3"/>
  <c r="M128" i="3"/>
  <c r="L128" i="3"/>
  <c r="K128" i="3"/>
  <c r="J128" i="3"/>
  <c r="I128" i="3"/>
  <c r="H128" i="3"/>
  <c r="G128" i="3"/>
  <c r="F128" i="3"/>
  <c r="M127" i="3"/>
  <c r="L127" i="3"/>
  <c r="K127" i="3"/>
  <c r="J127" i="3"/>
  <c r="N127" i="3" s="1"/>
  <c r="I127" i="3"/>
  <c r="H127" i="3"/>
  <c r="G127" i="3"/>
  <c r="F127" i="3"/>
  <c r="M126" i="3"/>
  <c r="L126" i="3"/>
  <c r="K126" i="3"/>
  <c r="J126" i="3"/>
  <c r="N126" i="3" s="1"/>
  <c r="I126" i="3"/>
  <c r="H126" i="3"/>
  <c r="G126" i="3"/>
  <c r="F126" i="3"/>
  <c r="N125" i="3"/>
  <c r="M125" i="3"/>
  <c r="L125" i="3"/>
  <c r="K125" i="3"/>
  <c r="J125" i="3"/>
  <c r="I125" i="3"/>
  <c r="H125" i="3"/>
  <c r="G125" i="3"/>
  <c r="F125" i="3"/>
  <c r="M124" i="3"/>
  <c r="L124" i="3"/>
  <c r="K124" i="3"/>
  <c r="J124" i="3"/>
  <c r="N124" i="3" s="1"/>
  <c r="I124" i="3"/>
  <c r="H124" i="3"/>
  <c r="G124" i="3"/>
  <c r="F124" i="3"/>
  <c r="N123" i="3"/>
  <c r="M123" i="3"/>
  <c r="L123" i="3"/>
  <c r="K123" i="3"/>
  <c r="J123" i="3"/>
  <c r="I123" i="3"/>
  <c r="H123" i="3"/>
  <c r="G123" i="3"/>
  <c r="F123" i="3"/>
  <c r="N122" i="3"/>
  <c r="M122" i="3"/>
  <c r="L122" i="3"/>
  <c r="K122" i="3"/>
  <c r="J122" i="3"/>
  <c r="I122" i="3"/>
  <c r="H122" i="3"/>
  <c r="G122" i="3"/>
  <c r="F122" i="3"/>
  <c r="M121" i="3"/>
  <c r="L121" i="3"/>
  <c r="K121" i="3"/>
  <c r="J121" i="3"/>
  <c r="N121" i="3" s="1"/>
  <c r="I121" i="3"/>
  <c r="H121" i="3"/>
  <c r="G121" i="3"/>
  <c r="F121" i="3"/>
  <c r="M120" i="3"/>
  <c r="L120" i="3"/>
  <c r="K120" i="3"/>
  <c r="J120" i="3"/>
  <c r="N120" i="3" s="1"/>
  <c r="I120" i="3"/>
  <c r="H120" i="3"/>
  <c r="G120" i="3"/>
  <c r="F120" i="3"/>
  <c r="M119" i="3"/>
  <c r="L119" i="3"/>
  <c r="K119" i="3"/>
  <c r="J119" i="3"/>
  <c r="N119" i="3" s="1"/>
  <c r="I119" i="3"/>
  <c r="H119" i="3"/>
  <c r="G119" i="3"/>
  <c r="F119" i="3"/>
  <c r="M118" i="3"/>
  <c r="L118" i="3"/>
  <c r="K118" i="3"/>
  <c r="J118" i="3"/>
  <c r="N118" i="3" s="1"/>
  <c r="I118" i="3"/>
  <c r="H118" i="3"/>
  <c r="G118" i="3"/>
  <c r="F118" i="3"/>
  <c r="N117" i="3"/>
  <c r="M117" i="3"/>
  <c r="L117" i="3"/>
  <c r="K117" i="3"/>
  <c r="J117" i="3"/>
  <c r="I117" i="3"/>
  <c r="H117" i="3"/>
  <c r="G117" i="3"/>
  <c r="F117" i="3"/>
  <c r="M116" i="3"/>
  <c r="L116" i="3"/>
  <c r="K116" i="3"/>
  <c r="J116" i="3"/>
  <c r="N116" i="3" s="1"/>
  <c r="I116" i="3"/>
  <c r="H116" i="3"/>
  <c r="G116" i="3"/>
  <c r="F116" i="3"/>
  <c r="N115" i="3"/>
  <c r="M115" i="3"/>
  <c r="L115" i="3"/>
  <c r="K115" i="3"/>
  <c r="J115" i="3"/>
  <c r="I115" i="3"/>
  <c r="H115" i="3"/>
  <c r="G115" i="3"/>
  <c r="F115" i="3"/>
  <c r="N114" i="3"/>
  <c r="M114" i="3"/>
  <c r="L114" i="3"/>
  <c r="K114" i="3"/>
  <c r="J114" i="3"/>
  <c r="I114" i="3"/>
  <c r="H114" i="3"/>
  <c r="G114" i="3"/>
  <c r="F114" i="3"/>
  <c r="M113" i="3"/>
  <c r="L113" i="3"/>
  <c r="K113" i="3"/>
  <c r="J113" i="3"/>
  <c r="N113" i="3" s="1"/>
  <c r="I113" i="3"/>
  <c r="H113" i="3"/>
  <c r="G113" i="3"/>
  <c r="F113" i="3"/>
  <c r="N112" i="3"/>
  <c r="M112" i="3"/>
  <c r="L112" i="3"/>
  <c r="K112" i="3"/>
  <c r="J112" i="3"/>
  <c r="I112" i="3"/>
  <c r="H112" i="3"/>
  <c r="G112" i="3"/>
  <c r="F112" i="3"/>
  <c r="M111" i="3"/>
  <c r="L111" i="3"/>
  <c r="K111" i="3"/>
  <c r="J111" i="3"/>
  <c r="N111" i="3" s="1"/>
  <c r="I111" i="3"/>
  <c r="H111" i="3"/>
  <c r="G111" i="3"/>
  <c r="F111" i="3"/>
  <c r="M110" i="3"/>
  <c r="L110" i="3"/>
  <c r="K110" i="3"/>
  <c r="J110" i="3"/>
  <c r="N110" i="3" s="1"/>
  <c r="I110" i="3"/>
  <c r="H110" i="3"/>
  <c r="G110" i="3"/>
  <c r="F110" i="3"/>
  <c r="N109" i="3"/>
  <c r="M109" i="3"/>
  <c r="L109" i="3"/>
  <c r="K109" i="3"/>
  <c r="J109" i="3"/>
  <c r="I109" i="3"/>
  <c r="H109" i="3"/>
  <c r="G109" i="3"/>
  <c r="F109" i="3"/>
  <c r="M108" i="3"/>
  <c r="L108" i="3"/>
  <c r="K108" i="3"/>
  <c r="J108" i="3"/>
  <c r="N108" i="3" s="1"/>
  <c r="I108" i="3"/>
  <c r="H108" i="3"/>
  <c r="G108" i="3"/>
  <c r="F108" i="3"/>
  <c r="N107" i="3"/>
  <c r="M107" i="3"/>
  <c r="L107" i="3"/>
  <c r="K107" i="3"/>
  <c r="J107" i="3"/>
  <c r="I107" i="3"/>
  <c r="H107" i="3"/>
  <c r="G107" i="3"/>
  <c r="F107" i="3"/>
  <c r="N106" i="3"/>
  <c r="M106" i="3"/>
  <c r="L106" i="3"/>
  <c r="K106" i="3"/>
  <c r="J106" i="3"/>
  <c r="I106" i="3"/>
  <c r="H106" i="3"/>
  <c r="G106" i="3"/>
  <c r="F106" i="3"/>
  <c r="M105" i="3"/>
  <c r="L105" i="3"/>
  <c r="K105" i="3"/>
  <c r="J105" i="3"/>
  <c r="N105" i="3" s="1"/>
  <c r="I105" i="3"/>
  <c r="H105" i="3"/>
  <c r="G105" i="3"/>
  <c r="F105" i="3"/>
  <c r="M104" i="3"/>
  <c r="L104" i="3"/>
  <c r="K104" i="3"/>
  <c r="J104" i="3"/>
  <c r="N104" i="3" s="1"/>
  <c r="I104" i="3"/>
  <c r="H104" i="3"/>
  <c r="G104" i="3"/>
  <c r="F104" i="3"/>
  <c r="M103" i="3"/>
  <c r="L103" i="3"/>
  <c r="K103" i="3"/>
  <c r="J103" i="3"/>
  <c r="N103" i="3" s="1"/>
  <c r="I103" i="3"/>
  <c r="H103" i="3"/>
  <c r="G103" i="3"/>
  <c r="F103" i="3"/>
  <c r="M102" i="3"/>
  <c r="L102" i="3"/>
  <c r="K102" i="3"/>
  <c r="J102" i="3"/>
  <c r="N102" i="3" s="1"/>
  <c r="I102" i="3"/>
  <c r="H102" i="3"/>
  <c r="G102" i="3"/>
  <c r="F102" i="3"/>
  <c r="N101" i="3"/>
  <c r="M101" i="3"/>
  <c r="L101" i="3"/>
  <c r="K101" i="3"/>
  <c r="J101" i="3"/>
  <c r="I101" i="3"/>
  <c r="H101" i="3"/>
  <c r="G101" i="3"/>
  <c r="F101" i="3"/>
  <c r="N100" i="3"/>
  <c r="M100" i="3"/>
  <c r="L100" i="3"/>
  <c r="K100" i="3"/>
  <c r="J100" i="3"/>
  <c r="I100" i="3"/>
  <c r="H100" i="3"/>
  <c r="G100" i="3"/>
  <c r="F100" i="3"/>
  <c r="N99" i="3"/>
  <c r="M99" i="3"/>
  <c r="L99" i="3"/>
  <c r="K99" i="3"/>
  <c r="J99" i="3"/>
  <c r="I99" i="3"/>
  <c r="H99" i="3"/>
  <c r="G99" i="3"/>
  <c r="F99" i="3"/>
  <c r="N98" i="3"/>
  <c r="M98" i="3"/>
  <c r="L98" i="3"/>
  <c r="K98" i="3"/>
  <c r="J98" i="3"/>
  <c r="I98" i="3"/>
  <c r="H98" i="3"/>
  <c r="G98" i="3"/>
  <c r="F98" i="3"/>
  <c r="M97" i="3"/>
  <c r="L97" i="3"/>
  <c r="K97" i="3"/>
  <c r="J97" i="3"/>
  <c r="N97" i="3" s="1"/>
  <c r="I97" i="3"/>
  <c r="H97" i="3"/>
  <c r="G97" i="3"/>
  <c r="F97" i="3"/>
  <c r="M96" i="3"/>
  <c r="L96" i="3"/>
  <c r="K96" i="3"/>
  <c r="J96" i="3"/>
  <c r="N96" i="3" s="1"/>
  <c r="I96" i="3"/>
  <c r="H96" i="3"/>
  <c r="G96" i="3"/>
  <c r="F96" i="3"/>
  <c r="M95" i="3"/>
  <c r="L95" i="3"/>
  <c r="K95" i="3"/>
  <c r="J95" i="3"/>
  <c r="N95" i="3" s="1"/>
  <c r="I95" i="3"/>
  <c r="H95" i="3"/>
  <c r="G95" i="3"/>
  <c r="F95" i="3"/>
  <c r="M94" i="3"/>
  <c r="L94" i="3"/>
  <c r="K94" i="3"/>
  <c r="J94" i="3"/>
  <c r="N94" i="3" s="1"/>
  <c r="I94" i="3"/>
  <c r="H94" i="3"/>
  <c r="G94" i="3"/>
  <c r="F94" i="3"/>
  <c r="N93" i="3"/>
  <c r="M93" i="3"/>
  <c r="L93" i="3"/>
  <c r="K93" i="3"/>
  <c r="J93" i="3"/>
  <c r="I93" i="3"/>
  <c r="H93" i="3"/>
  <c r="G93" i="3"/>
  <c r="F93" i="3"/>
  <c r="M92" i="3"/>
  <c r="L92" i="3"/>
  <c r="K92" i="3"/>
  <c r="J92" i="3"/>
  <c r="N92" i="3" s="1"/>
  <c r="I92" i="3"/>
  <c r="H92" i="3"/>
  <c r="G92" i="3"/>
  <c r="F92" i="3"/>
  <c r="N91" i="3"/>
  <c r="M91" i="3"/>
  <c r="L91" i="3"/>
  <c r="K91" i="3"/>
  <c r="J91" i="3"/>
  <c r="I91" i="3"/>
  <c r="H91" i="3"/>
  <c r="G91" i="3"/>
  <c r="F91" i="3"/>
  <c r="N90" i="3"/>
  <c r="M90" i="3"/>
  <c r="L90" i="3"/>
  <c r="K90" i="3"/>
  <c r="J90" i="3"/>
  <c r="I90" i="3"/>
  <c r="H90" i="3"/>
  <c r="G90" i="3"/>
  <c r="F90" i="3"/>
  <c r="M89" i="3"/>
  <c r="L89" i="3"/>
  <c r="K89" i="3"/>
  <c r="J89" i="3"/>
  <c r="N89" i="3" s="1"/>
  <c r="I89" i="3"/>
  <c r="H89" i="3"/>
  <c r="G89" i="3"/>
  <c r="F89" i="3"/>
  <c r="N88" i="3"/>
  <c r="M88" i="3"/>
  <c r="L88" i="3"/>
  <c r="K88" i="3"/>
  <c r="J88" i="3"/>
  <c r="I88" i="3"/>
  <c r="H88" i="3"/>
  <c r="G88" i="3"/>
  <c r="F88" i="3"/>
  <c r="M87" i="3"/>
  <c r="L87" i="3"/>
  <c r="K87" i="3"/>
  <c r="J87" i="3"/>
  <c r="N87" i="3" s="1"/>
  <c r="I87" i="3"/>
  <c r="H87" i="3"/>
  <c r="G87" i="3"/>
  <c r="F87" i="3"/>
  <c r="M86" i="3"/>
  <c r="L86" i="3"/>
  <c r="K86" i="3"/>
  <c r="J86" i="3"/>
  <c r="N86" i="3" s="1"/>
  <c r="I86" i="3"/>
  <c r="H86" i="3"/>
  <c r="G86" i="3"/>
  <c r="F86" i="3"/>
  <c r="N85" i="3"/>
  <c r="M85" i="3"/>
  <c r="L85" i="3"/>
  <c r="K85" i="3"/>
  <c r="J85" i="3"/>
  <c r="I85" i="3"/>
  <c r="H85" i="3"/>
  <c r="G85" i="3"/>
  <c r="F85" i="3"/>
  <c r="N84" i="3"/>
  <c r="M84" i="3"/>
  <c r="L84" i="3"/>
  <c r="K84" i="3"/>
  <c r="J84" i="3"/>
  <c r="I84" i="3"/>
  <c r="H84" i="3"/>
  <c r="G84" i="3"/>
  <c r="F84" i="3"/>
  <c r="N83" i="3"/>
  <c r="M83" i="3"/>
  <c r="L83" i="3"/>
  <c r="K83" i="3"/>
  <c r="J83" i="3"/>
  <c r="I83" i="3"/>
  <c r="H83" i="3"/>
  <c r="G83" i="3"/>
  <c r="F83" i="3"/>
  <c r="N82" i="3"/>
  <c r="M82" i="3"/>
  <c r="L82" i="3"/>
  <c r="K82" i="3"/>
  <c r="J82" i="3"/>
  <c r="I82" i="3"/>
  <c r="H82" i="3"/>
  <c r="G82" i="3"/>
  <c r="F82" i="3"/>
  <c r="M81" i="3"/>
  <c r="L81" i="3"/>
  <c r="K81" i="3"/>
  <c r="J81" i="3"/>
  <c r="N81" i="3" s="1"/>
  <c r="I81" i="3"/>
  <c r="H81" i="3"/>
  <c r="G81" i="3"/>
  <c r="F81" i="3"/>
  <c r="M80" i="3"/>
  <c r="L80" i="3"/>
  <c r="K80" i="3"/>
  <c r="J80" i="3"/>
  <c r="N80" i="3" s="1"/>
  <c r="I80" i="3"/>
  <c r="H80" i="3"/>
  <c r="G80" i="3"/>
  <c r="F80" i="3"/>
  <c r="M79" i="3"/>
  <c r="L79" i="3"/>
  <c r="K79" i="3"/>
  <c r="J79" i="3"/>
  <c r="N79" i="3" s="1"/>
  <c r="I79" i="3"/>
  <c r="H79" i="3"/>
  <c r="G79" i="3"/>
  <c r="F79" i="3"/>
  <c r="M78" i="3"/>
  <c r="L78" i="3"/>
  <c r="K78" i="3"/>
  <c r="J78" i="3"/>
  <c r="N78" i="3" s="1"/>
  <c r="I78" i="3"/>
  <c r="H78" i="3"/>
  <c r="G78" i="3"/>
  <c r="F78" i="3"/>
  <c r="N77" i="3"/>
  <c r="M77" i="3"/>
  <c r="L77" i="3"/>
  <c r="K77" i="3"/>
  <c r="J77" i="3"/>
  <c r="I77" i="3"/>
  <c r="H77" i="3"/>
  <c r="G77" i="3"/>
  <c r="F77" i="3"/>
  <c r="N76" i="3"/>
  <c r="M76" i="3"/>
  <c r="L76" i="3"/>
  <c r="K76" i="3"/>
  <c r="J76" i="3"/>
  <c r="I76" i="3"/>
  <c r="H76" i="3"/>
  <c r="G76" i="3"/>
  <c r="F76" i="3"/>
  <c r="N75" i="3"/>
  <c r="M75" i="3"/>
  <c r="L75" i="3"/>
  <c r="K75" i="3"/>
  <c r="J75" i="3"/>
  <c r="I75" i="3"/>
  <c r="H75" i="3"/>
  <c r="G75" i="3"/>
  <c r="F75" i="3"/>
  <c r="N74" i="3"/>
  <c r="M74" i="3"/>
  <c r="L74" i="3"/>
  <c r="K74" i="3"/>
  <c r="J74" i="3"/>
  <c r="I74" i="3"/>
  <c r="H74" i="3"/>
  <c r="G74" i="3"/>
  <c r="F74" i="3"/>
  <c r="M73" i="3"/>
  <c r="L73" i="3"/>
  <c r="K73" i="3"/>
  <c r="J73" i="3"/>
  <c r="N73" i="3" s="1"/>
  <c r="I73" i="3"/>
  <c r="H73" i="3"/>
  <c r="G73" i="3"/>
  <c r="F73" i="3"/>
  <c r="N72" i="3"/>
  <c r="M72" i="3"/>
  <c r="L72" i="3"/>
  <c r="K72" i="3"/>
  <c r="J72" i="3"/>
  <c r="I72" i="3"/>
  <c r="H72" i="3"/>
  <c r="G72" i="3"/>
  <c r="F72" i="3"/>
  <c r="M71" i="3"/>
  <c r="L71" i="3"/>
  <c r="K71" i="3"/>
  <c r="J71" i="3"/>
  <c r="N71" i="3" s="1"/>
  <c r="I71" i="3"/>
  <c r="H71" i="3"/>
  <c r="G71" i="3"/>
  <c r="F71" i="3"/>
  <c r="M70" i="3"/>
  <c r="L70" i="3"/>
  <c r="K70" i="3"/>
  <c r="J70" i="3"/>
  <c r="N70" i="3" s="1"/>
  <c r="I70" i="3"/>
  <c r="H70" i="3"/>
  <c r="G70" i="3"/>
  <c r="F70" i="3"/>
  <c r="N69" i="3"/>
  <c r="M69" i="3"/>
  <c r="L69" i="3"/>
  <c r="K69" i="3"/>
  <c r="J69" i="3"/>
  <c r="I69" i="3"/>
  <c r="H69" i="3"/>
  <c r="G69" i="3"/>
  <c r="F69" i="3"/>
  <c r="M68" i="3"/>
  <c r="L68" i="3"/>
  <c r="K68" i="3"/>
  <c r="J68" i="3"/>
  <c r="N68" i="3" s="1"/>
  <c r="I68" i="3"/>
  <c r="H68" i="3"/>
  <c r="G68" i="3"/>
  <c r="F68" i="3"/>
  <c r="N67" i="3"/>
  <c r="M67" i="3"/>
  <c r="L67" i="3"/>
  <c r="K67" i="3"/>
  <c r="J67" i="3"/>
  <c r="I67" i="3"/>
  <c r="H67" i="3"/>
  <c r="G67" i="3"/>
  <c r="F67" i="3"/>
  <c r="N66" i="3"/>
  <c r="M66" i="3"/>
  <c r="L66" i="3"/>
  <c r="K66" i="3"/>
  <c r="J66" i="3"/>
  <c r="I66" i="3"/>
  <c r="H66" i="3"/>
  <c r="G66" i="3"/>
  <c r="F66" i="3"/>
  <c r="M65" i="3"/>
  <c r="L65" i="3"/>
  <c r="K65" i="3"/>
  <c r="J65" i="3"/>
  <c r="N65" i="3" s="1"/>
  <c r="I65" i="3"/>
  <c r="H65" i="3"/>
  <c r="G65" i="3"/>
  <c r="F65" i="3"/>
  <c r="N64" i="3"/>
  <c r="M64" i="3"/>
  <c r="L64" i="3"/>
  <c r="K64" i="3"/>
  <c r="J64" i="3"/>
  <c r="I64" i="3"/>
  <c r="H64" i="3"/>
  <c r="G64" i="3"/>
  <c r="F64" i="3"/>
  <c r="M63" i="3"/>
  <c r="L63" i="3"/>
  <c r="K63" i="3"/>
  <c r="J63" i="3"/>
  <c r="N63" i="3" s="1"/>
  <c r="I63" i="3"/>
  <c r="H63" i="3"/>
  <c r="G63" i="3"/>
  <c r="F63" i="3"/>
  <c r="M62" i="3"/>
  <c r="L62" i="3"/>
  <c r="K62" i="3"/>
  <c r="J62" i="3"/>
  <c r="N62" i="3" s="1"/>
  <c r="I62" i="3"/>
  <c r="H62" i="3"/>
  <c r="G62" i="3"/>
  <c r="F62" i="3"/>
  <c r="N61" i="3"/>
  <c r="M61" i="3"/>
  <c r="L61" i="3"/>
  <c r="K61" i="3"/>
  <c r="J61" i="3"/>
  <c r="I61" i="3"/>
  <c r="H61" i="3"/>
  <c r="G61" i="3"/>
  <c r="F61" i="3"/>
  <c r="M60" i="3"/>
  <c r="L60" i="3"/>
  <c r="K60" i="3"/>
  <c r="J60" i="3"/>
  <c r="N60" i="3" s="1"/>
  <c r="I60" i="3"/>
  <c r="H60" i="3"/>
  <c r="G60" i="3"/>
  <c r="F60" i="3"/>
  <c r="N59" i="3"/>
  <c r="M59" i="3"/>
  <c r="L59" i="3"/>
  <c r="K59" i="3"/>
  <c r="J59" i="3"/>
  <c r="I59" i="3"/>
  <c r="H59" i="3"/>
  <c r="G59" i="3"/>
  <c r="F59" i="3"/>
  <c r="N58" i="3"/>
  <c r="M58" i="3"/>
  <c r="L58" i="3"/>
  <c r="K58" i="3"/>
  <c r="J58" i="3"/>
  <c r="I58" i="3"/>
  <c r="H58" i="3"/>
  <c r="G58" i="3"/>
  <c r="F58" i="3"/>
  <c r="M57" i="3"/>
  <c r="L57" i="3"/>
  <c r="K57" i="3"/>
  <c r="J57" i="3"/>
  <c r="N57" i="3" s="1"/>
  <c r="I57" i="3"/>
  <c r="H57" i="3"/>
  <c r="G57" i="3"/>
  <c r="F57" i="3"/>
  <c r="M56" i="3"/>
  <c r="L56" i="3"/>
  <c r="K56" i="3"/>
  <c r="J56" i="3"/>
  <c r="N56" i="3" s="1"/>
  <c r="I56" i="3"/>
  <c r="H56" i="3"/>
  <c r="G56" i="3"/>
  <c r="F56" i="3"/>
  <c r="M55" i="3"/>
  <c r="L55" i="3"/>
  <c r="K55" i="3"/>
  <c r="J55" i="3"/>
  <c r="N55" i="3" s="1"/>
  <c r="I55" i="3"/>
  <c r="H55" i="3"/>
  <c r="G55" i="3"/>
  <c r="F55" i="3"/>
  <c r="M54" i="3"/>
  <c r="L54" i="3"/>
  <c r="K54" i="3"/>
  <c r="J54" i="3"/>
  <c r="N54" i="3" s="1"/>
  <c r="I54" i="3"/>
  <c r="H54" i="3"/>
  <c r="G54" i="3"/>
  <c r="F54" i="3"/>
  <c r="N53" i="3"/>
  <c r="M53" i="3"/>
  <c r="L53" i="3"/>
  <c r="K53" i="3"/>
  <c r="J53" i="3"/>
  <c r="I53" i="3"/>
  <c r="H53" i="3"/>
  <c r="G53" i="3"/>
  <c r="F53" i="3"/>
  <c r="M52" i="3"/>
  <c r="L52" i="3"/>
  <c r="K52" i="3"/>
  <c r="J52" i="3"/>
  <c r="N52" i="3" s="1"/>
  <c r="I52" i="3"/>
  <c r="H52" i="3"/>
  <c r="G52" i="3"/>
  <c r="F52" i="3"/>
  <c r="N51" i="3"/>
  <c r="M51" i="3"/>
  <c r="L51" i="3"/>
  <c r="K51" i="3"/>
  <c r="J51" i="3"/>
  <c r="I51" i="3"/>
  <c r="H51" i="3"/>
  <c r="G51" i="3"/>
  <c r="F51" i="3"/>
  <c r="N50" i="3"/>
  <c r="M50" i="3"/>
  <c r="L50" i="3"/>
  <c r="K50" i="3"/>
  <c r="J50" i="3"/>
  <c r="I50" i="3"/>
  <c r="H50" i="3"/>
  <c r="G50" i="3"/>
  <c r="F50" i="3"/>
  <c r="M49" i="3"/>
  <c r="L49" i="3"/>
  <c r="K49" i="3"/>
  <c r="J49" i="3"/>
  <c r="N49" i="3" s="1"/>
  <c r="I49" i="3"/>
  <c r="H49" i="3"/>
  <c r="G49" i="3"/>
  <c r="F49" i="3"/>
  <c r="M48" i="3"/>
  <c r="L48" i="3"/>
  <c r="K48" i="3"/>
  <c r="J48" i="3"/>
  <c r="N48" i="3" s="1"/>
  <c r="I48" i="3"/>
  <c r="H48" i="3"/>
  <c r="G48" i="3"/>
  <c r="F48" i="3"/>
  <c r="M47" i="3"/>
  <c r="L47" i="3"/>
  <c r="K47" i="3"/>
  <c r="J47" i="3"/>
  <c r="N47" i="3" s="1"/>
  <c r="I47" i="3"/>
  <c r="H47" i="3"/>
  <c r="G47" i="3"/>
  <c r="F47" i="3"/>
  <c r="M46" i="3"/>
  <c r="L46" i="3"/>
  <c r="K46" i="3"/>
  <c r="J46" i="3"/>
  <c r="N46" i="3" s="1"/>
  <c r="I46" i="3"/>
  <c r="H46" i="3"/>
  <c r="G46" i="3"/>
  <c r="F46" i="3"/>
  <c r="N45" i="3"/>
  <c r="M45" i="3"/>
  <c r="L45" i="3"/>
  <c r="K45" i="3"/>
  <c r="J45" i="3"/>
  <c r="I45" i="3"/>
  <c r="H45" i="3"/>
  <c r="G45" i="3"/>
  <c r="F45" i="3"/>
  <c r="M44" i="3"/>
  <c r="L44" i="3"/>
  <c r="K44" i="3"/>
  <c r="J44" i="3"/>
  <c r="N44" i="3" s="1"/>
  <c r="I44" i="3"/>
  <c r="H44" i="3"/>
  <c r="G44" i="3"/>
  <c r="F44" i="3"/>
  <c r="N43" i="3"/>
  <c r="M43" i="3"/>
  <c r="L43" i="3"/>
  <c r="K43" i="3"/>
  <c r="J43" i="3"/>
  <c r="I43" i="3"/>
  <c r="H43" i="3"/>
  <c r="G43" i="3"/>
  <c r="F43" i="3"/>
  <c r="N42" i="3"/>
  <c r="M42" i="3"/>
  <c r="L42" i="3"/>
  <c r="K42" i="3"/>
  <c r="J42" i="3"/>
  <c r="I42" i="3"/>
  <c r="H42" i="3"/>
  <c r="G42" i="3"/>
  <c r="F42" i="3"/>
  <c r="M41" i="3"/>
  <c r="L41" i="3"/>
  <c r="K41" i="3"/>
  <c r="J41" i="3"/>
  <c r="N41" i="3" s="1"/>
  <c r="I41" i="3"/>
  <c r="H41" i="3"/>
  <c r="G41" i="3"/>
  <c r="F41" i="3"/>
  <c r="M40" i="3"/>
  <c r="L40" i="3"/>
  <c r="K40" i="3"/>
  <c r="J40" i="3"/>
  <c r="N40" i="3" s="1"/>
  <c r="I40" i="3"/>
  <c r="H40" i="3"/>
  <c r="G40" i="3"/>
  <c r="F40" i="3"/>
  <c r="M39" i="3"/>
  <c r="L39" i="3"/>
  <c r="K39" i="3"/>
  <c r="J39" i="3"/>
  <c r="N39" i="3" s="1"/>
  <c r="I39" i="3"/>
  <c r="H39" i="3"/>
  <c r="G39" i="3"/>
  <c r="F39" i="3"/>
  <c r="M38" i="3"/>
  <c r="L38" i="3"/>
  <c r="K38" i="3"/>
  <c r="J38" i="3"/>
  <c r="N38" i="3" s="1"/>
  <c r="I38" i="3"/>
  <c r="H38" i="3"/>
  <c r="G38" i="3"/>
  <c r="F38" i="3"/>
  <c r="N37" i="3"/>
  <c r="M37" i="3"/>
  <c r="L37" i="3"/>
  <c r="K37" i="3"/>
  <c r="J37" i="3"/>
  <c r="I37" i="3"/>
  <c r="H37" i="3"/>
  <c r="G37" i="3"/>
  <c r="F37" i="3"/>
  <c r="N36" i="3"/>
  <c r="M36" i="3"/>
  <c r="L36" i="3"/>
  <c r="K36" i="3"/>
  <c r="J36" i="3"/>
  <c r="I36" i="3"/>
  <c r="H36" i="3"/>
  <c r="G36" i="3"/>
  <c r="F36" i="3"/>
  <c r="N35" i="3"/>
  <c r="M35" i="3"/>
  <c r="L35" i="3"/>
  <c r="K35" i="3"/>
  <c r="J35" i="3"/>
  <c r="I35" i="3"/>
  <c r="H35" i="3"/>
  <c r="G35" i="3"/>
  <c r="F35" i="3"/>
  <c r="N34" i="3"/>
  <c r="M34" i="3"/>
  <c r="L34" i="3"/>
  <c r="K34" i="3"/>
  <c r="J34" i="3"/>
  <c r="I34" i="3"/>
  <c r="H34" i="3"/>
  <c r="G34" i="3"/>
  <c r="F34" i="3"/>
  <c r="M33" i="3"/>
  <c r="L33" i="3"/>
  <c r="K33" i="3"/>
  <c r="J33" i="3"/>
  <c r="N33" i="3" s="1"/>
  <c r="I33" i="3"/>
  <c r="H33" i="3"/>
  <c r="G33" i="3"/>
  <c r="F33" i="3"/>
  <c r="M32" i="3"/>
  <c r="L32" i="3"/>
  <c r="K32" i="3"/>
  <c r="J32" i="3"/>
  <c r="N32" i="3" s="1"/>
  <c r="I32" i="3"/>
  <c r="H32" i="3"/>
  <c r="G32" i="3"/>
  <c r="F32" i="3"/>
  <c r="M31" i="3"/>
  <c r="L31" i="3"/>
  <c r="K31" i="3"/>
  <c r="J31" i="3"/>
  <c r="N31" i="3" s="1"/>
  <c r="I31" i="3"/>
  <c r="H31" i="3"/>
  <c r="G31" i="3"/>
  <c r="F31" i="3"/>
  <c r="M30" i="3"/>
  <c r="L30" i="3"/>
  <c r="K30" i="3"/>
  <c r="J30" i="3"/>
  <c r="N30" i="3" s="1"/>
  <c r="I30" i="3"/>
  <c r="H30" i="3"/>
  <c r="G30" i="3"/>
  <c r="F30" i="3"/>
  <c r="N29" i="3"/>
  <c r="M29" i="3"/>
  <c r="L29" i="3"/>
  <c r="K29" i="3"/>
  <c r="J29" i="3"/>
  <c r="I29" i="3"/>
  <c r="H29" i="3"/>
  <c r="G29" i="3"/>
  <c r="F29" i="3"/>
  <c r="M28" i="3"/>
  <c r="L28" i="3"/>
  <c r="K28" i="3"/>
  <c r="J28" i="3"/>
  <c r="N28" i="3" s="1"/>
  <c r="I28" i="3"/>
  <c r="H28" i="3"/>
  <c r="G28" i="3"/>
  <c r="F28" i="3"/>
  <c r="N27" i="3"/>
  <c r="M27" i="3"/>
  <c r="L27" i="3"/>
  <c r="K27" i="3"/>
  <c r="J27" i="3"/>
  <c r="I27" i="3"/>
  <c r="H27" i="3"/>
  <c r="G27" i="3"/>
  <c r="F27" i="3"/>
  <c r="N26" i="3"/>
  <c r="M26" i="3"/>
  <c r="L26" i="3"/>
  <c r="K26" i="3"/>
  <c r="J26" i="3"/>
  <c r="I26" i="3"/>
  <c r="H26" i="3"/>
  <c r="G26" i="3"/>
  <c r="F26" i="3"/>
  <c r="M25" i="3"/>
  <c r="L25" i="3"/>
  <c r="K25" i="3"/>
  <c r="J25" i="3"/>
  <c r="N25" i="3" s="1"/>
  <c r="I25" i="3"/>
  <c r="H25" i="3"/>
  <c r="G25" i="3"/>
  <c r="F25" i="3"/>
  <c r="N24" i="3"/>
  <c r="M24" i="3"/>
  <c r="L24" i="3"/>
  <c r="K24" i="3"/>
  <c r="J24" i="3"/>
  <c r="I24" i="3"/>
  <c r="H24" i="3"/>
  <c r="G24" i="3"/>
  <c r="F24" i="3"/>
  <c r="M23" i="3"/>
  <c r="L23" i="3"/>
  <c r="K23" i="3"/>
  <c r="J23" i="3"/>
  <c r="N23" i="3" s="1"/>
  <c r="I23" i="3"/>
  <c r="H23" i="3"/>
  <c r="G23" i="3"/>
  <c r="F23" i="3"/>
  <c r="M22" i="3"/>
  <c r="L22" i="3"/>
  <c r="K22" i="3"/>
  <c r="J22" i="3"/>
  <c r="N22" i="3" s="1"/>
  <c r="I22" i="3"/>
  <c r="H22" i="3"/>
  <c r="G22" i="3"/>
  <c r="F22" i="3"/>
  <c r="N21" i="3"/>
  <c r="M21" i="3"/>
  <c r="L21" i="3"/>
  <c r="K21" i="3"/>
  <c r="J21" i="3"/>
  <c r="I21" i="3"/>
  <c r="H21" i="3"/>
  <c r="G21" i="3"/>
  <c r="F21" i="3"/>
  <c r="N20" i="3"/>
  <c r="M20" i="3"/>
  <c r="L20" i="3"/>
  <c r="K20" i="3"/>
  <c r="J20" i="3"/>
  <c r="I20" i="3"/>
  <c r="H20" i="3"/>
  <c r="G20" i="3"/>
  <c r="F20" i="3"/>
  <c r="N19" i="3"/>
  <c r="M19" i="3"/>
  <c r="L19" i="3"/>
  <c r="K19" i="3"/>
  <c r="J19" i="3"/>
  <c r="I19" i="3"/>
  <c r="H19" i="3"/>
  <c r="G19" i="3"/>
  <c r="F19" i="3"/>
  <c r="N18" i="3"/>
  <c r="M18" i="3"/>
  <c r="L18" i="3"/>
  <c r="K18" i="3"/>
  <c r="J18" i="3"/>
  <c r="I18" i="3"/>
  <c r="H18" i="3"/>
  <c r="G18" i="3"/>
  <c r="F18" i="3"/>
  <c r="M17" i="3"/>
  <c r="L17" i="3"/>
  <c r="K17" i="3"/>
  <c r="J17" i="3"/>
  <c r="N17" i="3" s="1"/>
  <c r="I17" i="3"/>
  <c r="H17" i="3"/>
  <c r="G17" i="3"/>
  <c r="F17" i="3"/>
  <c r="M16" i="3"/>
  <c r="L16" i="3"/>
  <c r="K16" i="3"/>
  <c r="J16" i="3"/>
  <c r="N16" i="3" s="1"/>
  <c r="I16" i="3"/>
  <c r="H16" i="3"/>
  <c r="G16" i="3"/>
  <c r="F16" i="3"/>
  <c r="M15" i="3"/>
  <c r="L15" i="3"/>
  <c r="K15" i="3"/>
  <c r="J15" i="3"/>
  <c r="N15" i="3" s="1"/>
  <c r="I15" i="3"/>
  <c r="H15" i="3"/>
  <c r="G15" i="3"/>
  <c r="F15" i="3"/>
  <c r="I14" i="3"/>
  <c r="G14" i="3"/>
  <c r="O14" i="3" s="1"/>
  <c r="F14" i="3"/>
  <c r="D14" i="3"/>
  <c r="I13" i="3"/>
  <c r="G13" i="3"/>
  <c r="O13" i="3" s="1"/>
  <c r="F13" i="3"/>
  <c r="D13" i="3"/>
  <c r="I12" i="3"/>
  <c r="G12" i="3"/>
  <c r="O12" i="3" s="1"/>
  <c r="F12" i="3"/>
  <c r="D12" i="3"/>
  <c r="I11" i="3"/>
  <c r="G11" i="3"/>
  <c r="F11" i="3"/>
  <c r="D11" i="3"/>
  <c r="I10" i="3"/>
  <c r="G10" i="3"/>
  <c r="O10" i="3" s="1"/>
  <c r="F10" i="3"/>
  <c r="D10" i="3"/>
  <c r="I9" i="3"/>
  <c r="G9" i="3"/>
  <c r="F9" i="3"/>
  <c r="D9" i="3"/>
  <c r="I8" i="3"/>
  <c r="G8" i="3"/>
  <c r="O8" i="3" s="1"/>
  <c r="F8" i="3"/>
  <c r="D8" i="3"/>
  <c r="I7" i="3"/>
  <c r="G7" i="3"/>
  <c r="O7" i="3" s="1"/>
  <c r="F7" i="3"/>
  <c r="D7" i="3"/>
  <c r="O6" i="3"/>
  <c r="I6" i="3"/>
  <c r="G6" i="3"/>
  <c r="F6" i="3"/>
  <c r="D6" i="3"/>
  <c r="N5" i="3"/>
  <c r="M5" i="3"/>
  <c r="L5" i="3"/>
  <c r="K5" i="3"/>
  <c r="J5" i="3"/>
  <c r="I5" i="3"/>
  <c r="H5" i="3"/>
  <c r="G5" i="3"/>
  <c r="F5" i="3"/>
  <c r="D5" i="3"/>
  <c r="M4" i="3"/>
  <c r="L4" i="3"/>
  <c r="K4" i="3"/>
  <c r="J4" i="3"/>
  <c r="N4" i="3" s="1"/>
  <c r="I4" i="3"/>
  <c r="H4" i="3"/>
  <c r="G4" i="3"/>
  <c r="F4" i="3"/>
  <c r="D4" i="3"/>
  <c r="N3" i="3"/>
  <c r="M3" i="3"/>
  <c r="L3" i="3"/>
  <c r="K3" i="3"/>
  <c r="J3" i="3"/>
  <c r="I3" i="3"/>
  <c r="H3" i="3"/>
  <c r="G3" i="3"/>
  <c r="F3" i="3"/>
  <c r="D3" i="3"/>
  <c r="M2" i="3"/>
  <c r="L2" i="3"/>
  <c r="K2" i="3"/>
  <c r="J2" i="3"/>
  <c r="I2" i="3"/>
  <c r="H2" i="3"/>
  <c r="G2" i="3"/>
  <c r="F2" i="3"/>
  <c r="D2" i="3"/>
  <c r="P992" i="2"/>
  <c r="O992" i="2"/>
  <c r="N992" i="2"/>
  <c r="M992" i="2"/>
  <c r="L992" i="2"/>
  <c r="K992" i="2"/>
  <c r="J992" i="2"/>
  <c r="P991" i="2"/>
  <c r="O991" i="2"/>
  <c r="N991" i="2"/>
  <c r="M991" i="2"/>
  <c r="L991" i="2"/>
  <c r="K991" i="2"/>
  <c r="J991" i="2"/>
  <c r="P990" i="2"/>
  <c r="O990" i="2"/>
  <c r="N990" i="2"/>
  <c r="M990" i="2"/>
  <c r="L990" i="2"/>
  <c r="K990" i="2"/>
  <c r="J990" i="2"/>
  <c r="P989" i="2"/>
  <c r="O989" i="2"/>
  <c r="N989" i="2"/>
  <c r="M989" i="2"/>
  <c r="L989" i="2"/>
  <c r="K989" i="2"/>
  <c r="J989" i="2"/>
  <c r="P988" i="2"/>
  <c r="O988" i="2"/>
  <c r="N988" i="2"/>
  <c r="M988" i="2"/>
  <c r="L988" i="2"/>
  <c r="K988" i="2"/>
  <c r="J988" i="2"/>
  <c r="P987" i="2"/>
  <c r="O987" i="2"/>
  <c r="N987" i="2"/>
  <c r="M987" i="2"/>
  <c r="L987" i="2"/>
  <c r="K987" i="2"/>
  <c r="J987" i="2"/>
  <c r="P986" i="2"/>
  <c r="O986" i="2"/>
  <c r="N986" i="2"/>
  <c r="M986" i="2"/>
  <c r="L986" i="2"/>
  <c r="K986" i="2"/>
  <c r="J986" i="2"/>
  <c r="P985" i="2"/>
  <c r="O985" i="2"/>
  <c r="N985" i="2"/>
  <c r="M985" i="2"/>
  <c r="L985" i="2"/>
  <c r="K985" i="2"/>
  <c r="J985" i="2"/>
  <c r="P984" i="2"/>
  <c r="O984" i="2"/>
  <c r="N984" i="2"/>
  <c r="M984" i="2"/>
  <c r="L984" i="2"/>
  <c r="K984" i="2"/>
  <c r="J984" i="2"/>
  <c r="P983" i="2"/>
  <c r="O983" i="2"/>
  <c r="N983" i="2"/>
  <c r="M983" i="2"/>
  <c r="L983" i="2"/>
  <c r="K983" i="2"/>
  <c r="J983" i="2"/>
  <c r="P982" i="2"/>
  <c r="O982" i="2"/>
  <c r="N982" i="2"/>
  <c r="M982" i="2"/>
  <c r="L982" i="2"/>
  <c r="K982" i="2"/>
  <c r="J982" i="2"/>
  <c r="P981" i="2"/>
  <c r="O981" i="2"/>
  <c r="N981" i="2"/>
  <c r="M981" i="2"/>
  <c r="L981" i="2"/>
  <c r="K981" i="2"/>
  <c r="J981" i="2"/>
  <c r="P980" i="2"/>
  <c r="O980" i="2"/>
  <c r="N980" i="2"/>
  <c r="M980" i="2"/>
  <c r="L980" i="2"/>
  <c r="K980" i="2"/>
  <c r="J980" i="2"/>
  <c r="P979" i="2"/>
  <c r="O979" i="2"/>
  <c r="N979" i="2"/>
  <c r="M979" i="2"/>
  <c r="L979" i="2"/>
  <c r="K979" i="2"/>
  <c r="J979" i="2"/>
  <c r="P978" i="2"/>
  <c r="O978" i="2"/>
  <c r="N978" i="2"/>
  <c r="M978" i="2"/>
  <c r="L978" i="2"/>
  <c r="K978" i="2"/>
  <c r="J978" i="2"/>
  <c r="P977" i="2"/>
  <c r="O977" i="2"/>
  <c r="N977" i="2"/>
  <c r="M977" i="2"/>
  <c r="L977" i="2"/>
  <c r="K977" i="2"/>
  <c r="J977" i="2"/>
  <c r="P976" i="2"/>
  <c r="O976" i="2"/>
  <c r="N976" i="2"/>
  <c r="M976" i="2"/>
  <c r="L976" i="2"/>
  <c r="K976" i="2"/>
  <c r="J976" i="2"/>
  <c r="P975" i="2"/>
  <c r="O975" i="2"/>
  <c r="N975" i="2"/>
  <c r="M975" i="2"/>
  <c r="L975" i="2"/>
  <c r="K975" i="2"/>
  <c r="J975" i="2"/>
  <c r="P974" i="2"/>
  <c r="O974" i="2"/>
  <c r="N974" i="2"/>
  <c r="M974" i="2"/>
  <c r="L974" i="2"/>
  <c r="K974" i="2"/>
  <c r="J974" i="2"/>
  <c r="P973" i="2"/>
  <c r="O973" i="2"/>
  <c r="N973" i="2"/>
  <c r="M973" i="2"/>
  <c r="L973" i="2"/>
  <c r="K973" i="2"/>
  <c r="J973" i="2"/>
  <c r="P972" i="2"/>
  <c r="O972" i="2"/>
  <c r="N972" i="2"/>
  <c r="M972" i="2"/>
  <c r="L972" i="2"/>
  <c r="K972" i="2"/>
  <c r="J972" i="2"/>
  <c r="P971" i="2"/>
  <c r="O971" i="2"/>
  <c r="N971" i="2"/>
  <c r="M971" i="2"/>
  <c r="L971" i="2"/>
  <c r="K971" i="2"/>
  <c r="J971" i="2"/>
  <c r="P970" i="2"/>
  <c r="O970" i="2"/>
  <c r="N970" i="2"/>
  <c r="M970" i="2"/>
  <c r="L970" i="2"/>
  <c r="K970" i="2"/>
  <c r="J970" i="2"/>
  <c r="P969" i="2"/>
  <c r="O969" i="2"/>
  <c r="N969" i="2"/>
  <c r="M969" i="2"/>
  <c r="L969" i="2"/>
  <c r="K969" i="2"/>
  <c r="J969" i="2"/>
  <c r="P968" i="2"/>
  <c r="O968" i="2"/>
  <c r="N968" i="2"/>
  <c r="M968" i="2"/>
  <c r="L968" i="2"/>
  <c r="K968" i="2"/>
  <c r="J968" i="2"/>
  <c r="P967" i="2"/>
  <c r="O967" i="2"/>
  <c r="N967" i="2"/>
  <c r="M967" i="2"/>
  <c r="L967" i="2"/>
  <c r="K967" i="2"/>
  <c r="J967" i="2"/>
  <c r="P966" i="2"/>
  <c r="O966" i="2"/>
  <c r="N966" i="2"/>
  <c r="M966" i="2"/>
  <c r="L966" i="2"/>
  <c r="K966" i="2"/>
  <c r="J966" i="2"/>
  <c r="P965" i="2"/>
  <c r="O965" i="2"/>
  <c r="N965" i="2"/>
  <c r="M965" i="2"/>
  <c r="L965" i="2"/>
  <c r="K965" i="2"/>
  <c r="J965" i="2"/>
  <c r="P964" i="2"/>
  <c r="O964" i="2"/>
  <c r="N964" i="2"/>
  <c r="M964" i="2"/>
  <c r="L964" i="2"/>
  <c r="K964" i="2"/>
  <c r="J964" i="2"/>
  <c r="P963" i="2"/>
  <c r="O963" i="2"/>
  <c r="N963" i="2"/>
  <c r="M963" i="2"/>
  <c r="L963" i="2"/>
  <c r="K963" i="2"/>
  <c r="J963" i="2"/>
  <c r="P962" i="2"/>
  <c r="O962" i="2"/>
  <c r="N962" i="2"/>
  <c r="M962" i="2"/>
  <c r="L962" i="2"/>
  <c r="K962" i="2"/>
  <c r="J962" i="2"/>
  <c r="P961" i="2"/>
  <c r="O961" i="2"/>
  <c r="N961" i="2"/>
  <c r="M961" i="2"/>
  <c r="L961" i="2"/>
  <c r="K961" i="2"/>
  <c r="J961" i="2"/>
  <c r="P960" i="2"/>
  <c r="O960" i="2"/>
  <c r="N960" i="2"/>
  <c r="M960" i="2"/>
  <c r="L960" i="2"/>
  <c r="K960" i="2"/>
  <c r="J960" i="2"/>
  <c r="P959" i="2"/>
  <c r="O959" i="2"/>
  <c r="N959" i="2"/>
  <c r="M959" i="2"/>
  <c r="L959" i="2"/>
  <c r="K959" i="2"/>
  <c r="J959" i="2"/>
  <c r="P958" i="2"/>
  <c r="O958" i="2"/>
  <c r="N958" i="2"/>
  <c r="M958" i="2"/>
  <c r="L958" i="2"/>
  <c r="K958" i="2"/>
  <c r="J958" i="2"/>
  <c r="P957" i="2"/>
  <c r="O957" i="2"/>
  <c r="N957" i="2"/>
  <c r="M957" i="2"/>
  <c r="L957" i="2"/>
  <c r="K957" i="2"/>
  <c r="J957" i="2"/>
  <c r="P956" i="2"/>
  <c r="O956" i="2"/>
  <c r="N956" i="2"/>
  <c r="M956" i="2"/>
  <c r="L956" i="2"/>
  <c r="K956" i="2"/>
  <c r="J956" i="2"/>
  <c r="P955" i="2"/>
  <c r="O955" i="2"/>
  <c r="N955" i="2"/>
  <c r="M955" i="2"/>
  <c r="L955" i="2"/>
  <c r="K955" i="2"/>
  <c r="J955" i="2"/>
  <c r="P954" i="2"/>
  <c r="O954" i="2"/>
  <c r="N954" i="2"/>
  <c r="M954" i="2"/>
  <c r="L954" i="2"/>
  <c r="K954" i="2"/>
  <c r="J954" i="2"/>
  <c r="P953" i="2"/>
  <c r="O953" i="2"/>
  <c r="N953" i="2"/>
  <c r="M953" i="2"/>
  <c r="L953" i="2"/>
  <c r="K953" i="2"/>
  <c r="J953" i="2"/>
  <c r="P952" i="2"/>
  <c r="O952" i="2"/>
  <c r="N952" i="2"/>
  <c r="M952" i="2"/>
  <c r="L952" i="2"/>
  <c r="K952" i="2"/>
  <c r="J952" i="2"/>
  <c r="P951" i="2"/>
  <c r="O951" i="2"/>
  <c r="N951" i="2"/>
  <c r="M951" i="2"/>
  <c r="L951" i="2"/>
  <c r="K951" i="2"/>
  <c r="J951" i="2"/>
  <c r="P950" i="2"/>
  <c r="O950" i="2"/>
  <c r="N950" i="2"/>
  <c r="M950" i="2"/>
  <c r="L950" i="2"/>
  <c r="K950" i="2"/>
  <c r="J950" i="2"/>
  <c r="P949" i="2"/>
  <c r="O949" i="2"/>
  <c r="N949" i="2"/>
  <c r="M949" i="2"/>
  <c r="L949" i="2"/>
  <c r="K949" i="2"/>
  <c r="J949" i="2"/>
  <c r="P948" i="2"/>
  <c r="O948" i="2"/>
  <c r="N948" i="2"/>
  <c r="M948" i="2"/>
  <c r="L948" i="2"/>
  <c r="K948" i="2"/>
  <c r="J948" i="2"/>
  <c r="P947" i="2"/>
  <c r="O947" i="2"/>
  <c r="N947" i="2"/>
  <c r="M947" i="2"/>
  <c r="L947" i="2"/>
  <c r="K947" i="2"/>
  <c r="J947" i="2"/>
  <c r="P946" i="2"/>
  <c r="O946" i="2"/>
  <c r="N946" i="2"/>
  <c r="M946" i="2"/>
  <c r="L946" i="2"/>
  <c r="K946" i="2"/>
  <c r="J946" i="2"/>
  <c r="P945" i="2"/>
  <c r="O945" i="2"/>
  <c r="N945" i="2"/>
  <c r="M945" i="2"/>
  <c r="L945" i="2"/>
  <c r="K945" i="2"/>
  <c r="J945" i="2"/>
  <c r="P944" i="2"/>
  <c r="O944" i="2"/>
  <c r="N944" i="2"/>
  <c r="M944" i="2"/>
  <c r="L944" i="2"/>
  <c r="K944" i="2"/>
  <c r="J944" i="2"/>
  <c r="P943" i="2"/>
  <c r="O943" i="2"/>
  <c r="N943" i="2"/>
  <c r="M943" i="2"/>
  <c r="L943" i="2"/>
  <c r="K943" i="2"/>
  <c r="J943" i="2"/>
  <c r="P942" i="2"/>
  <c r="O942" i="2"/>
  <c r="N942" i="2"/>
  <c r="M942" i="2"/>
  <c r="L942" i="2"/>
  <c r="K942" i="2"/>
  <c r="J942" i="2"/>
  <c r="P941" i="2"/>
  <c r="O941" i="2"/>
  <c r="N941" i="2"/>
  <c r="M941" i="2"/>
  <c r="L941" i="2"/>
  <c r="K941" i="2"/>
  <c r="J941" i="2"/>
  <c r="P940" i="2"/>
  <c r="O940" i="2"/>
  <c r="N940" i="2"/>
  <c r="M940" i="2"/>
  <c r="L940" i="2"/>
  <c r="K940" i="2"/>
  <c r="J940" i="2"/>
  <c r="P939" i="2"/>
  <c r="O939" i="2"/>
  <c r="N939" i="2"/>
  <c r="M939" i="2"/>
  <c r="L939" i="2"/>
  <c r="K939" i="2"/>
  <c r="J939" i="2"/>
  <c r="P938" i="2"/>
  <c r="O938" i="2"/>
  <c r="N938" i="2"/>
  <c r="M938" i="2"/>
  <c r="L938" i="2"/>
  <c r="K938" i="2"/>
  <c r="J938" i="2"/>
  <c r="P937" i="2"/>
  <c r="O937" i="2"/>
  <c r="N937" i="2"/>
  <c r="M937" i="2"/>
  <c r="L937" i="2"/>
  <c r="K937" i="2"/>
  <c r="J937" i="2"/>
  <c r="P936" i="2"/>
  <c r="O936" i="2"/>
  <c r="N936" i="2"/>
  <c r="M936" i="2"/>
  <c r="L936" i="2"/>
  <c r="K936" i="2"/>
  <c r="J936" i="2"/>
  <c r="P935" i="2"/>
  <c r="O935" i="2"/>
  <c r="N935" i="2"/>
  <c r="M935" i="2"/>
  <c r="L935" i="2"/>
  <c r="K935" i="2"/>
  <c r="J935" i="2"/>
  <c r="P934" i="2"/>
  <c r="O934" i="2"/>
  <c r="N934" i="2"/>
  <c r="M934" i="2"/>
  <c r="L934" i="2"/>
  <c r="K934" i="2"/>
  <c r="J934" i="2"/>
  <c r="P933" i="2"/>
  <c r="O933" i="2"/>
  <c r="N933" i="2"/>
  <c r="M933" i="2"/>
  <c r="L933" i="2"/>
  <c r="K933" i="2"/>
  <c r="J933" i="2"/>
  <c r="P932" i="2"/>
  <c r="O932" i="2"/>
  <c r="N932" i="2"/>
  <c r="M932" i="2"/>
  <c r="L932" i="2"/>
  <c r="K932" i="2"/>
  <c r="J932" i="2"/>
  <c r="P931" i="2"/>
  <c r="O931" i="2"/>
  <c r="N931" i="2"/>
  <c r="M931" i="2"/>
  <c r="L931" i="2"/>
  <c r="K931" i="2"/>
  <c r="J931" i="2"/>
  <c r="P930" i="2"/>
  <c r="O930" i="2"/>
  <c r="N930" i="2"/>
  <c r="M930" i="2"/>
  <c r="L930" i="2"/>
  <c r="K930" i="2"/>
  <c r="J930" i="2"/>
  <c r="P929" i="2"/>
  <c r="O929" i="2"/>
  <c r="N929" i="2"/>
  <c r="M929" i="2"/>
  <c r="L929" i="2"/>
  <c r="K929" i="2"/>
  <c r="J929" i="2"/>
  <c r="P928" i="2"/>
  <c r="O928" i="2"/>
  <c r="N928" i="2"/>
  <c r="M928" i="2"/>
  <c r="L928" i="2"/>
  <c r="K928" i="2"/>
  <c r="J928" i="2"/>
  <c r="P927" i="2"/>
  <c r="O927" i="2"/>
  <c r="N927" i="2"/>
  <c r="M927" i="2"/>
  <c r="L927" i="2"/>
  <c r="K927" i="2"/>
  <c r="J927" i="2"/>
  <c r="P926" i="2"/>
  <c r="O926" i="2"/>
  <c r="N926" i="2"/>
  <c r="M926" i="2"/>
  <c r="L926" i="2"/>
  <c r="K926" i="2"/>
  <c r="J926" i="2"/>
  <c r="P925" i="2"/>
  <c r="O925" i="2"/>
  <c r="N925" i="2"/>
  <c r="M925" i="2"/>
  <c r="L925" i="2"/>
  <c r="K925" i="2"/>
  <c r="J925" i="2"/>
  <c r="P924" i="2"/>
  <c r="O924" i="2"/>
  <c r="N924" i="2"/>
  <c r="M924" i="2"/>
  <c r="L924" i="2"/>
  <c r="K924" i="2"/>
  <c r="J924" i="2"/>
  <c r="P923" i="2"/>
  <c r="O923" i="2"/>
  <c r="N923" i="2"/>
  <c r="M923" i="2"/>
  <c r="L923" i="2"/>
  <c r="K923" i="2"/>
  <c r="J923" i="2"/>
  <c r="P922" i="2"/>
  <c r="O922" i="2"/>
  <c r="N922" i="2"/>
  <c r="M922" i="2"/>
  <c r="L922" i="2"/>
  <c r="K922" i="2"/>
  <c r="J922" i="2"/>
  <c r="P921" i="2"/>
  <c r="O921" i="2"/>
  <c r="N921" i="2"/>
  <c r="M921" i="2"/>
  <c r="L921" i="2"/>
  <c r="K921" i="2"/>
  <c r="J921" i="2"/>
  <c r="P920" i="2"/>
  <c r="O920" i="2"/>
  <c r="N920" i="2"/>
  <c r="M920" i="2"/>
  <c r="L920" i="2"/>
  <c r="K920" i="2"/>
  <c r="J920" i="2"/>
  <c r="P919" i="2"/>
  <c r="O919" i="2"/>
  <c r="N919" i="2"/>
  <c r="M919" i="2"/>
  <c r="L919" i="2"/>
  <c r="K919" i="2"/>
  <c r="J919" i="2"/>
  <c r="P918" i="2"/>
  <c r="O918" i="2"/>
  <c r="N918" i="2"/>
  <c r="M918" i="2"/>
  <c r="L918" i="2"/>
  <c r="K918" i="2"/>
  <c r="J918" i="2"/>
  <c r="P917" i="2"/>
  <c r="O917" i="2"/>
  <c r="N917" i="2"/>
  <c r="M917" i="2"/>
  <c r="L917" i="2"/>
  <c r="K917" i="2"/>
  <c r="J917" i="2"/>
  <c r="P916" i="2"/>
  <c r="O916" i="2"/>
  <c r="N916" i="2"/>
  <c r="M916" i="2"/>
  <c r="L916" i="2"/>
  <c r="K916" i="2"/>
  <c r="J916" i="2"/>
  <c r="P915" i="2"/>
  <c r="O915" i="2"/>
  <c r="N915" i="2"/>
  <c r="M915" i="2"/>
  <c r="L915" i="2"/>
  <c r="K915" i="2"/>
  <c r="J915" i="2"/>
  <c r="P914" i="2"/>
  <c r="O914" i="2"/>
  <c r="N914" i="2"/>
  <c r="M914" i="2"/>
  <c r="L914" i="2"/>
  <c r="K914" i="2"/>
  <c r="J914" i="2"/>
  <c r="P913" i="2"/>
  <c r="O913" i="2"/>
  <c r="N913" i="2"/>
  <c r="M913" i="2"/>
  <c r="L913" i="2"/>
  <c r="K913" i="2"/>
  <c r="J913" i="2"/>
  <c r="P912" i="2"/>
  <c r="O912" i="2"/>
  <c r="N912" i="2"/>
  <c r="M912" i="2"/>
  <c r="L912" i="2"/>
  <c r="K912" i="2"/>
  <c r="J912" i="2"/>
  <c r="P911" i="2"/>
  <c r="O911" i="2"/>
  <c r="N911" i="2"/>
  <c r="M911" i="2"/>
  <c r="L911" i="2"/>
  <c r="K911" i="2"/>
  <c r="J911" i="2"/>
  <c r="P910" i="2"/>
  <c r="O910" i="2"/>
  <c r="N910" i="2"/>
  <c r="M910" i="2"/>
  <c r="L910" i="2"/>
  <c r="K910" i="2"/>
  <c r="J910" i="2"/>
  <c r="P909" i="2"/>
  <c r="O909" i="2"/>
  <c r="N909" i="2"/>
  <c r="M909" i="2"/>
  <c r="L909" i="2"/>
  <c r="K909" i="2"/>
  <c r="J909" i="2"/>
  <c r="P908" i="2"/>
  <c r="O908" i="2"/>
  <c r="N908" i="2"/>
  <c r="M908" i="2"/>
  <c r="L908" i="2"/>
  <c r="K908" i="2"/>
  <c r="J908" i="2"/>
  <c r="P907" i="2"/>
  <c r="O907" i="2"/>
  <c r="N907" i="2"/>
  <c r="M907" i="2"/>
  <c r="L907" i="2"/>
  <c r="K907" i="2"/>
  <c r="J907" i="2"/>
  <c r="P906" i="2"/>
  <c r="O906" i="2"/>
  <c r="N906" i="2"/>
  <c r="M906" i="2"/>
  <c r="L906" i="2"/>
  <c r="K906" i="2"/>
  <c r="J906" i="2"/>
  <c r="P905" i="2"/>
  <c r="O905" i="2"/>
  <c r="N905" i="2"/>
  <c r="M905" i="2"/>
  <c r="L905" i="2"/>
  <c r="K905" i="2"/>
  <c r="J905" i="2"/>
  <c r="P904" i="2"/>
  <c r="O904" i="2"/>
  <c r="N904" i="2"/>
  <c r="M904" i="2"/>
  <c r="L904" i="2"/>
  <c r="K904" i="2"/>
  <c r="J904" i="2"/>
  <c r="P903" i="2"/>
  <c r="O903" i="2"/>
  <c r="N903" i="2"/>
  <c r="M903" i="2"/>
  <c r="L903" i="2"/>
  <c r="K903" i="2"/>
  <c r="J903" i="2"/>
  <c r="P902" i="2"/>
  <c r="O902" i="2"/>
  <c r="N902" i="2"/>
  <c r="M902" i="2"/>
  <c r="L902" i="2"/>
  <c r="K902" i="2"/>
  <c r="J902" i="2"/>
  <c r="P901" i="2"/>
  <c r="O901" i="2"/>
  <c r="N901" i="2"/>
  <c r="M901" i="2"/>
  <c r="L901" i="2"/>
  <c r="K901" i="2"/>
  <c r="J901" i="2"/>
  <c r="P900" i="2"/>
  <c r="O900" i="2"/>
  <c r="N900" i="2"/>
  <c r="M900" i="2"/>
  <c r="L900" i="2"/>
  <c r="K900" i="2"/>
  <c r="J900" i="2"/>
  <c r="P899" i="2"/>
  <c r="O899" i="2"/>
  <c r="N899" i="2"/>
  <c r="M899" i="2"/>
  <c r="L899" i="2"/>
  <c r="K899" i="2"/>
  <c r="J899" i="2"/>
  <c r="P898" i="2"/>
  <c r="O898" i="2"/>
  <c r="N898" i="2"/>
  <c r="M898" i="2"/>
  <c r="L898" i="2"/>
  <c r="K898" i="2"/>
  <c r="J898" i="2"/>
  <c r="P897" i="2"/>
  <c r="O897" i="2"/>
  <c r="N897" i="2"/>
  <c r="M897" i="2"/>
  <c r="L897" i="2"/>
  <c r="K897" i="2"/>
  <c r="J897" i="2"/>
  <c r="P896" i="2"/>
  <c r="O896" i="2"/>
  <c r="N896" i="2"/>
  <c r="M896" i="2"/>
  <c r="L896" i="2"/>
  <c r="K896" i="2"/>
  <c r="J896" i="2"/>
  <c r="P895" i="2"/>
  <c r="O895" i="2"/>
  <c r="N895" i="2"/>
  <c r="M895" i="2"/>
  <c r="L895" i="2"/>
  <c r="K895" i="2"/>
  <c r="J895" i="2"/>
  <c r="P894" i="2"/>
  <c r="O894" i="2"/>
  <c r="N894" i="2"/>
  <c r="M894" i="2"/>
  <c r="L894" i="2"/>
  <c r="K894" i="2"/>
  <c r="J894" i="2"/>
  <c r="P893" i="2"/>
  <c r="O893" i="2"/>
  <c r="N893" i="2"/>
  <c r="M893" i="2"/>
  <c r="L893" i="2"/>
  <c r="K893" i="2"/>
  <c r="J893" i="2"/>
  <c r="P892" i="2"/>
  <c r="O892" i="2"/>
  <c r="N892" i="2"/>
  <c r="M892" i="2"/>
  <c r="L892" i="2"/>
  <c r="K892" i="2"/>
  <c r="J892" i="2"/>
  <c r="P891" i="2"/>
  <c r="O891" i="2"/>
  <c r="N891" i="2"/>
  <c r="M891" i="2"/>
  <c r="L891" i="2"/>
  <c r="K891" i="2"/>
  <c r="J891" i="2"/>
  <c r="P890" i="2"/>
  <c r="O890" i="2"/>
  <c r="N890" i="2"/>
  <c r="M890" i="2"/>
  <c r="L890" i="2"/>
  <c r="K890" i="2"/>
  <c r="J890" i="2"/>
  <c r="P889" i="2"/>
  <c r="O889" i="2"/>
  <c r="N889" i="2"/>
  <c r="M889" i="2"/>
  <c r="L889" i="2"/>
  <c r="K889" i="2"/>
  <c r="J889" i="2"/>
  <c r="P888" i="2"/>
  <c r="O888" i="2"/>
  <c r="N888" i="2"/>
  <c r="M888" i="2"/>
  <c r="L888" i="2"/>
  <c r="K888" i="2"/>
  <c r="J888" i="2"/>
  <c r="P887" i="2"/>
  <c r="O887" i="2"/>
  <c r="N887" i="2"/>
  <c r="M887" i="2"/>
  <c r="L887" i="2"/>
  <c r="K887" i="2"/>
  <c r="J887" i="2"/>
  <c r="P886" i="2"/>
  <c r="O886" i="2"/>
  <c r="N886" i="2"/>
  <c r="M886" i="2"/>
  <c r="L886" i="2"/>
  <c r="K886" i="2"/>
  <c r="J886" i="2"/>
  <c r="P885" i="2"/>
  <c r="O885" i="2"/>
  <c r="N885" i="2"/>
  <c r="M885" i="2"/>
  <c r="L885" i="2"/>
  <c r="K885" i="2"/>
  <c r="J885" i="2"/>
  <c r="P884" i="2"/>
  <c r="O884" i="2"/>
  <c r="N884" i="2"/>
  <c r="M884" i="2"/>
  <c r="L884" i="2"/>
  <c r="K884" i="2"/>
  <c r="J884" i="2"/>
  <c r="P883" i="2"/>
  <c r="O883" i="2"/>
  <c r="N883" i="2"/>
  <c r="M883" i="2"/>
  <c r="L883" i="2"/>
  <c r="K883" i="2"/>
  <c r="J883" i="2"/>
  <c r="P882" i="2"/>
  <c r="O882" i="2"/>
  <c r="N882" i="2"/>
  <c r="M882" i="2"/>
  <c r="L882" i="2"/>
  <c r="K882" i="2"/>
  <c r="J882" i="2"/>
  <c r="P881" i="2"/>
  <c r="O881" i="2"/>
  <c r="N881" i="2"/>
  <c r="M881" i="2"/>
  <c r="L881" i="2"/>
  <c r="K881" i="2"/>
  <c r="J881" i="2"/>
  <c r="P880" i="2"/>
  <c r="O880" i="2"/>
  <c r="N880" i="2"/>
  <c r="M880" i="2"/>
  <c r="L880" i="2"/>
  <c r="K880" i="2"/>
  <c r="J880" i="2"/>
  <c r="P879" i="2"/>
  <c r="O879" i="2"/>
  <c r="N879" i="2"/>
  <c r="M879" i="2"/>
  <c r="L879" i="2"/>
  <c r="K879" i="2"/>
  <c r="J879" i="2"/>
  <c r="P878" i="2"/>
  <c r="O878" i="2"/>
  <c r="N878" i="2"/>
  <c r="M878" i="2"/>
  <c r="L878" i="2"/>
  <c r="K878" i="2"/>
  <c r="J878" i="2"/>
  <c r="P877" i="2"/>
  <c r="O877" i="2"/>
  <c r="N877" i="2"/>
  <c r="M877" i="2"/>
  <c r="L877" i="2"/>
  <c r="K877" i="2"/>
  <c r="J877" i="2"/>
  <c r="P876" i="2"/>
  <c r="O876" i="2"/>
  <c r="N876" i="2"/>
  <c r="M876" i="2"/>
  <c r="L876" i="2"/>
  <c r="K876" i="2"/>
  <c r="J876" i="2"/>
  <c r="P875" i="2"/>
  <c r="O875" i="2"/>
  <c r="N875" i="2"/>
  <c r="M875" i="2"/>
  <c r="L875" i="2"/>
  <c r="K875" i="2"/>
  <c r="J875" i="2"/>
  <c r="P874" i="2"/>
  <c r="O874" i="2"/>
  <c r="N874" i="2"/>
  <c r="M874" i="2"/>
  <c r="L874" i="2"/>
  <c r="K874" i="2"/>
  <c r="J874" i="2"/>
  <c r="P873" i="2"/>
  <c r="O873" i="2"/>
  <c r="N873" i="2"/>
  <c r="M873" i="2"/>
  <c r="L873" i="2"/>
  <c r="K873" i="2"/>
  <c r="J873" i="2"/>
  <c r="P872" i="2"/>
  <c r="O872" i="2"/>
  <c r="N872" i="2"/>
  <c r="M872" i="2"/>
  <c r="L872" i="2"/>
  <c r="K872" i="2"/>
  <c r="J872" i="2"/>
  <c r="P871" i="2"/>
  <c r="O871" i="2"/>
  <c r="N871" i="2"/>
  <c r="M871" i="2"/>
  <c r="L871" i="2"/>
  <c r="K871" i="2"/>
  <c r="J871" i="2"/>
  <c r="P870" i="2"/>
  <c r="O870" i="2"/>
  <c r="N870" i="2"/>
  <c r="M870" i="2"/>
  <c r="L870" i="2"/>
  <c r="K870" i="2"/>
  <c r="J870" i="2"/>
  <c r="P869" i="2"/>
  <c r="O869" i="2"/>
  <c r="N869" i="2"/>
  <c r="M869" i="2"/>
  <c r="L869" i="2"/>
  <c r="K869" i="2"/>
  <c r="J869" i="2"/>
  <c r="P868" i="2"/>
  <c r="O868" i="2"/>
  <c r="N868" i="2"/>
  <c r="M868" i="2"/>
  <c r="L868" i="2"/>
  <c r="K868" i="2"/>
  <c r="J868" i="2"/>
  <c r="P867" i="2"/>
  <c r="O867" i="2"/>
  <c r="N867" i="2"/>
  <c r="M867" i="2"/>
  <c r="L867" i="2"/>
  <c r="K867" i="2"/>
  <c r="J867" i="2"/>
  <c r="P866" i="2"/>
  <c r="O866" i="2"/>
  <c r="N866" i="2"/>
  <c r="M866" i="2"/>
  <c r="L866" i="2"/>
  <c r="K866" i="2"/>
  <c r="J866" i="2"/>
  <c r="P865" i="2"/>
  <c r="O865" i="2"/>
  <c r="N865" i="2"/>
  <c r="M865" i="2"/>
  <c r="L865" i="2"/>
  <c r="K865" i="2"/>
  <c r="J865" i="2"/>
  <c r="P864" i="2"/>
  <c r="O864" i="2"/>
  <c r="N864" i="2"/>
  <c r="M864" i="2"/>
  <c r="L864" i="2"/>
  <c r="K864" i="2"/>
  <c r="J864" i="2"/>
  <c r="P863" i="2"/>
  <c r="O863" i="2"/>
  <c r="N863" i="2"/>
  <c r="M863" i="2"/>
  <c r="L863" i="2"/>
  <c r="K863" i="2"/>
  <c r="J863" i="2"/>
  <c r="P862" i="2"/>
  <c r="O862" i="2"/>
  <c r="N862" i="2"/>
  <c r="M862" i="2"/>
  <c r="L862" i="2"/>
  <c r="K862" i="2"/>
  <c r="J862" i="2"/>
  <c r="P861" i="2"/>
  <c r="O861" i="2"/>
  <c r="N861" i="2"/>
  <c r="M861" i="2"/>
  <c r="L861" i="2"/>
  <c r="K861" i="2"/>
  <c r="J861" i="2"/>
  <c r="P860" i="2"/>
  <c r="O860" i="2"/>
  <c r="N860" i="2"/>
  <c r="M860" i="2"/>
  <c r="L860" i="2"/>
  <c r="K860" i="2"/>
  <c r="J860" i="2"/>
  <c r="P859" i="2"/>
  <c r="O859" i="2"/>
  <c r="N859" i="2"/>
  <c r="M859" i="2"/>
  <c r="L859" i="2"/>
  <c r="K859" i="2"/>
  <c r="J859" i="2"/>
  <c r="P858" i="2"/>
  <c r="O858" i="2"/>
  <c r="N858" i="2"/>
  <c r="M858" i="2"/>
  <c r="L858" i="2"/>
  <c r="K858" i="2"/>
  <c r="J858" i="2"/>
  <c r="P857" i="2"/>
  <c r="O857" i="2"/>
  <c r="N857" i="2"/>
  <c r="M857" i="2"/>
  <c r="L857" i="2"/>
  <c r="K857" i="2"/>
  <c r="J857" i="2"/>
  <c r="P856" i="2"/>
  <c r="O856" i="2"/>
  <c r="N856" i="2"/>
  <c r="M856" i="2"/>
  <c r="L856" i="2"/>
  <c r="K856" i="2"/>
  <c r="J856" i="2"/>
  <c r="P855" i="2"/>
  <c r="O855" i="2"/>
  <c r="N855" i="2"/>
  <c r="M855" i="2"/>
  <c r="L855" i="2"/>
  <c r="K855" i="2"/>
  <c r="J855" i="2"/>
  <c r="P854" i="2"/>
  <c r="O854" i="2"/>
  <c r="N854" i="2"/>
  <c r="M854" i="2"/>
  <c r="L854" i="2"/>
  <c r="K854" i="2"/>
  <c r="J854" i="2"/>
  <c r="P853" i="2"/>
  <c r="O853" i="2"/>
  <c r="N853" i="2"/>
  <c r="M853" i="2"/>
  <c r="L853" i="2"/>
  <c r="K853" i="2"/>
  <c r="J853" i="2"/>
  <c r="P852" i="2"/>
  <c r="O852" i="2"/>
  <c r="N852" i="2"/>
  <c r="M852" i="2"/>
  <c r="L852" i="2"/>
  <c r="K852" i="2"/>
  <c r="J852" i="2"/>
  <c r="P851" i="2"/>
  <c r="O851" i="2"/>
  <c r="N851" i="2"/>
  <c r="M851" i="2"/>
  <c r="L851" i="2"/>
  <c r="K851" i="2"/>
  <c r="J851" i="2"/>
  <c r="P850" i="2"/>
  <c r="O850" i="2"/>
  <c r="N850" i="2"/>
  <c r="M850" i="2"/>
  <c r="L850" i="2"/>
  <c r="K850" i="2"/>
  <c r="J850" i="2"/>
  <c r="P849" i="2"/>
  <c r="O849" i="2"/>
  <c r="N849" i="2"/>
  <c r="M849" i="2"/>
  <c r="L849" i="2"/>
  <c r="K849" i="2"/>
  <c r="J849" i="2"/>
  <c r="P848" i="2"/>
  <c r="O848" i="2"/>
  <c r="N848" i="2"/>
  <c r="M848" i="2"/>
  <c r="L848" i="2"/>
  <c r="K848" i="2"/>
  <c r="J848" i="2"/>
  <c r="P847" i="2"/>
  <c r="O847" i="2"/>
  <c r="N847" i="2"/>
  <c r="M847" i="2"/>
  <c r="L847" i="2"/>
  <c r="K847" i="2"/>
  <c r="J847" i="2"/>
  <c r="P846" i="2"/>
  <c r="O846" i="2"/>
  <c r="N846" i="2"/>
  <c r="M846" i="2"/>
  <c r="L846" i="2"/>
  <c r="K846" i="2"/>
  <c r="J846" i="2"/>
  <c r="P845" i="2"/>
  <c r="O845" i="2"/>
  <c r="N845" i="2"/>
  <c r="M845" i="2"/>
  <c r="L845" i="2"/>
  <c r="K845" i="2"/>
  <c r="J845" i="2"/>
  <c r="P844" i="2"/>
  <c r="O844" i="2"/>
  <c r="N844" i="2"/>
  <c r="M844" i="2"/>
  <c r="L844" i="2"/>
  <c r="K844" i="2"/>
  <c r="J844" i="2"/>
  <c r="P843" i="2"/>
  <c r="O843" i="2"/>
  <c r="N843" i="2"/>
  <c r="M843" i="2"/>
  <c r="L843" i="2"/>
  <c r="K843" i="2"/>
  <c r="J843" i="2"/>
  <c r="P842" i="2"/>
  <c r="O842" i="2"/>
  <c r="N842" i="2"/>
  <c r="M842" i="2"/>
  <c r="L842" i="2"/>
  <c r="K842" i="2"/>
  <c r="J842" i="2"/>
  <c r="P841" i="2"/>
  <c r="O841" i="2"/>
  <c r="N841" i="2"/>
  <c r="M841" i="2"/>
  <c r="L841" i="2"/>
  <c r="K841" i="2"/>
  <c r="J841" i="2"/>
  <c r="P840" i="2"/>
  <c r="O840" i="2"/>
  <c r="N840" i="2"/>
  <c r="M840" i="2"/>
  <c r="L840" i="2"/>
  <c r="K840" i="2"/>
  <c r="J840" i="2"/>
  <c r="P839" i="2"/>
  <c r="O839" i="2"/>
  <c r="N839" i="2"/>
  <c r="M839" i="2"/>
  <c r="L839" i="2"/>
  <c r="K839" i="2"/>
  <c r="J839" i="2"/>
  <c r="P838" i="2"/>
  <c r="O838" i="2"/>
  <c r="N838" i="2"/>
  <c r="M838" i="2"/>
  <c r="L838" i="2"/>
  <c r="K838" i="2"/>
  <c r="J838" i="2"/>
  <c r="P837" i="2"/>
  <c r="O837" i="2"/>
  <c r="N837" i="2"/>
  <c r="M837" i="2"/>
  <c r="L837" i="2"/>
  <c r="K837" i="2"/>
  <c r="J837" i="2"/>
  <c r="P836" i="2"/>
  <c r="O836" i="2"/>
  <c r="N836" i="2"/>
  <c r="M836" i="2"/>
  <c r="L836" i="2"/>
  <c r="K836" i="2"/>
  <c r="J836" i="2"/>
  <c r="P835" i="2"/>
  <c r="O835" i="2"/>
  <c r="N835" i="2"/>
  <c r="M835" i="2"/>
  <c r="L835" i="2"/>
  <c r="K835" i="2"/>
  <c r="J835" i="2"/>
  <c r="P834" i="2"/>
  <c r="O834" i="2"/>
  <c r="N834" i="2"/>
  <c r="M834" i="2"/>
  <c r="L834" i="2"/>
  <c r="K834" i="2"/>
  <c r="J834" i="2"/>
  <c r="P833" i="2"/>
  <c r="O833" i="2"/>
  <c r="N833" i="2"/>
  <c r="M833" i="2"/>
  <c r="L833" i="2"/>
  <c r="K833" i="2"/>
  <c r="J833" i="2"/>
  <c r="P832" i="2"/>
  <c r="O832" i="2"/>
  <c r="N832" i="2"/>
  <c r="M832" i="2"/>
  <c r="L832" i="2"/>
  <c r="K832" i="2"/>
  <c r="J832" i="2"/>
  <c r="P831" i="2"/>
  <c r="O831" i="2"/>
  <c r="N831" i="2"/>
  <c r="M831" i="2"/>
  <c r="L831" i="2"/>
  <c r="K831" i="2"/>
  <c r="J831" i="2"/>
  <c r="P830" i="2"/>
  <c r="O830" i="2"/>
  <c r="N830" i="2"/>
  <c r="M830" i="2"/>
  <c r="L830" i="2"/>
  <c r="K830" i="2"/>
  <c r="J830" i="2"/>
  <c r="P829" i="2"/>
  <c r="O829" i="2"/>
  <c r="N829" i="2"/>
  <c r="M829" i="2"/>
  <c r="L829" i="2"/>
  <c r="K829" i="2"/>
  <c r="J829" i="2"/>
  <c r="P828" i="2"/>
  <c r="O828" i="2"/>
  <c r="N828" i="2"/>
  <c r="M828" i="2"/>
  <c r="L828" i="2"/>
  <c r="K828" i="2"/>
  <c r="J828" i="2"/>
  <c r="P827" i="2"/>
  <c r="O827" i="2"/>
  <c r="N827" i="2"/>
  <c r="M827" i="2"/>
  <c r="L827" i="2"/>
  <c r="K827" i="2"/>
  <c r="J827" i="2"/>
  <c r="P826" i="2"/>
  <c r="O826" i="2"/>
  <c r="N826" i="2"/>
  <c r="M826" i="2"/>
  <c r="L826" i="2"/>
  <c r="K826" i="2"/>
  <c r="J826" i="2"/>
  <c r="P825" i="2"/>
  <c r="O825" i="2"/>
  <c r="N825" i="2"/>
  <c r="M825" i="2"/>
  <c r="L825" i="2"/>
  <c r="K825" i="2"/>
  <c r="J825" i="2"/>
  <c r="P824" i="2"/>
  <c r="O824" i="2"/>
  <c r="N824" i="2"/>
  <c r="M824" i="2"/>
  <c r="L824" i="2"/>
  <c r="K824" i="2"/>
  <c r="J824" i="2"/>
  <c r="P823" i="2"/>
  <c r="O823" i="2"/>
  <c r="N823" i="2"/>
  <c r="M823" i="2"/>
  <c r="L823" i="2"/>
  <c r="K823" i="2"/>
  <c r="J823" i="2"/>
  <c r="P822" i="2"/>
  <c r="O822" i="2"/>
  <c r="N822" i="2"/>
  <c r="M822" i="2"/>
  <c r="L822" i="2"/>
  <c r="K822" i="2"/>
  <c r="J822" i="2"/>
  <c r="P821" i="2"/>
  <c r="O821" i="2"/>
  <c r="N821" i="2"/>
  <c r="M821" i="2"/>
  <c r="L821" i="2"/>
  <c r="K821" i="2"/>
  <c r="J821" i="2"/>
  <c r="P820" i="2"/>
  <c r="O820" i="2"/>
  <c r="N820" i="2"/>
  <c r="M820" i="2"/>
  <c r="L820" i="2"/>
  <c r="K820" i="2"/>
  <c r="J820" i="2"/>
  <c r="P819" i="2"/>
  <c r="O819" i="2"/>
  <c r="N819" i="2"/>
  <c r="M819" i="2"/>
  <c r="L819" i="2"/>
  <c r="K819" i="2"/>
  <c r="J819" i="2"/>
  <c r="P818" i="2"/>
  <c r="O818" i="2"/>
  <c r="N818" i="2"/>
  <c r="M818" i="2"/>
  <c r="L818" i="2"/>
  <c r="K818" i="2"/>
  <c r="J818" i="2"/>
  <c r="P817" i="2"/>
  <c r="O817" i="2"/>
  <c r="N817" i="2"/>
  <c r="M817" i="2"/>
  <c r="L817" i="2"/>
  <c r="K817" i="2"/>
  <c r="J817" i="2"/>
  <c r="P816" i="2"/>
  <c r="O816" i="2"/>
  <c r="N816" i="2"/>
  <c r="M816" i="2"/>
  <c r="L816" i="2"/>
  <c r="K816" i="2"/>
  <c r="J816" i="2"/>
  <c r="P815" i="2"/>
  <c r="O815" i="2"/>
  <c r="N815" i="2"/>
  <c r="M815" i="2"/>
  <c r="L815" i="2"/>
  <c r="K815" i="2"/>
  <c r="J815" i="2"/>
  <c r="P814" i="2"/>
  <c r="O814" i="2"/>
  <c r="N814" i="2"/>
  <c r="M814" i="2"/>
  <c r="L814" i="2"/>
  <c r="K814" i="2"/>
  <c r="J814" i="2"/>
  <c r="P813" i="2"/>
  <c r="O813" i="2"/>
  <c r="N813" i="2"/>
  <c r="M813" i="2"/>
  <c r="L813" i="2"/>
  <c r="K813" i="2"/>
  <c r="J813" i="2"/>
  <c r="P812" i="2"/>
  <c r="O812" i="2"/>
  <c r="N812" i="2"/>
  <c r="M812" i="2"/>
  <c r="L812" i="2"/>
  <c r="K812" i="2"/>
  <c r="J812" i="2"/>
  <c r="P811" i="2"/>
  <c r="O811" i="2"/>
  <c r="N811" i="2"/>
  <c r="M811" i="2"/>
  <c r="L811" i="2"/>
  <c r="K811" i="2"/>
  <c r="J811" i="2"/>
  <c r="P810" i="2"/>
  <c r="O810" i="2"/>
  <c r="N810" i="2"/>
  <c r="M810" i="2"/>
  <c r="L810" i="2"/>
  <c r="K810" i="2"/>
  <c r="J810" i="2"/>
  <c r="P809" i="2"/>
  <c r="O809" i="2"/>
  <c r="N809" i="2"/>
  <c r="M809" i="2"/>
  <c r="L809" i="2"/>
  <c r="K809" i="2"/>
  <c r="J809" i="2"/>
  <c r="P808" i="2"/>
  <c r="O808" i="2"/>
  <c r="N808" i="2"/>
  <c r="M808" i="2"/>
  <c r="L808" i="2"/>
  <c r="K808" i="2"/>
  <c r="J808" i="2"/>
  <c r="P807" i="2"/>
  <c r="O807" i="2"/>
  <c r="N807" i="2"/>
  <c r="M807" i="2"/>
  <c r="L807" i="2"/>
  <c r="K807" i="2"/>
  <c r="J807" i="2"/>
  <c r="P806" i="2"/>
  <c r="O806" i="2"/>
  <c r="N806" i="2"/>
  <c r="M806" i="2"/>
  <c r="L806" i="2"/>
  <c r="K806" i="2"/>
  <c r="J806" i="2"/>
  <c r="P805" i="2"/>
  <c r="O805" i="2"/>
  <c r="N805" i="2"/>
  <c r="M805" i="2"/>
  <c r="L805" i="2"/>
  <c r="K805" i="2"/>
  <c r="J805" i="2"/>
  <c r="P804" i="2"/>
  <c r="O804" i="2"/>
  <c r="N804" i="2"/>
  <c r="M804" i="2"/>
  <c r="L804" i="2"/>
  <c r="K804" i="2"/>
  <c r="J804" i="2"/>
  <c r="P803" i="2"/>
  <c r="O803" i="2"/>
  <c r="N803" i="2"/>
  <c r="M803" i="2"/>
  <c r="L803" i="2"/>
  <c r="K803" i="2"/>
  <c r="J803" i="2"/>
  <c r="P802" i="2"/>
  <c r="O802" i="2"/>
  <c r="N802" i="2"/>
  <c r="M802" i="2"/>
  <c r="L802" i="2"/>
  <c r="K802" i="2"/>
  <c r="J802" i="2"/>
  <c r="P801" i="2"/>
  <c r="O801" i="2"/>
  <c r="N801" i="2"/>
  <c r="M801" i="2"/>
  <c r="L801" i="2"/>
  <c r="K801" i="2"/>
  <c r="J801" i="2"/>
  <c r="P800" i="2"/>
  <c r="O800" i="2"/>
  <c r="N800" i="2"/>
  <c r="M800" i="2"/>
  <c r="L800" i="2"/>
  <c r="K800" i="2"/>
  <c r="J800" i="2"/>
  <c r="P799" i="2"/>
  <c r="O799" i="2"/>
  <c r="N799" i="2"/>
  <c r="M799" i="2"/>
  <c r="L799" i="2"/>
  <c r="K799" i="2"/>
  <c r="J799" i="2"/>
  <c r="P798" i="2"/>
  <c r="O798" i="2"/>
  <c r="N798" i="2"/>
  <c r="M798" i="2"/>
  <c r="L798" i="2"/>
  <c r="K798" i="2"/>
  <c r="J798" i="2"/>
  <c r="P797" i="2"/>
  <c r="O797" i="2"/>
  <c r="N797" i="2"/>
  <c r="M797" i="2"/>
  <c r="L797" i="2"/>
  <c r="K797" i="2"/>
  <c r="J797" i="2"/>
  <c r="P796" i="2"/>
  <c r="O796" i="2"/>
  <c r="N796" i="2"/>
  <c r="M796" i="2"/>
  <c r="L796" i="2"/>
  <c r="K796" i="2"/>
  <c r="J796" i="2"/>
  <c r="P795" i="2"/>
  <c r="O795" i="2"/>
  <c r="N795" i="2"/>
  <c r="M795" i="2"/>
  <c r="L795" i="2"/>
  <c r="K795" i="2"/>
  <c r="J795" i="2"/>
  <c r="P794" i="2"/>
  <c r="O794" i="2"/>
  <c r="N794" i="2"/>
  <c r="M794" i="2"/>
  <c r="L794" i="2"/>
  <c r="K794" i="2"/>
  <c r="J794" i="2"/>
  <c r="P793" i="2"/>
  <c r="O793" i="2"/>
  <c r="N793" i="2"/>
  <c r="M793" i="2"/>
  <c r="L793" i="2"/>
  <c r="K793" i="2"/>
  <c r="J793" i="2"/>
  <c r="P792" i="2"/>
  <c r="O792" i="2"/>
  <c r="N792" i="2"/>
  <c r="M792" i="2"/>
  <c r="L792" i="2"/>
  <c r="K792" i="2"/>
  <c r="J792" i="2"/>
  <c r="P791" i="2"/>
  <c r="O791" i="2"/>
  <c r="N791" i="2"/>
  <c r="M791" i="2"/>
  <c r="L791" i="2"/>
  <c r="K791" i="2"/>
  <c r="J791" i="2"/>
  <c r="P790" i="2"/>
  <c r="O790" i="2"/>
  <c r="N790" i="2"/>
  <c r="M790" i="2"/>
  <c r="L790" i="2"/>
  <c r="K790" i="2"/>
  <c r="J790" i="2"/>
  <c r="P789" i="2"/>
  <c r="O789" i="2"/>
  <c r="N789" i="2"/>
  <c r="M789" i="2"/>
  <c r="L789" i="2"/>
  <c r="K789" i="2"/>
  <c r="J789" i="2"/>
  <c r="P788" i="2"/>
  <c r="O788" i="2"/>
  <c r="N788" i="2"/>
  <c r="M788" i="2"/>
  <c r="L788" i="2"/>
  <c r="K788" i="2"/>
  <c r="J788" i="2"/>
  <c r="P787" i="2"/>
  <c r="O787" i="2"/>
  <c r="N787" i="2"/>
  <c r="M787" i="2"/>
  <c r="L787" i="2"/>
  <c r="K787" i="2"/>
  <c r="J787" i="2"/>
  <c r="P786" i="2"/>
  <c r="O786" i="2"/>
  <c r="N786" i="2"/>
  <c r="M786" i="2"/>
  <c r="L786" i="2"/>
  <c r="K786" i="2"/>
  <c r="J786" i="2"/>
  <c r="P785" i="2"/>
  <c r="O785" i="2"/>
  <c r="N785" i="2"/>
  <c r="M785" i="2"/>
  <c r="L785" i="2"/>
  <c r="K785" i="2"/>
  <c r="J785" i="2"/>
  <c r="P784" i="2"/>
  <c r="O784" i="2"/>
  <c r="N784" i="2"/>
  <c r="M784" i="2"/>
  <c r="L784" i="2"/>
  <c r="K784" i="2"/>
  <c r="J784" i="2"/>
  <c r="P783" i="2"/>
  <c r="O783" i="2"/>
  <c r="N783" i="2"/>
  <c r="M783" i="2"/>
  <c r="L783" i="2"/>
  <c r="K783" i="2"/>
  <c r="J783" i="2"/>
  <c r="P782" i="2"/>
  <c r="O782" i="2"/>
  <c r="N782" i="2"/>
  <c r="M782" i="2"/>
  <c r="L782" i="2"/>
  <c r="K782" i="2"/>
  <c r="J782" i="2"/>
  <c r="P781" i="2"/>
  <c r="O781" i="2"/>
  <c r="N781" i="2"/>
  <c r="M781" i="2"/>
  <c r="L781" i="2"/>
  <c r="K781" i="2"/>
  <c r="J781" i="2"/>
  <c r="P780" i="2"/>
  <c r="O780" i="2"/>
  <c r="N780" i="2"/>
  <c r="M780" i="2"/>
  <c r="L780" i="2"/>
  <c r="K780" i="2"/>
  <c r="J780" i="2"/>
  <c r="P779" i="2"/>
  <c r="O779" i="2"/>
  <c r="N779" i="2"/>
  <c r="M779" i="2"/>
  <c r="L779" i="2"/>
  <c r="K779" i="2"/>
  <c r="J779" i="2"/>
  <c r="P778" i="2"/>
  <c r="O778" i="2"/>
  <c r="N778" i="2"/>
  <c r="M778" i="2"/>
  <c r="L778" i="2"/>
  <c r="K778" i="2"/>
  <c r="J778" i="2"/>
  <c r="P777" i="2"/>
  <c r="O777" i="2"/>
  <c r="N777" i="2"/>
  <c r="M777" i="2"/>
  <c r="L777" i="2"/>
  <c r="K777" i="2"/>
  <c r="J777" i="2"/>
  <c r="P776" i="2"/>
  <c r="O776" i="2"/>
  <c r="N776" i="2"/>
  <c r="M776" i="2"/>
  <c r="L776" i="2"/>
  <c r="K776" i="2"/>
  <c r="J776" i="2"/>
  <c r="P775" i="2"/>
  <c r="O775" i="2"/>
  <c r="N775" i="2"/>
  <c r="M775" i="2"/>
  <c r="L775" i="2"/>
  <c r="K775" i="2"/>
  <c r="J775" i="2"/>
  <c r="P774" i="2"/>
  <c r="O774" i="2"/>
  <c r="N774" i="2"/>
  <c r="M774" i="2"/>
  <c r="L774" i="2"/>
  <c r="K774" i="2"/>
  <c r="J774" i="2"/>
  <c r="P773" i="2"/>
  <c r="O773" i="2"/>
  <c r="N773" i="2"/>
  <c r="M773" i="2"/>
  <c r="L773" i="2"/>
  <c r="K773" i="2"/>
  <c r="J773" i="2"/>
  <c r="P772" i="2"/>
  <c r="O772" i="2"/>
  <c r="N772" i="2"/>
  <c r="M772" i="2"/>
  <c r="L772" i="2"/>
  <c r="K772" i="2"/>
  <c r="J772" i="2"/>
  <c r="P771" i="2"/>
  <c r="O771" i="2"/>
  <c r="N771" i="2"/>
  <c r="M771" i="2"/>
  <c r="L771" i="2"/>
  <c r="K771" i="2"/>
  <c r="J771" i="2"/>
  <c r="P770" i="2"/>
  <c r="O770" i="2"/>
  <c r="N770" i="2"/>
  <c r="M770" i="2"/>
  <c r="L770" i="2"/>
  <c r="K770" i="2"/>
  <c r="J770" i="2"/>
  <c r="P769" i="2"/>
  <c r="O769" i="2"/>
  <c r="N769" i="2"/>
  <c r="M769" i="2"/>
  <c r="L769" i="2"/>
  <c r="K769" i="2"/>
  <c r="J769" i="2"/>
  <c r="P768" i="2"/>
  <c r="O768" i="2"/>
  <c r="N768" i="2"/>
  <c r="M768" i="2"/>
  <c r="L768" i="2"/>
  <c r="K768" i="2"/>
  <c r="J768" i="2"/>
  <c r="P767" i="2"/>
  <c r="O767" i="2"/>
  <c r="N767" i="2"/>
  <c r="M767" i="2"/>
  <c r="L767" i="2"/>
  <c r="K767" i="2"/>
  <c r="J767" i="2"/>
  <c r="P766" i="2"/>
  <c r="O766" i="2"/>
  <c r="N766" i="2"/>
  <c r="M766" i="2"/>
  <c r="L766" i="2"/>
  <c r="K766" i="2"/>
  <c r="J766" i="2"/>
  <c r="P765" i="2"/>
  <c r="O765" i="2"/>
  <c r="N765" i="2"/>
  <c r="M765" i="2"/>
  <c r="L765" i="2"/>
  <c r="K765" i="2"/>
  <c r="J765" i="2"/>
  <c r="P764" i="2"/>
  <c r="O764" i="2"/>
  <c r="N764" i="2"/>
  <c r="M764" i="2"/>
  <c r="L764" i="2"/>
  <c r="K764" i="2"/>
  <c r="J764" i="2"/>
  <c r="P763" i="2"/>
  <c r="O763" i="2"/>
  <c r="N763" i="2"/>
  <c r="M763" i="2"/>
  <c r="L763" i="2"/>
  <c r="K763" i="2"/>
  <c r="J763" i="2"/>
  <c r="P762" i="2"/>
  <c r="O762" i="2"/>
  <c r="N762" i="2"/>
  <c r="M762" i="2"/>
  <c r="L762" i="2"/>
  <c r="K762" i="2"/>
  <c r="J762" i="2"/>
  <c r="P761" i="2"/>
  <c r="O761" i="2"/>
  <c r="N761" i="2"/>
  <c r="M761" i="2"/>
  <c r="L761" i="2"/>
  <c r="K761" i="2"/>
  <c r="J761" i="2"/>
  <c r="P760" i="2"/>
  <c r="O760" i="2"/>
  <c r="N760" i="2"/>
  <c r="M760" i="2"/>
  <c r="L760" i="2"/>
  <c r="K760" i="2"/>
  <c r="J760" i="2"/>
  <c r="P759" i="2"/>
  <c r="O759" i="2"/>
  <c r="N759" i="2"/>
  <c r="M759" i="2"/>
  <c r="L759" i="2"/>
  <c r="K759" i="2"/>
  <c r="J759" i="2"/>
  <c r="P758" i="2"/>
  <c r="O758" i="2"/>
  <c r="N758" i="2"/>
  <c r="M758" i="2"/>
  <c r="L758" i="2"/>
  <c r="K758" i="2"/>
  <c r="J758" i="2"/>
  <c r="P757" i="2"/>
  <c r="O757" i="2"/>
  <c r="N757" i="2"/>
  <c r="M757" i="2"/>
  <c r="L757" i="2"/>
  <c r="K757" i="2"/>
  <c r="J757" i="2"/>
  <c r="P756" i="2"/>
  <c r="O756" i="2"/>
  <c r="N756" i="2"/>
  <c r="M756" i="2"/>
  <c r="L756" i="2"/>
  <c r="K756" i="2"/>
  <c r="J756" i="2"/>
  <c r="P755" i="2"/>
  <c r="O755" i="2"/>
  <c r="N755" i="2"/>
  <c r="M755" i="2"/>
  <c r="L755" i="2"/>
  <c r="K755" i="2"/>
  <c r="J755" i="2"/>
  <c r="P754" i="2"/>
  <c r="O754" i="2"/>
  <c r="N754" i="2"/>
  <c r="M754" i="2"/>
  <c r="L754" i="2"/>
  <c r="K754" i="2"/>
  <c r="J754" i="2"/>
  <c r="P753" i="2"/>
  <c r="O753" i="2"/>
  <c r="N753" i="2"/>
  <c r="M753" i="2"/>
  <c r="L753" i="2"/>
  <c r="K753" i="2"/>
  <c r="J753" i="2"/>
  <c r="P752" i="2"/>
  <c r="O752" i="2"/>
  <c r="N752" i="2"/>
  <c r="M752" i="2"/>
  <c r="L752" i="2"/>
  <c r="K752" i="2"/>
  <c r="J752" i="2"/>
  <c r="P751" i="2"/>
  <c r="O751" i="2"/>
  <c r="N751" i="2"/>
  <c r="M751" i="2"/>
  <c r="L751" i="2"/>
  <c r="K751" i="2"/>
  <c r="J751" i="2"/>
  <c r="P750" i="2"/>
  <c r="O750" i="2"/>
  <c r="N750" i="2"/>
  <c r="M750" i="2"/>
  <c r="L750" i="2"/>
  <c r="K750" i="2"/>
  <c r="J750" i="2"/>
  <c r="P749" i="2"/>
  <c r="O749" i="2"/>
  <c r="N749" i="2"/>
  <c r="M749" i="2"/>
  <c r="L749" i="2"/>
  <c r="K749" i="2"/>
  <c r="J749" i="2"/>
  <c r="P748" i="2"/>
  <c r="O748" i="2"/>
  <c r="N748" i="2"/>
  <c r="M748" i="2"/>
  <c r="L748" i="2"/>
  <c r="K748" i="2"/>
  <c r="J748" i="2"/>
  <c r="P747" i="2"/>
  <c r="O747" i="2"/>
  <c r="N747" i="2"/>
  <c r="M747" i="2"/>
  <c r="L747" i="2"/>
  <c r="K747" i="2"/>
  <c r="J747" i="2"/>
  <c r="P746" i="2"/>
  <c r="O746" i="2"/>
  <c r="N746" i="2"/>
  <c r="M746" i="2"/>
  <c r="L746" i="2"/>
  <c r="K746" i="2"/>
  <c r="J746" i="2"/>
  <c r="P745" i="2"/>
  <c r="O745" i="2"/>
  <c r="N745" i="2"/>
  <c r="M745" i="2"/>
  <c r="L745" i="2"/>
  <c r="K745" i="2"/>
  <c r="J745" i="2"/>
  <c r="P744" i="2"/>
  <c r="O744" i="2"/>
  <c r="N744" i="2"/>
  <c r="M744" i="2"/>
  <c r="L744" i="2"/>
  <c r="K744" i="2"/>
  <c r="J744" i="2"/>
  <c r="P743" i="2"/>
  <c r="O743" i="2"/>
  <c r="N743" i="2"/>
  <c r="M743" i="2"/>
  <c r="L743" i="2"/>
  <c r="K743" i="2"/>
  <c r="J743" i="2"/>
  <c r="P742" i="2"/>
  <c r="O742" i="2"/>
  <c r="N742" i="2"/>
  <c r="M742" i="2"/>
  <c r="L742" i="2"/>
  <c r="K742" i="2"/>
  <c r="J742" i="2"/>
  <c r="P741" i="2"/>
  <c r="O741" i="2"/>
  <c r="N741" i="2"/>
  <c r="M741" i="2"/>
  <c r="L741" i="2"/>
  <c r="K741" i="2"/>
  <c r="J741" i="2"/>
  <c r="P740" i="2"/>
  <c r="O740" i="2"/>
  <c r="N740" i="2"/>
  <c r="M740" i="2"/>
  <c r="L740" i="2"/>
  <c r="K740" i="2"/>
  <c r="J740" i="2"/>
  <c r="P739" i="2"/>
  <c r="O739" i="2"/>
  <c r="N739" i="2"/>
  <c r="M739" i="2"/>
  <c r="L739" i="2"/>
  <c r="K739" i="2"/>
  <c r="J739" i="2"/>
  <c r="P738" i="2"/>
  <c r="O738" i="2"/>
  <c r="N738" i="2"/>
  <c r="M738" i="2"/>
  <c r="L738" i="2"/>
  <c r="K738" i="2"/>
  <c r="J738" i="2"/>
  <c r="P737" i="2"/>
  <c r="O737" i="2"/>
  <c r="N737" i="2"/>
  <c r="M737" i="2"/>
  <c r="L737" i="2"/>
  <c r="K737" i="2"/>
  <c r="J737" i="2"/>
  <c r="P736" i="2"/>
  <c r="O736" i="2"/>
  <c r="N736" i="2"/>
  <c r="M736" i="2"/>
  <c r="L736" i="2"/>
  <c r="K736" i="2"/>
  <c r="J736" i="2"/>
  <c r="P735" i="2"/>
  <c r="O735" i="2"/>
  <c r="N735" i="2"/>
  <c r="M735" i="2"/>
  <c r="L735" i="2"/>
  <c r="K735" i="2"/>
  <c r="J735" i="2"/>
  <c r="P734" i="2"/>
  <c r="O734" i="2"/>
  <c r="N734" i="2"/>
  <c r="M734" i="2"/>
  <c r="L734" i="2"/>
  <c r="K734" i="2"/>
  <c r="J734" i="2"/>
  <c r="P733" i="2"/>
  <c r="O733" i="2"/>
  <c r="N733" i="2"/>
  <c r="M733" i="2"/>
  <c r="L733" i="2"/>
  <c r="K733" i="2"/>
  <c r="J733" i="2"/>
  <c r="P732" i="2"/>
  <c r="O732" i="2"/>
  <c r="N732" i="2"/>
  <c r="M732" i="2"/>
  <c r="L732" i="2"/>
  <c r="K732" i="2"/>
  <c r="J732" i="2"/>
  <c r="P731" i="2"/>
  <c r="O731" i="2"/>
  <c r="N731" i="2"/>
  <c r="M731" i="2"/>
  <c r="L731" i="2"/>
  <c r="K731" i="2"/>
  <c r="J731" i="2"/>
  <c r="P730" i="2"/>
  <c r="O730" i="2"/>
  <c r="N730" i="2"/>
  <c r="M730" i="2"/>
  <c r="L730" i="2"/>
  <c r="K730" i="2"/>
  <c r="J730" i="2"/>
  <c r="P729" i="2"/>
  <c r="O729" i="2"/>
  <c r="N729" i="2"/>
  <c r="M729" i="2"/>
  <c r="L729" i="2"/>
  <c r="K729" i="2"/>
  <c r="J729" i="2"/>
  <c r="P728" i="2"/>
  <c r="O728" i="2"/>
  <c r="N728" i="2"/>
  <c r="M728" i="2"/>
  <c r="L728" i="2"/>
  <c r="K728" i="2"/>
  <c r="J728" i="2"/>
  <c r="P727" i="2"/>
  <c r="O727" i="2"/>
  <c r="N727" i="2"/>
  <c r="M727" i="2"/>
  <c r="L727" i="2"/>
  <c r="K727" i="2"/>
  <c r="J727" i="2"/>
  <c r="P726" i="2"/>
  <c r="O726" i="2"/>
  <c r="N726" i="2"/>
  <c r="M726" i="2"/>
  <c r="L726" i="2"/>
  <c r="K726" i="2"/>
  <c r="J726" i="2"/>
  <c r="P725" i="2"/>
  <c r="O725" i="2"/>
  <c r="N725" i="2"/>
  <c r="M725" i="2"/>
  <c r="L725" i="2"/>
  <c r="K725" i="2"/>
  <c r="J725" i="2"/>
  <c r="P724" i="2"/>
  <c r="O724" i="2"/>
  <c r="N724" i="2"/>
  <c r="M724" i="2"/>
  <c r="L724" i="2"/>
  <c r="K724" i="2"/>
  <c r="J724" i="2"/>
  <c r="P723" i="2"/>
  <c r="O723" i="2"/>
  <c r="N723" i="2"/>
  <c r="M723" i="2"/>
  <c r="L723" i="2"/>
  <c r="K723" i="2"/>
  <c r="J723" i="2"/>
  <c r="P722" i="2"/>
  <c r="O722" i="2"/>
  <c r="N722" i="2"/>
  <c r="M722" i="2"/>
  <c r="L722" i="2"/>
  <c r="K722" i="2"/>
  <c r="J722" i="2"/>
  <c r="P721" i="2"/>
  <c r="O721" i="2"/>
  <c r="N721" i="2"/>
  <c r="M721" i="2"/>
  <c r="L721" i="2"/>
  <c r="K721" i="2"/>
  <c r="J721" i="2"/>
  <c r="P720" i="2"/>
  <c r="O720" i="2"/>
  <c r="N720" i="2"/>
  <c r="M720" i="2"/>
  <c r="L720" i="2"/>
  <c r="K720" i="2"/>
  <c r="J720" i="2"/>
  <c r="P719" i="2"/>
  <c r="O719" i="2"/>
  <c r="N719" i="2"/>
  <c r="M719" i="2"/>
  <c r="L719" i="2"/>
  <c r="K719" i="2"/>
  <c r="J719" i="2"/>
  <c r="P718" i="2"/>
  <c r="O718" i="2"/>
  <c r="N718" i="2"/>
  <c r="M718" i="2"/>
  <c r="L718" i="2"/>
  <c r="K718" i="2"/>
  <c r="J718" i="2"/>
  <c r="P717" i="2"/>
  <c r="O717" i="2"/>
  <c r="N717" i="2"/>
  <c r="M717" i="2"/>
  <c r="L717" i="2"/>
  <c r="K717" i="2"/>
  <c r="J717" i="2"/>
  <c r="P716" i="2"/>
  <c r="O716" i="2"/>
  <c r="N716" i="2"/>
  <c r="M716" i="2"/>
  <c r="L716" i="2"/>
  <c r="K716" i="2"/>
  <c r="J716" i="2"/>
  <c r="P715" i="2"/>
  <c r="O715" i="2"/>
  <c r="N715" i="2"/>
  <c r="M715" i="2"/>
  <c r="L715" i="2"/>
  <c r="K715" i="2"/>
  <c r="J715" i="2"/>
  <c r="P714" i="2"/>
  <c r="O714" i="2"/>
  <c r="N714" i="2"/>
  <c r="M714" i="2"/>
  <c r="L714" i="2"/>
  <c r="K714" i="2"/>
  <c r="J714" i="2"/>
  <c r="P713" i="2"/>
  <c r="O713" i="2"/>
  <c r="N713" i="2"/>
  <c r="M713" i="2"/>
  <c r="L713" i="2"/>
  <c r="K713" i="2"/>
  <c r="J713" i="2"/>
  <c r="P712" i="2"/>
  <c r="O712" i="2"/>
  <c r="N712" i="2"/>
  <c r="M712" i="2"/>
  <c r="L712" i="2"/>
  <c r="K712" i="2"/>
  <c r="J712" i="2"/>
  <c r="P711" i="2"/>
  <c r="O711" i="2"/>
  <c r="N711" i="2"/>
  <c r="M711" i="2"/>
  <c r="L711" i="2"/>
  <c r="K711" i="2"/>
  <c r="J711" i="2"/>
  <c r="P710" i="2"/>
  <c r="O710" i="2"/>
  <c r="N710" i="2"/>
  <c r="M710" i="2"/>
  <c r="L710" i="2"/>
  <c r="K710" i="2"/>
  <c r="J710" i="2"/>
  <c r="P709" i="2"/>
  <c r="O709" i="2"/>
  <c r="N709" i="2"/>
  <c r="M709" i="2"/>
  <c r="L709" i="2"/>
  <c r="K709" i="2"/>
  <c r="J709" i="2"/>
  <c r="P708" i="2"/>
  <c r="O708" i="2"/>
  <c r="N708" i="2"/>
  <c r="M708" i="2"/>
  <c r="L708" i="2"/>
  <c r="K708" i="2"/>
  <c r="J708" i="2"/>
  <c r="P707" i="2"/>
  <c r="O707" i="2"/>
  <c r="N707" i="2"/>
  <c r="M707" i="2"/>
  <c r="L707" i="2"/>
  <c r="K707" i="2"/>
  <c r="J707" i="2"/>
  <c r="P706" i="2"/>
  <c r="O706" i="2"/>
  <c r="N706" i="2"/>
  <c r="M706" i="2"/>
  <c r="L706" i="2"/>
  <c r="K706" i="2"/>
  <c r="J706" i="2"/>
  <c r="P705" i="2"/>
  <c r="O705" i="2"/>
  <c r="N705" i="2"/>
  <c r="M705" i="2"/>
  <c r="L705" i="2"/>
  <c r="K705" i="2"/>
  <c r="J705" i="2"/>
  <c r="P704" i="2"/>
  <c r="O704" i="2"/>
  <c r="N704" i="2"/>
  <c r="M704" i="2"/>
  <c r="L704" i="2"/>
  <c r="K704" i="2"/>
  <c r="J704" i="2"/>
  <c r="P703" i="2"/>
  <c r="O703" i="2"/>
  <c r="N703" i="2"/>
  <c r="M703" i="2"/>
  <c r="L703" i="2"/>
  <c r="K703" i="2"/>
  <c r="J703" i="2"/>
  <c r="P702" i="2"/>
  <c r="O702" i="2"/>
  <c r="N702" i="2"/>
  <c r="M702" i="2"/>
  <c r="L702" i="2"/>
  <c r="K702" i="2"/>
  <c r="J702" i="2"/>
  <c r="P701" i="2"/>
  <c r="O701" i="2"/>
  <c r="N701" i="2"/>
  <c r="M701" i="2"/>
  <c r="L701" i="2"/>
  <c r="K701" i="2"/>
  <c r="J701" i="2"/>
  <c r="P700" i="2"/>
  <c r="O700" i="2"/>
  <c r="N700" i="2"/>
  <c r="M700" i="2"/>
  <c r="L700" i="2"/>
  <c r="K700" i="2"/>
  <c r="J700" i="2"/>
  <c r="P699" i="2"/>
  <c r="O699" i="2"/>
  <c r="N699" i="2"/>
  <c r="M699" i="2"/>
  <c r="L699" i="2"/>
  <c r="K699" i="2"/>
  <c r="J699" i="2"/>
  <c r="P698" i="2"/>
  <c r="O698" i="2"/>
  <c r="N698" i="2"/>
  <c r="M698" i="2"/>
  <c r="L698" i="2"/>
  <c r="K698" i="2"/>
  <c r="J698" i="2"/>
  <c r="P697" i="2"/>
  <c r="O697" i="2"/>
  <c r="N697" i="2"/>
  <c r="M697" i="2"/>
  <c r="L697" i="2"/>
  <c r="K697" i="2"/>
  <c r="J697" i="2"/>
  <c r="P696" i="2"/>
  <c r="O696" i="2"/>
  <c r="N696" i="2"/>
  <c r="M696" i="2"/>
  <c r="L696" i="2"/>
  <c r="K696" i="2"/>
  <c r="J696" i="2"/>
  <c r="P695" i="2"/>
  <c r="O695" i="2"/>
  <c r="N695" i="2"/>
  <c r="M695" i="2"/>
  <c r="L695" i="2"/>
  <c r="K695" i="2"/>
  <c r="J695" i="2"/>
  <c r="P694" i="2"/>
  <c r="O694" i="2"/>
  <c r="N694" i="2"/>
  <c r="M694" i="2"/>
  <c r="L694" i="2"/>
  <c r="K694" i="2"/>
  <c r="J694" i="2"/>
  <c r="P693" i="2"/>
  <c r="O693" i="2"/>
  <c r="N693" i="2"/>
  <c r="M693" i="2"/>
  <c r="L693" i="2"/>
  <c r="K693" i="2"/>
  <c r="J693" i="2"/>
  <c r="P692" i="2"/>
  <c r="O692" i="2"/>
  <c r="N692" i="2"/>
  <c r="M692" i="2"/>
  <c r="L692" i="2"/>
  <c r="K692" i="2"/>
  <c r="J692" i="2"/>
  <c r="P691" i="2"/>
  <c r="O691" i="2"/>
  <c r="N691" i="2"/>
  <c r="M691" i="2"/>
  <c r="L691" i="2"/>
  <c r="K691" i="2"/>
  <c r="J691" i="2"/>
  <c r="P690" i="2"/>
  <c r="O690" i="2"/>
  <c r="N690" i="2"/>
  <c r="M690" i="2"/>
  <c r="L690" i="2"/>
  <c r="K690" i="2"/>
  <c r="J690" i="2"/>
  <c r="P689" i="2"/>
  <c r="O689" i="2"/>
  <c r="N689" i="2"/>
  <c r="M689" i="2"/>
  <c r="L689" i="2"/>
  <c r="K689" i="2"/>
  <c r="J689" i="2"/>
  <c r="P688" i="2"/>
  <c r="O688" i="2"/>
  <c r="N688" i="2"/>
  <c r="M688" i="2"/>
  <c r="L688" i="2"/>
  <c r="K688" i="2"/>
  <c r="J688" i="2"/>
  <c r="P687" i="2"/>
  <c r="O687" i="2"/>
  <c r="N687" i="2"/>
  <c r="M687" i="2"/>
  <c r="L687" i="2"/>
  <c r="K687" i="2"/>
  <c r="J687" i="2"/>
  <c r="P686" i="2"/>
  <c r="O686" i="2"/>
  <c r="N686" i="2"/>
  <c r="M686" i="2"/>
  <c r="L686" i="2"/>
  <c r="K686" i="2"/>
  <c r="J686" i="2"/>
  <c r="P685" i="2"/>
  <c r="O685" i="2"/>
  <c r="N685" i="2"/>
  <c r="M685" i="2"/>
  <c r="L685" i="2"/>
  <c r="K685" i="2"/>
  <c r="J685" i="2"/>
  <c r="P684" i="2"/>
  <c r="O684" i="2"/>
  <c r="N684" i="2"/>
  <c r="M684" i="2"/>
  <c r="L684" i="2"/>
  <c r="K684" i="2"/>
  <c r="J684" i="2"/>
  <c r="P683" i="2"/>
  <c r="O683" i="2"/>
  <c r="N683" i="2"/>
  <c r="M683" i="2"/>
  <c r="L683" i="2"/>
  <c r="K683" i="2"/>
  <c r="J683" i="2"/>
  <c r="P682" i="2"/>
  <c r="O682" i="2"/>
  <c r="N682" i="2"/>
  <c r="M682" i="2"/>
  <c r="L682" i="2"/>
  <c r="K682" i="2"/>
  <c r="J682" i="2"/>
  <c r="P681" i="2"/>
  <c r="O681" i="2"/>
  <c r="N681" i="2"/>
  <c r="M681" i="2"/>
  <c r="L681" i="2"/>
  <c r="K681" i="2"/>
  <c r="J681" i="2"/>
  <c r="P680" i="2"/>
  <c r="O680" i="2"/>
  <c r="N680" i="2"/>
  <c r="M680" i="2"/>
  <c r="L680" i="2"/>
  <c r="K680" i="2"/>
  <c r="J680" i="2"/>
  <c r="P679" i="2"/>
  <c r="O679" i="2"/>
  <c r="N679" i="2"/>
  <c r="M679" i="2"/>
  <c r="L679" i="2"/>
  <c r="K679" i="2"/>
  <c r="J679" i="2"/>
  <c r="P678" i="2"/>
  <c r="O678" i="2"/>
  <c r="N678" i="2"/>
  <c r="M678" i="2"/>
  <c r="L678" i="2"/>
  <c r="K678" i="2"/>
  <c r="J678" i="2"/>
  <c r="P677" i="2"/>
  <c r="O677" i="2"/>
  <c r="N677" i="2"/>
  <c r="M677" i="2"/>
  <c r="L677" i="2"/>
  <c r="K677" i="2"/>
  <c r="J677" i="2"/>
  <c r="P676" i="2"/>
  <c r="O676" i="2"/>
  <c r="N676" i="2"/>
  <c r="M676" i="2"/>
  <c r="L676" i="2"/>
  <c r="K676" i="2"/>
  <c r="J676" i="2"/>
  <c r="P675" i="2"/>
  <c r="O675" i="2"/>
  <c r="N675" i="2"/>
  <c r="M675" i="2"/>
  <c r="L675" i="2"/>
  <c r="K675" i="2"/>
  <c r="J675" i="2"/>
  <c r="P674" i="2"/>
  <c r="O674" i="2"/>
  <c r="N674" i="2"/>
  <c r="M674" i="2"/>
  <c r="L674" i="2"/>
  <c r="K674" i="2"/>
  <c r="J674" i="2"/>
  <c r="P673" i="2"/>
  <c r="O673" i="2"/>
  <c r="N673" i="2"/>
  <c r="M673" i="2"/>
  <c r="L673" i="2"/>
  <c r="K673" i="2"/>
  <c r="J673" i="2"/>
  <c r="P672" i="2"/>
  <c r="O672" i="2"/>
  <c r="N672" i="2"/>
  <c r="M672" i="2"/>
  <c r="L672" i="2"/>
  <c r="K672" i="2"/>
  <c r="J672" i="2"/>
  <c r="P671" i="2"/>
  <c r="O671" i="2"/>
  <c r="N671" i="2"/>
  <c r="M671" i="2"/>
  <c r="L671" i="2"/>
  <c r="K671" i="2"/>
  <c r="J671" i="2"/>
  <c r="P670" i="2"/>
  <c r="O670" i="2"/>
  <c r="N670" i="2"/>
  <c r="M670" i="2"/>
  <c r="L670" i="2"/>
  <c r="K670" i="2"/>
  <c r="J670" i="2"/>
  <c r="P669" i="2"/>
  <c r="O669" i="2"/>
  <c r="N669" i="2"/>
  <c r="M669" i="2"/>
  <c r="L669" i="2"/>
  <c r="K669" i="2"/>
  <c r="J669" i="2"/>
  <c r="P668" i="2"/>
  <c r="O668" i="2"/>
  <c r="N668" i="2"/>
  <c r="M668" i="2"/>
  <c r="L668" i="2"/>
  <c r="K668" i="2"/>
  <c r="J668" i="2"/>
  <c r="P667" i="2"/>
  <c r="O667" i="2"/>
  <c r="N667" i="2"/>
  <c r="M667" i="2"/>
  <c r="L667" i="2"/>
  <c r="K667" i="2"/>
  <c r="J667" i="2"/>
  <c r="P666" i="2"/>
  <c r="O666" i="2"/>
  <c r="N666" i="2"/>
  <c r="M666" i="2"/>
  <c r="L666" i="2"/>
  <c r="K666" i="2"/>
  <c r="J666" i="2"/>
  <c r="P665" i="2"/>
  <c r="O665" i="2"/>
  <c r="N665" i="2"/>
  <c r="M665" i="2"/>
  <c r="L665" i="2"/>
  <c r="K665" i="2"/>
  <c r="J665" i="2"/>
  <c r="P664" i="2"/>
  <c r="O664" i="2"/>
  <c r="N664" i="2"/>
  <c r="M664" i="2"/>
  <c r="L664" i="2"/>
  <c r="K664" i="2"/>
  <c r="J664" i="2"/>
  <c r="P663" i="2"/>
  <c r="O663" i="2"/>
  <c r="N663" i="2"/>
  <c r="M663" i="2"/>
  <c r="L663" i="2"/>
  <c r="K663" i="2"/>
  <c r="J663" i="2"/>
  <c r="P662" i="2"/>
  <c r="O662" i="2"/>
  <c r="N662" i="2"/>
  <c r="M662" i="2"/>
  <c r="L662" i="2"/>
  <c r="K662" i="2"/>
  <c r="J662" i="2"/>
  <c r="P661" i="2"/>
  <c r="O661" i="2"/>
  <c r="N661" i="2"/>
  <c r="M661" i="2"/>
  <c r="L661" i="2"/>
  <c r="K661" i="2"/>
  <c r="J661" i="2"/>
  <c r="P660" i="2"/>
  <c r="O660" i="2"/>
  <c r="N660" i="2"/>
  <c r="M660" i="2"/>
  <c r="L660" i="2"/>
  <c r="K660" i="2"/>
  <c r="J660" i="2"/>
  <c r="P659" i="2"/>
  <c r="O659" i="2"/>
  <c r="N659" i="2"/>
  <c r="M659" i="2"/>
  <c r="L659" i="2"/>
  <c r="K659" i="2"/>
  <c r="J659" i="2"/>
  <c r="P658" i="2"/>
  <c r="O658" i="2"/>
  <c r="N658" i="2"/>
  <c r="M658" i="2"/>
  <c r="L658" i="2"/>
  <c r="K658" i="2"/>
  <c r="J658" i="2"/>
  <c r="P657" i="2"/>
  <c r="O657" i="2"/>
  <c r="N657" i="2"/>
  <c r="M657" i="2"/>
  <c r="L657" i="2"/>
  <c r="K657" i="2"/>
  <c r="J657" i="2"/>
  <c r="P656" i="2"/>
  <c r="O656" i="2"/>
  <c r="N656" i="2"/>
  <c r="M656" i="2"/>
  <c r="L656" i="2"/>
  <c r="K656" i="2"/>
  <c r="J656" i="2"/>
  <c r="P655" i="2"/>
  <c r="O655" i="2"/>
  <c r="N655" i="2"/>
  <c r="M655" i="2"/>
  <c r="L655" i="2"/>
  <c r="K655" i="2"/>
  <c r="J655" i="2"/>
  <c r="P654" i="2"/>
  <c r="O654" i="2"/>
  <c r="N654" i="2"/>
  <c r="M654" i="2"/>
  <c r="L654" i="2"/>
  <c r="K654" i="2"/>
  <c r="J654" i="2"/>
  <c r="P653" i="2"/>
  <c r="O653" i="2"/>
  <c r="N653" i="2"/>
  <c r="M653" i="2"/>
  <c r="L653" i="2"/>
  <c r="K653" i="2"/>
  <c r="J653" i="2"/>
  <c r="P652" i="2"/>
  <c r="O652" i="2"/>
  <c r="N652" i="2"/>
  <c r="M652" i="2"/>
  <c r="L652" i="2"/>
  <c r="K652" i="2"/>
  <c r="J652" i="2"/>
  <c r="P651" i="2"/>
  <c r="O651" i="2"/>
  <c r="N651" i="2"/>
  <c r="M651" i="2"/>
  <c r="L651" i="2"/>
  <c r="K651" i="2"/>
  <c r="J651" i="2"/>
  <c r="P650" i="2"/>
  <c r="O650" i="2"/>
  <c r="N650" i="2"/>
  <c r="M650" i="2"/>
  <c r="L650" i="2"/>
  <c r="K650" i="2"/>
  <c r="J650" i="2"/>
  <c r="P649" i="2"/>
  <c r="O649" i="2"/>
  <c r="N649" i="2"/>
  <c r="M649" i="2"/>
  <c r="L649" i="2"/>
  <c r="K649" i="2"/>
  <c r="J649" i="2"/>
  <c r="P648" i="2"/>
  <c r="O648" i="2"/>
  <c r="N648" i="2"/>
  <c r="M648" i="2"/>
  <c r="L648" i="2"/>
  <c r="K648" i="2"/>
  <c r="J648" i="2"/>
  <c r="P647" i="2"/>
  <c r="O647" i="2"/>
  <c r="N647" i="2"/>
  <c r="M647" i="2"/>
  <c r="L647" i="2"/>
  <c r="K647" i="2"/>
  <c r="J647" i="2"/>
  <c r="P646" i="2"/>
  <c r="O646" i="2"/>
  <c r="N646" i="2"/>
  <c r="M646" i="2"/>
  <c r="L646" i="2"/>
  <c r="K646" i="2"/>
  <c r="J646" i="2"/>
  <c r="P645" i="2"/>
  <c r="O645" i="2"/>
  <c r="N645" i="2"/>
  <c r="M645" i="2"/>
  <c r="L645" i="2"/>
  <c r="K645" i="2"/>
  <c r="J645" i="2"/>
  <c r="P644" i="2"/>
  <c r="O644" i="2"/>
  <c r="N644" i="2"/>
  <c r="M644" i="2"/>
  <c r="L644" i="2"/>
  <c r="K644" i="2"/>
  <c r="J644" i="2"/>
  <c r="P643" i="2"/>
  <c r="O643" i="2"/>
  <c r="N643" i="2"/>
  <c r="M643" i="2"/>
  <c r="L643" i="2"/>
  <c r="K643" i="2"/>
  <c r="J643" i="2"/>
  <c r="P642" i="2"/>
  <c r="O642" i="2"/>
  <c r="N642" i="2"/>
  <c r="M642" i="2"/>
  <c r="L642" i="2"/>
  <c r="K642" i="2"/>
  <c r="J642" i="2"/>
  <c r="P641" i="2"/>
  <c r="O641" i="2"/>
  <c r="N641" i="2"/>
  <c r="M641" i="2"/>
  <c r="L641" i="2"/>
  <c r="K641" i="2"/>
  <c r="J641" i="2"/>
  <c r="P640" i="2"/>
  <c r="O640" i="2"/>
  <c r="N640" i="2"/>
  <c r="M640" i="2"/>
  <c r="L640" i="2"/>
  <c r="K640" i="2"/>
  <c r="J640" i="2"/>
  <c r="P639" i="2"/>
  <c r="O639" i="2"/>
  <c r="N639" i="2"/>
  <c r="M639" i="2"/>
  <c r="L639" i="2"/>
  <c r="K639" i="2"/>
  <c r="J639" i="2"/>
  <c r="P638" i="2"/>
  <c r="O638" i="2"/>
  <c r="N638" i="2"/>
  <c r="M638" i="2"/>
  <c r="L638" i="2"/>
  <c r="K638" i="2"/>
  <c r="J638" i="2"/>
  <c r="P637" i="2"/>
  <c r="O637" i="2"/>
  <c r="N637" i="2"/>
  <c r="M637" i="2"/>
  <c r="L637" i="2"/>
  <c r="K637" i="2"/>
  <c r="J637" i="2"/>
  <c r="P636" i="2"/>
  <c r="O636" i="2"/>
  <c r="N636" i="2"/>
  <c r="M636" i="2"/>
  <c r="L636" i="2"/>
  <c r="K636" i="2"/>
  <c r="J636" i="2"/>
  <c r="P635" i="2"/>
  <c r="O635" i="2"/>
  <c r="N635" i="2"/>
  <c r="M635" i="2"/>
  <c r="L635" i="2"/>
  <c r="K635" i="2"/>
  <c r="J635" i="2"/>
  <c r="P634" i="2"/>
  <c r="O634" i="2"/>
  <c r="N634" i="2"/>
  <c r="M634" i="2"/>
  <c r="L634" i="2"/>
  <c r="K634" i="2"/>
  <c r="J634" i="2"/>
  <c r="P633" i="2"/>
  <c r="O633" i="2"/>
  <c r="N633" i="2"/>
  <c r="M633" i="2"/>
  <c r="L633" i="2"/>
  <c r="K633" i="2"/>
  <c r="J633" i="2"/>
  <c r="P632" i="2"/>
  <c r="O632" i="2"/>
  <c r="N632" i="2"/>
  <c r="M632" i="2"/>
  <c r="L632" i="2"/>
  <c r="K632" i="2"/>
  <c r="J632" i="2"/>
  <c r="P631" i="2"/>
  <c r="O631" i="2"/>
  <c r="N631" i="2"/>
  <c r="M631" i="2"/>
  <c r="L631" i="2"/>
  <c r="K631" i="2"/>
  <c r="J631" i="2"/>
  <c r="P630" i="2"/>
  <c r="O630" i="2"/>
  <c r="N630" i="2"/>
  <c r="M630" i="2"/>
  <c r="L630" i="2"/>
  <c r="K630" i="2"/>
  <c r="J630" i="2"/>
  <c r="P629" i="2"/>
  <c r="O629" i="2"/>
  <c r="N629" i="2"/>
  <c r="M629" i="2"/>
  <c r="L629" i="2"/>
  <c r="K629" i="2"/>
  <c r="J629" i="2"/>
  <c r="P628" i="2"/>
  <c r="O628" i="2"/>
  <c r="N628" i="2"/>
  <c r="M628" i="2"/>
  <c r="L628" i="2"/>
  <c r="K628" i="2"/>
  <c r="J628" i="2"/>
  <c r="P627" i="2"/>
  <c r="O627" i="2"/>
  <c r="N627" i="2"/>
  <c r="M627" i="2"/>
  <c r="L627" i="2"/>
  <c r="K627" i="2"/>
  <c r="J627" i="2"/>
  <c r="P626" i="2"/>
  <c r="O626" i="2"/>
  <c r="N626" i="2"/>
  <c r="M626" i="2"/>
  <c r="L626" i="2"/>
  <c r="K626" i="2"/>
  <c r="J626" i="2"/>
  <c r="P625" i="2"/>
  <c r="O625" i="2"/>
  <c r="N625" i="2"/>
  <c r="M625" i="2"/>
  <c r="L625" i="2"/>
  <c r="K625" i="2"/>
  <c r="J625" i="2"/>
  <c r="P624" i="2"/>
  <c r="O624" i="2"/>
  <c r="N624" i="2"/>
  <c r="M624" i="2"/>
  <c r="L624" i="2"/>
  <c r="K624" i="2"/>
  <c r="J624" i="2"/>
  <c r="P623" i="2"/>
  <c r="O623" i="2"/>
  <c r="N623" i="2"/>
  <c r="M623" i="2"/>
  <c r="L623" i="2"/>
  <c r="K623" i="2"/>
  <c r="J623" i="2"/>
  <c r="P622" i="2"/>
  <c r="O622" i="2"/>
  <c r="N622" i="2"/>
  <c r="M622" i="2"/>
  <c r="L622" i="2"/>
  <c r="K622" i="2"/>
  <c r="J622" i="2"/>
  <c r="P621" i="2"/>
  <c r="O621" i="2"/>
  <c r="N621" i="2"/>
  <c r="M621" i="2"/>
  <c r="L621" i="2"/>
  <c r="K621" i="2"/>
  <c r="J621" i="2"/>
  <c r="P620" i="2"/>
  <c r="O620" i="2"/>
  <c r="N620" i="2"/>
  <c r="M620" i="2"/>
  <c r="L620" i="2"/>
  <c r="K620" i="2"/>
  <c r="J620" i="2"/>
  <c r="P619" i="2"/>
  <c r="O619" i="2"/>
  <c r="N619" i="2"/>
  <c r="M619" i="2"/>
  <c r="L619" i="2"/>
  <c r="K619" i="2"/>
  <c r="J619" i="2"/>
  <c r="P618" i="2"/>
  <c r="O618" i="2"/>
  <c r="N618" i="2"/>
  <c r="M618" i="2"/>
  <c r="L618" i="2"/>
  <c r="K618" i="2"/>
  <c r="J618" i="2"/>
  <c r="P617" i="2"/>
  <c r="O617" i="2"/>
  <c r="N617" i="2"/>
  <c r="M617" i="2"/>
  <c r="L617" i="2"/>
  <c r="K617" i="2"/>
  <c r="J617" i="2"/>
  <c r="P616" i="2"/>
  <c r="O616" i="2"/>
  <c r="N616" i="2"/>
  <c r="M616" i="2"/>
  <c r="L616" i="2"/>
  <c r="K616" i="2"/>
  <c r="J616" i="2"/>
  <c r="P615" i="2"/>
  <c r="O615" i="2"/>
  <c r="N615" i="2"/>
  <c r="M615" i="2"/>
  <c r="L615" i="2"/>
  <c r="K615" i="2"/>
  <c r="J615" i="2"/>
  <c r="P614" i="2"/>
  <c r="O614" i="2"/>
  <c r="N614" i="2"/>
  <c r="M614" i="2"/>
  <c r="L614" i="2"/>
  <c r="K614" i="2"/>
  <c r="J614" i="2"/>
  <c r="P613" i="2"/>
  <c r="O613" i="2"/>
  <c r="N613" i="2"/>
  <c r="M613" i="2"/>
  <c r="L613" i="2"/>
  <c r="K613" i="2"/>
  <c r="J613" i="2"/>
  <c r="P612" i="2"/>
  <c r="O612" i="2"/>
  <c r="N612" i="2"/>
  <c r="M612" i="2"/>
  <c r="L612" i="2"/>
  <c r="K612" i="2"/>
  <c r="J612" i="2"/>
  <c r="P611" i="2"/>
  <c r="O611" i="2"/>
  <c r="N611" i="2"/>
  <c r="M611" i="2"/>
  <c r="L611" i="2"/>
  <c r="K611" i="2"/>
  <c r="J611" i="2"/>
  <c r="P610" i="2"/>
  <c r="O610" i="2"/>
  <c r="N610" i="2"/>
  <c r="M610" i="2"/>
  <c r="L610" i="2"/>
  <c r="K610" i="2"/>
  <c r="J610" i="2"/>
  <c r="P609" i="2"/>
  <c r="O609" i="2"/>
  <c r="N609" i="2"/>
  <c r="M609" i="2"/>
  <c r="L609" i="2"/>
  <c r="K609" i="2"/>
  <c r="J609" i="2"/>
  <c r="P608" i="2"/>
  <c r="O608" i="2"/>
  <c r="N608" i="2"/>
  <c r="M608" i="2"/>
  <c r="L608" i="2"/>
  <c r="K608" i="2"/>
  <c r="J608" i="2"/>
  <c r="P607" i="2"/>
  <c r="O607" i="2"/>
  <c r="N607" i="2"/>
  <c r="M607" i="2"/>
  <c r="L607" i="2"/>
  <c r="K607" i="2"/>
  <c r="J607" i="2"/>
  <c r="P606" i="2"/>
  <c r="O606" i="2"/>
  <c r="N606" i="2"/>
  <c r="M606" i="2"/>
  <c r="L606" i="2"/>
  <c r="K606" i="2"/>
  <c r="J606" i="2"/>
  <c r="P605" i="2"/>
  <c r="O605" i="2"/>
  <c r="N605" i="2"/>
  <c r="M605" i="2"/>
  <c r="L605" i="2"/>
  <c r="K605" i="2"/>
  <c r="J605" i="2"/>
  <c r="P604" i="2"/>
  <c r="O604" i="2"/>
  <c r="N604" i="2"/>
  <c r="M604" i="2"/>
  <c r="L604" i="2"/>
  <c r="K604" i="2"/>
  <c r="J604" i="2"/>
  <c r="P603" i="2"/>
  <c r="O603" i="2"/>
  <c r="N603" i="2"/>
  <c r="M603" i="2"/>
  <c r="L603" i="2"/>
  <c r="K603" i="2"/>
  <c r="J603" i="2"/>
  <c r="P602" i="2"/>
  <c r="O602" i="2"/>
  <c r="N602" i="2"/>
  <c r="M602" i="2"/>
  <c r="L602" i="2"/>
  <c r="K602" i="2"/>
  <c r="J602" i="2"/>
  <c r="P601" i="2"/>
  <c r="O601" i="2"/>
  <c r="N601" i="2"/>
  <c r="M601" i="2"/>
  <c r="L601" i="2"/>
  <c r="K601" i="2"/>
  <c r="J601" i="2"/>
  <c r="P600" i="2"/>
  <c r="O600" i="2"/>
  <c r="N600" i="2"/>
  <c r="M600" i="2"/>
  <c r="L600" i="2"/>
  <c r="K600" i="2"/>
  <c r="J600" i="2"/>
  <c r="P599" i="2"/>
  <c r="O599" i="2"/>
  <c r="N599" i="2"/>
  <c r="M599" i="2"/>
  <c r="L599" i="2"/>
  <c r="K599" i="2"/>
  <c r="J599" i="2"/>
  <c r="P598" i="2"/>
  <c r="O598" i="2"/>
  <c r="N598" i="2"/>
  <c r="M598" i="2"/>
  <c r="L598" i="2"/>
  <c r="K598" i="2"/>
  <c r="J598" i="2"/>
  <c r="P597" i="2"/>
  <c r="O597" i="2"/>
  <c r="N597" i="2"/>
  <c r="M597" i="2"/>
  <c r="L597" i="2"/>
  <c r="K597" i="2"/>
  <c r="J597" i="2"/>
  <c r="P596" i="2"/>
  <c r="O596" i="2"/>
  <c r="N596" i="2"/>
  <c r="M596" i="2"/>
  <c r="L596" i="2"/>
  <c r="K596" i="2"/>
  <c r="J596" i="2"/>
  <c r="P595" i="2"/>
  <c r="O595" i="2"/>
  <c r="N595" i="2"/>
  <c r="M595" i="2"/>
  <c r="L595" i="2"/>
  <c r="K595" i="2"/>
  <c r="J595" i="2"/>
  <c r="P594" i="2"/>
  <c r="O594" i="2"/>
  <c r="N594" i="2"/>
  <c r="M594" i="2"/>
  <c r="L594" i="2"/>
  <c r="K594" i="2"/>
  <c r="J594" i="2"/>
  <c r="P593" i="2"/>
  <c r="O593" i="2"/>
  <c r="N593" i="2"/>
  <c r="M593" i="2"/>
  <c r="L593" i="2"/>
  <c r="K593" i="2"/>
  <c r="J593" i="2"/>
  <c r="P592" i="2"/>
  <c r="O592" i="2"/>
  <c r="N592" i="2"/>
  <c r="M592" i="2"/>
  <c r="L592" i="2"/>
  <c r="K592" i="2"/>
  <c r="J592" i="2"/>
  <c r="P591" i="2"/>
  <c r="O591" i="2"/>
  <c r="N591" i="2"/>
  <c r="M591" i="2"/>
  <c r="L591" i="2"/>
  <c r="K591" i="2"/>
  <c r="J591" i="2"/>
  <c r="P590" i="2"/>
  <c r="O590" i="2"/>
  <c r="N590" i="2"/>
  <c r="M590" i="2"/>
  <c r="L590" i="2"/>
  <c r="K590" i="2"/>
  <c r="J590" i="2"/>
  <c r="P589" i="2"/>
  <c r="O589" i="2"/>
  <c r="N589" i="2"/>
  <c r="M589" i="2"/>
  <c r="L589" i="2"/>
  <c r="K589" i="2"/>
  <c r="J589" i="2"/>
  <c r="P588" i="2"/>
  <c r="O588" i="2"/>
  <c r="N588" i="2"/>
  <c r="M588" i="2"/>
  <c r="L588" i="2"/>
  <c r="K588" i="2"/>
  <c r="J588" i="2"/>
  <c r="P587" i="2"/>
  <c r="O587" i="2"/>
  <c r="N587" i="2"/>
  <c r="M587" i="2"/>
  <c r="L587" i="2"/>
  <c r="K587" i="2"/>
  <c r="J587" i="2"/>
  <c r="P586" i="2"/>
  <c r="O586" i="2"/>
  <c r="N586" i="2"/>
  <c r="M586" i="2"/>
  <c r="L586" i="2"/>
  <c r="K586" i="2"/>
  <c r="J586" i="2"/>
  <c r="P585" i="2"/>
  <c r="O585" i="2"/>
  <c r="N585" i="2"/>
  <c r="M585" i="2"/>
  <c r="L585" i="2"/>
  <c r="K585" i="2"/>
  <c r="J585" i="2"/>
  <c r="P584" i="2"/>
  <c r="O584" i="2"/>
  <c r="N584" i="2"/>
  <c r="M584" i="2"/>
  <c r="L584" i="2"/>
  <c r="K584" i="2"/>
  <c r="J584" i="2"/>
  <c r="P583" i="2"/>
  <c r="O583" i="2"/>
  <c r="N583" i="2"/>
  <c r="M583" i="2"/>
  <c r="L583" i="2"/>
  <c r="K583" i="2"/>
  <c r="J583" i="2"/>
  <c r="P582" i="2"/>
  <c r="O582" i="2"/>
  <c r="N582" i="2"/>
  <c r="M582" i="2"/>
  <c r="L582" i="2"/>
  <c r="K582" i="2"/>
  <c r="J582" i="2"/>
  <c r="P581" i="2"/>
  <c r="O581" i="2"/>
  <c r="N581" i="2"/>
  <c r="M581" i="2"/>
  <c r="L581" i="2"/>
  <c r="K581" i="2"/>
  <c r="J581" i="2"/>
  <c r="P580" i="2"/>
  <c r="O580" i="2"/>
  <c r="N580" i="2"/>
  <c r="M580" i="2"/>
  <c r="L580" i="2"/>
  <c r="K580" i="2"/>
  <c r="J580" i="2"/>
  <c r="P579" i="2"/>
  <c r="O579" i="2"/>
  <c r="N579" i="2"/>
  <c r="M579" i="2"/>
  <c r="L579" i="2"/>
  <c r="K579" i="2"/>
  <c r="J579" i="2"/>
  <c r="P578" i="2"/>
  <c r="O578" i="2"/>
  <c r="N578" i="2"/>
  <c r="M578" i="2"/>
  <c r="L578" i="2"/>
  <c r="K578" i="2"/>
  <c r="J578" i="2"/>
  <c r="P577" i="2"/>
  <c r="O577" i="2"/>
  <c r="N577" i="2"/>
  <c r="M577" i="2"/>
  <c r="L577" i="2"/>
  <c r="K577" i="2"/>
  <c r="J577" i="2"/>
  <c r="P576" i="2"/>
  <c r="O576" i="2"/>
  <c r="N576" i="2"/>
  <c r="M576" i="2"/>
  <c r="L576" i="2"/>
  <c r="K576" i="2"/>
  <c r="J576" i="2"/>
  <c r="P575" i="2"/>
  <c r="O575" i="2"/>
  <c r="N575" i="2"/>
  <c r="M575" i="2"/>
  <c r="L575" i="2"/>
  <c r="K575" i="2"/>
  <c r="J575" i="2"/>
  <c r="P574" i="2"/>
  <c r="O574" i="2"/>
  <c r="N574" i="2"/>
  <c r="M574" i="2"/>
  <c r="L574" i="2"/>
  <c r="K574" i="2"/>
  <c r="J574" i="2"/>
  <c r="P573" i="2"/>
  <c r="O573" i="2"/>
  <c r="N573" i="2"/>
  <c r="M573" i="2"/>
  <c r="L573" i="2"/>
  <c r="K573" i="2"/>
  <c r="J573" i="2"/>
  <c r="P572" i="2"/>
  <c r="O572" i="2"/>
  <c r="N572" i="2"/>
  <c r="M572" i="2"/>
  <c r="L572" i="2"/>
  <c r="K572" i="2"/>
  <c r="J572" i="2"/>
  <c r="P571" i="2"/>
  <c r="O571" i="2"/>
  <c r="N571" i="2"/>
  <c r="M571" i="2"/>
  <c r="L571" i="2"/>
  <c r="K571" i="2"/>
  <c r="J571" i="2"/>
  <c r="P570" i="2"/>
  <c r="O570" i="2"/>
  <c r="N570" i="2"/>
  <c r="M570" i="2"/>
  <c r="L570" i="2"/>
  <c r="K570" i="2"/>
  <c r="J570" i="2"/>
  <c r="P569" i="2"/>
  <c r="O569" i="2"/>
  <c r="N569" i="2"/>
  <c r="M569" i="2"/>
  <c r="L569" i="2"/>
  <c r="K569" i="2"/>
  <c r="J569" i="2"/>
  <c r="P568" i="2"/>
  <c r="O568" i="2"/>
  <c r="N568" i="2"/>
  <c r="M568" i="2"/>
  <c r="L568" i="2"/>
  <c r="K568" i="2"/>
  <c r="J568" i="2"/>
  <c r="P567" i="2"/>
  <c r="O567" i="2"/>
  <c r="N567" i="2"/>
  <c r="M567" i="2"/>
  <c r="L567" i="2"/>
  <c r="K567" i="2"/>
  <c r="J567" i="2"/>
  <c r="P566" i="2"/>
  <c r="O566" i="2"/>
  <c r="N566" i="2"/>
  <c r="M566" i="2"/>
  <c r="L566" i="2"/>
  <c r="K566" i="2"/>
  <c r="J566" i="2"/>
  <c r="P565" i="2"/>
  <c r="O565" i="2"/>
  <c r="N565" i="2"/>
  <c r="M565" i="2"/>
  <c r="L565" i="2"/>
  <c r="K565" i="2"/>
  <c r="J565" i="2"/>
  <c r="P564" i="2"/>
  <c r="O564" i="2"/>
  <c r="N564" i="2"/>
  <c r="M564" i="2"/>
  <c r="L564" i="2"/>
  <c r="K564" i="2"/>
  <c r="J564" i="2"/>
  <c r="P563" i="2"/>
  <c r="O563" i="2"/>
  <c r="N563" i="2"/>
  <c r="M563" i="2"/>
  <c r="L563" i="2"/>
  <c r="K563" i="2"/>
  <c r="J563" i="2"/>
  <c r="P562" i="2"/>
  <c r="O562" i="2"/>
  <c r="N562" i="2"/>
  <c r="M562" i="2"/>
  <c r="L562" i="2"/>
  <c r="K562" i="2"/>
  <c r="J562" i="2"/>
  <c r="P561" i="2"/>
  <c r="O561" i="2"/>
  <c r="N561" i="2"/>
  <c r="M561" i="2"/>
  <c r="L561" i="2"/>
  <c r="K561" i="2"/>
  <c r="J561" i="2"/>
  <c r="P560" i="2"/>
  <c r="O560" i="2"/>
  <c r="N560" i="2"/>
  <c r="M560" i="2"/>
  <c r="L560" i="2"/>
  <c r="K560" i="2"/>
  <c r="J560" i="2"/>
  <c r="P559" i="2"/>
  <c r="O559" i="2"/>
  <c r="N559" i="2"/>
  <c r="M559" i="2"/>
  <c r="L559" i="2"/>
  <c r="K559" i="2"/>
  <c r="J559" i="2"/>
  <c r="P558" i="2"/>
  <c r="O558" i="2"/>
  <c r="N558" i="2"/>
  <c r="M558" i="2"/>
  <c r="L558" i="2"/>
  <c r="K558" i="2"/>
  <c r="J558" i="2"/>
  <c r="P557" i="2"/>
  <c r="O557" i="2"/>
  <c r="N557" i="2"/>
  <c r="M557" i="2"/>
  <c r="L557" i="2"/>
  <c r="K557" i="2"/>
  <c r="J557" i="2"/>
  <c r="P556" i="2"/>
  <c r="O556" i="2"/>
  <c r="N556" i="2"/>
  <c r="M556" i="2"/>
  <c r="L556" i="2"/>
  <c r="K556" i="2"/>
  <c r="J556" i="2"/>
  <c r="P555" i="2"/>
  <c r="O555" i="2"/>
  <c r="N555" i="2"/>
  <c r="M555" i="2"/>
  <c r="L555" i="2"/>
  <c r="K555" i="2"/>
  <c r="J555" i="2"/>
  <c r="P554" i="2"/>
  <c r="O554" i="2"/>
  <c r="N554" i="2"/>
  <c r="M554" i="2"/>
  <c r="L554" i="2"/>
  <c r="K554" i="2"/>
  <c r="J554" i="2"/>
  <c r="P553" i="2"/>
  <c r="O553" i="2"/>
  <c r="N553" i="2"/>
  <c r="M553" i="2"/>
  <c r="L553" i="2"/>
  <c r="K553" i="2"/>
  <c r="J553" i="2"/>
  <c r="P552" i="2"/>
  <c r="O552" i="2"/>
  <c r="N552" i="2"/>
  <c r="M552" i="2"/>
  <c r="L552" i="2"/>
  <c r="K552" i="2"/>
  <c r="J552" i="2"/>
  <c r="P551" i="2"/>
  <c r="O551" i="2"/>
  <c r="N551" i="2"/>
  <c r="M551" i="2"/>
  <c r="L551" i="2"/>
  <c r="K551" i="2"/>
  <c r="J551" i="2"/>
  <c r="P550" i="2"/>
  <c r="O550" i="2"/>
  <c r="N550" i="2"/>
  <c r="M550" i="2"/>
  <c r="L550" i="2"/>
  <c r="K550" i="2"/>
  <c r="J550" i="2"/>
  <c r="P549" i="2"/>
  <c r="O549" i="2"/>
  <c r="N549" i="2"/>
  <c r="M549" i="2"/>
  <c r="L549" i="2"/>
  <c r="K549" i="2"/>
  <c r="J549" i="2"/>
  <c r="P548" i="2"/>
  <c r="O548" i="2"/>
  <c r="N548" i="2"/>
  <c r="M548" i="2"/>
  <c r="L548" i="2"/>
  <c r="K548" i="2"/>
  <c r="J548" i="2"/>
  <c r="P547" i="2"/>
  <c r="O547" i="2"/>
  <c r="N547" i="2"/>
  <c r="M547" i="2"/>
  <c r="L547" i="2"/>
  <c r="K547" i="2"/>
  <c r="J547" i="2"/>
  <c r="P546" i="2"/>
  <c r="O546" i="2"/>
  <c r="N546" i="2"/>
  <c r="M546" i="2"/>
  <c r="L546" i="2"/>
  <c r="K546" i="2"/>
  <c r="J546" i="2"/>
  <c r="P545" i="2"/>
  <c r="O545" i="2"/>
  <c r="N545" i="2"/>
  <c r="M545" i="2"/>
  <c r="L545" i="2"/>
  <c r="K545" i="2"/>
  <c r="J545" i="2"/>
  <c r="P544" i="2"/>
  <c r="O544" i="2"/>
  <c r="N544" i="2"/>
  <c r="M544" i="2"/>
  <c r="L544" i="2"/>
  <c r="K544" i="2"/>
  <c r="J544" i="2"/>
  <c r="P543" i="2"/>
  <c r="O543" i="2"/>
  <c r="N543" i="2"/>
  <c r="M543" i="2"/>
  <c r="L543" i="2"/>
  <c r="K543" i="2"/>
  <c r="J543" i="2"/>
  <c r="P542" i="2"/>
  <c r="O542" i="2"/>
  <c r="N542" i="2"/>
  <c r="M542" i="2"/>
  <c r="L542" i="2"/>
  <c r="K542" i="2"/>
  <c r="J542" i="2"/>
  <c r="P541" i="2"/>
  <c r="O541" i="2"/>
  <c r="N541" i="2"/>
  <c r="M541" i="2"/>
  <c r="L541" i="2"/>
  <c r="K541" i="2"/>
  <c r="J541" i="2"/>
  <c r="P540" i="2"/>
  <c r="O540" i="2"/>
  <c r="N540" i="2"/>
  <c r="M540" i="2"/>
  <c r="L540" i="2"/>
  <c r="K540" i="2"/>
  <c r="J540" i="2"/>
  <c r="P539" i="2"/>
  <c r="O539" i="2"/>
  <c r="N539" i="2"/>
  <c r="M539" i="2"/>
  <c r="L539" i="2"/>
  <c r="K539" i="2"/>
  <c r="J539" i="2"/>
  <c r="P538" i="2"/>
  <c r="O538" i="2"/>
  <c r="N538" i="2"/>
  <c r="M538" i="2"/>
  <c r="L538" i="2"/>
  <c r="K538" i="2"/>
  <c r="J538" i="2"/>
  <c r="P537" i="2"/>
  <c r="O537" i="2"/>
  <c r="N537" i="2"/>
  <c r="M537" i="2"/>
  <c r="L537" i="2"/>
  <c r="K537" i="2"/>
  <c r="J537" i="2"/>
  <c r="P536" i="2"/>
  <c r="O536" i="2"/>
  <c r="N536" i="2"/>
  <c r="M536" i="2"/>
  <c r="L536" i="2"/>
  <c r="K536" i="2"/>
  <c r="J536" i="2"/>
  <c r="P535" i="2"/>
  <c r="O535" i="2"/>
  <c r="N535" i="2"/>
  <c r="M535" i="2"/>
  <c r="L535" i="2"/>
  <c r="K535" i="2"/>
  <c r="J535" i="2"/>
  <c r="P534" i="2"/>
  <c r="O534" i="2"/>
  <c r="N534" i="2"/>
  <c r="M534" i="2"/>
  <c r="L534" i="2"/>
  <c r="K534" i="2"/>
  <c r="J534" i="2"/>
  <c r="P533" i="2"/>
  <c r="O533" i="2"/>
  <c r="N533" i="2"/>
  <c r="M533" i="2"/>
  <c r="L533" i="2"/>
  <c r="K533" i="2"/>
  <c r="J533" i="2"/>
  <c r="P532" i="2"/>
  <c r="O532" i="2"/>
  <c r="N532" i="2"/>
  <c r="M532" i="2"/>
  <c r="L532" i="2"/>
  <c r="K532" i="2"/>
  <c r="J532" i="2"/>
  <c r="P531" i="2"/>
  <c r="O531" i="2"/>
  <c r="N531" i="2"/>
  <c r="M531" i="2"/>
  <c r="L531" i="2"/>
  <c r="K531" i="2"/>
  <c r="J531" i="2"/>
  <c r="P530" i="2"/>
  <c r="O530" i="2"/>
  <c r="N530" i="2"/>
  <c r="M530" i="2"/>
  <c r="L530" i="2"/>
  <c r="K530" i="2"/>
  <c r="J530" i="2"/>
  <c r="P529" i="2"/>
  <c r="O529" i="2"/>
  <c r="N529" i="2"/>
  <c r="M529" i="2"/>
  <c r="L529" i="2"/>
  <c r="K529" i="2"/>
  <c r="J529" i="2"/>
  <c r="P528" i="2"/>
  <c r="O528" i="2"/>
  <c r="N528" i="2"/>
  <c r="M528" i="2"/>
  <c r="L528" i="2"/>
  <c r="K528" i="2"/>
  <c r="J528" i="2"/>
  <c r="P527" i="2"/>
  <c r="O527" i="2"/>
  <c r="N527" i="2"/>
  <c r="M527" i="2"/>
  <c r="L527" i="2"/>
  <c r="K527" i="2"/>
  <c r="J527" i="2"/>
  <c r="P526" i="2"/>
  <c r="O526" i="2"/>
  <c r="N526" i="2"/>
  <c r="M526" i="2"/>
  <c r="L526" i="2"/>
  <c r="K526" i="2"/>
  <c r="J526" i="2"/>
  <c r="P525" i="2"/>
  <c r="O525" i="2"/>
  <c r="N525" i="2"/>
  <c r="M525" i="2"/>
  <c r="L525" i="2"/>
  <c r="K525" i="2"/>
  <c r="J525" i="2"/>
  <c r="P524" i="2"/>
  <c r="O524" i="2"/>
  <c r="N524" i="2"/>
  <c r="M524" i="2"/>
  <c r="L524" i="2"/>
  <c r="K524" i="2"/>
  <c r="J524" i="2"/>
  <c r="P523" i="2"/>
  <c r="O523" i="2"/>
  <c r="N523" i="2"/>
  <c r="M523" i="2"/>
  <c r="L523" i="2"/>
  <c r="K523" i="2"/>
  <c r="J523" i="2"/>
  <c r="P522" i="2"/>
  <c r="O522" i="2"/>
  <c r="N522" i="2"/>
  <c r="M522" i="2"/>
  <c r="L522" i="2"/>
  <c r="K522" i="2"/>
  <c r="J522" i="2"/>
  <c r="P521" i="2"/>
  <c r="O521" i="2"/>
  <c r="N521" i="2"/>
  <c r="M521" i="2"/>
  <c r="L521" i="2"/>
  <c r="K521" i="2"/>
  <c r="J521" i="2"/>
  <c r="P520" i="2"/>
  <c r="O520" i="2"/>
  <c r="N520" i="2"/>
  <c r="M520" i="2"/>
  <c r="L520" i="2"/>
  <c r="K520" i="2"/>
  <c r="J520" i="2"/>
  <c r="P519" i="2"/>
  <c r="O519" i="2"/>
  <c r="N519" i="2"/>
  <c r="M519" i="2"/>
  <c r="L519" i="2"/>
  <c r="K519" i="2"/>
  <c r="J519" i="2"/>
  <c r="P518" i="2"/>
  <c r="O518" i="2"/>
  <c r="N518" i="2"/>
  <c r="M518" i="2"/>
  <c r="L518" i="2"/>
  <c r="K518" i="2"/>
  <c r="J518" i="2"/>
  <c r="P517" i="2"/>
  <c r="O517" i="2"/>
  <c r="N517" i="2"/>
  <c r="M517" i="2"/>
  <c r="L517" i="2"/>
  <c r="K517" i="2"/>
  <c r="J517" i="2"/>
  <c r="P516" i="2"/>
  <c r="O516" i="2"/>
  <c r="N516" i="2"/>
  <c r="M516" i="2"/>
  <c r="L516" i="2"/>
  <c r="K516" i="2"/>
  <c r="J516" i="2"/>
  <c r="P515" i="2"/>
  <c r="O515" i="2"/>
  <c r="N515" i="2"/>
  <c r="M515" i="2"/>
  <c r="L515" i="2"/>
  <c r="K515" i="2"/>
  <c r="J515" i="2"/>
  <c r="P514" i="2"/>
  <c r="O514" i="2"/>
  <c r="N514" i="2"/>
  <c r="M514" i="2"/>
  <c r="L514" i="2"/>
  <c r="K514" i="2"/>
  <c r="J514" i="2"/>
  <c r="P513" i="2"/>
  <c r="O513" i="2"/>
  <c r="N513" i="2"/>
  <c r="M513" i="2"/>
  <c r="L513" i="2"/>
  <c r="K513" i="2"/>
  <c r="J513" i="2"/>
  <c r="P512" i="2"/>
  <c r="O512" i="2"/>
  <c r="N512" i="2"/>
  <c r="M512" i="2"/>
  <c r="L512" i="2"/>
  <c r="K512" i="2"/>
  <c r="J512" i="2"/>
  <c r="P511" i="2"/>
  <c r="O511" i="2"/>
  <c r="N511" i="2"/>
  <c r="M511" i="2"/>
  <c r="L511" i="2"/>
  <c r="K511" i="2"/>
  <c r="J511" i="2"/>
  <c r="P510" i="2"/>
  <c r="O510" i="2"/>
  <c r="N510" i="2"/>
  <c r="M510" i="2"/>
  <c r="L510" i="2"/>
  <c r="K510" i="2"/>
  <c r="J510" i="2"/>
  <c r="P509" i="2"/>
  <c r="O509" i="2"/>
  <c r="N509" i="2"/>
  <c r="M509" i="2"/>
  <c r="L509" i="2"/>
  <c r="K509" i="2"/>
  <c r="J509" i="2"/>
  <c r="P508" i="2"/>
  <c r="O508" i="2"/>
  <c r="N508" i="2"/>
  <c r="M508" i="2"/>
  <c r="L508" i="2"/>
  <c r="K508" i="2"/>
  <c r="J508" i="2"/>
  <c r="P507" i="2"/>
  <c r="O507" i="2"/>
  <c r="N507" i="2"/>
  <c r="M507" i="2"/>
  <c r="L507" i="2"/>
  <c r="K507" i="2"/>
  <c r="J507" i="2"/>
  <c r="P506" i="2"/>
  <c r="O506" i="2"/>
  <c r="N506" i="2"/>
  <c r="M506" i="2"/>
  <c r="L506" i="2"/>
  <c r="K506" i="2"/>
  <c r="J506" i="2"/>
  <c r="P505" i="2"/>
  <c r="O505" i="2"/>
  <c r="N505" i="2"/>
  <c r="M505" i="2"/>
  <c r="L505" i="2"/>
  <c r="K505" i="2"/>
  <c r="J505" i="2"/>
  <c r="P504" i="2"/>
  <c r="O504" i="2"/>
  <c r="N504" i="2"/>
  <c r="M504" i="2"/>
  <c r="L504" i="2"/>
  <c r="K504" i="2"/>
  <c r="J504" i="2"/>
  <c r="P503" i="2"/>
  <c r="O503" i="2"/>
  <c r="N503" i="2"/>
  <c r="M503" i="2"/>
  <c r="L503" i="2"/>
  <c r="K503" i="2"/>
  <c r="J503" i="2"/>
  <c r="P502" i="2"/>
  <c r="O502" i="2"/>
  <c r="N502" i="2"/>
  <c r="M502" i="2"/>
  <c r="L502" i="2"/>
  <c r="K502" i="2"/>
  <c r="J502" i="2"/>
  <c r="P501" i="2"/>
  <c r="O501" i="2"/>
  <c r="N501" i="2"/>
  <c r="M501" i="2"/>
  <c r="L501" i="2"/>
  <c r="K501" i="2"/>
  <c r="J501" i="2"/>
  <c r="P500" i="2"/>
  <c r="O500" i="2"/>
  <c r="N500" i="2"/>
  <c r="M500" i="2"/>
  <c r="L500" i="2"/>
  <c r="K500" i="2"/>
  <c r="J500" i="2"/>
  <c r="P499" i="2"/>
  <c r="O499" i="2"/>
  <c r="N499" i="2"/>
  <c r="M499" i="2"/>
  <c r="L499" i="2"/>
  <c r="K499" i="2"/>
  <c r="J499" i="2"/>
  <c r="P498" i="2"/>
  <c r="O498" i="2"/>
  <c r="N498" i="2"/>
  <c r="M498" i="2"/>
  <c r="L498" i="2"/>
  <c r="K498" i="2"/>
  <c r="J498" i="2"/>
  <c r="P497" i="2"/>
  <c r="O497" i="2"/>
  <c r="N497" i="2"/>
  <c r="M497" i="2"/>
  <c r="L497" i="2"/>
  <c r="K497" i="2"/>
  <c r="J497" i="2"/>
  <c r="P496" i="2"/>
  <c r="O496" i="2"/>
  <c r="N496" i="2"/>
  <c r="M496" i="2"/>
  <c r="L496" i="2"/>
  <c r="K496" i="2"/>
  <c r="J496" i="2"/>
  <c r="P495" i="2"/>
  <c r="O495" i="2"/>
  <c r="N495" i="2"/>
  <c r="M495" i="2"/>
  <c r="L495" i="2"/>
  <c r="K495" i="2"/>
  <c r="J495" i="2"/>
  <c r="P494" i="2"/>
  <c r="O494" i="2"/>
  <c r="N494" i="2"/>
  <c r="M494" i="2"/>
  <c r="L494" i="2"/>
  <c r="K494" i="2"/>
  <c r="J494" i="2"/>
  <c r="P493" i="2"/>
  <c r="O493" i="2"/>
  <c r="N493" i="2"/>
  <c r="M493" i="2"/>
  <c r="L493" i="2"/>
  <c r="K493" i="2"/>
  <c r="J493" i="2"/>
  <c r="P492" i="2"/>
  <c r="O492" i="2"/>
  <c r="N492" i="2"/>
  <c r="M492" i="2"/>
  <c r="L492" i="2"/>
  <c r="K492" i="2"/>
  <c r="J492" i="2"/>
  <c r="P491" i="2"/>
  <c r="O491" i="2"/>
  <c r="N491" i="2"/>
  <c r="M491" i="2"/>
  <c r="L491" i="2"/>
  <c r="K491" i="2"/>
  <c r="J491" i="2"/>
  <c r="P490" i="2"/>
  <c r="O490" i="2"/>
  <c r="N490" i="2"/>
  <c r="M490" i="2"/>
  <c r="L490" i="2"/>
  <c r="K490" i="2"/>
  <c r="J490" i="2"/>
  <c r="P489" i="2"/>
  <c r="O489" i="2"/>
  <c r="N489" i="2"/>
  <c r="M489" i="2"/>
  <c r="L489" i="2"/>
  <c r="K489" i="2"/>
  <c r="J489" i="2"/>
  <c r="P488" i="2"/>
  <c r="O488" i="2"/>
  <c r="N488" i="2"/>
  <c r="M488" i="2"/>
  <c r="L488" i="2"/>
  <c r="K488" i="2"/>
  <c r="J488" i="2"/>
  <c r="P487" i="2"/>
  <c r="O487" i="2"/>
  <c r="N487" i="2"/>
  <c r="M487" i="2"/>
  <c r="L487" i="2"/>
  <c r="K487" i="2"/>
  <c r="J487" i="2"/>
  <c r="P486" i="2"/>
  <c r="O486" i="2"/>
  <c r="N486" i="2"/>
  <c r="M486" i="2"/>
  <c r="L486" i="2"/>
  <c r="K486" i="2"/>
  <c r="J486" i="2"/>
  <c r="P485" i="2"/>
  <c r="O485" i="2"/>
  <c r="N485" i="2"/>
  <c r="M485" i="2"/>
  <c r="L485" i="2"/>
  <c r="K485" i="2"/>
  <c r="J485" i="2"/>
  <c r="P484" i="2"/>
  <c r="O484" i="2"/>
  <c r="N484" i="2"/>
  <c r="M484" i="2"/>
  <c r="L484" i="2"/>
  <c r="K484" i="2"/>
  <c r="J484" i="2"/>
  <c r="P483" i="2"/>
  <c r="O483" i="2"/>
  <c r="N483" i="2"/>
  <c r="M483" i="2"/>
  <c r="L483" i="2"/>
  <c r="K483" i="2"/>
  <c r="J483" i="2"/>
  <c r="P482" i="2"/>
  <c r="O482" i="2"/>
  <c r="N482" i="2"/>
  <c r="M482" i="2"/>
  <c r="L482" i="2"/>
  <c r="K482" i="2"/>
  <c r="J482" i="2"/>
  <c r="P481" i="2"/>
  <c r="O481" i="2"/>
  <c r="N481" i="2"/>
  <c r="M481" i="2"/>
  <c r="L481" i="2"/>
  <c r="K481" i="2"/>
  <c r="J481" i="2"/>
  <c r="P480" i="2"/>
  <c r="O480" i="2"/>
  <c r="N480" i="2"/>
  <c r="M480" i="2"/>
  <c r="L480" i="2"/>
  <c r="K480" i="2"/>
  <c r="J480" i="2"/>
  <c r="P479" i="2"/>
  <c r="O479" i="2"/>
  <c r="N479" i="2"/>
  <c r="M479" i="2"/>
  <c r="L479" i="2"/>
  <c r="K479" i="2"/>
  <c r="J479" i="2"/>
  <c r="P478" i="2"/>
  <c r="O478" i="2"/>
  <c r="N478" i="2"/>
  <c r="M478" i="2"/>
  <c r="L478" i="2"/>
  <c r="K478" i="2"/>
  <c r="J478" i="2"/>
  <c r="P477" i="2"/>
  <c r="O477" i="2"/>
  <c r="N477" i="2"/>
  <c r="M477" i="2"/>
  <c r="L477" i="2"/>
  <c r="K477" i="2"/>
  <c r="J477" i="2"/>
  <c r="P476" i="2"/>
  <c r="O476" i="2"/>
  <c r="N476" i="2"/>
  <c r="M476" i="2"/>
  <c r="L476" i="2"/>
  <c r="K476" i="2"/>
  <c r="J476" i="2"/>
  <c r="P475" i="2"/>
  <c r="O475" i="2"/>
  <c r="N475" i="2"/>
  <c r="M475" i="2"/>
  <c r="L475" i="2"/>
  <c r="K475" i="2"/>
  <c r="J475" i="2"/>
  <c r="P474" i="2"/>
  <c r="O474" i="2"/>
  <c r="N474" i="2"/>
  <c r="M474" i="2"/>
  <c r="L474" i="2"/>
  <c r="K474" i="2"/>
  <c r="J474" i="2"/>
  <c r="P473" i="2"/>
  <c r="O473" i="2"/>
  <c r="N473" i="2"/>
  <c r="M473" i="2"/>
  <c r="L473" i="2"/>
  <c r="K473" i="2"/>
  <c r="J473" i="2"/>
  <c r="P472" i="2"/>
  <c r="O472" i="2"/>
  <c r="N472" i="2"/>
  <c r="M472" i="2"/>
  <c r="L472" i="2"/>
  <c r="K472" i="2"/>
  <c r="J472" i="2"/>
  <c r="P471" i="2"/>
  <c r="O471" i="2"/>
  <c r="N471" i="2"/>
  <c r="M471" i="2"/>
  <c r="L471" i="2"/>
  <c r="K471" i="2"/>
  <c r="J471" i="2"/>
  <c r="P470" i="2"/>
  <c r="O470" i="2"/>
  <c r="N470" i="2"/>
  <c r="M470" i="2"/>
  <c r="L470" i="2"/>
  <c r="K470" i="2"/>
  <c r="J470" i="2"/>
  <c r="P469" i="2"/>
  <c r="O469" i="2"/>
  <c r="N469" i="2"/>
  <c r="M469" i="2"/>
  <c r="L469" i="2"/>
  <c r="K469" i="2"/>
  <c r="J469" i="2"/>
  <c r="P468" i="2"/>
  <c r="O468" i="2"/>
  <c r="N468" i="2"/>
  <c r="M468" i="2"/>
  <c r="L468" i="2"/>
  <c r="K468" i="2"/>
  <c r="J468" i="2"/>
  <c r="P467" i="2"/>
  <c r="O467" i="2"/>
  <c r="N467" i="2"/>
  <c r="M467" i="2"/>
  <c r="L467" i="2"/>
  <c r="K467" i="2"/>
  <c r="J467" i="2"/>
  <c r="P466" i="2"/>
  <c r="O466" i="2"/>
  <c r="N466" i="2"/>
  <c r="M466" i="2"/>
  <c r="L466" i="2"/>
  <c r="K466" i="2"/>
  <c r="J466" i="2"/>
  <c r="P465" i="2"/>
  <c r="O465" i="2"/>
  <c r="N465" i="2"/>
  <c r="M465" i="2"/>
  <c r="L465" i="2"/>
  <c r="K465" i="2"/>
  <c r="J465" i="2"/>
  <c r="P464" i="2"/>
  <c r="O464" i="2"/>
  <c r="N464" i="2"/>
  <c r="M464" i="2"/>
  <c r="L464" i="2"/>
  <c r="K464" i="2"/>
  <c r="J464" i="2"/>
  <c r="P463" i="2"/>
  <c r="O463" i="2"/>
  <c r="N463" i="2"/>
  <c r="M463" i="2"/>
  <c r="L463" i="2"/>
  <c r="K463" i="2"/>
  <c r="J463" i="2"/>
  <c r="P462" i="2"/>
  <c r="O462" i="2"/>
  <c r="N462" i="2"/>
  <c r="M462" i="2"/>
  <c r="L462" i="2"/>
  <c r="K462" i="2"/>
  <c r="J462" i="2"/>
  <c r="P461" i="2"/>
  <c r="O461" i="2"/>
  <c r="N461" i="2"/>
  <c r="M461" i="2"/>
  <c r="L461" i="2"/>
  <c r="K461" i="2"/>
  <c r="J461" i="2"/>
  <c r="P460" i="2"/>
  <c r="O460" i="2"/>
  <c r="N460" i="2"/>
  <c r="M460" i="2"/>
  <c r="L460" i="2"/>
  <c r="K460" i="2"/>
  <c r="J460" i="2"/>
  <c r="P459" i="2"/>
  <c r="O459" i="2"/>
  <c r="N459" i="2"/>
  <c r="M459" i="2"/>
  <c r="L459" i="2"/>
  <c r="K459" i="2"/>
  <c r="J459" i="2"/>
  <c r="P458" i="2"/>
  <c r="O458" i="2"/>
  <c r="N458" i="2"/>
  <c r="M458" i="2"/>
  <c r="L458" i="2"/>
  <c r="K458" i="2"/>
  <c r="J458" i="2"/>
  <c r="P457" i="2"/>
  <c r="O457" i="2"/>
  <c r="N457" i="2"/>
  <c r="M457" i="2"/>
  <c r="L457" i="2"/>
  <c r="K457" i="2"/>
  <c r="J457" i="2"/>
  <c r="P456" i="2"/>
  <c r="O456" i="2"/>
  <c r="N456" i="2"/>
  <c r="M456" i="2"/>
  <c r="L456" i="2"/>
  <c r="K456" i="2"/>
  <c r="J456" i="2"/>
  <c r="P455" i="2"/>
  <c r="O455" i="2"/>
  <c r="N455" i="2"/>
  <c r="M455" i="2"/>
  <c r="L455" i="2"/>
  <c r="K455" i="2"/>
  <c r="J455" i="2"/>
  <c r="P454" i="2"/>
  <c r="O454" i="2"/>
  <c r="N454" i="2"/>
  <c r="M454" i="2"/>
  <c r="L454" i="2"/>
  <c r="K454" i="2"/>
  <c r="J454" i="2"/>
  <c r="P453" i="2"/>
  <c r="O453" i="2"/>
  <c r="N453" i="2"/>
  <c r="M453" i="2"/>
  <c r="L453" i="2"/>
  <c r="K453" i="2"/>
  <c r="J453" i="2"/>
  <c r="P452" i="2"/>
  <c r="O452" i="2"/>
  <c r="N452" i="2"/>
  <c r="M452" i="2"/>
  <c r="L452" i="2"/>
  <c r="K452" i="2"/>
  <c r="J452" i="2"/>
  <c r="P451" i="2"/>
  <c r="O451" i="2"/>
  <c r="N451" i="2"/>
  <c r="M451" i="2"/>
  <c r="L451" i="2"/>
  <c r="K451" i="2"/>
  <c r="J451" i="2"/>
  <c r="P450" i="2"/>
  <c r="O450" i="2"/>
  <c r="N450" i="2"/>
  <c r="M450" i="2"/>
  <c r="L450" i="2"/>
  <c r="K450" i="2"/>
  <c r="J450" i="2"/>
  <c r="P449" i="2"/>
  <c r="O449" i="2"/>
  <c r="N449" i="2"/>
  <c r="M449" i="2"/>
  <c r="L449" i="2"/>
  <c r="K449" i="2"/>
  <c r="J449" i="2"/>
  <c r="P448" i="2"/>
  <c r="O448" i="2"/>
  <c r="N448" i="2"/>
  <c r="M448" i="2"/>
  <c r="L448" i="2"/>
  <c r="K448" i="2"/>
  <c r="J448" i="2"/>
  <c r="P447" i="2"/>
  <c r="O447" i="2"/>
  <c r="N447" i="2"/>
  <c r="M447" i="2"/>
  <c r="L447" i="2"/>
  <c r="K447" i="2"/>
  <c r="J447" i="2"/>
  <c r="P446" i="2"/>
  <c r="O446" i="2"/>
  <c r="N446" i="2"/>
  <c r="M446" i="2"/>
  <c r="L446" i="2"/>
  <c r="K446" i="2"/>
  <c r="J446" i="2"/>
  <c r="P445" i="2"/>
  <c r="O445" i="2"/>
  <c r="N445" i="2"/>
  <c r="M445" i="2"/>
  <c r="L445" i="2"/>
  <c r="K445" i="2"/>
  <c r="J445" i="2"/>
  <c r="P444" i="2"/>
  <c r="O444" i="2"/>
  <c r="N444" i="2"/>
  <c r="M444" i="2"/>
  <c r="L444" i="2"/>
  <c r="K444" i="2"/>
  <c r="J444" i="2"/>
  <c r="P443" i="2"/>
  <c r="O443" i="2"/>
  <c r="N443" i="2"/>
  <c r="M443" i="2"/>
  <c r="L443" i="2"/>
  <c r="K443" i="2"/>
  <c r="J443" i="2"/>
  <c r="P442" i="2"/>
  <c r="O442" i="2"/>
  <c r="N442" i="2"/>
  <c r="M442" i="2"/>
  <c r="L442" i="2"/>
  <c r="K442" i="2"/>
  <c r="J442" i="2"/>
  <c r="P441" i="2"/>
  <c r="O441" i="2"/>
  <c r="N441" i="2"/>
  <c r="M441" i="2"/>
  <c r="L441" i="2"/>
  <c r="K441" i="2"/>
  <c r="J441" i="2"/>
  <c r="P440" i="2"/>
  <c r="O440" i="2"/>
  <c r="N440" i="2"/>
  <c r="M440" i="2"/>
  <c r="L440" i="2"/>
  <c r="K440" i="2"/>
  <c r="J440" i="2"/>
  <c r="P439" i="2"/>
  <c r="O439" i="2"/>
  <c r="N439" i="2"/>
  <c r="M439" i="2"/>
  <c r="L439" i="2"/>
  <c r="K439" i="2"/>
  <c r="J439" i="2"/>
  <c r="P438" i="2"/>
  <c r="O438" i="2"/>
  <c r="N438" i="2"/>
  <c r="M438" i="2"/>
  <c r="L438" i="2"/>
  <c r="K438" i="2"/>
  <c r="J438" i="2"/>
  <c r="P437" i="2"/>
  <c r="O437" i="2"/>
  <c r="N437" i="2"/>
  <c r="M437" i="2"/>
  <c r="L437" i="2"/>
  <c r="K437" i="2"/>
  <c r="J437" i="2"/>
  <c r="P436" i="2"/>
  <c r="O436" i="2"/>
  <c r="N436" i="2"/>
  <c r="M436" i="2"/>
  <c r="L436" i="2"/>
  <c r="K436" i="2"/>
  <c r="J436" i="2"/>
  <c r="P435" i="2"/>
  <c r="O435" i="2"/>
  <c r="N435" i="2"/>
  <c r="M435" i="2"/>
  <c r="L435" i="2"/>
  <c r="K435" i="2"/>
  <c r="J435" i="2"/>
  <c r="P434" i="2"/>
  <c r="O434" i="2"/>
  <c r="N434" i="2"/>
  <c r="M434" i="2"/>
  <c r="L434" i="2"/>
  <c r="K434" i="2"/>
  <c r="J434" i="2"/>
  <c r="P433" i="2"/>
  <c r="O433" i="2"/>
  <c r="N433" i="2"/>
  <c r="M433" i="2"/>
  <c r="L433" i="2"/>
  <c r="K433" i="2"/>
  <c r="J433" i="2"/>
  <c r="P432" i="2"/>
  <c r="O432" i="2"/>
  <c r="N432" i="2"/>
  <c r="M432" i="2"/>
  <c r="L432" i="2"/>
  <c r="K432" i="2"/>
  <c r="J432" i="2"/>
  <c r="P431" i="2"/>
  <c r="O431" i="2"/>
  <c r="N431" i="2"/>
  <c r="M431" i="2"/>
  <c r="L431" i="2"/>
  <c r="K431" i="2"/>
  <c r="J431" i="2"/>
  <c r="P430" i="2"/>
  <c r="O430" i="2"/>
  <c r="N430" i="2"/>
  <c r="M430" i="2"/>
  <c r="L430" i="2"/>
  <c r="K430" i="2"/>
  <c r="J430" i="2"/>
  <c r="P429" i="2"/>
  <c r="O429" i="2"/>
  <c r="N429" i="2"/>
  <c r="M429" i="2"/>
  <c r="L429" i="2"/>
  <c r="K429" i="2"/>
  <c r="J429" i="2"/>
  <c r="P428" i="2"/>
  <c r="O428" i="2"/>
  <c r="N428" i="2"/>
  <c r="M428" i="2"/>
  <c r="L428" i="2"/>
  <c r="K428" i="2"/>
  <c r="J428" i="2"/>
  <c r="P427" i="2"/>
  <c r="O427" i="2"/>
  <c r="N427" i="2"/>
  <c r="M427" i="2"/>
  <c r="L427" i="2"/>
  <c r="K427" i="2"/>
  <c r="J427" i="2"/>
  <c r="P426" i="2"/>
  <c r="O426" i="2"/>
  <c r="N426" i="2"/>
  <c r="M426" i="2"/>
  <c r="L426" i="2"/>
  <c r="K426" i="2"/>
  <c r="J426" i="2"/>
  <c r="P425" i="2"/>
  <c r="O425" i="2"/>
  <c r="N425" i="2"/>
  <c r="M425" i="2"/>
  <c r="L425" i="2"/>
  <c r="K425" i="2"/>
  <c r="J425" i="2"/>
  <c r="P424" i="2"/>
  <c r="O424" i="2"/>
  <c r="N424" i="2"/>
  <c r="M424" i="2"/>
  <c r="L424" i="2"/>
  <c r="K424" i="2"/>
  <c r="J424" i="2"/>
  <c r="P423" i="2"/>
  <c r="O423" i="2"/>
  <c r="N423" i="2"/>
  <c r="M423" i="2"/>
  <c r="L423" i="2"/>
  <c r="K423" i="2"/>
  <c r="J423" i="2"/>
  <c r="P422" i="2"/>
  <c r="O422" i="2"/>
  <c r="N422" i="2"/>
  <c r="M422" i="2"/>
  <c r="L422" i="2"/>
  <c r="K422" i="2"/>
  <c r="J422" i="2"/>
  <c r="P421" i="2"/>
  <c r="O421" i="2"/>
  <c r="N421" i="2"/>
  <c r="M421" i="2"/>
  <c r="L421" i="2"/>
  <c r="K421" i="2"/>
  <c r="J421" i="2"/>
  <c r="P420" i="2"/>
  <c r="O420" i="2"/>
  <c r="N420" i="2"/>
  <c r="M420" i="2"/>
  <c r="L420" i="2"/>
  <c r="K420" i="2"/>
  <c r="J420" i="2"/>
  <c r="P419" i="2"/>
  <c r="O419" i="2"/>
  <c r="N419" i="2"/>
  <c r="M419" i="2"/>
  <c r="L419" i="2"/>
  <c r="K419" i="2"/>
  <c r="J419" i="2"/>
  <c r="P418" i="2"/>
  <c r="O418" i="2"/>
  <c r="N418" i="2"/>
  <c r="M418" i="2"/>
  <c r="L418" i="2"/>
  <c r="K418" i="2"/>
  <c r="J418" i="2"/>
  <c r="P417" i="2"/>
  <c r="O417" i="2"/>
  <c r="N417" i="2"/>
  <c r="M417" i="2"/>
  <c r="L417" i="2"/>
  <c r="K417" i="2"/>
  <c r="J417" i="2"/>
  <c r="P416" i="2"/>
  <c r="O416" i="2"/>
  <c r="N416" i="2"/>
  <c r="M416" i="2"/>
  <c r="L416" i="2"/>
  <c r="K416" i="2"/>
  <c r="J416" i="2"/>
  <c r="P415" i="2"/>
  <c r="O415" i="2"/>
  <c r="N415" i="2"/>
  <c r="M415" i="2"/>
  <c r="L415" i="2"/>
  <c r="K415" i="2"/>
  <c r="J415" i="2"/>
  <c r="P414" i="2"/>
  <c r="O414" i="2"/>
  <c r="N414" i="2"/>
  <c r="M414" i="2"/>
  <c r="L414" i="2"/>
  <c r="K414" i="2"/>
  <c r="J414" i="2"/>
  <c r="P413" i="2"/>
  <c r="O413" i="2"/>
  <c r="N413" i="2"/>
  <c r="M413" i="2"/>
  <c r="L413" i="2"/>
  <c r="K413" i="2"/>
  <c r="J413" i="2"/>
  <c r="P412" i="2"/>
  <c r="O412" i="2"/>
  <c r="N412" i="2"/>
  <c r="M412" i="2"/>
  <c r="L412" i="2"/>
  <c r="K412" i="2"/>
  <c r="J412" i="2"/>
  <c r="P411" i="2"/>
  <c r="O411" i="2"/>
  <c r="N411" i="2"/>
  <c r="M411" i="2"/>
  <c r="L411" i="2"/>
  <c r="K411" i="2"/>
  <c r="J411" i="2"/>
  <c r="P410" i="2"/>
  <c r="O410" i="2"/>
  <c r="N410" i="2"/>
  <c r="M410" i="2"/>
  <c r="L410" i="2"/>
  <c r="K410" i="2"/>
  <c r="J410" i="2"/>
  <c r="P409" i="2"/>
  <c r="O409" i="2"/>
  <c r="N409" i="2"/>
  <c r="M409" i="2"/>
  <c r="L409" i="2"/>
  <c r="K409" i="2"/>
  <c r="J409" i="2"/>
  <c r="P408" i="2"/>
  <c r="O408" i="2"/>
  <c r="N408" i="2"/>
  <c r="M408" i="2"/>
  <c r="L408" i="2"/>
  <c r="K408" i="2"/>
  <c r="J408" i="2"/>
  <c r="P407" i="2"/>
  <c r="O407" i="2"/>
  <c r="N407" i="2"/>
  <c r="M407" i="2"/>
  <c r="L407" i="2"/>
  <c r="K407" i="2"/>
  <c r="J407" i="2"/>
  <c r="P406" i="2"/>
  <c r="O406" i="2"/>
  <c r="N406" i="2"/>
  <c r="M406" i="2"/>
  <c r="L406" i="2"/>
  <c r="K406" i="2"/>
  <c r="J406" i="2"/>
  <c r="P405" i="2"/>
  <c r="O405" i="2"/>
  <c r="N405" i="2"/>
  <c r="M405" i="2"/>
  <c r="L405" i="2"/>
  <c r="K405" i="2"/>
  <c r="J405" i="2"/>
  <c r="P404" i="2"/>
  <c r="O404" i="2"/>
  <c r="N404" i="2"/>
  <c r="M404" i="2"/>
  <c r="L404" i="2"/>
  <c r="K404" i="2"/>
  <c r="J404" i="2"/>
  <c r="P403" i="2"/>
  <c r="O403" i="2"/>
  <c r="N403" i="2"/>
  <c r="M403" i="2"/>
  <c r="L403" i="2"/>
  <c r="K403" i="2"/>
  <c r="J403" i="2"/>
  <c r="P402" i="2"/>
  <c r="O402" i="2"/>
  <c r="N402" i="2"/>
  <c r="M402" i="2"/>
  <c r="L402" i="2"/>
  <c r="K402" i="2"/>
  <c r="J402" i="2"/>
  <c r="P401" i="2"/>
  <c r="O401" i="2"/>
  <c r="N401" i="2"/>
  <c r="M401" i="2"/>
  <c r="L401" i="2"/>
  <c r="K401" i="2"/>
  <c r="J401" i="2"/>
  <c r="P400" i="2"/>
  <c r="O400" i="2"/>
  <c r="N400" i="2"/>
  <c r="M400" i="2"/>
  <c r="L400" i="2"/>
  <c r="K400" i="2"/>
  <c r="J400" i="2"/>
  <c r="P399" i="2"/>
  <c r="O399" i="2"/>
  <c r="N399" i="2"/>
  <c r="M399" i="2"/>
  <c r="L399" i="2"/>
  <c r="K399" i="2"/>
  <c r="J399" i="2"/>
  <c r="P398" i="2"/>
  <c r="O398" i="2"/>
  <c r="N398" i="2"/>
  <c r="M398" i="2"/>
  <c r="L398" i="2"/>
  <c r="K398" i="2"/>
  <c r="J398" i="2"/>
  <c r="P397" i="2"/>
  <c r="O397" i="2"/>
  <c r="N397" i="2"/>
  <c r="M397" i="2"/>
  <c r="L397" i="2"/>
  <c r="K397" i="2"/>
  <c r="J397" i="2"/>
  <c r="P396" i="2"/>
  <c r="O396" i="2"/>
  <c r="N396" i="2"/>
  <c r="M396" i="2"/>
  <c r="L396" i="2"/>
  <c r="K396" i="2"/>
  <c r="J396" i="2"/>
  <c r="P395" i="2"/>
  <c r="O395" i="2"/>
  <c r="N395" i="2"/>
  <c r="M395" i="2"/>
  <c r="L395" i="2"/>
  <c r="K395" i="2"/>
  <c r="J395" i="2"/>
  <c r="P394" i="2"/>
  <c r="O394" i="2"/>
  <c r="N394" i="2"/>
  <c r="M394" i="2"/>
  <c r="L394" i="2"/>
  <c r="K394" i="2"/>
  <c r="J394" i="2"/>
  <c r="P393" i="2"/>
  <c r="O393" i="2"/>
  <c r="N393" i="2"/>
  <c r="M393" i="2"/>
  <c r="L393" i="2"/>
  <c r="K393" i="2"/>
  <c r="J393" i="2"/>
  <c r="P392" i="2"/>
  <c r="O392" i="2"/>
  <c r="N392" i="2"/>
  <c r="M392" i="2"/>
  <c r="L392" i="2"/>
  <c r="K392" i="2"/>
  <c r="J392" i="2"/>
  <c r="P391" i="2"/>
  <c r="O391" i="2"/>
  <c r="N391" i="2"/>
  <c r="M391" i="2"/>
  <c r="L391" i="2"/>
  <c r="K391" i="2"/>
  <c r="J391" i="2"/>
  <c r="P390" i="2"/>
  <c r="O390" i="2"/>
  <c r="N390" i="2"/>
  <c r="M390" i="2"/>
  <c r="L390" i="2"/>
  <c r="K390" i="2"/>
  <c r="J390" i="2"/>
  <c r="P389" i="2"/>
  <c r="O389" i="2"/>
  <c r="N389" i="2"/>
  <c r="M389" i="2"/>
  <c r="L389" i="2"/>
  <c r="K389" i="2"/>
  <c r="J389" i="2"/>
  <c r="P388" i="2"/>
  <c r="O388" i="2"/>
  <c r="N388" i="2"/>
  <c r="M388" i="2"/>
  <c r="L388" i="2"/>
  <c r="K388" i="2"/>
  <c r="J388" i="2"/>
  <c r="P387" i="2"/>
  <c r="O387" i="2"/>
  <c r="N387" i="2"/>
  <c r="M387" i="2"/>
  <c r="L387" i="2"/>
  <c r="K387" i="2"/>
  <c r="J387" i="2"/>
  <c r="P386" i="2"/>
  <c r="O386" i="2"/>
  <c r="N386" i="2"/>
  <c r="M386" i="2"/>
  <c r="L386" i="2"/>
  <c r="K386" i="2"/>
  <c r="J386" i="2"/>
  <c r="P385" i="2"/>
  <c r="O385" i="2"/>
  <c r="N385" i="2"/>
  <c r="M385" i="2"/>
  <c r="L385" i="2"/>
  <c r="K385" i="2"/>
  <c r="J385" i="2"/>
  <c r="P384" i="2"/>
  <c r="O384" i="2"/>
  <c r="N384" i="2"/>
  <c r="M384" i="2"/>
  <c r="L384" i="2"/>
  <c r="K384" i="2"/>
  <c r="J384" i="2"/>
  <c r="P383" i="2"/>
  <c r="O383" i="2"/>
  <c r="N383" i="2"/>
  <c r="M383" i="2"/>
  <c r="L383" i="2"/>
  <c r="K383" i="2"/>
  <c r="J383" i="2"/>
  <c r="P382" i="2"/>
  <c r="O382" i="2"/>
  <c r="N382" i="2"/>
  <c r="M382" i="2"/>
  <c r="L382" i="2"/>
  <c r="K382" i="2"/>
  <c r="J382" i="2"/>
  <c r="P381" i="2"/>
  <c r="O381" i="2"/>
  <c r="N381" i="2"/>
  <c r="M381" i="2"/>
  <c r="L381" i="2"/>
  <c r="K381" i="2"/>
  <c r="J381" i="2"/>
  <c r="P380" i="2"/>
  <c r="O380" i="2"/>
  <c r="N380" i="2"/>
  <c r="M380" i="2"/>
  <c r="L380" i="2"/>
  <c r="K380" i="2"/>
  <c r="J380" i="2"/>
  <c r="P379" i="2"/>
  <c r="O379" i="2"/>
  <c r="N379" i="2"/>
  <c r="M379" i="2"/>
  <c r="L379" i="2"/>
  <c r="K379" i="2"/>
  <c r="J379" i="2"/>
  <c r="P378" i="2"/>
  <c r="O378" i="2"/>
  <c r="N378" i="2"/>
  <c r="M378" i="2"/>
  <c r="L378" i="2"/>
  <c r="K378" i="2"/>
  <c r="J378" i="2"/>
  <c r="P377" i="2"/>
  <c r="O377" i="2"/>
  <c r="N377" i="2"/>
  <c r="M377" i="2"/>
  <c r="L377" i="2"/>
  <c r="K377" i="2"/>
  <c r="J377" i="2"/>
  <c r="P376" i="2"/>
  <c r="O376" i="2"/>
  <c r="N376" i="2"/>
  <c r="M376" i="2"/>
  <c r="L376" i="2"/>
  <c r="K376" i="2"/>
  <c r="J376" i="2"/>
  <c r="P375" i="2"/>
  <c r="O375" i="2"/>
  <c r="N375" i="2"/>
  <c r="M375" i="2"/>
  <c r="L375" i="2"/>
  <c r="K375" i="2"/>
  <c r="J375" i="2"/>
  <c r="P374" i="2"/>
  <c r="O374" i="2"/>
  <c r="N374" i="2"/>
  <c r="M374" i="2"/>
  <c r="L374" i="2"/>
  <c r="K374" i="2"/>
  <c r="J374" i="2"/>
  <c r="P373" i="2"/>
  <c r="O373" i="2"/>
  <c r="N373" i="2"/>
  <c r="M373" i="2"/>
  <c r="L373" i="2"/>
  <c r="K373" i="2"/>
  <c r="J373" i="2"/>
  <c r="P372" i="2"/>
  <c r="O372" i="2"/>
  <c r="N372" i="2"/>
  <c r="M372" i="2"/>
  <c r="L372" i="2"/>
  <c r="K372" i="2"/>
  <c r="J372" i="2"/>
  <c r="P371" i="2"/>
  <c r="O371" i="2"/>
  <c r="N371" i="2"/>
  <c r="M371" i="2"/>
  <c r="L371" i="2"/>
  <c r="K371" i="2"/>
  <c r="J371" i="2"/>
  <c r="P370" i="2"/>
  <c r="O370" i="2"/>
  <c r="N370" i="2"/>
  <c r="M370" i="2"/>
  <c r="L370" i="2"/>
  <c r="K370" i="2"/>
  <c r="J370" i="2"/>
  <c r="P369" i="2"/>
  <c r="O369" i="2"/>
  <c r="N369" i="2"/>
  <c r="M369" i="2"/>
  <c r="L369" i="2"/>
  <c r="K369" i="2"/>
  <c r="J369" i="2"/>
  <c r="P368" i="2"/>
  <c r="O368" i="2"/>
  <c r="N368" i="2"/>
  <c r="M368" i="2"/>
  <c r="L368" i="2"/>
  <c r="K368" i="2"/>
  <c r="J368" i="2"/>
  <c r="P367" i="2"/>
  <c r="O367" i="2"/>
  <c r="N367" i="2"/>
  <c r="M367" i="2"/>
  <c r="L367" i="2"/>
  <c r="K367" i="2"/>
  <c r="J367" i="2"/>
  <c r="P366" i="2"/>
  <c r="O366" i="2"/>
  <c r="N366" i="2"/>
  <c r="M366" i="2"/>
  <c r="L366" i="2"/>
  <c r="K366" i="2"/>
  <c r="J366" i="2"/>
  <c r="P365" i="2"/>
  <c r="O365" i="2"/>
  <c r="N365" i="2"/>
  <c r="M365" i="2"/>
  <c r="L365" i="2"/>
  <c r="K365" i="2"/>
  <c r="J365" i="2"/>
  <c r="P364" i="2"/>
  <c r="O364" i="2"/>
  <c r="N364" i="2"/>
  <c r="M364" i="2"/>
  <c r="L364" i="2"/>
  <c r="K364" i="2"/>
  <c r="J364" i="2"/>
  <c r="P363" i="2"/>
  <c r="O363" i="2"/>
  <c r="N363" i="2"/>
  <c r="M363" i="2"/>
  <c r="L363" i="2"/>
  <c r="K363" i="2"/>
  <c r="J363" i="2"/>
  <c r="P362" i="2"/>
  <c r="O362" i="2"/>
  <c r="N362" i="2"/>
  <c r="M362" i="2"/>
  <c r="L362" i="2"/>
  <c r="K362" i="2"/>
  <c r="J362" i="2"/>
  <c r="P361" i="2"/>
  <c r="O361" i="2"/>
  <c r="N361" i="2"/>
  <c r="M361" i="2"/>
  <c r="L361" i="2"/>
  <c r="K361" i="2"/>
  <c r="J361" i="2"/>
  <c r="P360" i="2"/>
  <c r="O360" i="2"/>
  <c r="N360" i="2"/>
  <c r="M360" i="2"/>
  <c r="L360" i="2"/>
  <c r="K360" i="2"/>
  <c r="J360" i="2"/>
  <c r="P359" i="2"/>
  <c r="O359" i="2"/>
  <c r="N359" i="2"/>
  <c r="M359" i="2"/>
  <c r="L359" i="2"/>
  <c r="K359" i="2"/>
  <c r="J359" i="2"/>
  <c r="P358" i="2"/>
  <c r="O358" i="2"/>
  <c r="N358" i="2"/>
  <c r="M358" i="2"/>
  <c r="L358" i="2"/>
  <c r="K358" i="2"/>
  <c r="J358" i="2"/>
  <c r="P357" i="2"/>
  <c r="O357" i="2"/>
  <c r="N357" i="2"/>
  <c r="M357" i="2"/>
  <c r="L357" i="2"/>
  <c r="K357" i="2"/>
  <c r="J357" i="2"/>
  <c r="P356" i="2"/>
  <c r="O356" i="2"/>
  <c r="N356" i="2"/>
  <c r="M356" i="2"/>
  <c r="L356" i="2"/>
  <c r="K356" i="2"/>
  <c r="J356" i="2"/>
  <c r="P355" i="2"/>
  <c r="O355" i="2"/>
  <c r="N355" i="2"/>
  <c r="M355" i="2"/>
  <c r="L355" i="2"/>
  <c r="K355" i="2"/>
  <c r="J355" i="2"/>
  <c r="P354" i="2"/>
  <c r="O354" i="2"/>
  <c r="N354" i="2"/>
  <c r="M354" i="2"/>
  <c r="L354" i="2"/>
  <c r="K354" i="2"/>
  <c r="J354" i="2"/>
  <c r="P353" i="2"/>
  <c r="O353" i="2"/>
  <c r="N353" i="2"/>
  <c r="M353" i="2"/>
  <c r="L353" i="2"/>
  <c r="K353" i="2"/>
  <c r="J353" i="2"/>
  <c r="P352" i="2"/>
  <c r="O352" i="2"/>
  <c r="N352" i="2"/>
  <c r="M352" i="2"/>
  <c r="L352" i="2"/>
  <c r="K352" i="2"/>
  <c r="J352" i="2"/>
  <c r="P351" i="2"/>
  <c r="O351" i="2"/>
  <c r="N351" i="2"/>
  <c r="M351" i="2"/>
  <c r="L351" i="2"/>
  <c r="K351" i="2"/>
  <c r="J351" i="2"/>
  <c r="P350" i="2"/>
  <c r="O350" i="2"/>
  <c r="N350" i="2"/>
  <c r="M350" i="2"/>
  <c r="L350" i="2"/>
  <c r="K350" i="2"/>
  <c r="J350" i="2"/>
  <c r="P349" i="2"/>
  <c r="O349" i="2"/>
  <c r="N349" i="2"/>
  <c r="M349" i="2"/>
  <c r="L349" i="2"/>
  <c r="K349" i="2"/>
  <c r="J349" i="2"/>
  <c r="P348" i="2"/>
  <c r="O348" i="2"/>
  <c r="N348" i="2"/>
  <c r="M348" i="2"/>
  <c r="L348" i="2"/>
  <c r="K348" i="2"/>
  <c r="J348" i="2"/>
  <c r="P347" i="2"/>
  <c r="O347" i="2"/>
  <c r="N347" i="2"/>
  <c r="M347" i="2"/>
  <c r="L347" i="2"/>
  <c r="K347" i="2"/>
  <c r="J347" i="2"/>
  <c r="P346" i="2"/>
  <c r="O346" i="2"/>
  <c r="N346" i="2"/>
  <c r="M346" i="2"/>
  <c r="L346" i="2"/>
  <c r="K346" i="2"/>
  <c r="J346" i="2"/>
  <c r="P345" i="2"/>
  <c r="O345" i="2"/>
  <c r="N345" i="2"/>
  <c r="M345" i="2"/>
  <c r="L345" i="2"/>
  <c r="K345" i="2"/>
  <c r="J345" i="2"/>
  <c r="P344" i="2"/>
  <c r="O344" i="2"/>
  <c r="N344" i="2"/>
  <c r="M344" i="2"/>
  <c r="L344" i="2"/>
  <c r="K344" i="2"/>
  <c r="J344" i="2"/>
  <c r="P343" i="2"/>
  <c r="O343" i="2"/>
  <c r="N343" i="2"/>
  <c r="M343" i="2"/>
  <c r="L343" i="2"/>
  <c r="K343" i="2"/>
  <c r="J343" i="2"/>
  <c r="P342" i="2"/>
  <c r="O342" i="2"/>
  <c r="N342" i="2"/>
  <c r="M342" i="2"/>
  <c r="L342" i="2"/>
  <c r="K342" i="2"/>
  <c r="J342" i="2"/>
  <c r="P341" i="2"/>
  <c r="O341" i="2"/>
  <c r="N341" i="2"/>
  <c r="M341" i="2"/>
  <c r="L341" i="2"/>
  <c r="K341" i="2"/>
  <c r="J341" i="2"/>
  <c r="P340" i="2"/>
  <c r="O340" i="2"/>
  <c r="N340" i="2"/>
  <c r="M340" i="2"/>
  <c r="L340" i="2"/>
  <c r="K340" i="2"/>
  <c r="J340" i="2"/>
  <c r="P339" i="2"/>
  <c r="O339" i="2"/>
  <c r="N339" i="2"/>
  <c r="M339" i="2"/>
  <c r="L339" i="2"/>
  <c r="K339" i="2"/>
  <c r="J339" i="2"/>
  <c r="P338" i="2"/>
  <c r="O338" i="2"/>
  <c r="N338" i="2"/>
  <c r="M338" i="2"/>
  <c r="L338" i="2"/>
  <c r="K338" i="2"/>
  <c r="J338" i="2"/>
  <c r="P337" i="2"/>
  <c r="O337" i="2"/>
  <c r="N337" i="2"/>
  <c r="M337" i="2"/>
  <c r="L337" i="2"/>
  <c r="K337" i="2"/>
  <c r="J337" i="2"/>
  <c r="P336" i="2"/>
  <c r="O336" i="2"/>
  <c r="N336" i="2"/>
  <c r="M336" i="2"/>
  <c r="L336" i="2"/>
  <c r="K336" i="2"/>
  <c r="J336" i="2"/>
  <c r="P335" i="2"/>
  <c r="O335" i="2"/>
  <c r="N335" i="2"/>
  <c r="M335" i="2"/>
  <c r="L335" i="2"/>
  <c r="K335" i="2"/>
  <c r="J335" i="2"/>
  <c r="P334" i="2"/>
  <c r="O334" i="2"/>
  <c r="N334" i="2"/>
  <c r="M334" i="2"/>
  <c r="L334" i="2"/>
  <c r="K334" i="2"/>
  <c r="J334" i="2"/>
  <c r="P333" i="2"/>
  <c r="O333" i="2"/>
  <c r="N333" i="2"/>
  <c r="M333" i="2"/>
  <c r="L333" i="2"/>
  <c r="K333" i="2"/>
  <c r="J333" i="2"/>
  <c r="P332" i="2"/>
  <c r="O332" i="2"/>
  <c r="N332" i="2"/>
  <c r="M332" i="2"/>
  <c r="L332" i="2"/>
  <c r="K332" i="2"/>
  <c r="J332" i="2"/>
  <c r="P331" i="2"/>
  <c r="O331" i="2"/>
  <c r="N331" i="2"/>
  <c r="M331" i="2"/>
  <c r="L331" i="2"/>
  <c r="K331" i="2"/>
  <c r="J331" i="2"/>
  <c r="P330" i="2"/>
  <c r="O330" i="2"/>
  <c r="N330" i="2"/>
  <c r="M330" i="2"/>
  <c r="L330" i="2"/>
  <c r="K330" i="2"/>
  <c r="J330" i="2"/>
  <c r="P329" i="2"/>
  <c r="O329" i="2"/>
  <c r="N329" i="2"/>
  <c r="M329" i="2"/>
  <c r="L329" i="2"/>
  <c r="K329" i="2"/>
  <c r="J329" i="2"/>
  <c r="P328" i="2"/>
  <c r="O328" i="2"/>
  <c r="N328" i="2"/>
  <c r="M328" i="2"/>
  <c r="L328" i="2"/>
  <c r="K328" i="2"/>
  <c r="J328" i="2"/>
  <c r="P327" i="2"/>
  <c r="O327" i="2"/>
  <c r="N327" i="2"/>
  <c r="M327" i="2"/>
  <c r="L327" i="2"/>
  <c r="K327" i="2"/>
  <c r="J327" i="2"/>
  <c r="P326" i="2"/>
  <c r="O326" i="2"/>
  <c r="N326" i="2"/>
  <c r="M326" i="2"/>
  <c r="L326" i="2"/>
  <c r="K326" i="2"/>
  <c r="J326" i="2"/>
  <c r="P325" i="2"/>
  <c r="O325" i="2"/>
  <c r="N325" i="2"/>
  <c r="M325" i="2"/>
  <c r="L325" i="2"/>
  <c r="K325" i="2"/>
  <c r="J325" i="2"/>
  <c r="P324" i="2"/>
  <c r="O324" i="2"/>
  <c r="N324" i="2"/>
  <c r="M324" i="2"/>
  <c r="L324" i="2"/>
  <c r="K324" i="2"/>
  <c r="J324" i="2"/>
  <c r="P323" i="2"/>
  <c r="O323" i="2"/>
  <c r="N323" i="2"/>
  <c r="M323" i="2"/>
  <c r="L323" i="2"/>
  <c r="K323" i="2"/>
  <c r="J323" i="2"/>
  <c r="P322" i="2"/>
  <c r="O322" i="2"/>
  <c r="N322" i="2"/>
  <c r="M322" i="2"/>
  <c r="L322" i="2"/>
  <c r="K322" i="2"/>
  <c r="J322" i="2"/>
  <c r="P321" i="2"/>
  <c r="O321" i="2"/>
  <c r="N321" i="2"/>
  <c r="M321" i="2"/>
  <c r="L321" i="2"/>
  <c r="K321" i="2"/>
  <c r="J321" i="2"/>
  <c r="P320" i="2"/>
  <c r="O320" i="2"/>
  <c r="N320" i="2"/>
  <c r="M320" i="2"/>
  <c r="L320" i="2"/>
  <c r="K320" i="2"/>
  <c r="J320" i="2"/>
  <c r="P319" i="2"/>
  <c r="O319" i="2"/>
  <c r="N319" i="2"/>
  <c r="M319" i="2"/>
  <c r="L319" i="2"/>
  <c r="K319" i="2"/>
  <c r="J319" i="2"/>
  <c r="P318" i="2"/>
  <c r="O318" i="2"/>
  <c r="N318" i="2"/>
  <c r="M318" i="2"/>
  <c r="L318" i="2"/>
  <c r="K318" i="2"/>
  <c r="J318" i="2"/>
  <c r="P317" i="2"/>
  <c r="O317" i="2"/>
  <c r="N317" i="2"/>
  <c r="M317" i="2"/>
  <c r="L317" i="2"/>
  <c r="K317" i="2"/>
  <c r="J317" i="2"/>
  <c r="P316" i="2"/>
  <c r="O316" i="2"/>
  <c r="N316" i="2"/>
  <c r="M316" i="2"/>
  <c r="L316" i="2"/>
  <c r="K316" i="2"/>
  <c r="J316" i="2"/>
  <c r="P315" i="2"/>
  <c r="O315" i="2"/>
  <c r="N315" i="2"/>
  <c r="M315" i="2"/>
  <c r="L315" i="2"/>
  <c r="K315" i="2"/>
  <c r="J315" i="2"/>
  <c r="P314" i="2"/>
  <c r="O314" i="2"/>
  <c r="N314" i="2"/>
  <c r="M314" i="2"/>
  <c r="L314" i="2"/>
  <c r="K314" i="2"/>
  <c r="J314" i="2"/>
  <c r="P313" i="2"/>
  <c r="O313" i="2"/>
  <c r="N313" i="2"/>
  <c r="M313" i="2"/>
  <c r="L313" i="2"/>
  <c r="K313" i="2"/>
  <c r="J313" i="2"/>
  <c r="P312" i="2"/>
  <c r="O312" i="2"/>
  <c r="N312" i="2"/>
  <c r="M312" i="2"/>
  <c r="L312" i="2"/>
  <c r="K312" i="2"/>
  <c r="J312" i="2"/>
  <c r="P311" i="2"/>
  <c r="O311" i="2"/>
  <c r="N311" i="2"/>
  <c r="M311" i="2"/>
  <c r="L311" i="2"/>
  <c r="K311" i="2"/>
  <c r="J311" i="2"/>
  <c r="P310" i="2"/>
  <c r="O310" i="2"/>
  <c r="N310" i="2"/>
  <c r="M310" i="2"/>
  <c r="L310" i="2"/>
  <c r="K310" i="2"/>
  <c r="J310" i="2"/>
  <c r="P309" i="2"/>
  <c r="O309" i="2"/>
  <c r="N309" i="2"/>
  <c r="M309" i="2"/>
  <c r="L309" i="2"/>
  <c r="K309" i="2"/>
  <c r="J309" i="2"/>
  <c r="P308" i="2"/>
  <c r="O308" i="2"/>
  <c r="N308" i="2"/>
  <c r="M308" i="2"/>
  <c r="L308" i="2"/>
  <c r="K308" i="2"/>
  <c r="J308" i="2"/>
  <c r="P307" i="2"/>
  <c r="O307" i="2"/>
  <c r="N307" i="2"/>
  <c r="M307" i="2"/>
  <c r="L307" i="2"/>
  <c r="K307" i="2"/>
  <c r="J307" i="2"/>
  <c r="P306" i="2"/>
  <c r="O306" i="2"/>
  <c r="N306" i="2"/>
  <c r="M306" i="2"/>
  <c r="L306" i="2"/>
  <c r="K306" i="2"/>
  <c r="J306" i="2"/>
  <c r="P305" i="2"/>
  <c r="O305" i="2"/>
  <c r="N305" i="2"/>
  <c r="M305" i="2"/>
  <c r="L305" i="2"/>
  <c r="K305" i="2"/>
  <c r="J305" i="2"/>
  <c r="P304" i="2"/>
  <c r="O304" i="2"/>
  <c r="N304" i="2"/>
  <c r="M304" i="2"/>
  <c r="L304" i="2"/>
  <c r="K304" i="2"/>
  <c r="J304" i="2"/>
  <c r="P303" i="2"/>
  <c r="O303" i="2"/>
  <c r="N303" i="2"/>
  <c r="M303" i="2"/>
  <c r="L303" i="2"/>
  <c r="K303" i="2"/>
  <c r="J303" i="2"/>
  <c r="P302" i="2"/>
  <c r="O302" i="2"/>
  <c r="N302" i="2"/>
  <c r="M302" i="2"/>
  <c r="L302" i="2"/>
  <c r="K302" i="2"/>
  <c r="J302" i="2"/>
  <c r="P301" i="2"/>
  <c r="O301" i="2"/>
  <c r="N301" i="2"/>
  <c r="M301" i="2"/>
  <c r="L301" i="2"/>
  <c r="K301" i="2"/>
  <c r="J301" i="2"/>
  <c r="P300" i="2"/>
  <c r="O300" i="2"/>
  <c r="N300" i="2"/>
  <c r="M300" i="2"/>
  <c r="L300" i="2"/>
  <c r="K300" i="2"/>
  <c r="J300" i="2"/>
  <c r="P299" i="2"/>
  <c r="O299" i="2"/>
  <c r="N299" i="2"/>
  <c r="M299" i="2"/>
  <c r="L299" i="2"/>
  <c r="K299" i="2"/>
  <c r="J299" i="2"/>
  <c r="P298" i="2"/>
  <c r="O298" i="2"/>
  <c r="N298" i="2"/>
  <c r="M298" i="2"/>
  <c r="L298" i="2"/>
  <c r="K298" i="2"/>
  <c r="J298" i="2"/>
  <c r="P297" i="2"/>
  <c r="O297" i="2"/>
  <c r="N297" i="2"/>
  <c r="M297" i="2"/>
  <c r="L297" i="2"/>
  <c r="K297" i="2"/>
  <c r="J297" i="2"/>
  <c r="P296" i="2"/>
  <c r="O296" i="2"/>
  <c r="N296" i="2"/>
  <c r="M296" i="2"/>
  <c r="L296" i="2"/>
  <c r="K296" i="2"/>
  <c r="J296" i="2"/>
  <c r="P295" i="2"/>
  <c r="O295" i="2"/>
  <c r="N295" i="2"/>
  <c r="M295" i="2"/>
  <c r="L295" i="2"/>
  <c r="K295" i="2"/>
  <c r="J295" i="2"/>
  <c r="P294" i="2"/>
  <c r="O294" i="2"/>
  <c r="N294" i="2"/>
  <c r="M294" i="2"/>
  <c r="L294" i="2"/>
  <c r="K294" i="2"/>
  <c r="J294" i="2"/>
  <c r="P293" i="2"/>
  <c r="O293" i="2"/>
  <c r="N293" i="2"/>
  <c r="M293" i="2"/>
  <c r="L293" i="2"/>
  <c r="K293" i="2"/>
  <c r="J293" i="2"/>
  <c r="P292" i="2"/>
  <c r="O292" i="2"/>
  <c r="N292" i="2"/>
  <c r="M292" i="2"/>
  <c r="L292" i="2"/>
  <c r="K292" i="2"/>
  <c r="J292" i="2"/>
  <c r="P291" i="2"/>
  <c r="O291" i="2"/>
  <c r="N291" i="2"/>
  <c r="M291" i="2"/>
  <c r="L291" i="2"/>
  <c r="K291" i="2"/>
  <c r="J291" i="2"/>
  <c r="P290" i="2"/>
  <c r="O290" i="2"/>
  <c r="N290" i="2"/>
  <c r="M290" i="2"/>
  <c r="L290" i="2"/>
  <c r="K290" i="2"/>
  <c r="J290" i="2"/>
  <c r="P289" i="2"/>
  <c r="O289" i="2"/>
  <c r="N289" i="2"/>
  <c r="M289" i="2"/>
  <c r="L289" i="2"/>
  <c r="K289" i="2"/>
  <c r="J289" i="2"/>
  <c r="P288" i="2"/>
  <c r="O288" i="2"/>
  <c r="N288" i="2"/>
  <c r="M288" i="2"/>
  <c r="L288" i="2"/>
  <c r="K288" i="2"/>
  <c r="J288" i="2"/>
  <c r="P287" i="2"/>
  <c r="O287" i="2"/>
  <c r="N287" i="2"/>
  <c r="M287" i="2"/>
  <c r="L287" i="2"/>
  <c r="K287" i="2"/>
  <c r="J287" i="2"/>
  <c r="P286" i="2"/>
  <c r="O286" i="2"/>
  <c r="N286" i="2"/>
  <c r="M286" i="2"/>
  <c r="L286" i="2"/>
  <c r="K286" i="2"/>
  <c r="J286" i="2"/>
  <c r="P285" i="2"/>
  <c r="O285" i="2"/>
  <c r="N285" i="2"/>
  <c r="M285" i="2"/>
  <c r="L285" i="2"/>
  <c r="K285" i="2"/>
  <c r="J285" i="2"/>
  <c r="P284" i="2"/>
  <c r="O284" i="2"/>
  <c r="N284" i="2"/>
  <c r="M284" i="2"/>
  <c r="L284" i="2"/>
  <c r="K284" i="2"/>
  <c r="J284" i="2"/>
  <c r="P283" i="2"/>
  <c r="O283" i="2"/>
  <c r="N283" i="2"/>
  <c r="M283" i="2"/>
  <c r="L283" i="2"/>
  <c r="K283" i="2"/>
  <c r="J283" i="2"/>
  <c r="P282" i="2"/>
  <c r="O282" i="2"/>
  <c r="N282" i="2"/>
  <c r="M282" i="2"/>
  <c r="L282" i="2"/>
  <c r="K282" i="2"/>
  <c r="J282" i="2"/>
  <c r="P281" i="2"/>
  <c r="O281" i="2"/>
  <c r="N281" i="2"/>
  <c r="M281" i="2"/>
  <c r="L281" i="2"/>
  <c r="K281" i="2"/>
  <c r="J281" i="2"/>
  <c r="P280" i="2"/>
  <c r="O280" i="2"/>
  <c r="N280" i="2"/>
  <c r="M280" i="2"/>
  <c r="L280" i="2"/>
  <c r="K280" i="2"/>
  <c r="J280" i="2"/>
  <c r="P279" i="2"/>
  <c r="O279" i="2"/>
  <c r="N279" i="2"/>
  <c r="M279" i="2"/>
  <c r="L279" i="2"/>
  <c r="K279" i="2"/>
  <c r="J279" i="2"/>
  <c r="P278" i="2"/>
  <c r="O278" i="2"/>
  <c r="N278" i="2"/>
  <c r="M278" i="2"/>
  <c r="L278" i="2"/>
  <c r="K278" i="2"/>
  <c r="J278" i="2"/>
  <c r="P277" i="2"/>
  <c r="O277" i="2"/>
  <c r="N277" i="2"/>
  <c r="M277" i="2"/>
  <c r="L277" i="2"/>
  <c r="K277" i="2"/>
  <c r="J277" i="2"/>
  <c r="P276" i="2"/>
  <c r="O276" i="2"/>
  <c r="N276" i="2"/>
  <c r="M276" i="2"/>
  <c r="L276" i="2"/>
  <c r="K276" i="2"/>
  <c r="J276" i="2"/>
  <c r="P275" i="2"/>
  <c r="O275" i="2"/>
  <c r="N275" i="2"/>
  <c r="M275" i="2"/>
  <c r="L275" i="2"/>
  <c r="K275" i="2"/>
  <c r="J275" i="2"/>
  <c r="P274" i="2"/>
  <c r="O274" i="2"/>
  <c r="N274" i="2"/>
  <c r="M274" i="2"/>
  <c r="L274" i="2"/>
  <c r="K274" i="2"/>
  <c r="J274" i="2"/>
  <c r="P273" i="2"/>
  <c r="O273" i="2"/>
  <c r="N273" i="2"/>
  <c r="M273" i="2"/>
  <c r="L273" i="2"/>
  <c r="K273" i="2"/>
  <c r="J273" i="2"/>
  <c r="P272" i="2"/>
  <c r="O272" i="2"/>
  <c r="N272" i="2"/>
  <c r="M272" i="2"/>
  <c r="L272" i="2"/>
  <c r="K272" i="2"/>
  <c r="J272" i="2"/>
  <c r="P271" i="2"/>
  <c r="O271" i="2"/>
  <c r="N271" i="2"/>
  <c r="M271" i="2"/>
  <c r="L271" i="2"/>
  <c r="K271" i="2"/>
  <c r="J271" i="2"/>
  <c r="P270" i="2"/>
  <c r="O270" i="2"/>
  <c r="N270" i="2"/>
  <c r="M270" i="2"/>
  <c r="L270" i="2"/>
  <c r="K270" i="2"/>
  <c r="J270" i="2"/>
  <c r="P269" i="2"/>
  <c r="O269" i="2"/>
  <c r="N269" i="2"/>
  <c r="M269" i="2"/>
  <c r="L269" i="2"/>
  <c r="K269" i="2"/>
  <c r="J269" i="2"/>
  <c r="P268" i="2"/>
  <c r="O268" i="2"/>
  <c r="N268" i="2"/>
  <c r="M268" i="2"/>
  <c r="L268" i="2"/>
  <c r="K268" i="2"/>
  <c r="J268" i="2"/>
  <c r="P267" i="2"/>
  <c r="O267" i="2"/>
  <c r="N267" i="2"/>
  <c r="M267" i="2"/>
  <c r="L267" i="2"/>
  <c r="K267" i="2"/>
  <c r="J267" i="2"/>
  <c r="P266" i="2"/>
  <c r="O266" i="2"/>
  <c r="N266" i="2"/>
  <c r="M266" i="2"/>
  <c r="L266" i="2"/>
  <c r="K266" i="2"/>
  <c r="J266" i="2"/>
  <c r="P265" i="2"/>
  <c r="O265" i="2"/>
  <c r="N265" i="2"/>
  <c r="M265" i="2"/>
  <c r="L265" i="2"/>
  <c r="K265" i="2"/>
  <c r="J265" i="2"/>
  <c r="P264" i="2"/>
  <c r="O264" i="2"/>
  <c r="N264" i="2"/>
  <c r="M264" i="2"/>
  <c r="L264" i="2"/>
  <c r="K264" i="2"/>
  <c r="J264" i="2"/>
  <c r="P263" i="2"/>
  <c r="O263" i="2"/>
  <c r="N263" i="2"/>
  <c r="M263" i="2"/>
  <c r="L263" i="2"/>
  <c r="K263" i="2"/>
  <c r="J263" i="2"/>
  <c r="P262" i="2"/>
  <c r="O262" i="2"/>
  <c r="N262" i="2"/>
  <c r="M262" i="2"/>
  <c r="L262" i="2"/>
  <c r="K262" i="2"/>
  <c r="J262" i="2"/>
  <c r="P261" i="2"/>
  <c r="O261" i="2"/>
  <c r="N261" i="2"/>
  <c r="M261" i="2"/>
  <c r="L261" i="2"/>
  <c r="K261" i="2"/>
  <c r="J261" i="2"/>
  <c r="P260" i="2"/>
  <c r="O260" i="2"/>
  <c r="N260" i="2"/>
  <c r="M260" i="2"/>
  <c r="L260" i="2"/>
  <c r="K260" i="2"/>
  <c r="J260" i="2"/>
  <c r="P259" i="2"/>
  <c r="O259" i="2"/>
  <c r="N259" i="2"/>
  <c r="M259" i="2"/>
  <c r="L259" i="2"/>
  <c r="K259" i="2"/>
  <c r="J259" i="2"/>
  <c r="P258" i="2"/>
  <c r="O258" i="2"/>
  <c r="N258" i="2"/>
  <c r="M258" i="2"/>
  <c r="L258" i="2"/>
  <c r="K258" i="2"/>
  <c r="J258" i="2"/>
  <c r="P257" i="2"/>
  <c r="O257" i="2"/>
  <c r="N257" i="2"/>
  <c r="M257" i="2"/>
  <c r="L257" i="2"/>
  <c r="K257" i="2"/>
  <c r="J257" i="2"/>
  <c r="P256" i="2"/>
  <c r="O256" i="2"/>
  <c r="N256" i="2"/>
  <c r="M256" i="2"/>
  <c r="L256" i="2"/>
  <c r="K256" i="2"/>
  <c r="J256" i="2"/>
  <c r="P255" i="2"/>
  <c r="O255" i="2"/>
  <c r="N255" i="2"/>
  <c r="M255" i="2"/>
  <c r="L255" i="2"/>
  <c r="K255" i="2"/>
  <c r="J255" i="2"/>
  <c r="P254" i="2"/>
  <c r="O254" i="2"/>
  <c r="N254" i="2"/>
  <c r="M254" i="2"/>
  <c r="L254" i="2"/>
  <c r="K254" i="2"/>
  <c r="J254" i="2"/>
  <c r="P253" i="2"/>
  <c r="O253" i="2"/>
  <c r="N253" i="2"/>
  <c r="M253" i="2"/>
  <c r="L253" i="2"/>
  <c r="K253" i="2"/>
  <c r="J253" i="2"/>
  <c r="P252" i="2"/>
  <c r="O252" i="2"/>
  <c r="N252" i="2"/>
  <c r="M252" i="2"/>
  <c r="L252" i="2"/>
  <c r="K252" i="2"/>
  <c r="J252" i="2"/>
  <c r="P251" i="2"/>
  <c r="O251" i="2"/>
  <c r="N251" i="2"/>
  <c r="M251" i="2"/>
  <c r="L251" i="2"/>
  <c r="K251" i="2"/>
  <c r="J251" i="2"/>
  <c r="P250" i="2"/>
  <c r="O250" i="2"/>
  <c r="N250" i="2"/>
  <c r="M250" i="2"/>
  <c r="L250" i="2"/>
  <c r="K250" i="2"/>
  <c r="J250" i="2"/>
  <c r="P249" i="2"/>
  <c r="O249" i="2"/>
  <c r="N249" i="2"/>
  <c r="M249" i="2"/>
  <c r="L249" i="2"/>
  <c r="K249" i="2"/>
  <c r="J249" i="2"/>
  <c r="P248" i="2"/>
  <c r="O248" i="2"/>
  <c r="N248" i="2"/>
  <c r="M248" i="2"/>
  <c r="L248" i="2"/>
  <c r="K248" i="2"/>
  <c r="J248" i="2"/>
  <c r="P247" i="2"/>
  <c r="O247" i="2"/>
  <c r="N247" i="2"/>
  <c r="M247" i="2"/>
  <c r="L247" i="2"/>
  <c r="K247" i="2"/>
  <c r="J247" i="2"/>
  <c r="P246" i="2"/>
  <c r="O246" i="2"/>
  <c r="N246" i="2"/>
  <c r="M246" i="2"/>
  <c r="L246" i="2"/>
  <c r="K246" i="2"/>
  <c r="J246" i="2"/>
  <c r="P245" i="2"/>
  <c r="O245" i="2"/>
  <c r="N245" i="2"/>
  <c r="M245" i="2"/>
  <c r="L245" i="2"/>
  <c r="K245" i="2"/>
  <c r="J245" i="2"/>
  <c r="P244" i="2"/>
  <c r="O244" i="2"/>
  <c r="N244" i="2"/>
  <c r="M244" i="2"/>
  <c r="L244" i="2"/>
  <c r="K244" i="2"/>
  <c r="J244" i="2"/>
  <c r="P243" i="2"/>
  <c r="O243" i="2"/>
  <c r="N243" i="2"/>
  <c r="M243" i="2"/>
  <c r="L243" i="2"/>
  <c r="K243" i="2"/>
  <c r="J243" i="2"/>
  <c r="P242" i="2"/>
  <c r="O242" i="2"/>
  <c r="N242" i="2"/>
  <c r="M242" i="2"/>
  <c r="L242" i="2"/>
  <c r="K242" i="2"/>
  <c r="J242" i="2"/>
  <c r="P241" i="2"/>
  <c r="O241" i="2"/>
  <c r="N241" i="2"/>
  <c r="M241" i="2"/>
  <c r="L241" i="2"/>
  <c r="K241" i="2"/>
  <c r="J241" i="2"/>
  <c r="P240" i="2"/>
  <c r="O240" i="2"/>
  <c r="N240" i="2"/>
  <c r="M240" i="2"/>
  <c r="L240" i="2"/>
  <c r="K240" i="2"/>
  <c r="J240" i="2"/>
  <c r="P239" i="2"/>
  <c r="O239" i="2"/>
  <c r="N239" i="2"/>
  <c r="M239" i="2"/>
  <c r="L239" i="2"/>
  <c r="K239" i="2"/>
  <c r="J239" i="2"/>
  <c r="P238" i="2"/>
  <c r="O238" i="2"/>
  <c r="N238" i="2"/>
  <c r="M238" i="2"/>
  <c r="L238" i="2"/>
  <c r="K238" i="2"/>
  <c r="J238" i="2"/>
  <c r="P237" i="2"/>
  <c r="O237" i="2"/>
  <c r="N237" i="2"/>
  <c r="M237" i="2"/>
  <c r="L237" i="2"/>
  <c r="K237" i="2"/>
  <c r="J237" i="2"/>
  <c r="P236" i="2"/>
  <c r="O236" i="2"/>
  <c r="N236" i="2"/>
  <c r="M236" i="2"/>
  <c r="L236" i="2"/>
  <c r="K236" i="2"/>
  <c r="J236" i="2"/>
  <c r="P235" i="2"/>
  <c r="O235" i="2"/>
  <c r="N235" i="2"/>
  <c r="M235" i="2"/>
  <c r="L235" i="2"/>
  <c r="K235" i="2"/>
  <c r="J235" i="2"/>
  <c r="P234" i="2"/>
  <c r="O234" i="2"/>
  <c r="N234" i="2"/>
  <c r="M234" i="2"/>
  <c r="L234" i="2"/>
  <c r="K234" i="2"/>
  <c r="J234" i="2"/>
  <c r="P233" i="2"/>
  <c r="O233" i="2"/>
  <c r="N233" i="2"/>
  <c r="M233" i="2"/>
  <c r="L233" i="2"/>
  <c r="K233" i="2"/>
  <c r="J233" i="2"/>
  <c r="P232" i="2"/>
  <c r="O232" i="2"/>
  <c r="N232" i="2"/>
  <c r="M232" i="2"/>
  <c r="L232" i="2"/>
  <c r="K232" i="2"/>
  <c r="J232" i="2"/>
  <c r="P231" i="2"/>
  <c r="O231" i="2"/>
  <c r="N231" i="2"/>
  <c r="M231" i="2"/>
  <c r="L231" i="2"/>
  <c r="K231" i="2"/>
  <c r="J231" i="2"/>
  <c r="P230" i="2"/>
  <c r="O230" i="2"/>
  <c r="N230" i="2"/>
  <c r="M230" i="2"/>
  <c r="L230" i="2"/>
  <c r="K230" i="2"/>
  <c r="J230" i="2"/>
  <c r="P229" i="2"/>
  <c r="O229" i="2"/>
  <c r="N229" i="2"/>
  <c r="M229" i="2"/>
  <c r="L229" i="2"/>
  <c r="K229" i="2"/>
  <c r="J229" i="2"/>
  <c r="P228" i="2"/>
  <c r="O228" i="2"/>
  <c r="N228" i="2"/>
  <c r="M228" i="2"/>
  <c r="L228" i="2"/>
  <c r="K228" i="2"/>
  <c r="J228" i="2"/>
  <c r="P227" i="2"/>
  <c r="O227" i="2"/>
  <c r="N227" i="2"/>
  <c r="M227" i="2"/>
  <c r="L227" i="2"/>
  <c r="K227" i="2"/>
  <c r="J227" i="2"/>
  <c r="P226" i="2"/>
  <c r="O226" i="2"/>
  <c r="N226" i="2"/>
  <c r="M226" i="2"/>
  <c r="L226" i="2"/>
  <c r="K226" i="2"/>
  <c r="J226" i="2"/>
  <c r="P225" i="2"/>
  <c r="O225" i="2"/>
  <c r="N225" i="2"/>
  <c r="M225" i="2"/>
  <c r="L225" i="2"/>
  <c r="K225" i="2"/>
  <c r="J225" i="2"/>
  <c r="P224" i="2"/>
  <c r="O224" i="2"/>
  <c r="N224" i="2"/>
  <c r="M224" i="2"/>
  <c r="L224" i="2"/>
  <c r="K224" i="2"/>
  <c r="J224" i="2"/>
  <c r="P223" i="2"/>
  <c r="O223" i="2"/>
  <c r="N223" i="2"/>
  <c r="M223" i="2"/>
  <c r="L223" i="2"/>
  <c r="K223" i="2"/>
  <c r="J223" i="2"/>
  <c r="P222" i="2"/>
  <c r="O222" i="2"/>
  <c r="N222" i="2"/>
  <c r="M222" i="2"/>
  <c r="L222" i="2"/>
  <c r="K222" i="2"/>
  <c r="J222" i="2"/>
  <c r="P221" i="2"/>
  <c r="O221" i="2"/>
  <c r="N221" i="2"/>
  <c r="M221" i="2"/>
  <c r="L221" i="2"/>
  <c r="K221" i="2"/>
  <c r="J221" i="2"/>
  <c r="P220" i="2"/>
  <c r="O220" i="2"/>
  <c r="N220" i="2"/>
  <c r="M220" i="2"/>
  <c r="L220" i="2"/>
  <c r="K220" i="2"/>
  <c r="J220" i="2"/>
  <c r="P219" i="2"/>
  <c r="O219" i="2"/>
  <c r="N219" i="2"/>
  <c r="M219" i="2"/>
  <c r="L219" i="2"/>
  <c r="K219" i="2"/>
  <c r="J219" i="2"/>
  <c r="P218" i="2"/>
  <c r="O218" i="2"/>
  <c r="N218" i="2"/>
  <c r="M218" i="2"/>
  <c r="L218" i="2"/>
  <c r="K218" i="2"/>
  <c r="J218" i="2"/>
  <c r="P217" i="2"/>
  <c r="O217" i="2"/>
  <c r="N217" i="2"/>
  <c r="M217" i="2"/>
  <c r="L217" i="2"/>
  <c r="K217" i="2"/>
  <c r="J217" i="2"/>
  <c r="P216" i="2"/>
  <c r="O216" i="2"/>
  <c r="N216" i="2"/>
  <c r="M216" i="2"/>
  <c r="L216" i="2"/>
  <c r="K216" i="2"/>
  <c r="J216" i="2"/>
  <c r="P215" i="2"/>
  <c r="O215" i="2"/>
  <c r="N215" i="2"/>
  <c r="M215" i="2"/>
  <c r="L215" i="2"/>
  <c r="K215" i="2"/>
  <c r="J215" i="2"/>
  <c r="P214" i="2"/>
  <c r="O214" i="2"/>
  <c r="N214" i="2"/>
  <c r="M214" i="2"/>
  <c r="L214" i="2"/>
  <c r="K214" i="2"/>
  <c r="J214" i="2"/>
  <c r="P213" i="2"/>
  <c r="O213" i="2"/>
  <c r="N213" i="2"/>
  <c r="M213" i="2"/>
  <c r="L213" i="2"/>
  <c r="K213" i="2"/>
  <c r="J213" i="2"/>
  <c r="P212" i="2"/>
  <c r="O212" i="2"/>
  <c r="N212" i="2"/>
  <c r="M212" i="2"/>
  <c r="L212" i="2"/>
  <c r="K212" i="2"/>
  <c r="J212" i="2"/>
  <c r="P211" i="2"/>
  <c r="O211" i="2"/>
  <c r="N211" i="2"/>
  <c r="M211" i="2"/>
  <c r="L211" i="2"/>
  <c r="K211" i="2"/>
  <c r="J211" i="2"/>
  <c r="P210" i="2"/>
  <c r="O210" i="2"/>
  <c r="N210" i="2"/>
  <c r="M210" i="2"/>
  <c r="L210" i="2"/>
  <c r="K210" i="2"/>
  <c r="J210" i="2"/>
  <c r="P209" i="2"/>
  <c r="O209" i="2"/>
  <c r="N209" i="2"/>
  <c r="M209" i="2"/>
  <c r="L209" i="2"/>
  <c r="K209" i="2"/>
  <c r="J209" i="2"/>
  <c r="P208" i="2"/>
  <c r="O208" i="2"/>
  <c r="N208" i="2"/>
  <c r="M208" i="2"/>
  <c r="L208" i="2"/>
  <c r="K208" i="2"/>
  <c r="J208" i="2"/>
  <c r="P207" i="2"/>
  <c r="O207" i="2"/>
  <c r="N207" i="2"/>
  <c r="M207" i="2"/>
  <c r="L207" i="2"/>
  <c r="K207" i="2"/>
  <c r="J207" i="2"/>
  <c r="P206" i="2"/>
  <c r="O206" i="2"/>
  <c r="N206" i="2"/>
  <c r="M206" i="2"/>
  <c r="L206" i="2"/>
  <c r="K206" i="2"/>
  <c r="J206" i="2"/>
  <c r="P205" i="2"/>
  <c r="O205" i="2"/>
  <c r="N205" i="2"/>
  <c r="M205" i="2"/>
  <c r="L205" i="2"/>
  <c r="K205" i="2"/>
  <c r="J205" i="2"/>
  <c r="P204" i="2"/>
  <c r="O204" i="2"/>
  <c r="N204" i="2"/>
  <c r="M204" i="2"/>
  <c r="L204" i="2"/>
  <c r="K204" i="2"/>
  <c r="J204" i="2"/>
  <c r="P203" i="2"/>
  <c r="O203" i="2"/>
  <c r="N203" i="2"/>
  <c r="M203" i="2"/>
  <c r="L203" i="2"/>
  <c r="K203" i="2"/>
  <c r="J203" i="2"/>
  <c r="P202" i="2"/>
  <c r="O202" i="2"/>
  <c r="N202" i="2"/>
  <c r="M202" i="2"/>
  <c r="L202" i="2"/>
  <c r="K202" i="2"/>
  <c r="J202" i="2"/>
  <c r="P201" i="2"/>
  <c r="O201" i="2"/>
  <c r="N201" i="2"/>
  <c r="M201" i="2"/>
  <c r="L201" i="2"/>
  <c r="K201" i="2"/>
  <c r="J201" i="2"/>
  <c r="P200" i="2"/>
  <c r="O200" i="2"/>
  <c r="N200" i="2"/>
  <c r="M200" i="2"/>
  <c r="L200" i="2"/>
  <c r="K200" i="2"/>
  <c r="J200" i="2"/>
  <c r="P199" i="2"/>
  <c r="O199" i="2"/>
  <c r="N199" i="2"/>
  <c r="M199" i="2"/>
  <c r="L199" i="2"/>
  <c r="K199" i="2"/>
  <c r="J199" i="2"/>
  <c r="P198" i="2"/>
  <c r="O198" i="2"/>
  <c r="N198" i="2"/>
  <c r="M198" i="2"/>
  <c r="L198" i="2"/>
  <c r="K198" i="2"/>
  <c r="J198" i="2"/>
  <c r="P197" i="2"/>
  <c r="O197" i="2"/>
  <c r="N197" i="2"/>
  <c r="M197" i="2"/>
  <c r="L197" i="2"/>
  <c r="K197" i="2"/>
  <c r="J197" i="2"/>
  <c r="P196" i="2"/>
  <c r="O196" i="2"/>
  <c r="N196" i="2"/>
  <c r="M196" i="2"/>
  <c r="L196" i="2"/>
  <c r="K196" i="2"/>
  <c r="J196" i="2"/>
  <c r="P195" i="2"/>
  <c r="O195" i="2"/>
  <c r="N195" i="2"/>
  <c r="M195" i="2"/>
  <c r="L195" i="2"/>
  <c r="K195" i="2"/>
  <c r="J195" i="2"/>
  <c r="P194" i="2"/>
  <c r="O194" i="2"/>
  <c r="N194" i="2"/>
  <c r="M194" i="2"/>
  <c r="L194" i="2"/>
  <c r="K194" i="2"/>
  <c r="J194" i="2"/>
  <c r="P193" i="2"/>
  <c r="O193" i="2"/>
  <c r="N193" i="2"/>
  <c r="M193" i="2"/>
  <c r="L193" i="2"/>
  <c r="K193" i="2"/>
  <c r="J193" i="2"/>
  <c r="P192" i="2"/>
  <c r="O192" i="2"/>
  <c r="N192" i="2"/>
  <c r="M192" i="2"/>
  <c r="L192" i="2"/>
  <c r="K192" i="2"/>
  <c r="J192" i="2"/>
  <c r="P191" i="2"/>
  <c r="O191" i="2"/>
  <c r="N191" i="2"/>
  <c r="M191" i="2"/>
  <c r="L191" i="2"/>
  <c r="K191" i="2"/>
  <c r="J191" i="2"/>
  <c r="P190" i="2"/>
  <c r="O190" i="2"/>
  <c r="N190" i="2"/>
  <c r="M190" i="2"/>
  <c r="L190" i="2"/>
  <c r="K190" i="2"/>
  <c r="J190" i="2"/>
  <c r="P189" i="2"/>
  <c r="O189" i="2"/>
  <c r="N189" i="2"/>
  <c r="M189" i="2"/>
  <c r="L189" i="2"/>
  <c r="K189" i="2"/>
  <c r="J189" i="2"/>
  <c r="P188" i="2"/>
  <c r="O188" i="2"/>
  <c r="N188" i="2"/>
  <c r="M188" i="2"/>
  <c r="L188" i="2"/>
  <c r="K188" i="2"/>
  <c r="J188" i="2"/>
  <c r="P187" i="2"/>
  <c r="O187" i="2"/>
  <c r="N187" i="2"/>
  <c r="M187" i="2"/>
  <c r="L187" i="2"/>
  <c r="K187" i="2"/>
  <c r="J187" i="2"/>
  <c r="P186" i="2"/>
  <c r="O186" i="2"/>
  <c r="N186" i="2"/>
  <c r="M186" i="2"/>
  <c r="L186" i="2"/>
  <c r="K186" i="2"/>
  <c r="J186" i="2"/>
  <c r="P185" i="2"/>
  <c r="O185" i="2"/>
  <c r="N185" i="2"/>
  <c r="M185" i="2"/>
  <c r="L185" i="2"/>
  <c r="K185" i="2"/>
  <c r="J185" i="2"/>
  <c r="P184" i="2"/>
  <c r="O184" i="2"/>
  <c r="N184" i="2"/>
  <c r="M184" i="2"/>
  <c r="L184" i="2"/>
  <c r="K184" i="2"/>
  <c r="J184" i="2"/>
  <c r="P183" i="2"/>
  <c r="O183" i="2"/>
  <c r="N183" i="2"/>
  <c r="M183" i="2"/>
  <c r="L183" i="2"/>
  <c r="K183" i="2"/>
  <c r="J183" i="2"/>
  <c r="P182" i="2"/>
  <c r="O182" i="2"/>
  <c r="N182" i="2"/>
  <c r="M182" i="2"/>
  <c r="L182" i="2"/>
  <c r="K182" i="2"/>
  <c r="J182" i="2"/>
  <c r="P181" i="2"/>
  <c r="O181" i="2"/>
  <c r="N181" i="2"/>
  <c r="M181" i="2"/>
  <c r="L181" i="2"/>
  <c r="K181" i="2"/>
  <c r="J181" i="2"/>
  <c r="P180" i="2"/>
  <c r="O180" i="2"/>
  <c r="N180" i="2"/>
  <c r="M180" i="2"/>
  <c r="L180" i="2"/>
  <c r="K180" i="2"/>
  <c r="J180" i="2"/>
  <c r="P179" i="2"/>
  <c r="O179" i="2"/>
  <c r="N179" i="2"/>
  <c r="M179" i="2"/>
  <c r="L179" i="2"/>
  <c r="K179" i="2"/>
  <c r="J179" i="2"/>
  <c r="P178" i="2"/>
  <c r="O178" i="2"/>
  <c r="N178" i="2"/>
  <c r="M178" i="2"/>
  <c r="L178" i="2"/>
  <c r="K178" i="2"/>
  <c r="J178" i="2"/>
  <c r="P177" i="2"/>
  <c r="O177" i="2"/>
  <c r="N177" i="2"/>
  <c r="M177" i="2"/>
  <c r="L177" i="2"/>
  <c r="K177" i="2"/>
  <c r="J177" i="2"/>
  <c r="P176" i="2"/>
  <c r="O176" i="2"/>
  <c r="N176" i="2"/>
  <c r="M176" i="2"/>
  <c r="L176" i="2"/>
  <c r="K176" i="2"/>
  <c r="J176" i="2"/>
  <c r="P175" i="2"/>
  <c r="O175" i="2"/>
  <c r="N175" i="2"/>
  <c r="M175" i="2"/>
  <c r="L175" i="2"/>
  <c r="K175" i="2"/>
  <c r="J175" i="2"/>
  <c r="P174" i="2"/>
  <c r="O174" i="2"/>
  <c r="N174" i="2"/>
  <c r="M174" i="2"/>
  <c r="L174" i="2"/>
  <c r="K174" i="2"/>
  <c r="J174" i="2"/>
  <c r="P173" i="2"/>
  <c r="O173" i="2"/>
  <c r="N173" i="2"/>
  <c r="M173" i="2"/>
  <c r="L173" i="2"/>
  <c r="K173" i="2"/>
  <c r="J173" i="2"/>
  <c r="P172" i="2"/>
  <c r="O172" i="2"/>
  <c r="N172" i="2"/>
  <c r="M172" i="2"/>
  <c r="L172" i="2"/>
  <c r="K172" i="2"/>
  <c r="J172" i="2"/>
  <c r="P171" i="2"/>
  <c r="O171" i="2"/>
  <c r="N171" i="2"/>
  <c r="M171" i="2"/>
  <c r="L171" i="2"/>
  <c r="K171" i="2"/>
  <c r="J171" i="2"/>
  <c r="P170" i="2"/>
  <c r="O170" i="2"/>
  <c r="N170" i="2"/>
  <c r="M170" i="2"/>
  <c r="L170" i="2"/>
  <c r="K170" i="2"/>
  <c r="J170" i="2"/>
  <c r="P169" i="2"/>
  <c r="O169" i="2"/>
  <c r="N169" i="2"/>
  <c r="M169" i="2"/>
  <c r="L169" i="2"/>
  <c r="K169" i="2"/>
  <c r="J169" i="2"/>
  <c r="P168" i="2"/>
  <c r="O168" i="2"/>
  <c r="N168" i="2"/>
  <c r="M168" i="2"/>
  <c r="L168" i="2"/>
  <c r="K168" i="2"/>
  <c r="J168" i="2"/>
  <c r="P167" i="2"/>
  <c r="O167" i="2"/>
  <c r="N167" i="2"/>
  <c r="M167" i="2"/>
  <c r="L167" i="2"/>
  <c r="K167" i="2"/>
  <c r="J167" i="2"/>
  <c r="P166" i="2"/>
  <c r="O166" i="2"/>
  <c r="N166" i="2"/>
  <c r="M166" i="2"/>
  <c r="L166" i="2"/>
  <c r="K166" i="2"/>
  <c r="J166" i="2"/>
  <c r="P165" i="2"/>
  <c r="O165" i="2"/>
  <c r="N165" i="2"/>
  <c r="M165" i="2"/>
  <c r="L165" i="2"/>
  <c r="K165" i="2"/>
  <c r="J165" i="2"/>
  <c r="P164" i="2"/>
  <c r="O164" i="2"/>
  <c r="N164" i="2"/>
  <c r="M164" i="2"/>
  <c r="L164" i="2"/>
  <c r="K164" i="2"/>
  <c r="J164" i="2"/>
  <c r="P163" i="2"/>
  <c r="O163" i="2"/>
  <c r="N163" i="2"/>
  <c r="M163" i="2"/>
  <c r="L163" i="2"/>
  <c r="K163" i="2"/>
  <c r="J163" i="2"/>
  <c r="P162" i="2"/>
  <c r="O162" i="2"/>
  <c r="N162" i="2"/>
  <c r="M162" i="2"/>
  <c r="L162" i="2"/>
  <c r="K162" i="2"/>
  <c r="J162" i="2"/>
  <c r="P161" i="2"/>
  <c r="O161" i="2"/>
  <c r="N161" i="2"/>
  <c r="M161" i="2"/>
  <c r="L161" i="2"/>
  <c r="K161" i="2"/>
  <c r="J161" i="2"/>
  <c r="P160" i="2"/>
  <c r="O160" i="2"/>
  <c r="N160" i="2"/>
  <c r="M160" i="2"/>
  <c r="L160" i="2"/>
  <c r="K160" i="2"/>
  <c r="J160" i="2"/>
  <c r="P159" i="2"/>
  <c r="O159" i="2"/>
  <c r="N159" i="2"/>
  <c r="M159" i="2"/>
  <c r="L159" i="2"/>
  <c r="K159" i="2"/>
  <c r="J159" i="2"/>
  <c r="P158" i="2"/>
  <c r="O158" i="2"/>
  <c r="N158" i="2"/>
  <c r="M158" i="2"/>
  <c r="L158" i="2"/>
  <c r="K158" i="2"/>
  <c r="J158" i="2"/>
  <c r="P157" i="2"/>
  <c r="O157" i="2"/>
  <c r="N157" i="2"/>
  <c r="M157" i="2"/>
  <c r="L157" i="2"/>
  <c r="K157" i="2"/>
  <c r="J157" i="2"/>
  <c r="P156" i="2"/>
  <c r="O156" i="2"/>
  <c r="N156" i="2"/>
  <c r="M156" i="2"/>
  <c r="L156" i="2"/>
  <c r="K156" i="2"/>
  <c r="J156" i="2"/>
  <c r="P155" i="2"/>
  <c r="O155" i="2"/>
  <c r="N155" i="2"/>
  <c r="M155" i="2"/>
  <c r="L155" i="2"/>
  <c r="K155" i="2"/>
  <c r="J155" i="2"/>
  <c r="P154" i="2"/>
  <c r="O154" i="2"/>
  <c r="N154" i="2"/>
  <c r="M154" i="2"/>
  <c r="L154" i="2"/>
  <c r="K154" i="2"/>
  <c r="J154" i="2"/>
  <c r="P153" i="2"/>
  <c r="O153" i="2"/>
  <c r="N153" i="2"/>
  <c r="M153" i="2"/>
  <c r="L153" i="2"/>
  <c r="K153" i="2"/>
  <c r="J153" i="2"/>
  <c r="P152" i="2"/>
  <c r="O152" i="2"/>
  <c r="N152" i="2"/>
  <c r="M152" i="2"/>
  <c r="L152" i="2"/>
  <c r="K152" i="2"/>
  <c r="J152" i="2"/>
  <c r="P151" i="2"/>
  <c r="O151" i="2"/>
  <c r="N151" i="2"/>
  <c r="M151" i="2"/>
  <c r="L151" i="2"/>
  <c r="K151" i="2"/>
  <c r="J151" i="2"/>
  <c r="P150" i="2"/>
  <c r="O150" i="2"/>
  <c r="N150" i="2"/>
  <c r="M150" i="2"/>
  <c r="L150" i="2"/>
  <c r="K150" i="2"/>
  <c r="J150" i="2"/>
  <c r="P149" i="2"/>
  <c r="O149" i="2"/>
  <c r="N149" i="2"/>
  <c r="M149" i="2"/>
  <c r="L149" i="2"/>
  <c r="K149" i="2"/>
  <c r="J149" i="2"/>
  <c r="P148" i="2"/>
  <c r="O148" i="2"/>
  <c r="N148" i="2"/>
  <c r="M148" i="2"/>
  <c r="L148" i="2"/>
  <c r="K148" i="2"/>
  <c r="J148" i="2"/>
  <c r="P147" i="2"/>
  <c r="O147" i="2"/>
  <c r="N147" i="2"/>
  <c r="M147" i="2"/>
  <c r="L147" i="2"/>
  <c r="K147" i="2"/>
  <c r="J147" i="2"/>
  <c r="P146" i="2"/>
  <c r="O146" i="2"/>
  <c r="N146" i="2"/>
  <c r="M146" i="2"/>
  <c r="L146" i="2"/>
  <c r="K146" i="2"/>
  <c r="J146" i="2"/>
  <c r="P145" i="2"/>
  <c r="O145" i="2"/>
  <c r="N145" i="2"/>
  <c r="M145" i="2"/>
  <c r="L145" i="2"/>
  <c r="K145" i="2"/>
  <c r="J145" i="2"/>
  <c r="P144" i="2"/>
  <c r="O144" i="2"/>
  <c r="N144" i="2"/>
  <c r="M144" i="2"/>
  <c r="L144" i="2"/>
  <c r="K144" i="2"/>
  <c r="J144" i="2"/>
  <c r="P143" i="2"/>
  <c r="O143" i="2"/>
  <c r="N143" i="2"/>
  <c r="M143" i="2"/>
  <c r="L143" i="2"/>
  <c r="K143" i="2"/>
  <c r="J143" i="2"/>
  <c r="P142" i="2"/>
  <c r="O142" i="2"/>
  <c r="N142" i="2"/>
  <c r="M142" i="2"/>
  <c r="L142" i="2"/>
  <c r="K142" i="2"/>
  <c r="J142" i="2"/>
  <c r="P141" i="2"/>
  <c r="O141" i="2"/>
  <c r="N141" i="2"/>
  <c r="M141" i="2"/>
  <c r="L141" i="2"/>
  <c r="K141" i="2"/>
  <c r="J141" i="2"/>
  <c r="P140" i="2"/>
  <c r="O140" i="2"/>
  <c r="N140" i="2"/>
  <c r="M140" i="2"/>
  <c r="L140" i="2"/>
  <c r="K140" i="2"/>
  <c r="J140" i="2"/>
  <c r="P139" i="2"/>
  <c r="O139" i="2"/>
  <c r="N139" i="2"/>
  <c r="M139" i="2"/>
  <c r="L139" i="2"/>
  <c r="K139" i="2"/>
  <c r="J139" i="2"/>
  <c r="P138" i="2"/>
  <c r="O138" i="2"/>
  <c r="N138" i="2"/>
  <c r="M138" i="2"/>
  <c r="L138" i="2"/>
  <c r="K138" i="2"/>
  <c r="J138" i="2"/>
  <c r="P137" i="2"/>
  <c r="O137" i="2"/>
  <c r="N137" i="2"/>
  <c r="M137" i="2"/>
  <c r="L137" i="2"/>
  <c r="K137" i="2"/>
  <c r="J137" i="2"/>
  <c r="P136" i="2"/>
  <c r="O136" i="2"/>
  <c r="N136" i="2"/>
  <c r="M136" i="2"/>
  <c r="L136" i="2"/>
  <c r="K136" i="2"/>
  <c r="J136" i="2"/>
  <c r="P135" i="2"/>
  <c r="O135" i="2"/>
  <c r="N135" i="2"/>
  <c r="M135" i="2"/>
  <c r="L135" i="2"/>
  <c r="K135" i="2"/>
  <c r="J135" i="2"/>
  <c r="P134" i="2"/>
  <c r="O134" i="2"/>
  <c r="N134" i="2"/>
  <c r="M134" i="2"/>
  <c r="L134" i="2"/>
  <c r="K134" i="2"/>
  <c r="J134" i="2"/>
  <c r="P133" i="2"/>
  <c r="O133" i="2"/>
  <c r="N133" i="2"/>
  <c r="M133" i="2"/>
  <c r="L133" i="2"/>
  <c r="K133" i="2"/>
  <c r="J133" i="2"/>
  <c r="P132" i="2"/>
  <c r="O132" i="2"/>
  <c r="N132" i="2"/>
  <c r="M132" i="2"/>
  <c r="L132" i="2"/>
  <c r="K132" i="2"/>
  <c r="J132" i="2"/>
  <c r="P131" i="2"/>
  <c r="O131" i="2"/>
  <c r="N131" i="2"/>
  <c r="M131" i="2"/>
  <c r="L131" i="2"/>
  <c r="K131" i="2"/>
  <c r="J131" i="2"/>
  <c r="P130" i="2"/>
  <c r="O130" i="2"/>
  <c r="N130" i="2"/>
  <c r="M130" i="2"/>
  <c r="L130" i="2"/>
  <c r="K130" i="2"/>
  <c r="J130" i="2"/>
  <c r="P129" i="2"/>
  <c r="O129" i="2"/>
  <c r="N129" i="2"/>
  <c r="M129" i="2"/>
  <c r="L129" i="2"/>
  <c r="K129" i="2"/>
  <c r="J129" i="2"/>
  <c r="P128" i="2"/>
  <c r="O128" i="2"/>
  <c r="N128" i="2"/>
  <c r="M128" i="2"/>
  <c r="L128" i="2"/>
  <c r="K128" i="2"/>
  <c r="J128" i="2"/>
  <c r="P127" i="2"/>
  <c r="O127" i="2"/>
  <c r="N127" i="2"/>
  <c r="M127" i="2"/>
  <c r="L127" i="2"/>
  <c r="K127" i="2"/>
  <c r="J127" i="2"/>
  <c r="P126" i="2"/>
  <c r="O126" i="2"/>
  <c r="N126" i="2"/>
  <c r="M126" i="2"/>
  <c r="L126" i="2"/>
  <c r="K126" i="2"/>
  <c r="J126" i="2"/>
  <c r="P125" i="2"/>
  <c r="O125" i="2"/>
  <c r="N125" i="2"/>
  <c r="M125" i="2"/>
  <c r="L125" i="2"/>
  <c r="K125" i="2"/>
  <c r="J125" i="2"/>
  <c r="P124" i="2"/>
  <c r="O124" i="2"/>
  <c r="N124" i="2"/>
  <c r="M124" i="2"/>
  <c r="L124" i="2"/>
  <c r="K124" i="2"/>
  <c r="J124" i="2"/>
  <c r="P123" i="2"/>
  <c r="O123" i="2"/>
  <c r="N123" i="2"/>
  <c r="M123" i="2"/>
  <c r="L123" i="2"/>
  <c r="K123" i="2"/>
  <c r="J123" i="2"/>
  <c r="P122" i="2"/>
  <c r="O122" i="2"/>
  <c r="N122" i="2"/>
  <c r="M122" i="2"/>
  <c r="L122" i="2"/>
  <c r="K122" i="2"/>
  <c r="J122" i="2"/>
  <c r="P121" i="2"/>
  <c r="O121" i="2"/>
  <c r="N121" i="2"/>
  <c r="M121" i="2"/>
  <c r="L121" i="2"/>
  <c r="K121" i="2"/>
  <c r="J121" i="2"/>
  <c r="P120" i="2"/>
  <c r="O120" i="2"/>
  <c r="N120" i="2"/>
  <c r="M120" i="2"/>
  <c r="L120" i="2"/>
  <c r="K120" i="2"/>
  <c r="J120" i="2"/>
  <c r="P119" i="2"/>
  <c r="O119" i="2"/>
  <c r="N119" i="2"/>
  <c r="M119" i="2"/>
  <c r="L119" i="2"/>
  <c r="K119" i="2"/>
  <c r="J119" i="2"/>
  <c r="P118" i="2"/>
  <c r="O118" i="2"/>
  <c r="N118" i="2"/>
  <c r="M118" i="2"/>
  <c r="L118" i="2"/>
  <c r="K118" i="2"/>
  <c r="J118" i="2"/>
  <c r="P117" i="2"/>
  <c r="O117" i="2"/>
  <c r="N117" i="2"/>
  <c r="M117" i="2"/>
  <c r="L117" i="2"/>
  <c r="K117" i="2"/>
  <c r="J117" i="2"/>
  <c r="P116" i="2"/>
  <c r="O116" i="2"/>
  <c r="N116" i="2"/>
  <c r="M116" i="2"/>
  <c r="L116" i="2"/>
  <c r="K116" i="2"/>
  <c r="J116" i="2"/>
  <c r="P115" i="2"/>
  <c r="O115" i="2"/>
  <c r="N115" i="2"/>
  <c r="M115" i="2"/>
  <c r="L115" i="2"/>
  <c r="K115" i="2"/>
  <c r="J115" i="2"/>
  <c r="P114" i="2"/>
  <c r="O114" i="2"/>
  <c r="N114" i="2"/>
  <c r="M114" i="2"/>
  <c r="L114" i="2"/>
  <c r="K114" i="2"/>
  <c r="J114" i="2"/>
  <c r="P113" i="2"/>
  <c r="O113" i="2"/>
  <c r="N113" i="2"/>
  <c r="M113" i="2"/>
  <c r="L113" i="2"/>
  <c r="K113" i="2"/>
  <c r="J113" i="2"/>
  <c r="P112" i="2"/>
  <c r="O112" i="2"/>
  <c r="N112" i="2"/>
  <c r="M112" i="2"/>
  <c r="L112" i="2"/>
  <c r="K112" i="2"/>
  <c r="J112" i="2"/>
  <c r="P111" i="2"/>
  <c r="O111" i="2"/>
  <c r="N111" i="2"/>
  <c r="M111" i="2"/>
  <c r="L111" i="2"/>
  <c r="K111" i="2"/>
  <c r="J111" i="2"/>
  <c r="P110" i="2"/>
  <c r="O110" i="2"/>
  <c r="N110" i="2"/>
  <c r="M110" i="2"/>
  <c r="L110" i="2"/>
  <c r="K110" i="2"/>
  <c r="J110" i="2"/>
  <c r="P109" i="2"/>
  <c r="O109" i="2"/>
  <c r="N109" i="2"/>
  <c r="M109" i="2"/>
  <c r="L109" i="2"/>
  <c r="K109" i="2"/>
  <c r="J109" i="2"/>
  <c r="P108" i="2"/>
  <c r="O108" i="2"/>
  <c r="N108" i="2"/>
  <c r="M108" i="2"/>
  <c r="L108" i="2"/>
  <c r="K108" i="2"/>
  <c r="J108" i="2"/>
  <c r="P107" i="2"/>
  <c r="O107" i="2"/>
  <c r="N107" i="2"/>
  <c r="M107" i="2"/>
  <c r="L107" i="2"/>
  <c r="K107" i="2"/>
  <c r="J107" i="2"/>
  <c r="P106" i="2"/>
  <c r="O106" i="2"/>
  <c r="N106" i="2"/>
  <c r="M106" i="2"/>
  <c r="L106" i="2"/>
  <c r="K106" i="2"/>
  <c r="J106" i="2"/>
  <c r="P105" i="2"/>
  <c r="O105" i="2"/>
  <c r="N105" i="2"/>
  <c r="M105" i="2"/>
  <c r="L105" i="2"/>
  <c r="K105" i="2"/>
  <c r="J105" i="2"/>
  <c r="P104" i="2"/>
  <c r="O104" i="2"/>
  <c r="N104" i="2"/>
  <c r="M104" i="2"/>
  <c r="L104" i="2"/>
  <c r="K104" i="2"/>
  <c r="J104" i="2"/>
  <c r="P103" i="2"/>
  <c r="O103" i="2"/>
  <c r="N103" i="2"/>
  <c r="M103" i="2"/>
  <c r="L103" i="2"/>
  <c r="K103" i="2"/>
  <c r="J103" i="2"/>
  <c r="P102" i="2"/>
  <c r="O102" i="2"/>
  <c r="N102" i="2"/>
  <c r="M102" i="2"/>
  <c r="L102" i="2"/>
  <c r="K102" i="2"/>
  <c r="J102" i="2"/>
  <c r="P101" i="2"/>
  <c r="O101" i="2"/>
  <c r="N101" i="2"/>
  <c r="M101" i="2"/>
  <c r="L101" i="2"/>
  <c r="K101" i="2"/>
  <c r="J101" i="2"/>
  <c r="P100" i="2"/>
  <c r="O100" i="2"/>
  <c r="N100" i="2"/>
  <c r="M100" i="2"/>
  <c r="L100" i="2"/>
  <c r="K100" i="2"/>
  <c r="J100" i="2"/>
  <c r="P99" i="2"/>
  <c r="O99" i="2"/>
  <c r="N99" i="2"/>
  <c r="M99" i="2"/>
  <c r="L99" i="2"/>
  <c r="K99" i="2"/>
  <c r="J99" i="2"/>
  <c r="P98" i="2"/>
  <c r="O98" i="2"/>
  <c r="N98" i="2"/>
  <c r="M98" i="2"/>
  <c r="L98" i="2"/>
  <c r="K98" i="2"/>
  <c r="J98" i="2"/>
  <c r="P97" i="2"/>
  <c r="O97" i="2"/>
  <c r="N97" i="2"/>
  <c r="M97" i="2"/>
  <c r="L97" i="2"/>
  <c r="K97" i="2"/>
  <c r="J97" i="2"/>
  <c r="P96" i="2"/>
  <c r="O96" i="2"/>
  <c r="N96" i="2"/>
  <c r="M96" i="2"/>
  <c r="L96" i="2"/>
  <c r="K96" i="2"/>
  <c r="J96" i="2"/>
  <c r="P95" i="2"/>
  <c r="O95" i="2"/>
  <c r="N95" i="2"/>
  <c r="M95" i="2"/>
  <c r="L95" i="2"/>
  <c r="K95" i="2"/>
  <c r="J95" i="2"/>
  <c r="P94" i="2"/>
  <c r="O94" i="2"/>
  <c r="N94" i="2"/>
  <c r="M94" i="2"/>
  <c r="L94" i="2"/>
  <c r="K94" i="2"/>
  <c r="J94" i="2"/>
  <c r="P93" i="2"/>
  <c r="O93" i="2"/>
  <c r="N93" i="2"/>
  <c r="M93" i="2"/>
  <c r="L93" i="2"/>
  <c r="K93" i="2"/>
  <c r="J93" i="2"/>
  <c r="P92" i="2"/>
  <c r="O92" i="2"/>
  <c r="N92" i="2"/>
  <c r="M92" i="2"/>
  <c r="L92" i="2"/>
  <c r="K92" i="2"/>
  <c r="J92" i="2"/>
  <c r="P91" i="2"/>
  <c r="O91" i="2"/>
  <c r="N91" i="2"/>
  <c r="M91" i="2"/>
  <c r="L91" i="2"/>
  <c r="K91" i="2"/>
  <c r="J91" i="2"/>
  <c r="P90" i="2"/>
  <c r="O90" i="2"/>
  <c r="N90" i="2"/>
  <c r="M90" i="2"/>
  <c r="L90" i="2"/>
  <c r="K90" i="2"/>
  <c r="J90" i="2"/>
  <c r="P89" i="2"/>
  <c r="O89" i="2"/>
  <c r="N89" i="2"/>
  <c r="M89" i="2"/>
  <c r="L89" i="2"/>
  <c r="K89" i="2"/>
  <c r="J89" i="2"/>
  <c r="P88" i="2"/>
  <c r="O88" i="2"/>
  <c r="N88" i="2"/>
  <c r="M88" i="2"/>
  <c r="L88" i="2"/>
  <c r="K88" i="2"/>
  <c r="J88" i="2"/>
  <c r="P87" i="2"/>
  <c r="O87" i="2"/>
  <c r="N87" i="2"/>
  <c r="M87" i="2"/>
  <c r="L87" i="2"/>
  <c r="K87" i="2"/>
  <c r="J87" i="2"/>
  <c r="P86" i="2"/>
  <c r="O86" i="2"/>
  <c r="N86" i="2"/>
  <c r="M86" i="2"/>
  <c r="L86" i="2"/>
  <c r="K86" i="2"/>
  <c r="J86" i="2"/>
  <c r="P85" i="2"/>
  <c r="O85" i="2"/>
  <c r="N85" i="2"/>
  <c r="M85" i="2"/>
  <c r="L85" i="2"/>
  <c r="K85" i="2"/>
  <c r="J85" i="2"/>
  <c r="P84" i="2"/>
  <c r="O84" i="2"/>
  <c r="N84" i="2"/>
  <c r="M84" i="2"/>
  <c r="L84" i="2"/>
  <c r="K84" i="2"/>
  <c r="J84" i="2"/>
  <c r="P83" i="2"/>
  <c r="O83" i="2"/>
  <c r="N83" i="2"/>
  <c r="M83" i="2"/>
  <c r="L83" i="2"/>
  <c r="K83" i="2"/>
  <c r="J83" i="2"/>
  <c r="P82" i="2"/>
  <c r="O82" i="2"/>
  <c r="N82" i="2"/>
  <c r="M82" i="2"/>
  <c r="L82" i="2"/>
  <c r="K82" i="2"/>
  <c r="J82" i="2"/>
  <c r="P81" i="2"/>
  <c r="O81" i="2"/>
  <c r="N81" i="2"/>
  <c r="M81" i="2"/>
  <c r="L81" i="2"/>
  <c r="K81" i="2"/>
  <c r="J81" i="2"/>
  <c r="P80" i="2"/>
  <c r="O80" i="2"/>
  <c r="N80" i="2"/>
  <c r="M80" i="2"/>
  <c r="L80" i="2"/>
  <c r="K80" i="2"/>
  <c r="J80" i="2"/>
  <c r="P79" i="2"/>
  <c r="O79" i="2"/>
  <c r="N79" i="2"/>
  <c r="M79" i="2"/>
  <c r="L79" i="2"/>
  <c r="K79" i="2"/>
  <c r="J79" i="2"/>
  <c r="P78" i="2"/>
  <c r="O78" i="2"/>
  <c r="N78" i="2"/>
  <c r="M78" i="2"/>
  <c r="L78" i="2"/>
  <c r="K78" i="2"/>
  <c r="J78" i="2"/>
  <c r="P77" i="2"/>
  <c r="O77" i="2"/>
  <c r="N77" i="2"/>
  <c r="M77" i="2"/>
  <c r="L77" i="2"/>
  <c r="K77" i="2"/>
  <c r="J77" i="2"/>
  <c r="P76" i="2"/>
  <c r="O76" i="2"/>
  <c r="N76" i="2"/>
  <c r="M76" i="2"/>
  <c r="L76" i="2"/>
  <c r="K76" i="2"/>
  <c r="J76" i="2"/>
  <c r="P75" i="2"/>
  <c r="O75" i="2"/>
  <c r="N75" i="2"/>
  <c r="M75" i="2"/>
  <c r="L75" i="2"/>
  <c r="K75" i="2"/>
  <c r="J75" i="2"/>
  <c r="P74" i="2"/>
  <c r="O74" i="2"/>
  <c r="N74" i="2"/>
  <c r="M74" i="2"/>
  <c r="L74" i="2"/>
  <c r="K74" i="2"/>
  <c r="J74" i="2"/>
  <c r="P73" i="2"/>
  <c r="O73" i="2"/>
  <c r="N73" i="2"/>
  <c r="M73" i="2"/>
  <c r="L73" i="2"/>
  <c r="K73" i="2"/>
  <c r="J73" i="2"/>
  <c r="P72" i="2"/>
  <c r="O72" i="2"/>
  <c r="N72" i="2"/>
  <c r="M72" i="2"/>
  <c r="L72" i="2"/>
  <c r="K72" i="2"/>
  <c r="J72" i="2"/>
  <c r="P71" i="2"/>
  <c r="O71" i="2"/>
  <c r="N71" i="2"/>
  <c r="M71" i="2"/>
  <c r="L71" i="2"/>
  <c r="K71" i="2"/>
  <c r="J71" i="2"/>
  <c r="P70" i="2"/>
  <c r="O70" i="2"/>
  <c r="N70" i="2"/>
  <c r="M70" i="2"/>
  <c r="L70" i="2"/>
  <c r="K70" i="2"/>
  <c r="J70" i="2"/>
  <c r="P69" i="2"/>
  <c r="O69" i="2"/>
  <c r="N69" i="2"/>
  <c r="M69" i="2"/>
  <c r="L69" i="2"/>
  <c r="K69" i="2"/>
  <c r="J69" i="2"/>
  <c r="P68" i="2"/>
  <c r="O68" i="2"/>
  <c r="N68" i="2"/>
  <c r="M68" i="2"/>
  <c r="L68" i="2"/>
  <c r="K68" i="2"/>
  <c r="J68" i="2"/>
  <c r="P67" i="2"/>
  <c r="O67" i="2"/>
  <c r="N67" i="2"/>
  <c r="M67" i="2"/>
  <c r="L67" i="2"/>
  <c r="K67" i="2"/>
  <c r="J67" i="2"/>
  <c r="P66" i="2"/>
  <c r="O66" i="2"/>
  <c r="N66" i="2"/>
  <c r="M66" i="2"/>
  <c r="L66" i="2"/>
  <c r="K66" i="2"/>
  <c r="J66" i="2"/>
  <c r="P65" i="2"/>
  <c r="O65" i="2"/>
  <c r="N65" i="2"/>
  <c r="M65" i="2"/>
  <c r="L65" i="2"/>
  <c r="K65" i="2"/>
  <c r="J65" i="2"/>
  <c r="P64" i="2"/>
  <c r="O64" i="2"/>
  <c r="N64" i="2"/>
  <c r="M64" i="2"/>
  <c r="L64" i="2"/>
  <c r="K64" i="2"/>
  <c r="J64" i="2"/>
  <c r="P63" i="2"/>
  <c r="O63" i="2"/>
  <c r="N63" i="2"/>
  <c r="M63" i="2"/>
  <c r="L63" i="2"/>
  <c r="K63" i="2"/>
  <c r="J63" i="2"/>
  <c r="P62" i="2"/>
  <c r="O62" i="2"/>
  <c r="N62" i="2"/>
  <c r="M62" i="2"/>
  <c r="L62" i="2"/>
  <c r="K62" i="2"/>
  <c r="J62" i="2"/>
  <c r="P61" i="2"/>
  <c r="O61" i="2"/>
  <c r="N61" i="2"/>
  <c r="M61" i="2"/>
  <c r="L61" i="2"/>
  <c r="K61" i="2"/>
  <c r="J61" i="2"/>
  <c r="P60" i="2"/>
  <c r="O60" i="2"/>
  <c r="N60" i="2"/>
  <c r="M60" i="2"/>
  <c r="L60" i="2"/>
  <c r="K60" i="2"/>
  <c r="J60" i="2"/>
  <c r="P59" i="2"/>
  <c r="O59" i="2"/>
  <c r="N59" i="2"/>
  <c r="M59" i="2"/>
  <c r="L59" i="2"/>
  <c r="K59" i="2"/>
  <c r="J59" i="2"/>
  <c r="P58" i="2"/>
  <c r="O58" i="2"/>
  <c r="N58" i="2"/>
  <c r="M58" i="2"/>
  <c r="L58" i="2"/>
  <c r="K58" i="2"/>
  <c r="J58" i="2"/>
  <c r="P57" i="2"/>
  <c r="O57" i="2"/>
  <c r="N57" i="2"/>
  <c r="M57" i="2"/>
  <c r="L57" i="2"/>
  <c r="K57" i="2"/>
  <c r="J57" i="2"/>
  <c r="P56" i="2"/>
  <c r="O56" i="2"/>
  <c r="N56" i="2"/>
  <c r="M56" i="2"/>
  <c r="L56" i="2"/>
  <c r="K56" i="2"/>
  <c r="J56" i="2"/>
  <c r="P55" i="2"/>
  <c r="O55" i="2"/>
  <c r="N55" i="2"/>
  <c r="M55" i="2"/>
  <c r="L55" i="2"/>
  <c r="K55" i="2"/>
  <c r="J55" i="2"/>
  <c r="P54" i="2"/>
  <c r="O54" i="2"/>
  <c r="N54" i="2"/>
  <c r="M54" i="2"/>
  <c r="L54" i="2"/>
  <c r="K54" i="2"/>
  <c r="J54" i="2"/>
  <c r="P53" i="2"/>
  <c r="O53" i="2"/>
  <c r="N53" i="2"/>
  <c r="M53" i="2"/>
  <c r="L53" i="2"/>
  <c r="K53" i="2"/>
  <c r="J53" i="2"/>
  <c r="P52" i="2"/>
  <c r="O52" i="2"/>
  <c r="N52" i="2"/>
  <c r="M52" i="2"/>
  <c r="L52" i="2"/>
  <c r="K52" i="2"/>
  <c r="J52" i="2"/>
  <c r="P51" i="2"/>
  <c r="O51" i="2"/>
  <c r="N51" i="2"/>
  <c r="M51" i="2"/>
  <c r="L51" i="2"/>
  <c r="K51" i="2"/>
  <c r="J51" i="2"/>
  <c r="P50" i="2"/>
  <c r="O50" i="2"/>
  <c r="N50" i="2"/>
  <c r="M50" i="2"/>
  <c r="L50" i="2"/>
  <c r="K50" i="2"/>
  <c r="J50" i="2"/>
  <c r="P49" i="2"/>
  <c r="O49" i="2"/>
  <c r="N49" i="2"/>
  <c r="M49" i="2"/>
  <c r="L49" i="2"/>
  <c r="K49" i="2"/>
  <c r="J49" i="2"/>
  <c r="P48" i="2"/>
  <c r="O48" i="2"/>
  <c r="N48" i="2"/>
  <c r="M48" i="2"/>
  <c r="L48" i="2"/>
  <c r="K48" i="2"/>
  <c r="J48" i="2"/>
  <c r="P47" i="2"/>
  <c r="O47" i="2"/>
  <c r="N47" i="2"/>
  <c r="M47" i="2"/>
  <c r="L47" i="2"/>
  <c r="K47" i="2"/>
  <c r="J47" i="2"/>
  <c r="P46" i="2"/>
  <c r="O46" i="2"/>
  <c r="N46" i="2"/>
  <c r="M46" i="2"/>
  <c r="L46" i="2"/>
  <c r="K46" i="2"/>
  <c r="J46" i="2"/>
  <c r="P45" i="2"/>
  <c r="O45" i="2"/>
  <c r="N45" i="2"/>
  <c r="M45" i="2"/>
  <c r="L45" i="2"/>
  <c r="K45" i="2"/>
  <c r="J45" i="2"/>
  <c r="P44" i="2"/>
  <c r="O44" i="2"/>
  <c r="N44" i="2"/>
  <c r="M44" i="2"/>
  <c r="L44" i="2"/>
  <c r="K44" i="2"/>
  <c r="J44" i="2"/>
  <c r="P43" i="2"/>
  <c r="O43" i="2"/>
  <c r="N43" i="2"/>
  <c r="M43" i="2"/>
  <c r="L43" i="2"/>
  <c r="K43" i="2"/>
  <c r="J43" i="2"/>
  <c r="P42" i="2"/>
  <c r="O42" i="2"/>
  <c r="N42" i="2"/>
  <c r="M42" i="2"/>
  <c r="L42" i="2"/>
  <c r="K42" i="2"/>
  <c r="J42" i="2"/>
  <c r="P41" i="2"/>
  <c r="O41" i="2"/>
  <c r="N41" i="2"/>
  <c r="M41" i="2"/>
  <c r="L41" i="2"/>
  <c r="K41" i="2"/>
  <c r="J41" i="2"/>
  <c r="P40" i="2"/>
  <c r="O40" i="2"/>
  <c r="N40" i="2"/>
  <c r="M40" i="2"/>
  <c r="L40" i="2"/>
  <c r="K40" i="2"/>
  <c r="J40" i="2"/>
  <c r="P39" i="2"/>
  <c r="O39" i="2"/>
  <c r="N39" i="2"/>
  <c r="M39" i="2"/>
  <c r="L39" i="2"/>
  <c r="K39" i="2"/>
  <c r="J39" i="2"/>
  <c r="P38" i="2"/>
  <c r="O38" i="2"/>
  <c r="N38" i="2"/>
  <c r="M38" i="2"/>
  <c r="J12" i="5" s="1"/>
  <c r="L38" i="2"/>
  <c r="K38" i="2"/>
  <c r="J38" i="2"/>
  <c r="H12" i="5" s="1"/>
  <c r="P37" i="2"/>
  <c r="M4" i="5" s="1"/>
  <c r="O37" i="2"/>
  <c r="L4" i="5" s="1"/>
  <c r="N37" i="2"/>
  <c r="M37" i="2"/>
  <c r="J4" i="5" s="1"/>
  <c r="L37" i="2"/>
  <c r="K37" i="2"/>
  <c r="J37" i="2"/>
  <c r="P36" i="2"/>
  <c r="O36" i="2"/>
  <c r="N36" i="2"/>
  <c r="L36" i="2"/>
  <c r="K36" i="2"/>
  <c r="J36" i="2"/>
  <c r="P35" i="2"/>
  <c r="O35" i="2"/>
  <c r="N35" i="2"/>
  <c r="K10" i="5" s="1"/>
  <c r="L35" i="2"/>
  <c r="K35" i="2"/>
  <c r="J35" i="2"/>
  <c r="P34" i="2"/>
  <c r="M13" i="5" s="1"/>
  <c r="O34" i="2"/>
  <c r="L13" i="5" s="1"/>
  <c r="N34" i="2"/>
  <c r="K13" i="5" s="1"/>
  <c r="M34" i="2"/>
  <c r="L34" i="2"/>
  <c r="K34" i="2"/>
  <c r="J34" i="2"/>
  <c r="P33" i="2"/>
  <c r="O33" i="2"/>
  <c r="N33" i="2"/>
  <c r="M33" i="2"/>
  <c r="L33" i="2"/>
  <c r="K33" i="2"/>
  <c r="J33" i="2"/>
  <c r="P32" i="2"/>
  <c r="O32" i="2"/>
  <c r="L11" i="5" s="1"/>
  <c r="N32" i="2"/>
  <c r="L32" i="2"/>
  <c r="K32" i="2"/>
  <c r="J32" i="2"/>
  <c r="P31" i="2"/>
  <c r="O31" i="2"/>
  <c r="N31" i="2"/>
  <c r="M31" i="2"/>
  <c r="L31" i="2"/>
  <c r="K31" i="2"/>
  <c r="J31" i="2"/>
  <c r="P30" i="2"/>
  <c r="O30" i="2"/>
  <c r="N30" i="2"/>
  <c r="L30" i="2"/>
  <c r="K30" i="2"/>
  <c r="J30" i="2"/>
  <c r="P29" i="2"/>
  <c r="O29" i="2"/>
  <c r="N29" i="2"/>
  <c r="M29" i="2"/>
  <c r="L29" i="2"/>
  <c r="K29" i="2"/>
  <c r="J29" i="2"/>
  <c r="P28" i="2"/>
  <c r="O28" i="2"/>
  <c r="N28" i="2"/>
  <c r="M28" i="2"/>
  <c r="L28" i="2"/>
  <c r="K28" i="2"/>
  <c r="J28" i="2"/>
  <c r="P27" i="2"/>
  <c r="O27" i="2"/>
  <c r="N27" i="2"/>
  <c r="M27" i="2"/>
  <c r="L27" i="2"/>
  <c r="K27" i="2"/>
  <c r="J27" i="2"/>
  <c r="P26" i="2"/>
  <c r="O26" i="2"/>
  <c r="N26" i="2"/>
  <c r="M26" i="2"/>
  <c r="L26" i="2"/>
  <c r="K26" i="2"/>
  <c r="J26" i="2"/>
  <c r="P25" i="2"/>
  <c r="O25" i="2"/>
  <c r="N25" i="2"/>
  <c r="M25" i="2"/>
  <c r="L25" i="2"/>
  <c r="K25" i="2"/>
  <c r="J25" i="2"/>
  <c r="P24" i="2"/>
  <c r="O24" i="2"/>
  <c r="N24" i="2"/>
  <c r="M24" i="2"/>
  <c r="L24" i="2"/>
  <c r="K24" i="2"/>
  <c r="J24" i="2"/>
  <c r="P23" i="2"/>
  <c r="O23" i="2"/>
  <c r="N23" i="2"/>
  <c r="L23" i="2"/>
  <c r="K23" i="2"/>
  <c r="J23" i="2"/>
  <c r="P22" i="2"/>
  <c r="O22" i="2"/>
  <c r="N22" i="2"/>
  <c r="M22" i="2"/>
  <c r="L22" i="2"/>
  <c r="K22" i="2"/>
  <c r="J22" i="2"/>
  <c r="P21" i="2"/>
  <c r="O21" i="2"/>
  <c r="N21" i="2"/>
  <c r="K6" i="3" s="1"/>
  <c r="M21" i="2"/>
  <c r="L21" i="2"/>
  <c r="K21" i="2"/>
  <c r="J21" i="2"/>
  <c r="P20" i="2"/>
  <c r="O20" i="2"/>
  <c r="L6" i="3" s="1"/>
  <c r="N20" i="2"/>
  <c r="M20" i="2"/>
  <c r="L20" i="2"/>
  <c r="K20" i="2"/>
  <c r="J20" i="2"/>
  <c r="P19" i="2"/>
  <c r="O19" i="2"/>
  <c r="N19" i="2"/>
  <c r="M19" i="2"/>
  <c r="L19" i="2"/>
  <c r="K19" i="2"/>
  <c r="J19" i="2"/>
  <c r="P18" i="2"/>
  <c r="O18" i="2"/>
  <c r="N18" i="2"/>
  <c r="M18" i="2"/>
  <c r="L18" i="2"/>
  <c r="K18" i="2"/>
  <c r="J18" i="2"/>
  <c r="P17" i="2"/>
  <c r="M3" i="5" s="1"/>
  <c r="O17" i="2"/>
  <c r="N17" i="2"/>
  <c r="K3" i="5" s="1"/>
  <c r="M17" i="2"/>
  <c r="J3" i="5" s="1"/>
  <c r="L17" i="2"/>
  <c r="K17" i="2"/>
  <c r="J17" i="2"/>
  <c r="P16" i="2"/>
  <c r="O16" i="2"/>
  <c r="H5" i="6" s="1"/>
  <c r="N16" i="2"/>
  <c r="M16" i="2"/>
  <c r="L16" i="2"/>
  <c r="E5" i="6" s="1"/>
  <c r="K16" i="2"/>
  <c r="D5" i="6" s="1"/>
  <c r="J16" i="2"/>
  <c r="P15" i="2"/>
  <c r="O15" i="2"/>
  <c r="N15" i="2"/>
  <c r="M15" i="2"/>
  <c r="L15" i="2"/>
  <c r="K15" i="2"/>
  <c r="J15" i="2"/>
  <c r="P14" i="2"/>
  <c r="O14" i="2"/>
  <c r="N14" i="2"/>
  <c r="M14" i="2"/>
  <c r="L14" i="2"/>
  <c r="K14" i="2"/>
  <c r="J14" i="2"/>
  <c r="P13" i="2"/>
  <c r="O13" i="2"/>
  <c r="N13" i="2"/>
  <c r="L13" i="2"/>
  <c r="K13" i="2"/>
  <c r="J13" i="2"/>
  <c r="P12" i="2"/>
  <c r="O12" i="2"/>
  <c r="N12" i="2"/>
  <c r="M12" i="2"/>
  <c r="L12" i="2"/>
  <c r="K12" i="2"/>
  <c r="J12" i="2"/>
  <c r="P11" i="2"/>
  <c r="O11" i="2"/>
  <c r="N11" i="2"/>
  <c r="M11" i="2"/>
  <c r="L11" i="2"/>
  <c r="K11" i="2"/>
  <c r="J11" i="2"/>
  <c r="P10" i="2"/>
  <c r="O10" i="2"/>
  <c r="N10" i="2"/>
  <c r="M10" i="2"/>
  <c r="L10" i="2"/>
  <c r="K10" i="2"/>
  <c r="J10" i="2"/>
  <c r="H10" i="3" s="1"/>
  <c r="P9" i="2"/>
  <c r="O9" i="2"/>
  <c r="N9" i="2"/>
  <c r="M9" i="2"/>
  <c r="L9" i="2"/>
  <c r="K9" i="2"/>
  <c r="J9" i="2"/>
  <c r="P8" i="2"/>
  <c r="O8" i="2"/>
  <c r="N8" i="2"/>
  <c r="L8" i="2"/>
  <c r="K8" i="2"/>
  <c r="J8" i="2"/>
  <c r="P7" i="2"/>
  <c r="O7" i="2"/>
  <c r="N7" i="2"/>
  <c r="M7" i="2"/>
  <c r="L7" i="2"/>
  <c r="K7" i="2"/>
  <c r="J7" i="2"/>
  <c r="P6" i="2"/>
  <c r="O6" i="2"/>
  <c r="N6" i="2"/>
  <c r="M6" i="2"/>
  <c r="L6" i="2"/>
  <c r="K6" i="2"/>
  <c r="J6" i="2"/>
  <c r="P5" i="2"/>
  <c r="O5" i="2"/>
  <c r="N5" i="2"/>
  <c r="M5" i="2"/>
  <c r="L5" i="2"/>
  <c r="E3" i="6" s="1"/>
  <c r="K5" i="2"/>
  <c r="J5" i="2"/>
  <c r="P4" i="2"/>
  <c r="O4" i="2"/>
  <c r="L9" i="3" s="1"/>
  <c r="N4" i="2"/>
  <c r="K9" i="3" s="1"/>
  <c r="M4" i="2"/>
  <c r="L4" i="2"/>
  <c r="K4" i="2"/>
  <c r="J4" i="2"/>
  <c r="P3" i="2"/>
  <c r="O3" i="2"/>
  <c r="N3" i="2"/>
  <c r="L3" i="2"/>
  <c r="K3" i="2"/>
  <c r="J3" i="2"/>
  <c r="P2" i="2"/>
  <c r="O2" i="2"/>
  <c r="N2" i="2"/>
  <c r="M2" i="2"/>
  <c r="L2" i="2"/>
  <c r="K2" i="2"/>
  <c r="J2" i="2"/>
  <c r="H13" i="3" s="1"/>
  <c r="K17" i="1"/>
  <c r="K16" i="1"/>
  <c r="K15" i="1"/>
  <c r="M36" i="2" s="1"/>
  <c r="K14" i="1"/>
  <c r="M30" i="2" s="1"/>
  <c r="K13" i="1"/>
  <c r="K12" i="1"/>
  <c r="K11" i="1"/>
  <c r="M35" i="2" s="1"/>
  <c r="K10" i="1"/>
  <c r="K9" i="1"/>
  <c r="M8" i="2" s="1"/>
  <c r="K8" i="1"/>
  <c r="M23" i="2" s="1"/>
  <c r="K7" i="1"/>
  <c r="M32" i="2" s="1"/>
  <c r="J11" i="5" s="1"/>
  <c r="K6" i="1"/>
  <c r="M3" i="2" s="1"/>
  <c r="K5" i="1"/>
  <c r="K4" i="1"/>
  <c r="K3" i="1"/>
  <c r="K2" i="1"/>
  <c r="M13" i="2" s="1"/>
  <c r="J7" i="3" l="1"/>
  <c r="J9" i="3"/>
  <c r="P11" i="5"/>
  <c r="J10" i="5"/>
  <c r="J12" i="3"/>
  <c r="M5" i="5"/>
  <c r="M7" i="4"/>
  <c r="H9" i="7"/>
  <c r="H10" i="7"/>
  <c r="H11" i="7"/>
  <c r="H3" i="7"/>
  <c r="H12" i="7"/>
  <c r="H13" i="7"/>
  <c r="H7" i="7"/>
  <c r="H8" i="7"/>
  <c r="H4" i="7"/>
  <c r="H6" i="7"/>
  <c r="H2" i="7"/>
  <c r="H5" i="7"/>
  <c r="H2" i="6"/>
  <c r="L9" i="5"/>
  <c r="L11" i="4"/>
  <c r="F5" i="6"/>
  <c r="L8" i="5"/>
  <c r="L10" i="4"/>
  <c r="O9" i="3"/>
  <c r="O11" i="3"/>
  <c r="M6" i="5"/>
  <c r="M9" i="3"/>
  <c r="M8" i="4"/>
  <c r="K7" i="5"/>
  <c r="K10" i="3"/>
  <c r="K9" i="4"/>
  <c r="N3" i="5"/>
  <c r="P3" i="5"/>
  <c r="K8" i="5"/>
  <c r="K10" i="4"/>
  <c r="K2" i="5"/>
  <c r="K7" i="3"/>
  <c r="K6" i="4"/>
  <c r="L7" i="5"/>
  <c r="L9" i="4"/>
  <c r="L10" i="3"/>
  <c r="D4" i="6"/>
  <c r="L2" i="5"/>
  <c r="L6" i="4"/>
  <c r="M10" i="5"/>
  <c r="M12" i="3"/>
  <c r="H4" i="5"/>
  <c r="H11" i="3"/>
  <c r="I10" i="7"/>
  <c r="I11" i="7"/>
  <c r="I12" i="7"/>
  <c r="I4" i="7"/>
  <c r="I13" i="7"/>
  <c r="I7" i="7"/>
  <c r="I8" i="7"/>
  <c r="I9" i="7"/>
  <c r="I6" i="7"/>
  <c r="I2" i="6"/>
  <c r="I2" i="7"/>
  <c r="I5" i="7"/>
  <c r="I3" i="7"/>
  <c r="M9" i="5"/>
  <c r="M13" i="3"/>
  <c r="M11" i="4"/>
  <c r="H6" i="5"/>
  <c r="H8" i="4"/>
  <c r="D3" i="6"/>
  <c r="M7" i="5"/>
  <c r="M9" i="4"/>
  <c r="E4" i="6"/>
  <c r="G5" i="6"/>
  <c r="L3" i="5"/>
  <c r="L8" i="3"/>
  <c r="M8" i="5"/>
  <c r="M10" i="4"/>
  <c r="H5" i="5"/>
  <c r="H7" i="4"/>
  <c r="M6" i="4"/>
  <c r="M2" i="5"/>
  <c r="K11" i="5"/>
  <c r="B2" i="8"/>
  <c r="J8" i="3"/>
  <c r="N8" i="3" s="1"/>
  <c r="H9" i="3"/>
  <c r="K14" i="3"/>
  <c r="M6" i="3"/>
  <c r="L7" i="3"/>
  <c r="K8" i="3"/>
  <c r="J11" i="3"/>
  <c r="N11" i="3" s="1"/>
  <c r="L13" i="3"/>
  <c r="L14" i="3"/>
  <c r="F4" i="6"/>
  <c r="H9" i="5"/>
  <c r="H11" i="4"/>
  <c r="I5" i="6"/>
  <c r="P4" i="5"/>
  <c r="N4" i="5"/>
  <c r="M7" i="3"/>
  <c r="M8" i="3"/>
  <c r="L11" i="3"/>
  <c r="K12" i="3"/>
  <c r="M14" i="3"/>
  <c r="H10" i="5"/>
  <c r="H12" i="3"/>
  <c r="H8" i="5"/>
  <c r="H10" i="4"/>
  <c r="H2" i="5"/>
  <c r="H6" i="4"/>
  <c r="H13" i="5"/>
  <c r="H14" i="3"/>
  <c r="H3" i="5"/>
  <c r="H8" i="3"/>
  <c r="L12" i="5"/>
  <c r="M10" i="3"/>
  <c r="M11" i="3"/>
  <c r="P12" i="5"/>
  <c r="N12" i="5"/>
  <c r="F3" i="6"/>
  <c r="H7" i="5"/>
  <c r="H9" i="4"/>
  <c r="G4" i="6"/>
  <c r="M11" i="5"/>
  <c r="D10" i="7"/>
  <c r="D2" i="6"/>
  <c r="J6" i="5"/>
  <c r="J8" i="4"/>
  <c r="K4" i="5"/>
  <c r="K11" i="3"/>
  <c r="E10" i="7"/>
  <c r="E11" i="7"/>
  <c r="E2" i="6"/>
  <c r="K8" i="4"/>
  <c r="K6" i="5"/>
  <c r="H3" i="6"/>
  <c r="I4" i="6"/>
  <c r="K5" i="5"/>
  <c r="K7" i="4"/>
  <c r="H11" i="5"/>
  <c r="M12" i="5"/>
  <c r="N2" i="3"/>
  <c r="K12" i="5"/>
  <c r="G3" i="6"/>
  <c r="H4" i="6"/>
  <c r="J7" i="4"/>
  <c r="J5" i="5"/>
  <c r="J6" i="3"/>
  <c r="A2" i="8" s="1" a="1"/>
  <c r="A2" i="8" s="1"/>
  <c r="F10" i="7"/>
  <c r="F11" i="7"/>
  <c r="F12" i="7"/>
  <c r="F2" i="6"/>
  <c r="J9" i="5"/>
  <c r="J11" i="4"/>
  <c r="J13" i="3"/>
  <c r="N13" i="3" s="1"/>
  <c r="L6" i="5"/>
  <c r="L8" i="4"/>
  <c r="I3" i="6"/>
  <c r="J7" i="5"/>
  <c r="J10" i="3"/>
  <c r="J9" i="4"/>
  <c r="J8" i="5"/>
  <c r="J10" i="4"/>
  <c r="L5" i="5"/>
  <c r="L7" i="4"/>
  <c r="J2" i="5"/>
  <c r="J6" i="4"/>
  <c r="N6" i="4" s="1"/>
  <c r="J13" i="5"/>
  <c r="J14" i="3"/>
  <c r="N14" i="3" s="1"/>
  <c r="H6" i="3"/>
  <c r="G8" i="7"/>
  <c r="G9" i="7"/>
  <c r="G10" i="7"/>
  <c r="G2" i="7"/>
  <c r="G11" i="7"/>
  <c r="G12" i="7"/>
  <c r="G13" i="7"/>
  <c r="G6" i="7"/>
  <c r="G7" i="7"/>
  <c r="G4" i="7"/>
  <c r="G5" i="7"/>
  <c r="G3" i="7"/>
  <c r="G2" i="6"/>
  <c r="K9" i="5"/>
  <c r="K13" i="3"/>
  <c r="K11" i="4"/>
  <c r="L10" i="5"/>
  <c r="L12" i="3"/>
  <c r="H7" i="3"/>
  <c r="P268" i="5"/>
  <c r="N268" i="5"/>
  <c r="G2" i="8"/>
  <c r="O152" i="5"/>
  <c r="O312" i="5"/>
  <c r="O4" i="4"/>
  <c r="O8" i="4"/>
  <c r="O156" i="5"/>
  <c r="G18" i="5"/>
  <c r="K18" i="5"/>
  <c r="O34" i="5"/>
  <c r="J35" i="5"/>
  <c r="F35" i="5"/>
  <c r="K38" i="5"/>
  <c r="G38" i="5"/>
  <c r="M52" i="5"/>
  <c r="I52" i="5"/>
  <c r="F55" i="5"/>
  <c r="O55" i="5" s="1"/>
  <c r="J55" i="5"/>
  <c r="I72" i="5"/>
  <c r="M72" i="5"/>
  <c r="G82" i="5"/>
  <c r="K82" i="5"/>
  <c r="J99" i="5"/>
  <c r="F99" i="5"/>
  <c r="O99" i="5" s="1"/>
  <c r="K102" i="5"/>
  <c r="G102" i="5"/>
  <c r="M116" i="5"/>
  <c r="I116" i="5"/>
  <c r="F119" i="5"/>
  <c r="J119" i="5"/>
  <c r="O134" i="5"/>
  <c r="J139" i="5"/>
  <c r="F139" i="5"/>
  <c r="H139" i="5"/>
  <c r="L139" i="5"/>
  <c r="M140" i="5"/>
  <c r="I140" i="5"/>
  <c r="H140" i="5"/>
  <c r="F159" i="5"/>
  <c r="O159" i="5" s="1"/>
  <c r="J159" i="5"/>
  <c r="H159" i="5"/>
  <c r="L159" i="5"/>
  <c r="I160" i="5"/>
  <c r="M160" i="5"/>
  <c r="H160" i="5"/>
  <c r="O178" i="5"/>
  <c r="P180" i="5"/>
  <c r="N180" i="5"/>
  <c r="P185" i="5"/>
  <c r="N185" i="5"/>
  <c r="P209" i="5"/>
  <c r="N209" i="5"/>
  <c r="J215" i="5"/>
  <c r="F215" i="5"/>
  <c r="H215" i="5"/>
  <c r="M215" i="5"/>
  <c r="K215" i="5"/>
  <c r="J223" i="5"/>
  <c r="F223" i="5"/>
  <c r="O223" i="5" s="1"/>
  <c r="K223" i="5"/>
  <c r="M223" i="5"/>
  <c r="M232" i="5"/>
  <c r="I232" i="5"/>
  <c r="J232" i="5"/>
  <c r="F232" i="5"/>
  <c r="K232" i="5"/>
  <c r="G238" i="5"/>
  <c r="K238" i="5"/>
  <c r="M238" i="5"/>
  <c r="H238" i="5"/>
  <c r="J238" i="5"/>
  <c r="P241" i="5"/>
  <c r="N241" i="5"/>
  <c r="F251" i="5"/>
  <c r="J251" i="5"/>
  <c r="G251" i="5"/>
  <c r="L251" i="5"/>
  <c r="I251" i="5"/>
  <c r="G254" i="5"/>
  <c r="K254" i="5"/>
  <c r="H254" i="5"/>
  <c r="M254" i="5"/>
  <c r="J254" i="5"/>
  <c r="F267" i="5"/>
  <c r="J267" i="5"/>
  <c r="K267" i="5"/>
  <c r="G267" i="5"/>
  <c r="L267" i="5"/>
  <c r="O274" i="5"/>
  <c r="J295" i="5"/>
  <c r="F295" i="5"/>
  <c r="H295" i="5"/>
  <c r="M295" i="5"/>
  <c r="I295" i="5"/>
  <c r="O296" i="5"/>
  <c r="P304" i="5"/>
  <c r="N304" i="5"/>
  <c r="M328" i="5"/>
  <c r="I328" i="5"/>
  <c r="J328" i="5"/>
  <c r="G328" i="5"/>
  <c r="L328" i="5"/>
  <c r="P356" i="5"/>
  <c r="N356" i="5"/>
  <c r="J359" i="5"/>
  <c r="F359" i="5"/>
  <c r="O359" i="5" s="1"/>
  <c r="H359" i="5"/>
  <c r="M359" i="5"/>
  <c r="L359" i="5"/>
  <c r="K359" i="5"/>
  <c r="F371" i="5"/>
  <c r="J371" i="5"/>
  <c r="L371" i="5"/>
  <c r="G371" i="5"/>
  <c r="M371" i="5"/>
  <c r="K371" i="5"/>
  <c r="F395" i="5"/>
  <c r="J395" i="5"/>
  <c r="K395" i="5"/>
  <c r="M395" i="5"/>
  <c r="I395" i="5"/>
  <c r="H395" i="5"/>
  <c r="G395" i="5"/>
  <c r="O402" i="5"/>
  <c r="J407" i="5"/>
  <c r="F407" i="5"/>
  <c r="O407" i="5" s="1"/>
  <c r="H407" i="5"/>
  <c r="M407" i="5"/>
  <c r="K407" i="5"/>
  <c r="L407" i="5"/>
  <c r="I407" i="5"/>
  <c r="G407" i="5"/>
  <c r="I412" i="5"/>
  <c r="M412" i="5"/>
  <c r="L412" i="5"/>
  <c r="J412" i="5"/>
  <c r="H412" i="5"/>
  <c r="G412" i="5"/>
  <c r="K412" i="5"/>
  <c r="F412" i="5"/>
  <c r="F14" i="5"/>
  <c r="O14" i="5" s="1"/>
  <c r="F15" i="5"/>
  <c r="O15" i="5" s="1"/>
  <c r="J15" i="5"/>
  <c r="K16" i="5"/>
  <c r="J20" i="5"/>
  <c r="K23" i="5"/>
  <c r="G24" i="5"/>
  <c r="O24" i="5" s="1"/>
  <c r="N25" i="5"/>
  <c r="L26" i="5"/>
  <c r="F28" i="5"/>
  <c r="O28" i="5" s="1"/>
  <c r="G31" i="5"/>
  <c r="I32" i="5"/>
  <c r="M32" i="5"/>
  <c r="N32" i="5"/>
  <c r="H34" i="5"/>
  <c r="J40" i="5"/>
  <c r="G42" i="5"/>
  <c r="O42" i="5" s="1"/>
  <c r="K42" i="5"/>
  <c r="N42" i="5"/>
  <c r="L43" i="5"/>
  <c r="N45" i="5"/>
  <c r="L46" i="5"/>
  <c r="F48" i="5"/>
  <c r="O48" i="5" s="1"/>
  <c r="J50" i="5"/>
  <c r="H51" i="5"/>
  <c r="H54" i="5"/>
  <c r="F58" i="5"/>
  <c r="J59" i="5"/>
  <c r="F59" i="5"/>
  <c r="O59" i="5" s="1"/>
  <c r="K60" i="5"/>
  <c r="K62" i="5"/>
  <c r="G62" i="5"/>
  <c r="N62" i="5"/>
  <c r="L63" i="5"/>
  <c r="K67" i="5"/>
  <c r="G68" i="5"/>
  <c r="O68" i="5" s="1"/>
  <c r="J70" i="5"/>
  <c r="H71" i="5"/>
  <c r="G75" i="5"/>
  <c r="M76" i="5"/>
  <c r="I76" i="5"/>
  <c r="N76" i="5"/>
  <c r="F78" i="5"/>
  <c r="F79" i="5"/>
  <c r="O79" i="5" s="1"/>
  <c r="J79" i="5"/>
  <c r="K80" i="5"/>
  <c r="J84" i="5"/>
  <c r="K87" i="5"/>
  <c r="G88" i="5"/>
  <c r="O88" i="5" s="1"/>
  <c r="N89" i="5"/>
  <c r="L90" i="5"/>
  <c r="F92" i="5"/>
  <c r="O92" i="5" s="1"/>
  <c r="G95" i="5"/>
  <c r="I96" i="5"/>
  <c r="M96" i="5"/>
  <c r="N96" i="5"/>
  <c r="H98" i="5"/>
  <c r="J104" i="5"/>
  <c r="G106" i="5"/>
  <c r="K106" i="5"/>
  <c r="N106" i="5"/>
  <c r="L107" i="5"/>
  <c r="N109" i="5"/>
  <c r="L110" i="5"/>
  <c r="F112" i="5"/>
  <c r="O112" i="5" s="1"/>
  <c r="J114" i="5"/>
  <c r="H115" i="5"/>
  <c r="H118" i="5"/>
  <c r="F122" i="5"/>
  <c r="J123" i="5"/>
  <c r="F123" i="5"/>
  <c r="O123" i="5" s="1"/>
  <c r="K124" i="5"/>
  <c r="K126" i="5"/>
  <c r="G126" i="5"/>
  <c r="O126" i="5" s="1"/>
  <c r="N126" i="5"/>
  <c r="L127" i="5"/>
  <c r="N132" i="5"/>
  <c r="H134" i="5"/>
  <c r="H135" i="5"/>
  <c r="H136" i="5"/>
  <c r="N142" i="5"/>
  <c r="N144" i="5"/>
  <c r="P150" i="5"/>
  <c r="N161" i="5"/>
  <c r="I166" i="5"/>
  <c r="G168" i="5"/>
  <c r="O168" i="5" s="1"/>
  <c r="G170" i="5"/>
  <c r="O170" i="5" s="1"/>
  <c r="K170" i="5"/>
  <c r="I170" i="5"/>
  <c r="J171" i="5"/>
  <c r="F171" i="5"/>
  <c r="M171" i="5"/>
  <c r="G171" i="5"/>
  <c r="H178" i="5"/>
  <c r="H179" i="5"/>
  <c r="N188" i="5"/>
  <c r="P188" i="5"/>
  <c r="J190" i="5"/>
  <c r="I196" i="5"/>
  <c r="M196" i="5"/>
  <c r="K196" i="5"/>
  <c r="F196" i="5"/>
  <c r="O196" i="5" s="1"/>
  <c r="J196" i="5"/>
  <c r="G198" i="5"/>
  <c r="K198" i="5"/>
  <c r="J198" i="5"/>
  <c r="F198" i="5"/>
  <c r="I199" i="5"/>
  <c r="N213" i="5"/>
  <c r="G216" i="5"/>
  <c r="O216" i="5" s="1"/>
  <c r="O218" i="5"/>
  <c r="G222" i="5"/>
  <c r="K222" i="5"/>
  <c r="H222" i="5"/>
  <c r="M222" i="5"/>
  <c r="F224" i="5"/>
  <c r="O224" i="5" s="1"/>
  <c r="O225" i="5"/>
  <c r="H226" i="5"/>
  <c r="I235" i="5"/>
  <c r="O237" i="5"/>
  <c r="H239" i="5"/>
  <c r="J247" i="5"/>
  <c r="F247" i="5"/>
  <c r="H247" i="5"/>
  <c r="M247" i="5"/>
  <c r="G247" i="5"/>
  <c r="G248" i="5"/>
  <c r="G255" i="5"/>
  <c r="H256" i="5"/>
  <c r="J258" i="5"/>
  <c r="N261" i="5"/>
  <c r="J272" i="5"/>
  <c r="H275" i="5"/>
  <c r="F278" i="5"/>
  <c r="O278" i="5" s="1"/>
  <c r="H279" i="5"/>
  <c r="I287" i="5"/>
  <c r="K290" i="5"/>
  <c r="G290" i="5"/>
  <c r="L290" i="5"/>
  <c r="F290" i="5"/>
  <c r="O290" i="5" s="1"/>
  <c r="H296" i="5"/>
  <c r="O298" i="5"/>
  <c r="P301" i="5"/>
  <c r="N301" i="5"/>
  <c r="N312" i="5"/>
  <c r="I316" i="5"/>
  <c r="M316" i="5"/>
  <c r="J316" i="5"/>
  <c r="H316" i="5"/>
  <c r="P321" i="5"/>
  <c r="N321" i="5"/>
  <c r="N324" i="5"/>
  <c r="J342" i="5"/>
  <c r="F347" i="5"/>
  <c r="O347" i="5" s="1"/>
  <c r="J347" i="5"/>
  <c r="M347" i="5"/>
  <c r="H347" i="5"/>
  <c r="I347" i="5"/>
  <c r="F348" i="5"/>
  <c r="O353" i="5"/>
  <c r="H364" i="5"/>
  <c r="I374" i="5"/>
  <c r="M376" i="5"/>
  <c r="I376" i="5"/>
  <c r="G376" i="5"/>
  <c r="L376" i="5"/>
  <c r="J376" i="5"/>
  <c r="F376" i="5"/>
  <c r="P385" i="5"/>
  <c r="N385" i="5"/>
  <c r="J391" i="5"/>
  <c r="F391" i="5"/>
  <c r="O391" i="5" s="1"/>
  <c r="M391" i="5"/>
  <c r="H391" i="5"/>
  <c r="L391" i="5"/>
  <c r="K391" i="5"/>
  <c r="P400" i="5"/>
  <c r="N400" i="5"/>
  <c r="P492" i="5"/>
  <c r="N492" i="5"/>
  <c r="H14" i="5"/>
  <c r="F18" i="5"/>
  <c r="O18" i="5" s="1"/>
  <c r="J19" i="5"/>
  <c r="F19" i="5"/>
  <c r="O19" i="5" s="1"/>
  <c r="K22" i="5"/>
  <c r="G22" i="5"/>
  <c r="N22" i="5"/>
  <c r="H24" i="5"/>
  <c r="G28" i="5"/>
  <c r="H31" i="5"/>
  <c r="I34" i="5"/>
  <c r="G35" i="5"/>
  <c r="M36" i="5"/>
  <c r="I36" i="5"/>
  <c r="N36" i="5"/>
  <c r="F38" i="5"/>
  <c r="O38" i="5" s="1"/>
  <c r="F39" i="5"/>
  <c r="O39" i="5" s="1"/>
  <c r="J39" i="5"/>
  <c r="G48" i="5"/>
  <c r="N49" i="5"/>
  <c r="I51" i="5"/>
  <c r="F52" i="5"/>
  <c r="O52" i="5" s="1"/>
  <c r="I54" i="5"/>
  <c r="G55" i="5"/>
  <c r="I56" i="5"/>
  <c r="M56" i="5"/>
  <c r="N56" i="5"/>
  <c r="H58" i="5"/>
  <c r="G66" i="5"/>
  <c r="K66" i="5"/>
  <c r="N66" i="5"/>
  <c r="H68" i="5"/>
  <c r="N69" i="5"/>
  <c r="I71" i="5"/>
  <c r="F72" i="5"/>
  <c r="H75" i="5"/>
  <c r="H78" i="5"/>
  <c r="F82" i="5"/>
  <c r="O82" i="5" s="1"/>
  <c r="J83" i="5"/>
  <c r="F83" i="5"/>
  <c r="O83" i="5" s="1"/>
  <c r="K86" i="5"/>
  <c r="G86" i="5"/>
  <c r="N86" i="5"/>
  <c r="H88" i="5"/>
  <c r="G92" i="5"/>
  <c r="H95" i="5"/>
  <c r="I98" i="5"/>
  <c r="G99" i="5"/>
  <c r="M100" i="5"/>
  <c r="I100" i="5"/>
  <c r="N100" i="5"/>
  <c r="F102" i="5"/>
  <c r="O102" i="5" s="1"/>
  <c r="F103" i="5"/>
  <c r="O103" i="5" s="1"/>
  <c r="J103" i="5"/>
  <c r="G112" i="5"/>
  <c r="N113" i="5"/>
  <c r="I115" i="5"/>
  <c r="F116" i="5"/>
  <c r="O116" i="5" s="1"/>
  <c r="I118" i="5"/>
  <c r="G119" i="5"/>
  <c r="I120" i="5"/>
  <c r="M120" i="5"/>
  <c r="N120" i="5"/>
  <c r="H122" i="5"/>
  <c r="G130" i="5"/>
  <c r="O130" i="5" s="1"/>
  <c r="K130" i="5"/>
  <c r="P130" i="5"/>
  <c r="P133" i="5"/>
  <c r="N133" i="5"/>
  <c r="I134" i="5"/>
  <c r="K135" i="5"/>
  <c r="K136" i="5"/>
  <c r="O138" i="5"/>
  <c r="G139" i="5"/>
  <c r="F140" i="5"/>
  <c r="F151" i="5"/>
  <c r="O151" i="5" s="1"/>
  <c r="J151" i="5"/>
  <c r="L151" i="5"/>
  <c r="I152" i="5"/>
  <c r="M152" i="5"/>
  <c r="H152" i="5"/>
  <c r="L152" i="5"/>
  <c r="N154" i="5"/>
  <c r="N156" i="5"/>
  <c r="G159" i="5"/>
  <c r="F160" i="5"/>
  <c r="G162" i="5"/>
  <c r="O162" i="5" s="1"/>
  <c r="K162" i="5"/>
  <c r="I162" i="5"/>
  <c r="M162" i="5"/>
  <c r="J163" i="5"/>
  <c r="F163" i="5"/>
  <c r="G163" i="5"/>
  <c r="K163" i="5"/>
  <c r="P164" i="5"/>
  <c r="L166" i="5"/>
  <c r="H168" i="5"/>
  <c r="N174" i="5"/>
  <c r="N176" i="5"/>
  <c r="P177" i="5"/>
  <c r="N177" i="5"/>
  <c r="I178" i="5"/>
  <c r="K179" i="5"/>
  <c r="M192" i="5"/>
  <c r="I192" i="5"/>
  <c r="L192" i="5"/>
  <c r="G192" i="5"/>
  <c r="H192" i="5"/>
  <c r="K194" i="5"/>
  <c r="G194" i="5"/>
  <c r="F194" i="5"/>
  <c r="O194" i="5" s="1"/>
  <c r="L194" i="5"/>
  <c r="J194" i="5"/>
  <c r="K199" i="5"/>
  <c r="I212" i="5"/>
  <c r="M212" i="5"/>
  <c r="F212" i="5"/>
  <c r="K212" i="5"/>
  <c r="G214" i="5"/>
  <c r="K214" i="5"/>
  <c r="J214" i="5"/>
  <c r="I214" i="5"/>
  <c r="G215" i="5"/>
  <c r="K216" i="5"/>
  <c r="G223" i="5"/>
  <c r="H224" i="5"/>
  <c r="I226" i="5"/>
  <c r="N229" i="5"/>
  <c r="J231" i="5"/>
  <c r="F231" i="5"/>
  <c r="M231" i="5"/>
  <c r="H231" i="5"/>
  <c r="G231" i="5"/>
  <c r="L231" i="5"/>
  <c r="G232" i="5"/>
  <c r="K235" i="5"/>
  <c r="F238" i="5"/>
  <c r="L239" i="5"/>
  <c r="N245" i="5"/>
  <c r="H248" i="5"/>
  <c r="H251" i="5"/>
  <c r="F254" i="5"/>
  <c r="H255" i="5"/>
  <c r="O265" i="5"/>
  <c r="K266" i="5"/>
  <c r="G266" i="5"/>
  <c r="M266" i="5"/>
  <c r="H266" i="5"/>
  <c r="F266" i="5"/>
  <c r="O266" i="5" s="1"/>
  <c r="L266" i="5"/>
  <c r="H267" i="5"/>
  <c r="P269" i="5"/>
  <c r="N269" i="5"/>
  <c r="K275" i="5"/>
  <c r="I278" i="5"/>
  <c r="L279" i="5"/>
  <c r="G294" i="5"/>
  <c r="O294" i="5" s="1"/>
  <c r="K294" i="5"/>
  <c r="J294" i="5"/>
  <c r="H294" i="5"/>
  <c r="M294" i="5"/>
  <c r="G295" i="5"/>
  <c r="N300" i="5"/>
  <c r="P318" i="5"/>
  <c r="J327" i="5"/>
  <c r="F327" i="5"/>
  <c r="O327" i="5" s="1"/>
  <c r="M327" i="5"/>
  <c r="H327" i="5"/>
  <c r="I327" i="5"/>
  <c r="F328" i="5"/>
  <c r="O328" i="5" s="1"/>
  <c r="G334" i="5"/>
  <c r="K334" i="5"/>
  <c r="L334" i="5"/>
  <c r="F334" i="5"/>
  <c r="O334" i="5" s="1"/>
  <c r="N337" i="5"/>
  <c r="M344" i="5"/>
  <c r="I344" i="5"/>
  <c r="L344" i="5"/>
  <c r="G344" i="5"/>
  <c r="F344" i="5"/>
  <c r="O344" i="5" s="1"/>
  <c r="H348" i="5"/>
  <c r="N357" i="5"/>
  <c r="G359" i="5"/>
  <c r="F363" i="5"/>
  <c r="J363" i="5"/>
  <c r="K363" i="5"/>
  <c r="M363" i="5"/>
  <c r="I363" i="5"/>
  <c r="G363" i="5"/>
  <c r="H371" i="5"/>
  <c r="P389" i="5"/>
  <c r="N389" i="5"/>
  <c r="L395" i="5"/>
  <c r="F461" i="5"/>
  <c r="O461" i="5" s="1"/>
  <c r="J461" i="5"/>
  <c r="K461" i="5"/>
  <c r="M461" i="5"/>
  <c r="L461" i="5"/>
  <c r="I461" i="5"/>
  <c r="H461" i="5"/>
  <c r="G461" i="5"/>
  <c r="I14" i="5"/>
  <c r="I16" i="5"/>
  <c r="M16" i="5"/>
  <c r="N16" i="5"/>
  <c r="H18" i="5"/>
  <c r="J24" i="5"/>
  <c r="G26" i="5"/>
  <c r="K26" i="5"/>
  <c r="N26" i="5"/>
  <c r="H28" i="5"/>
  <c r="N29" i="5"/>
  <c r="I31" i="5"/>
  <c r="J34" i="5"/>
  <c r="H35" i="5"/>
  <c r="H38" i="5"/>
  <c r="J43" i="5"/>
  <c r="F43" i="5"/>
  <c r="K46" i="5"/>
  <c r="G46" i="5"/>
  <c r="N46" i="5"/>
  <c r="H48" i="5"/>
  <c r="K51" i="5"/>
  <c r="G52" i="5"/>
  <c r="J54" i="5"/>
  <c r="H55" i="5"/>
  <c r="I58" i="5"/>
  <c r="M60" i="5"/>
  <c r="I60" i="5"/>
  <c r="N60" i="5"/>
  <c r="O62" i="5"/>
  <c r="F63" i="5"/>
  <c r="J63" i="5"/>
  <c r="J68" i="5"/>
  <c r="K71" i="5"/>
  <c r="G72" i="5"/>
  <c r="N73" i="5"/>
  <c r="I75" i="5"/>
  <c r="I78" i="5"/>
  <c r="I80" i="5"/>
  <c r="M80" i="5"/>
  <c r="N80" i="5"/>
  <c r="H82" i="5"/>
  <c r="J88" i="5"/>
  <c r="G90" i="5"/>
  <c r="K90" i="5"/>
  <c r="N90" i="5"/>
  <c r="H92" i="5"/>
  <c r="N93" i="5"/>
  <c r="I95" i="5"/>
  <c r="J98" i="5"/>
  <c r="H99" i="5"/>
  <c r="H102" i="5"/>
  <c r="O106" i="5"/>
  <c r="J107" i="5"/>
  <c r="F107" i="5"/>
  <c r="K110" i="5"/>
  <c r="G110" i="5"/>
  <c r="N110" i="5"/>
  <c r="H112" i="5"/>
  <c r="K115" i="5"/>
  <c r="G116" i="5"/>
  <c r="J118" i="5"/>
  <c r="H119" i="5"/>
  <c r="I122" i="5"/>
  <c r="M124" i="5"/>
  <c r="I124" i="5"/>
  <c r="N124" i="5"/>
  <c r="F127" i="5"/>
  <c r="J127" i="5"/>
  <c r="J131" i="5"/>
  <c r="F131" i="5"/>
  <c r="L131" i="5"/>
  <c r="M132" i="5"/>
  <c r="I132" i="5"/>
  <c r="H132" i="5"/>
  <c r="L132" i="5"/>
  <c r="J134" i="5"/>
  <c r="I139" i="5"/>
  <c r="G140" i="5"/>
  <c r="K142" i="5"/>
  <c r="G142" i="5"/>
  <c r="H142" i="5"/>
  <c r="L142" i="5"/>
  <c r="F143" i="5"/>
  <c r="J143" i="5"/>
  <c r="I143" i="5"/>
  <c r="I144" i="5"/>
  <c r="M144" i="5"/>
  <c r="L144" i="5"/>
  <c r="F144" i="5"/>
  <c r="N145" i="5"/>
  <c r="N153" i="5"/>
  <c r="I159" i="5"/>
  <c r="G160" i="5"/>
  <c r="J168" i="5"/>
  <c r="N173" i="5"/>
  <c r="J178" i="5"/>
  <c r="N181" i="5"/>
  <c r="M184" i="5"/>
  <c r="I184" i="5"/>
  <c r="J184" i="5"/>
  <c r="H184" i="5"/>
  <c r="P204" i="5"/>
  <c r="M208" i="5"/>
  <c r="I208" i="5"/>
  <c r="G208" i="5"/>
  <c r="L208" i="5"/>
  <c r="J208" i="5"/>
  <c r="K210" i="5"/>
  <c r="G210" i="5"/>
  <c r="L210" i="5"/>
  <c r="F210" i="5"/>
  <c r="O210" i="5" s="1"/>
  <c r="H210" i="5"/>
  <c r="I215" i="5"/>
  <c r="O222" i="5"/>
  <c r="H223" i="5"/>
  <c r="J224" i="5"/>
  <c r="H232" i="5"/>
  <c r="I238" i="5"/>
  <c r="I244" i="5"/>
  <c r="M244" i="5"/>
  <c r="F244" i="5"/>
  <c r="K244" i="5"/>
  <c r="J244" i="5"/>
  <c r="G246" i="5"/>
  <c r="K246" i="5"/>
  <c r="J246" i="5"/>
  <c r="F246" i="5"/>
  <c r="O246" i="5" s="1"/>
  <c r="K248" i="5"/>
  <c r="K251" i="5"/>
  <c r="I254" i="5"/>
  <c r="L255" i="5"/>
  <c r="P257" i="5"/>
  <c r="N257" i="5"/>
  <c r="I260" i="5"/>
  <c r="M260" i="5"/>
  <c r="K260" i="5"/>
  <c r="F260" i="5"/>
  <c r="G260" i="5"/>
  <c r="I267" i="5"/>
  <c r="K295" i="5"/>
  <c r="F315" i="5"/>
  <c r="J315" i="5"/>
  <c r="H315" i="5"/>
  <c r="M315" i="5"/>
  <c r="K315" i="5"/>
  <c r="H328" i="5"/>
  <c r="K346" i="5"/>
  <c r="G346" i="5"/>
  <c r="J346" i="5"/>
  <c r="H346" i="5"/>
  <c r="M346" i="5"/>
  <c r="G358" i="5"/>
  <c r="K358" i="5"/>
  <c r="J358" i="5"/>
  <c r="L358" i="5"/>
  <c r="I358" i="5"/>
  <c r="I359" i="5"/>
  <c r="I371" i="5"/>
  <c r="P388" i="5"/>
  <c r="N388" i="5"/>
  <c r="P416" i="5"/>
  <c r="N416" i="5"/>
  <c r="J14" i="5"/>
  <c r="I18" i="5"/>
  <c r="M20" i="5"/>
  <c r="I20" i="5"/>
  <c r="O22" i="5"/>
  <c r="F23" i="5"/>
  <c r="O23" i="5" s="1"/>
  <c r="J23" i="5"/>
  <c r="K24" i="5"/>
  <c r="J28" i="5"/>
  <c r="K31" i="5"/>
  <c r="L34" i="5"/>
  <c r="I35" i="5"/>
  <c r="I38" i="5"/>
  <c r="I40" i="5"/>
  <c r="M40" i="5"/>
  <c r="J48" i="5"/>
  <c r="G50" i="5"/>
  <c r="O50" i="5" s="1"/>
  <c r="K50" i="5"/>
  <c r="L51" i="5"/>
  <c r="H52" i="5"/>
  <c r="L54" i="5"/>
  <c r="I55" i="5"/>
  <c r="J58" i="5"/>
  <c r="O66" i="5"/>
  <c r="J67" i="5"/>
  <c r="F67" i="5"/>
  <c r="O67" i="5" s="1"/>
  <c r="K68" i="5"/>
  <c r="K70" i="5"/>
  <c r="G70" i="5"/>
  <c r="L71" i="5"/>
  <c r="H72" i="5"/>
  <c r="K75" i="5"/>
  <c r="J78" i="5"/>
  <c r="I82" i="5"/>
  <c r="M84" i="5"/>
  <c r="I84" i="5"/>
  <c r="O86" i="5"/>
  <c r="F87" i="5"/>
  <c r="O87" i="5" s="1"/>
  <c r="J87" i="5"/>
  <c r="K88" i="5"/>
  <c r="J92" i="5"/>
  <c r="K95" i="5"/>
  <c r="L98" i="5"/>
  <c r="I99" i="5"/>
  <c r="I102" i="5"/>
  <c r="I104" i="5"/>
  <c r="M104" i="5"/>
  <c r="J112" i="5"/>
  <c r="G114" i="5"/>
  <c r="O114" i="5" s="1"/>
  <c r="K114" i="5"/>
  <c r="L115" i="5"/>
  <c r="H116" i="5"/>
  <c r="L118" i="5"/>
  <c r="I119" i="5"/>
  <c r="J122" i="5"/>
  <c r="K139" i="5"/>
  <c r="J140" i="5"/>
  <c r="G154" i="5"/>
  <c r="K154" i="5"/>
  <c r="M154" i="5"/>
  <c r="F154" i="5"/>
  <c r="M156" i="5"/>
  <c r="I156" i="5"/>
  <c r="G156" i="5"/>
  <c r="K156" i="5"/>
  <c r="K159" i="5"/>
  <c r="J160" i="5"/>
  <c r="K174" i="5"/>
  <c r="G174" i="5"/>
  <c r="M174" i="5"/>
  <c r="F174" i="5"/>
  <c r="I176" i="5"/>
  <c r="M176" i="5"/>
  <c r="G176" i="5"/>
  <c r="O176" i="5" s="1"/>
  <c r="K176" i="5"/>
  <c r="J183" i="5"/>
  <c r="F183" i="5"/>
  <c r="O183" i="5" s="1"/>
  <c r="H183" i="5"/>
  <c r="M183" i="5"/>
  <c r="K183" i="5"/>
  <c r="J191" i="5"/>
  <c r="F191" i="5"/>
  <c r="O191" i="5" s="1"/>
  <c r="K191" i="5"/>
  <c r="H191" i="5"/>
  <c r="M191" i="5"/>
  <c r="F192" i="5"/>
  <c r="H194" i="5"/>
  <c r="F203" i="5"/>
  <c r="J203" i="5"/>
  <c r="L203" i="5"/>
  <c r="G203" i="5"/>
  <c r="K203" i="5"/>
  <c r="J207" i="5"/>
  <c r="F207" i="5"/>
  <c r="O207" i="5" s="1"/>
  <c r="K207" i="5"/>
  <c r="I207" i="5"/>
  <c r="G212" i="5"/>
  <c r="F214" i="5"/>
  <c r="O214" i="5" s="1"/>
  <c r="L215" i="5"/>
  <c r="N220" i="5"/>
  <c r="P220" i="5"/>
  <c r="I223" i="5"/>
  <c r="I228" i="5"/>
  <c r="M228" i="5"/>
  <c r="K228" i="5"/>
  <c r="F228" i="5"/>
  <c r="O228" i="5" s="1"/>
  <c r="J228" i="5"/>
  <c r="G230" i="5"/>
  <c r="K230" i="5"/>
  <c r="J230" i="5"/>
  <c r="F230" i="5"/>
  <c r="O230" i="5" s="1"/>
  <c r="L230" i="5"/>
  <c r="I231" i="5"/>
  <c r="L232" i="5"/>
  <c r="N234" i="5"/>
  <c r="P234" i="5"/>
  <c r="L238" i="5"/>
  <c r="M240" i="5"/>
  <c r="I240" i="5"/>
  <c r="G240" i="5"/>
  <c r="O240" i="5" s="1"/>
  <c r="L240" i="5"/>
  <c r="J240" i="5"/>
  <c r="K242" i="5"/>
  <c r="G242" i="5"/>
  <c r="L242" i="5"/>
  <c r="F242" i="5"/>
  <c r="H242" i="5"/>
  <c r="M242" i="5"/>
  <c r="M251" i="5"/>
  <c r="L254" i="5"/>
  <c r="I266" i="5"/>
  <c r="M267" i="5"/>
  <c r="N270" i="5"/>
  <c r="L295" i="5"/>
  <c r="M304" i="5"/>
  <c r="I304" i="5"/>
  <c r="K304" i="5"/>
  <c r="F304" i="5"/>
  <c r="O304" i="5" s="1"/>
  <c r="P308" i="5"/>
  <c r="G326" i="5"/>
  <c r="K326" i="5"/>
  <c r="J326" i="5"/>
  <c r="H326" i="5"/>
  <c r="M326" i="5"/>
  <c r="K328" i="5"/>
  <c r="J343" i="5"/>
  <c r="F343" i="5"/>
  <c r="O343" i="5" s="1"/>
  <c r="K343" i="5"/>
  <c r="G343" i="5"/>
  <c r="J375" i="5"/>
  <c r="F375" i="5"/>
  <c r="K375" i="5"/>
  <c r="M375" i="5"/>
  <c r="I375" i="5"/>
  <c r="G375" i="5"/>
  <c r="K394" i="5"/>
  <c r="G394" i="5"/>
  <c r="M394" i="5"/>
  <c r="H394" i="5"/>
  <c r="J394" i="5"/>
  <c r="I394" i="5"/>
  <c r="F394" i="5"/>
  <c r="I396" i="5"/>
  <c r="M396" i="5"/>
  <c r="G396" i="5"/>
  <c r="L396" i="5"/>
  <c r="J396" i="5"/>
  <c r="H396" i="5"/>
  <c r="F396" i="5"/>
  <c r="O396" i="5" s="1"/>
  <c r="L14" i="5"/>
  <c r="I15" i="5"/>
  <c r="F16" i="5"/>
  <c r="O16" i="5" s="1"/>
  <c r="J18" i="5"/>
  <c r="H19" i="5"/>
  <c r="H22" i="5"/>
  <c r="F26" i="5"/>
  <c r="J27" i="5"/>
  <c r="F27" i="5"/>
  <c r="O27" i="5" s="1"/>
  <c r="K28" i="5"/>
  <c r="K30" i="5"/>
  <c r="G30" i="5"/>
  <c r="L31" i="5"/>
  <c r="H32" i="5"/>
  <c r="K35" i="5"/>
  <c r="G36" i="5"/>
  <c r="O36" i="5" s="1"/>
  <c r="J38" i="5"/>
  <c r="H39" i="5"/>
  <c r="I42" i="5"/>
  <c r="G43" i="5"/>
  <c r="M44" i="5"/>
  <c r="I44" i="5"/>
  <c r="F46" i="5"/>
  <c r="F47" i="5"/>
  <c r="O47" i="5" s="1"/>
  <c r="J47" i="5"/>
  <c r="K48" i="5"/>
  <c r="J52" i="5"/>
  <c r="K55" i="5"/>
  <c r="G56" i="5"/>
  <c r="O56" i="5" s="1"/>
  <c r="N57" i="5"/>
  <c r="L58" i="5"/>
  <c r="I59" i="5"/>
  <c r="F60" i="5"/>
  <c r="O60" i="5" s="1"/>
  <c r="I62" i="5"/>
  <c r="G63" i="5"/>
  <c r="I64" i="5"/>
  <c r="M64" i="5"/>
  <c r="H66" i="5"/>
  <c r="J72" i="5"/>
  <c r="G74" i="5"/>
  <c r="O74" i="5" s="1"/>
  <c r="K74" i="5"/>
  <c r="L75" i="5"/>
  <c r="H76" i="5"/>
  <c r="N77" i="5"/>
  <c r="L78" i="5"/>
  <c r="I79" i="5"/>
  <c r="F80" i="5"/>
  <c r="O80" i="5" s="1"/>
  <c r="J82" i="5"/>
  <c r="H83" i="5"/>
  <c r="H86" i="5"/>
  <c r="F90" i="5"/>
  <c r="J91" i="5"/>
  <c r="F91" i="5"/>
  <c r="O91" i="5" s="1"/>
  <c r="K92" i="5"/>
  <c r="K94" i="5"/>
  <c r="G94" i="5"/>
  <c r="O94" i="5" s="1"/>
  <c r="L95" i="5"/>
  <c r="H96" i="5"/>
  <c r="K99" i="5"/>
  <c r="G100" i="5"/>
  <c r="O100" i="5" s="1"/>
  <c r="J102" i="5"/>
  <c r="H103" i="5"/>
  <c r="I106" i="5"/>
  <c r="G107" i="5"/>
  <c r="M108" i="5"/>
  <c r="I108" i="5"/>
  <c r="F110" i="5"/>
  <c r="O110" i="5" s="1"/>
  <c r="F111" i="5"/>
  <c r="O111" i="5" s="1"/>
  <c r="J111" i="5"/>
  <c r="K112" i="5"/>
  <c r="J116" i="5"/>
  <c r="K119" i="5"/>
  <c r="G120" i="5"/>
  <c r="O120" i="5" s="1"/>
  <c r="N121" i="5"/>
  <c r="L122" i="5"/>
  <c r="I123" i="5"/>
  <c r="F124" i="5"/>
  <c r="O124" i="5" s="1"/>
  <c r="I126" i="5"/>
  <c r="G127" i="5"/>
  <c r="I128" i="5"/>
  <c r="M128" i="5"/>
  <c r="H130" i="5"/>
  <c r="G131" i="5"/>
  <c r="F132" i="5"/>
  <c r="O132" i="5" s="1"/>
  <c r="M139" i="5"/>
  <c r="K140" i="5"/>
  <c r="F142" i="5"/>
  <c r="G143" i="5"/>
  <c r="G144" i="5"/>
  <c r="G146" i="5"/>
  <c r="K146" i="5"/>
  <c r="F146" i="5"/>
  <c r="O146" i="5" s="1"/>
  <c r="J146" i="5"/>
  <c r="M148" i="5"/>
  <c r="I148" i="5"/>
  <c r="K148" i="5"/>
  <c r="H151" i="5"/>
  <c r="G152" i="5"/>
  <c r="O153" i="5"/>
  <c r="M159" i="5"/>
  <c r="K160" i="5"/>
  <c r="H162" i="5"/>
  <c r="I163" i="5"/>
  <c r="J170" i="5"/>
  <c r="K171" i="5"/>
  <c r="I180" i="5"/>
  <c r="M180" i="5"/>
  <c r="F180" i="5"/>
  <c r="O180" i="5" s="1"/>
  <c r="K180" i="5"/>
  <c r="H180" i="5"/>
  <c r="G182" i="5"/>
  <c r="K182" i="5"/>
  <c r="J182" i="5"/>
  <c r="I182" i="5"/>
  <c r="F184" i="5"/>
  <c r="O184" i="5" s="1"/>
  <c r="J192" i="5"/>
  <c r="I194" i="5"/>
  <c r="L196" i="5"/>
  <c r="L198" i="5"/>
  <c r="M200" i="5"/>
  <c r="I200" i="5"/>
  <c r="J200" i="5"/>
  <c r="F200" i="5"/>
  <c r="O200" i="5" s="1"/>
  <c r="G206" i="5"/>
  <c r="K206" i="5"/>
  <c r="M206" i="5"/>
  <c r="H206" i="5"/>
  <c r="J206" i="5"/>
  <c r="F208" i="5"/>
  <c r="O208" i="5" s="1"/>
  <c r="I210" i="5"/>
  <c r="H212" i="5"/>
  <c r="H214" i="5"/>
  <c r="N217" i="5"/>
  <c r="J222" i="5"/>
  <c r="L223" i="5"/>
  <c r="K231" i="5"/>
  <c r="G244" i="5"/>
  <c r="H246" i="5"/>
  <c r="L247" i="5"/>
  <c r="H260" i="5"/>
  <c r="O262" i="5"/>
  <c r="J266" i="5"/>
  <c r="N273" i="5"/>
  <c r="P276" i="5"/>
  <c r="M280" i="5"/>
  <c r="I280" i="5"/>
  <c r="L280" i="5"/>
  <c r="G280" i="5"/>
  <c r="O280" i="5" s="1"/>
  <c r="J280" i="5"/>
  <c r="N285" i="5"/>
  <c r="P289" i="5"/>
  <c r="N289" i="5"/>
  <c r="J290" i="5"/>
  <c r="I294" i="5"/>
  <c r="G302" i="5"/>
  <c r="K302" i="5"/>
  <c r="F302" i="5"/>
  <c r="O302" i="5" s="1"/>
  <c r="L302" i="5"/>
  <c r="F307" i="5"/>
  <c r="O307" i="5" s="1"/>
  <c r="J307" i="5"/>
  <c r="L307" i="5"/>
  <c r="G307" i="5"/>
  <c r="I307" i="5"/>
  <c r="O313" i="5"/>
  <c r="K314" i="5"/>
  <c r="G314" i="5"/>
  <c r="O314" i="5" s="1"/>
  <c r="J314" i="5"/>
  <c r="I314" i="5"/>
  <c r="G315" i="5"/>
  <c r="K316" i="5"/>
  <c r="K327" i="5"/>
  <c r="I334" i="5"/>
  <c r="F339" i="5"/>
  <c r="O339" i="5" s="1"/>
  <c r="J339" i="5"/>
  <c r="G339" i="5"/>
  <c r="L339" i="5"/>
  <c r="K339" i="5"/>
  <c r="J344" i="5"/>
  <c r="F346" i="5"/>
  <c r="O346" i="5" s="1"/>
  <c r="L347" i="5"/>
  <c r="I356" i="5"/>
  <c r="M356" i="5"/>
  <c r="F356" i="5"/>
  <c r="O356" i="5" s="1"/>
  <c r="K356" i="5"/>
  <c r="H356" i="5"/>
  <c r="F358" i="5"/>
  <c r="M360" i="5"/>
  <c r="I360" i="5"/>
  <c r="J360" i="5"/>
  <c r="K360" i="5"/>
  <c r="H360" i="5"/>
  <c r="K362" i="5"/>
  <c r="G362" i="5"/>
  <c r="H362" i="5"/>
  <c r="M362" i="5"/>
  <c r="J362" i="5"/>
  <c r="F362" i="5"/>
  <c r="L363" i="5"/>
  <c r="P377" i="5"/>
  <c r="N377" i="5"/>
  <c r="G390" i="5"/>
  <c r="O390" i="5" s="1"/>
  <c r="K390" i="5"/>
  <c r="J390" i="5"/>
  <c r="M390" i="5"/>
  <c r="L390" i="5"/>
  <c r="I390" i="5"/>
  <c r="M392" i="5"/>
  <c r="I392" i="5"/>
  <c r="J392" i="5"/>
  <c r="L392" i="5"/>
  <c r="K392" i="5"/>
  <c r="H392" i="5"/>
  <c r="L18" i="5"/>
  <c r="I24" i="5"/>
  <c r="M24" i="5"/>
  <c r="G34" i="5"/>
  <c r="K34" i="5"/>
  <c r="L35" i="5"/>
  <c r="L38" i="5"/>
  <c r="J51" i="5"/>
  <c r="F51" i="5"/>
  <c r="O51" i="5" s="1"/>
  <c r="K52" i="5"/>
  <c r="K54" i="5"/>
  <c r="G54" i="5"/>
  <c r="O54" i="5" s="1"/>
  <c r="L55" i="5"/>
  <c r="M68" i="5"/>
  <c r="I68" i="5"/>
  <c r="O70" i="5"/>
  <c r="F71" i="5"/>
  <c r="O71" i="5" s="1"/>
  <c r="J71" i="5"/>
  <c r="K72" i="5"/>
  <c r="L82" i="5"/>
  <c r="I88" i="5"/>
  <c r="M88" i="5"/>
  <c r="G98" i="5"/>
  <c r="O98" i="5" s="1"/>
  <c r="K98" i="5"/>
  <c r="L99" i="5"/>
  <c r="L102" i="5"/>
  <c r="J115" i="5"/>
  <c r="F115" i="5"/>
  <c r="O115" i="5" s="1"/>
  <c r="K116" i="5"/>
  <c r="K118" i="5"/>
  <c r="G118" i="5"/>
  <c r="O118" i="5" s="1"/>
  <c r="L119" i="5"/>
  <c r="K134" i="5"/>
  <c r="G134" i="5"/>
  <c r="L134" i="5"/>
  <c r="F135" i="5"/>
  <c r="O135" i="5" s="1"/>
  <c r="J135" i="5"/>
  <c r="I135" i="5"/>
  <c r="M135" i="5"/>
  <c r="I136" i="5"/>
  <c r="M136" i="5"/>
  <c r="F136" i="5"/>
  <c r="O136" i="5" s="1"/>
  <c r="J136" i="5"/>
  <c r="L140" i="5"/>
  <c r="L160" i="5"/>
  <c r="K166" i="5"/>
  <c r="G166" i="5"/>
  <c r="F166" i="5"/>
  <c r="O166" i="5" s="1"/>
  <c r="J166" i="5"/>
  <c r="I168" i="5"/>
  <c r="M168" i="5"/>
  <c r="K168" i="5"/>
  <c r="G178" i="5"/>
  <c r="K178" i="5"/>
  <c r="L178" i="5"/>
  <c r="J179" i="5"/>
  <c r="F179" i="5"/>
  <c r="O179" i="5" s="1"/>
  <c r="I179" i="5"/>
  <c r="M179" i="5"/>
  <c r="G190" i="5"/>
  <c r="O190" i="5" s="1"/>
  <c r="K190" i="5"/>
  <c r="H190" i="5"/>
  <c r="M190" i="5"/>
  <c r="I190" i="5"/>
  <c r="P212" i="5"/>
  <c r="N212" i="5"/>
  <c r="M216" i="5"/>
  <c r="I216" i="5"/>
  <c r="J216" i="5"/>
  <c r="H216" i="5"/>
  <c r="J239" i="5"/>
  <c r="F239" i="5"/>
  <c r="O239" i="5" s="1"/>
  <c r="K239" i="5"/>
  <c r="I239" i="5"/>
  <c r="M256" i="5"/>
  <c r="I256" i="5"/>
  <c r="L256" i="5"/>
  <c r="G256" i="5"/>
  <c r="O256" i="5" s="1"/>
  <c r="J256" i="5"/>
  <c r="K258" i="5"/>
  <c r="G258" i="5"/>
  <c r="F258" i="5"/>
  <c r="L258" i="5"/>
  <c r="H258" i="5"/>
  <c r="I268" i="5"/>
  <c r="M268" i="5"/>
  <c r="G268" i="5"/>
  <c r="L268" i="5"/>
  <c r="F268" i="5"/>
  <c r="O268" i="5" s="1"/>
  <c r="K268" i="5"/>
  <c r="M272" i="5"/>
  <c r="I272" i="5"/>
  <c r="F272" i="5"/>
  <c r="O272" i="5" s="1"/>
  <c r="K272" i="5"/>
  <c r="G272" i="5"/>
  <c r="J279" i="5"/>
  <c r="F279" i="5"/>
  <c r="O279" i="5" s="1"/>
  <c r="K279" i="5"/>
  <c r="I279" i="5"/>
  <c r="M296" i="5"/>
  <c r="I296" i="5"/>
  <c r="J296" i="5"/>
  <c r="G296" i="5"/>
  <c r="L296" i="5"/>
  <c r="O326" i="5"/>
  <c r="P333" i="5"/>
  <c r="N333" i="5"/>
  <c r="G342" i="5"/>
  <c r="K342" i="5"/>
  <c r="H342" i="5"/>
  <c r="M342" i="5"/>
  <c r="F342" i="5"/>
  <c r="O342" i="5" s="1"/>
  <c r="J383" i="5"/>
  <c r="F383" i="5"/>
  <c r="G383" i="5"/>
  <c r="L383" i="5"/>
  <c r="K383" i="5"/>
  <c r="I383" i="5"/>
  <c r="H383" i="5"/>
  <c r="F403" i="5"/>
  <c r="O403" i="5" s="1"/>
  <c r="J403" i="5"/>
  <c r="G403" i="5"/>
  <c r="L403" i="5"/>
  <c r="M403" i="5"/>
  <c r="K403" i="5"/>
  <c r="I403" i="5"/>
  <c r="H403" i="5"/>
  <c r="K14" i="5"/>
  <c r="G14" i="5"/>
  <c r="M18" i="5"/>
  <c r="M28" i="5"/>
  <c r="I28" i="5"/>
  <c r="O30" i="5"/>
  <c r="F31" i="5"/>
  <c r="O31" i="5" s="1"/>
  <c r="J31" i="5"/>
  <c r="M35" i="5"/>
  <c r="M38" i="5"/>
  <c r="I48" i="5"/>
  <c r="M48" i="5"/>
  <c r="L52" i="5"/>
  <c r="M55" i="5"/>
  <c r="G58" i="5"/>
  <c r="K58" i="5"/>
  <c r="L72" i="5"/>
  <c r="J75" i="5"/>
  <c r="F75" i="5"/>
  <c r="K78" i="5"/>
  <c r="G78" i="5"/>
  <c r="M82" i="5"/>
  <c r="M92" i="5"/>
  <c r="I92" i="5"/>
  <c r="F95" i="5"/>
  <c r="O95" i="5" s="1"/>
  <c r="J95" i="5"/>
  <c r="M99" i="5"/>
  <c r="M102" i="5"/>
  <c r="I112" i="5"/>
  <c r="M112" i="5"/>
  <c r="L116" i="5"/>
  <c r="M119" i="5"/>
  <c r="G122" i="5"/>
  <c r="K122" i="5"/>
  <c r="O148" i="5"/>
  <c r="O182" i="5"/>
  <c r="O189" i="5"/>
  <c r="J199" i="5"/>
  <c r="F199" i="5"/>
  <c r="O199" i="5" s="1"/>
  <c r="M199" i="5"/>
  <c r="H199" i="5"/>
  <c r="G199" i="5"/>
  <c r="O202" i="5"/>
  <c r="O206" i="5"/>
  <c r="M224" i="5"/>
  <c r="I224" i="5"/>
  <c r="L224" i="5"/>
  <c r="G224" i="5"/>
  <c r="K226" i="5"/>
  <c r="G226" i="5"/>
  <c r="F226" i="5"/>
  <c r="O226" i="5" s="1"/>
  <c r="L226" i="5"/>
  <c r="J226" i="5"/>
  <c r="F235" i="5"/>
  <c r="J235" i="5"/>
  <c r="L235" i="5"/>
  <c r="G235" i="5"/>
  <c r="H235" i="5"/>
  <c r="M248" i="5"/>
  <c r="I248" i="5"/>
  <c r="J248" i="5"/>
  <c r="F248" i="5"/>
  <c r="J255" i="5"/>
  <c r="F255" i="5"/>
  <c r="K255" i="5"/>
  <c r="I255" i="5"/>
  <c r="F275" i="5"/>
  <c r="O275" i="5" s="1"/>
  <c r="J275" i="5"/>
  <c r="G275" i="5"/>
  <c r="L275" i="5"/>
  <c r="I275" i="5"/>
  <c r="G278" i="5"/>
  <c r="K278" i="5"/>
  <c r="H278" i="5"/>
  <c r="M278" i="5"/>
  <c r="J278" i="5"/>
  <c r="J287" i="5"/>
  <c r="F287" i="5"/>
  <c r="O287" i="5" s="1"/>
  <c r="L287" i="5"/>
  <c r="G287" i="5"/>
  <c r="H287" i="5"/>
  <c r="M287" i="5"/>
  <c r="O306" i="5"/>
  <c r="O309" i="5"/>
  <c r="N320" i="5"/>
  <c r="P320" i="5"/>
  <c r="I348" i="5"/>
  <c r="M348" i="5"/>
  <c r="J348" i="5"/>
  <c r="G348" i="5"/>
  <c r="L348" i="5"/>
  <c r="O360" i="5"/>
  <c r="I364" i="5"/>
  <c r="M364" i="5"/>
  <c r="L364" i="5"/>
  <c r="G364" i="5"/>
  <c r="J364" i="5"/>
  <c r="F364" i="5"/>
  <c r="O364" i="5" s="1"/>
  <c r="G374" i="5"/>
  <c r="K374" i="5"/>
  <c r="M374" i="5"/>
  <c r="H374" i="5"/>
  <c r="J374" i="5"/>
  <c r="F374" i="5"/>
  <c r="P386" i="5"/>
  <c r="N386" i="5"/>
  <c r="O392" i="5"/>
  <c r="G138" i="5"/>
  <c r="K138" i="5"/>
  <c r="N141" i="5"/>
  <c r="J155" i="5"/>
  <c r="F155" i="5"/>
  <c r="O155" i="5" s="1"/>
  <c r="K158" i="5"/>
  <c r="G158" i="5"/>
  <c r="O158" i="5" s="1"/>
  <c r="M172" i="5"/>
  <c r="I172" i="5"/>
  <c r="F175" i="5"/>
  <c r="O175" i="5" s="1"/>
  <c r="J175" i="5"/>
  <c r="F187" i="5"/>
  <c r="J187" i="5"/>
  <c r="G187" i="5"/>
  <c r="L187" i="5"/>
  <c r="P193" i="5"/>
  <c r="N193" i="5"/>
  <c r="P202" i="5"/>
  <c r="O221" i="5"/>
  <c r="G262" i="5"/>
  <c r="K262" i="5"/>
  <c r="J262" i="5"/>
  <c r="J263" i="5"/>
  <c r="F263" i="5"/>
  <c r="O263" i="5" s="1"/>
  <c r="M263" i="5"/>
  <c r="H263" i="5"/>
  <c r="M264" i="5"/>
  <c r="I264" i="5"/>
  <c r="J264" i="5"/>
  <c r="K282" i="5"/>
  <c r="G282" i="5"/>
  <c r="O282" i="5" s="1"/>
  <c r="J282" i="5"/>
  <c r="F283" i="5"/>
  <c r="O283" i="5" s="1"/>
  <c r="J283" i="5"/>
  <c r="M283" i="5"/>
  <c r="H283" i="5"/>
  <c r="I284" i="5"/>
  <c r="M284" i="5"/>
  <c r="J284" i="5"/>
  <c r="I292" i="5"/>
  <c r="M292" i="5"/>
  <c r="F292" i="5"/>
  <c r="O292" i="5" s="1"/>
  <c r="K292" i="5"/>
  <c r="N293" i="5"/>
  <c r="N305" i="5"/>
  <c r="K322" i="5"/>
  <c r="G322" i="5"/>
  <c r="F322" i="5"/>
  <c r="L322" i="5"/>
  <c r="I324" i="5"/>
  <c r="M324" i="5"/>
  <c r="K324" i="5"/>
  <c r="F324" i="5"/>
  <c r="O324" i="5" s="1"/>
  <c r="N325" i="5"/>
  <c r="M336" i="5"/>
  <c r="I336" i="5"/>
  <c r="F336" i="5"/>
  <c r="O336" i="5" s="1"/>
  <c r="K336" i="5"/>
  <c r="N345" i="5"/>
  <c r="O373" i="5"/>
  <c r="L378" i="5"/>
  <c r="K380" i="5"/>
  <c r="G406" i="5"/>
  <c r="K406" i="5"/>
  <c r="H406" i="5"/>
  <c r="M406" i="5"/>
  <c r="G422" i="5"/>
  <c r="K422" i="5"/>
  <c r="M422" i="5"/>
  <c r="L422" i="5"/>
  <c r="J422" i="5"/>
  <c r="I422" i="5"/>
  <c r="H422" i="5"/>
  <c r="F422" i="5"/>
  <c r="O422" i="5" s="1"/>
  <c r="J439" i="5"/>
  <c r="F439" i="5"/>
  <c r="O439" i="5" s="1"/>
  <c r="M439" i="5"/>
  <c r="L439" i="5"/>
  <c r="K439" i="5"/>
  <c r="I439" i="5"/>
  <c r="H439" i="5"/>
  <c r="G439" i="5"/>
  <c r="K354" i="5"/>
  <c r="G354" i="5"/>
  <c r="L354" i="5"/>
  <c r="F354" i="5"/>
  <c r="G366" i="5"/>
  <c r="K366" i="5"/>
  <c r="F366" i="5"/>
  <c r="L366" i="5"/>
  <c r="M368" i="5"/>
  <c r="I368" i="5"/>
  <c r="K368" i="5"/>
  <c r="F368" i="5"/>
  <c r="G398" i="5"/>
  <c r="K398" i="5"/>
  <c r="L398" i="5"/>
  <c r="F398" i="5"/>
  <c r="O398" i="5" s="1"/>
  <c r="O405" i="5"/>
  <c r="P417" i="5"/>
  <c r="N417" i="5"/>
  <c r="P430" i="5"/>
  <c r="N430" i="5"/>
  <c r="I462" i="5"/>
  <c r="M462" i="5"/>
  <c r="G462" i="5"/>
  <c r="L462" i="5"/>
  <c r="K462" i="5"/>
  <c r="J462" i="5"/>
  <c r="H462" i="5"/>
  <c r="F462" i="5"/>
  <c r="P480" i="5"/>
  <c r="N480" i="5"/>
  <c r="K386" i="5"/>
  <c r="G386" i="5"/>
  <c r="F386" i="5"/>
  <c r="O386" i="5" s="1"/>
  <c r="L386" i="5"/>
  <c r="I388" i="5"/>
  <c r="M388" i="5"/>
  <c r="K388" i="5"/>
  <c r="F388" i="5"/>
  <c r="O388" i="5" s="1"/>
  <c r="M400" i="5"/>
  <c r="I400" i="5"/>
  <c r="F400" i="5"/>
  <c r="O400" i="5" s="1"/>
  <c r="K400" i="5"/>
  <c r="O406" i="5"/>
  <c r="F411" i="5"/>
  <c r="O411" i="5" s="1"/>
  <c r="J411" i="5"/>
  <c r="M411" i="5"/>
  <c r="L411" i="5"/>
  <c r="K411" i="5"/>
  <c r="H411" i="5"/>
  <c r="P413" i="5"/>
  <c r="N413" i="5"/>
  <c r="O428" i="5"/>
  <c r="K442" i="5"/>
  <c r="G442" i="5"/>
  <c r="M442" i="5"/>
  <c r="L442" i="5"/>
  <c r="J442" i="5"/>
  <c r="I442" i="5"/>
  <c r="H442" i="5"/>
  <c r="F442" i="5"/>
  <c r="O442" i="5" s="1"/>
  <c r="O458" i="5"/>
  <c r="P494" i="5"/>
  <c r="N494" i="5"/>
  <c r="H354" i="5"/>
  <c r="H366" i="5"/>
  <c r="G368" i="5"/>
  <c r="K378" i="5"/>
  <c r="G378" i="5"/>
  <c r="J378" i="5"/>
  <c r="F379" i="5"/>
  <c r="J379" i="5"/>
  <c r="H379" i="5"/>
  <c r="M379" i="5"/>
  <c r="I380" i="5"/>
  <c r="M380" i="5"/>
  <c r="J380" i="5"/>
  <c r="H398" i="5"/>
  <c r="M456" i="5"/>
  <c r="I456" i="5"/>
  <c r="L456" i="5"/>
  <c r="K456" i="5"/>
  <c r="J456" i="5"/>
  <c r="H456" i="5"/>
  <c r="G456" i="5"/>
  <c r="F456" i="5"/>
  <c r="O456" i="5" s="1"/>
  <c r="L459" i="5"/>
  <c r="F459" i="5"/>
  <c r="J459" i="5"/>
  <c r="M459" i="5"/>
  <c r="K459" i="5"/>
  <c r="I459" i="5"/>
  <c r="H459" i="5"/>
  <c r="G459" i="5"/>
  <c r="P467" i="5"/>
  <c r="N467" i="5"/>
  <c r="P433" i="5"/>
  <c r="N433" i="5"/>
  <c r="J138" i="5"/>
  <c r="J147" i="5"/>
  <c r="F147" i="5"/>
  <c r="O147" i="5" s="1"/>
  <c r="K150" i="5"/>
  <c r="G150" i="5"/>
  <c r="O150" i="5" s="1"/>
  <c r="K155" i="5"/>
  <c r="J158" i="5"/>
  <c r="M164" i="5"/>
  <c r="I164" i="5"/>
  <c r="F167" i="5"/>
  <c r="O167" i="5" s="1"/>
  <c r="J167" i="5"/>
  <c r="J172" i="5"/>
  <c r="K175" i="5"/>
  <c r="O205" i="5"/>
  <c r="F219" i="5"/>
  <c r="O219" i="5" s="1"/>
  <c r="J219" i="5"/>
  <c r="G219" i="5"/>
  <c r="L219" i="5"/>
  <c r="P225" i="5"/>
  <c r="N225" i="5"/>
  <c r="O253" i="5"/>
  <c r="L262" i="5"/>
  <c r="L263" i="5"/>
  <c r="K264" i="5"/>
  <c r="G270" i="5"/>
  <c r="K270" i="5"/>
  <c r="L270" i="5"/>
  <c r="F270" i="5"/>
  <c r="O277" i="5"/>
  <c r="L282" i="5"/>
  <c r="L283" i="5"/>
  <c r="K284" i="5"/>
  <c r="O297" i="5"/>
  <c r="K298" i="5"/>
  <c r="G298" i="5"/>
  <c r="H298" i="5"/>
  <c r="M298" i="5"/>
  <c r="F299" i="5"/>
  <c r="O299" i="5" s="1"/>
  <c r="J299" i="5"/>
  <c r="K299" i="5"/>
  <c r="I300" i="5"/>
  <c r="M300" i="5"/>
  <c r="L300" i="5"/>
  <c r="G300" i="5"/>
  <c r="O300" i="5" s="1"/>
  <c r="G310" i="5"/>
  <c r="O310" i="5" s="1"/>
  <c r="K310" i="5"/>
  <c r="M310" i="5"/>
  <c r="H310" i="5"/>
  <c r="J311" i="5"/>
  <c r="F311" i="5"/>
  <c r="O311" i="5" s="1"/>
  <c r="K311" i="5"/>
  <c r="M312" i="5"/>
  <c r="I312" i="5"/>
  <c r="G312" i="5"/>
  <c r="L312" i="5"/>
  <c r="J319" i="5"/>
  <c r="F319" i="5"/>
  <c r="G319" i="5"/>
  <c r="L319" i="5"/>
  <c r="M322" i="5"/>
  <c r="L324" i="5"/>
  <c r="O329" i="5"/>
  <c r="K330" i="5"/>
  <c r="G330" i="5"/>
  <c r="O330" i="5" s="1"/>
  <c r="M330" i="5"/>
  <c r="H330" i="5"/>
  <c r="F331" i="5"/>
  <c r="O331" i="5" s="1"/>
  <c r="J331" i="5"/>
  <c r="K331" i="5"/>
  <c r="I332" i="5"/>
  <c r="M332" i="5"/>
  <c r="G332" i="5"/>
  <c r="O332" i="5" s="1"/>
  <c r="L332" i="5"/>
  <c r="L336" i="5"/>
  <c r="J351" i="5"/>
  <c r="F351" i="5"/>
  <c r="L351" i="5"/>
  <c r="G351" i="5"/>
  <c r="P353" i="5"/>
  <c r="N353" i="5"/>
  <c r="J354" i="5"/>
  <c r="P365" i="5"/>
  <c r="N365" i="5"/>
  <c r="J366" i="5"/>
  <c r="J368" i="5"/>
  <c r="P372" i="5"/>
  <c r="F378" i="5"/>
  <c r="O378" i="5" s="1"/>
  <c r="G379" i="5"/>
  <c r="F380" i="5"/>
  <c r="O380" i="5" s="1"/>
  <c r="I386" i="5"/>
  <c r="H388" i="5"/>
  <c r="P397" i="5"/>
  <c r="N397" i="5"/>
  <c r="J398" i="5"/>
  <c r="H400" i="5"/>
  <c r="P402" i="5"/>
  <c r="L406" i="5"/>
  <c r="M408" i="5"/>
  <c r="I408" i="5"/>
  <c r="L408" i="5"/>
  <c r="K408" i="5"/>
  <c r="J408" i="5"/>
  <c r="G408" i="5"/>
  <c r="O408" i="5" s="1"/>
  <c r="I411" i="5"/>
  <c r="P420" i="5"/>
  <c r="N420" i="5"/>
  <c r="P450" i="5"/>
  <c r="N450" i="5"/>
  <c r="K460" i="5"/>
  <c r="G460" i="5"/>
  <c r="M460" i="5"/>
  <c r="H460" i="5"/>
  <c r="L460" i="5"/>
  <c r="J460" i="5"/>
  <c r="I460" i="5"/>
  <c r="F460" i="5"/>
  <c r="P482" i="5"/>
  <c r="N482" i="5"/>
  <c r="M498" i="5"/>
  <c r="I498" i="5"/>
  <c r="F498" i="5"/>
  <c r="O498" i="5" s="1"/>
  <c r="K498" i="5"/>
  <c r="K508" i="5"/>
  <c r="G508" i="5"/>
  <c r="H508" i="5"/>
  <c r="M508" i="5"/>
  <c r="F509" i="5"/>
  <c r="J509" i="5"/>
  <c r="K509" i="5"/>
  <c r="I510" i="5"/>
  <c r="M510" i="5"/>
  <c r="L510" i="5"/>
  <c r="G510" i="5"/>
  <c r="G520" i="5"/>
  <c r="K520" i="5"/>
  <c r="M520" i="5"/>
  <c r="H520" i="5"/>
  <c r="J521" i="5"/>
  <c r="F521" i="5"/>
  <c r="O521" i="5" s="1"/>
  <c r="K521" i="5"/>
  <c r="M522" i="5"/>
  <c r="I522" i="5"/>
  <c r="G522" i="5"/>
  <c r="L522" i="5"/>
  <c r="J529" i="5"/>
  <c r="F529" i="5"/>
  <c r="G529" i="5"/>
  <c r="L529" i="5"/>
  <c r="K540" i="5"/>
  <c r="G540" i="5"/>
  <c r="M540" i="5"/>
  <c r="H540" i="5"/>
  <c r="F541" i="5"/>
  <c r="J541" i="5"/>
  <c r="K541" i="5"/>
  <c r="M546" i="5"/>
  <c r="I546" i="5"/>
  <c r="F546" i="5"/>
  <c r="O546" i="5" s="1"/>
  <c r="L546" i="5"/>
  <c r="K546" i="5"/>
  <c r="P569" i="5"/>
  <c r="N569" i="5"/>
  <c r="P586" i="5"/>
  <c r="N586" i="5"/>
  <c r="K599" i="5"/>
  <c r="H599" i="5"/>
  <c r="J599" i="5"/>
  <c r="M599" i="5"/>
  <c r="L599" i="5"/>
  <c r="I599" i="5"/>
  <c r="G599" i="5"/>
  <c r="H17" i="5"/>
  <c r="H25" i="5"/>
  <c r="H33" i="5"/>
  <c r="H41" i="5"/>
  <c r="H49" i="5"/>
  <c r="H57" i="5"/>
  <c r="H65" i="5"/>
  <c r="H73" i="5"/>
  <c r="H81" i="5"/>
  <c r="H89" i="5"/>
  <c r="H97" i="5"/>
  <c r="H105" i="5"/>
  <c r="H113" i="5"/>
  <c r="H121" i="5"/>
  <c r="H129" i="5"/>
  <c r="H137" i="5"/>
  <c r="H145" i="5"/>
  <c r="H153" i="5"/>
  <c r="H161" i="5"/>
  <c r="H169" i="5"/>
  <c r="H177" i="5"/>
  <c r="K186" i="5"/>
  <c r="G186" i="5"/>
  <c r="O186" i="5" s="1"/>
  <c r="I204" i="5"/>
  <c r="M204" i="5"/>
  <c r="F211" i="5"/>
  <c r="O211" i="5" s="1"/>
  <c r="J211" i="5"/>
  <c r="K218" i="5"/>
  <c r="G218" i="5"/>
  <c r="I236" i="5"/>
  <c r="M236" i="5"/>
  <c r="F243" i="5"/>
  <c r="O243" i="5" s="1"/>
  <c r="J243" i="5"/>
  <c r="K250" i="5"/>
  <c r="G250" i="5"/>
  <c r="O250" i="5" s="1"/>
  <c r="J271" i="5"/>
  <c r="F271" i="5"/>
  <c r="O271" i="5" s="1"/>
  <c r="K274" i="5"/>
  <c r="G274" i="5"/>
  <c r="M288" i="5"/>
  <c r="I288" i="5"/>
  <c r="F291" i="5"/>
  <c r="O291" i="5" s="1"/>
  <c r="J291" i="5"/>
  <c r="I308" i="5"/>
  <c r="M308" i="5"/>
  <c r="G318" i="5"/>
  <c r="O318" i="5" s="1"/>
  <c r="K318" i="5"/>
  <c r="J335" i="5"/>
  <c r="F335" i="5"/>
  <c r="O335" i="5" s="1"/>
  <c r="K338" i="5"/>
  <c r="G338" i="5"/>
  <c r="O338" i="5" s="1"/>
  <c r="M352" i="5"/>
  <c r="I352" i="5"/>
  <c r="F355" i="5"/>
  <c r="O355" i="5" s="1"/>
  <c r="J355" i="5"/>
  <c r="I372" i="5"/>
  <c r="M372" i="5"/>
  <c r="G382" i="5"/>
  <c r="O382" i="5" s="1"/>
  <c r="K382" i="5"/>
  <c r="J399" i="5"/>
  <c r="F399" i="5"/>
  <c r="O399" i="5" s="1"/>
  <c r="K402" i="5"/>
  <c r="G402" i="5"/>
  <c r="J410" i="5"/>
  <c r="G415" i="5"/>
  <c r="M416" i="5"/>
  <c r="I416" i="5"/>
  <c r="F418" i="5"/>
  <c r="F419" i="5"/>
  <c r="O419" i="5" s="1"/>
  <c r="J419" i="5"/>
  <c r="J424" i="5"/>
  <c r="K427" i="5"/>
  <c r="G428" i="5"/>
  <c r="N429" i="5"/>
  <c r="F432" i="5"/>
  <c r="O432" i="5" s="1"/>
  <c r="G435" i="5"/>
  <c r="I436" i="5"/>
  <c r="M436" i="5"/>
  <c r="N436" i="5"/>
  <c r="H438" i="5"/>
  <c r="J444" i="5"/>
  <c r="G446" i="5"/>
  <c r="O446" i="5" s="1"/>
  <c r="K446" i="5"/>
  <c r="N446" i="5"/>
  <c r="N449" i="5"/>
  <c r="F452" i="5"/>
  <c r="O452" i="5" s="1"/>
  <c r="J454" i="5"/>
  <c r="H455" i="5"/>
  <c r="H458" i="5"/>
  <c r="N466" i="5"/>
  <c r="J473" i="5"/>
  <c r="F473" i="5"/>
  <c r="O473" i="5" s="1"/>
  <c r="G473" i="5"/>
  <c r="L473" i="5"/>
  <c r="P474" i="5"/>
  <c r="N476" i="5"/>
  <c r="N478" i="5"/>
  <c r="P479" i="5"/>
  <c r="N479" i="5"/>
  <c r="F484" i="5"/>
  <c r="O484" i="5" s="1"/>
  <c r="G485" i="5"/>
  <c r="F486" i="5"/>
  <c r="O486" i="5" s="1"/>
  <c r="P488" i="5"/>
  <c r="H496" i="5"/>
  <c r="I505" i="5"/>
  <c r="O507" i="5"/>
  <c r="O519" i="5"/>
  <c r="L524" i="5"/>
  <c r="K526" i="5"/>
  <c r="O528" i="5"/>
  <c r="N532" i="5"/>
  <c r="N534" i="5"/>
  <c r="G544" i="5"/>
  <c r="K544" i="5"/>
  <c r="L544" i="5"/>
  <c r="H544" i="5"/>
  <c r="F544" i="5"/>
  <c r="O544" i="5" s="1"/>
  <c r="P552" i="5"/>
  <c r="F554" i="5"/>
  <c r="O554" i="5" s="1"/>
  <c r="J554" i="5"/>
  <c r="M554" i="5"/>
  <c r="K554" i="5"/>
  <c r="I554" i="5"/>
  <c r="H554" i="5"/>
  <c r="P557" i="5"/>
  <c r="N557" i="5"/>
  <c r="J566" i="5"/>
  <c r="K566" i="5"/>
  <c r="F566" i="5"/>
  <c r="L566" i="5"/>
  <c r="I566" i="5"/>
  <c r="H566" i="5"/>
  <c r="G566" i="5"/>
  <c r="P568" i="5"/>
  <c r="N568" i="5"/>
  <c r="O571" i="5"/>
  <c r="P573" i="5"/>
  <c r="N573" i="5"/>
  <c r="M581" i="5"/>
  <c r="I581" i="5"/>
  <c r="J581" i="5"/>
  <c r="L581" i="5"/>
  <c r="K581" i="5"/>
  <c r="H581" i="5"/>
  <c r="G581" i="5"/>
  <c r="P595" i="5"/>
  <c r="N595" i="5"/>
  <c r="O631" i="5"/>
  <c r="N635" i="5"/>
  <c r="P635" i="5"/>
  <c r="P663" i="5"/>
  <c r="N663" i="5"/>
  <c r="J423" i="5"/>
  <c r="F423" i="5"/>
  <c r="O423" i="5" s="1"/>
  <c r="K426" i="5"/>
  <c r="G426" i="5"/>
  <c r="H428" i="5"/>
  <c r="G432" i="5"/>
  <c r="H435" i="5"/>
  <c r="I438" i="5"/>
  <c r="M440" i="5"/>
  <c r="I440" i="5"/>
  <c r="N440" i="5"/>
  <c r="F443" i="5"/>
  <c r="O443" i="5" s="1"/>
  <c r="J443" i="5"/>
  <c r="G452" i="5"/>
  <c r="N453" i="5"/>
  <c r="I455" i="5"/>
  <c r="I458" i="5"/>
  <c r="G464" i="5"/>
  <c r="K464" i="5"/>
  <c r="L464" i="5"/>
  <c r="F464" i="5"/>
  <c r="H484" i="5"/>
  <c r="I485" i="5"/>
  <c r="G486" i="5"/>
  <c r="J489" i="5"/>
  <c r="F489" i="5"/>
  <c r="O489" i="5" s="1"/>
  <c r="L489" i="5"/>
  <c r="G489" i="5"/>
  <c r="I496" i="5"/>
  <c r="G498" i="5"/>
  <c r="K500" i="5"/>
  <c r="G500" i="5"/>
  <c r="J500" i="5"/>
  <c r="F501" i="5"/>
  <c r="O501" i="5" s="1"/>
  <c r="J501" i="5"/>
  <c r="H501" i="5"/>
  <c r="M501" i="5"/>
  <c r="I502" i="5"/>
  <c r="M502" i="5"/>
  <c r="J502" i="5"/>
  <c r="K505" i="5"/>
  <c r="F508" i="5"/>
  <c r="O508" i="5" s="1"/>
  <c r="G509" i="5"/>
  <c r="F510" i="5"/>
  <c r="G512" i="5"/>
  <c r="K512" i="5"/>
  <c r="F512" i="5"/>
  <c r="O512" i="5" s="1"/>
  <c r="L512" i="5"/>
  <c r="M514" i="5"/>
  <c r="I514" i="5"/>
  <c r="K514" i="5"/>
  <c r="F514" i="5"/>
  <c r="O514" i="5" s="1"/>
  <c r="F520" i="5"/>
  <c r="G521" i="5"/>
  <c r="F522" i="5"/>
  <c r="O522" i="5" s="1"/>
  <c r="N523" i="5"/>
  <c r="H529" i="5"/>
  <c r="F540" i="5"/>
  <c r="G541" i="5"/>
  <c r="G546" i="5"/>
  <c r="F549" i="5"/>
  <c r="J549" i="5"/>
  <c r="G549" i="5"/>
  <c r="M549" i="5"/>
  <c r="L549" i="5"/>
  <c r="J553" i="5"/>
  <c r="F553" i="5"/>
  <c r="O553" i="5" s="1"/>
  <c r="L553" i="5"/>
  <c r="K553" i="5"/>
  <c r="M597" i="5"/>
  <c r="G597" i="5"/>
  <c r="O597" i="5" s="1"/>
  <c r="J597" i="5"/>
  <c r="L597" i="5"/>
  <c r="K597" i="5"/>
  <c r="I597" i="5"/>
  <c r="H597" i="5"/>
  <c r="F599" i="5"/>
  <c r="O628" i="5"/>
  <c r="I415" i="5"/>
  <c r="I418" i="5"/>
  <c r="I420" i="5"/>
  <c r="M420" i="5"/>
  <c r="J428" i="5"/>
  <c r="G430" i="5"/>
  <c r="K430" i="5"/>
  <c r="H432" i="5"/>
  <c r="I435" i="5"/>
  <c r="J438" i="5"/>
  <c r="J447" i="5"/>
  <c r="F447" i="5"/>
  <c r="K450" i="5"/>
  <c r="G450" i="5"/>
  <c r="H452" i="5"/>
  <c r="K455" i="5"/>
  <c r="J458" i="5"/>
  <c r="M466" i="5"/>
  <c r="I466" i="5"/>
  <c r="F466" i="5"/>
  <c r="K466" i="5"/>
  <c r="K476" i="5"/>
  <c r="G476" i="5"/>
  <c r="H476" i="5"/>
  <c r="M476" i="5"/>
  <c r="F477" i="5"/>
  <c r="O477" i="5" s="1"/>
  <c r="J477" i="5"/>
  <c r="K477" i="5"/>
  <c r="I478" i="5"/>
  <c r="M478" i="5"/>
  <c r="L478" i="5"/>
  <c r="G478" i="5"/>
  <c r="I484" i="5"/>
  <c r="K485" i="5"/>
  <c r="H486" i="5"/>
  <c r="P490" i="5"/>
  <c r="P495" i="5"/>
  <c r="N495" i="5"/>
  <c r="J496" i="5"/>
  <c r="H498" i="5"/>
  <c r="N503" i="5"/>
  <c r="I508" i="5"/>
  <c r="H509" i="5"/>
  <c r="H510" i="5"/>
  <c r="N515" i="5"/>
  <c r="I520" i="5"/>
  <c r="H521" i="5"/>
  <c r="H522" i="5"/>
  <c r="I529" i="5"/>
  <c r="K532" i="5"/>
  <c r="G532" i="5"/>
  <c r="F532" i="5"/>
  <c r="L532" i="5"/>
  <c r="I534" i="5"/>
  <c r="M534" i="5"/>
  <c r="K534" i="5"/>
  <c r="F534" i="5"/>
  <c r="N535" i="5"/>
  <c r="I540" i="5"/>
  <c r="H541" i="5"/>
  <c r="H546" i="5"/>
  <c r="O581" i="5"/>
  <c r="O677" i="5"/>
  <c r="K410" i="5"/>
  <c r="G410" i="5"/>
  <c r="O410" i="5" s="1"/>
  <c r="K415" i="5"/>
  <c r="J418" i="5"/>
  <c r="G423" i="5"/>
  <c r="M424" i="5"/>
  <c r="I424" i="5"/>
  <c r="F426" i="5"/>
  <c r="F427" i="5"/>
  <c r="O427" i="5" s="1"/>
  <c r="J427" i="5"/>
  <c r="K428" i="5"/>
  <c r="J432" i="5"/>
  <c r="K435" i="5"/>
  <c r="L438" i="5"/>
  <c r="F440" i="5"/>
  <c r="G443" i="5"/>
  <c r="I444" i="5"/>
  <c r="M444" i="5"/>
  <c r="J452" i="5"/>
  <c r="G454" i="5"/>
  <c r="O454" i="5" s="1"/>
  <c r="K454" i="5"/>
  <c r="L455" i="5"/>
  <c r="L458" i="5"/>
  <c r="H464" i="5"/>
  <c r="L484" i="5"/>
  <c r="K486" i="5"/>
  <c r="H489" i="5"/>
  <c r="J498" i="5"/>
  <c r="F500" i="5"/>
  <c r="G501" i="5"/>
  <c r="F502" i="5"/>
  <c r="J508" i="5"/>
  <c r="I509" i="5"/>
  <c r="J510" i="5"/>
  <c r="J520" i="5"/>
  <c r="I521" i="5"/>
  <c r="J522" i="5"/>
  <c r="K524" i="5"/>
  <c r="G524" i="5"/>
  <c r="J524" i="5"/>
  <c r="F525" i="5"/>
  <c r="O525" i="5" s="1"/>
  <c r="J525" i="5"/>
  <c r="H525" i="5"/>
  <c r="M525" i="5"/>
  <c r="I526" i="5"/>
  <c r="M526" i="5"/>
  <c r="J526" i="5"/>
  <c r="K529" i="5"/>
  <c r="J540" i="5"/>
  <c r="I541" i="5"/>
  <c r="J546" i="5"/>
  <c r="H549" i="5"/>
  <c r="G553" i="5"/>
  <c r="F592" i="5"/>
  <c r="O592" i="5" s="1"/>
  <c r="J592" i="5"/>
  <c r="K592" i="5"/>
  <c r="L592" i="5"/>
  <c r="I592" i="5"/>
  <c r="H592" i="5"/>
  <c r="G592" i="5"/>
  <c r="N602" i="5"/>
  <c r="P602" i="5"/>
  <c r="N608" i="5"/>
  <c r="P608" i="5"/>
  <c r="P659" i="5"/>
  <c r="N659" i="5"/>
  <c r="I188" i="5"/>
  <c r="M188" i="5"/>
  <c r="F195" i="5"/>
  <c r="O195" i="5" s="1"/>
  <c r="J195" i="5"/>
  <c r="K202" i="5"/>
  <c r="G202" i="5"/>
  <c r="I220" i="5"/>
  <c r="M220" i="5"/>
  <c r="F227" i="5"/>
  <c r="O227" i="5" s="1"/>
  <c r="J227" i="5"/>
  <c r="K234" i="5"/>
  <c r="G234" i="5"/>
  <c r="O234" i="5" s="1"/>
  <c r="I252" i="5"/>
  <c r="M252" i="5"/>
  <c r="F259" i="5"/>
  <c r="O259" i="5" s="1"/>
  <c r="J259" i="5"/>
  <c r="I276" i="5"/>
  <c r="M276" i="5"/>
  <c r="G286" i="5"/>
  <c r="O286" i="5" s="1"/>
  <c r="K286" i="5"/>
  <c r="J303" i="5"/>
  <c r="F303" i="5"/>
  <c r="O303" i="5" s="1"/>
  <c r="K306" i="5"/>
  <c r="G306" i="5"/>
  <c r="M320" i="5"/>
  <c r="I320" i="5"/>
  <c r="F323" i="5"/>
  <c r="O323" i="5" s="1"/>
  <c r="J323" i="5"/>
  <c r="I340" i="5"/>
  <c r="M340" i="5"/>
  <c r="G350" i="5"/>
  <c r="O350" i="5" s="1"/>
  <c r="K350" i="5"/>
  <c r="J367" i="5"/>
  <c r="F367" i="5"/>
  <c r="O367" i="5" s="1"/>
  <c r="K370" i="5"/>
  <c r="G370" i="5"/>
  <c r="O370" i="5" s="1"/>
  <c r="M384" i="5"/>
  <c r="I384" i="5"/>
  <c r="F387" i="5"/>
  <c r="O387" i="5" s="1"/>
  <c r="J387" i="5"/>
  <c r="I404" i="5"/>
  <c r="M404" i="5"/>
  <c r="G414" i="5"/>
  <c r="O414" i="5" s="1"/>
  <c r="K414" i="5"/>
  <c r="F420" i="5"/>
  <c r="O420" i="5" s="1"/>
  <c r="H423" i="5"/>
  <c r="H426" i="5"/>
  <c r="F430" i="5"/>
  <c r="J431" i="5"/>
  <c r="F431" i="5"/>
  <c r="O431" i="5" s="1"/>
  <c r="K434" i="5"/>
  <c r="G434" i="5"/>
  <c r="O434" i="5" s="1"/>
  <c r="G440" i="5"/>
  <c r="H443" i="5"/>
  <c r="G447" i="5"/>
  <c r="M448" i="5"/>
  <c r="I448" i="5"/>
  <c r="F450" i="5"/>
  <c r="O450" i="5" s="1"/>
  <c r="F451" i="5"/>
  <c r="O451" i="5" s="1"/>
  <c r="J451" i="5"/>
  <c r="I464" i="5"/>
  <c r="G466" i="5"/>
  <c r="K468" i="5"/>
  <c r="G468" i="5"/>
  <c r="J468" i="5"/>
  <c r="F469" i="5"/>
  <c r="O469" i="5" s="1"/>
  <c r="J469" i="5"/>
  <c r="H469" i="5"/>
  <c r="M469" i="5"/>
  <c r="I470" i="5"/>
  <c r="M470" i="5"/>
  <c r="J470" i="5"/>
  <c r="F476" i="5"/>
  <c r="G477" i="5"/>
  <c r="F478" i="5"/>
  <c r="G480" i="5"/>
  <c r="K480" i="5"/>
  <c r="F480" i="5"/>
  <c r="L480" i="5"/>
  <c r="M482" i="5"/>
  <c r="I482" i="5"/>
  <c r="K482" i="5"/>
  <c r="F482" i="5"/>
  <c r="O482" i="5" s="1"/>
  <c r="N483" i="5"/>
  <c r="I489" i="5"/>
  <c r="K492" i="5"/>
  <c r="G492" i="5"/>
  <c r="O492" i="5" s="1"/>
  <c r="M492" i="5"/>
  <c r="H492" i="5"/>
  <c r="F493" i="5"/>
  <c r="O493" i="5" s="1"/>
  <c r="J493" i="5"/>
  <c r="K493" i="5"/>
  <c r="I494" i="5"/>
  <c r="M494" i="5"/>
  <c r="G494" i="5"/>
  <c r="O494" i="5" s="1"/>
  <c r="L494" i="5"/>
  <c r="L498" i="5"/>
  <c r="H500" i="5"/>
  <c r="I501" i="5"/>
  <c r="G502" i="5"/>
  <c r="P504" i="5"/>
  <c r="L508" i="5"/>
  <c r="L509" i="5"/>
  <c r="K510" i="5"/>
  <c r="I512" i="5"/>
  <c r="H514" i="5"/>
  <c r="F517" i="5"/>
  <c r="O517" i="5" s="1"/>
  <c r="J517" i="5"/>
  <c r="L517" i="5"/>
  <c r="G517" i="5"/>
  <c r="L520" i="5"/>
  <c r="L521" i="5"/>
  <c r="K522" i="5"/>
  <c r="N527" i="5"/>
  <c r="M529" i="5"/>
  <c r="H532" i="5"/>
  <c r="G534" i="5"/>
  <c r="G536" i="5"/>
  <c r="K536" i="5"/>
  <c r="J536" i="5"/>
  <c r="J537" i="5"/>
  <c r="F537" i="5"/>
  <c r="O537" i="5" s="1"/>
  <c r="M537" i="5"/>
  <c r="H537" i="5"/>
  <c r="M538" i="5"/>
  <c r="I538" i="5"/>
  <c r="J538" i="5"/>
  <c r="L540" i="5"/>
  <c r="L541" i="5"/>
  <c r="I549" i="5"/>
  <c r="H553" i="5"/>
  <c r="P560" i="5"/>
  <c r="N560" i="5"/>
  <c r="O564" i="5"/>
  <c r="G565" i="5"/>
  <c r="J565" i="5"/>
  <c r="L565" i="5"/>
  <c r="K565" i="5"/>
  <c r="I565" i="5"/>
  <c r="H565" i="5"/>
  <c r="F565" i="5"/>
  <c r="O565" i="5" s="1"/>
  <c r="N570" i="5"/>
  <c r="P570" i="5"/>
  <c r="H598" i="5"/>
  <c r="L598" i="5"/>
  <c r="M598" i="5"/>
  <c r="G598" i="5"/>
  <c r="O598" i="5" s="1"/>
  <c r="K598" i="5"/>
  <c r="J598" i="5"/>
  <c r="I598" i="5"/>
  <c r="F624" i="5"/>
  <c r="O624" i="5" s="1"/>
  <c r="J624" i="5"/>
  <c r="M624" i="5"/>
  <c r="L624" i="5"/>
  <c r="K624" i="5"/>
  <c r="I624" i="5"/>
  <c r="H624" i="5"/>
  <c r="G624" i="5"/>
  <c r="P630" i="5"/>
  <c r="N630" i="5"/>
  <c r="P637" i="5"/>
  <c r="N637" i="5"/>
  <c r="O639" i="5"/>
  <c r="O661" i="5"/>
  <c r="I423" i="5"/>
  <c r="I428" i="5"/>
  <c r="M428" i="5"/>
  <c r="G438" i="5"/>
  <c r="O438" i="5" s="1"/>
  <c r="K438" i="5"/>
  <c r="J455" i="5"/>
  <c r="F455" i="5"/>
  <c r="O455" i="5" s="1"/>
  <c r="K458" i="5"/>
  <c r="G458" i="5"/>
  <c r="P463" i="5"/>
  <c r="N463" i="5"/>
  <c r="J505" i="5"/>
  <c r="F505" i="5"/>
  <c r="O505" i="5" s="1"/>
  <c r="G505" i="5"/>
  <c r="L505" i="5"/>
  <c r="M509" i="5"/>
  <c r="P511" i="5"/>
  <c r="N511" i="5"/>
  <c r="M521" i="5"/>
  <c r="O524" i="5"/>
  <c r="M541" i="5"/>
  <c r="I555" i="5"/>
  <c r="K555" i="5"/>
  <c r="F555" i="5"/>
  <c r="M555" i="5"/>
  <c r="J555" i="5"/>
  <c r="H555" i="5"/>
  <c r="G555" i="5"/>
  <c r="H410" i="5"/>
  <c r="J415" i="5"/>
  <c r="F415" i="5"/>
  <c r="O415" i="5" s="1"/>
  <c r="K418" i="5"/>
  <c r="G418" i="5"/>
  <c r="K423" i="5"/>
  <c r="J426" i="5"/>
  <c r="M432" i="5"/>
  <c r="I432" i="5"/>
  <c r="F435" i="5"/>
  <c r="J435" i="5"/>
  <c r="I452" i="5"/>
  <c r="M452" i="5"/>
  <c r="O468" i="5"/>
  <c r="O470" i="5"/>
  <c r="K484" i="5"/>
  <c r="G484" i="5"/>
  <c r="J484" i="5"/>
  <c r="F485" i="5"/>
  <c r="O485" i="5" s="1"/>
  <c r="J485" i="5"/>
  <c r="M485" i="5"/>
  <c r="H485" i="5"/>
  <c r="I486" i="5"/>
  <c r="M486" i="5"/>
  <c r="J486" i="5"/>
  <c r="G496" i="5"/>
  <c r="K496" i="5"/>
  <c r="L496" i="5"/>
  <c r="F496" i="5"/>
  <c r="O504" i="5"/>
  <c r="P531" i="5"/>
  <c r="N531" i="5"/>
  <c r="O536" i="5"/>
  <c r="O538" i="5"/>
  <c r="P548" i="5"/>
  <c r="N548" i="5"/>
  <c r="O560" i="5"/>
  <c r="P587" i="5"/>
  <c r="N587" i="5"/>
  <c r="I593" i="5"/>
  <c r="F593" i="5"/>
  <c r="O593" i="5" s="1"/>
  <c r="H593" i="5"/>
  <c r="M593" i="5"/>
  <c r="L593" i="5"/>
  <c r="K593" i="5"/>
  <c r="J593" i="5"/>
  <c r="G593" i="5"/>
  <c r="I625" i="5"/>
  <c r="K625" i="5"/>
  <c r="G625" i="5"/>
  <c r="M625" i="5"/>
  <c r="L625" i="5"/>
  <c r="J625" i="5"/>
  <c r="H625" i="5"/>
  <c r="F625" i="5"/>
  <c r="O625" i="5" s="1"/>
  <c r="P639" i="5"/>
  <c r="N639" i="5"/>
  <c r="P646" i="5"/>
  <c r="N646" i="5"/>
  <c r="P661" i="5"/>
  <c r="N661" i="5"/>
  <c r="O663" i="5"/>
  <c r="P685" i="5"/>
  <c r="N685" i="5"/>
  <c r="N672" i="5"/>
  <c r="P672" i="5"/>
  <c r="G731" i="5"/>
  <c r="J731" i="5"/>
  <c r="L731" i="5"/>
  <c r="K731" i="5"/>
  <c r="I731" i="5"/>
  <c r="H731" i="5"/>
  <c r="F731" i="5"/>
  <c r="O731" i="5" s="1"/>
  <c r="H742" i="5"/>
  <c r="K742" i="5"/>
  <c r="J742" i="5"/>
  <c r="L742" i="5"/>
  <c r="I742" i="5"/>
  <c r="G742" i="5"/>
  <c r="F742" i="5"/>
  <c r="O760" i="5"/>
  <c r="I770" i="5"/>
  <c r="M770" i="5"/>
  <c r="G770" i="5"/>
  <c r="F770" i="5"/>
  <c r="L770" i="5"/>
  <c r="K770" i="5"/>
  <c r="J770" i="5"/>
  <c r="M774" i="5"/>
  <c r="I774" i="5"/>
  <c r="L774" i="5"/>
  <c r="H774" i="5"/>
  <c r="G774" i="5"/>
  <c r="K774" i="5"/>
  <c r="J774" i="5"/>
  <c r="F774" i="5"/>
  <c r="O774" i="5" s="1"/>
  <c r="P799" i="5"/>
  <c r="N799" i="5"/>
  <c r="H181" i="5"/>
  <c r="L185" i="5"/>
  <c r="H189" i="5"/>
  <c r="L193" i="5"/>
  <c r="H197" i="5"/>
  <c r="L201" i="5"/>
  <c r="H205" i="5"/>
  <c r="L209" i="5"/>
  <c r="H213" i="5"/>
  <c r="L217" i="5"/>
  <c r="H221" i="5"/>
  <c r="L225" i="5"/>
  <c r="H229" i="5"/>
  <c r="L233" i="5"/>
  <c r="H237" i="5"/>
  <c r="L241" i="5"/>
  <c r="H245" i="5"/>
  <c r="L249" i="5"/>
  <c r="H253" i="5"/>
  <c r="L257" i="5"/>
  <c r="H261" i="5"/>
  <c r="H269" i="5"/>
  <c r="H277" i="5"/>
  <c r="H285" i="5"/>
  <c r="H293" i="5"/>
  <c r="H301" i="5"/>
  <c r="H309" i="5"/>
  <c r="H317" i="5"/>
  <c r="H325" i="5"/>
  <c r="H333" i="5"/>
  <c r="H341" i="5"/>
  <c r="H349" i="5"/>
  <c r="H357" i="5"/>
  <c r="H365" i="5"/>
  <c r="H373" i="5"/>
  <c r="H381" i="5"/>
  <c r="H389" i="5"/>
  <c r="H397" i="5"/>
  <c r="H405" i="5"/>
  <c r="H413" i="5"/>
  <c r="H421" i="5"/>
  <c r="H429" i="5"/>
  <c r="H437" i="5"/>
  <c r="H445" i="5"/>
  <c r="H453" i="5"/>
  <c r="J465" i="5"/>
  <c r="F465" i="5"/>
  <c r="O465" i="5" s="1"/>
  <c r="G472" i="5"/>
  <c r="O472" i="5" s="1"/>
  <c r="K472" i="5"/>
  <c r="M490" i="5"/>
  <c r="I490" i="5"/>
  <c r="J497" i="5"/>
  <c r="F497" i="5"/>
  <c r="O497" i="5" s="1"/>
  <c r="G504" i="5"/>
  <c r="K504" i="5"/>
  <c r="I518" i="5"/>
  <c r="M518" i="5"/>
  <c r="G528" i="5"/>
  <c r="K528" i="5"/>
  <c r="J545" i="5"/>
  <c r="F545" i="5"/>
  <c r="O545" i="5" s="1"/>
  <c r="K548" i="5"/>
  <c r="G548" i="5"/>
  <c r="O548" i="5" s="1"/>
  <c r="J559" i="5"/>
  <c r="P562" i="5"/>
  <c r="M567" i="5"/>
  <c r="F567" i="5"/>
  <c r="O567" i="5" s="1"/>
  <c r="J567" i="5"/>
  <c r="F575" i="5"/>
  <c r="O575" i="5" s="1"/>
  <c r="H576" i="5"/>
  <c r="J576" i="5"/>
  <c r="G582" i="5"/>
  <c r="F584" i="5"/>
  <c r="G584" i="5"/>
  <c r="K584" i="5"/>
  <c r="P585" i="5"/>
  <c r="G590" i="5"/>
  <c r="L595" i="5"/>
  <c r="J613" i="5"/>
  <c r="I616" i="5"/>
  <c r="G619" i="5"/>
  <c r="H619" i="5"/>
  <c r="F619" i="5"/>
  <c r="O619" i="5" s="1"/>
  <c r="L619" i="5"/>
  <c r="K621" i="5"/>
  <c r="L627" i="5"/>
  <c r="J629" i="5"/>
  <c r="G632" i="5"/>
  <c r="F633" i="5"/>
  <c r="N634" i="5"/>
  <c r="L638" i="5"/>
  <c r="K640" i="5"/>
  <c r="N649" i="5"/>
  <c r="I652" i="5"/>
  <c r="P654" i="5"/>
  <c r="N654" i="5"/>
  <c r="K655" i="5"/>
  <c r="J655" i="5"/>
  <c r="F655" i="5"/>
  <c r="O655" i="5" s="1"/>
  <c r="F656" i="5"/>
  <c r="O656" i="5" s="1"/>
  <c r="J656" i="5"/>
  <c r="H656" i="5"/>
  <c r="M656" i="5"/>
  <c r="I657" i="5"/>
  <c r="F657" i="5"/>
  <c r="O657" i="5" s="1"/>
  <c r="K657" i="5"/>
  <c r="K662" i="5"/>
  <c r="H665" i="5"/>
  <c r="J668" i="5"/>
  <c r="F668" i="5"/>
  <c r="L668" i="5"/>
  <c r="G668" i="5"/>
  <c r="L672" i="5"/>
  <c r="J677" i="5"/>
  <c r="I679" i="5"/>
  <c r="J681" i="5"/>
  <c r="P683" i="5"/>
  <c r="G687" i="5"/>
  <c r="G688" i="5"/>
  <c r="F689" i="5"/>
  <c r="O689" i="5" s="1"/>
  <c r="O698" i="5"/>
  <c r="K703" i="5"/>
  <c r="G703" i="5"/>
  <c r="J703" i="5"/>
  <c r="I703" i="5"/>
  <c r="H703" i="5"/>
  <c r="F703" i="5"/>
  <c r="O703" i="5" s="1"/>
  <c r="N704" i="5"/>
  <c r="P704" i="5"/>
  <c r="P723" i="5"/>
  <c r="N723" i="5"/>
  <c r="P738" i="5"/>
  <c r="N738" i="5"/>
  <c r="P762" i="5"/>
  <c r="N762" i="5"/>
  <c r="P872" i="5"/>
  <c r="N872" i="5"/>
  <c r="I542" i="5"/>
  <c r="M542" i="5"/>
  <c r="G552" i="5"/>
  <c r="O552" i="5" s="1"/>
  <c r="K552" i="5"/>
  <c r="O556" i="5"/>
  <c r="I563" i="5"/>
  <c r="J563" i="5"/>
  <c r="H568" i="5"/>
  <c r="K568" i="5"/>
  <c r="F568" i="5"/>
  <c r="O568" i="5" s="1"/>
  <c r="K569" i="5"/>
  <c r="G569" i="5"/>
  <c r="O569" i="5" s="1"/>
  <c r="L569" i="5"/>
  <c r="G575" i="5"/>
  <c r="K577" i="5"/>
  <c r="J577" i="5"/>
  <c r="F577" i="5"/>
  <c r="O577" i="5" s="1"/>
  <c r="N579" i="5"/>
  <c r="I582" i="5"/>
  <c r="J590" i="5"/>
  <c r="N606" i="5"/>
  <c r="J616" i="5"/>
  <c r="N626" i="5"/>
  <c r="H632" i="5"/>
  <c r="H633" i="5"/>
  <c r="N641" i="5"/>
  <c r="J644" i="5"/>
  <c r="F644" i="5"/>
  <c r="O644" i="5" s="1"/>
  <c r="K644" i="5"/>
  <c r="M645" i="5"/>
  <c r="I645" i="5"/>
  <c r="L645" i="5"/>
  <c r="G645" i="5"/>
  <c r="O645" i="5" s="1"/>
  <c r="K652" i="5"/>
  <c r="K665" i="5"/>
  <c r="N670" i="5"/>
  <c r="J679" i="5"/>
  <c r="K681" i="5"/>
  <c r="H687" i="5"/>
  <c r="I688" i="5"/>
  <c r="G689" i="5"/>
  <c r="I697" i="5"/>
  <c r="J697" i="5"/>
  <c r="H697" i="5"/>
  <c r="G697" i="5"/>
  <c r="F697" i="5"/>
  <c r="O697" i="5" s="1"/>
  <c r="G699" i="5"/>
  <c r="K699" i="5"/>
  <c r="J699" i="5"/>
  <c r="I699" i="5"/>
  <c r="H699" i="5"/>
  <c r="F699" i="5"/>
  <c r="O699" i="5" s="1"/>
  <c r="M709" i="5"/>
  <c r="I709" i="5"/>
  <c r="J709" i="5"/>
  <c r="H709" i="5"/>
  <c r="G709" i="5"/>
  <c r="F709" i="5"/>
  <c r="O709" i="5" s="1"/>
  <c r="O726" i="5"/>
  <c r="M731" i="5"/>
  <c r="M742" i="5"/>
  <c r="N744" i="5"/>
  <c r="P744" i="5"/>
  <c r="H770" i="5"/>
  <c r="G557" i="5"/>
  <c r="K557" i="5"/>
  <c r="F557" i="5"/>
  <c r="J558" i="5"/>
  <c r="G558" i="5"/>
  <c r="L558" i="5"/>
  <c r="F570" i="5"/>
  <c r="O570" i="5" s="1"/>
  <c r="L570" i="5"/>
  <c r="H570" i="5"/>
  <c r="H575" i="5"/>
  <c r="F578" i="5"/>
  <c r="O578" i="5" s="1"/>
  <c r="G578" i="5"/>
  <c r="K578" i="5"/>
  <c r="I579" i="5"/>
  <c r="L579" i="5"/>
  <c r="G579" i="5"/>
  <c r="J582" i="5"/>
  <c r="K590" i="5"/>
  <c r="K607" i="5"/>
  <c r="L607" i="5"/>
  <c r="F607" i="5"/>
  <c r="O607" i="5" s="1"/>
  <c r="J607" i="5"/>
  <c r="F608" i="5"/>
  <c r="H608" i="5"/>
  <c r="M608" i="5"/>
  <c r="I608" i="5"/>
  <c r="J632" i="5"/>
  <c r="J633" i="5"/>
  <c r="O643" i="5"/>
  <c r="I649" i="5"/>
  <c r="L649" i="5"/>
  <c r="K649" i="5"/>
  <c r="F649" i="5"/>
  <c r="O649" i="5" s="1"/>
  <c r="H670" i="5"/>
  <c r="F670" i="5"/>
  <c r="O670" i="5" s="1"/>
  <c r="K670" i="5"/>
  <c r="P671" i="5"/>
  <c r="P675" i="5"/>
  <c r="P686" i="5"/>
  <c r="N686" i="5"/>
  <c r="J687" i="5"/>
  <c r="J688" i="5"/>
  <c r="H689" i="5"/>
  <c r="P710" i="5"/>
  <c r="N710" i="5"/>
  <c r="H718" i="5"/>
  <c r="I718" i="5"/>
  <c r="L718" i="5"/>
  <c r="K718" i="5"/>
  <c r="J718" i="5"/>
  <c r="G718" i="5"/>
  <c r="F718" i="5"/>
  <c r="O718" i="5" s="1"/>
  <c r="M725" i="5"/>
  <c r="G725" i="5"/>
  <c r="J725" i="5"/>
  <c r="I725" i="5"/>
  <c r="H725" i="5"/>
  <c r="F725" i="5"/>
  <c r="O725" i="5" s="1"/>
  <c r="K752" i="5"/>
  <c r="I752" i="5"/>
  <c r="H752" i="5"/>
  <c r="G752" i="5"/>
  <c r="M752" i="5"/>
  <c r="L752" i="5"/>
  <c r="J752" i="5"/>
  <c r="F752" i="5"/>
  <c r="O752" i="5" s="1"/>
  <c r="O756" i="5"/>
  <c r="O757" i="5"/>
  <c r="H759" i="5"/>
  <c r="G759" i="5"/>
  <c r="F759" i="5"/>
  <c r="M759" i="5"/>
  <c r="L759" i="5"/>
  <c r="K759" i="5"/>
  <c r="J759" i="5"/>
  <c r="K768" i="5"/>
  <c r="G768" i="5"/>
  <c r="J768" i="5"/>
  <c r="L768" i="5"/>
  <c r="I768" i="5"/>
  <c r="M768" i="5"/>
  <c r="H768" i="5"/>
  <c r="F768" i="5"/>
  <c r="O768" i="5" s="1"/>
  <c r="N782" i="5"/>
  <c r="P782" i="5"/>
  <c r="M559" i="5"/>
  <c r="K559" i="5"/>
  <c r="G559" i="5"/>
  <c r="O559" i="5" s="1"/>
  <c r="J575" i="5"/>
  <c r="L582" i="5"/>
  <c r="G587" i="5"/>
  <c r="L587" i="5"/>
  <c r="F587" i="5"/>
  <c r="K587" i="5"/>
  <c r="G595" i="5"/>
  <c r="F595" i="5"/>
  <c r="O595" i="5" s="1"/>
  <c r="K595" i="5"/>
  <c r="G603" i="5"/>
  <c r="J603" i="5"/>
  <c r="F603" i="5"/>
  <c r="O603" i="5" s="1"/>
  <c r="L603" i="5"/>
  <c r="M605" i="5"/>
  <c r="J605" i="5"/>
  <c r="K605" i="5"/>
  <c r="F605" i="5"/>
  <c r="O605" i="5" s="1"/>
  <c r="H606" i="5"/>
  <c r="F606" i="5"/>
  <c r="O606" i="5" s="1"/>
  <c r="I606" i="5"/>
  <c r="M606" i="5"/>
  <c r="M613" i="5"/>
  <c r="I613" i="5"/>
  <c r="M621" i="5"/>
  <c r="H621" i="5"/>
  <c r="J621" i="5"/>
  <c r="G627" i="5"/>
  <c r="O627" i="5" s="1"/>
  <c r="K627" i="5"/>
  <c r="J627" i="5"/>
  <c r="J628" i="5"/>
  <c r="G628" i="5"/>
  <c r="H628" i="5"/>
  <c r="M628" i="5"/>
  <c r="M629" i="5"/>
  <c r="K629" i="5"/>
  <c r="I629" i="5"/>
  <c r="L632" i="5"/>
  <c r="K633" i="5"/>
  <c r="J636" i="5"/>
  <c r="K636" i="5"/>
  <c r="L636" i="5"/>
  <c r="F636" i="5"/>
  <c r="O636" i="5" s="1"/>
  <c r="M637" i="5"/>
  <c r="F637" i="5"/>
  <c r="O637" i="5" s="1"/>
  <c r="H637" i="5"/>
  <c r="L637" i="5"/>
  <c r="H638" i="5"/>
  <c r="K638" i="5"/>
  <c r="J638" i="5"/>
  <c r="K639" i="5"/>
  <c r="G639" i="5"/>
  <c r="M639" i="5"/>
  <c r="H639" i="5"/>
  <c r="F640" i="5"/>
  <c r="O640" i="5" s="1"/>
  <c r="L640" i="5"/>
  <c r="J640" i="5"/>
  <c r="I641" i="5"/>
  <c r="H641" i="5"/>
  <c r="G641" i="5"/>
  <c r="O641" i="5" s="1"/>
  <c r="M641" i="5"/>
  <c r="K647" i="5"/>
  <c r="J647" i="5"/>
  <c r="F647" i="5"/>
  <c r="O647" i="5" s="1"/>
  <c r="L647" i="5"/>
  <c r="F648" i="5"/>
  <c r="O648" i="5" s="1"/>
  <c r="G648" i="5"/>
  <c r="M648" i="5"/>
  <c r="I648" i="5"/>
  <c r="J660" i="5"/>
  <c r="L660" i="5"/>
  <c r="F660" i="5"/>
  <c r="O660" i="5" s="1"/>
  <c r="K660" i="5"/>
  <c r="M661" i="5"/>
  <c r="G661" i="5"/>
  <c r="L661" i="5"/>
  <c r="H661" i="5"/>
  <c r="H662" i="5"/>
  <c r="L662" i="5"/>
  <c r="J662" i="5"/>
  <c r="K663" i="5"/>
  <c r="H663" i="5"/>
  <c r="G663" i="5"/>
  <c r="M663" i="5"/>
  <c r="F672" i="5"/>
  <c r="O672" i="5" s="1"/>
  <c r="H672" i="5"/>
  <c r="K672" i="5"/>
  <c r="J676" i="5"/>
  <c r="I676" i="5"/>
  <c r="F676" i="5"/>
  <c r="O676" i="5" s="1"/>
  <c r="L676" i="5"/>
  <c r="M677" i="5"/>
  <c r="K677" i="5"/>
  <c r="G677" i="5"/>
  <c r="K688" i="5"/>
  <c r="L689" i="5"/>
  <c r="O691" i="5"/>
  <c r="K697" i="5"/>
  <c r="H702" i="5"/>
  <c r="K702" i="5"/>
  <c r="M702" i="5"/>
  <c r="L702" i="5"/>
  <c r="J702" i="5"/>
  <c r="I702" i="5"/>
  <c r="G702" i="5"/>
  <c r="O702" i="5" s="1"/>
  <c r="G715" i="5"/>
  <c r="L715" i="5"/>
  <c r="K715" i="5"/>
  <c r="J715" i="5"/>
  <c r="I715" i="5"/>
  <c r="H715" i="5"/>
  <c r="F715" i="5"/>
  <c r="O715" i="5" s="1"/>
  <c r="P726" i="5"/>
  <c r="N726" i="5"/>
  <c r="M741" i="5"/>
  <c r="F741" i="5"/>
  <c r="O741" i="5" s="1"/>
  <c r="K741" i="5"/>
  <c r="J741" i="5"/>
  <c r="I741" i="5"/>
  <c r="H741" i="5"/>
  <c r="G741" i="5"/>
  <c r="I778" i="5"/>
  <c r="M778" i="5"/>
  <c r="K778" i="5"/>
  <c r="L778" i="5"/>
  <c r="J778" i="5"/>
  <c r="H778" i="5"/>
  <c r="G778" i="5"/>
  <c r="F778" i="5"/>
  <c r="O778" i="5" s="1"/>
  <c r="H792" i="5"/>
  <c r="J792" i="5"/>
  <c r="G792" i="5"/>
  <c r="O792" i="5" s="1"/>
  <c r="M792" i="5"/>
  <c r="L792" i="5"/>
  <c r="K792" i="5"/>
  <c r="I792" i="5"/>
  <c r="O806" i="5"/>
  <c r="M474" i="5"/>
  <c r="I474" i="5"/>
  <c r="J481" i="5"/>
  <c r="F481" i="5"/>
  <c r="O481" i="5" s="1"/>
  <c r="G488" i="5"/>
  <c r="O488" i="5" s="1"/>
  <c r="K488" i="5"/>
  <c r="M506" i="5"/>
  <c r="I506" i="5"/>
  <c r="J513" i="5"/>
  <c r="F513" i="5"/>
  <c r="O513" i="5" s="1"/>
  <c r="K516" i="5"/>
  <c r="G516" i="5"/>
  <c r="O516" i="5" s="1"/>
  <c r="M530" i="5"/>
  <c r="I530" i="5"/>
  <c r="F533" i="5"/>
  <c r="O533" i="5" s="1"/>
  <c r="J533" i="5"/>
  <c r="G542" i="5"/>
  <c r="O542" i="5" s="1"/>
  <c r="N543" i="5"/>
  <c r="I550" i="5"/>
  <c r="M550" i="5"/>
  <c r="H552" i="5"/>
  <c r="H557" i="5"/>
  <c r="F558" i="5"/>
  <c r="H560" i="5"/>
  <c r="G560" i="5"/>
  <c r="L560" i="5"/>
  <c r="G563" i="5"/>
  <c r="O563" i="5" s="1"/>
  <c r="I568" i="5"/>
  <c r="H569" i="5"/>
  <c r="G570" i="5"/>
  <c r="J574" i="5"/>
  <c r="I574" i="5"/>
  <c r="H577" i="5"/>
  <c r="H578" i="5"/>
  <c r="F579" i="5"/>
  <c r="O579" i="5" s="1"/>
  <c r="N584" i="5"/>
  <c r="P584" i="5"/>
  <c r="G607" i="5"/>
  <c r="G608" i="5"/>
  <c r="O609" i="5"/>
  <c r="H614" i="5"/>
  <c r="J614" i="5"/>
  <c r="L614" i="5"/>
  <c r="F614" i="5"/>
  <c r="O614" i="5" s="1"/>
  <c r="P615" i="5"/>
  <c r="N622" i="5"/>
  <c r="H630" i="5"/>
  <c r="G630" i="5"/>
  <c r="L630" i="5"/>
  <c r="F630" i="5"/>
  <c r="H644" i="5"/>
  <c r="H645" i="5"/>
  <c r="G649" i="5"/>
  <c r="P651" i="5"/>
  <c r="G659" i="5"/>
  <c r="F659" i="5"/>
  <c r="O659" i="5" s="1"/>
  <c r="I659" i="5"/>
  <c r="M659" i="5"/>
  <c r="P664" i="5"/>
  <c r="G670" i="5"/>
  <c r="P680" i="5"/>
  <c r="M685" i="5"/>
  <c r="H685" i="5"/>
  <c r="G685" i="5"/>
  <c r="O685" i="5" s="1"/>
  <c r="L685" i="5"/>
  <c r="M693" i="5"/>
  <c r="K693" i="5"/>
  <c r="L693" i="5"/>
  <c r="J693" i="5"/>
  <c r="I693" i="5"/>
  <c r="H693" i="5"/>
  <c r="G693" i="5"/>
  <c r="O693" i="5" s="1"/>
  <c r="F696" i="5"/>
  <c r="O696" i="5" s="1"/>
  <c r="I696" i="5"/>
  <c r="M696" i="5"/>
  <c r="L696" i="5"/>
  <c r="K696" i="5"/>
  <c r="J696" i="5"/>
  <c r="H696" i="5"/>
  <c r="L697" i="5"/>
  <c r="M699" i="5"/>
  <c r="O705" i="5"/>
  <c r="L709" i="5"/>
  <c r="F712" i="5"/>
  <c r="O712" i="5" s="1"/>
  <c r="G712" i="5"/>
  <c r="K712" i="5"/>
  <c r="J712" i="5"/>
  <c r="I712" i="5"/>
  <c r="H712" i="5"/>
  <c r="M718" i="5"/>
  <c r="I721" i="5"/>
  <c r="F721" i="5"/>
  <c r="O721" i="5" s="1"/>
  <c r="M721" i="5"/>
  <c r="L721" i="5"/>
  <c r="K721" i="5"/>
  <c r="J721" i="5"/>
  <c r="H721" i="5"/>
  <c r="K725" i="5"/>
  <c r="O746" i="5"/>
  <c r="N753" i="5"/>
  <c r="P753" i="5"/>
  <c r="I759" i="5"/>
  <c r="J773" i="5"/>
  <c r="F773" i="5"/>
  <c r="K773" i="5"/>
  <c r="I773" i="5"/>
  <c r="M773" i="5"/>
  <c r="L773" i="5"/>
  <c r="H773" i="5"/>
  <c r="G773" i="5"/>
  <c r="F616" i="5"/>
  <c r="O616" i="5" s="1"/>
  <c r="K616" i="5"/>
  <c r="G616" i="5"/>
  <c r="L616" i="5"/>
  <c r="P617" i="5"/>
  <c r="N617" i="5"/>
  <c r="J652" i="5"/>
  <c r="H652" i="5"/>
  <c r="L652" i="5"/>
  <c r="F652" i="5"/>
  <c r="O652" i="5" s="1"/>
  <c r="I665" i="5"/>
  <c r="J665" i="5"/>
  <c r="L665" i="5"/>
  <c r="F665" i="5"/>
  <c r="O665" i="5" s="1"/>
  <c r="K679" i="5"/>
  <c r="F679" i="5"/>
  <c r="O679" i="5" s="1"/>
  <c r="G679" i="5"/>
  <c r="L679" i="5"/>
  <c r="I681" i="5"/>
  <c r="G681" i="5"/>
  <c r="L681" i="5"/>
  <c r="F681" i="5"/>
  <c r="O681" i="5" s="1"/>
  <c r="P691" i="5"/>
  <c r="N691" i="5"/>
  <c r="N719" i="5"/>
  <c r="P719" i="5"/>
  <c r="N736" i="5"/>
  <c r="P736" i="5"/>
  <c r="G747" i="5"/>
  <c r="I747" i="5"/>
  <c r="H747" i="5"/>
  <c r="M747" i="5"/>
  <c r="L747" i="5"/>
  <c r="K747" i="5"/>
  <c r="J747" i="5"/>
  <c r="F747" i="5"/>
  <c r="P755" i="5"/>
  <c r="N755" i="5"/>
  <c r="P758" i="5"/>
  <c r="N758" i="5"/>
  <c r="F761" i="5"/>
  <c r="O761" i="5" s="1"/>
  <c r="J761" i="5"/>
  <c r="L761" i="5"/>
  <c r="M761" i="5"/>
  <c r="K761" i="5"/>
  <c r="I761" i="5"/>
  <c r="H761" i="5"/>
  <c r="F769" i="5"/>
  <c r="O769" i="5" s="1"/>
  <c r="J769" i="5"/>
  <c r="H769" i="5"/>
  <c r="K769" i="5"/>
  <c r="I769" i="5"/>
  <c r="M769" i="5"/>
  <c r="L769" i="5"/>
  <c r="G769" i="5"/>
  <c r="P779" i="5"/>
  <c r="N779" i="5"/>
  <c r="N780" i="5"/>
  <c r="P780" i="5"/>
  <c r="N787" i="5"/>
  <c r="P787" i="5"/>
  <c r="N794" i="5"/>
  <c r="P794" i="5"/>
  <c r="N810" i="5"/>
  <c r="P810" i="5"/>
  <c r="M575" i="5"/>
  <c r="I575" i="5"/>
  <c r="N578" i="5"/>
  <c r="P578" i="5"/>
  <c r="H582" i="5"/>
  <c r="K582" i="5"/>
  <c r="F582" i="5"/>
  <c r="O589" i="5"/>
  <c r="H590" i="5"/>
  <c r="I590" i="5"/>
  <c r="F590" i="5"/>
  <c r="L590" i="5"/>
  <c r="O610" i="5"/>
  <c r="F632" i="5"/>
  <c r="I632" i="5"/>
  <c r="K632" i="5"/>
  <c r="I633" i="5"/>
  <c r="L633" i="5"/>
  <c r="G633" i="5"/>
  <c r="N648" i="5"/>
  <c r="P648" i="5"/>
  <c r="K687" i="5"/>
  <c r="I687" i="5"/>
  <c r="L687" i="5"/>
  <c r="F687" i="5"/>
  <c r="O687" i="5" s="1"/>
  <c r="F688" i="5"/>
  <c r="H688" i="5"/>
  <c r="L688" i="5"/>
  <c r="I689" i="5"/>
  <c r="K689" i="5"/>
  <c r="J689" i="5"/>
  <c r="P707" i="5"/>
  <c r="N707" i="5"/>
  <c r="P713" i="5"/>
  <c r="N713" i="5"/>
  <c r="P734" i="5"/>
  <c r="N734" i="5"/>
  <c r="O740" i="5"/>
  <c r="P749" i="5"/>
  <c r="N749" i="5"/>
  <c r="G764" i="5"/>
  <c r="K764" i="5"/>
  <c r="L764" i="5"/>
  <c r="F764" i="5"/>
  <c r="O764" i="5" s="1"/>
  <c r="M764" i="5"/>
  <c r="J764" i="5"/>
  <c r="I764" i="5"/>
  <c r="H764" i="5"/>
  <c r="P800" i="5"/>
  <c r="N800" i="5"/>
  <c r="P809" i="5"/>
  <c r="N809" i="5"/>
  <c r="I795" i="5"/>
  <c r="G795" i="5"/>
  <c r="L795" i="5"/>
  <c r="M795" i="5"/>
  <c r="F802" i="5"/>
  <c r="J802" i="5"/>
  <c r="I802" i="5"/>
  <c r="H802" i="5"/>
  <c r="G805" i="5"/>
  <c r="K805" i="5"/>
  <c r="F805" i="5"/>
  <c r="M805" i="5"/>
  <c r="L805" i="5"/>
  <c r="N818" i="5"/>
  <c r="P818" i="5"/>
  <c r="M823" i="5"/>
  <c r="I823" i="5"/>
  <c r="J823" i="5"/>
  <c r="H823" i="5"/>
  <c r="L823" i="5"/>
  <c r="K823" i="5"/>
  <c r="G823" i="5"/>
  <c r="F857" i="5"/>
  <c r="O857" i="5" s="1"/>
  <c r="L857" i="5"/>
  <c r="H857" i="5"/>
  <c r="K857" i="5"/>
  <c r="J857" i="5"/>
  <c r="I857" i="5"/>
  <c r="G857" i="5"/>
  <c r="M857" i="5"/>
  <c r="P912" i="5"/>
  <c r="P942" i="5"/>
  <c r="N942" i="5"/>
  <c r="P946" i="5"/>
  <c r="N946" i="5"/>
  <c r="H463" i="5"/>
  <c r="L467" i="5"/>
  <c r="H471" i="5"/>
  <c r="L475" i="5"/>
  <c r="H479" i="5"/>
  <c r="L483" i="5"/>
  <c r="H487" i="5"/>
  <c r="L491" i="5"/>
  <c r="H495" i="5"/>
  <c r="L499" i="5"/>
  <c r="H503" i="5"/>
  <c r="L507" i="5"/>
  <c r="H511" i="5"/>
  <c r="H519" i="5"/>
  <c r="H527" i="5"/>
  <c r="H535" i="5"/>
  <c r="H543" i="5"/>
  <c r="H551" i="5"/>
  <c r="H561" i="5"/>
  <c r="M562" i="5"/>
  <c r="M571" i="5"/>
  <c r="M573" i="5"/>
  <c r="M580" i="5"/>
  <c r="K583" i="5"/>
  <c r="J583" i="5"/>
  <c r="H591" i="5"/>
  <c r="J596" i="5"/>
  <c r="L596" i="5"/>
  <c r="J612" i="5"/>
  <c r="I612" i="5"/>
  <c r="K615" i="5"/>
  <c r="F615" i="5"/>
  <c r="O615" i="5" s="1"/>
  <c r="I635" i="5"/>
  <c r="G643" i="5"/>
  <c r="I643" i="5"/>
  <c r="M646" i="5"/>
  <c r="M669" i="5"/>
  <c r="J669" i="5"/>
  <c r="H678" i="5"/>
  <c r="J678" i="5"/>
  <c r="O690" i="5"/>
  <c r="K692" i="5"/>
  <c r="H694" i="5"/>
  <c r="G694" i="5"/>
  <c r="O694" i="5" s="1"/>
  <c r="N694" i="5"/>
  <c r="J700" i="5"/>
  <c r="K700" i="5"/>
  <c r="J701" i="5"/>
  <c r="K705" i="5"/>
  <c r="L707" i="5"/>
  <c r="H708" i="5"/>
  <c r="K710" i="5"/>
  <c r="I713" i="5"/>
  <c r="L713" i="5"/>
  <c r="J716" i="5"/>
  <c r="H716" i="5"/>
  <c r="M719" i="5"/>
  <c r="K720" i="5"/>
  <c r="K723" i="5"/>
  <c r="J727" i="5"/>
  <c r="I729" i="5"/>
  <c r="J729" i="5"/>
  <c r="J732" i="5"/>
  <c r="G732" i="5"/>
  <c r="F732" i="5"/>
  <c r="O732" i="5" s="1"/>
  <c r="M733" i="5"/>
  <c r="K733" i="5"/>
  <c r="J733" i="5"/>
  <c r="K743" i="5"/>
  <c r="G743" i="5"/>
  <c r="F743" i="5"/>
  <c r="O743" i="5" s="1"/>
  <c r="F744" i="5"/>
  <c r="O744" i="5" s="1"/>
  <c r="L744" i="5"/>
  <c r="K744" i="5"/>
  <c r="I754" i="5"/>
  <c r="K754" i="5"/>
  <c r="M754" i="5"/>
  <c r="L754" i="5"/>
  <c r="G772" i="5"/>
  <c r="O772" i="5" s="1"/>
  <c r="K772" i="5"/>
  <c r="H772" i="5"/>
  <c r="M772" i="5"/>
  <c r="L772" i="5"/>
  <c r="O775" i="5"/>
  <c r="I786" i="5"/>
  <c r="M786" i="5"/>
  <c r="G786" i="5"/>
  <c r="F786" i="5"/>
  <c r="O791" i="5"/>
  <c r="J814" i="5"/>
  <c r="K814" i="5"/>
  <c r="F814" i="5"/>
  <c r="O814" i="5" s="1"/>
  <c r="G814" i="5"/>
  <c r="M814" i="5"/>
  <c r="L814" i="5"/>
  <c r="K825" i="5"/>
  <c r="J825" i="5"/>
  <c r="F825" i="5"/>
  <c r="G825" i="5"/>
  <c r="M825" i="5"/>
  <c r="L825" i="5"/>
  <c r="G829" i="5"/>
  <c r="L829" i="5"/>
  <c r="H829" i="5"/>
  <c r="K829" i="5"/>
  <c r="J829" i="5"/>
  <c r="I829" i="5"/>
  <c r="F829" i="5"/>
  <c r="O829" i="5" s="1"/>
  <c r="G844" i="5"/>
  <c r="F844" i="5"/>
  <c r="H844" i="5"/>
  <c r="L844" i="5"/>
  <c r="M844" i="5"/>
  <c r="P855" i="5"/>
  <c r="N855" i="5"/>
  <c r="G868" i="5"/>
  <c r="J868" i="5"/>
  <c r="M868" i="5"/>
  <c r="H868" i="5"/>
  <c r="I868" i="5"/>
  <c r="L868" i="5"/>
  <c r="K868" i="5"/>
  <c r="F868" i="5"/>
  <c r="P887" i="5"/>
  <c r="N887" i="5"/>
  <c r="N941" i="5"/>
  <c r="P941" i="5"/>
  <c r="G691" i="5"/>
  <c r="K691" i="5"/>
  <c r="L692" i="5"/>
  <c r="K701" i="5"/>
  <c r="F704" i="5"/>
  <c r="L704" i="5"/>
  <c r="L705" i="5"/>
  <c r="L710" i="5"/>
  <c r="L720" i="5"/>
  <c r="L723" i="5"/>
  <c r="H726" i="5"/>
  <c r="L726" i="5"/>
  <c r="L727" i="5"/>
  <c r="I745" i="5"/>
  <c r="H745" i="5"/>
  <c r="G745" i="5"/>
  <c r="O745" i="5" s="1"/>
  <c r="P756" i="5"/>
  <c r="N756" i="5"/>
  <c r="M782" i="5"/>
  <c r="I782" i="5"/>
  <c r="H782" i="5"/>
  <c r="L782" i="5"/>
  <c r="F785" i="5"/>
  <c r="O785" i="5" s="1"/>
  <c r="J785" i="5"/>
  <c r="K785" i="5"/>
  <c r="H785" i="5"/>
  <c r="G785" i="5"/>
  <c r="F794" i="5"/>
  <c r="O794" i="5" s="1"/>
  <c r="K794" i="5"/>
  <c r="G794" i="5"/>
  <c r="M794" i="5"/>
  <c r="F795" i="5"/>
  <c r="O795" i="5" s="1"/>
  <c r="G797" i="5"/>
  <c r="H797" i="5"/>
  <c r="L797" i="5"/>
  <c r="M797" i="5"/>
  <c r="K797" i="5"/>
  <c r="I797" i="5"/>
  <c r="F797" i="5"/>
  <c r="O797" i="5" s="1"/>
  <c r="K801" i="5"/>
  <c r="I801" i="5"/>
  <c r="L801" i="5"/>
  <c r="J801" i="5"/>
  <c r="G802" i="5"/>
  <c r="H805" i="5"/>
  <c r="F823" i="5"/>
  <c r="O823" i="5" s="1"/>
  <c r="P837" i="5"/>
  <c r="N837" i="5"/>
  <c r="M839" i="5"/>
  <c r="G839" i="5"/>
  <c r="K839" i="5"/>
  <c r="L839" i="5"/>
  <c r="J839" i="5"/>
  <c r="H839" i="5"/>
  <c r="F839" i="5"/>
  <c r="P849" i="5"/>
  <c r="P883" i="5"/>
  <c r="N883" i="5"/>
  <c r="O902" i="5"/>
  <c r="N985" i="5"/>
  <c r="P985" i="5"/>
  <c r="G707" i="5"/>
  <c r="I707" i="5"/>
  <c r="M710" i="5"/>
  <c r="H734" i="5"/>
  <c r="G734" i="5"/>
  <c r="F734" i="5"/>
  <c r="O734" i="5" s="1"/>
  <c r="M749" i="5"/>
  <c r="I749" i="5"/>
  <c r="H749" i="5"/>
  <c r="N760" i="5"/>
  <c r="P760" i="5"/>
  <c r="P763" i="5"/>
  <c r="N763" i="5"/>
  <c r="P766" i="5"/>
  <c r="N766" i="5"/>
  <c r="K784" i="5"/>
  <c r="G784" i="5"/>
  <c r="M784" i="5"/>
  <c r="I784" i="5"/>
  <c r="H784" i="5"/>
  <c r="H795" i="5"/>
  <c r="K802" i="5"/>
  <c r="N803" i="5"/>
  <c r="I805" i="5"/>
  <c r="H808" i="5"/>
  <c r="G808" i="5"/>
  <c r="L808" i="5"/>
  <c r="K808" i="5"/>
  <c r="J808" i="5"/>
  <c r="F808" i="5"/>
  <c r="O808" i="5" s="1"/>
  <c r="J822" i="5"/>
  <c r="I822" i="5"/>
  <c r="M822" i="5"/>
  <c r="L822" i="5"/>
  <c r="K822" i="5"/>
  <c r="H822" i="5"/>
  <c r="G822" i="5"/>
  <c r="N859" i="5"/>
  <c r="P859" i="5"/>
  <c r="P864" i="5"/>
  <c r="N864" i="5"/>
  <c r="F889" i="5"/>
  <c r="O889" i="5" s="1"/>
  <c r="G889" i="5"/>
  <c r="K889" i="5"/>
  <c r="L889" i="5"/>
  <c r="I889" i="5"/>
  <c r="H889" i="5"/>
  <c r="M889" i="5"/>
  <c r="J893" i="5"/>
  <c r="H893" i="5"/>
  <c r="M893" i="5"/>
  <c r="G893" i="5"/>
  <c r="I893" i="5"/>
  <c r="L893" i="5"/>
  <c r="K893" i="5"/>
  <c r="F893" i="5"/>
  <c r="O893" i="5" s="1"/>
  <c r="P923" i="5"/>
  <c r="N923" i="5"/>
  <c r="J692" i="5"/>
  <c r="G692" i="5"/>
  <c r="O692" i="5" s="1"/>
  <c r="M701" i="5"/>
  <c r="F701" i="5"/>
  <c r="O701" i="5" s="1"/>
  <c r="G704" i="5"/>
  <c r="I705" i="5"/>
  <c r="H705" i="5"/>
  <c r="F720" i="5"/>
  <c r="O720" i="5" s="1"/>
  <c r="J720" i="5"/>
  <c r="G723" i="5"/>
  <c r="F723" i="5"/>
  <c r="K727" i="5"/>
  <c r="H727" i="5"/>
  <c r="P776" i="5"/>
  <c r="N776" i="5"/>
  <c r="I785" i="5"/>
  <c r="K793" i="5"/>
  <c r="F793" i="5"/>
  <c r="O793" i="5" s="1"/>
  <c r="J793" i="5"/>
  <c r="G793" i="5"/>
  <c r="H794" i="5"/>
  <c r="J795" i="5"/>
  <c r="J797" i="5"/>
  <c r="F801" i="5"/>
  <c r="L802" i="5"/>
  <c r="J805" i="5"/>
  <c r="G813" i="5"/>
  <c r="J813" i="5"/>
  <c r="H813" i="5"/>
  <c r="F813" i="5"/>
  <c r="M813" i="5"/>
  <c r="L813" i="5"/>
  <c r="P832" i="5"/>
  <c r="N832" i="5"/>
  <c r="I839" i="5"/>
  <c r="P844" i="5"/>
  <c r="N844" i="5"/>
  <c r="M846" i="5"/>
  <c r="G846" i="5"/>
  <c r="K846" i="5"/>
  <c r="F846" i="5"/>
  <c r="O846" i="5" s="1"/>
  <c r="L846" i="5"/>
  <c r="I846" i="5"/>
  <c r="H846" i="5"/>
  <c r="M862" i="5"/>
  <c r="G862" i="5"/>
  <c r="K862" i="5"/>
  <c r="F862" i="5"/>
  <c r="O862" i="5" s="1"/>
  <c r="H862" i="5"/>
  <c r="L862" i="5"/>
  <c r="J862" i="5"/>
  <c r="P863" i="5"/>
  <c r="N863" i="5"/>
  <c r="I866" i="5"/>
  <c r="J866" i="5"/>
  <c r="K866" i="5"/>
  <c r="G866" i="5"/>
  <c r="M866" i="5"/>
  <c r="L866" i="5"/>
  <c r="H866" i="5"/>
  <c r="F866" i="5"/>
  <c r="O866" i="5" s="1"/>
  <c r="N918" i="5"/>
  <c r="P918" i="5"/>
  <c r="N961" i="5"/>
  <c r="P961" i="5"/>
  <c r="M561" i="5"/>
  <c r="I585" i="5"/>
  <c r="L585" i="5"/>
  <c r="J588" i="5"/>
  <c r="H588" i="5"/>
  <c r="M591" i="5"/>
  <c r="I601" i="5"/>
  <c r="J601" i="5"/>
  <c r="J604" i="5"/>
  <c r="F604" i="5"/>
  <c r="O604" i="5" s="1"/>
  <c r="I617" i="5"/>
  <c r="G617" i="5"/>
  <c r="O617" i="5" s="1"/>
  <c r="K623" i="5"/>
  <c r="I623" i="5"/>
  <c r="M635" i="5"/>
  <c r="G651" i="5"/>
  <c r="O651" i="5" s="1"/>
  <c r="L651" i="5"/>
  <c r="H654" i="5"/>
  <c r="I654" i="5"/>
  <c r="G667" i="5"/>
  <c r="O667" i="5" s="1"/>
  <c r="J667" i="5"/>
  <c r="K671" i="5"/>
  <c r="L671" i="5"/>
  <c r="F680" i="5"/>
  <c r="O680" i="5" s="1"/>
  <c r="K680" i="5"/>
  <c r="G683" i="5"/>
  <c r="O683" i="5" s="1"/>
  <c r="H683" i="5"/>
  <c r="H691" i="5"/>
  <c r="H704" i="5"/>
  <c r="F707" i="5"/>
  <c r="M708" i="5"/>
  <c r="F710" i="5"/>
  <c r="O710" i="5" s="1"/>
  <c r="K711" i="5"/>
  <c r="J711" i="5"/>
  <c r="N714" i="5"/>
  <c r="J724" i="5"/>
  <c r="L724" i="5"/>
  <c r="G726" i="5"/>
  <c r="I734" i="5"/>
  <c r="F736" i="5"/>
  <c r="O736" i="5" s="1"/>
  <c r="I736" i="5"/>
  <c r="H736" i="5"/>
  <c r="J740" i="5"/>
  <c r="K740" i="5"/>
  <c r="I740" i="5"/>
  <c r="J745" i="5"/>
  <c r="F749" i="5"/>
  <c r="O749" i="5" s="1"/>
  <c r="P750" i="5"/>
  <c r="J757" i="5"/>
  <c r="G757" i="5"/>
  <c r="M757" i="5"/>
  <c r="L757" i="5"/>
  <c r="M758" i="5"/>
  <c r="K758" i="5"/>
  <c r="I758" i="5"/>
  <c r="H758" i="5"/>
  <c r="I762" i="5"/>
  <c r="M762" i="5"/>
  <c r="H762" i="5"/>
  <c r="L762" i="5"/>
  <c r="K762" i="5"/>
  <c r="G782" i="5"/>
  <c r="O782" i="5" s="1"/>
  <c r="F784" i="5"/>
  <c r="O784" i="5" s="1"/>
  <c r="L785" i="5"/>
  <c r="I794" i="5"/>
  <c r="K795" i="5"/>
  <c r="G801" i="5"/>
  <c r="M802" i="5"/>
  <c r="I808" i="5"/>
  <c r="F822" i="5"/>
  <c r="H824" i="5"/>
  <c r="J824" i="5"/>
  <c r="G824" i="5"/>
  <c r="F824" i="5"/>
  <c r="M824" i="5"/>
  <c r="L824" i="5"/>
  <c r="K824" i="5"/>
  <c r="N881" i="5"/>
  <c r="P881" i="5"/>
  <c r="J889" i="5"/>
  <c r="J901" i="5"/>
  <c r="L901" i="5"/>
  <c r="G901" i="5"/>
  <c r="K901" i="5"/>
  <c r="M901" i="5"/>
  <c r="I901" i="5"/>
  <c r="H901" i="5"/>
  <c r="F901" i="5"/>
  <c r="N920" i="5"/>
  <c r="P819" i="5"/>
  <c r="N819" i="5"/>
  <c r="P831" i="5"/>
  <c r="N831" i="5"/>
  <c r="P846" i="5"/>
  <c r="N846" i="5"/>
  <c r="N851" i="5"/>
  <c r="P851" i="5"/>
  <c r="K872" i="5"/>
  <c r="L872" i="5"/>
  <c r="M872" i="5"/>
  <c r="G872" i="5"/>
  <c r="H872" i="5"/>
  <c r="I872" i="5"/>
  <c r="F872" i="5"/>
  <c r="O872" i="5" s="1"/>
  <c r="J877" i="5"/>
  <c r="I877" i="5"/>
  <c r="K877" i="5"/>
  <c r="F877" i="5"/>
  <c r="O877" i="5" s="1"/>
  <c r="M877" i="5"/>
  <c r="L877" i="5"/>
  <c r="H877" i="5"/>
  <c r="K904" i="5"/>
  <c r="H904" i="5"/>
  <c r="I904" i="5"/>
  <c r="M904" i="5"/>
  <c r="G904" i="5"/>
  <c r="J904" i="5"/>
  <c r="L904" i="5"/>
  <c r="F904" i="5"/>
  <c r="O904" i="5" s="1"/>
  <c r="N932" i="5"/>
  <c r="P932" i="5"/>
  <c r="K982" i="5"/>
  <c r="H982" i="5"/>
  <c r="G982" i="5"/>
  <c r="F982" i="5"/>
  <c r="O982" i="5" s="1"/>
  <c r="J982" i="5"/>
  <c r="M982" i="5"/>
  <c r="L982" i="5"/>
  <c r="I982" i="5"/>
  <c r="O817" i="5"/>
  <c r="H840" i="5"/>
  <c r="L840" i="5"/>
  <c r="G840" i="5"/>
  <c r="K840" i="5"/>
  <c r="J840" i="5"/>
  <c r="M840" i="5"/>
  <c r="I840" i="5"/>
  <c r="F840" i="5"/>
  <c r="H895" i="5"/>
  <c r="I895" i="5"/>
  <c r="L895" i="5"/>
  <c r="F895" i="5"/>
  <c r="O895" i="5" s="1"/>
  <c r="M895" i="5"/>
  <c r="K895" i="5"/>
  <c r="J895" i="5"/>
  <c r="H919" i="5"/>
  <c r="J919" i="5"/>
  <c r="K919" i="5"/>
  <c r="G919" i="5"/>
  <c r="F919" i="5"/>
  <c r="M919" i="5"/>
  <c r="L919" i="5"/>
  <c r="I919" i="5"/>
  <c r="N948" i="5"/>
  <c r="P948" i="5"/>
  <c r="K896" i="5"/>
  <c r="L896" i="5"/>
  <c r="I896" i="5"/>
  <c r="M896" i="5"/>
  <c r="F896" i="5"/>
  <c r="K929" i="5"/>
  <c r="H929" i="5"/>
  <c r="G929" i="5"/>
  <c r="I929" i="5"/>
  <c r="F929" i="5"/>
  <c r="L929" i="5"/>
  <c r="P816" i="5"/>
  <c r="N816" i="5"/>
  <c r="P817" i="5"/>
  <c r="N817" i="5"/>
  <c r="N826" i="5"/>
  <c r="P826" i="5"/>
  <c r="I835" i="5"/>
  <c r="F835" i="5"/>
  <c r="K835" i="5"/>
  <c r="H835" i="5"/>
  <c r="G835" i="5"/>
  <c r="J838" i="5"/>
  <c r="L838" i="5"/>
  <c r="G838" i="5"/>
  <c r="M838" i="5"/>
  <c r="J845" i="5"/>
  <c r="L845" i="5"/>
  <c r="I845" i="5"/>
  <c r="M845" i="5"/>
  <c r="I850" i="5"/>
  <c r="J850" i="5"/>
  <c r="L850" i="5"/>
  <c r="F850" i="5"/>
  <c r="H850" i="5"/>
  <c r="G850" i="5"/>
  <c r="O870" i="5"/>
  <c r="O879" i="5"/>
  <c r="O892" i="5"/>
  <c r="G896" i="5"/>
  <c r="I898" i="5"/>
  <c r="F898" i="5"/>
  <c r="O898" i="5" s="1"/>
  <c r="G898" i="5"/>
  <c r="H898" i="5"/>
  <c r="M898" i="5"/>
  <c r="K898" i="5"/>
  <c r="L898" i="5"/>
  <c r="J898" i="5"/>
  <c r="N907" i="5"/>
  <c r="P907" i="5"/>
  <c r="J929" i="5"/>
  <c r="M936" i="5"/>
  <c r="I936" i="5"/>
  <c r="F936" i="5"/>
  <c r="K936" i="5"/>
  <c r="G936" i="5"/>
  <c r="J936" i="5"/>
  <c r="H936" i="5"/>
  <c r="L589" i="5"/>
  <c r="M600" i="5"/>
  <c r="M609" i="5"/>
  <c r="M611" i="5"/>
  <c r="M620" i="5"/>
  <c r="M622" i="5"/>
  <c r="M631" i="5"/>
  <c r="L653" i="5"/>
  <c r="M664" i="5"/>
  <c r="M673" i="5"/>
  <c r="M675" i="5"/>
  <c r="M684" i="5"/>
  <c r="M686" i="5"/>
  <c r="M695" i="5"/>
  <c r="L717" i="5"/>
  <c r="M728" i="5"/>
  <c r="L735" i="5"/>
  <c r="M737" i="5"/>
  <c r="M739" i="5"/>
  <c r="M748" i="5"/>
  <c r="M750" i="5"/>
  <c r="H750" i="5"/>
  <c r="O753" i="5"/>
  <c r="M753" i="5"/>
  <c r="G756" i="5"/>
  <c r="K756" i="5"/>
  <c r="J765" i="5"/>
  <c r="F765" i="5"/>
  <c r="O765" i="5" s="1"/>
  <c r="I765" i="5"/>
  <c r="J790" i="5"/>
  <c r="I790" i="5"/>
  <c r="M790" i="5"/>
  <c r="M807" i="5"/>
  <c r="K807" i="5"/>
  <c r="G807" i="5"/>
  <c r="O807" i="5" s="1"/>
  <c r="L807" i="5"/>
  <c r="J807" i="5"/>
  <c r="K833" i="5"/>
  <c r="I833" i="5"/>
  <c r="L833" i="5"/>
  <c r="J833" i="5"/>
  <c r="F834" i="5"/>
  <c r="O834" i="5" s="1"/>
  <c r="J834" i="5"/>
  <c r="I834" i="5"/>
  <c r="H834" i="5"/>
  <c r="P847" i="5"/>
  <c r="N847" i="5"/>
  <c r="J861" i="5"/>
  <c r="L861" i="5"/>
  <c r="I861" i="5"/>
  <c r="G861" i="5"/>
  <c r="O861" i="5" s="1"/>
  <c r="M861" i="5"/>
  <c r="K861" i="5"/>
  <c r="H861" i="5"/>
  <c r="K864" i="5"/>
  <c r="H864" i="5"/>
  <c r="F864" i="5"/>
  <c r="O864" i="5" s="1"/>
  <c r="L864" i="5"/>
  <c r="M864" i="5"/>
  <c r="J869" i="5"/>
  <c r="F869" i="5"/>
  <c r="O869" i="5" s="1"/>
  <c r="K869" i="5"/>
  <c r="H869" i="5"/>
  <c r="M869" i="5"/>
  <c r="P875" i="5"/>
  <c r="N875" i="5"/>
  <c r="M878" i="5"/>
  <c r="J878" i="5"/>
  <c r="F878" i="5"/>
  <c r="O878" i="5" s="1"/>
  <c r="K878" i="5"/>
  <c r="L878" i="5"/>
  <c r="I882" i="5"/>
  <c r="G882" i="5"/>
  <c r="K882" i="5"/>
  <c r="L882" i="5"/>
  <c r="H882" i="5"/>
  <c r="F882" i="5"/>
  <c r="O882" i="5" s="1"/>
  <c r="I890" i="5"/>
  <c r="L890" i="5"/>
  <c r="M890" i="5"/>
  <c r="J890" i="5"/>
  <c r="F890" i="5"/>
  <c r="O890" i="5" s="1"/>
  <c r="K890" i="5"/>
  <c r="H890" i="5"/>
  <c r="H896" i="5"/>
  <c r="N905" i="5"/>
  <c r="P905" i="5"/>
  <c r="I923" i="5"/>
  <c r="F923" i="5"/>
  <c r="G923" i="5"/>
  <c r="L923" i="5"/>
  <c r="M923" i="5"/>
  <c r="K923" i="5"/>
  <c r="M929" i="5"/>
  <c r="K958" i="5"/>
  <c r="G958" i="5"/>
  <c r="M958" i="5"/>
  <c r="L958" i="5"/>
  <c r="F958" i="5"/>
  <c r="O958" i="5" s="1"/>
  <c r="H958" i="5"/>
  <c r="J958" i="5"/>
  <c r="M735" i="5"/>
  <c r="M766" i="5"/>
  <c r="I766" i="5"/>
  <c r="F766" i="5"/>
  <c r="O766" i="5" s="1"/>
  <c r="K776" i="5"/>
  <c r="G776" i="5"/>
  <c r="F776" i="5"/>
  <c r="J781" i="5"/>
  <c r="F781" i="5"/>
  <c r="O781" i="5" s="1"/>
  <c r="L781" i="5"/>
  <c r="M791" i="5"/>
  <c r="I791" i="5"/>
  <c r="J791" i="5"/>
  <c r="I803" i="5"/>
  <c r="K803" i="5"/>
  <c r="F803" i="5"/>
  <c r="O803" i="5" s="1"/>
  <c r="H803" i="5"/>
  <c r="G803" i="5"/>
  <c r="J806" i="5"/>
  <c r="G806" i="5"/>
  <c r="L806" i="5"/>
  <c r="M806" i="5"/>
  <c r="F818" i="5"/>
  <c r="O818" i="5" s="1"/>
  <c r="L818" i="5"/>
  <c r="H818" i="5"/>
  <c r="M818" i="5"/>
  <c r="P821" i="5"/>
  <c r="N821" i="5"/>
  <c r="O831" i="5"/>
  <c r="J835" i="5"/>
  <c r="G837" i="5"/>
  <c r="F837" i="5"/>
  <c r="K837" i="5"/>
  <c r="M837" i="5"/>
  <c r="F838" i="5"/>
  <c r="O838" i="5" s="1"/>
  <c r="O843" i="5"/>
  <c r="F845" i="5"/>
  <c r="O845" i="5" s="1"/>
  <c r="K850" i="5"/>
  <c r="K856" i="5"/>
  <c r="G856" i="5"/>
  <c r="L856" i="5"/>
  <c r="M856" i="5"/>
  <c r="F856" i="5"/>
  <c r="I856" i="5"/>
  <c r="H856" i="5"/>
  <c r="J896" i="5"/>
  <c r="N921" i="5"/>
  <c r="P921" i="5"/>
  <c r="F939" i="5"/>
  <c r="O939" i="5" s="1"/>
  <c r="K939" i="5"/>
  <c r="L939" i="5"/>
  <c r="J939" i="5"/>
  <c r="M939" i="5"/>
  <c r="H939" i="5"/>
  <c r="N950" i="5"/>
  <c r="P950" i="5"/>
  <c r="I960" i="5"/>
  <c r="H960" i="5"/>
  <c r="G960" i="5"/>
  <c r="F960" i="5"/>
  <c r="O960" i="5" s="1"/>
  <c r="J960" i="5"/>
  <c r="K960" i="5"/>
  <c r="L960" i="5"/>
  <c r="O981" i="5"/>
  <c r="P871" i="5"/>
  <c r="N871" i="5"/>
  <c r="F881" i="5"/>
  <c r="O881" i="5" s="1"/>
  <c r="K881" i="5"/>
  <c r="M881" i="5"/>
  <c r="H881" i="5"/>
  <c r="L881" i="5"/>
  <c r="G884" i="5"/>
  <c r="H884" i="5"/>
  <c r="M884" i="5"/>
  <c r="I884" i="5"/>
  <c r="F884" i="5"/>
  <c r="O884" i="5" s="1"/>
  <c r="K888" i="5"/>
  <c r="I888" i="5"/>
  <c r="J888" i="5"/>
  <c r="F888" i="5"/>
  <c r="M888" i="5"/>
  <c r="G908" i="5"/>
  <c r="J908" i="5"/>
  <c r="K908" i="5"/>
  <c r="H908" i="5"/>
  <c r="F908" i="5"/>
  <c r="O908" i="5" s="1"/>
  <c r="M956" i="5"/>
  <c r="F956" i="5"/>
  <c r="H956" i="5"/>
  <c r="G956" i="5"/>
  <c r="I956" i="5"/>
  <c r="J956" i="5"/>
  <c r="L956" i="5"/>
  <c r="K956" i="5"/>
  <c r="P973" i="5"/>
  <c r="N973" i="5"/>
  <c r="P993" i="5"/>
  <c r="N993" i="5"/>
  <c r="N994" i="5"/>
  <c r="P994" i="5"/>
  <c r="M751" i="5"/>
  <c r="K760" i="5"/>
  <c r="G760" i="5"/>
  <c r="F777" i="5"/>
  <c r="O777" i="5" s="1"/>
  <c r="J777" i="5"/>
  <c r="G780" i="5"/>
  <c r="O780" i="5" s="1"/>
  <c r="K780" i="5"/>
  <c r="M815" i="5"/>
  <c r="F815" i="5"/>
  <c r="O815" i="5" s="1"/>
  <c r="J815" i="5"/>
  <c r="F826" i="5"/>
  <c r="G826" i="5"/>
  <c r="K826" i="5"/>
  <c r="I827" i="5"/>
  <c r="L827" i="5"/>
  <c r="G827" i="5"/>
  <c r="O827" i="5" s="1"/>
  <c r="H855" i="5"/>
  <c r="K855" i="5"/>
  <c r="F855" i="5"/>
  <c r="M855" i="5"/>
  <c r="G855" i="5"/>
  <c r="M870" i="5"/>
  <c r="J870" i="5"/>
  <c r="G870" i="5"/>
  <c r="L870" i="5"/>
  <c r="H870" i="5"/>
  <c r="K880" i="5"/>
  <c r="F880" i="5"/>
  <c r="O880" i="5" s="1"/>
  <c r="J880" i="5"/>
  <c r="L880" i="5"/>
  <c r="F897" i="5"/>
  <c r="O897" i="5" s="1"/>
  <c r="J897" i="5"/>
  <c r="I897" i="5"/>
  <c r="H897" i="5"/>
  <c r="G897" i="5"/>
  <c r="P902" i="5"/>
  <c r="N902" i="5"/>
  <c r="P903" i="5"/>
  <c r="N903" i="5"/>
  <c r="I906" i="5"/>
  <c r="J906" i="5"/>
  <c r="K906" i="5"/>
  <c r="G906" i="5"/>
  <c r="O906" i="5" s="1"/>
  <c r="M906" i="5"/>
  <c r="H906" i="5"/>
  <c r="H911" i="5"/>
  <c r="F911" i="5"/>
  <c r="O911" i="5" s="1"/>
  <c r="G911" i="5"/>
  <c r="K911" i="5"/>
  <c r="J911" i="5"/>
  <c r="L911" i="5"/>
  <c r="N914" i="5"/>
  <c r="P914" i="5"/>
  <c r="J926" i="5"/>
  <c r="L926" i="5"/>
  <c r="F926" i="5"/>
  <c r="O926" i="5" s="1"/>
  <c r="G926" i="5"/>
  <c r="H926" i="5"/>
  <c r="K926" i="5"/>
  <c r="M926" i="5"/>
  <c r="P972" i="5"/>
  <c r="N972" i="5"/>
  <c r="I984" i="5"/>
  <c r="J984" i="5"/>
  <c r="L984" i="5"/>
  <c r="K984" i="5"/>
  <c r="F984" i="5"/>
  <c r="M984" i="5"/>
  <c r="H984" i="5"/>
  <c r="G984" i="5"/>
  <c r="M988" i="5"/>
  <c r="J988" i="5"/>
  <c r="H988" i="5"/>
  <c r="G988" i="5"/>
  <c r="O988" i="5" s="1"/>
  <c r="K988" i="5"/>
  <c r="L988" i="5"/>
  <c r="I988" i="5"/>
  <c r="O804" i="5"/>
  <c r="I811" i="5"/>
  <c r="J811" i="5"/>
  <c r="H816" i="5"/>
  <c r="K816" i="5"/>
  <c r="F816" i="5"/>
  <c r="O816" i="5" s="1"/>
  <c r="K817" i="5"/>
  <c r="G817" i="5"/>
  <c r="L817" i="5"/>
  <c r="O836" i="5"/>
  <c r="G852" i="5"/>
  <c r="O852" i="5" s="1"/>
  <c r="J852" i="5"/>
  <c r="K852" i="5"/>
  <c r="M854" i="5"/>
  <c r="F854" i="5"/>
  <c r="O854" i="5" s="1"/>
  <c r="J854" i="5"/>
  <c r="H854" i="5"/>
  <c r="H879" i="5"/>
  <c r="J879" i="5"/>
  <c r="G879" i="5"/>
  <c r="M879" i="5"/>
  <c r="L879" i="5"/>
  <c r="G881" i="5"/>
  <c r="J884" i="5"/>
  <c r="G888" i="5"/>
  <c r="P892" i="5"/>
  <c r="N892" i="5"/>
  <c r="L767" i="5"/>
  <c r="L775" i="5"/>
  <c r="L783" i="5"/>
  <c r="L799" i="5"/>
  <c r="M810" i="5"/>
  <c r="M819" i="5"/>
  <c r="M821" i="5"/>
  <c r="M830" i="5"/>
  <c r="M832" i="5"/>
  <c r="M841" i="5"/>
  <c r="H847" i="5"/>
  <c r="L847" i="5"/>
  <c r="O885" i="5"/>
  <c r="M886" i="5"/>
  <c r="H886" i="5"/>
  <c r="F886" i="5"/>
  <c r="O886" i="5" s="1"/>
  <c r="K886" i="5"/>
  <c r="G900" i="5"/>
  <c r="F900" i="5"/>
  <c r="O900" i="5" s="1"/>
  <c r="J900" i="5"/>
  <c r="L900" i="5"/>
  <c r="F913" i="5"/>
  <c r="H913" i="5"/>
  <c r="I913" i="5"/>
  <c r="G913" i="5"/>
  <c r="J913" i="5"/>
  <c r="K920" i="5"/>
  <c r="F920" i="5"/>
  <c r="G920" i="5"/>
  <c r="M920" i="5"/>
  <c r="I920" i="5"/>
  <c r="H965" i="5"/>
  <c r="I965" i="5"/>
  <c r="G965" i="5"/>
  <c r="K965" i="5"/>
  <c r="F965" i="5"/>
  <c r="O965" i="5" s="1"/>
  <c r="M965" i="5"/>
  <c r="J965" i="5"/>
  <c r="K974" i="5"/>
  <c r="J974" i="5"/>
  <c r="I974" i="5"/>
  <c r="F974" i="5"/>
  <c r="G974" i="5"/>
  <c r="L974" i="5"/>
  <c r="M996" i="5"/>
  <c r="K996" i="5"/>
  <c r="J996" i="5"/>
  <c r="I996" i="5"/>
  <c r="G996" i="5"/>
  <c r="F996" i="5"/>
  <c r="J971" i="5"/>
  <c r="H971" i="5"/>
  <c r="L971" i="5"/>
  <c r="K971" i="5"/>
  <c r="F971" i="5"/>
  <c r="O971" i="5" s="1"/>
  <c r="I971" i="5"/>
  <c r="M971" i="5"/>
  <c r="P980" i="5"/>
  <c r="N980" i="5"/>
  <c r="M787" i="5"/>
  <c r="M789" i="5"/>
  <c r="M798" i="5"/>
  <c r="H799" i="5"/>
  <c r="M800" i="5"/>
  <c r="M809" i="5"/>
  <c r="I810" i="5"/>
  <c r="H819" i="5"/>
  <c r="I821" i="5"/>
  <c r="H830" i="5"/>
  <c r="L831" i="5"/>
  <c r="I832" i="5"/>
  <c r="H841" i="5"/>
  <c r="I842" i="5"/>
  <c r="F842" i="5"/>
  <c r="O842" i="5" s="1"/>
  <c r="I847" i="5"/>
  <c r="J853" i="5"/>
  <c r="K853" i="5"/>
  <c r="F853" i="5"/>
  <c r="O853" i="5" s="1"/>
  <c r="P865" i="5"/>
  <c r="J886" i="5"/>
  <c r="K900" i="5"/>
  <c r="J909" i="5"/>
  <c r="F909" i="5"/>
  <c r="O909" i="5" s="1"/>
  <c r="G909" i="5"/>
  <c r="M909" i="5"/>
  <c r="I909" i="5"/>
  <c r="M913" i="5"/>
  <c r="L920" i="5"/>
  <c r="G925" i="5"/>
  <c r="F925" i="5"/>
  <c r="I925" i="5"/>
  <c r="J925" i="5"/>
  <c r="H925" i="5"/>
  <c r="P927" i="5"/>
  <c r="N927" i="5"/>
  <c r="I931" i="5"/>
  <c r="J931" i="5"/>
  <c r="L931" i="5"/>
  <c r="M931" i="5"/>
  <c r="K931" i="5"/>
  <c r="N938" i="5"/>
  <c r="P938" i="5"/>
  <c r="K966" i="5"/>
  <c r="J966" i="5"/>
  <c r="F966" i="5"/>
  <c r="O966" i="5" s="1"/>
  <c r="I966" i="5"/>
  <c r="G966" i="5"/>
  <c r="H966" i="5"/>
  <c r="J979" i="5"/>
  <c r="L979" i="5"/>
  <c r="F979" i="5"/>
  <c r="H979" i="5"/>
  <c r="G979" i="5"/>
  <c r="I979" i="5"/>
  <c r="J987" i="5"/>
  <c r="F987" i="5"/>
  <c r="O987" i="5" s="1"/>
  <c r="L987" i="5"/>
  <c r="K987" i="5"/>
  <c r="H987" i="5"/>
  <c r="I987" i="5"/>
  <c r="M987" i="5"/>
  <c r="H848" i="5"/>
  <c r="M849" i="5"/>
  <c r="M858" i="5"/>
  <c r="M860" i="5"/>
  <c r="H863" i="5"/>
  <c r="L863" i="5"/>
  <c r="F873" i="5"/>
  <c r="O873" i="5" s="1"/>
  <c r="H873" i="5"/>
  <c r="G892" i="5"/>
  <c r="L892" i="5"/>
  <c r="N930" i="5"/>
  <c r="P930" i="5"/>
  <c r="N951" i="5"/>
  <c r="P951" i="5"/>
  <c r="M964" i="5"/>
  <c r="I964" i="5"/>
  <c r="L964" i="5"/>
  <c r="K964" i="5"/>
  <c r="J964" i="5"/>
  <c r="F964" i="5"/>
  <c r="O964" i="5" s="1"/>
  <c r="H964" i="5"/>
  <c r="F967" i="5"/>
  <c r="O967" i="5" s="1"/>
  <c r="G967" i="5"/>
  <c r="M967" i="5"/>
  <c r="L967" i="5"/>
  <c r="J967" i="5"/>
  <c r="I967" i="5"/>
  <c r="K967" i="5"/>
  <c r="H981" i="5"/>
  <c r="L981" i="5"/>
  <c r="J981" i="5"/>
  <c r="I981" i="5"/>
  <c r="G981" i="5"/>
  <c r="K981" i="5"/>
  <c r="M981" i="5"/>
  <c r="H997" i="5"/>
  <c r="J997" i="5"/>
  <c r="I997" i="5"/>
  <c r="G997" i="5"/>
  <c r="O997" i="5" s="1"/>
  <c r="L997" i="5"/>
  <c r="K997" i="5"/>
  <c r="M848" i="5"/>
  <c r="H871" i="5"/>
  <c r="F871" i="5"/>
  <c r="O871" i="5" s="1"/>
  <c r="M910" i="5"/>
  <c r="J910" i="5"/>
  <c r="K910" i="5"/>
  <c r="L910" i="5"/>
  <c r="J917" i="5"/>
  <c r="I917" i="5"/>
  <c r="K917" i="5"/>
  <c r="F917" i="5"/>
  <c r="O917" i="5" s="1"/>
  <c r="F921" i="5"/>
  <c r="O921" i="5" s="1"/>
  <c r="K921" i="5"/>
  <c r="L921" i="5"/>
  <c r="M921" i="5"/>
  <c r="F922" i="5"/>
  <c r="O922" i="5" s="1"/>
  <c r="J922" i="5"/>
  <c r="H922" i="5"/>
  <c r="I922" i="5"/>
  <c r="M922" i="5"/>
  <c r="H928" i="5"/>
  <c r="L928" i="5"/>
  <c r="J928" i="5"/>
  <c r="K928" i="5"/>
  <c r="F928" i="5"/>
  <c r="O928" i="5" s="1"/>
  <c r="M944" i="5"/>
  <c r="H944" i="5"/>
  <c r="I944" i="5"/>
  <c r="J944" i="5"/>
  <c r="G944" i="5"/>
  <c r="O944" i="5" s="1"/>
  <c r="I952" i="5"/>
  <c r="L952" i="5"/>
  <c r="K952" i="5"/>
  <c r="M952" i="5"/>
  <c r="J952" i="5"/>
  <c r="F952" i="5"/>
  <c r="O952" i="5" s="1"/>
  <c r="J955" i="5"/>
  <c r="K955" i="5"/>
  <c r="L955" i="5"/>
  <c r="I955" i="5"/>
  <c r="F955" i="5"/>
  <c r="O955" i="5" s="1"/>
  <c r="G955" i="5"/>
  <c r="H955" i="5"/>
  <c r="F959" i="5"/>
  <c r="O959" i="5" s="1"/>
  <c r="L959" i="5"/>
  <c r="J959" i="5"/>
  <c r="I959" i="5"/>
  <c r="G959" i="5"/>
  <c r="H959" i="5"/>
  <c r="I968" i="5"/>
  <c r="L968" i="5"/>
  <c r="K968" i="5"/>
  <c r="J968" i="5"/>
  <c r="M968" i="5"/>
  <c r="M980" i="5"/>
  <c r="G980" i="5"/>
  <c r="L980" i="5"/>
  <c r="K980" i="5"/>
  <c r="H980" i="5"/>
  <c r="F980" i="5"/>
  <c r="O980" i="5" s="1"/>
  <c r="I980" i="5"/>
  <c r="J995" i="5"/>
  <c r="I995" i="5"/>
  <c r="F995" i="5"/>
  <c r="O995" i="5" s="1"/>
  <c r="L995" i="5"/>
  <c r="M995" i="5"/>
  <c r="M865" i="5"/>
  <c r="M874" i="5"/>
  <c r="M876" i="5"/>
  <c r="M885" i="5"/>
  <c r="M887" i="5"/>
  <c r="M902" i="5"/>
  <c r="G902" i="5"/>
  <c r="H902" i="5"/>
  <c r="M918" i="5"/>
  <c r="F918" i="5"/>
  <c r="O918" i="5" s="1"/>
  <c r="I940" i="5"/>
  <c r="G940" i="5"/>
  <c r="O940" i="5" s="1"/>
  <c r="J940" i="5"/>
  <c r="K940" i="5"/>
  <c r="L940" i="5"/>
  <c r="O949" i="5"/>
  <c r="P957" i="5"/>
  <c r="N957" i="5"/>
  <c r="F975" i="5"/>
  <c r="J975" i="5"/>
  <c r="H975" i="5"/>
  <c r="G975" i="5"/>
  <c r="I975" i="5"/>
  <c r="K975" i="5"/>
  <c r="F991" i="5"/>
  <c r="O991" i="5" s="1"/>
  <c r="H991" i="5"/>
  <c r="K991" i="5"/>
  <c r="J991" i="5"/>
  <c r="M991" i="5"/>
  <c r="I991" i="5"/>
  <c r="L991" i="5"/>
  <c r="M903" i="5"/>
  <c r="M912" i="5"/>
  <c r="M927" i="5"/>
  <c r="G927" i="5"/>
  <c r="O927" i="5" s="1"/>
  <c r="H937" i="5"/>
  <c r="J937" i="5"/>
  <c r="F937" i="5"/>
  <c r="O937" i="5" s="1"/>
  <c r="J947" i="5"/>
  <c r="G947" i="5"/>
  <c r="H947" i="5"/>
  <c r="F947" i="5"/>
  <c r="I947" i="5"/>
  <c r="H949" i="5"/>
  <c r="G949" i="5"/>
  <c r="L949" i="5"/>
  <c r="K949" i="5"/>
  <c r="G962" i="5"/>
  <c r="O962" i="5" s="1"/>
  <c r="I962" i="5"/>
  <c r="J962" i="5"/>
  <c r="H962" i="5"/>
  <c r="M962" i="5"/>
  <c r="O973" i="5"/>
  <c r="P976" i="5"/>
  <c r="N976" i="5"/>
  <c r="G978" i="5"/>
  <c r="F978" i="5"/>
  <c r="O978" i="5" s="1"/>
  <c r="I978" i="5"/>
  <c r="H978" i="5"/>
  <c r="J978" i="5"/>
  <c r="K998" i="5"/>
  <c r="F998" i="5"/>
  <c r="O998" i="5" s="1"/>
  <c r="G998" i="5"/>
  <c r="J998" i="5"/>
  <c r="F2" i="7"/>
  <c r="E2" i="7"/>
  <c r="D2" i="7"/>
  <c r="L894" i="5"/>
  <c r="L903" i="5"/>
  <c r="M905" i="5"/>
  <c r="L912" i="5"/>
  <c r="M914" i="5"/>
  <c r="M916" i="5"/>
  <c r="L927" i="5"/>
  <c r="G942" i="5"/>
  <c r="O942" i="5" s="1"/>
  <c r="H942" i="5"/>
  <c r="L942" i="5"/>
  <c r="K946" i="5"/>
  <c r="I946" i="5"/>
  <c r="H946" i="5"/>
  <c r="O957" i="5"/>
  <c r="J963" i="5"/>
  <c r="F963" i="5"/>
  <c r="O963" i="5" s="1"/>
  <c r="K963" i="5"/>
  <c r="P989" i="5"/>
  <c r="N989" i="5"/>
  <c r="I1000" i="5"/>
  <c r="G1000" i="5"/>
  <c r="O1000" i="5" s="1"/>
  <c r="L1000" i="5"/>
  <c r="K1000" i="5"/>
  <c r="J1000" i="5"/>
  <c r="M930" i="5"/>
  <c r="J935" i="5"/>
  <c r="I935" i="5"/>
  <c r="K938" i="5"/>
  <c r="F938" i="5"/>
  <c r="O938" i="5" s="1"/>
  <c r="O948" i="5"/>
  <c r="O970" i="5"/>
  <c r="F8" i="7"/>
  <c r="M932" i="5"/>
  <c r="M934" i="5"/>
  <c r="M943" i="5"/>
  <c r="M945" i="5"/>
  <c r="M948" i="5"/>
  <c r="K948" i="5"/>
  <c r="F951" i="5"/>
  <c r="O951" i="5" s="1"/>
  <c r="I951" i="5"/>
  <c r="L954" i="5"/>
  <c r="H957" i="5"/>
  <c r="K957" i="5"/>
  <c r="I976" i="5"/>
  <c r="F976" i="5"/>
  <c r="O976" i="5" s="1"/>
  <c r="H989" i="5"/>
  <c r="F989" i="5"/>
  <c r="O989" i="5" s="1"/>
  <c r="M954" i="5"/>
  <c r="G970" i="5"/>
  <c r="L970" i="5"/>
  <c r="H973" i="5"/>
  <c r="I973" i="5"/>
  <c r="G986" i="5"/>
  <c r="O986" i="5" s="1"/>
  <c r="J986" i="5"/>
  <c r="K990" i="5"/>
  <c r="L990" i="5"/>
  <c r="F999" i="5"/>
  <c r="O999" i="5" s="1"/>
  <c r="K999" i="5"/>
  <c r="M950" i="5"/>
  <c r="L972" i="5"/>
  <c r="M983" i="5"/>
  <c r="M992" i="5"/>
  <c r="M994" i="5"/>
  <c r="D11" i="7"/>
  <c r="E12" i="7"/>
  <c r="E5" i="7"/>
  <c r="D12" i="7"/>
  <c r="E13" i="7"/>
  <c r="F13" i="7"/>
  <c r="D8" i="7"/>
  <c r="E9" i="7"/>
  <c r="D7" i="7"/>
  <c r="E8" i="7"/>
  <c r="E7" i="7"/>
  <c r="B3" i="8" l="1"/>
  <c r="P2" i="8" a="1"/>
  <c r="P2" i="8" s="1"/>
  <c r="Q3" i="8"/>
  <c r="P3" i="8" a="1"/>
  <c r="P3" i="8" s="1"/>
  <c r="Q2" i="8"/>
  <c r="P997" i="5"/>
  <c r="N997" i="5"/>
  <c r="P965" i="5"/>
  <c r="N965" i="5"/>
  <c r="O913" i="5"/>
  <c r="P870" i="5"/>
  <c r="N870" i="5"/>
  <c r="P956" i="5"/>
  <c r="N956" i="5"/>
  <c r="P960" i="5"/>
  <c r="N960" i="5"/>
  <c r="P835" i="5"/>
  <c r="N835" i="5"/>
  <c r="N834" i="5"/>
  <c r="P834" i="5"/>
  <c r="N765" i="5"/>
  <c r="P765" i="5"/>
  <c r="O896" i="5"/>
  <c r="O901" i="5"/>
  <c r="N889" i="5"/>
  <c r="P889" i="5"/>
  <c r="P824" i="5"/>
  <c r="N824" i="5"/>
  <c r="P757" i="5"/>
  <c r="N757" i="5"/>
  <c r="N604" i="5"/>
  <c r="P604" i="5"/>
  <c r="P805" i="5"/>
  <c r="N805" i="5"/>
  <c r="P808" i="5"/>
  <c r="N808" i="5"/>
  <c r="P839" i="5"/>
  <c r="N839" i="5"/>
  <c r="O704" i="5"/>
  <c r="P733" i="5"/>
  <c r="N733" i="5"/>
  <c r="N727" i="5"/>
  <c r="P727" i="5"/>
  <c r="O632" i="5"/>
  <c r="N773" i="5"/>
  <c r="P773" i="5"/>
  <c r="N712" i="5"/>
  <c r="P712" i="5"/>
  <c r="N533" i="5"/>
  <c r="P533" i="5"/>
  <c r="P638" i="5"/>
  <c r="N638" i="5"/>
  <c r="N575" i="5"/>
  <c r="P575" i="5"/>
  <c r="P752" i="5"/>
  <c r="N752" i="5"/>
  <c r="P687" i="5"/>
  <c r="N687" i="5"/>
  <c r="N697" i="5"/>
  <c r="P697" i="5"/>
  <c r="P590" i="5"/>
  <c r="N590" i="5"/>
  <c r="N668" i="5"/>
  <c r="P668" i="5"/>
  <c r="N656" i="5"/>
  <c r="P656" i="5"/>
  <c r="N774" i="5"/>
  <c r="P774" i="5"/>
  <c r="N485" i="5"/>
  <c r="P485" i="5"/>
  <c r="N505" i="5"/>
  <c r="P505" i="5"/>
  <c r="N517" i="5"/>
  <c r="P517" i="5"/>
  <c r="N451" i="5"/>
  <c r="P451" i="5"/>
  <c r="N323" i="5"/>
  <c r="P323" i="5"/>
  <c r="N195" i="5"/>
  <c r="P195" i="5"/>
  <c r="N592" i="5"/>
  <c r="P592" i="5"/>
  <c r="P524" i="5"/>
  <c r="N524" i="5"/>
  <c r="P508" i="5"/>
  <c r="N508" i="5"/>
  <c r="P502" i="5"/>
  <c r="N502" i="5"/>
  <c r="N423" i="5"/>
  <c r="P423" i="5"/>
  <c r="N473" i="5"/>
  <c r="P473" i="5"/>
  <c r="N291" i="5"/>
  <c r="P291" i="5"/>
  <c r="N211" i="5"/>
  <c r="P211" i="5"/>
  <c r="P408" i="5"/>
  <c r="N408" i="5"/>
  <c r="P398" i="5"/>
  <c r="N398" i="5"/>
  <c r="N299" i="5"/>
  <c r="P299" i="5"/>
  <c r="N219" i="5"/>
  <c r="P219" i="5"/>
  <c r="P456" i="5"/>
  <c r="N456" i="5"/>
  <c r="N462" i="5"/>
  <c r="P462" i="5"/>
  <c r="P262" i="5"/>
  <c r="N262" i="5"/>
  <c r="P278" i="5"/>
  <c r="N278" i="5"/>
  <c r="N275" i="5"/>
  <c r="P275" i="5"/>
  <c r="P296" i="5"/>
  <c r="N296" i="5"/>
  <c r="N239" i="5"/>
  <c r="P239" i="5"/>
  <c r="N179" i="5"/>
  <c r="P179" i="5"/>
  <c r="N339" i="5"/>
  <c r="P339" i="5"/>
  <c r="P266" i="5"/>
  <c r="N266" i="5"/>
  <c r="N222" i="5"/>
  <c r="P222" i="5"/>
  <c r="N394" i="5"/>
  <c r="P394" i="5"/>
  <c r="P240" i="5"/>
  <c r="N240" i="5"/>
  <c r="N160" i="5"/>
  <c r="P160" i="5"/>
  <c r="O144" i="5"/>
  <c r="N88" i="5"/>
  <c r="P88" i="5"/>
  <c r="P294" i="5"/>
  <c r="N294" i="5"/>
  <c r="P196" i="5"/>
  <c r="N196" i="5"/>
  <c r="P84" i="5"/>
  <c r="N84" i="5"/>
  <c r="O267" i="5"/>
  <c r="N215" i="5"/>
  <c r="P215" i="5"/>
  <c r="F4" i="8" a="1"/>
  <c r="F4" i="8" s="1"/>
  <c r="P998" i="5"/>
  <c r="N998" i="5"/>
  <c r="N952" i="5"/>
  <c r="P952" i="5"/>
  <c r="P979" i="5"/>
  <c r="N979" i="5"/>
  <c r="P926" i="5"/>
  <c r="N926" i="5"/>
  <c r="N908" i="5"/>
  <c r="P908" i="5"/>
  <c r="N939" i="5"/>
  <c r="P939" i="5"/>
  <c r="N791" i="5"/>
  <c r="P791" i="5"/>
  <c r="P840" i="5"/>
  <c r="N840" i="5"/>
  <c r="N601" i="5"/>
  <c r="P601" i="5"/>
  <c r="N720" i="5"/>
  <c r="P720" i="5"/>
  <c r="P692" i="5"/>
  <c r="N692" i="5"/>
  <c r="O868" i="5"/>
  <c r="N596" i="5"/>
  <c r="P596" i="5"/>
  <c r="P652" i="5"/>
  <c r="N652" i="5"/>
  <c r="N696" i="5"/>
  <c r="P696" i="5"/>
  <c r="N574" i="5"/>
  <c r="P574" i="5"/>
  <c r="O558" i="5"/>
  <c r="N640" i="5"/>
  <c r="P640" i="5"/>
  <c r="P582" i="5"/>
  <c r="N582" i="5"/>
  <c r="N644" i="5"/>
  <c r="P644" i="5"/>
  <c r="P703" i="5"/>
  <c r="N703" i="5"/>
  <c r="P681" i="5"/>
  <c r="N681" i="5"/>
  <c r="P567" i="5"/>
  <c r="N567" i="5"/>
  <c r="N545" i="5"/>
  <c r="P545" i="5"/>
  <c r="N497" i="5"/>
  <c r="P497" i="5"/>
  <c r="N435" i="5"/>
  <c r="P435" i="5"/>
  <c r="N493" i="5"/>
  <c r="P493" i="5"/>
  <c r="O478" i="5"/>
  <c r="N469" i="5"/>
  <c r="P469" i="5"/>
  <c r="P526" i="5"/>
  <c r="N526" i="5"/>
  <c r="O502" i="5"/>
  <c r="O426" i="5"/>
  <c r="P496" i="5"/>
  <c r="N496" i="5"/>
  <c r="P368" i="5"/>
  <c r="N368" i="5"/>
  <c r="N158" i="5"/>
  <c r="P158" i="5"/>
  <c r="P442" i="5"/>
  <c r="N442" i="5"/>
  <c r="P264" i="5"/>
  <c r="N264" i="5"/>
  <c r="N51" i="5"/>
  <c r="P51" i="5"/>
  <c r="O362" i="5"/>
  <c r="N360" i="5"/>
  <c r="P360" i="5"/>
  <c r="P280" i="5"/>
  <c r="N280" i="5"/>
  <c r="P146" i="5"/>
  <c r="N146" i="5"/>
  <c r="N111" i="5"/>
  <c r="P111" i="5"/>
  <c r="P102" i="5"/>
  <c r="N102" i="5"/>
  <c r="N396" i="5"/>
  <c r="P396" i="5"/>
  <c r="O375" i="5"/>
  <c r="N203" i="5"/>
  <c r="P203" i="5"/>
  <c r="N191" i="5"/>
  <c r="P191" i="5"/>
  <c r="P346" i="5"/>
  <c r="N346" i="5"/>
  <c r="N315" i="5"/>
  <c r="P315" i="5"/>
  <c r="P246" i="5"/>
  <c r="N246" i="5"/>
  <c r="P98" i="5"/>
  <c r="N98" i="5"/>
  <c r="N123" i="5"/>
  <c r="P123" i="5"/>
  <c r="O295" i="5"/>
  <c r="P254" i="5"/>
  <c r="N254" i="5"/>
  <c r="N251" i="5"/>
  <c r="P251" i="5"/>
  <c r="N119" i="5"/>
  <c r="P119" i="5"/>
  <c r="N99" i="5"/>
  <c r="P99" i="5"/>
  <c r="G4" i="8"/>
  <c r="P947" i="5"/>
  <c r="N947" i="5"/>
  <c r="P964" i="5"/>
  <c r="N964" i="5"/>
  <c r="P925" i="5"/>
  <c r="N925" i="5"/>
  <c r="P853" i="5"/>
  <c r="N853" i="5"/>
  <c r="O920" i="5"/>
  <c r="P900" i="5"/>
  <c r="N900" i="5"/>
  <c r="N884" i="5"/>
  <c r="P884" i="5"/>
  <c r="N854" i="5"/>
  <c r="P854" i="5"/>
  <c r="P880" i="5"/>
  <c r="N880" i="5"/>
  <c r="N777" i="5"/>
  <c r="P777" i="5"/>
  <c r="O856" i="5"/>
  <c r="O923" i="5"/>
  <c r="P890" i="5"/>
  <c r="N890" i="5"/>
  <c r="N833" i="5"/>
  <c r="P833" i="5"/>
  <c r="N929" i="5"/>
  <c r="P929" i="5"/>
  <c r="N845" i="5"/>
  <c r="P845" i="5"/>
  <c r="O835" i="5"/>
  <c r="O919" i="5"/>
  <c r="P982" i="5"/>
  <c r="N982" i="5"/>
  <c r="O822" i="5"/>
  <c r="O801" i="5"/>
  <c r="N801" i="5"/>
  <c r="P801" i="5"/>
  <c r="P829" i="5"/>
  <c r="N829" i="5"/>
  <c r="O825" i="5"/>
  <c r="N814" i="5"/>
  <c r="P814" i="5"/>
  <c r="P702" i="5"/>
  <c r="N702" i="5"/>
  <c r="P676" i="5"/>
  <c r="N676" i="5"/>
  <c r="P662" i="5"/>
  <c r="N662" i="5"/>
  <c r="P636" i="5"/>
  <c r="N636" i="5"/>
  <c r="P605" i="5"/>
  <c r="N605" i="5"/>
  <c r="O759" i="5"/>
  <c r="P725" i="5"/>
  <c r="N725" i="5"/>
  <c r="N699" i="5"/>
  <c r="P699" i="5"/>
  <c r="O770" i="5"/>
  <c r="P484" i="5"/>
  <c r="N484" i="5"/>
  <c r="O435" i="5"/>
  <c r="P555" i="5"/>
  <c r="N555" i="5"/>
  <c r="N624" i="5"/>
  <c r="P624" i="5"/>
  <c r="N227" i="5"/>
  <c r="P227" i="5"/>
  <c r="O440" i="5"/>
  <c r="O599" i="5"/>
  <c r="N549" i="5"/>
  <c r="P549" i="5"/>
  <c r="O566" i="5"/>
  <c r="P444" i="5"/>
  <c r="N444" i="5"/>
  <c r="N243" i="5"/>
  <c r="P243" i="5"/>
  <c r="O460" i="5"/>
  <c r="P366" i="5"/>
  <c r="N366" i="5"/>
  <c r="O351" i="5"/>
  <c r="P459" i="5"/>
  <c r="N459" i="5"/>
  <c r="N439" i="5"/>
  <c r="P439" i="5"/>
  <c r="N187" i="5"/>
  <c r="P187" i="5"/>
  <c r="N364" i="5"/>
  <c r="P364" i="5"/>
  <c r="P348" i="5"/>
  <c r="N348" i="5"/>
  <c r="N95" i="5"/>
  <c r="P95" i="5"/>
  <c r="O75" i="5"/>
  <c r="N216" i="5"/>
  <c r="P216" i="5"/>
  <c r="N362" i="5"/>
  <c r="P362" i="5"/>
  <c r="N192" i="5"/>
  <c r="P192" i="5"/>
  <c r="N91" i="5"/>
  <c r="P91" i="5"/>
  <c r="P18" i="5"/>
  <c r="N18" i="5"/>
  <c r="N375" i="5"/>
  <c r="P375" i="5"/>
  <c r="P326" i="5"/>
  <c r="N326" i="5"/>
  <c r="O203" i="5"/>
  <c r="N140" i="5"/>
  <c r="P140" i="5"/>
  <c r="O315" i="5"/>
  <c r="P168" i="5"/>
  <c r="N168" i="5"/>
  <c r="N68" i="5"/>
  <c r="P68" i="5"/>
  <c r="O43" i="5"/>
  <c r="N461" i="5"/>
  <c r="P461" i="5"/>
  <c r="N327" i="5"/>
  <c r="P327" i="5"/>
  <c r="O254" i="5"/>
  <c r="O160" i="5"/>
  <c r="N83" i="5"/>
  <c r="P83" i="5"/>
  <c r="N316" i="5"/>
  <c r="P316" i="5"/>
  <c r="P272" i="5"/>
  <c r="N272" i="5"/>
  <c r="O122" i="5"/>
  <c r="N79" i="5"/>
  <c r="P79" i="5"/>
  <c r="P70" i="5"/>
  <c r="N70" i="5"/>
  <c r="P20" i="5"/>
  <c r="N20" i="5"/>
  <c r="N359" i="5"/>
  <c r="P359" i="5"/>
  <c r="N295" i="5"/>
  <c r="P295" i="5"/>
  <c r="O251" i="5"/>
  <c r="N223" i="5"/>
  <c r="P223" i="5"/>
  <c r="O119" i="5"/>
  <c r="P8" i="5"/>
  <c r="N8" i="5"/>
  <c r="N11" i="4"/>
  <c r="N7" i="4"/>
  <c r="A4" i="8" a="1"/>
  <c r="A4" i="8" s="1"/>
  <c r="P1000" i="5"/>
  <c r="N1000" i="5"/>
  <c r="P978" i="5"/>
  <c r="N978" i="5"/>
  <c r="N991" i="5"/>
  <c r="P991" i="5"/>
  <c r="N975" i="5"/>
  <c r="P975" i="5"/>
  <c r="P995" i="5"/>
  <c r="N995" i="5"/>
  <c r="P928" i="5"/>
  <c r="N928" i="5"/>
  <c r="P931" i="5"/>
  <c r="N931" i="5"/>
  <c r="P911" i="5"/>
  <c r="N911" i="5"/>
  <c r="P815" i="5"/>
  <c r="N815" i="5"/>
  <c r="P888" i="5"/>
  <c r="N888" i="5"/>
  <c r="N790" i="5"/>
  <c r="P790" i="5"/>
  <c r="N898" i="5"/>
  <c r="P898" i="5"/>
  <c r="P919" i="5"/>
  <c r="N919" i="5"/>
  <c r="N588" i="5"/>
  <c r="P588" i="5"/>
  <c r="N785" i="5"/>
  <c r="P785" i="5"/>
  <c r="P732" i="5"/>
  <c r="N732" i="5"/>
  <c r="N857" i="5"/>
  <c r="P857" i="5"/>
  <c r="N10" i="4"/>
  <c r="N5" i="5"/>
  <c r="P5" i="5"/>
  <c r="N935" i="5"/>
  <c r="P935" i="5"/>
  <c r="N922" i="5"/>
  <c r="P922" i="5"/>
  <c r="N967" i="5"/>
  <c r="P967" i="5"/>
  <c r="P987" i="5"/>
  <c r="N987" i="5"/>
  <c r="P971" i="5"/>
  <c r="N971" i="5"/>
  <c r="P806" i="5"/>
  <c r="N806" i="5"/>
  <c r="N861" i="5"/>
  <c r="P861" i="5"/>
  <c r="O850" i="5"/>
  <c r="O929" i="5"/>
  <c r="P904" i="5"/>
  <c r="N904" i="5"/>
  <c r="P745" i="5"/>
  <c r="N745" i="5"/>
  <c r="O707" i="5"/>
  <c r="N866" i="5"/>
  <c r="P866" i="5"/>
  <c r="N797" i="5"/>
  <c r="P797" i="5"/>
  <c r="N825" i="5"/>
  <c r="P825" i="5"/>
  <c r="N583" i="5"/>
  <c r="P583" i="5"/>
  <c r="N802" i="5"/>
  <c r="P802" i="5"/>
  <c r="O590" i="5"/>
  <c r="P693" i="5"/>
  <c r="N693" i="5"/>
  <c r="N778" i="5"/>
  <c r="P778" i="5"/>
  <c r="N741" i="5"/>
  <c r="P741" i="5"/>
  <c r="P647" i="5"/>
  <c r="N647" i="5"/>
  <c r="P628" i="5"/>
  <c r="N628" i="5"/>
  <c r="N768" i="5"/>
  <c r="P768" i="5"/>
  <c r="O608" i="5"/>
  <c r="N677" i="5"/>
  <c r="P677" i="5"/>
  <c r="N655" i="5"/>
  <c r="P655" i="5"/>
  <c r="P742" i="5"/>
  <c r="N742" i="5"/>
  <c r="P731" i="5"/>
  <c r="N731" i="5"/>
  <c r="N625" i="5"/>
  <c r="P625" i="5"/>
  <c r="P593" i="5"/>
  <c r="N593" i="5"/>
  <c r="P486" i="5"/>
  <c r="N486" i="5"/>
  <c r="N415" i="5"/>
  <c r="P415" i="5"/>
  <c r="N565" i="5"/>
  <c r="P565" i="5"/>
  <c r="N537" i="5"/>
  <c r="P537" i="5"/>
  <c r="O476" i="5"/>
  <c r="P468" i="5"/>
  <c r="N468" i="5"/>
  <c r="N431" i="5"/>
  <c r="P431" i="5"/>
  <c r="N367" i="5"/>
  <c r="P367" i="5"/>
  <c r="N522" i="5"/>
  <c r="P522" i="5"/>
  <c r="O500" i="5"/>
  <c r="O549" i="5"/>
  <c r="O520" i="5"/>
  <c r="N554" i="5"/>
  <c r="P554" i="5"/>
  <c r="P410" i="5"/>
  <c r="N410" i="5"/>
  <c r="N335" i="5"/>
  <c r="P335" i="5"/>
  <c r="N351" i="5"/>
  <c r="P351" i="5"/>
  <c r="N331" i="5"/>
  <c r="P331" i="5"/>
  <c r="O459" i="5"/>
  <c r="N379" i="5"/>
  <c r="P379" i="5"/>
  <c r="O187" i="5"/>
  <c r="N155" i="5"/>
  <c r="P155" i="5"/>
  <c r="O374" i="5"/>
  <c r="N75" i="5"/>
  <c r="P75" i="5"/>
  <c r="N135" i="5"/>
  <c r="P135" i="5"/>
  <c r="P390" i="5"/>
  <c r="N390" i="5"/>
  <c r="O90" i="5"/>
  <c r="P52" i="5"/>
  <c r="N52" i="5"/>
  <c r="O174" i="5"/>
  <c r="N92" i="5"/>
  <c r="P92" i="5"/>
  <c r="N78" i="5"/>
  <c r="P78" i="5"/>
  <c r="N67" i="5"/>
  <c r="P67" i="5"/>
  <c r="N28" i="5"/>
  <c r="P28" i="5"/>
  <c r="N14" i="5"/>
  <c r="P14" i="5"/>
  <c r="N224" i="5"/>
  <c r="P224" i="5"/>
  <c r="P184" i="5"/>
  <c r="N184" i="5"/>
  <c r="O131" i="5"/>
  <c r="N63" i="5"/>
  <c r="P63" i="5"/>
  <c r="P54" i="5"/>
  <c r="N54" i="5"/>
  <c r="N43" i="5"/>
  <c r="P43" i="5"/>
  <c r="O212" i="5"/>
  <c r="N103" i="5"/>
  <c r="P103" i="5"/>
  <c r="N391" i="5"/>
  <c r="P391" i="5"/>
  <c r="N347" i="5"/>
  <c r="P347" i="5"/>
  <c r="N59" i="5"/>
  <c r="P59" i="5"/>
  <c r="P412" i="5"/>
  <c r="N412" i="5"/>
  <c r="N371" i="5"/>
  <c r="P371" i="5"/>
  <c r="O232" i="5"/>
  <c r="N9" i="4"/>
  <c r="N9" i="5"/>
  <c r="P9" i="5"/>
  <c r="B4" i="8"/>
  <c r="N12" i="3"/>
  <c r="N986" i="5"/>
  <c r="P986" i="5"/>
  <c r="N963" i="5"/>
  <c r="P963" i="5"/>
  <c r="P937" i="5"/>
  <c r="N937" i="5"/>
  <c r="P940" i="5"/>
  <c r="N940" i="5"/>
  <c r="P917" i="5"/>
  <c r="N917" i="5"/>
  <c r="O925" i="5"/>
  <c r="P909" i="5"/>
  <c r="N909" i="5"/>
  <c r="O996" i="5"/>
  <c r="O974" i="5"/>
  <c r="N913" i="5"/>
  <c r="P913" i="5"/>
  <c r="O984" i="5"/>
  <c r="O855" i="5"/>
  <c r="O826" i="5"/>
  <c r="O956" i="5"/>
  <c r="O888" i="5"/>
  <c r="N936" i="5"/>
  <c r="P936" i="5"/>
  <c r="N667" i="5"/>
  <c r="P667" i="5"/>
  <c r="O813" i="5"/>
  <c r="P795" i="5"/>
  <c r="N795" i="5"/>
  <c r="N893" i="5"/>
  <c r="P893" i="5"/>
  <c r="O786" i="5"/>
  <c r="P701" i="5"/>
  <c r="N701" i="5"/>
  <c r="P678" i="5"/>
  <c r="N678" i="5"/>
  <c r="O802" i="5"/>
  <c r="O688" i="5"/>
  <c r="O747" i="5"/>
  <c r="P665" i="5"/>
  <c r="N665" i="5"/>
  <c r="N715" i="5"/>
  <c r="P715" i="5"/>
  <c r="P660" i="5"/>
  <c r="N660" i="5"/>
  <c r="P627" i="5"/>
  <c r="N627" i="5"/>
  <c r="O587" i="5"/>
  <c r="P607" i="5"/>
  <c r="N607" i="5"/>
  <c r="P709" i="5"/>
  <c r="N709" i="5"/>
  <c r="P577" i="5"/>
  <c r="N577" i="5"/>
  <c r="O633" i="5"/>
  <c r="O584" i="5"/>
  <c r="O555" i="5"/>
  <c r="P536" i="5"/>
  <c r="N536" i="5"/>
  <c r="P470" i="5"/>
  <c r="N470" i="5"/>
  <c r="O430" i="5"/>
  <c r="N387" i="5"/>
  <c r="P387" i="5"/>
  <c r="N259" i="5"/>
  <c r="P259" i="5"/>
  <c r="P498" i="5"/>
  <c r="N498" i="5"/>
  <c r="O532" i="5"/>
  <c r="O466" i="5"/>
  <c r="O447" i="5"/>
  <c r="N428" i="5"/>
  <c r="P428" i="5"/>
  <c r="O510" i="5"/>
  <c r="O464" i="5"/>
  <c r="N443" i="5"/>
  <c r="P443" i="5"/>
  <c r="P566" i="5"/>
  <c r="N566" i="5"/>
  <c r="P454" i="5"/>
  <c r="N454" i="5"/>
  <c r="P424" i="5"/>
  <c r="N424" i="5"/>
  <c r="N355" i="5"/>
  <c r="P355" i="5"/>
  <c r="N541" i="5"/>
  <c r="P541" i="5"/>
  <c r="O529" i="5"/>
  <c r="N521" i="5"/>
  <c r="P521" i="5"/>
  <c r="P460" i="5"/>
  <c r="N460" i="5"/>
  <c r="O270" i="5"/>
  <c r="N172" i="5"/>
  <c r="P172" i="5"/>
  <c r="O379" i="5"/>
  <c r="O366" i="5"/>
  <c r="N283" i="5"/>
  <c r="P283" i="5"/>
  <c r="N175" i="5"/>
  <c r="P175" i="5"/>
  <c r="N374" i="5"/>
  <c r="P374" i="5"/>
  <c r="O255" i="5"/>
  <c r="O383" i="5"/>
  <c r="O258" i="5"/>
  <c r="O358" i="5"/>
  <c r="N344" i="5"/>
  <c r="P344" i="5"/>
  <c r="N200" i="5"/>
  <c r="P200" i="5"/>
  <c r="O242" i="5"/>
  <c r="P230" i="5"/>
  <c r="N230" i="5"/>
  <c r="O192" i="5"/>
  <c r="N112" i="5"/>
  <c r="P112" i="5"/>
  <c r="N48" i="5"/>
  <c r="P48" i="5"/>
  <c r="P358" i="5"/>
  <c r="N358" i="5"/>
  <c r="P244" i="5"/>
  <c r="N244" i="5"/>
  <c r="P208" i="5"/>
  <c r="N208" i="5"/>
  <c r="N131" i="5"/>
  <c r="P131" i="5"/>
  <c r="O107" i="5"/>
  <c r="O63" i="5"/>
  <c r="O163" i="5"/>
  <c r="N151" i="5"/>
  <c r="P151" i="5"/>
  <c r="P258" i="5"/>
  <c r="N258" i="5"/>
  <c r="O247" i="5"/>
  <c r="O198" i="5"/>
  <c r="O171" i="5"/>
  <c r="O78" i="5"/>
  <c r="O58" i="5"/>
  <c r="N15" i="5"/>
  <c r="P15" i="5"/>
  <c r="O371" i="5"/>
  <c r="P232" i="5"/>
  <c r="N232" i="5"/>
  <c r="F2" i="8" a="1"/>
  <c r="F2" i="8" s="1"/>
  <c r="P13" i="5"/>
  <c r="N13" i="5"/>
  <c r="N10" i="3"/>
  <c r="L2" i="8"/>
  <c r="K2" i="8" a="1"/>
  <c r="K2" i="8" s="1"/>
  <c r="N8" i="4"/>
  <c r="P10" i="5"/>
  <c r="N10" i="5"/>
  <c r="P6" i="5"/>
  <c r="N6" i="5"/>
  <c r="N7" i="5"/>
  <c r="P7" i="5"/>
  <c r="O975" i="5"/>
  <c r="N968" i="5"/>
  <c r="P968" i="5"/>
  <c r="N959" i="5"/>
  <c r="P959" i="5"/>
  <c r="P981" i="5"/>
  <c r="N981" i="5"/>
  <c r="P966" i="5"/>
  <c r="N966" i="5"/>
  <c r="P886" i="5"/>
  <c r="N886" i="5"/>
  <c r="N974" i="5"/>
  <c r="P974" i="5"/>
  <c r="N852" i="5"/>
  <c r="P852" i="5"/>
  <c r="P906" i="5"/>
  <c r="N906" i="5"/>
  <c r="O837" i="5"/>
  <c r="N781" i="5"/>
  <c r="P781" i="5"/>
  <c r="P958" i="5"/>
  <c r="N958" i="5"/>
  <c r="P807" i="5"/>
  <c r="N807" i="5"/>
  <c r="P838" i="5"/>
  <c r="N838" i="5"/>
  <c r="O840" i="5"/>
  <c r="O824" i="5"/>
  <c r="N740" i="5"/>
  <c r="P740" i="5"/>
  <c r="N813" i="5"/>
  <c r="P813" i="5"/>
  <c r="N822" i="5"/>
  <c r="P822" i="5"/>
  <c r="O839" i="5"/>
  <c r="O844" i="5"/>
  <c r="P729" i="5"/>
  <c r="N729" i="5"/>
  <c r="P700" i="5"/>
  <c r="N700" i="5"/>
  <c r="N669" i="5"/>
  <c r="P669" i="5"/>
  <c r="O805" i="5"/>
  <c r="N761" i="5"/>
  <c r="P761" i="5"/>
  <c r="O630" i="5"/>
  <c r="P614" i="5"/>
  <c r="N614" i="5"/>
  <c r="P792" i="5"/>
  <c r="N792" i="5"/>
  <c r="P603" i="5"/>
  <c r="N603" i="5"/>
  <c r="P759" i="5"/>
  <c r="N759" i="5"/>
  <c r="N633" i="5"/>
  <c r="P633" i="5"/>
  <c r="P558" i="5"/>
  <c r="N558" i="5"/>
  <c r="N616" i="5"/>
  <c r="P616" i="5"/>
  <c r="P629" i="5"/>
  <c r="N629" i="5"/>
  <c r="N613" i="5"/>
  <c r="P613" i="5"/>
  <c r="P576" i="5"/>
  <c r="N576" i="5"/>
  <c r="O496" i="5"/>
  <c r="P426" i="5"/>
  <c r="N426" i="5"/>
  <c r="N455" i="5"/>
  <c r="P455" i="5"/>
  <c r="P598" i="5"/>
  <c r="N598" i="5"/>
  <c r="O480" i="5"/>
  <c r="N525" i="5"/>
  <c r="P525" i="5"/>
  <c r="N510" i="5"/>
  <c r="P510" i="5"/>
  <c r="N452" i="5"/>
  <c r="P452" i="5"/>
  <c r="N553" i="5"/>
  <c r="P553" i="5"/>
  <c r="O540" i="5"/>
  <c r="N581" i="5"/>
  <c r="P581" i="5"/>
  <c r="N509" i="5"/>
  <c r="P509" i="5"/>
  <c r="O319" i="5"/>
  <c r="N311" i="5"/>
  <c r="P311" i="5"/>
  <c r="N147" i="5"/>
  <c r="P147" i="5"/>
  <c r="P380" i="5"/>
  <c r="N380" i="5"/>
  <c r="O462" i="5"/>
  <c r="P422" i="5"/>
  <c r="N422" i="5"/>
  <c r="O322" i="5"/>
  <c r="P282" i="5"/>
  <c r="N282" i="5"/>
  <c r="O248" i="5"/>
  <c r="O235" i="5"/>
  <c r="N199" i="5"/>
  <c r="P199" i="5"/>
  <c r="N31" i="5"/>
  <c r="P31" i="5"/>
  <c r="N279" i="5"/>
  <c r="P279" i="5"/>
  <c r="N307" i="5"/>
  <c r="P307" i="5"/>
  <c r="P206" i="5"/>
  <c r="N206" i="5"/>
  <c r="P170" i="5"/>
  <c r="N170" i="5"/>
  <c r="P82" i="5"/>
  <c r="N82" i="5"/>
  <c r="N27" i="5"/>
  <c r="P27" i="5"/>
  <c r="O394" i="5"/>
  <c r="N343" i="5"/>
  <c r="P343" i="5"/>
  <c r="N183" i="5"/>
  <c r="P183" i="5"/>
  <c r="O154" i="5"/>
  <c r="O260" i="5"/>
  <c r="O244" i="5"/>
  <c r="O143" i="5"/>
  <c r="O127" i="5"/>
  <c r="N24" i="5"/>
  <c r="P24" i="5"/>
  <c r="O363" i="5"/>
  <c r="O231" i="5"/>
  <c r="O140" i="5"/>
  <c r="O72" i="5"/>
  <c r="N19" i="5"/>
  <c r="P19" i="5"/>
  <c r="O376" i="5"/>
  <c r="N407" i="5"/>
  <c r="P407" i="5"/>
  <c r="O395" i="5"/>
  <c r="O139" i="5"/>
  <c r="O35" i="5"/>
  <c r="F3" i="8" a="1"/>
  <c r="F3" i="8" s="1"/>
  <c r="P2" i="5"/>
  <c r="N2" i="5"/>
  <c r="N11" i="5"/>
  <c r="P962" i="5"/>
  <c r="N962" i="5"/>
  <c r="O947" i="5"/>
  <c r="P955" i="5"/>
  <c r="N955" i="5"/>
  <c r="P944" i="5"/>
  <c r="N944" i="5"/>
  <c r="P910" i="5"/>
  <c r="N910" i="5"/>
  <c r="O979" i="5"/>
  <c r="N996" i="5"/>
  <c r="P996" i="5"/>
  <c r="P879" i="5"/>
  <c r="N879" i="5"/>
  <c r="N811" i="5"/>
  <c r="P811" i="5"/>
  <c r="P988" i="5"/>
  <c r="N988" i="5"/>
  <c r="N984" i="5"/>
  <c r="P984" i="5"/>
  <c r="N897" i="5"/>
  <c r="P897" i="5"/>
  <c r="N896" i="5"/>
  <c r="P896" i="5"/>
  <c r="O776" i="5"/>
  <c r="N878" i="5"/>
  <c r="P878" i="5"/>
  <c r="P869" i="5"/>
  <c r="N869" i="5"/>
  <c r="O936" i="5"/>
  <c r="P895" i="5"/>
  <c r="N895" i="5"/>
  <c r="P877" i="5"/>
  <c r="N877" i="5"/>
  <c r="P901" i="5"/>
  <c r="N901" i="5"/>
  <c r="N711" i="5"/>
  <c r="P711" i="5"/>
  <c r="P862" i="5"/>
  <c r="N862" i="5"/>
  <c r="P793" i="5"/>
  <c r="N793" i="5"/>
  <c r="O723" i="5"/>
  <c r="P868" i="5"/>
  <c r="N868" i="5"/>
  <c r="N612" i="5"/>
  <c r="P612" i="5"/>
  <c r="N823" i="5"/>
  <c r="P823" i="5"/>
  <c r="N764" i="5"/>
  <c r="P764" i="5"/>
  <c r="P689" i="5"/>
  <c r="N689" i="5"/>
  <c r="O582" i="5"/>
  <c r="N769" i="5"/>
  <c r="P769" i="5"/>
  <c r="O773" i="5"/>
  <c r="P721" i="5"/>
  <c r="N721" i="5"/>
  <c r="N513" i="5"/>
  <c r="P513" i="5"/>
  <c r="P621" i="5"/>
  <c r="N621" i="5"/>
  <c r="P718" i="5"/>
  <c r="N718" i="5"/>
  <c r="N688" i="5"/>
  <c r="P688" i="5"/>
  <c r="N632" i="5"/>
  <c r="P632" i="5"/>
  <c r="O557" i="5"/>
  <c r="P679" i="5"/>
  <c r="N679" i="5"/>
  <c r="O668" i="5"/>
  <c r="N465" i="5"/>
  <c r="P465" i="5"/>
  <c r="P770" i="5"/>
  <c r="N770" i="5"/>
  <c r="O742" i="5"/>
  <c r="N303" i="5"/>
  <c r="P303" i="5"/>
  <c r="P540" i="5"/>
  <c r="N540" i="5"/>
  <c r="N427" i="5"/>
  <c r="P427" i="5"/>
  <c r="O534" i="5"/>
  <c r="P458" i="5"/>
  <c r="N458" i="5"/>
  <c r="P438" i="5"/>
  <c r="N438" i="5"/>
  <c r="P597" i="5"/>
  <c r="N597" i="5"/>
  <c r="P500" i="5"/>
  <c r="N500" i="5"/>
  <c r="N489" i="5"/>
  <c r="P489" i="5"/>
  <c r="O418" i="5"/>
  <c r="N399" i="5"/>
  <c r="P399" i="5"/>
  <c r="N271" i="5"/>
  <c r="P271" i="5"/>
  <c r="N599" i="5"/>
  <c r="P599" i="5"/>
  <c r="O509" i="5"/>
  <c r="N319" i="5"/>
  <c r="P319" i="5"/>
  <c r="N138" i="5"/>
  <c r="P138" i="5"/>
  <c r="O368" i="5"/>
  <c r="O354" i="5"/>
  <c r="P284" i="5"/>
  <c r="N284" i="5"/>
  <c r="N263" i="5"/>
  <c r="P263" i="5"/>
  <c r="N287" i="5"/>
  <c r="P287" i="5"/>
  <c r="N248" i="5"/>
  <c r="P248" i="5"/>
  <c r="P226" i="5"/>
  <c r="N226" i="5"/>
  <c r="P256" i="5"/>
  <c r="N256" i="5"/>
  <c r="P166" i="5"/>
  <c r="N166" i="5"/>
  <c r="N71" i="5"/>
  <c r="P71" i="5"/>
  <c r="P314" i="5"/>
  <c r="N314" i="5"/>
  <c r="O142" i="5"/>
  <c r="P116" i="5"/>
  <c r="N116" i="5"/>
  <c r="P72" i="5"/>
  <c r="N72" i="5"/>
  <c r="O46" i="5"/>
  <c r="O26" i="5"/>
  <c r="P228" i="5"/>
  <c r="N228" i="5"/>
  <c r="P178" i="5"/>
  <c r="N178" i="5"/>
  <c r="P34" i="5"/>
  <c r="N34" i="5"/>
  <c r="O238" i="5"/>
  <c r="N231" i="5"/>
  <c r="P231" i="5"/>
  <c r="P214" i="5"/>
  <c r="N214" i="5"/>
  <c r="N194" i="5"/>
  <c r="P194" i="5"/>
  <c r="N39" i="5"/>
  <c r="P39" i="5"/>
  <c r="N376" i="5"/>
  <c r="P376" i="5"/>
  <c r="O348" i="5"/>
  <c r="P50" i="5"/>
  <c r="N50" i="5"/>
  <c r="P40" i="5"/>
  <c r="N40" i="5"/>
  <c r="O412" i="5"/>
  <c r="P328" i="5"/>
  <c r="N328" i="5"/>
  <c r="N267" i="5"/>
  <c r="P267" i="5"/>
  <c r="O215" i="5"/>
  <c r="N159" i="5"/>
  <c r="P159" i="5"/>
  <c r="N139" i="5"/>
  <c r="P139" i="5"/>
  <c r="N55" i="5"/>
  <c r="P55" i="5"/>
  <c r="N35" i="5"/>
  <c r="P35" i="5"/>
  <c r="G3" i="8"/>
  <c r="N9" i="3"/>
  <c r="N850" i="5"/>
  <c r="P850" i="5"/>
  <c r="N724" i="5"/>
  <c r="P724" i="5"/>
  <c r="P716" i="5"/>
  <c r="N716" i="5"/>
  <c r="P747" i="5"/>
  <c r="N747" i="5"/>
  <c r="N481" i="5"/>
  <c r="P481" i="5"/>
  <c r="N563" i="5"/>
  <c r="P563" i="5"/>
  <c r="P559" i="5"/>
  <c r="N559" i="5"/>
  <c r="P538" i="5"/>
  <c r="N538" i="5"/>
  <c r="P546" i="5"/>
  <c r="N546" i="5"/>
  <c r="P520" i="5"/>
  <c r="N520" i="5"/>
  <c r="N432" i="5"/>
  <c r="P432" i="5"/>
  <c r="N418" i="5"/>
  <c r="P418" i="5"/>
  <c r="N477" i="5"/>
  <c r="P477" i="5"/>
  <c r="N447" i="5"/>
  <c r="P447" i="5"/>
  <c r="N501" i="5"/>
  <c r="P501" i="5"/>
  <c r="N419" i="5"/>
  <c r="P419" i="5"/>
  <c r="O541" i="5"/>
  <c r="N529" i="5"/>
  <c r="P529" i="5"/>
  <c r="P354" i="5"/>
  <c r="N354" i="5"/>
  <c r="N167" i="5"/>
  <c r="P167" i="5"/>
  <c r="P378" i="5"/>
  <c r="N378" i="5"/>
  <c r="N411" i="5"/>
  <c r="P411" i="5"/>
  <c r="N255" i="5"/>
  <c r="P255" i="5"/>
  <c r="N235" i="5"/>
  <c r="P235" i="5"/>
  <c r="N403" i="5"/>
  <c r="P403" i="5"/>
  <c r="N383" i="5"/>
  <c r="P383" i="5"/>
  <c r="P136" i="5"/>
  <c r="N136" i="5"/>
  <c r="N115" i="5"/>
  <c r="P115" i="5"/>
  <c r="N392" i="5"/>
  <c r="P392" i="5"/>
  <c r="N290" i="5"/>
  <c r="P290" i="5"/>
  <c r="P182" i="5"/>
  <c r="N182" i="5"/>
  <c r="N47" i="5"/>
  <c r="P47" i="5"/>
  <c r="P38" i="5"/>
  <c r="N38" i="5"/>
  <c r="N207" i="5"/>
  <c r="P207" i="5"/>
  <c r="N122" i="5"/>
  <c r="P122" i="5"/>
  <c r="N87" i="5"/>
  <c r="P87" i="5"/>
  <c r="N58" i="5"/>
  <c r="P58" i="5"/>
  <c r="N23" i="5"/>
  <c r="P23" i="5"/>
  <c r="N143" i="5"/>
  <c r="P143" i="5"/>
  <c r="P134" i="5"/>
  <c r="N134" i="5"/>
  <c r="N127" i="5"/>
  <c r="P127" i="5"/>
  <c r="P118" i="5"/>
  <c r="N118" i="5"/>
  <c r="N107" i="5"/>
  <c r="P107" i="5"/>
  <c r="N363" i="5"/>
  <c r="P363" i="5"/>
  <c r="N163" i="5"/>
  <c r="P163" i="5"/>
  <c r="P342" i="5"/>
  <c r="N342" i="5"/>
  <c r="N247" i="5"/>
  <c r="P247" i="5"/>
  <c r="P198" i="5"/>
  <c r="N198" i="5"/>
  <c r="N190" i="5"/>
  <c r="P190" i="5"/>
  <c r="N171" i="5"/>
  <c r="P171" i="5"/>
  <c r="P114" i="5"/>
  <c r="N114" i="5"/>
  <c r="P104" i="5"/>
  <c r="N104" i="5"/>
  <c r="N395" i="5"/>
  <c r="P395" i="5"/>
  <c r="P238" i="5"/>
  <c r="N238" i="5"/>
  <c r="N6" i="3"/>
  <c r="A3" i="8" a="1"/>
  <c r="A3" i="8" s="1"/>
  <c r="N7" i="3"/>
</calcChain>
</file>

<file path=xl/sharedStrings.xml><?xml version="1.0" encoding="utf-8"?>
<sst xmlns="http://schemas.openxmlformats.org/spreadsheetml/2006/main" count="473" uniqueCount="160">
  <si>
    <t>RaceID</t>
  </si>
  <si>
    <t>Date</t>
  </si>
  <si>
    <t>RaceName</t>
  </si>
  <si>
    <t>FederationTotalBirds</t>
  </si>
  <si>
    <t>LoftTotalBirds</t>
  </si>
  <si>
    <t>ChickID</t>
  </si>
  <si>
    <t>Distance_km</t>
  </si>
  <si>
    <t>Speed_mpm</t>
  </si>
  <si>
    <t>FederationPos</t>
  </si>
  <si>
    <t>LoftPos</t>
  </si>
  <si>
    <t>RaceIndex_calc</t>
  </si>
  <si>
    <t>LoftRaced In</t>
  </si>
  <si>
    <t>KOMGA</t>
  </si>
  <si>
    <t>30/05/2026</t>
  </si>
  <si>
    <t>KOMGA 1</t>
  </si>
  <si>
    <t>ZA-2025-DUVE-533</t>
  </si>
  <si>
    <t>GEORGE VAN ONSELEN</t>
  </si>
  <si>
    <t>BUTTERWORTH</t>
  </si>
  <si>
    <t>13/06/2026</t>
  </si>
  <si>
    <t>BUTTERWORTH 1</t>
  </si>
  <si>
    <t>ZA-2025-DUVE-527</t>
  </si>
  <si>
    <t>ZA-2025-DUVE-548</t>
  </si>
  <si>
    <t>07/06/2026</t>
  </si>
  <si>
    <t>KOMGA 2</t>
  </si>
  <si>
    <t>ZA-2025-DUVE-512</t>
  </si>
  <si>
    <t>ZA-2025-DUVE-578</t>
  </si>
  <si>
    <t>MIDDELBURG</t>
  </si>
  <si>
    <t>MIDDELBURG 2</t>
  </si>
  <si>
    <t>ZA-2025-DUVE-536</t>
  </si>
  <si>
    <t>ZA-2025-DUVE-557</t>
  </si>
  <si>
    <t>ZA-2025-DUVE-530</t>
  </si>
  <si>
    <t>ZA-2025-DUVE-558</t>
  </si>
  <si>
    <t>MIDDELBURG 1</t>
  </si>
  <si>
    <t>ZA-2025-DUVE-540</t>
  </si>
  <si>
    <t>Ring</t>
  </si>
  <si>
    <t>RoundNumber</t>
  </si>
  <si>
    <t>HatchDate</t>
  </si>
  <si>
    <t>RaisedbyFeeders</t>
  </si>
  <si>
    <t>SireID</t>
  </si>
  <si>
    <t>DamID</t>
  </si>
  <si>
    <t>Pre-Season Rating</t>
  </si>
  <si>
    <t>InLoftsSeasonStart</t>
  </si>
  <si>
    <t>TotalRaces</t>
  </si>
  <si>
    <t>AvgFederationPos</t>
  </si>
  <si>
    <t>AvgLoftPos</t>
  </si>
  <si>
    <t>AverageRaceIndex</t>
  </si>
  <si>
    <t>Top20FedFinishes</t>
  </si>
  <si>
    <t>FedWins</t>
  </si>
  <si>
    <t>Loft top 3</t>
  </si>
  <si>
    <t>ZA-2025-DUVE-502</t>
  </si>
  <si>
    <t>ZA-2015-OP-7903</t>
  </si>
  <si>
    <t>ZA-2019-OP-9331</t>
  </si>
  <si>
    <t>Yes</t>
  </si>
  <si>
    <t>ZA-2025-DUVE-507</t>
  </si>
  <si>
    <t>ZA-2019-OPJB-251</t>
  </si>
  <si>
    <t>ZA-2020-OP-17032</t>
  </si>
  <si>
    <t>No</t>
  </si>
  <si>
    <t>ZA-2025-DUVE-537</t>
  </si>
  <si>
    <t>ZA-2025-DUVE-517</t>
  </si>
  <si>
    <t>ZA-2025-DUVE-547</t>
  </si>
  <si>
    <t>ZA-2025-DUVE-503</t>
  </si>
  <si>
    <t>ZA-2020-OP-19773</t>
  </si>
  <si>
    <t>ZA-2022-DUVE-255</t>
  </si>
  <si>
    <t>ZA-2025-DUVE-513</t>
  </si>
  <si>
    <t>ZA-2025-DUVE-523</t>
  </si>
  <si>
    <t>ZA-2025-DUVE-543</t>
  </si>
  <si>
    <t>ZA-2025-DUVE-553</t>
  </si>
  <si>
    <t>ZA-2025-DUVE-563</t>
  </si>
  <si>
    <t>ZA-2025-DUVE-505</t>
  </si>
  <si>
    <t>ZA-2022-DUVE-240</t>
  </si>
  <si>
    <t>ZA-2025-DUVE-515</t>
  </si>
  <si>
    <t>ZA-2022-DUVE-243</t>
  </si>
  <si>
    <t>ZA-2025-DUVE-525</t>
  </si>
  <si>
    <t>ZA-2025-DUVE-526</t>
  </si>
  <si>
    <t>ZA-2022-DUVE-241</t>
  </si>
  <si>
    <t>ZA-2022-DUVE-233</t>
  </si>
  <si>
    <t>ZA-2025-DUVE-506</t>
  </si>
  <si>
    <t>ZA-2025-DUVE-516</t>
  </si>
  <si>
    <t>ZA-2025-DUVE-546</t>
  </si>
  <si>
    <t>ZA-2025-DUVE-556</t>
  </si>
  <si>
    <t>ZA-2025-DUVE-508</t>
  </si>
  <si>
    <t>ZA-2022-DUVE-302</t>
  </si>
  <si>
    <t>ZA-2020-OPDP-2190</t>
  </si>
  <si>
    <t>ZA-2025-DUVE-518</t>
  </si>
  <si>
    <t>ZA-2025-DUVE-528</t>
  </si>
  <si>
    <t>ZA-2025-DUVE-538</t>
  </si>
  <si>
    <t>ZA-2025-DUVE-568</t>
  </si>
  <si>
    <t>ZA-2025-DUVE-520</t>
  </si>
  <si>
    <t>ZA-2022-GRP-029</t>
  </si>
  <si>
    <t>ZA-2024-DUVENAGE-425</t>
  </si>
  <si>
    <t>ZA-2025-DUVE-510</t>
  </si>
  <si>
    <t>ZA-2024-GAMTOOS-233</t>
  </si>
  <si>
    <t>ZA-2025-DUVE-550</t>
  </si>
  <si>
    <t>ZA-2025-DUVE-560</t>
  </si>
  <si>
    <t>CockID</t>
  </si>
  <si>
    <t>Name</t>
  </si>
  <si>
    <t>GENDER</t>
  </si>
  <si>
    <t>Pre-Season Rank</t>
  </si>
  <si>
    <t>STATUS</t>
  </si>
  <si>
    <t>TotalChicksBred</t>
  </si>
  <si>
    <t>ChicksTotalRaces</t>
  </si>
  <si>
    <t>ChicksNotInLoft</t>
  </si>
  <si>
    <t>BreedingIndex</t>
  </si>
  <si>
    <t>Ranking</t>
  </si>
  <si>
    <t>COCK</t>
  </si>
  <si>
    <t>ACTIVE</t>
  </si>
  <si>
    <t>RITIRED</t>
  </si>
  <si>
    <t>HenID</t>
  </si>
  <si>
    <t>ZA-2015-MEDPET-624</t>
  </si>
  <si>
    <t>HEN</t>
  </si>
  <si>
    <t>ZA-2013-FB-19578</t>
  </si>
  <si>
    <t>RETIRED</t>
  </si>
  <si>
    <t>ZA-2015-MEDPET-7060</t>
  </si>
  <si>
    <t>SOLD</t>
  </si>
  <si>
    <t>ZA-2020-OP-19774</t>
  </si>
  <si>
    <t>PairID</t>
  </si>
  <si>
    <t>SEASON</t>
  </si>
  <si>
    <t>StarRatingChicksinLoft</t>
  </si>
  <si>
    <t>StarRatingIndex</t>
  </si>
  <si>
    <t>PAIR 2026 01</t>
  </si>
  <si>
    <t>PAIR 2026 02</t>
  </si>
  <si>
    <t>PAIR 2026 03</t>
  </si>
  <si>
    <t>PAIR 2026 04</t>
  </si>
  <si>
    <t>PAIR 2026 05</t>
  </si>
  <si>
    <t>PAIR 2026 06</t>
  </si>
  <si>
    <t>PAIR 2026 07</t>
  </si>
  <si>
    <t>PAIR 2026 08</t>
  </si>
  <si>
    <t>PAIR 2026 09</t>
  </si>
  <si>
    <t>PAIR 2026 10</t>
  </si>
  <si>
    <t>PAIR 2026 11</t>
  </si>
  <si>
    <t>PAIR 2026 12</t>
  </si>
  <si>
    <t>ChicksBorn</t>
  </si>
  <si>
    <t>MonthBorn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</si>
  <si>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</si>
  <si>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</si>
  <si>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</si>
  <si>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</si>
  <si>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</si>
  <si>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</si>
  <si>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</si>
  <si>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</si>
  <si>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</si>
  <si>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</si>
  <si>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</si>
  <si>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</si>
  <si>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BestCocks</t>
  </si>
  <si>
    <t>BestHens</t>
  </si>
  <si>
    <t>BestRounds</t>
  </si>
  <si>
    <t>BestMonth</t>
  </si>
  <si>
    <t>Instructions for Combined Breeding Index workbook:</t>
  </si>
  <si>
    <t>1. Paste your race-level data into the RacePerformance sheet exactly matching the headers.</t>
  </si>
  <si>
    <t>2. Paste chick-level records into the Chicks sheet (ChickID must match RacePerformance ChickID).</t>
  </si>
  <si>
    <t xml:space="preserve">   - InChick EndSeason column should be 'Yes' or 'No' (drop-down can be created by user).</t>
  </si>
  <si>
    <t>3. Add cocks, hens, pairs lists into their sheets. The formulas will calculate counts and indices automatically.</t>
  </si>
  <si>
    <t>4. Columns with light-blue fill are intended for user input only.</t>
  </si>
  <si>
    <t>5. If your Excel version does not support whole-column array formulas, copy formulas down the rows manually or convert to helper columns.</t>
  </si>
  <si>
    <t>6. Contact me if you want me to import your existing files into this workbook and map columns automatically.</t>
  </si>
  <si>
    <t>PairsList</t>
  </si>
  <si>
    <t>YesNo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</si>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</sst>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7E1F7"/>
        <bgColor rgb="FFB7E1F7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3" borderId="1" xfId="0" applyFont="1" applyFill="1" applyBorder="1"/>
    <xf numFmtId="9" fontId="3" fillId="0" borderId="0" xfId="0" applyNumberFormat="1" applyFont="1"/>
    <xf numFmtId="0" fontId="4" fillId="0" borderId="0" xfId="0" applyFont="1"/>
    <xf numFmtId="9" fontId="2" fillId="0" borderId="0" xfId="0" applyNumberFormat="1" applyFont="1"/>
    <xf numFmtId="0" fontId="5" fillId="3" borderId="1" xfId="0" applyFont="1" applyFill="1" applyBorder="1"/>
    <xf numFmtId="14" fontId="2" fillId="3" borderId="1" xfId="0" applyNumberFormat="1" applyFont="1" applyFill="1" applyBorder="1"/>
    <xf numFmtId="0" fontId="2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</cellXfs>
  <cellStyles count="1">
    <cellStyle name="Normal" xfId="0" builtinId="0"/>
  </cellStyles>
  <dxfs count="3">
    <dxf>
      <fill>
        <patternFill patternType="none"/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/>
  </sheetViews>
  <sheetFormatPr defaultColWidth="14.44140625" defaultRowHeight="15" customHeight="1" x14ac:dyDescent="0.3"/>
  <cols>
    <col min="1" max="1" width="14.109375" customWidth="1"/>
    <col min="2" max="2" width="12" customWidth="1"/>
    <col min="3" max="3" width="20" customWidth="1"/>
    <col min="4" max="4" width="18" customWidth="1"/>
    <col min="5" max="5" width="14" customWidth="1"/>
    <col min="6" max="6" width="16.6640625" customWidth="1"/>
    <col min="7" max="8" width="12" customWidth="1"/>
    <col min="9" max="9" width="14" customWidth="1"/>
    <col min="10" max="10" width="12" customWidth="1"/>
    <col min="11" max="11" width="18" customWidth="1"/>
    <col min="12" max="12" width="20.33203125" customWidth="1"/>
    <col min="13" max="26" width="8.6640625" customWidth="1"/>
  </cols>
  <sheetData>
    <row r="1" spans="1:1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</row>
    <row r="2" spans="1:12" ht="14.25" customHeight="1" x14ac:dyDescent="0.3">
      <c r="A2" s="4" t="s">
        <v>12</v>
      </c>
      <c r="B2" s="4" t="s">
        <v>13</v>
      </c>
      <c r="C2" s="4" t="s">
        <v>14</v>
      </c>
      <c r="D2" s="4">
        <v>160</v>
      </c>
      <c r="E2" s="4">
        <v>15</v>
      </c>
      <c r="F2" s="4" t="s">
        <v>15</v>
      </c>
      <c r="G2" s="4">
        <v>334</v>
      </c>
      <c r="H2" s="4">
        <v>1242.9839999999999</v>
      </c>
      <c r="I2" s="4">
        <v>20</v>
      </c>
      <c r="J2" s="4">
        <v>2</v>
      </c>
      <c r="K2" s="5">
        <f t="shared" ref="K2:K17" si="0">IFERROR(((D2 - I2 + 1)/D2 + (E2 - J2 + 1)/E2)/2,"")</f>
        <v>0.90729166666666661</v>
      </c>
      <c r="L2" s="6" t="s">
        <v>16</v>
      </c>
    </row>
    <row r="3" spans="1:12" ht="14.25" customHeight="1" x14ac:dyDescent="0.3">
      <c r="A3" s="4" t="s">
        <v>17</v>
      </c>
      <c r="B3" s="4" t="s">
        <v>18</v>
      </c>
      <c r="C3" s="4" t="s">
        <v>19</v>
      </c>
      <c r="D3" s="4">
        <v>133</v>
      </c>
      <c r="E3" s="4">
        <v>15</v>
      </c>
      <c r="F3" s="4" t="s">
        <v>20</v>
      </c>
      <c r="G3" s="4">
        <v>369</v>
      </c>
      <c r="H3" s="4">
        <v>971.33699999999999</v>
      </c>
      <c r="I3" s="4">
        <v>47</v>
      </c>
      <c r="J3" s="4">
        <v>3</v>
      </c>
      <c r="K3" s="5">
        <f t="shared" si="0"/>
        <v>0.76040100250626574</v>
      </c>
      <c r="L3" s="6" t="s">
        <v>16</v>
      </c>
    </row>
    <row r="4" spans="1:12" ht="14.25" customHeight="1" x14ac:dyDescent="0.3">
      <c r="A4" s="4" t="s">
        <v>17</v>
      </c>
      <c r="B4" s="4" t="s">
        <v>18</v>
      </c>
      <c r="C4" s="4" t="s">
        <v>19</v>
      </c>
      <c r="D4" s="4">
        <v>133</v>
      </c>
      <c r="E4" s="4">
        <v>15</v>
      </c>
      <c r="F4" s="4" t="s">
        <v>21</v>
      </c>
      <c r="G4" s="4">
        <v>369</v>
      </c>
      <c r="H4" s="4">
        <v>970.99599999999998</v>
      </c>
      <c r="I4" s="4">
        <v>48</v>
      </c>
      <c r="J4" s="4">
        <v>4</v>
      </c>
      <c r="K4" s="5">
        <f t="shared" si="0"/>
        <v>0.72330827067669179</v>
      </c>
      <c r="L4" s="6" t="s">
        <v>16</v>
      </c>
    </row>
    <row r="5" spans="1:12" ht="14.25" customHeight="1" x14ac:dyDescent="0.3">
      <c r="A5" s="4" t="s">
        <v>12</v>
      </c>
      <c r="B5" s="4" t="s">
        <v>22</v>
      </c>
      <c r="C5" s="4" t="s">
        <v>23</v>
      </c>
      <c r="D5" s="4">
        <v>161</v>
      </c>
      <c r="E5" s="4">
        <v>15</v>
      </c>
      <c r="F5" s="4" t="s">
        <v>20</v>
      </c>
      <c r="G5" s="4">
        <v>334</v>
      </c>
      <c r="H5" s="4">
        <v>1059.0899999999999</v>
      </c>
      <c r="I5" s="4">
        <v>58</v>
      </c>
      <c r="J5" s="4">
        <v>4</v>
      </c>
      <c r="K5" s="5">
        <f t="shared" si="0"/>
        <v>0.72298136645962741</v>
      </c>
      <c r="L5" s="6" t="s">
        <v>16</v>
      </c>
    </row>
    <row r="6" spans="1:12" ht="14.25" customHeight="1" x14ac:dyDescent="0.3">
      <c r="A6" s="4" t="s">
        <v>17</v>
      </c>
      <c r="B6" s="4" t="s">
        <v>18</v>
      </c>
      <c r="C6" s="4" t="s">
        <v>19</v>
      </c>
      <c r="D6" s="4">
        <v>133</v>
      </c>
      <c r="E6" s="4">
        <v>15</v>
      </c>
      <c r="F6" s="4" t="s">
        <v>24</v>
      </c>
      <c r="G6" s="4">
        <v>369</v>
      </c>
      <c r="H6" s="4">
        <v>960.50800000000004</v>
      </c>
      <c r="I6" s="4">
        <v>52</v>
      </c>
      <c r="J6" s="4">
        <v>5</v>
      </c>
      <c r="K6" s="5">
        <f t="shared" si="0"/>
        <v>0.67493734335839595</v>
      </c>
      <c r="L6" s="6" t="s">
        <v>16</v>
      </c>
    </row>
    <row r="7" spans="1:12" ht="14.25" customHeight="1" x14ac:dyDescent="0.3">
      <c r="A7" s="4" t="s">
        <v>17</v>
      </c>
      <c r="B7" s="4" t="s">
        <v>18</v>
      </c>
      <c r="C7" s="4" t="s">
        <v>19</v>
      </c>
      <c r="D7" s="4">
        <v>133</v>
      </c>
      <c r="E7" s="4">
        <v>15</v>
      </c>
      <c r="F7" s="4" t="s">
        <v>25</v>
      </c>
      <c r="G7" s="4">
        <v>369</v>
      </c>
      <c r="H7" s="4">
        <v>960.21600000000001</v>
      </c>
      <c r="I7" s="4">
        <v>53</v>
      </c>
      <c r="J7" s="4">
        <v>6</v>
      </c>
      <c r="K7" s="5">
        <f t="shared" si="0"/>
        <v>0.6378446115288221</v>
      </c>
      <c r="L7" s="6" t="s">
        <v>16</v>
      </c>
    </row>
    <row r="8" spans="1:12" ht="14.25" customHeight="1" x14ac:dyDescent="0.3">
      <c r="A8" s="4" t="s">
        <v>26</v>
      </c>
      <c r="B8" s="4" t="s">
        <v>22</v>
      </c>
      <c r="C8" s="4" t="s">
        <v>27</v>
      </c>
      <c r="D8" s="4">
        <v>161</v>
      </c>
      <c r="E8" s="4">
        <v>15</v>
      </c>
      <c r="F8" s="4" t="s">
        <v>28</v>
      </c>
      <c r="G8" s="4">
        <v>280</v>
      </c>
      <c r="H8" s="4">
        <v>1067.239</v>
      </c>
      <c r="I8" s="4">
        <v>66</v>
      </c>
      <c r="J8" s="4">
        <v>6</v>
      </c>
      <c r="K8" s="5">
        <f t="shared" si="0"/>
        <v>0.6314699792960663</v>
      </c>
      <c r="L8" s="6" t="s">
        <v>16</v>
      </c>
    </row>
    <row r="9" spans="1:12" ht="14.25" customHeight="1" x14ac:dyDescent="0.3">
      <c r="A9" s="4" t="s">
        <v>12</v>
      </c>
      <c r="B9" s="4" t="s">
        <v>13</v>
      </c>
      <c r="C9" s="4" t="s">
        <v>14</v>
      </c>
      <c r="D9" s="4">
        <v>160</v>
      </c>
      <c r="E9" s="4">
        <v>15</v>
      </c>
      <c r="F9" s="4" t="s">
        <v>29</v>
      </c>
      <c r="G9" s="4">
        <v>334</v>
      </c>
      <c r="H9" s="4">
        <v>1125.713</v>
      </c>
      <c r="I9" s="4">
        <v>79</v>
      </c>
      <c r="J9" s="4">
        <v>8</v>
      </c>
      <c r="K9" s="5">
        <f t="shared" si="0"/>
        <v>0.5229166666666667</v>
      </c>
      <c r="L9" s="6" t="s">
        <v>16</v>
      </c>
    </row>
    <row r="10" spans="1:12" ht="14.25" customHeight="1" x14ac:dyDescent="0.3">
      <c r="A10" s="4" t="s">
        <v>12</v>
      </c>
      <c r="B10" s="4" t="s">
        <v>22</v>
      </c>
      <c r="C10" s="4" t="s">
        <v>23</v>
      </c>
      <c r="D10" s="4">
        <v>161</v>
      </c>
      <c r="E10" s="4">
        <v>15</v>
      </c>
      <c r="F10" s="4" t="s">
        <v>24</v>
      </c>
      <c r="G10" s="4">
        <v>334</v>
      </c>
      <c r="H10" s="4">
        <v>755.75199999999995</v>
      </c>
      <c r="I10" s="4">
        <v>92</v>
      </c>
      <c r="J10" s="4">
        <v>8</v>
      </c>
      <c r="K10" s="5">
        <f t="shared" si="0"/>
        <v>0.48405797101449277</v>
      </c>
      <c r="L10" s="6" t="s">
        <v>16</v>
      </c>
    </row>
    <row r="11" spans="1:12" ht="14.25" customHeight="1" x14ac:dyDescent="0.3">
      <c r="A11" s="4" t="s">
        <v>12</v>
      </c>
      <c r="B11" s="4" t="s">
        <v>22</v>
      </c>
      <c r="C11" s="4" t="s">
        <v>23</v>
      </c>
      <c r="D11" s="4">
        <v>161</v>
      </c>
      <c r="E11" s="4">
        <v>15</v>
      </c>
      <c r="F11" s="4" t="s">
        <v>30</v>
      </c>
      <c r="G11" s="4">
        <v>334</v>
      </c>
      <c r="H11" s="4">
        <v>236.92</v>
      </c>
      <c r="I11" s="4">
        <v>103</v>
      </c>
      <c r="J11" s="4">
        <v>9</v>
      </c>
      <c r="K11" s="5">
        <f t="shared" si="0"/>
        <v>0.41656314699792962</v>
      </c>
      <c r="L11" s="6" t="s">
        <v>16</v>
      </c>
    </row>
    <row r="12" spans="1:12" ht="14.25" customHeight="1" x14ac:dyDescent="0.3">
      <c r="A12" s="4" t="s">
        <v>17</v>
      </c>
      <c r="B12" s="4" t="s">
        <v>18</v>
      </c>
      <c r="C12" s="4" t="s">
        <v>19</v>
      </c>
      <c r="D12" s="4">
        <v>133</v>
      </c>
      <c r="E12" s="4">
        <v>15</v>
      </c>
      <c r="F12" s="4" t="s">
        <v>15</v>
      </c>
      <c r="G12" s="4">
        <v>369</v>
      </c>
      <c r="H12" s="4">
        <v>883.08299999999997</v>
      </c>
      <c r="I12" s="4">
        <v>79</v>
      </c>
      <c r="J12" s="4">
        <v>10</v>
      </c>
      <c r="K12" s="5">
        <f t="shared" si="0"/>
        <v>0.40676691729323311</v>
      </c>
      <c r="L12" s="6" t="s">
        <v>16</v>
      </c>
    </row>
    <row r="13" spans="1:12" ht="14.25" customHeight="1" x14ac:dyDescent="0.3">
      <c r="A13" s="4" t="s">
        <v>17</v>
      </c>
      <c r="B13" s="4" t="s">
        <v>18</v>
      </c>
      <c r="C13" s="4" t="s">
        <v>19</v>
      </c>
      <c r="D13" s="4">
        <v>133</v>
      </c>
      <c r="E13" s="4">
        <v>15</v>
      </c>
      <c r="F13" s="4" t="s">
        <v>31</v>
      </c>
      <c r="G13" s="4">
        <v>369</v>
      </c>
      <c r="H13" s="4">
        <v>842.33100000000002</v>
      </c>
      <c r="I13" s="4">
        <v>89</v>
      </c>
      <c r="J13" s="4">
        <v>11</v>
      </c>
      <c r="K13" s="5">
        <f t="shared" si="0"/>
        <v>0.33583959899749372</v>
      </c>
      <c r="L13" s="6" t="s">
        <v>16</v>
      </c>
    </row>
    <row r="14" spans="1:12" ht="14.25" customHeight="1" x14ac:dyDescent="0.3">
      <c r="A14" s="4" t="s">
        <v>26</v>
      </c>
      <c r="B14" s="4" t="s">
        <v>13</v>
      </c>
      <c r="C14" s="4" t="s">
        <v>32</v>
      </c>
      <c r="D14" s="4">
        <v>168</v>
      </c>
      <c r="E14" s="4">
        <v>15</v>
      </c>
      <c r="F14" s="4" t="s">
        <v>21</v>
      </c>
      <c r="G14" s="4">
        <v>280</v>
      </c>
      <c r="H14" s="4">
        <v>608.71100000000001</v>
      </c>
      <c r="I14" s="4">
        <v>113</v>
      </c>
      <c r="J14" s="4">
        <v>11</v>
      </c>
      <c r="K14" s="5">
        <f t="shared" si="0"/>
        <v>0.33333333333333331</v>
      </c>
      <c r="L14" s="6" t="s">
        <v>16</v>
      </c>
    </row>
    <row r="15" spans="1:12" ht="14.25" customHeight="1" x14ac:dyDescent="0.3">
      <c r="A15" s="4" t="s">
        <v>12</v>
      </c>
      <c r="B15" s="4" t="s">
        <v>22</v>
      </c>
      <c r="C15" s="4" t="s">
        <v>23</v>
      </c>
      <c r="D15" s="4">
        <v>161</v>
      </c>
      <c r="E15" s="4">
        <v>15</v>
      </c>
      <c r="F15" s="4" t="s">
        <v>33</v>
      </c>
      <c r="G15" s="4">
        <v>334</v>
      </c>
      <c r="H15" s="4">
        <v>198.2</v>
      </c>
      <c r="I15" s="4">
        <v>112</v>
      </c>
      <c r="J15" s="4">
        <v>12</v>
      </c>
      <c r="K15" s="5">
        <f t="shared" si="0"/>
        <v>0.28861283643892338</v>
      </c>
      <c r="L15" s="6" t="s">
        <v>16</v>
      </c>
    </row>
    <row r="16" spans="1:12" ht="14.25" customHeight="1" x14ac:dyDescent="0.3">
      <c r="A16" s="4" t="s">
        <v>17</v>
      </c>
      <c r="B16" s="4" t="s">
        <v>18</v>
      </c>
      <c r="C16" s="4" t="s">
        <v>19</v>
      </c>
      <c r="D16" s="4">
        <v>133</v>
      </c>
      <c r="E16" s="4">
        <v>15</v>
      </c>
      <c r="F16" s="4" t="s">
        <v>30</v>
      </c>
      <c r="G16" s="4">
        <v>369</v>
      </c>
      <c r="H16" s="4">
        <v>245.767</v>
      </c>
      <c r="I16" s="4">
        <v>106</v>
      </c>
      <c r="J16" s="4">
        <v>13</v>
      </c>
      <c r="K16" s="5">
        <f t="shared" si="0"/>
        <v>0.20526315789473684</v>
      </c>
      <c r="L16" s="6" t="s">
        <v>16</v>
      </c>
    </row>
    <row r="17" spans="1:12" ht="14.25" customHeight="1" x14ac:dyDescent="0.3">
      <c r="A17" s="4" t="s">
        <v>17</v>
      </c>
      <c r="B17" s="4" t="s">
        <v>18</v>
      </c>
      <c r="C17" s="4" t="s">
        <v>19</v>
      </c>
      <c r="D17" s="4">
        <v>133</v>
      </c>
      <c r="E17" s="4">
        <v>15</v>
      </c>
      <c r="F17" s="4" t="s">
        <v>28</v>
      </c>
      <c r="G17" s="4">
        <v>369</v>
      </c>
      <c r="H17" s="4">
        <v>243.714</v>
      </c>
      <c r="I17" s="4">
        <v>107</v>
      </c>
      <c r="J17" s="4">
        <v>14</v>
      </c>
      <c r="K17" s="5">
        <f t="shared" si="0"/>
        <v>0.16817042606516291</v>
      </c>
      <c r="L17" s="6" t="s">
        <v>16</v>
      </c>
    </row>
    <row r="18" spans="1:12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7"/>
    </row>
    <row r="19" spans="1:12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7"/>
    </row>
    <row r="20" spans="1:12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7"/>
    </row>
    <row r="21" spans="1:12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7"/>
    </row>
    <row r="22" spans="1:12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7"/>
    </row>
    <row r="23" spans="1:12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7"/>
    </row>
    <row r="24" spans="1:12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7"/>
    </row>
    <row r="25" spans="1:12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7"/>
    </row>
    <row r="26" spans="1:12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7"/>
    </row>
    <row r="27" spans="1:12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7"/>
    </row>
    <row r="28" spans="1:12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7"/>
    </row>
    <row r="29" spans="1:12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7"/>
    </row>
    <row r="30" spans="1:12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7"/>
    </row>
    <row r="31" spans="1:12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7"/>
    </row>
    <row r="32" spans="1:12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7"/>
    </row>
    <row r="33" spans="1:11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7"/>
    </row>
    <row r="34" spans="1:11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7"/>
    </row>
    <row r="35" spans="1:11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7"/>
    </row>
    <row r="36" spans="1:11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7"/>
    </row>
    <row r="37" spans="1:11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7"/>
    </row>
    <row r="38" spans="1:11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7"/>
    </row>
    <row r="39" spans="1:11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7"/>
    </row>
    <row r="40" spans="1:11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7"/>
    </row>
    <row r="41" spans="1:11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7"/>
    </row>
    <row r="42" spans="1:11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7"/>
    </row>
    <row r="43" spans="1:11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7"/>
    </row>
    <row r="44" spans="1:11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7"/>
    </row>
    <row r="45" spans="1:11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7"/>
    </row>
    <row r="46" spans="1:11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7"/>
    </row>
    <row r="47" spans="1:11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7"/>
    </row>
    <row r="48" spans="1:11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7"/>
    </row>
    <row r="49" spans="1:11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7"/>
    </row>
    <row r="50" spans="1:11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7"/>
    </row>
    <row r="51" spans="1:11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7"/>
    </row>
    <row r="52" spans="1:11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7"/>
    </row>
    <row r="53" spans="1:11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7"/>
    </row>
    <row r="54" spans="1:11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7"/>
    </row>
    <row r="55" spans="1:11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7"/>
    </row>
    <row r="56" spans="1:11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7"/>
    </row>
    <row r="57" spans="1:11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7"/>
    </row>
    <row r="58" spans="1:11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7"/>
    </row>
    <row r="59" spans="1:11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7"/>
    </row>
    <row r="60" spans="1:11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7"/>
    </row>
    <row r="61" spans="1:11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7"/>
    </row>
    <row r="62" spans="1:11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7"/>
    </row>
    <row r="63" spans="1:11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7"/>
    </row>
    <row r="64" spans="1:11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7"/>
    </row>
    <row r="65" spans="1:11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7"/>
    </row>
    <row r="66" spans="1:11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7"/>
    </row>
    <row r="67" spans="1:11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7"/>
    </row>
    <row r="68" spans="1:11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7"/>
    </row>
    <row r="69" spans="1:11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7"/>
    </row>
    <row r="70" spans="1:11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7"/>
    </row>
    <row r="71" spans="1:11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7"/>
    </row>
    <row r="72" spans="1:11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7"/>
    </row>
    <row r="73" spans="1:11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7"/>
    </row>
    <row r="74" spans="1:11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7"/>
    </row>
    <row r="75" spans="1:11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7"/>
    </row>
    <row r="76" spans="1:11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7"/>
    </row>
    <row r="77" spans="1:11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7"/>
    </row>
    <row r="78" spans="1:11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7"/>
    </row>
    <row r="79" spans="1:11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7"/>
    </row>
    <row r="80" spans="1:11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7"/>
    </row>
    <row r="81" spans="1:11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7"/>
    </row>
    <row r="82" spans="1:11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7"/>
    </row>
    <row r="83" spans="1:11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7"/>
    </row>
    <row r="84" spans="1:11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7"/>
    </row>
    <row r="85" spans="1:11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7"/>
    </row>
    <row r="86" spans="1:11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7"/>
    </row>
    <row r="87" spans="1:11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7"/>
    </row>
    <row r="88" spans="1:11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7"/>
    </row>
    <row r="89" spans="1:11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7"/>
    </row>
    <row r="90" spans="1:11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7"/>
    </row>
    <row r="91" spans="1:11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7"/>
    </row>
    <row r="92" spans="1:11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7"/>
    </row>
    <row r="93" spans="1:11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7"/>
    </row>
    <row r="94" spans="1:11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7"/>
    </row>
    <row r="95" spans="1:11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7"/>
    </row>
    <row r="96" spans="1:11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7"/>
    </row>
    <row r="97" spans="1:11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7"/>
    </row>
    <row r="98" spans="1:11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7"/>
    </row>
    <row r="99" spans="1:11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7"/>
    </row>
    <row r="100" spans="1:11" ht="14.2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7"/>
    </row>
    <row r="101" spans="1:11" ht="14.2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7"/>
    </row>
    <row r="102" spans="1:11" ht="14.2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7"/>
    </row>
    <row r="103" spans="1:11" ht="14.2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7"/>
    </row>
    <row r="104" spans="1:11" ht="14.2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7"/>
    </row>
    <row r="105" spans="1:11" ht="14.2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7"/>
    </row>
    <row r="106" spans="1:11" ht="14.2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7"/>
    </row>
    <row r="107" spans="1:11" ht="14.2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7"/>
    </row>
    <row r="108" spans="1:11" ht="14.2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7"/>
    </row>
    <row r="109" spans="1:11" ht="14.2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7"/>
    </row>
    <row r="110" spans="1:11" ht="14.2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7"/>
    </row>
    <row r="111" spans="1:11" ht="14.2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7"/>
    </row>
    <row r="112" spans="1:11" ht="14.2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7"/>
    </row>
    <row r="113" spans="1:11" ht="14.2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7"/>
    </row>
    <row r="114" spans="1:11" ht="14.2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7"/>
    </row>
    <row r="115" spans="1:11" ht="14.2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7"/>
    </row>
    <row r="116" spans="1:11" ht="14.2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7"/>
    </row>
    <row r="117" spans="1:11" ht="14.2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7"/>
    </row>
    <row r="118" spans="1:11" ht="14.2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7"/>
    </row>
    <row r="119" spans="1:11" ht="14.2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7"/>
    </row>
    <row r="120" spans="1:11" ht="14.2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7"/>
    </row>
    <row r="121" spans="1:11" ht="14.2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7"/>
    </row>
    <row r="122" spans="1:11" ht="14.2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7"/>
    </row>
    <row r="123" spans="1:11" ht="14.2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7"/>
    </row>
    <row r="124" spans="1:11" ht="14.2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7"/>
    </row>
    <row r="125" spans="1:11" ht="14.2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7"/>
    </row>
    <row r="126" spans="1:11" ht="14.2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7"/>
    </row>
    <row r="127" spans="1:11" ht="14.2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7"/>
    </row>
    <row r="128" spans="1:11" ht="14.2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7"/>
    </row>
    <row r="129" spans="1:11" ht="14.2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7"/>
    </row>
    <row r="130" spans="1:11" ht="14.2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7"/>
    </row>
    <row r="131" spans="1:11" ht="14.2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7"/>
    </row>
    <row r="132" spans="1:11" ht="14.2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7"/>
    </row>
    <row r="133" spans="1:11" ht="14.2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7"/>
    </row>
    <row r="134" spans="1:11" ht="14.2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7"/>
    </row>
    <row r="135" spans="1:11" ht="14.2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7"/>
    </row>
    <row r="136" spans="1:11" ht="14.2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7"/>
    </row>
    <row r="137" spans="1:11" ht="14.2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7"/>
    </row>
    <row r="138" spans="1:11" ht="14.2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7"/>
    </row>
    <row r="139" spans="1:11" ht="14.2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7"/>
    </row>
    <row r="140" spans="1:11" ht="14.2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7"/>
    </row>
    <row r="141" spans="1:11" ht="14.2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7"/>
    </row>
    <row r="142" spans="1:11" ht="14.2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7"/>
    </row>
    <row r="143" spans="1:11" ht="14.2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7"/>
    </row>
    <row r="144" spans="1:11" ht="14.2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7"/>
    </row>
    <row r="145" spans="1:11" ht="14.2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7"/>
    </row>
    <row r="146" spans="1:11" ht="14.2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7"/>
    </row>
    <row r="147" spans="1:11" ht="14.2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7"/>
    </row>
    <row r="148" spans="1:11" ht="14.2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7"/>
    </row>
    <row r="149" spans="1:11" ht="14.2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7"/>
    </row>
    <row r="150" spans="1:11" ht="14.2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7"/>
    </row>
    <row r="151" spans="1:11" ht="14.2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7"/>
    </row>
    <row r="152" spans="1:11" ht="14.2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7"/>
    </row>
    <row r="153" spans="1:11" ht="14.2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7"/>
    </row>
    <row r="154" spans="1:11" ht="14.2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7"/>
    </row>
    <row r="155" spans="1:11" ht="14.2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7"/>
    </row>
    <row r="156" spans="1:11" ht="14.2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7"/>
    </row>
    <row r="157" spans="1:11" ht="14.2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7"/>
    </row>
    <row r="158" spans="1:11" ht="14.2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7"/>
    </row>
    <row r="159" spans="1:11" ht="14.2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7"/>
    </row>
    <row r="160" spans="1:11" ht="14.2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7"/>
    </row>
    <row r="161" spans="1:11" ht="14.2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7"/>
    </row>
    <row r="162" spans="1:11" ht="14.2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7"/>
    </row>
    <row r="163" spans="1:11" ht="14.2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7"/>
    </row>
    <row r="164" spans="1:11" ht="14.2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7"/>
    </row>
    <row r="165" spans="1:11" ht="14.2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7"/>
    </row>
    <row r="166" spans="1:11" ht="14.2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7"/>
    </row>
    <row r="167" spans="1:11" ht="14.2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7"/>
    </row>
    <row r="168" spans="1:11" ht="14.2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7"/>
    </row>
    <row r="169" spans="1:11" ht="14.2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7"/>
    </row>
    <row r="170" spans="1:11" ht="14.2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7"/>
    </row>
    <row r="171" spans="1:11" ht="14.2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7"/>
    </row>
    <row r="172" spans="1:11" ht="14.2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7"/>
    </row>
    <row r="173" spans="1:11" ht="14.2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7"/>
    </row>
    <row r="174" spans="1:11" ht="14.2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7"/>
    </row>
    <row r="175" spans="1:11" ht="14.2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7"/>
    </row>
    <row r="176" spans="1:11" ht="14.2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7"/>
    </row>
    <row r="177" spans="1:11" ht="14.2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7"/>
    </row>
    <row r="178" spans="1:11" ht="14.2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7"/>
    </row>
    <row r="179" spans="1:11" ht="14.2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7"/>
    </row>
    <row r="180" spans="1:11" ht="14.2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7"/>
    </row>
    <row r="181" spans="1:11" ht="14.2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7"/>
    </row>
    <row r="182" spans="1:11" ht="14.2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7"/>
    </row>
    <row r="183" spans="1:11" ht="14.2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7"/>
    </row>
    <row r="184" spans="1:11" ht="14.2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7"/>
    </row>
    <row r="185" spans="1:11" ht="14.2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7"/>
    </row>
    <row r="186" spans="1:11" ht="14.2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7"/>
    </row>
    <row r="187" spans="1:11" ht="14.2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7"/>
    </row>
    <row r="188" spans="1:11" ht="14.2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7"/>
    </row>
    <row r="189" spans="1:11" ht="14.2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7"/>
    </row>
    <row r="190" spans="1:11" ht="14.2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7"/>
    </row>
    <row r="191" spans="1:11" ht="14.2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7"/>
    </row>
    <row r="192" spans="1:11" ht="14.2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7"/>
    </row>
    <row r="193" spans="1:11" ht="14.2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7"/>
    </row>
    <row r="194" spans="1:11" ht="14.2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7"/>
    </row>
    <row r="195" spans="1:11" ht="14.2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7"/>
    </row>
    <row r="196" spans="1:11" ht="14.2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7"/>
    </row>
    <row r="197" spans="1:11" ht="14.2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7"/>
    </row>
    <row r="198" spans="1:11" ht="14.2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7"/>
    </row>
    <row r="199" spans="1:11" ht="14.2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7"/>
    </row>
    <row r="200" spans="1:11" ht="14.2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7"/>
    </row>
    <row r="201" spans="1:11" ht="14.2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7"/>
    </row>
    <row r="202" spans="1:11" ht="14.2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7"/>
    </row>
    <row r="203" spans="1:11" ht="14.2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7"/>
    </row>
    <row r="204" spans="1:11" ht="14.2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7"/>
    </row>
    <row r="205" spans="1:11" ht="14.2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7"/>
    </row>
    <row r="206" spans="1:11" ht="14.2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7"/>
    </row>
    <row r="207" spans="1:11" ht="14.2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7"/>
    </row>
    <row r="208" spans="1:11" ht="14.2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7"/>
    </row>
    <row r="209" spans="1:11" ht="14.2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7"/>
    </row>
    <row r="210" spans="1:11" ht="14.2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7"/>
    </row>
    <row r="211" spans="1:11" ht="14.2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7"/>
    </row>
    <row r="212" spans="1:11" ht="14.2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7"/>
    </row>
    <row r="213" spans="1:11" ht="14.2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7"/>
    </row>
    <row r="214" spans="1:11" ht="14.2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7"/>
    </row>
    <row r="215" spans="1:11" ht="14.2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7"/>
    </row>
    <row r="216" spans="1:11" ht="14.2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7"/>
    </row>
    <row r="217" spans="1:11" ht="14.2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7"/>
    </row>
    <row r="218" spans="1:11" ht="14.2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7"/>
    </row>
    <row r="219" spans="1:11" ht="14.2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7"/>
    </row>
    <row r="220" spans="1:11" ht="14.2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7"/>
    </row>
    <row r="221" spans="1:11" ht="14.25" customHeight="1" x14ac:dyDescent="0.3">
      <c r="K221" s="7"/>
    </row>
    <row r="222" spans="1:11" ht="14.25" customHeight="1" x14ac:dyDescent="0.3">
      <c r="K222" s="7"/>
    </row>
    <row r="223" spans="1:11" ht="14.25" customHeight="1" x14ac:dyDescent="0.3">
      <c r="K223" s="7"/>
    </row>
    <row r="224" spans="1:11" ht="14.25" customHeight="1" x14ac:dyDescent="0.3">
      <c r="K224" s="7"/>
    </row>
    <row r="225" spans="11:11" ht="14.25" customHeight="1" x14ac:dyDescent="0.3">
      <c r="K225" s="7"/>
    </row>
    <row r="226" spans="11:11" ht="14.25" customHeight="1" x14ac:dyDescent="0.3">
      <c r="K226" s="7"/>
    </row>
    <row r="227" spans="11:11" ht="14.25" customHeight="1" x14ac:dyDescent="0.3">
      <c r="K227" s="7"/>
    </row>
    <row r="228" spans="11:11" ht="14.25" customHeight="1" x14ac:dyDescent="0.3">
      <c r="K228" s="7"/>
    </row>
    <row r="229" spans="11:11" ht="14.25" customHeight="1" x14ac:dyDescent="0.3">
      <c r="K229" s="7"/>
    </row>
    <row r="230" spans="11:11" ht="14.25" customHeight="1" x14ac:dyDescent="0.3">
      <c r="K230" s="7"/>
    </row>
    <row r="231" spans="11:11" ht="14.25" customHeight="1" x14ac:dyDescent="0.3">
      <c r="K231" s="7"/>
    </row>
    <row r="232" spans="11:11" ht="14.25" customHeight="1" x14ac:dyDescent="0.3">
      <c r="K232" s="7"/>
    </row>
    <row r="233" spans="11:11" ht="14.25" customHeight="1" x14ac:dyDescent="0.3">
      <c r="K233" s="7"/>
    </row>
    <row r="234" spans="11:11" ht="14.25" customHeight="1" x14ac:dyDescent="0.3">
      <c r="K234" s="7"/>
    </row>
    <row r="235" spans="11:11" ht="14.25" customHeight="1" x14ac:dyDescent="0.3">
      <c r="K235" s="7"/>
    </row>
    <row r="236" spans="11:11" ht="14.25" customHeight="1" x14ac:dyDescent="0.3">
      <c r="K236" s="7"/>
    </row>
    <row r="237" spans="11:11" ht="14.25" customHeight="1" x14ac:dyDescent="0.3">
      <c r="K237" s="7"/>
    </row>
    <row r="238" spans="11:11" ht="14.25" customHeight="1" x14ac:dyDescent="0.3">
      <c r="K238" s="7"/>
    </row>
    <row r="239" spans="11:11" ht="14.25" customHeight="1" x14ac:dyDescent="0.3">
      <c r="K239" s="7"/>
    </row>
    <row r="240" spans="11:11" ht="14.25" customHeight="1" x14ac:dyDescent="0.3">
      <c r="K240" s="7"/>
    </row>
    <row r="241" spans="11:11" ht="14.25" customHeight="1" x14ac:dyDescent="0.3">
      <c r="K241" s="7"/>
    </row>
    <row r="242" spans="11:11" ht="14.25" customHeight="1" x14ac:dyDescent="0.3">
      <c r="K242" s="7"/>
    </row>
    <row r="243" spans="11:11" ht="14.25" customHeight="1" x14ac:dyDescent="0.3">
      <c r="K243" s="7"/>
    </row>
    <row r="244" spans="11:11" ht="14.25" customHeight="1" x14ac:dyDescent="0.3">
      <c r="K244" s="7"/>
    </row>
    <row r="245" spans="11:11" ht="14.25" customHeight="1" x14ac:dyDescent="0.3">
      <c r="K245" s="7"/>
    </row>
    <row r="246" spans="11:11" ht="14.25" customHeight="1" x14ac:dyDescent="0.3">
      <c r="K246" s="7"/>
    </row>
    <row r="247" spans="11:11" ht="14.25" customHeight="1" x14ac:dyDescent="0.3">
      <c r="K247" s="7"/>
    </row>
    <row r="248" spans="11:11" ht="14.25" customHeight="1" x14ac:dyDescent="0.3">
      <c r="K248" s="7"/>
    </row>
    <row r="249" spans="11:11" ht="14.25" customHeight="1" x14ac:dyDescent="0.3">
      <c r="K249" s="7"/>
    </row>
    <row r="250" spans="11:11" ht="14.25" customHeight="1" x14ac:dyDescent="0.3">
      <c r="K250" s="7"/>
    </row>
    <row r="251" spans="11:11" ht="14.25" customHeight="1" x14ac:dyDescent="0.3">
      <c r="K251" s="7"/>
    </row>
    <row r="252" spans="11:11" ht="14.25" customHeight="1" x14ac:dyDescent="0.3">
      <c r="K252" s="7"/>
    </row>
    <row r="253" spans="11:11" ht="14.25" customHeight="1" x14ac:dyDescent="0.3">
      <c r="K253" s="7"/>
    </row>
    <row r="254" spans="11:11" ht="14.25" customHeight="1" x14ac:dyDescent="0.3">
      <c r="K254" s="7"/>
    </row>
    <row r="255" spans="11:11" ht="14.25" customHeight="1" x14ac:dyDescent="0.3">
      <c r="K255" s="7"/>
    </row>
    <row r="256" spans="11:11" ht="14.25" customHeight="1" x14ac:dyDescent="0.3">
      <c r="K256" s="7"/>
    </row>
    <row r="257" spans="11:11" ht="14.25" customHeight="1" x14ac:dyDescent="0.3">
      <c r="K257" s="7"/>
    </row>
    <row r="258" spans="11:11" ht="14.25" customHeight="1" x14ac:dyDescent="0.3">
      <c r="K258" s="7"/>
    </row>
    <row r="259" spans="11:11" ht="14.25" customHeight="1" x14ac:dyDescent="0.3">
      <c r="K259" s="7"/>
    </row>
    <row r="260" spans="11:11" ht="14.25" customHeight="1" x14ac:dyDescent="0.3">
      <c r="K260" s="7"/>
    </row>
    <row r="261" spans="11:11" ht="14.25" customHeight="1" x14ac:dyDescent="0.3">
      <c r="K261" s="7"/>
    </row>
    <row r="262" spans="11:11" ht="14.25" customHeight="1" x14ac:dyDescent="0.3">
      <c r="K262" s="7"/>
    </row>
    <row r="263" spans="11:11" ht="14.25" customHeight="1" x14ac:dyDescent="0.3">
      <c r="K263" s="7"/>
    </row>
    <row r="264" spans="11:11" ht="14.25" customHeight="1" x14ac:dyDescent="0.3">
      <c r="K264" s="7"/>
    </row>
    <row r="265" spans="11:11" ht="14.25" customHeight="1" x14ac:dyDescent="0.3">
      <c r="K265" s="7"/>
    </row>
    <row r="266" spans="11:11" ht="14.25" customHeight="1" x14ac:dyDescent="0.3">
      <c r="K266" s="7"/>
    </row>
    <row r="267" spans="11:11" ht="14.25" customHeight="1" x14ac:dyDescent="0.3">
      <c r="K267" s="7"/>
    </row>
    <row r="268" spans="11:11" ht="14.25" customHeight="1" x14ac:dyDescent="0.3">
      <c r="K268" s="7"/>
    </row>
    <row r="269" spans="11:11" ht="14.25" customHeight="1" x14ac:dyDescent="0.3">
      <c r="K269" s="7"/>
    </row>
    <row r="270" spans="11:11" ht="14.25" customHeight="1" x14ac:dyDescent="0.3">
      <c r="K270" s="7"/>
    </row>
    <row r="271" spans="11:11" ht="14.25" customHeight="1" x14ac:dyDescent="0.3">
      <c r="K271" s="7"/>
    </row>
    <row r="272" spans="11:11" ht="14.25" customHeight="1" x14ac:dyDescent="0.3">
      <c r="K272" s="7"/>
    </row>
    <row r="273" spans="11:11" ht="14.25" customHeight="1" x14ac:dyDescent="0.3">
      <c r="K273" s="7"/>
    </row>
    <row r="274" spans="11:11" ht="14.25" customHeight="1" x14ac:dyDescent="0.3">
      <c r="K274" s="7"/>
    </row>
    <row r="275" spans="11:11" ht="14.25" customHeight="1" x14ac:dyDescent="0.3">
      <c r="K275" s="7"/>
    </row>
    <row r="276" spans="11:11" ht="14.25" customHeight="1" x14ac:dyDescent="0.3">
      <c r="K276" s="7"/>
    </row>
    <row r="277" spans="11:11" ht="14.25" customHeight="1" x14ac:dyDescent="0.3">
      <c r="K277" s="7"/>
    </row>
    <row r="278" spans="11:11" ht="14.25" customHeight="1" x14ac:dyDescent="0.3">
      <c r="K278" s="7"/>
    </row>
    <row r="279" spans="11:11" ht="14.25" customHeight="1" x14ac:dyDescent="0.3">
      <c r="K279" s="7"/>
    </row>
    <row r="280" spans="11:11" ht="14.25" customHeight="1" x14ac:dyDescent="0.3">
      <c r="K280" s="7"/>
    </row>
    <row r="281" spans="11:11" ht="14.25" customHeight="1" x14ac:dyDescent="0.3">
      <c r="K281" s="7"/>
    </row>
    <row r="282" spans="11:11" ht="14.25" customHeight="1" x14ac:dyDescent="0.3">
      <c r="K282" s="7"/>
    </row>
    <row r="283" spans="11:11" ht="14.25" customHeight="1" x14ac:dyDescent="0.3">
      <c r="K283" s="7"/>
    </row>
    <row r="284" spans="11:11" ht="14.25" customHeight="1" x14ac:dyDescent="0.3">
      <c r="K284" s="7"/>
    </row>
    <row r="285" spans="11:11" ht="14.25" customHeight="1" x14ac:dyDescent="0.3">
      <c r="K285" s="7"/>
    </row>
    <row r="286" spans="11:11" ht="14.25" customHeight="1" x14ac:dyDescent="0.3">
      <c r="K286" s="7"/>
    </row>
    <row r="287" spans="11:11" ht="14.25" customHeight="1" x14ac:dyDescent="0.3">
      <c r="K287" s="7"/>
    </row>
    <row r="288" spans="11:11" ht="14.25" customHeight="1" x14ac:dyDescent="0.3">
      <c r="K288" s="7"/>
    </row>
    <row r="289" spans="11:11" ht="14.25" customHeight="1" x14ac:dyDescent="0.3">
      <c r="K289" s="7"/>
    </row>
    <row r="290" spans="11:11" ht="14.25" customHeight="1" x14ac:dyDescent="0.3">
      <c r="K290" s="7"/>
    </row>
    <row r="291" spans="11:11" ht="14.25" customHeight="1" x14ac:dyDescent="0.3">
      <c r="K291" s="7"/>
    </row>
    <row r="292" spans="11:11" ht="14.25" customHeight="1" x14ac:dyDescent="0.3">
      <c r="K292" s="7"/>
    </row>
    <row r="293" spans="11:11" ht="14.25" customHeight="1" x14ac:dyDescent="0.3">
      <c r="K293" s="7"/>
    </row>
    <row r="294" spans="11:11" ht="14.25" customHeight="1" x14ac:dyDescent="0.3">
      <c r="K294" s="7"/>
    </row>
    <row r="295" spans="11:11" ht="14.25" customHeight="1" x14ac:dyDescent="0.3">
      <c r="K295" s="7"/>
    </row>
    <row r="296" spans="11:11" ht="14.25" customHeight="1" x14ac:dyDescent="0.3">
      <c r="K296" s="7"/>
    </row>
    <row r="297" spans="11:11" ht="14.25" customHeight="1" x14ac:dyDescent="0.3">
      <c r="K297" s="7"/>
    </row>
    <row r="298" spans="11:11" ht="14.25" customHeight="1" x14ac:dyDescent="0.3">
      <c r="K298" s="7"/>
    </row>
    <row r="299" spans="11:11" ht="14.25" customHeight="1" x14ac:dyDescent="0.3">
      <c r="K299" s="7"/>
    </row>
    <row r="300" spans="11:11" ht="14.25" customHeight="1" x14ac:dyDescent="0.3">
      <c r="K300" s="7"/>
    </row>
    <row r="301" spans="11:11" ht="14.25" customHeight="1" x14ac:dyDescent="0.3">
      <c r="K301" s="7"/>
    </row>
    <row r="302" spans="11:11" ht="14.25" customHeight="1" x14ac:dyDescent="0.3">
      <c r="K302" s="7"/>
    </row>
    <row r="303" spans="11:11" ht="14.25" customHeight="1" x14ac:dyDescent="0.3">
      <c r="K303" s="7"/>
    </row>
    <row r="304" spans="11:11" ht="14.25" customHeight="1" x14ac:dyDescent="0.3">
      <c r="K304" s="7"/>
    </row>
    <row r="305" spans="11:11" ht="14.25" customHeight="1" x14ac:dyDescent="0.3">
      <c r="K305" s="7"/>
    </row>
    <row r="306" spans="11:11" ht="14.25" customHeight="1" x14ac:dyDescent="0.3">
      <c r="K306" s="7"/>
    </row>
    <row r="307" spans="11:11" ht="14.25" customHeight="1" x14ac:dyDescent="0.3">
      <c r="K307" s="7"/>
    </row>
    <row r="308" spans="11:11" ht="14.25" customHeight="1" x14ac:dyDescent="0.3">
      <c r="K308" s="7"/>
    </row>
    <row r="309" spans="11:11" ht="14.25" customHeight="1" x14ac:dyDescent="0.3">
      <c r="K309" s="7"/>
    </row>
    <row r="310" spans="11:11" ht="14.25" customHeight="1" x14ac:dyDescent="0.3">
      <c r="K310" s="7"/>
    </row>
    <row r="311" spans="11:11" ht="14.25" customHeight="1" x14ac:dyDescent="0.3">
      <c r="K311" s="7"/>
    </row>
    <row r="312" spans="11:11" ht="14.25" customHeight="1" x14ac:dyDescent="0.3">
      <c r="K312" s="7"/>
    </row>
    <row r="313" spans="11:11" ht="14.25" customHeight="1" x14ac:dyDescent="0.3">
      <c r="K313" s="7"/>
    </row>
    <row r="314" spans="11:11" ht="14.25" customHeight="1" x14ac:dyDescent="0.3">
      <c r="K314" s="7"/>
    </row>
    <row r="315" spans="11:11" ht="14.25" customHeight="1" x14ac:dyDescent="0.3">
      <c r="K315" s="7"/>
    </row>
    <row r="316" spans="11:11" ht="14.25" customHeight="1" x14ac:dyDescent="0.3">
      <c r="K316" s="7"/>
    </row>
    <row r="317" spans="11:11" ht="14.25" customHeight="1" x14ac:dyDescent="0.3">
      <c r="K317" s="7"/>
    </row>
    <row r="318" spans="11:11" ht="14.25" customHeight="1" x14ac:dyDescent="0.3">
      <c r="K318" s="7"/>
    </row>
    <row r="319" spans="11:11" ht="14.25" customHeight="1" x14ac:dyDescent="0.3">
      <c r="K319" s="7"/>
    </row>
    <row r="320" spans="11:11" ht="14.25" customHeight="1" x14ac:dyDescent="0.3">
      <c r="K320" s="7"/>
    </row>
    <row r="321" spans="11:11" ht="14.25" customHeight="1" x14ac:dyDescent="0.3">
      <c r="K321" s="7"/>
    </row>
    <row r="322" spans="11:11" ht="14.25" customHeight="1" x14ac:dyDescent="0.3">
      <c r="K322" s="7"/>
    </row>
    <row r="323" spans="11:11" ht="14.25" customHeight="1" x14ac:dyDescent="0.3">
      <c r="K323" s="7"/>
    </row>
    <row r="324" spans="11:11" ht="14.25" customHeight="1" x14ac:dyDescent="0.3">
      <c r="K324" s="7"/>
    </row>
    <row r="325" spans="11:11" ht="14.25" customHeight="1" x14ac:dyDescent="0.3">
      <c r="K325" s="7"/>
    </row>
    <row r="326" spans="11:11" ht="14.25" customHeight="1" x14ac:dyDescent="0.3">
      <c r="K326" s="7"/>
    </row>
    <row r="327" spans="11:11" ht="14.25" customHeight="1" x14ac:dyDescent="0.3">
      <c r="K327" s="7"/>
    </row>
    <row r="328" spans="11:11" ht="14.25" customHeight="1" x14ac:dyDescent="0.3">
      <c r="K328" s="7"/>
    </row>
    <row r="329" spans="11:11" ht="14.25" customHeight="1" x14ac:dyDescent="0.3">
      <c r="K329" s="7"/>
    </row>
    <row r="330" spans="11:11" ht="14.25" customHeight="1" x14ac:dyDescent="0.3">
      <c r="K330" s="7"/>
    </row>
    <row r="331" spans="11:11" ht="14.25" customHeight="1" x14ac:dyDescent="0.3">
      <c r="K331" s="7"/>
    </row>
    <row r="332" spans="11:11" ht="14.25" customHeight="1" x14ac:dyDescent="0.3">
      <c r="K332" s="7"/>
    </row>
    <row r="333" spans="11:11" ht="14.25" customHeight="1" x14ac:dyDescent="0.3">
      <c r="K333" s="7"/>
    </row>
    <row r="334" spans="11:11" ht="14.25" customHeight="1" x14ac:dyDescent="0.3">
      <c r="K334" s="7"/>
    </row>
    <row r="335" spans="11:11" ht="14.25" customHeight="1" x14ac:dyDescent="0.3">
      <c r="K335" s="7"/>
    </row>
    <row r="336" spans="11:11" ht="14.25" customHeight="1" x14ac:dyDescent="0.3">
      <c r="K336" s="7"/>
    </row>
    <row r="337" spans="11:11" ht="14.25" customHeight="1" x14ac:dyDescent="0.3">
      <c r="K337" s="7"/>
    </row>
    <row r="338" spans="11:11" ht="14.25" customHeight="1" x14ac:dyDescent="0.3">
      <c r="K338" s="7"/>
    </row>
    <row r="339" spans="11:11" ht="14.25" customHeight="1" x14ac:dyDescent="0.3">
      <c r="K339" s="7"/>
    </row>
    <row r="340" spans="11:11" ht="14.25" customHeight="1" x14ac:dyDescent="0.3">
      <c r="K340" s="7"/>
    </row>
    <row r="341" spans="11:11" ht="14.25" customHeight="1" x14ac:dyDescent="0.3">
      <c r="K341" s="7"/>
    </row>
    <row r="342" spans="11:11" ht="14.25" customHeight="1" x14ac:dyDescent="0.3">
      <c r="K342" s="7"/>
    </row>
    <row r="343" spans="11:11" ht="14.25" customHeight="1" x14ac:dyDescent="0.3">
      <c r="K343" s="7"/>
    </row>
    <row r="344" spans="11:11" ht="14.25" customHeight="1" x14ac:dyDescent="0.3">
      <c r="K344" s="7"/>
    </row>
    <row r="345" spans="11:11" ht="14.25" customHeight="1" x14ac:dyDescent="0.3">
      <c r="K345" s="7"/>
    </row>
    <row r="346" spans="11:11" ht="14.25" customHeight="1" x14ac:dyDescent="0.3">
      <c r="K346" s="7"/>
    </row>
    <row r="347" spans="11:11" ht="14.25" customHeight="1" x14ac:dyDescent="0.3">
      <c r="K347" s="7"/>
    </row>
    <row r="348" spans="11:11" ht="14.25" customHeight="1" x14ac:dyDescent="0.3">
      <c r="K348" s="7"/>
    </row>
    <row r="349" spans="11:11" ht="14.25" customHeight="1" x14ac:dyDescent="0.3">
      <c r="K349" s="7"/>
    </row>
    <row r="350" spans="11:11" ht="14.25" customHeight="1" x14ac:dyDescent="0.3">
      <c r="K350" s="7"/>
    </row>
    <row r="351" spans="11:11" ht="14.25" customHeight="1" x14ac:dyDescent="0.3">
      <c r="K351" s="7"/>
    </row>
    <row r="352" spans="11:11" ht="14.25" customHeight="1" x14ac:dyDescent="0.3">
      <c r="K352" s="7"/>
    </row>
    <row r="353" spans="11:11" ht="14.25" customHeight="1" x14ac:dyDescent="0.3">
      <c r="K353" s="7"/>
    </row>
    <row r="354" spans="11:11" ht="14.25" customHeight="1" x14ac:dyDescent="0.3">
      <c r="K354" s="7"/>
    </row>
    <row r="355" spans="11:11" ht="14.25" customHeight="1" x14ac:dyDescent="0.3">
      <c r="K355" s="7"/>
    </row>
    <row r="356" spans="11:11" ht="14.25" customHeight="1" x14ac:dyDescent="0.3">
      <c r="K356" s="7"/>
    </row>
    <row r="357" spans="11:11" ht="14.25" customHeight="1" x14ac:dyDescent="0.3">
      <c r="K357" s="7"/>
    </row>
    <row r="358" spans="11:11" ht="14.25" customHeight="1" x14ac:dyDescent="0.3">
      <c r="K358" s="7"/>
    </row>
    <row r="359" spans="11:11" ht="14.25" customHeight="1" x14ac:dyDescent="0.3">
      <c r="K359" s="7"/>
    </row>
    <row r="360" spans="11:11" ht="14.25" customHeight="1" x14ac:dyDescent="0.3">
      <c r="K360" s="7"/>
    </row>
    <row r="361" spans="11:11" ht="14.25" customHeight="1" x14ac:dyDescent="0.3">
      <c r="K361" s="7"/>
    </row>
    <row r="362" spans="11:11" ht="14.25" customHeight="1" x14ac:dyDescent="0.3">
      <c r="K362" s="7"/>
    </row>
    <row r="363" spans="11:11" ht="14.25" customHeight="1" x14ac:dyDescent="0.3">
      <c r="K363" s="7"/>
    </row>
    <row r="364" spans="11:11" ht="14.25" customHeight="1" x14ac:dyDescent="0.3">
      <c r="K364" s="7"/>
    </row>
    <row r="365" spans="11:11" ht="14.25" customHeight="1" x14ac:dyDescent="0.3">
      <c r="K365" s="7"/>
    </row>
    <row r="366" spans="11:11" ht="14.25" customHeight="1" x14ac:dyDescent="0.3">
      <c r="K366" s="7"/>
    </row>
    <row r="367" spans="11:11" ht="14.25" customHeight="1" x14ac:dyDescent="0.3">
      <c r="K367" s="7"/>
    </row>
    <row r="368" spans="11:11" ht="14.25" customHeight="1" x14ac:dyDescent="0.3">
      <c r="K368" s="7"/>
    </row>
    <row r="369" spans="11:11" ht="14.25" customHeight="1" x14ac:dyDescent="0.3">
      <c r="K369" s="7"/>
    </row>
    <row r="370" spans="11:11" ht="14.25" customHeight="1" x14ac:dyDescent="0.3">
      <c r="K370" s="7"/>
    </row>
    <row r="371" spans="11:11" ht="14.25" customHeight="1" x14ac:dyDescent="0.3">
      <c r="K371" s="7"/>
    </row>
    <row r="372" spans="11:11" ht="14.25" customHeight="1" x14ac:dyDescent="0.3">
      <c r="K372" s="7"/>
    </row>
    <row r="373" spans="11:11" ht="14.25" customHeight="1" x14ac:dyDescent="0.3">
      <c r="K373" s="7"/>
    </row>
    <row r="374" spans="11:11" ht="14.25" customHeight="1" x14ac:dyDescent="0.3">
      <c r="K374" s="7"/>
    </row>
    <row r="375" spans="11:11" ht="14.25" customHeight="1" x14ac:dyDescent="0.3">
      <c r="K375" s="7"/>
    </row>
    <row r="376" spans="11:11" ht="14.25" customHeight="1" x14ac:dyDescent="0.3">
      <c r="K376" s="7"/>
    </row>
    <row r="377" spans="11:11" ht="14.25" customHeight="1" x14ac:dyDescent="0.3">
      <c r="K377" s="7"/>
    </row>
    <row r="378" spans="11:11" ht="14.25" customHeight="1" x14ac:dyDescent="0.3">
      <c r="K378" s="7"/>
    </row>
    <row r="379" spans="11:11" ht="14.25" customHeight="1" x14ac:dyDescent="0.3">
      <c r="K379" s="7"/>
    </row>
    <row r="380" spans="11:11" ht="14.25" customHeight="1" x14ac:dyDescent="0.3">
      <c r="K380" s="7"/>
    </row>
    <row r="381" spans="11:11" ht="14.25" customHeight="1" x14ac:dyDescent="0.3">
      <c r="K381" s="7"/>
    </row>
    <row r="382" spans="11:11" ht="14.25" customHeight="1" x14ac:dyDescent="0.3">
      <c r="K382" s="7"/>
    </row>
    <row r="383" spans="11:11" ht="14.25" customHeight="1" x14ac:dyDescent="0.3">
      <c r="K383" s="7"/>
    </row>
    <row r="384" spans="11:11" ht="14.25" customHeight="1" x14ac:dyDescent="0.3">
      <c r="K384" s="7"/>
    </row>
    <row r="385" spans="11:11" ht="14.25" customHeight="1" x14ac:dyDescent="0.3">
      <c r="K385" s="7"/>
    </row>
    <row r="386" spans="11:11" ht="14.25" customHeight="1" x14ac:dyDescent="0.3">
      <c r="K386" s="7"/>
    </row>
    <row r="387" spans="11:11" ht="14.25" customHeight="1" x14ac:dyDescent="0.3">
      <c r="K387" s="7"/>
    </row>
    <row r="388" spans="11:11" ht="14.25" customHeight="1" x14ac:dyDescent="0.3">
      <c r="K388" s="7"/>
    </row>
    <row r="389" spans="11:11" ht="14.25" customHeight="1" x14ac:dyDescent="0.3">
      <c r="K389" s="7"/>
    </row>
    <row r="390" spans="11:11" ht="14.25" customHeight="1" x14ac:dyDescent="0.3">
      <c r="K390" s="7"/>
    </row>
    <row r="391" spans="11:11" ht="14.25" customHeight="1" x14ac:dyDescent="0.3">
      <c r="K391" s="7"/>
    </row>
    <row r="392" spans="11:11" ht="14.25" customHeight="1" x14ac:dyDescent="0.3">
      <c r="K392" s="7"/>
    </row>
    <row r="393" spans="11:11" ht="14.25" customHeight="1" x14ac:dyDescent="0.3">
      <c r="K393" s="7"/>
    </row>
    <row r="394" spans="11:11" ht="14.25" customHeight="1" x14ac:dyDescent="0.3">
      <c r="K394" s="7"/>
    </row>
    <row r="395" spans="11:11" ht="14.25" customHeight="1" x14ac:dyDescent="0.3">
      <c r="K395" s="7"/>
    </row>
    <row r="396" spans="11:11" ht="14.25" customHeight="1" x14ac:dyDescent="0.3">
      <c r="K396" s="7"/>
    </row>
    <row r="397" spans="11:11" ht="14.25" customHeight="1" x14ac:dyDescent="0.3">
      <c r="K397" s="7"/>
    </row>
    <row r="398" spans="11:11" ht="14.25" customHeight="1" x14ac:dyDescent="0.3">
      <c r="K398" s="7"/>
    </row>
    <row r="399" spans="11:11" ht="14.25" customHeight="1" x14ac:dyDescent="0.3">
      <c r="K399" s="7"/>
    </row>
    <row r="400" spans="11:11" ht="14.25" customHeight="1" x14ac:dyDescent="0.3">
      <c r="K400" s="7"/>
    </row>
    <row r="401" spans="11:11" ht="14.25" customHeight="1" x14ac:dyDescent="0.3">
      <c r="K401" s="7"/>
    </row>
    <row r="402" spans="11:11" ht="14.25" customHeight="1" x14ac:dyDescent="0.3">
      <c r="K402" s="7"/>
    </row>
    <row r="403" spans="11:11" ht="14.25" customHeight="1" x14ac:dyDescent="0.3">
      <c r="K403" s="7"/>
    </row>
    <row r="404" spans="11:11" ht="14.25" customHeight="1" x14ac:dyDescent="0.3">
      <c r="K404" s="7"/>
    </row>
    <row r="405" spans="11:11" ht="14.25" customHeight="1" x14ac:dyDescent="0.3">
      <c r="K405" s="7"/>
    </row>
    <row r="406" spans="11:11" ht="14.25" customHeight="1" x14ac:dyDescent="0.3">
      <c r="K406" s="7"/>
    </row>
    <row r="407" spans="11:11" ht="14.25" customHeight="1" x14ac:dyDescent="0.3">
      <c r="K407" s="7"/>
    </row>
    <row r="408" spans="11:11" ht="14.25" customHeight="1" x14ac:dyDescent="0.3">
      <c r="K408" s="7"/>
    </row>
    <row r="409" spans="11:11" ht="14.25" customHeight="1" x14ac:dyDescent="0.3">
      <c r="K409" s="7"/>
    </row>
    <row r="410" spans="11:11" ht="14.25" customHeight="1" x14ac:dyDescent="0.3">
      <c r="K410" s="7"/>
    </row>
    <row r="411" spans="11:11" ht="14.25" customHeight="1" x14ac:dyDescent="0.3">
      <c r="K411" s="7"/>
    </row>
    <row r="412" spans="11:11" ht="14.25" customHeight="1" x14ac:dyDescent="0.3">
      <c r="K412" s="7"/>
    </row>
    <row r="413" spans="11:11" ht="14.25" customHeight="1" x14ac:dyDescent="0.3">
      <c r="K413" s="7"/>
    </row>
    <row r="414" spans="11:11" ht="14.25" customHeight="1" x14ac:dyDescent="0.3">
      <c r="K414" s="7"/>
    </row>
    <row r="415" spans="11:11" ht="14.25" customHeight="1" x14ac:dyDescent="0.3">
      <c r="K415" s="7"/>
    </row>
    <row r="416" spans="11:11" ht="14.25" customHeight="1" x14ac:dyDescent="0.3">
      <c r="K416" s="7"/>
    </row>
    <row r="417" spans="11:11" ht="14.25" customHeight="1" x14ac:dyDescent="0.3">
      <c r="K417" s="7"/>
    </row>
    <row r="418" spans="11:11" ht="14.25" customHeight="1" x14ac:dyDescent="0.3">
      <c r="K418" s="7"/>
    </row>
    <row r="419" spans="11:11" ht="14.25" customHeight="1" x14ac:dyDescent="0.3">
      <c r="K419" s="7"/>
    </row>
    <row r="420" spans="11:11" ht="14.25" customHeight="1" x14ac:dyDescent="0.3">
      <c r="K420" s="7"/>
    </row>
    <row r="421" spans="11:11" ht="14.25" customHeight="1" x14ac:dyDescent="0.3">
      <c r="K421" s="7"/>
    </row>
    <row r="422" spans="11:11" ht="14.25" customHeight="1" x14ac:dyDescent="0.3">
      <c r="K422" s="7"/>
    </row>
    <row r="423" spans="11:11" ht="14.25" customHeight="1" x14ac:dyDescent="0.3">
      <c r="K423" s="7"/>
    </row>
    <row r="424" spans="11:11" ht="14.25" customHeight="1" x14ac:dyDescent="0.3">
      <c r="K424" s="7"/>
    </row>
    <row r="425" spans="11:11" ht="14.25" customHeight="1" x14ac:dyDescent="0.3">
      <c r="K425" s="7"/>
    </row>
    <row r="426" spans="11:11" ht="14.25" customHeight="1" x14ac:dyDescent="0.3">
      <c r="K426" s="7"/>
    </row>
    <row r="427" spans="11:11" ht="14.25" customHeight="1" x14ac:dyDescent="0.3">
      <c r="K427" s="7"/>
    </row>
    <row r="428" spans="11:11" ht="14.25" customHeight="1" x14ac:dyDescent="0.3">
      <c r="K428" s="7"/>
    </row>
    <row r="429" spans="11:11" ht="14.25" customHeight="1" x14ac:dyDescent="0.3">
      <c r="K429" s="7"/>
    </row>
    <row r="430" spans="11:11" ht="14.25" customHeight="1" x14ac:dyDescent="0.3">
      <c r="K430" s="7"/>
    </row>
    <row r="431" spans="11:11" ht="14.25" customHeight="1" x14ac:dyDescent="0.3">
      <c r="K431" s="7"/>
    </row>
    <row r="432" spans="11:11" ht="14.25" customHeight="1" x14ac:dyDescent="0.3">
      <c r="K432" s="7"/>
    </row>
    <row r="433" spans="11:11" ht="14.25" customHeight="1" x14ac:dyDescent="0.3">
      <c r="K433" s="7"/>
    </row>
    <row r="434" spans="11:11" ht="14.25" customHeight="1" x14ac:dyDescent="0.3">
      <c r="K434" s="7"/>
    </row>
    <row r="435" spans="11:11" ht="14.25" customHeight="1" x14ac:dyDescent="0.3">
      <c r="K435" s="7"/>
    </row>
    <row r="436" spans="11:11" ht="14.25" customHeight="1" x14ac:dyDescent="0.3">
      <c r="K436" s="7"/>
    </row>
    <row r="437" spans="11:11" ht="14.25" customHeight="1" x14ac:dyDescent="0.3">
      <c r="K437" s="7"/>
    </row>
    <row r="438" spans="11:11" ht="14.25" customHeight="1" x14ac:dyDescent="0.3">
      <c r="K438" s="7"/>
    </row>
    <row r="439" spans="11:11" ht="14.25" customHeight="1" x14ac:dyDescent="0.3">
      <c r="K439" s="7"/>
    </row>
    <row r="440" spans="11:11" ht="14.25" customHeight="1" x14ac:dyDescent="0.3">
      <c r="K440" s="7"/>
    </row>
    <row r="441" spans="11:11" ht="14.25" customHeight="1" x14ac:dyDescent="0.3">
      <c r="K441" s="7"/>
    </row>
    <row r="442" spans="11:11" ht="14.25" customHeight="1" x14ac:dyDescent="0.3">
      <c r="K442" s="7"/>
    </row>
    <row r="443" spans="11:11" ht="14.25" customHeight="1" x14ac:dyDescent="0.3">
      <c r="K443" s="7"/>
    </row>
    <row r="444" spans="11:11" ht="14.25" customHeight="1" x14ac:dyDescent="0.3">
      <c r="K444" s="7"/>
    </row>
    <row r="445" spans="11:11" ht="14.25" customHeight="1" x14ac:dyDescent="0.3">
      <c r="K445" s="7"/>
    </row>
    <row r="446" spans="11:11" ht="14.25" customHeight="1" x14ac:dyDescent="0.3">
      <c r="K446" s="7"/>
    </row>
    <row r="447" spans="11:11" ht="14.25" customHeight="1" x14ac:dyDescent="0.3">
      <c r="K447" s="7"/>
    </row>
    <row r="448" spans="11:11" ht="14.25" customHeight="1" x14ac:dyDescent="0.3">
      <c r="K448" s="7"/>
    </row>
    <row r="449" spans="11:11" ht="14.25" customHeight="1" x14ac:dyDescent="0.3">
      <c r="K449" s="7"/>
    </row>
    <row r="450" spans="11:11" ht="14.25" customHeight="1" x14ac:dyDescent="0.3">
      <c r="K450" s="7"/>
    </row>
    <row r="451" spans="11:11" ht="14.25" customHeight="1" x14ac:dyDescent="0.3">
      <c r="K451" s="7"/>
    </row>
    <row r="452" spans="11:11" ht="14.25" customHeight="1" x14ac:dyDescent="0.3">
      <c r="K452" s="7"/>
    </row>
    <row r="453" spans="11:11" ht="14.25" customHeight="1" x14ac:dyDescent="0.3">
      <c r="K453" s="7"/>
    </row>
    <row r="454" spans="11:11" ht="14.25" customHeight="1" x14ac:dyDescent="0.3">
      <c r="K454" s="7"/>
    </row>
    <row r="455" spans="11:11" ht="14.25" customHeight="1" x14ac:dyDescent="0.3">
      <c r="K455" s="7"/>
    </row>
    <row r="456" spans="11:11" ht="14.25" customHeight="1" x14ac:dyDescent="0.3">
      <c r="K456" s="7"/>
    </row>
    <row r="457" spans="11:11" ht="14.25" customHeight="1" x14ac:dyDescent="0.3">
      <c r="K457" s="7"/>
    </row>
    <row r="458" spans="11:11" ht="14.25" customHeight="1" x14ac:dyDescent="0.3">
      <c r="K458" s="7"/>
    </row>
    <row r="459" spans="11:11" ht="14.25" customHeight="1" x14ac:dyDescent="0.3">
      <c r="K459" s="7"/>
    </row>
    <row r="460" spans="11:11" ht="14.25" customHeight="1" x14ac:dyDescent="0.3">
      <c r="K460" s="7"/>
    </row>
    <row r="461" spans="11:11" ht="14.25" customHeight="1" x14ac:dyDescent="0.3">
      <c r="K461" s="7"/>
    </row>
    <row r="462" spans="11:11" ht="14.25" customHeight="1" x14ac:dyDescent="0.3">
      <c r="K462" s="7"/>
    </row>
    <row r="463" spans="11:11" ht="14.25" customHeight="1" x14ac:dyDescent="0.3">
      <c r="K463" s="7"/>
    </row>
    <row r="464" spans="11:11" ht="14.25" customHeight="1" x14ac:dyDescent="0.3">
      <c r="K464" s="7"/>
    </row>
    <row r="465" spans="11:11" ht="14.25" customHeight="1" x14ac:dyDescent="0.3">
      <c r="K465" s="7"/>
    </row>
    <row r="466" spans="11:11" ht="14.25" customHeight="1" x14ac:dyDescent="0.3">
      <c r="K466" s="7"/>
    </row>
    <row r="467" spans="11:11" ht="14.25" customHeight="1" x14ac:dyDescent="0.3">
      <c r="K467" s="7"/>
    </row>
    <row r="468" spans="11:11" ht="14.25" customHeight="1" x14ac:dyDescent="0.3">
      <c r="K468" s="7"/>
    </row>
    <row r="469" spans="11:11" ht="14.25" customHeight="1" x14ac:dyDescent="0.3">
      <c r="K469" s="7"/>
    </row>
    <row r="470" spans="11:11" ht="14.25" customHeight="1" x14ac:dyDescent="0.3">
      <c r="K470" s="7"/>
    </row>
    <row r="471" spans="11:11" ht="14.25" customHeight="1" x14ac:dyDescent="0.3">
      <c r="K471" s="7"/>
    </row>
    <row r="472" spans="11:11" ht="14.25" customHeight="1" x14ac:dyDescent="0.3">
      <c r="K472" s="7"/>
    </row>
    <row r="473" spans="11:11" ht="14.25" customHeight="1" x14ac:dyDescent="0.3">
      <c r="K473" s="7"/>
    </row>
    <row r="474" spans="11:11" ht="14.25" customHeight="1" x14ac:dyDescent="0.3">
      <c r="K474" s="7"/>
    </row>
    <row r="475" spans="11:11" ht="14.25" customHeight="1" x14ac:dyDescent="0.3">
      <c r="K475" s="7"/>
    </row>
    <row r="476" spans="11:11" ht="14.25" customHeight="1" x14ac:dyDescent="0.3">
      <c r="K476" s="7"/>
    </row>
    <row r="477" spans="11:11" ht="14.25" customHeight="1" x14ac:dyDescent="0.3">
      <c r="K477" s="7"/>
    </row>
    <row r="478" spans="11:11" ht="14.25" customHeight="1" x14ac:dyDescent="0.3">
      <c r="K478" s="7"/>
    </row>
    <row r="479" spans="11:11" ht="14.25" customHeight="1" x14ac:dyDescent="0.3">
      <c r="K479" s="7"/>
    </row>
    <row r="480" spans="11:11" ht="14.25" customHeight="1" x14ac:dyDescent="0.3">
      <c r="K480" s="7"/>
    </row>
    <row r="481" spans="11:11" ht="14.25" customHeight="1" x14ac:dyDescent="0.3">
      <c r="K481" s="7"/>
    </row>
    <row r="482" spans="11:11" ht="14.25" customHeight="1" x14ac:dyDescent="0.3">
      <c r="K482" s="7"/>
    </row>
    <row r="483" spans="11:11" ht="14.25" customHeight="1" x14ac:dyDescent="0.3">
      <c r="K483" s="7"/>
    </row>
    <row r="484" spans="11:11" ht="14.25" customHeight="1" x14ac:dyDescent="0.3">
      <c r="K484" s="7"/>
    </row>
    <row r="485" spans="11:11" ht="14.25" customHeight="1" x14ac:dyDescent="0.3">
      <c r="K485" s="7"/>
    </row>
    <row r="486" spans="11:11" ht="14.25" customHeight="1" x14ac:dyDescent="0.3">
      <c r="K486" s="7"/>
    </row>
    <row r="487" spans="11:11" ht="14.25" customHeight="1" x14ac:dyDescent="0.3">
      <c r="K487" s="7"/>
    </row>
    <row r="488" spans="11:11" ht="14.25" customHeight="1" x14ac:dyDescent="0.3">
      <c r="K488" s="7"/>
    </row>
    <row r="489" spans="11:11" ht="14.25" customHeight="1" x14ac:dyDescent="0.3">
      <c r="K489" s="7"/>
    </row>
    <row r="490" spans="11:11" ht="14.25" customHeight="1" x14ac:dyDescent="0.3">
      <c r="K490" s="7"/>
    </row>
    <row r="491" spans="11:11" ht="14.25" customHeight="1" x14ac:dyDescent="0.3">
      <c r="K491" s="7"/>
    </row>
    <row r="492" spans="11:11" ht="14.25" customHeight="1" x14ac:dyDescent="0.3">
      <c r="K492" s="7"/>
    </row>
    <row r="493" spans="11:11" ht="14.25" customHeight="1" x14ac:dyDescent="0.3">
      <c r="K493" s="7"/>
    </row>
    <row r="494" spans="11:11" ht="14.25" customHeight="1" x14ac:dyDescent="0.3">
      <c r="K494" s="7"/>
    </row>
    <row r="495" spans="11:11" ht="14.25" customHeight="1" x14ac:dyDescent="0.3">
      <c r="K495" s="7"/>
    </row>
    <row r="496" spans="11:11" ht="14.25" customHeight="1" x14ac:dyDescent="0.3">
      <c r="K496" s="7"/>
    </row>
    <row r="497" spans="11:11" ht="14.25" customHeight="1" x14ac:dyDescent="0.3">
      <c r="K497" s="7"/>
    </row>
    <row r="498" spans="11:11" ht="14.25" customHeight="1" x14ac:dyDescent="0.3">
      <c r="K498" s="7"/>
    </row>
    <row r="499" spans="11:11" ht="14.25" customHeight="1" x14ac:dyDescent="0.3">
      <c r="K499" s="7"/>
    </row>
    <row r="500" spans="11:11" ht="14.25" customHeight="1" x14ac:dyDescent="0.3">
      <c r="K500" s="7"/>
    </row>
    <row r="501" spans="11:11" ht="14.25" customHeight="1" x14ac:dyDescent="0.3">
      <c r="K501" s="7"/>
    </row>
    <row r="502" spans="11:11" ht="14.25" customHeight="1" x14ac:dyDescent="0.3">
      <c r="K502" s="7"/>
    </row>
    <row r="503" spans="11:11" ht="14.25" customHeight="1" x14ac:dyDescent="0.3">
      <c r="K503" s="7"/>
    </row>
    <row r="504" spans="11:11" ht="14.25" customHeight="1" x14ac:dyDescent="0.3">
      <c r="K504" s="7"/>
    </row>
    <row r="505" spans="11:11" ht="14.25" customHeight="1" x14ac:dyDescent="0.3">
      <c r="K505" s="7"/>
    </row>
    <row r="506" spans="11:11" ht="14.25" customHeight="1" x14ac:dyDescent="0.3">
      <c r="K506" s="7"/>
    </row>
    <row r="507" spans="11:11" ht="14.25" customHeight="1" x14ac:dyDescent="0.3">
      <c r="K507" s="7"/>
    </row>
    <row r="508" spans="11:11" ht="14.25" customHeight="1" x14ac:dyDescent="0.3">
      <c r="K508" s="7"/>
    </row>
    <row r="509" spans="11:11" ht="14.25" customHeight="1" x14ac:dyDescent="0.3">
      <c r="K509" s="7"/>
    </row>
    <row r="510" spans="11:11" ht="14.25" customHeight="1" x14ac:dyDescent="0.3">
      <c r="K510" s="7"/>
    </row>
    <row r="511" spans="11:11" ht="14.25" customHeight="1" x14ac:dyDescent="0.3">
      <c r="K511" s="7"/>
    </row>
    <row r="512" spans="11:11" ht="14.25" customHeight="1" x14ac:dyDescent="0.3">
      <c r="K512" s="7"/>
    </row>
    <row r="513" spans="11:11" ht="14.25" customHeight="1" x14ac:dyDescent="0.3">
      <c r="K513" s="7"/>
    </row>
    <row r="514" spans="11:11" ht="14.25" customHeight="1" x14ac:dyDescent="0.3">
      <c r="K514" s="7"/>
    </row>
    <row r="515" spans="11:11" ht="14.25" customHeight="1" x14ac:dyDescent="0.3">
      <c r="K515" s="7"/>
    </row>
    <row r="516" spans="11:11" ht="14.25" customHeight="1" x14ac:dyDescent="0.3">
      <c r="K516" s="7"/>
    </row>
    <row r="517" spans="11:11" ht="14.25" customHeight="1" x14ac:dyDescent="0.3">
      <c r="K517" s="7"/>
    </row>
    <row r="518" spans="11:11" ht="14.25" customHeight="1" x14ac:dyDescent="0.3">
      <c r="K518" s="7"/>
    </row>
    <row r="519" spans="11:11" ht="14.25" customHeight="1" x14ac:dyDescent="0.3">
      <c r="K519" s="7"/>
    </row>
    <row r="520" spans="11:11" ht="14.25" customHeight="1" x14ac:dyDescent="0.3">
      <c r="K520" s="7"/>
    </row>
    <row r="521" spans="11:11" ht="14.25" customHeight="1" x14ac:dyDescent="0.3">
      <c r="K521" s="7"/>
    </row>
    <row r="522" spans="11:11" ht="14.25" customHeight="1" x14ac:dyDescent="0.3">
      <c r="K522" s="7"/>
    </row>
    <row r="523" spans="11:11" ht="14.25" customHeight="1" x14ac:dyDescent="0.3">
      <c r="K523" s="7"/>
    </row>
    <row r="524" spans="11:11" ht="14.25" customHeight="1" x14ac:dyDescent="0.3">
      <c r="K524" s="7"/>
    </row>
    <row r="525" spans="11:11" ht="14.25" customHeight="1" x14ac:dyDescent="0.3">
      <c r="K525" s="7"/>
    </row>
    <row r="526" spans="11:11" ht="14.25" customHeight="1" x14ac:dyDescent="0.3">
      <c r="K526" s="7"/>
    </row>
    <row r="527" spans="11:11" ht="14.25" customHeight="1" x14ac:dyDescent="0.3">
      <c r="K527" s="7"/>
    </row>
    <row r="528" spans="11:11" ht="14.25" customHeight="1" x14ac:dyDescent="0.3">
      <c r="K528" s="7"/>
    </row>
    <row r="529" spans="11:11" ht="14.25" customHeight="1" x14ac:dyDescent="0.3">
      <c r="K529" s="7"/>
    </row>
    <row r="530" spans="11:11" ht="14.25" customHeight="1" x14ac:dyDescent="0.3">
      <c r="K530" s="7"/>
    </row>
    <row r="531" spans="11:11" ht="14.25" customHeight="1" x14ac:dyDescent="0.3">
      <c r="K531" s="7"/>
    </row>
    <row r="532" spans="11:11" ht="14.25" customHeight="1" x14ac:dyDescent="0.3">
      <c r="K532" s="7"/>
    </row>
    <row r="533" spans="11:11" ht="14.25" customHeight="1" x14ac:dyDescent="0.3">
      <c r="K533" s="7"/>
    </row>
    <row r="534" spans="11:11" ht="14.25" customHeight="1" x14ac:dyDescent="0.3">
      <c r="K534" s="7"/>
    </row>
    <row r="535" spans="11:11" ht="14.25" customHeight="1" x14ac:dyDescent="0.3">
      <c r="K535" s="7"/>
    </row>
    <row r="536" spans="11:11" ht="14.25" customHeight="1" x14ac:dyDescent="0.3">
      <c r="K536" s="7"/>
    </row>
    <row r="537" spans="11:11" ht="14.25" customHeight="1" x14ac:dyDescent="0.3">
      <c r="K537" s="7"/>
    </row>
    <row r="538" spans="11:11" ht="14.25" customHeight="1" x14ac:dyDescent="0.3">
      <c r="K538" s="7"/>
    </row>
    <row r="539" spans="11:11" ht="14.25" customHeight="1" x14ac:dyDescent="0.3">
      <c r="K539" s="7"/>
    </row>
    <row r="540" spans="11:11" ht="14.25" customHeight="1" x14ac:dyDescent="0.3">
      <c r="K540" s="7"/>
    </row>
    <row r="541" spans="11:11" ht="14.25" customHeight="1" x14ac:dyDescent="0.3">
      <c r="K541" s="7"/>
    </row>
    <row r="542" spans="11:11" ht="14.25" customHeight="1" x14ac:dyDescent="0.3">
      <c r="K542" s="7"/>
    </row>
    <row r="543" spans="11:11" ht="14.25" customHeight="1" x14ac:dyDescent="0.3">
      <c r="K543" s="7"/>
    </row>
    <row r="544" spans="11:11" ht="14.25" customHeight="1" x14ac:dyDescent="0.3">
      <c r="K544" s="7"/>
    </row>
    <row r="545" spans="11:11" ht="14.25" customHeight="1" x14ac:dyDescent="0.3">
      <c r="K545" s="7"/>
    </row>
    <row r="546" spans="11:11" ht="14.25" customHeight="1" x14ac:dyDescent="0.3">
      <c r="K546" s="7"/>
    </row>
    <row r="547" spans="11:11" ht="14.25" customHeight="1" x14ac:dyDescent="0.3">
      <c r="K547" s="7"/>
    </row>
    <row r="548" spans="11:11" ht="14.25" customHeight="1" x14ac:dyDescent="0.3">
      <c r="K548" s="7"/>
    </row>
    <row r="549" spans="11:11" ht="14.25" customHeight="1" x14ac:dyDescent="0.3">
      <c r="K549" s="7"/>
    </row>
    <row r="550" spans="11:11" ht="14.25" customHeight="1" x14ac:dyDescent="0.3">
      <c r="K550" s="7"/>
    </row>
    <row r="551" spans="11:11" ht="14.25" customHeight="1" x14ac:dyDescent="0.3">
      <c r="K551" s="7"/>
    </row>
    <row r="552" spans="11:11" ht="14.25" customHeight="1" x14ac:dyDescent="0.3">
      <c r="K552" s="7"/>
    </row>
    <row r="553" spans="11:11" ht="14.25" customHeight="1" x14ac:dyDescent="0.3">
      <c r="K553" s="7"/>
    </row>
    <row r="554" spans="11:11" ht="14.25" customHeight="1" x14ac:dyDescent="0.3">
      <c r="K554" s="7"/>
    </row>
    <row r="555" spans="11:11" ht="14.25" customHeight="1" x14ac:dyDescent="0.3">
      <c r="K555" s="7"/>
    </row>
    <row r="556" spans="11:11" ht="14.25" customHeight="1" x14ac:dyDescent="0.3">
      <c r="K556" s="7"/>
    </row>
    <row r="557" spans="11:11" ht="14.25" customHeight="1" x14ac:dyDescent="0.3">
      <c r="K557" s="7"/>
    </row>
    <row r="558" spans="11:11" ht="14.25" customHeight="1" x14ac:dyDescent="0.3">
      <c r="K558" s="7"/>
    </row>
    <row r="559" spans="11:11" ht="14.25" customHeight="1" x14ac:dyDescent="0.3">
      <c r="K559" s="7"/>
    </row>
    <row r="560" spans="11:11" ht="14.25" customHeight="1" x14ac:dyDescent="0.3">
      <c r="K560" s="7"/>
    </row>
    <row r="561" spans="11:11" ht="14.25" customHeight="1" x14ac:dyDescent="0.3">
      <c r="K561" s="7"/>
    </row>
    <row r="562" spans="11:11" ht="14.25" customHeight="1" x14ac:dyDescent="0.3">
      <c r="K562" s="7"/>
    </row>
    <row r="563" spans="11:11" ht="14.25" customHeight="1" x14ac:dyDescent="0.3">
      <c r="K563" s="7"/>
    </row>
    <row r="564" spans="11:11" ht="14.25" customHeight="1" x14ac:dyDescent="0.3">
      <c r="K564" s="7"/>
    </row>
    <row r="565" spans="11:11" ht="14.25" customHeight="1" x14ac:dyDescent="0.3">
      <c r="K565" s="7"/>
    </row>
    <row r="566" spans="11:11" ht="14.25" customHeight="1" x14ac:dyDescent="0.3">
      <c r="K566" s="7"/>
    </row>
    <row r="567" spans="11:11" ht="14.25" customHeight="1" x14ac:dyDescent="0.3">
      <c r="K567" s="7"/>
    </row>
    <row r="568" spans="11:11" ht="14.25" customHeight="1" x14ac:dyDescent="0.3">
      <c r="K568" s="7"/>
    </row>
    <row r="569" spans="11:11" ht="14.25" customHeight="1" x14ac:dyDescent="0.3">
      <c r="K569" s="7"/>
    </row>
    <row r="570" spans="11:11" ht="14.25" customHeight="1" x14ac:dyDescent="0.3">
      <c r="K570" s="7"/>
    </row>
    <row r="571" spans="11:11" ht="14.25" customHeight="1" x14ac:dyDescent="0.3">
      <c r="K571" s="7"/>
    </row>
    <row r="572" spans="11:11" ht="14.25" customHeight="1" x14ac:dyDescent="0.3">
      <c r="K572" s="7"/>
    </row>
    <row r="573" spans="11:11" ht="14.25" customHeight="1" x14ac:dyDescent="0.3">
      <c r="K573" s="7"/>
    </row>
    <row r="574" spans="11:11" ht="14.25" customHeight="1" x14ac:dyDescent="0.3">
      <c r="K574" s="7"/>
    </row>
    <row r="575" spans="11:11" ht="14.25" customHeight="1" x14ac:dyDescent="0.3">
      <c r="K575" s="7"/>
    </row>
    <row r="576" spans="11:11" ht="14.25" customHeight="1" x14ac:dyDescent="0.3">
      <c r="K576" s="7"/>
    </row>
    <row r="577" spans="11:11" ht="14.25" customHeight="1" x14ac:dyDescent="0.3">
      <c r="K577" s="7"/>
    </row>
    <row r="578" spans="11:11" ht="14.25" customHeight="1" x14ac:dyDescent="0.3">
      <c r="K578" s="7"/>
    </row>
    <row r="579" spans="11:11" ht="14.25" customHeight="1" x14ac:dyDescent="0.3">
      <c r="K579" s="7"/>
    </row>
    <row r="580" spans="11:11" ht="14.25" customHeight="1" x14ac:dyDescent="0.3">
      <c r="K580" s="7"/>
    </row>
    <row r="581" spans="11:11" ht="14.25" customHeight="1" x14ac:dyDescent="0.3">
      <c r="K581" s="7"/>
    </row>
    <row r="582" spans="11:11" ht="14.25" customHeight="1" x14ac:dyDescent="0.3">
      <c r="K582" s="7"/>
    </row>
    <row r="583" spans="11:11" ht="14.25" customHeight="1" x14ac:dyDescent="0.3">
      <c r="K583" s="7"/>
    </row>
    <row r="584" spans="11:11" ht="14.25" customHeight="1" x14ac:dyDescent="0.3">
      <c r="K584" s="7"/>
    </row>
    <row r="585" spans="11:11" ht="14.25" customHeight="1" x14ac:dyDescent="0.3">
      <c r="K585" s="7"/>
    </row>
    <row r="586" spans="11:11" ht="14.25" customHeight="1" x14ac:dyDescent="0.3">
      <c r="K586" s="7"/>
    </row>
    <row r="587" spans="11:11" ht="14.25" customHeight="1" x14ac:dyDescent="0.3">
      <c r="K587" s="7"/>
    </row>
    <row r="588" spans="11:11" ht="14.25" customHeight="1" x14ac:dyDescent="0.3">
      <c r="K588" s="7"/>
    </row>
    <row r="589" spans="11:11" ht="14.25" customHeight="1" x14ac:dyDescent="0.3">
      <c r="K589" s="7"/>
    </row>
    <row r="590" spans="11:11" ht="14.25" customHeight="1" x14ac:dyDescent="0.3">
      <c r="K590" s="7"/>
    </row>
    <row r="591" spans="11:11" ht="14.25" customHeight="1" x14ac:dyDescent="0.3">
      <c r="K591" s="7"/>
    </row>
    <row r="592" spans="11:11" ht="14.25" customHeight="1" x14ac:dyDescent="0.3">
      <c r="K592" s="7"/>
    </row>
    <row r="593" spans="11:11" ht="14.25" customHeight="1" x14ac:dyDescent="0.3">
      <c r="K593" s="7"/>
    </row>
    <row r="594" spans="11:11" ht="14.25" customHeight="1" x14ac:dyDescent="0.3">
      <c r="K594" s="7"/>
    </row>
    <row r="595" spans="11:11" ht="14.25" customHeight="1" x14ac:dyDescent="0.3">
      <c r="K595" s="7"/>
    </row>
    <row r="596" spans="11:11" ht="14.25" customHeight="1" x14ac:dyDescent="0.3">
      <c r="K596" s="7"/>
    </row>
    <row r="597" spans="11:11" ht="14.25" customHeight="1" x14ac:dyDescent="0.3">
      <c r="K597" s="7"/>
    </row>
    <row r="598" spans="11:11" ht="14.25" customHeight="1" x14ac:dyDescent="0.3">
      <c r="K598" s="7"/>
    </row>
    <row r="599" spans="11:11" ht="14.25" customHeight="1" x14ac:dyDescent="0.3">
      <c r="K599" s="7"/>
    </row>
    <row r="600" spans="11:11" ht="14.25" customHeight="1" x14ac:dyDescent="0.3">
      <c r="K600" s="7"/>
    </row>
    <row r="601" spans="11:11" ht="14.25" customHeight="1" x14ac:dyDescent="0.3">
      <c r="K601" s="7"/>
    </row>
    <row r="602" spans="11:11" ht="14.25" customHeight="1" x14ac:dyDescent="0.3">
      <c r="K602" s="7"/>
    </row>
    <row r="603" spans="11:11" ht="14.25" customHeight="1" x14ac:dyDescent="0.3">
      <c r="K603" s="7"/>
    </row>
    <row r="604" spans="11:11" ht="14.25" customHeight="1" x14ac:dyDescent="0.3">
      <c r="K604" s="7"/>
    </row>
    <row r="605" spans="11:11" ht="14.25" customHeight="1" x14ac:dyDescent="0.3">
      <c r="K605" s="7"/>
    </row>
    <row r="606" spans="11:11" ht="14.25" customHeight="1" x14ac:dyDescent="0.3">
      <c r="K606" s="7"/>
    </row>
    <row r="607" spans="11:11" ht="14.25" customHeight="1" x14ac:dyDescent="0.3">
      <c r="K607" s="7"/>
    </row>
    <row r="608" spans="11:11" ht="14.25" customHeight="1" x14ac:dyDescent="0.3">
      <c r="K608" s="7"/>
    </row>
    <row r="609" spans="11:11" ht="14.25" customHeight="1" x14ac:dyDescent="0.3">
      <c r="K609" s="7"/>
    </row>
    <row r="610" spans="11:11" ht="14.25" customHeight="1" x14ac:dyDescent="0.3">
      <c r="K610" s="7"/>
    </row>
    <row r="611" spans="11:11" ht="14.25" customHeight="1" x14ac:dyDescent="0.3">
      <c r="K611" s="7"/>
    </row>
    <row r="612" spans="11:11" ht="14.25" customHeight="1" x14ac:dyDescent="0.3">
      <c r="K612" s="7"/>
    </row>
    <row r="613" spans="11:11" ht="14.25" customHeight="1" x14ac:dyDescent="0.3">
      <c r="K613" s="7"/>
    </row>
    <row r="614" spans="11:11" ht="14.25" customHeight="1" x14ac:dyDescent="0.3">
      <c r="K614" s="7"/>
    </row>
    <row r="615" spans="11:11" ht="14.25" customHeight="1" x14ac:dyDescent="0.3">
      <c r="K615" s="7"/>
    </row>
    <row r="616" spans="11:11" ht="14.25" customHeight="1" x14ac:dyDescent="0.3">
      <c r="K616" s="7"/>
    </row>
    <row r="617" spans="11:11" ht="14.25" customHeight="1" x14ac:dyDescent="0.3">
      <c r="K617" s="7"/>
    </row>
    <row r="618" spans="11:11" ht="14.25" customHeight="1" x14ac:dyDescent="0.3">
      <c r="K618" s="7"/>
    </row>
    <row r="619" spans="11:11" ht="14.25" customHeight="1" x14ac:dyDescent="0.3">
      <c r="K619" s="7"/>
    </row>
    <row r="620" spans="11:11" ht="14.25" customHeight="1" x14ac:dyDescent="0.3">
      <c r="K620" s="7"/>
    </row>
    <row r="621" spans="11:11" ht="14.25" customHeight="1" x14ac:dyDescent="0.3">
      <c r="K621" s="7"/>
    </row>
    <row r="622" spans="11:11" ht="14.25" customHeight="1" x14ac:dyDescent="0.3">
      <c r="K622" s="7"/>
    </row>
    <row r="623" spans="11:11" ht="14.25" customHeight="1" x14ac:dyDescent="0.3">
      <c r="K623" s="7"/>
    </row>
    <row r="624" spans="11:11" ht="14.25" customHeight="1" x14ac:dyDescent="0.3">
      <c r="K624" s="7"/>
    </row>
    <row r="625" spans="11:11" ht="14.25" customHeight="1" x14ac:dyDescent="0.3">
      <c r="K625" s="7"/>
    </row>
    <row r="626" spans="11:11" ht="14.25" customHeight="1" x14ac:dyDescent="0.3">
      <c r="K626" s="7"/>
    </row>
    <row r="627" spans="11:11" ht="14.25" customHeight="1" x14ac:dyDescent="0.3">
      <c r="K627" s="7"/>
    </row>
    <row r="628" spans="11:11" ht="14.25" customHeight="1" x14ac:dyDescent="0.3">
      <c r="K628" s="7"/>
    </row>
    <row r="629" spans="11:11" ht="14.25" customHeight="1" x14ac:dyDescent="0.3">
      <c r="K629" s="7"/>
    </row>
    <row r="630" spans="11:11" ht="14.25" customHeight="1" x14ac:dyDescent="0.3">
      <c r="K630" s="7"/>
    </row>
    <row r="631" spans="11:11" ht="14.25" customHeight="1" x14ac:dyDescent="0.3">
      <c r="K631" s="7"/>
    </row>
    <row r="632" spans="11:11" ht="14.25" customHeight="1" x14ac:dyDescent="0.3">
      <c r="K632" s="7"/>
    </row>
    <row r="633" spans="11:11" ht="14.25" customHeight="1" x14ac:dyDescent="0.3">
      <c r="K633" s="7"/>
    </row>
    <row r="634" spans="11:11" ht="14.25" customHeight="1" x14ac:dyDescent="0.3">
      <c r="K634" s="7"/>
    </row>
    <row r="635" spans="11:11" ht="14.25" customHeight="1" x14ac:dyDescent="0.3">
      <c r="K635" s="7"/>
    </row>
    <row r="636" spans="11:11" ht="14.25" customHeight="1" x14ac:dyDescent="0.3">
      <c r="K636" s="7"/>
    </row>
    <row r="637" spans="11:11" ht="14.25" customHeight="1" x14ac:dyDescent="0.3">
      <c r="K637" s="7"/>
    </row>
    <row r="638" spans="11:11" ht="14.25" customHeight="1" x14ac:dyDescent="0.3">
      <c r="K638" s="7"/>
    </row>
    <row r="639" spans="11:11" ht="14.25" customHeight="1" x14ac:dyDescent="0.3">
      <c r="K639" s="7"/>
    </row>
    <row r="640" spans="11:11" ht="14.25" customHeight="1" x14ac:dyDescent="0.3">
      <c r="K640" s="7"/>
    </row>
    <row r="641" spans="11:11" ht="14.25" customHeight="1" x14ac:dyDescent="0.3">
      <c r="K641" s="7"/>
    </row>
    <row r="642" spans="11:11" ht="14.25" customHeight="1" x14ac:dyDescent="0.3">
      <c r="K642" s="7"/>
    </row>
    <row r="643" spans="11:11" ht="14.25" customHeight="1" x14ac:dyDescent="0.3">
      <c r="K643" s="7"/>
    </row>
    <row r="644" spans="11:11" ht="14.25" customHeight="1" x14ac:dyDescent="0.3">
      <c r="K644" s="7"/>
    </row>
    <row r="645" spans="11:11" ht="14.25" customHeight="1" x14ac:dyDescent="0.3">
      <c r="K645" s="7"/>
    </row>
    <row r="646" spans="11:11" ht="14.25" customHeight="1" x14ac:dyDescent="0.3">
      <c r="K646" s="7"/>
    </row>
    <row r="647" spans="11:11" ht="14.25" customHeight="1" x14ac:dyDescent="0.3">
      <c r="K647" s="7"/>
    </row>
    <row r="648" spans="11:11" ht="14.25" customHeight="1" x14ac:dyDescent="0.3">
      <c r="K648" s="7"/>
    </row>
    <row r="649" spans="11:11" ht="14.25" customHeight="1" x14ac:dyDescent="0.3">
      <c r="K649" s="7"/>
    </row>
    <row r="650" spans="11:11" ht="14.25" customHeight="1" x14ac:dyDescent="0.3">
      <c r="K650" s="7"/>
    </row>
    <row r="651" spans="11:11" ht="14.25" customHeight="1" x14ac:dyDescent="0.3">
      <c r="K651" s="7"/>
    </row>
    <row r="652" spans="11:11" ht="14.25" customHeight="1" x14ac:dyDescent="0.3">
      <c r="K652" s="7"/>
    </row>
    <row r="653" spans="11:11" ht="14.25" customHeight="1" x14ac:dyDescent="0.3">
      <c r="K653" s="7"/>
    </row>
    <row r="654" spans="11:11" ht="14.25" customHeight="1" x14ac:dyDescent="0.3">
      <c r="K654" s="7"/>
    </row>
    <row r="655" spans="11:11" ht="14.25" customHeight="1" x14ac:dyDescent="0.3">
      <c r="K655" s="7"/>
    </row>
    <row r="656" spans="11:11" ht="14.25" customHeight="1" x14ac:dyDescent="0.3">
      <c r="K656" s="7"/>
    </row>
    <row r="657" spans="11:11" ht="14.25" customHeight="1" x14ac:dyDescent="0.3">
      <c r="K657" s="7"/>
    </row>
    <row r="658" spans="11:11" ht="14.25" customHeight="1" x14ac:dyDescent="0.3">
      <c r="K658" s="7"/>
    </row>
    <row r="659" spans="11:11" ht="14.25" customHeight="1" x14ac:dyDescent="0.3">
      <c r="K659" s="7"/>
    </row>
    <row r="660" spans="11:11" ht="14.25" customHeight="1" x14ac:dyDescent="0.3">
      <c r="K660" s="7"/>
    </row>
    <row r="661" spans="11:11" ht="14.25" customHeight="1" x14ac:dyDescent="0.3">
      <c r="K661" s="7"/>
    </row>
    <row r="662" spans="11:11" ht="14.25" customHeight="1" x14ac:dyDescent="0.3">
      <c r="K662" s="7"/>
    </row>
    <row r="663" spans="11:11" ht="14.25" customHeight="1" x14ac:dyDescent="0.3">
      <c r="K663" s="7"/>
    </row>
    <row r="664" spans="11:11" ht="14.25" customHeight="1" x14ac:dyDescent="0.3">
      <c r="K664" s="7"/>
    </row>
    <row r="665" spans="11:11" ht="14.25" customHeight="1" x14ac:dyDescent="0.3">
      <c r="K665" s="7"/>
    </row>
    <row r="666" spans="11:11" ht="14.25" customHeight="1" x14ac:dyDescent="0.3">
      <c r="K666" s="7"/>
    </row>
    <row r="667" spans="11:11" ht="14.25" customHeight="1" x14ac:dyDescent="0.3">
      <c r="K667" s="7"/>
    </row>
    <row r="668" spans="11:11" ht="14.25" customHeight="1" x14ac:dyDescent="0.3">
      <c r="K668" s="7"/>
    </row>
    <row r="669" spans="11:11" ht="14.25" customHeight="1" x14ac:dyDescent="0.3">
      <c r="K669" s="7"/>
    </row>
    <row r="670" spans="11:11" ht="14.25" customHeight="1" x14ac:dyDescent="0.3">
      <c r="K670" s="7"/>
    </row>
    <row r="671" spans="11:11" ht="14.25" customHeight="1" x14ac:dyDescent="0.3">
      <c r="K671" s="7"/>
    </row>
    <row r="672" spans="11:11" ht="14.25" customHeight="1" x14ac:dyDescent="0.3">
      <c r="K672" s="7"/>
    </row>
    <row r="673" spans="11:11" ht="14.25" customHeight="1" x14ac:dyDescent="0.3">
      <c r="K673" s="7"/>
    </row>
    <row r="674" spans="11:11" ht="14.25" customHeight="1" x14ac:dyDescent="0.3">
      <c r="K674" s="7"/>
    </row>
    <row r="675" spans="11:11" ht="14.25" customHeight="1" x14ac:dyDescent="0.3">
      <c r="K675" s="7"/>
    </row>
    <row r="676" spans="11:11" ht="14.25" customHeight="1" x14ac:dyDescent="0.3">
      <c r="K676" s="7"/>
    </row>
    <row r="677" spans="11:11" ht="14.25" customHeight="1" x14ac:dyDescent="0.3">
      <c r="K677" s="7"/>
    </row>
    <row r="678" spans="11:11" ht="14.25" customHeight="1" x14ac:dyDescent="0.3">
      <c r="K678" s="7"/>
    </row>
    <row r="679" spans="11:11" ht="14.25" customHeight="1" x14ac:dyDescent="0.3">
      <c r="K679" s="7"/>
    </row>
    <row r="680" spans="11:11" ht="14.25" customHeight="1" x14ac:dyDescent="0.3">
      <c r="K680" s="7"/>
    </row>
    <row r="681" spans="11:11" ht="14.25" customHeight="1" x14ac:dyDescent="0.3">
      <c r="K681" s="7"/>
    </row>
    <row r="682" spans="11:11" ht="14.25" customHeight="1" x14ac:dyDescent="0.3">
      <c r="K682" s="7"/>
    </row>
    <row r="683" spans="11:11" ht="14.25" customHeight="1" x14ac:dyDescent="0.3">
      <c r="K683" s="7"/>
    </row>
    <row r="684" spans="11:11" ht="14.25" customHeight="1" x14ac:dyDescent="0.3">
      <c r="K684" s="7"/>
    </row>
    <row r="685" spans="11:11" ht="14.25" customHeight="1" x14ac:dyDescent="0.3">
      <c r="K685" s="7"/>
    </row>
    <row r="686" spans="11:11" ht="14.25" customHeight="1" x14ac:dyDescent="0.3">
      <c r="K686" s="7"/>
    </row>
    <row r="687" spans="11:11" ht="14.25" customHeight="1" x14ac:dyDescent="0.3">
      <c r="K687" s="7"/>
    </row>
    <row r="688" spans="11:11" ht="14.25" customHeight="1" x14ac:dyDescent="0.3">
      <c r="K688" s="7"/>
    </row>
    <row r="689" spans="11:11" ht="14.25" customHeight="1" x14ac:dyDescent="0.3">
      <c r="K689" s="7"/>
    </row>
    <row r="690" spans="11:11" ht="14.25" customHeight="1" x14ac:dyDescent="0.3">
      <c r="K690" s="7"/>
    </row>
    <row r="691" spans="11:11" ht="14.25" customHeight="1" x14ac:dyDescent="0.3">
      <c r="K691" s="7"/>
    </row>
    <row r="692" spans="11:11" ht="14.25" customHeight="1" x14ac:dyDescent="0.3">
      <c r="K692" s="7"/>
    </row>
    <row r="693" spans="11:11" ht="14.25" customHeight="1" x14ac:dyDescent="0.3">
      <c r="K693" s="7"/>
    </row>
    <row r="694" spans="11:11" ht="14.25" customHeight="1" x14ac:dyDescent="0.3">
      <c r="K694" s="7"/>
    </row>
    <row r="695" spans="11:11" ht="14.25" customHeight="1" x14ac:dyDescent="0.3">
      <c r="K695" s="7"/>
    </row>
    <row r="696" spans="11:11" ht="14.25" customHeight="1" x14ac:dyDescent="0.3">
      <c r="K696" s="7"/>
    </row>
    <row r="697" spans="11:11" ht="14.25" customHeight="1" x14ac:dyDescent="0.3">
      <c r="K697" s="7"/>
    </row>
    <row r="698" spans="11:11" ht="14.25" customHeight="1" x14ac:dyDescent="0.3">
      <c r="K698" s="7"/>
    </row>
    <row r="699" spans="11:11" ht="14.25" customHeight="1" x14ac:dyDescent="0.3">
      <c r="K699" s="7"/>
    </row>
    <row r="700" spans="11:11" ht="14.25" customHeight="1" x14ac:dyDescent="0.3">
      <c r="K700" s="7"/>
    </row>
    <row r="701" spans="11:11" ht="14.25" customHeight="1" x14ac:dyDescent="0.3">
      <c r="K701" s="7"/>
    </row>
    <row r="702" spans="11:11" ht="14.25" customHeight="1" x14ac:dyDescent="0.3">
      <c r="K702" s="7"/>
    </row>
    <row r="703" spans="11:11" ht="14.25" customHeight="1" x14ac:dyDescent="0.3">
      <c r="K703" s="7"/>
    </row>
    <row r="704" spans="11:11" ht="14.25" customHeight="1" x14ac:dyDescent="0.3">
      <c r="K704" s="7"/>
    </row>
    <row r="705" spans="11:11" ht="14.25" customHeight="1" x14ac:dyDescent="0.3">
      <c r="K705" s="7"/>
    </row>
    <row r="706" spans="11:11" ht="14.25" customHeight="1" x14ac:dyDescent="0.3">
      <c r="K706" s="7"/>
    </row>
    <row r="707" spans="11:11" ht="14.25" customHeight="1" x14ac:dyDescent="0.3">
      <c r="K707" s="7"/>
    </row>
    <row r="708" spans="11:11" ht="14.25" customHeight="1" x14ac:dyDescent="0.3">
      <c r="K708" s="7"/>
    </row>
    <row r="709" spans="11:11" ht="14.25" customHeight="1" x14ac:dyDescent="0.3">
      <c r="K709" s="7"/>
    </row>
    <row r="710" spans="11:11" ht="14.25" customHeight="1" x14ac:dyDescent="0.3">
      <c r="K710" s="7"/>
    </row>
    <row r="711" spans="11:11" ht="14.25" customHeight="1" x14ac:dyDescent="0.3">
      <c r="K711" s="7"/>
    </row>
    <row r="712" spans="11:11" ht="14.25" customHeight="1" x14ac:dyDescent="0.3">
      <c r="K712" s="7"/>
    </row>
    <row r="713" spans="11:11" ht="14.25" customHeight="1" x14ac:dyDescent="0.3">
      <c r="K713" s="7"/>
    </row>
    <row r="714" spans="11:11" ht="14.25" customHeight="1" x14ac:dyDescent="0.3">
      <c r="K714" s="7"/>
    </row>
    <row r="715" spans="11:11" ht="14.25" customHeight="1" x14ac:dyDescent="0.3">
      <c r="K715" s="7"/>
    </row>
    <row r="716" spans="11:11" ht="14.25" customHeight="1" x14ac:dyDescent="0.3">
      <c r="K716" s="7"/>
    </row>
    <row r="717" spans="11:11" ht="14.25" customHeight="1" x14ac:dyDescent="0.3">
      <c r="K717" s="7"/>
    </row>
    <row r="718" spans="11:11" ht="14.25" customHeight="1" x14ac:dyDescent="0.3">
      <c r="K718" s="7"/>
    </row>
    <row r="719" spans="11:11" ht="14.25" customHeight="1" x14ac:dyDescent="0.3">
      <c r="K719" s="7"/>
    </row>
    <row r="720" spans="11:11" ht="14.25" customHeight="1" x14ac:dyDescent="0.3">
      <c r="K720" s="7"/>
    </row>
    <row r="721" spans="11:11" ht="14.25" customHeight="1" x14ac:dyDescent="0.3">
      <c r="K721" s="7"/>
    </row>
    <row r="722" spans="11:11" ht="14.25" customHeight="1" x14ac:dyDescent="0.3">
      <c r="K722" s="7"/>
    </row>
    <row r="723" spans="11:11" ht="14.25" customHeight="1" x14ac:dyDescent="0.3">
      <c r="K723" s="7"/>
    </row>
    <row r="724" spans="11:11" ht="14.25" customHeight="1" x14ac:dyDescent="0.3">
      <c r="K724" s="7"/>
    </row>
    <row r="725" spans="11:11" ht="14.25" customHeight="1" x14ac:dyDescent="0.3">
      <c r="K725" s="7"/>
    </row>
    <row r="726" spans="11:11" ht="14.25" customHeight="1" x14ac:dyDescent="0.3">
      <c r="K726" s="7"/>
    </row>
    <row r="727" spans="11:11" ht="14.25" customHeight="1" x14ac:dyDescent="0.3">
      <c r="K727" s="7"/>
    </row>
    <row r="728" spans="11:11" ht="14.25" customHeight="1" x14ac:dyDescent="0.3">
      <c r="K728" s="7"/>
    </row>
    <row r="729" spans="11:11" ht="14.25" customHeight="1" x14ac:dyDescent="0.3">
      <c r="K729" s="7"/>
    </row>
    <row r="730" spans="11:11" ht="14.25" customHeight="1" x14ac:dyDescent="0.3">
      <c r="K730" s="7"/>
    </row>
    <row r="731" spans="11:11" ht="14.25" customHeight="1" x14ac:dyDescent="0.3">
      <c r="K731" s="7"/>
    </row>
    <row r="732" spans="11:11" ht="14.25" customHeight="1" x14ac:dyDescent="0.3">
      <c r="K732" s="7"/>
    </row>
    <row r="733" spans="11:11" ht="14.25" customHeight="1" x14ac:dyDescent="0.3">
      <c r="K733" s="7"/>
    </row>
    <row r="734" spans="11:11" ht="14.25" customHeight="1" x14ac:dyDescent="0.3">
      <c r="K734" s="7"/>
    </row>
    <row r="735" spans="11:11" ht="14.25" customHeight="1" x14ac:dyDescent="0.3">
      <c r="K735" s="7"/>
    </row>
    <row r="736" spans="11:11" ht="14.25" customHeight="1" x14ac:dyDescent="0.3">
      <c r="K736" s="7"/>
    </row>
    <row r="737" spans="11:11" ht="14.25" customHeight="1" x14ac:dyDescent="0.3">
      <c r="K737" s="7"/>
    </row>
    <row r="738" spans="11:11" ht="14.25" customHeight="1" x14ac:dyDescent="0.3">
      <c r="K738" s="7"/>
    </row>
    <row r="739" spans="11:11" ht="14.25" customHeight="1" x14ac:dyDescent="0.3">
      <c r="K739" s="7"/>
    </row>
    <row r="740" spans="11:11" ht="14.25" customHeight="1" x14ac:dyDescent="0.3">
      <c r="K740" s="7"/>
    </row>
    <row r="741" spans="11:11" ht="14.25" customHeight="1" x14ac:dyDescent="0.3">
      <c r="K741" s="7"/>
    </row>
    <row r="742" spans="11:11" ht="14.25" customHeight="1" x14ac:dyDescent="0.3">
      <c r="K742" s="7"/>
    </row>
    <row r="743" spans="11:11" ht="14.25" customHeight="1" x14ac:dyDescent="0.3">
      <c r="K743" s="7"/>
    </row>
    <row r="744" spans="11:11" ht="14.25" customHeight="1" x14ac:dyDescent="0.3">
      <c r="K744" s="7"/>
    </row>
    <row r="745" spans="11:11" ht="14.25" customHeight="1" x14ac:dyDescent="0.3">
      <c r="K745" s="7"/>
    </row>
    <row r="746" spans="11:11" ht="14.25" customHeight="1" x14ac:dyDescent="0.3">
      <c r="K746" s="7"/>
    </row>
    <row r="747" spans="11:11" ht="14.25" customHeight="1" x14ac:dyDescent="0.3">
      <c r="K747" s="7"/>
    </row>
    <row r="748" spans="11:11" ht="14.25" customHeight="1" x14ac:dyDescent="0.3">
      <c r="K748" s="7"/>
    </row>
    <row r="749" spans="11:11" ht="14.25" customHeight="1" x14ac:dyDescent="0.3">
      <c r="K749" s="7"/>
    </row>
    <row r="750" spans="11:11" ht="14.25" customHeight="1" x14ac:dyDescent="0.3">
      <c r="K750" s="7"/>
    </row>
    <row r="751" spans="11:11" ht="14.25" customHeight="1" x14ac:dyDescent="0.3">
      <c r="K751" s="7"/>
    </row>
    <row r="752" spans="11:11" ht="14.25" customHeight="1" x14ac:dyDescent="0.3">
      <c r="K752" s="7"/>
    </row>
    <row r="753" spans="11:11" ht="14.25" customHeight="1" x14ac:dyDescent="0.3">
      <c r="K753" s="7"/>
    </row>
    <row r="754" spans="11:11" ht="14.25" customHeight="1" x14ac:dyDescent="0.3">
      <c r="K754" s="7"/>
    </row>
    <row r="755" spans="11:11" ht="14.25" customHeight="1" x14ac:dyDescent="0.3">
      <c r="K755" s="7"/>
    </row>
    <row r="756" spans="11:11" ht="14.25" customHeight="1" x14ac:dyDescent="0.3">
      <c r="K756" s="7"/>
    </row>
    <row r="757" spans="11:11" ht="14.25" customHeight="1" x14ac:dyDescent="0.3">
      <c r="K757" s="7"/>
    </row>
    <row r="758" spans="11:11" ht="14.25" customHeight="1" x14ac:dyDescent="0.3">
      <c r="K758" s="7"/>
    </row>
    <row r="759" spans="11:11" ht="14.25" customHeight="1" x14ac:dyDescent="0.3">
      <c r="K759" s="7"/>
    </row>
    <row r="760" spans="11:11" ht="14.25" customHeight="1" x14ac:dyDescent="0.3">
      <c r="K760" s="7"/>
    </row>
    <row r="761" spans="11:11" ht="14.25" customHeight="1" x14ac:dyDescent="0.3">
      <c r="K761" s="7"/>
    </row>
    <row r="762" spans="11:11" ht="14.25" customHeight="1" x14ac:dyDescent="0.3">
      <c r="K762" s="7"/>
    </row>
    <row r="763" spans="11:11" ht="14.25" customHeight="1" x14ac:dyDescent="0.3">
      <c r="K763" s="7"/>
    </row>
    <row r="764" spans="11:11" ht="14.25" customHeight="1" x14ac:dyDescent="0.3">
      <c r="K764" s="7"/>
    </row>
    <row r="765" spans="11:11" ht="14.25" customHeight="1" x14ac:dyDescent="0.3">
      <c r="K765" s="7"/>
    </row>
    <row r="766" spans="11:11" ht="14.25" customHeight="1" x14ac:dyDescent="0.3">
      <c r="K766" s="7"/>
    </row>
    <row r="767" spans="11:11" ht="14.25" customHeight="1" x14ac:dyDescent="0.3">
      <c r="K767" s="7"/>
    </row>
    <row r="768" spans="11:11" ht="14.25" customHeight="1" x14ac:dyDescent="0.3">
      <c r="K768" s="7"/>
    </row>
    <row r="769" spans="11:11" ht="14.25" customHeight="1" x14ac:dyDescent="0.3">
      <c r="K769" s="7"/>
    </row>
    <row r="770" spans="11:11" ht="14.25" customHeight="1" x14ac:dyDescent="0.3">
      <c r="K770" s="7"/>
    </row>
    <row r="771" spans="11:11" ht="14.25" customHeight="1" x14ac:dyDescent="0.3">
      <c r="K771" s="7"/>
    </row>
    <row r="772" spans="11:11" ht="14.25" customHeight="1" x14ac:dyDescent="0.3">
      <c r="K772" s="7"/>
    </row>
    <row r="773" spans="11:11" ht="14.25" customHeight="1" x14ac:dyDescent="0.3">
      <c r="K773" s="7"/>
    </row>
    <row r="774" spans="11:11" ht="14.25" customHeight="1" x14ac:dyDescent="0.3">
      <c r="K774" s="7"/>
    </row>
    <row r="775" spans="11:11" ht="14.25" customHeight="1" x14ac:dyDescent="0.3">
      <c r="K775" s="7"/>
    </row>
    <row r="776" spans="11:11" ht="14.25" customHeight="1" x14ac:dyDescent="0.3">
      <c r="K776" s="7"/>
    </row>
    <row r="777" spans="11:11" ht="14.25" customHeight="1" x14ac:dyDescent="0.3">
      <c r="K777" s="7"/>
    </row>
    <row r="778" spans="11:11" ht="14.25" customHeight="1" x14ac:dyDescent="0.3">
      <c r="K778" s="7"/>
    </row>
    <row r="779" spans="11:11" ht="14.25" customHeight="1" x14ac:dyDescent="0.3">
      <c r="K779" s="7"/>
    </row>
    <row r="780" spans="11:11" ht="14.25" customHeight="1" x14ac:dyDescent="0.3">
      <c r="K780" s="7"/>
    </row>
    <row r="781" spans="11:11" ht="14.25" customHeight="1" x14ac:dyDescent="0.3">
      <c r="K781" s="7"/>
    </row>
    <row r="782" spans="11:11" ht="14.25" customHeight="1" x14ac:dyDescent="0.3">
      <c r="K782" s="7"/>
    </row>
    <row r="783" spans="11:11" ht="14.25" customHeight="1" x14ac:dyDescent="0.3">
      <c r="K783" s="7"/>
    </row>
    <row r="784" spans="11:11" ht="14.25" customHeight="1" x14ac:dyDescent="0.3">
      <c r="K784" s="7"/>
    </row>
    <row r="785" spans="11:11" ht="14.25" customHeight="1" x14ac:dyDescent="0.3">
      <c r="K785" s="7"/>
    </row>
    <row r="786" spans="11:11" ht="14.25" customHeight="1" x14ac:dyDescent="0.3">
      <c r="K786" s="7"/>
    </row>
    <row r="787" spans="11:11" ht="14.25" customHeight="1" x14ac:dyDescent="0.3">
      <c r="K787" s="7"/>
    </row>
    <row r="788" spans="11:11" ht="14.25" customHeight="1" x14ac:dyDescent="0.3">
      <c r="K788" s="7"/>
    </row>
    <row r="789" spans="11:11" ht="14.25" customHeight="1" x14ac:dyDescent="0.3">
      <c r="K789" s="7"/>
    </row>
    <row r="790" spans="11:11" ht="14.25" customHeight="1" x14ac:dyDescent="0.3">
      <c r="K790" s="7"/>
    </row>
    <row r="791" spans="11:11" ht="14.25" customHeight="1" x14ac:dyDescent="0.3">
      <c r="K791" s="7"/>
    </row>
    <row r="792" spans="11:11" ht="14.25" customHeight="1" x14ac:dyDescent="0.3">
      <c r="K792" s="7"/>
    </row>
    <row r="793" spans="11:11" ht="14.25" customHeight="1" x14ac:dyDescent="0.3">
      <c r="K793" s="7"/>
    </row>
    <row r="794" spans="11:11" ht="14.25" customHeight="1" x14ac:dyDescent="0.3">
      <c r="K794" s="7"/>
    </row>
    <row r="795" spans="11:11" ht="14.25" customHeight="1" x14ac:dyDescent="0.3">
      <c r="K795" s="7"/>
    </row>
    <row r="796" spans="11:11" ht="14.25" customHeight="1" x14ac:dyDescent="0.3">
      <c r="K796" s="7"/>
    </row>
    <row r="797" spans="11:11" ht="14.25" customHeight="1" x14ac:dyDescent="0.3">
      <c r="K797" s="7"/>
    </row>
    <row r="798" spans="11:11" ht="14.25" customHeight="1" x14ac:dyDescent="0.3">
      <c r="K798" s="7"/>
    </row>
    <row r="799" spans="11:11" ht="14.25" customHeight="1" x14ac:dyDescent="0.3">
      <c r="K799" s="7"/>
    </row>
    <row r="800" spans="11:11" ht="14.25" customHeight="1" x14ac:dyDescent="0.3">
      <c r="K800" s="7"/>
    </row>
    <row r="801" spans="11:11" ht="14.25" customHeight="1" x14ac:dyDescent="0.3">
      <c r="K801" s="7"/>
    </row>
    <row r="802" spans="11:11" ht="14.25" customHeight="1" x14ac:dyDescent="0.3">
      <c r="K802" s="7"/>
    </row>
    <row r="803" spans="11:11" ht="14.25" customHeight="1" x14ac:dyDescent="0.3">
      <c r="K803" s="7"/>
    </row>
    <row r="804" spans="11:11" ht="14.25" customHeight="1" x14ac:dyDescent="0.3">
      <c r="K804" s="7"/>
    </row>
    <row r="805" spans="11:11" ht="14.25" customHeight="1" x14ac:dyDescent="0.3">
      <c r="K805" s="7"/>
    </row>
    <row r="806" spans="11:11" ht="14.25" customHeight="1" x14ac:dyDescent="0.3">
      <c r="K806" s="7"/>
    </row>
    <row r="807" spans="11:11" ht="14.25" customHeight="1" x14ac:dyDescent="0.3">
      <c r="K807" s="7"/>
    </row>
    <row r="808" spans="11:11" ht="14.25" customHeight="1" x14ac:dyDescent="0.3">
      <c r="K808" s="7"/>
    </row>
    <row r="809" spans="11:11" ht="14.25" customHeight="1" x14ac:dyDescent="0.3">
      <c r="K809" s="7"/>
    </row>
    <row r="810" spans="11:11" ht="14.25" customHeight="1" x14ac:dyDescent="0.3">
      <c r="K810" s="7"/>
    </row>
    <row r="811" spans="11:11" ht="14.25" customHeight="1" x14ac:dyDescent="0.3">
      <c r="K811" s="7"/>
    </row>
    <row r="812" spans="11:11" ht="14.25" customHeight="1" x14ac:dyDescent="0.3">
      <c r="K812" s="7"/>
    </row>
    <row r="813" spans="11:11" ht="14.25" customHeight="1" x14ac:dyDescent="0.3">
      <c r="K813" s="7"/>
    </row>
    <row r="814" spans="11:11" ht="14.25" customHeight="1" x14ac:dyDescent="0.3">
      <c r="K814" s="7"/>
    </row>
    <row r="815" spans="11:11" ht="14.25" customHeight="1" x14ac:dyDescent="0.3">
      <c r="K815" s="7"/>
    </row>
    <row r="816" spans="11:11" ht="14.25" customHeight="1" x14ac:dyDescent="0.3">
      <c r="K816" s="7"/>
    </row>
    <row r="817" spans="11:11" ht="14.25" customHeight="1" x14ac:dyDescent="0.3">
      <c r="K817" s="7"/>
    </row>
    <row r="818" spans="11:11" ht="14.25" customHeight="1" x14ac:dyDescent="0.3">
      <c r="K818" s="7"/>
    </row>
    <row r="819" spans="11:11" ht="14.25" customHeight="1" x14ac:dyDescent="0.3">
      <c r="K819" s="7"/>
    </row>
    <row r="820" spans="11:11" ht="14.25" customHeight="1" x14ac:dyDescent="0.3">
      <c r="K820" s="7"/>
    </row>
    <row r="821" spans="11:11" ht="14.25" customHeight="1" x14ac:dyDescent="0.3">
      <c r="K821" s="7"/>
    </row>
    <row r="822" spans="11:11" ht="14.25" customHeight="1" x14ac:dyDescent="0.3">
      <c r="K822" s="7"/>
    </row>
    <row r="823" spans="11:11" ht="14.25" customHeight="1" x14ac:dyDescent="0.3">
      <c r="K823" s="7"/>
    </row>
    <row r="824" spans="11:11" ht="14.25" customHeight="1" x14ac:dyDescent="0.3">
      <c r="K824" s="7"/>
    </row>
    <row r="825" spans="11:11" ht="14.25" customHeight="1" x14ac:dyDescent="0.3">
      <c r="K825" s="7"/>
    </row>
    <row r="826" spans="11:11" ht="14.25" customHeight="1" x14ac:dyDescent="0.3">
      <c r="K826" s="7"/>
    </row>
    <row r="827" spans="11:11" ht="14.25" customHeight="1" x14ac:dyDescent="0.3">
      <c r="K827" s="7"/>
    </row>
    <row r="828" spans="11:11" ht="14.25" customHeight="1" x14ac:dyDescent="0.3">
      <c r="K828" s="7"/>
    </row>
    <row r="829" spans="11:11" ht="14.25" customHeight="1" x14ac:dyDescent="0.3">
      <c r="K829" s="7"/>
    </row>
    <row r="830" spans="11:11" ht="14.25" customHeight="1" x14ac:dyDescent="0.3">
      <c r="K830" s="7"/>
    </row>
    <row r="831" spans="11:11" ht="14.25" customHeight="1" x14ac:dyDescent="0.3">
      <c r="K831" s="7"/>
    </row>
    <row r="832" spans="11:11" ht="14.25" customHeight="1" x14ac:dyDescent="0.3">
      <c r="K832" s="7"/>
    </row>
    <row r="833" spans="11:11" ht="14.25" customHeight="1" x14ac:dyDescent="0.3">
      <c r="K833" s="7"/>
    </row>
    <row r="834" spans="11:11" ht="14.25" customHeight="1" x14ac:dyDescent="0.3">
      <c r="K834" s="7"/>
    </row>
    <row r="835" spans="11:11" ht="14.25" customHeight="1" x14ac:dyDescent="0.3">
      <c r="K835" s="7"/>
    </row>
    <row r="836" spans="11:11" ht="14.25" customHeight="1" x14ac:dyDescent="0.3">
      <c r="K836" s="7"/>
    </row>
    <row r="837" spans="11:11" ht="14.25" customHeight="1" x14ac:dyDescent="0.3">
      <c r="K837" s="7"/>
    </row>
    <row r="838" spans="11:11" ht="14.25" customHeight="1" x14ac:dyDescent="0.3">
      <c r="K838" s="7"/>
    </row>
    <row r="839" spans="11:11" ht="14.25" customHeight="1" x14ac:dyDescent="0.3">
      <c r="K839" s="7"/>
    </row>
    <row r="840" spans="11:11" ht="14.25" customHeight="1" x14ac:dyDescent="0.3">
      <c r="K840" s="7"/>
    </row>
    <row r="841" spans="11:11" ht="14.25" customHeight="1" x14ac:dyDescent="0.3">
      <c r="K841" s="7"/>
    </row>
    <row r="842" spans="11:11" ht="14.25" customHeight="1" x14ac:dyDescent="0.3">
      <c r="K842" s="7"/>
    </row>
    <row r="843" spans="11:11" ht="14.25" customHeight="1" x14ac:dyDescent="0.3">
      <c r="K843" s="7"/>
    </row>
    <row r="844" spans="11:11" ht="14.25" customHeight="1" x14ac:dyDescent="0.3">
      <c r="K844" s="7"/>
    </row>
    <row r="845" spans="11:11" ht="14.25" customHeight="1" x14ac:dyDescent="0.3">
      <c r="K845" s="7"/>
    </row>
    <row r="846" spans="11:11" ht="14.25" customHeight="1" x14ac:dyDescent="0.3">
      <c r="K846" s="7"/>
    </row>
    <row r="847" spans="11:11" ht="14.25" customHeight="1" x14ac:dyDescent="0.3">
      <c r="K847" s="7"/>
    </row>
    <row r="848" spans="11:11" ht="14.25" customHeight="1" x14ac:dyDescent="0.3">
      <c r="K848" s="7"/>
    </row>
    <row r="849" spans="11:11" ht="14.25" customHeight="1" x14ac:dyDescent="0.3">
      <c r="K849" s="7"/>
    </row>
    <row r="850" spans="11:11" ht="14.25" customHeight="1" x14ac:dyDescent="0.3">
      <c r="K850" s="7"/>
    </row>
    <row r="851" spans="11:11" ht="14.25" customHeight="1" x14ac:dyDescent="0.3">
      <c r="K851" s="7"/>
    </row>
    <row r="852" spans="11:11" ht="14.25" customHeight="1" x14ac:dyDescent="0.3">
      <c r="K852" s="7"/>
    </row>
    <row r="853" spans="11:11" ht="14.25" customHeight="1" x14ac:dyDescent="0.3">
      <c r="K853" s="7"/>
    </row>
    <row r="854" spans="11:11" ht="14.25" customHeight="1" x14ac:dyDescent="0.3">
      <c r="K854" s="7"/>
    </row>
    <row r="855" spans="11:11" ht="14.25" customHeight="1" x14ac:dyDescent="0.3">
      <c r="K855" s="7"/>
    </row>
    <row r="856" spans="11:11" ht="14.25" customHeight="1" x14ac:dyDescent="0.3">
      <c r="K856" s="7"/>
    </row>
    <row r="857" spans="11:11" ht="14.25" customHeight="1" x14ac:dyDescent="0.3">
      <c r="K857" s="7"/>
    </row>
    <row r="858" spans="11:11" ht="14.25" customHeight="1" x14ac:dyDescent="0.3">
      <c r="K858" s="7"/>
    </row>
    <row r="859" spans="11:11" ht="14.25" customHeight="1" x14ac:dyDescent="0.3">
      <c r="K859" s="7"/>
    </row>
    <row r="860" spans="11:11" ht="14.25" customHeight="1" x14ac:dyDescent="0.3">
      <c r="K860" s="7"/>
    </row>
    <row r="861" spans="11:11" ht="14.25" customHeight="1" x14ac:dyDescent="0.3">
      <c r="K861" s="7"/>
    </row>
    <row r="862" spans="11:11" ht="14.25" customHeight="1" x14ac:dyDescent="0.3">
      <c r="K862" s="7"/>
    </row>
    <row r="863" spans="11:11" ht="14.25" customHeight="1" x14ac:dyDescent="0.3">
      <c r="K863" s="7"/>
    </row>
    <row r="864" spans="11:11" ht="14.25" customHeight="1" x14ac:dyDescent="0.3">
      <c r="K864" s="7"/>
    </row>
    <row r="865" spans="11:11" ht="14.25" customHeight="1" x14ac:dyDescent="0.3">
      <c r="K865" s="7"/>
    </row>
    <row r="866" spans="11:11" ht="14.25" customHeight="1" x14ac:dyDescent="0.3">
      <c r="K866" s="7"/>
    </row>
    <row r="867" spans="11:11" ht="14.25" customHeight="1" x14ac:dyDescent="0.3">
      <c r="K867" s="7"/>
    </row>
    <row r="868" spans="11:11" ht="14.25" customHeight="1" x14ac:dyDescent="0.3">
      <c r="K868" s="7"/>
    </row>
    <row r="869" spans="11:11" ht="14.25" customHeight="1" x14ac:dyDescent="0.3">
      <c r="K869" s="7"/>
    </row>
    <row r="870" spans="11:11" ht="14.25" customHeight="1" x14ac:dyDescent="0.3">
      <c r="K870" s="7"/>
    </row>
    <row r="871" spans="11:11" ht="14.25" customHeight="1" x14ac:dyDescent="0.3">
      <c r="K871" s="7"/>
    </row>
    <row r="872" spans="11:11" ht="14.25" customHeight="1" x14ac:dyDescent="0.3">
      <c r="K872" s="7"/>
    </row>
    <row r="873" spans="11:11" ht="14.25" customHeight="1" x14ac:dyDescent="0.3">
      <c r="K873" s="7"/>
    </row>
    <row r="874" spans="11:11" ht="14.25" customHeight="1" x14ac:dyDescent="0.3">
      <c r="K874" s="7"/>
    </row>
    <row r="875" spans="11:11" ht="14.25" customHeight="1" x14ac:dyDescent="0.3">
      <c r="K875" s="7"/>
    </row>
    <row r="876" spans="11:11" ht="14.25" customHeight="1" x14ac:dyDescent="0.3">
      <c r="K876" s="7"/>
    </row>
    <row r="877" spans="11:11" ht="14.25" customHeight="1" x14ac:dyDescent="0.3">
      <c r="K877" s="7"/>
    </row>
    <row r="878" spans="11:11" ht="14.25" customHeight="1" x14ac:dyDescent="0.3">
      <c r="K878" s="7"/>
    </row>
    <row r="879" spans="11:11" ht="14.25" customHeight="1" x14ac:dyDescent="0.3">
      <c r="K879" s="7"/>
    </row>
    <row r="880" spans="11:11" ht="14.25" customHeight="1" x14ac:dyDescent="0.3">
      <c r="K880" s="7"/>
    </row>
    <row r="881" spans="11:11" ht="14.25" customHeight="1" x14ac:dyDescent="0.3">
      <c r="K881" s="7"/>
    </row>
    <row r="882" spans="11:11" ht="14.25" customHeight="1" x14ac:dyDescent="0.3">
      <c r="K882" s="7"/>
    </row>
    <row r="883" spans="11:11" ht="14.25" customHeight="1" x14ac:dyDescent="0.3">
      <c r="K883" s="7"/>
    </row>
    <row r="884" spans="11:11" ht="14.25" customHeight="1" x14ac:dyDescent="0.3">
      <c r="K884" s="7"/>
    </row>
    <row r="885" spans="11:11" ht="14.25" customHeight="1" x14ac:dyDescent="0.3">
      <c r="K885" s="7"/>
    </row>
    <row r="886" spans="11:11" ht="14.25" customHeight="1" x14ac:dyDescent="0.3">
      <c r="K886" s="7"/>
    </row>
    <row r="887" spans="11:11" ht="14.25" customHeight="1" x14ac:dyDescent="0.3">
      <c r="K887" s="7"/>
    </row>
    <row r="888" spans="11:11" ht="14.25" customHeight="1" x14ac:dyDescent="0.3">
      <c r="K888" s="7"/>
    </row>
    <row r="889" spans="11:11" ht="14.25" customHeight="1" x14ac:dyDescent="0.3">
      <c r="K889" s="7"/>
    </row>
    <row r="890" spans="11:11" ht="14.25" customHeight="1" x14ac:dyDescent="0.3">
      <c r="K890" s="7"/>
    </row>
    <row r="891" spans="11:11" ht="14.25" customHeight="1" x14ac:dyDescent="0.3">
      <c r="K891" s="7"/>
    </row>
    <row r="892" spans="11:11" ht="14.25" customHeight="1" x14ac:dyDescent="0.3">
      <c r="K892" s="7"/>
    </row>
    <row r="893" spans="11:11" ht="14.25" customHeight="1" x14ac:dyDescent="0.3">
      <c r="K893" s="7"/>
    </row>
    <row r="894" spans="11:11" ht="14.25" customHeight="1" x14ac:dyDescent="0.3">
      <c r="K894" s="7"/>
    </row>
    <row r="895" spans="11:11" ht="14.25" customHeight="1" x14ac:dyDescent="0.3">
      <c r="K895" s="7"/>
    </row>
    <row r="896" spans="11:11" ht="14.25" customHeight="1" x14ac:dyDescent="0.3">
      <c r="K896" s="7"/>
    </row>
    <row r="897" spans="11:11" ht="14.25" customHeight="1" x14ac:dyDescent="0.3">
      <c r="K897" s="7"/>
    </row>
    <row r="898" spans="11:11" ht="14.25" customHeight="1" x14ac:dyDescent="0.3">
      <c r="K898" s="7"/>
    </row>
    <row r="899" spans="11:11" ht="14.25" customHeight="1" x14ac:dyDescent="0.3">
      <c r="K899" s="7"/>
    </row>
    <row r="900" spans="11:11" ht="14.25" customHeight="1" x14ac:dyDescent="0.3">
      <c r="K900" s="7"/>
    </row>
    <row r="901" spans="11:11" ht="14.25" customHeight="1" x14ac:dyDescent="0.3">
      <c r="K901" s="7"/>
    </row>
    <row r="902" spans="11:11" ht="14.25" customHeight="1" x14ac:dyDescent="0.3">
      <c r="K902" s="7"/>
    </row>
    <row r="903" spans="11:11" ht="14.25" customHeight="1" x14ac:dyDescent="0.3">
      <c r="K903" s="7"/>
    </row>
    <row r="904" spans="11:11" ht="14.25" customHeight="1" x14ac:dyDescent="0.3">
      <c r="K904" s="7"/>
    </row>
    <row r="905" spans="11:11" ht="14.25" customHeight="1" x14ac:dyDescent="0.3">
      <c r="K905" s="7"/>
    </row>
    <row r="906" spans="11:11" ht="14.25" customHeight="1" x14ac:dyDescent="0.3">
      <c r="K906" s="7"/>
    </row>
    <row r="907" spans="11:11" ht="14.25" customHeight="1" x14ac:dyDescent="0.3">
      <c r="K907" s="7"/>
    </row>
    <row r="908" spans="11:11" ht="14.25" customHeight="1" x14ac:dyDescent="0.3">
      <c r="K908" s="7"/>
    </row>
    <row r="909" spans="11:11" ht="14.25" customHeight="1" x14ac:dyDescent="0.3">
      <c r="K909" s="7"/>
    </row>
    <row r="910" spans="11:11" ht="14.25" customHeight="1" x14ac:dyDescent="0.3">
      <c r="K910" s="7"/>
    </row>
    <row r="911" spans="11:11" ht="14.25" customHeight="1" x14ac:dyDescent="0.3">
      <c r="K911" s="7"/>
    </row>
    <row r="912" spans="11:11" ht="14.25" customHeight="1" x14ac:dyDescent="0.3">
      <c r="K912" s="7"/>
    </row>
    <row r="913" spans="11:11" ht="14.25" customHeight="1" x14ac:dyDescent="0.3">
      <c r="K913" s="7"/>
    </row>
    <row r="914" spans="11:11" ht="14.25" customHeight="1" x14ac:dyDescent="0.3">
      <c r="K914" s="7"/>
    </row>
    <row r="915" spans="11:11" ht="14.25" customHeight="1" x14ac:dyDescent="0.3">
      <c r="K915" s="7"/>
    </row>
    <row r="916" spans="11:11" ht="14.25" customHeight="1" x14ac:dyDescent="0.3">
      <c r="K916" s="7"/>
    </row>
    <row r="917" spans="11:11" ht="14.25" customHeight="1" x14ac:dyDescent="0.3">
      <c r="K917" s="7"/>
    </row>
    <row r="918" spans="11:11" ht="14.25" customHeight="1" x14ac:dyDescent="0.3">
      <c r="K918" s="7"/>
    </row>
    <row r="919" spans="11:11" ht="14.25" customHeight="1" x14ac:dyDescent="0.3">
      <c r="K919" s="7"/>
    </row>
    <row r="920" spans="11:11" ht="14.25" customHeight="1" x14ac:dyDescent="0.3">
      <c r="K920" s="7"/>
    </row>
    <row r="921" spans="11:11" ht="14.25" customHeight="1" x14ac:dyDescent="0.3">
      <c r="K921" s="7"/>
    </row>
    <row r="922" spans="11:11" ht="14.25" customHeight="1" x14ac:dyDescent="0.3">
      <c r="K922" s="7"/>
    </row>
    <row r="923" spans="11:11" ht="14.25" customHeight="1" x14ac:dyDescent="0.3">
      <c r="K923" s="7"/>
    </row>
    <row r="924" spans="11:11" ht="14.25" customHeight="1" x14ac:dyDescent="0.3">
      <c r="K924" s="7"/>
    </row>
    <row r="925" spans="11:11" ht="14.25" customHeight="1" x14ac:dyDescent="0.3">
      <c r="K925" s="7"/>
    </row>
    <row r="926" spans="11:11" ht="14.25" customHeight="1" x14ac:dyDescent="0.3">
      <c r="K926" s="7"/>
    </row>
    <row r="927" spans="11:11" ht="14.25" customHeight="1" x14ac:dyDescent="0.3">
      <c r="K927" s="7"/>
    </row>
    <row r="928" spans="11:11" ht="14.25" customHeight="1" x14ac:dyDescent="0.3">
      <c r="K928" s="7"/>
    </row>
    <row r="929" spans="11:11" ht="14.25" customHeight="1" x14ac:dyDescent="0.3">
      <c r="K929" s="7"/>
    </row>
    <row r="930" spans="11:11" ht="14.25" customHeight="1" x14ac:dyDescent="0.3">
      <c r="K930" s="7"/>
    </row>
    <row r="931" spans="11:11" ht="14.25" customHeight="1" x14ac:dyDescent="0.3">
      <c r="K931" s="7"/>
    </row>
    <row r="932" spans="11:11" ht="14.25" customHeight="1" x14ac:dyDescent="0.3">
      <c r="K932" s="7"/>
    </row>
    <row r="933" spans="11:11" ht="14.25" customHeight="1" x14ac:dyDescent="0.3">
      <c r="K933" s="7"/>
    </row>
    <row r="934" spans="11:11" ht="14.25" customHeight="1" x14ac:dyDescent="0.3">
      <c r="K934" s="7"/>
    </row>
    <row r="935" spans="11:11" ht="14.25" customHeight="1" x14ac:dyDescent="0.3">
      <c r="K935" s="7"/>
    </row>
    <row r="936" spans="11:11" ht="14.25" customHeight="1" x14ac:dyDescent="0.3">
      <c r="K936" s="7"/>
    </row>
    <row r="937" spans="11:11" ht="14.25" customHeight="1" x14ac:dyDescent="0.3">
      <c r="K937" s="7"/>
    </row>
    <row r="938" spans="11:11" ht="14.25" customHeight="1" x14ac:dyDescent="0.3">
      <c r="K938" s="7"/>
    </row>
    <row r="939" spans="11:11" ht="14.25" customHeight="1" x14ac:dyDescent="0.3">
      <c r="K939" s="7"/>
    </row>
    <row r="940" spans="11:11" ht="14.25" customHeight="1" x14ac:dyDescent="0.3">
      <c r="K940" s="7"/>
    </row>
    <row r="941" spans="11:11" ht="14.25" customHeight="1" x14ac:dyDescent="0.3">
      <c r="K941" s="7"/>
    </row>
    <row r="942" spans="11:11" ht="14.25" customHeight="1" x14ac:dyDescent="0.3">
      <c r="K942" s="7"/>
    </row>
    <row r="943" spans="11:11" ht="14.25" customHeight="1" x14ac:dyDescent="0.3">
      <c r="K943" s="7"/>
    </row>
    <row r="944" spans="11:11" ht="14.25" customHeight="1" x14ac:dyDescent="0.3">
      <c r="K944" s="7"/>
    </row>
    <row r="945" spans="11:11" ht="14.25" customHeight="1" x14ac:dyDescent="0.3">
      <c r="K945" s="7"/>
    </row>
    <row r="946" spans="11:11" ht="14.25" customHeight="1" x14ac:dyDescent="0.3">
      <c r="K946" s="7"/>
    </row>
    <row r="947" spans="11:11" ht="14.25" customHeight="1" x14ac:dyDescent="0.3">
      <c r="K947" s="7"/>
    </row>
    <row r="948" spans="11:11" ht="14.25" customHeight="1" x14ac:dyDescent="0.3">
      <c r="K948" s="7"/>
    </row>
    <row r="949" spans="11:11" ht="14.25" customHeight="1" x14ac:dyDescent="0.3">
      <c r="K949" s="7"/>
    </row>
    <row r="950" spans="11:11" ht="14.25" customHeight="1" x14ac:dyDescent="0.3">
      <c r="K950" s="7"/>
    </row>
    <row r="951" spans="11:11" ht="14.25" customHeight="1" x14ac:dyDescent="0.3">
      <c r="K951" s="7"/>
    </row>
    <row r="952" spans="11:11" ht="14.25" customHeight="1" x14ac:dyDescent="0.3">
      <c r="K952" s="7"/>
    </row>
    <row r="953" spans="11:11" ht="14.25" customHeight="1" x14ac:dyDescent="0.3">
      <c r="K953" s="7"/>
    </row>
    <row r="954" spans="11:11" ht="14.25" customHeight="1" x14ac:dyDescent="0.3">
      <c r="K954" s="7"/>
    </row>
    <row r="955" spans="11:11" ht="14.25" customHeight="1" x14ac:dyDescent="0.3">
      <c r="K955" s="7"/>
    </row>
    <row r="956" spans="11:11" ht="14.25" customHeight="1" x14ac:dyDescent="0.3">
      <c r="K956" s="7"/>
    </row>
    <row r="957" spans="11:11" ht="14.25" customHeight="1" x14ac:dyDescent="0.3">
      <c r="K957" s="7"/>
    </row>
    <row r="958" spans="11:11" ht="14.25" customHeight="1" x14ac:dyDescent="0.3">
      <c r="K958" s="7"/>
    </row>
    <row r="959" spans="11:11" ht="14.25" customHeight="1" x14ac:dyDescent="0.3">
      <c r="K959" s="7"/>
    </row>
    <row r="960" spans="11:11" ht="14.25" customHeight="1" x14ac:dyDescent="0.3">
      <c r="K960" s="7"/>
    </row>
    <row r="961" spans="11:11" ht="14.25" customHeight="1" x14ac:dyDescent="0.3">
      <c r="K961" s="7"/>
    </row>
    <row r="962" spans="11:11" ht="14.25" customHeight="1" x14ac:dyDescent="0.3">
      <c r="K962" s="7"/>
    </row>
    <row r="963" spans="11:11" ht="14.25" customHeight="1" x14ac:dyDescent="0.3">
      <c r="K963" s="7"/>
    </row>
    <row r="964" spans="11:11" ht="14.25" customHeight="1" x14ac:dyDescent="0.3">
      <c r="K964" s="7"/>
    </row>
    <row r="965" spans="11:11" ht="14.25" customHeight="1" x14ac:dyDescent="0.3">
      <c r="K965" s="7"/>
    </row>
    <row r="966" spans="11:11" ht="14.25" customHeight="1" x14ac:dyDescent="0.3">
      <c r="K966" s="7"/>
    </row>
    <row r="967" spans="11:11" ht="14.25" customHeight="1" x14ac:dyDescent="0.3">
      <c r="K967" s="7"/>
    </row>
    <row r="968" spans="11:11" ht="14.25" customHeight="1" x14ac:dyDescent="0.3">
      <c r="K968" s="7"/>
    </row>
    <row r="969" spans="11:11" ht="14.25" customHeight="1" x14ac:dyDescent="0.3">
      <c r="K969" s="7"/>
    </row>
    <row r="970" spans="11:11" ht="14.25" customHeight="1" x14ac:dyDescent="0.3">
      <c r="K970" s="7"/>
    </row>
    <row r="971" spans="11:11" ht="14.25" customHeight="1" x14ac:dyDescent="0.3">
      <c r="K971" s="7"/>
    </row>
    <row r="972" spans="11:11" ht="14.25" customHeight="1" x14ac:dyDescent="0.3">
      <c r="K972" s="7"/>
    </row>
    <row r="973" spans="11:11" ht="14.25" customHeight="1" x14ac:dyDescent="0.3">
      <c r="K973" s="7"/>
    </row>
    <row r="974" spans="11:11" ht="14.25" customHeight="1" x14ac:dyDescent="0.3">
      <c r="K974" s="7"/>
    </row>
    <row r="975" spans="11:11" ht="14.25" customHeight="1" x14ac:dyDescent="0.3">
      <c r="K975" s="7"/>
    </row>
    <row r="976" spans="11:11" ht="14.25" customHeight="1" x14ac:dyDescent="0.3">
      <c r="K976" s="7"/>
    </row>
    <row r="977" spans="11:11" ht="14.25" customHeight="1" x14ac:dyDescent="0.3">
      <c r="K977" s="7"/>
    </row>
    <row r="978" spans="11:11" ht="14.25" customHeight="1" x14ac:dyDescent="0.3">
      <c r="K978" s="7"/>
    </row>
    <row r="979" spans="11:11" ht="14.25" customHeight="1" x14ac:dyDescent="0.3">
      <c r="K979" s="7"/>
    </row>
    <row r="980" spans="11:11" ht="14.25" customHeight="1" x14ac:dyDescent="0.3">
      <c r="K980" s="7"/>
    </row>
    <row r="981" spans="11:11" ht="14.25" customHeight="1" x14ac:dyDescent="0.3">
      <c r="K981" s="7"/>
    </row>
    <row r="982" spans="11:11" ht="14.25" customHeight="1" x14ac:dyDescent="0.3">
      <c r="K982" s="7"/>
    </row>
    <row r="983" spans="11:11" ht="14.25" customHeight="1" x14ac:dyDescent="0.3">
      <c r="K983" s="7"/>
    </row>
    <row r="984" spans="11:11" ht="14.25" customHeight="1" x14ac:dyDescent="0.3">
      <c r="K984" s="7"/>
    </row>
    <row r="985" spans="11:11" ht="14.25" customHeight="1" x14ac:dyDescent="0.3">
      <c r="K985" s="7"/>
    </row>
    <row r="986" spans="11:11" ht="14.25" customHeight="1" x14ac:dyDescent="0.3">
      <c r="K986" s="7"/>
    </row>
    <row r="987" spans="11:11" ht="14.25" customHeight="1" x14ac:dyDescent="0.3">
      <c r="K987" s="7"/>
    </row>
    <row r="988" spans="11:11" ht="14.25" customHeight="1" x14ac:dyDescent="0.3">
      <c r="K988" s="7"/>
    </row>
    <row r="989" spans="11:11" ht="14.25" customHeight="1" x14ac:dyDescent="0.3">
      <c r="K989" s="7"/>
    </row>
    <row r="990" spans="11:11" ht="14.25" customHeight="1" x14ac:dyDescent="0.3">
      <c r="K990" s="7"/>
    </row>
    <row r="991" spans="11:11" ht="14.25" customHeight="1" x14ac:dyDescent="0.3">
      <c r="K991" s="7"/>
    </row>
    <row r="992" spans="11:11" ht="14.25" customHeight="1" x14ac:dyDescent="0.3">
      <c r="K992" s="7"/>
    </row>
    <row r="993" spans="11:11" ht="14.25" customHeight="1" x14ac:dyDescent="0.3">
      <c r="K993" s="7"/>
    </row>
    <row r="994" spans="11:11" ht="14.25" customHeight="1" x14ac:dyDescent="0.3">
      <c r="K994" s="7"/>
    </row>
    <row r="995" spans="11:11" ht="14.25" customHeight="1" x14ac:dyDescent="0.3">
      <c r="K995" s="7"/>
    </row>
    <row r="996" spans="11:11" ht="14.25" customHeight="1" x14ac:dyDescent="0.3">
      <c r="K996" s="7"/>
    </row>
    <row r="997" spans="11:11" ht="14.25" customHeight="1" x14ac:dyDescent="0.3">
      <c r="K997" s="7"/>
    </row>
    <row r="998" spans="11:11" ht="14.25" customHeight="1" x14ac:dyDescent="0.3">
      <c r="K998" s="7"/>
    </row>
    <row r="999" spans="11:11" ht="14.25" customHeight="1" x14ac:dyDescent="0.3">
      <c r="K999" s="7"/>
    </row>
    <row r="1000" spans="11:11" ht="14.25" customHeight="1" x14ac:dyDescent="0.3">
      <c r="K1000" s="7"/>
    </row>
  </sheetData>
  <autoFilter ref="A1:L1" xr:uid="{00000000-0009-0000-0000-000000000000}"/>
  <conditionalFormatting sqref="I1:I1000">
    <cfRule type="cellIs" dxfId="2" priority="1" operator="lessThan">
      <formula>20</formula>
    </cfRule>
  </conditionalFormatting>
  <conditionalFormatting sqref="J1:J1000">
    <cfRule type="cellIs" dxfId="1" priority="2" operator="lessThan">
      <formula>5</formula>
    </cfRule>
    <cfRule type="cellIs" dxfId="0" priority="3" operator="lessThan">
      <formula>5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/>
  </sheetViews>
  <sheetFormatPr defaultColWidth="14.44140625" defaultRowHeight="15" customHeight="1" x14ac:dyDescent="0.3"/>
  <cols>
    <col min="1" max="1" width="16.6640625" customWidth="1"/>
    <col min="2" max="2" width="12" customWidth="1"/>
    <col min="3" max="3" width="13.5546875" customWidth="1"/>
    <col min="4" max="4" width="12" customWidth="1"/>
    <col min="5" max="5" width="19.5546875" customWidth="1"/>
    <col min="6" max="6" width="21.6640625" customWidth="1"/>
    <col min="7" max="7" width="17.6640625" customWidth="1"/>
    <col min="8" max="8" width="16.33203125" customWidth="1"/>
    <col min="9" max="9" width="15.33203125" customWidth="1"/>
    <col min="10" max="10" width="12" customWidth="1"/>
    <col min="11" max="11" width="16.33203125" customWidth="1"/>
    <col min="12" max="12" width="12" customWidth="1"/>
    <col min="13" max="13" width="16.6640625" customWidth="1"/>
    <col min="14" max="14" width="15.88671875" customWidth="1"/>
    <col min="15" max="26" width="8.6640625" customWidth="1"/>
  </cols>
  <sheetData>
    <row r="1" spans="1:18" ht="14.25" customHeight="1" x14ac:dyDescent="0.3">
      <c r="A1" s="1" t="s">
        <v>5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</row>
    <row r="2" spans="1:18" ht="14.25" customHeight="1" x14ac:dyDescent="0.3">
      <c r="A2" s="8" t="s">
        <v>49</v>
      </c>
      <c r="B2" s="4">
        <v>502</v>
      </c>
      <c r="C2" s="4">
        <v>1</v>
      </c>
      <c r="D2" s="9">
        <v>45904</v>
      </c>
      <c r="E2" s="4"/>
      <c r="F2" s="4" t="s">
        <v>50</v>
      </c>
      <c r="G2" s="4" t="s">
        <v>51</v>
      </c>
      <c r="H2" s="4">
        <v>80</v>
      </c>
      <c r="I2" s="4" t="s">
        <v>52</v>
      </c>
      <c r="J2" s="6">
        <f>IF(A2="","",COUNTIF(RacePerformance!$F:$F,A2))</f>
        <v>0</v>
      </c>
      <c r="K2" s="6" t="str">
        <f>IF(A2="","",IFERROR(AVERAGEIF(RacePerformance!$F:$F,A2,RacePerformance!$I:$I),""))</f>
        <v/>
      </c>
      <c r="L2" s="6" t="str">
        <f>IF(A2="","",IFERROR(AVERAGEIF(RacePerformance!$F:$F,A2,RacePerformance!$J:$J),""))</f>
        <v/>
      </c>
      <c r="M2" s="7" t="str">
        <f>IF(A2="","",IFERROR(AVERAGEIF(RacePerformance!$F:$F,A2,RacePerformance!$K:$K),""))</f>
        <v/>
      </c>
      <c r="N2" s="6">
        <f>IF(A2="","",COUNTIFS(RacePerformance!$F:$F,A2,RacePerformance!$I:$I,"&lt;=20"))</f>
        <v>0</v>
      </c>
      <c r="O2" s="6">
        <f>IF(A2="","",COUNTIFS(RacePerformance!$F:$F,A2,RacePerformance!$I:$I,1))</f>
        <v>0</v>
      </c>
      <c r="P2" s="6">
        <f>IF(A2="","",COUNTIFS(RacePerformance!$F:$F,A2,RacePerformance!$J:$J,"&lt;=3"))</f>
        <v>0</v>
      </c>
      <c r="R2" s="6">
        <v>502</v>
      </c>
    </row>
    <row r="3" spans="1:18" ht="14.25" customHeight="1" x14ac:dyDescent="0.3">
      <c r="A3" s="8" t="s">
        <v>24</v>
      </c>
      <c r="B3" s="4">
        <v>512</v>
      </c>
      <c r="C3" s="4">
        <v>1</v>
      </c>
      <c r="D3" s="9">
        <v>45904</v>
      </c>
      <c r="E3" s="4"/>
      <c r="F3" s="4" t="s">
        <v>50</v>
      </c>
      <c r="G3" s="4" t="s">
        <v>51</v>
      </c>
      <c r="H3" s="4">
        <v>75</v>
      </c>
      <c r="I3" s="4" t="s">
        <v>52</v>
      </c>
      <c r="J3" s="6">
        <f>IF(A3="","",COUNTIF(RacePerformance!$F:$F,A3))</f>
        <v>2</v>
      </c>
      <c r="K3" s="6">
        <f>IF(A3="","",IFERROR(AVERAGEIF(RacePerformance!$F:$F,A3,RacePerformance!$I:$I),""))</f>
        <v>72</v>
      </c>
      <c r="L3" s="6">
        <f>IF(A3="","",IFERROR(AVERAGEIF(RacePerformance!$F:$F,A3,RacePerformance!$J:$J),""))</f>
        <v>6.5</v>
      </c>
      <c r="M3" s="7">
        <f>IF(A3="","",IFERROR(AVERAGEIF(RacePerformance!$F:$F,A3,RacePerformance!$K:$K),""))</f>
        <v>0.5794976571864443</v>
      </c>
      <c r="N3" s="6">
        <f>IF(A3="","",COUNTIFS(RacePerformance!$F:$F,A3,RacePerformance!$I:$I,"&lt;=20"))</f>
        <v>0</v>
      </c>
      <c r="O3" s="6">
        <f>IF(A3="","",COUNTIFS(RacePerformance!$F:$F,A3,RacePerformance!$I:$I,1))</f>
        <v>0</v>
      </c>
      <c r="P3" s="6">
        <f>IF(A3="","",COUNTIFS(RacePerformance!$F:$F,A3,RacePerformance!$J:$J,"&lt;=3"))</f>
        <v>0</v>
      </c>
      <c r="R3" s="6">
        <v>506</v>
      </c>
    </row>
    <row r="4" spans="1:18" ht="14.25" customHeight="1" x14ac:dyDescent="0.3">
      <c r="A4" s="8" t="s">
        <v>53</v>
      </c>
      <c r="B4" s="4">
        <v>507</v>
      </c>
      <c r="C4" s="4">
        <v>1</v>
      </c>
      <c r="D4" s="9">
        <v>45859</v>
      </c>
      <c r="E4" s="4"/>
      <c r="F4" s="4" t="s">
        <v>54</v>
      </c>
      <c r="G4" s="4" t="s">
        <v>55</v>
      </c>
      <c r="H4" s="4"/>
      <c r="I4" s="4" t="s">
        <v>56</v>
      </c>
      <c r="J4" s="6">
        <f>IF(A4="","",COUNTIF(RacePerformance!$F:$F,A4))</f>
        <v>0</v>
      </c>
      <c r="K4" s="6" t="str">
        <f>IF(A4="","",IFERROR(AVERAGEIF(RacePerformance!$F:$F,A4,RacePerformance!$I:$I),""))</f>
        <v/>
      </c>
      <c r="L4" s="6" t="str">
        <f>IF(A4="","",IFERROR(AVERAGEIF(RacePerformance!$F:$F,A4,RacePerformance!$J:$J),""))</f>
        <v/>
      </c>
      <c r="M4" s="6" t="str">
        <f>IF(A4="","",IFERROR(AVERAGEIF(RacePerformance!$F:$F,A4,RacePerformance!$K:$K),""))</f>
        <v/>
      </c>
      <c r="N4" s="6">
        <f>IF(A4="","",COUNTIFS(RacePerformance!$F:$F,A4,RacePerformance!$I:$I,"&lt;=20"))</f>
        <v>0</v>
      </c>
      <c r="O4" s="6">
        <f>IF(A4="","",COUNTIFS(RacePerformance!$F:$F,A4,RacePerformance!$I:$I,1))</f>
        <v>0</v>
      </c>
      <c r="P4" s="6">
        <f>IF(A4="","",COUNTIFS(RacePerformance!$F:$F,A4,RacePerformance!$J:$J,"&lt;=3"))</f>
        <v>0</v>
      </c>
      <c r="R4" s="6">
        <v>512</v>
      </c>
    </row>
    <row r="5" spans="1:18" ht="14.25" customHeight="1" x14ac:dyDescent="0.3">
      <c r="A5" s="8" t="s">
        <v>20</v>
      </c>
      <c r="B5" s="4">
        <v>527</v>
      </c>
      <c r="C5" s="4">
        <v>2</v>
      </c>
      <c r="D5" s="9">
        <v>45904</v>
      </c>
      <c r="E5" s="4"/>
      <c r="F5" s="4" t="s">
        <v>54</v>
      </c>
      <c r="G5" s="4" t="s">
        <v>55</v>
      </c>
      <c r="H5" s="4">
        <v>85</v>
      </c>
      <c r="I5" s="4" t="s">
        <v>52</v>
      </c>
      <c r="J5" s="6">
        <f>IF(A5="","",COUNTIF(RacePerformance!$F:$F,A5))</f>
        <v>2</v>
      </c>
      <c r="K5" s="6">
        <f>IF(A5="","",IFERROR(AVERAGEIF(RacePerformance!$F:$F,A5,RacePerformance!$I:$I),""))</f>
        <v>52.5</v>
      </c>
      <c r="L5" s="6">
        <f>IF(A5="","",IFERROR(AVERAGEIF(RacePerformance!$F:$F,A5,RacePerformance!$J:$J),""))</f>
        <v>3.5</v>
      </c>
      <c r="M5" s="7">
        <f>IF(A5="","",IFERROR(AVERAGEIF(RacePerformance!$F:$F,A5,RacePerformance!$K:$K),""))</f>
        <v>0.74169118448294657</v>
      </c>
      <c r="N5" s="6">
        <f>IF(A5="","",COUNTIFS(RacePerformance!$F:$F,A5,RacePerformance!$I:$I,"&lt;=20"))</f>
        <v>0</v>
      </c>
      <c r="O5" s="6">
        <f>IF(A5="","",COUNTIFS(RacePerformance!$F:$F,A5,RacePerformance!$I:$I,1))</f>
        <v>0</v>
      </c>
      <c r="P5" s="6">
        <f>IF(A5="","",COUNTIFS(RacePerformance!$F:$F,A5,RacePerformance!$J:$J,"&lt;=3"))</f>
        <v>1</v>
      </c>
      <c r="R5" s="6">
        <v>516</v>
      </c>
    </row>
    <row r="6" spans="1:18" ht="14.25" customHeight="1" x14ac:dyDescent="0.3">
      <c r="A6" s="8" t="s">
        <v>57</v>
      </c>
      <c r="B6" s="4">
        <v>537</v>
      </c>
      <c r="C6" s="4">
        <v>2</v>
      </c>
      <c r="D6" s="9">
        <v>45904</v>
      </c>
      <c r="E6" s="4"/>
      <c r="F6" s="4" t="s">
        <v>54</v>
      </c>
      <c r="G6" s="4" t="s">
        <v>55</v>
      </c>
      <c r="H6" s="4">
        <v>80</v>
      </c>
      <c r="I6" s="4" t="s">
        <v>52</v>
      </c>
      <c r="J6" s="6">
        <f>IF(A6="","",COUNTIF(RacePerformance!$F:$F,A6))</f>
        <v>0</v>
      </c>
      <c r="K6" s="6" t="str">
        <f>IF(A6="","",IFERROR(AVERAGEIF(RacePerformance!$F:$F,A6,RacePerformance!$I:$I),""))</f>
        <v/>
      </c>
      <c r="L6" s="6" t="str">
        <f>IF(A6="","",IFERROR(AVERAGEIF(RacePerformance!$F:$F,A6,RacePerformance!$J:$J),""))</f>
        <v/>
      </c>
      <c r="M6" s="7" t="str">
        <f>IF(A6="","",IFERROR(AVERAGEIF(RacePerformance!$F:$F,A6,RacePerformance!$K:$K),""))</f>
        <v/>
      </c>
      <c r="N6" s="6">
        <f>IF(A6="","",COUNTIFS(RacePerformance!$F:$F,A6,RacePerformance!$I:$I,"&lt;=20"))</f>
        <v>0</v>
      </c>
      <c r="O6" s="6">
        <f>IF(A6="","",COUNTIFS(RacePerformance!$F:$F,A6,RacePerformance!$I:$I,1))</f>
        <v>0</v>
      </c>
      <c r="P6" s="6">
        <f>IF(A6="","",COUNTIFS(RacePerformance!$F:$F,A6,RacePerformance!$J:$J,"&lt;=3"))</f>
        <v>0</v>
      </c>
      <c r="R6" s="6">
        <v>520</v>
      </c>
    </row>
    <row r="7" spans="1:18" ht="14.25" customHeight="1" x14ac:dyDescent="0.3">
      <c r="A7" s="8" t="s">
        <v>58</v>
      </c>
      <c r="B7" s="4">
        <v>517</v>
      </c>
      <c r="C7" s="4">
        <v>1</v>
      </c>
      <c r="D7" s="9">
        <v>45859</v>
      </c>
      <c r="E7" s="4"/>
      <c r="F7" s="4" t="s">
        <v>54</v>
      </c>
      <c r="G7" s="4" t="s">
        <v>55</v>
      </c>
      <c r="H7" s="4">
        <v>70</v>
      </c>
      <c r="I7" s="4" t="s">
        <v>56</v>
      </c>
      <c r="J7" s="6">
        <f>IF(A7="","",COUNTIF(RacePerformance!$F:$F,A7))</f>
        <v>0</v>
      </c>
      <c r="K7" s="6" t="str">
        <f>IF(A7="","",IFERROR(AVERAGEIF(RacePerformance!$F:$F,A7,RacePerformance!$I:$I),""))</f>
        <v/>
      </c>
      <c r="L7" s="6" t="str">
        <f>IF(A7="","",IFERROR(AVERAGEIF(RacePerformance!$F:$F,A7,RacePerformance!$J:$J),""))</f>
        <v/>
      </c>
      <c r="M7" s="6" t="str">
        <f>IF(A7="","",IFERROR(AVERAGEIF(RacePerformance!$F:$F,A7,RacePerformance!$K:$K),""))</f>
        <v/>
      </c>
      <c r="N7" s="6">
        <f>IF(A7="","",COUNTIFS(RacePerformance!$F:$F,A7,RacePerformance!$I:$I,"&lt;=20"))</f>
        <v>0</v>
      </c>
      <c r="O7" s="6">
        <f>IF(A7="","",COUNTIFS(RacePerformance!$F:$F,A7,RacePerformance!$I:$I,1))</f>
        <v>0</v>
      </c>
      <c r="P7" s="6">
        <f>IF(A7="","",COUNTIFS(RacePerformance!$F:$F,A7,RacePerformance!$J:$J,"&lt;=3"))</f>
        <v>0</v>
      </c>
      <c r="R7" s="6">
        <v>525</v>
      </c>
    </row>
    <row r="8" spans="1:18" ht="14.25" customHeight="1" x14ac:dyDescent="0.3">
      <c r="A8" s="8" t="s">
        <v>29</v>
      </c>
      <c r="B8" s="4">
        <v>557</v>
      </c>
      <c r="C8" s="4">
        <v>2</v>
      </c>
      <c r="D8" s="9">
        <v>45943</v>
      </c>
      <c r="E8" s="4"/>
      <c r="F8" s="4" t="s">
        <v>54</v>
      </c>
      <c r="G8" s="4" t="s">
        <v>55</v>
      </c>
      <c r="H8" s="4">
        <v>85</v>
      </c>
      <c r="I8" s="4" t="s">
        <v>52</v>
      </c>
      <c r="J8" s="6">
        <f>IF(A8="","",COUNTIF(RacePerformance!$F:$F,A8))</f>
        <v>1</v>
      </c>
      <c r="K8" s="6">
        <f>IF(A8="","",IFERROR(AVERAGEIF(RacePerformance!$F:$F,A8,RacePerformance!$I:$I),""))</f>
        <v>79</v>
      </c>
      <c r="L8" s="6">
        <f>IF(A8="","",IFERROR(AVERAGEIF(RacePerformance!$F:$F,A8,RacePerformance!$J:$J),""))</f>
        <v>8</v>
      </c>
      <c r="M8" s="7">
        <f>IF(A8="","",IFERROR(AVERAGEIF(RacePerformance!$F:$F,A8,RacePerformance!$K:$K),""))</f>
        <v>0.5229166666666667</v>
      </c>
      <c r="N8" s="6">
        <f>IF(A8="","",COUNTIFS(RacePerformance!$F:$F,A8,RacePerformance!$I:$I,"&lt;=20"))</f>
        <v>0</v>
      </c>
      <c r="O8" s="6">
        <f>IF(A8="","",COUNTIFS(RacePerformance!$F:$F,A8,RacePerformance!$I:$I,1))</f>
        <v>0</v>
      </c>
      <c r="P8" s="6">
        <f>IF(A8="","",COUNTIFS(RacePerformance!$F:$F,A8,RacePerformance!$J:$J,"&lt;=3"))</f>
        <v>0</v>
      </c>
      <c r="R8" s="6">
        <v>527</v>
      </c>
    </row>
    <row r="9" spans="1:18" ht="14.25" customHeight="1" x14ac:dyDescent="0.3">
      <c r="A9" s="8" t="s">
        <v>59</v>
      </c>
      <c r="B9" s="4">
        <v>547</v>
      </c>
      <c r="C9" s="4">
        <v>2</v>
      </c>
      <c r="D9" s="9">
        <v>45943</v>
      </c>
      <c r="E9" s="4"/>
      <c r="F9" s="4" t="s">
        <v>54</v>
      </c>
      <c r="G9" s="4" t="s">
        <v>55</v>
      </c>
      <c r="H9" s="4">
        <v>85</v>
      </c>
      <c r="I9" s="4" t="s">
        <v>56</v>
      </c>
      <c r="J9" s="6">
        <f>IF(A9="","",COUNTIF(RacePerformance!$F:$F,A9))</f>
        <v>0</v>
      </c>
      <c r="K9" s="6" t="str">
        <f>IF(A9="","",IFERROR(AVERAGEIF(RacePerformance!$F:$F,A9,RacePerformance!$I:$I),""))</f>
        <v/>
      </c>
      <c r="L9" s="6" t="str">
        <f>IF(A9="","",IFERROR(AVERAGEIF(RacePerformance!$F:$F,A9,RacePerformance!$J:$J),""))</f>
        <v/>
      </c>
      <c r="M9" s="6" t="str">
        <f>IF(A9="","",IFERROR(AVERAGEIF(RacePerformance!$F:$F,A9,RacePerformance!$K:$K),""))</f>
        <v/>
      </c>
      <c r="N9" s="6">
        <f>IF(A9="","",COUNTIFS(RacePerformance!$F:$F,A9,RacePerformance!$I:$I,"&lt;=20"))</f>
        <v>0</v>
      </c>
      <c r="O9" s="6">
        <f>IF(A9="","",COUNTIFS(RacePerformance!$F:$F,A9,RacePerformance!$I:$I,1))</f>
        <v>0</v>
      </c>
      <c r="P9" s="6">
        <f>IF(A9="","",COUNTIFS(RacePerformance!$F:$F,A9,RacePerformance!$J:$J,"&lt;=3"))</f>
        <v>0</v>
      </c>
      <c r="R9" s="6">
        <v>528</v>
      </c>
    </row>
    <row r="10" spans="1:18" ht="14.25" customHeight="1" x14ac:dyDescent="0.3">
      <c r="A10" s="8" t="s">
        <v>60</v>
      </c>
      <c r="B10" s="4">
        <v>503</v>
      </c>
      <c r="C10" s="4">
        <v>1</v>
      </c>
      <c r="D10" s="9">
        <v>45858</v>
      </c>
      <c r="E10" s="4"/>
      <c r="F10" s="4" t="s">
        <v>61</v>
      </c>
      <c r="G10" s="4" t="s">
        <v>62</v>
      </c>
      <c r="H10" s="4">
        <v>85</v>
      </c>
      <c r="I10" s="4" t="s">
        <v>56</v>
      </c>
      <c r="J10" s="6">
        <f>IF(A10="","",COUNTIF(RacePerformance!$F:$F,A10))</f>
        <v>0</v>
      </c>
      <c r="K10" s="6" t="str">
        <f>IF(A10="","",IFERROR(AVERAGEIF(RacePerformance!$F:$F,A10,RacePerformance!$I:$I),""))</f>
        <v/>
      </c>
      <c r="L10" s="6" t="str">
        <f>IF(A10="","",IFERROR(AVERAGEIF(RacePerformance!$F:$F,A10,RacePerformance!$J:$J),""))</f>
        <v/>
      </c>
      <c r="M10" s="6" t="str">
        <f>IF(A10="","",IFERROR(AVERAGEIF(RacePerformance!$F:$F,A10,RacePerformance!$K:$K),""))</f>
        <v/>
      </c>
      <c r="N10" s="6">
        <f>IF(A10="","",COUNTIFS(RacePerformance!$F:$F,A10,RacePerformance!$I:$I,"&lt;=20"))</f>
        <v>0</v>
      </c>
      <c r="O10" s="6">
        <f>IF(A10="","",COUNTIFS(RacePerformance!$F:$F,A10,RacePerformance!$I:$I,1))</f>
        <v>0</v>
      </c>
      <c r="P10" s="6">
        <f>IF(A10="","",COUNTIFS(RacePerformance!$F:$F,A10,RacePerformance!$J:$J,"&lt;=3"))</f>
        <v>0</v>
      </c>
      <c r="R10" s="6">
        <v>530</v>
      </c>
    </row>
    <row r="11" spans="1:18" ht="14.25" customHeight="1" x14ac:dyDescent="0.3">
      <c r="A11" s="8" t="s">
        <v>63</v>
      </c>
      <c r="B11" s="4">
        <v>513</v>
      </c>
      <c r="C11" s="4">
        <v>1</v>
      </c>
      <c r="D11" s="9">
        <v>45858</v>
      </c>
      <c r="E11" s="4"/>
      <c r="F11" s="4" t="s">
        <v>61</v>
      </c>
      <c r="G11" s="4" t="s">
        <v>62</v>
      </c>
      <c r="H11" s="4">
        <v>85</v>
      </c>
      <c r="I11" s="4" t="s">
        <v>56</v>
      </c>
      <c r="J11" s="6">
        <f>IF(A11="","",COUNTIF(RacePerformance!$F:$F,A11))</f>
        <v>0</v>
      </c>
      <c r="K11" s="6" t="str">
        <f>IF(A11="","",IFERROR(AVERAGEIF(RacePerformance!$F:$F,A11,RacePerformance!$I:$I),""))</f>
        <v/>
      </c>
      <c r="L11" s="6" t="str">
        <f>IF(A11="","",IFERROR(AVERAGEIF(RacePerformance!$F:$F,A11,RacePerformance!$J:$J),""))</f>
        <v/>
      </c>
      <c r="M11" s="6" t="str">
        <f>IF(A11="","",IFERROR(AVERAGEIF(RacePerformance!$F:$F,A11,RacePerformance!$K:$K),""))</f>
        <v/>
      </c>
      <c r="N11" s="6">
        <f>IF(A11="","",COUNTIFS(RacePerformance!$F:$F,A11,RacePerformance!$I:$I,"&lt;=20"))</f>
        <v>0</v>
      </c>
      <c r="O11" s="6">
        <f>IF(A11="","",COUNTIFS(RacePerformance!$F:$F,A11,RacePerformance!$I:$I,1))</f>
        <v>0</v>
      </c>
      <c r="P11" s="6">
        <f>IF(A11="","",COUNTIFS(RacePerformance!$F:$F,A11,RacePerformance!$J:$J,"&lt;=3"))</f>
        <v>0</v>
      </c>
      <c r="R11" s="6">
        <v>533</v>
      </c>
    </row>
    <row r="12" spans="1:18" ht="14.25" customHeight="1" x14ac:dyDescent="0.3">
      <c r="A12" s="8" t="s">
        <v>64</v>
      </c>
      <c r="B12" s="4">
        <v>523</v>
      </c>
      <c r="C12" s="4">
        <v>2</v>
      </c>
      <c r="D12" s="9">
        <v>45903</v>
      </c>
      <c r="E12" s="4"/>
      <c r="F12" s="4" t="s">
        <v>61</v>
      </c>
      <c r="G12" s="4" t="s">
        <v>62</v>
      </c>
      <c r="H12" s="4">
        <v>75</v>
      </c>
      <c r="I12" s="4" t="s">
        <v>56</v>
      </c>
      <c r="J12" s="6">
        <f>IF(A12="","",COUNTIF(RacePerformance!$F:$F,A12))</f>
        <v>0</v>
      </c>
      <c r="K12" s="6" t="str">
        <f>IF(A12="","",IFERROR(AVERAGEIF(RacePerformance!$F:$F,A12,RacePerformance!$I:$I),""))</f>
        <v/>
      </c>
      <c r="L12" s="6" t="str">
        <f>IF(A12="","",IFERROR(AVERAGEIF(RacePerformance!$F:$F,A12,RacePerformance!$J:$J),""))</f>
        <v/>
      </c>
      <c r="M12" s="6" t="str">
        <f>IF(A12="","",IFERROR(AVERAGEIF(RacePerformance!$F:$F,A12,RacePerformance!$K:$K),""))</f>
        <v/>
      </c>
      <c r="N12" s="6">
        <f>IF(A12="","",COUNTIFS(RacePerformance!$F:$F,A12,RacePerformance!$I:$I,"&lt;=20"))</f>
        <v>0</v>
      </c>
      <c r="O12" s="6">
        <f>IF(A12="","",COUNTIFS(RacePerformance!$F:$F,A12,RacePerformance!$I:$I,1))</f>
        <v>0</v>
      </c>
      <c r="P12" s="6">
        <f>IF(A12="","",COUNTIFS(RacePerformance!$F:$F,A12,RacePerformance!$J:$J,"&lt;=3"))</f>
        <v>0</v>
      </c>
      <c r="R12" s="6">
        <v>536</v>
      </c>
    </row>
    <row r="13" spans="1:18" ht="14.25" customHeight="1" x14ac:dyDescent="0.3">
      <c r="A13" s="8" t="s">
        <v>15</v>
      </c>
      <c r="B13" s="4">
        <v>533</v>
      </c>
      <c r="C13" s="4">
        <v>2</v>
      </c>
      <c r="D13" s="9">
        <v>45903</v>
      </c>
      <c r="E13" s="4"/>
      <c r="F13" s="4" t="s">
        <v>61</v>
      </c>
      <c r="G13" s="4" t="s">
        <v>62</v>
      </c>
      <c r="H13" s="4">
        <v>90</v>
      </c>
      <c r="I13" s="4" t="s">
        <v>52</v>
      </c>
      <c r="J13" s="6">
        <f>IF(A13="","",COUNTIF(RacePerformance!$F:$F,A13))</f>
        <v>2</v>
      </c>
      <c r="K13" s="6">
        <f>IF(A13="","",IFERROR(AVERAGEIF(RacePerformance!$F:$F,A13,RacePerformance!$I:$I),""))</f>
        <v>49.5</v>
      </c>
      <c r="L13" s="6">
        <f>IF(A13="","",IFERROR(AVERAGEIF(RacePerformance!$F:$F,A13,RacePerformance!$J:$J),""))</f>
        <v>6</v>
      </c>
      <c r="M13" s="7">
        <f>IF(A13="","",IFERROR(AVERAGEIF(RacePerformance!$F:$F,A13,RacePerformance!$K:$K),""))</f>
        <v>0.65702929197994986</v>
      </c>
      <c r="N13" s="6">
        <f>IF(A13="","",COUNTIFS(RacePerformance!$F:$F,A13,RacePerformance!$I:$I,"&lt;=20"))</f>
        <v>1</v>
      </c>
      <c r="O13" s="6">
        <f>IF(A13="","",COUNTIFS(RacePerformance!$F:$F,A13,RacePerformance!$I:$I,1))</f>
        <v>0</v>
      </c>
      <c r="P13" s="6">
        <f>IF(A13="","",COUNTIFS(RacePerformance!$F:$F,A13,RacePerformance!$J:$J,"&lt;=3"))</f>
        <v>1</v>
      </c>
      <c r="R13" s="6">
        <v>537</v>
      </c>
    </row>
    <row r="14" spans="1:18" ht="14.25" customHeight="1" x14ac:dyDescent="0.3">
      <c r="A14" s="8" t="s">
        <v>65</v>
      </c>
      <c r="B14" s="4">
        <v>543</v>
      </c>
      <c r="C14" s="4">
        <v>3</v>
      </c>
      <c r="D14" s="9">
        <v>45937</v>
      </c>
      <c r="E14" s="4"/>
      <c r="F14" s="4" t="s">
        <v>61</v>
      </c>
      <c r="G14" s="4" t="s">
        <v>62</v>
      </c>
      <c r="H14" s="4">
        <v>75</v>
      </c>
      <c r="I14" s="4" t="s">
        <v>56</v>
      </c>
      <c r="J14" s="6">
        <f>IF(A14="","",COUNTIF(RacePerformance!$F:$F,A14))</f>
        <v>0</v>
      </c>
      <c r="K14" s="6" t="str">
        <f>IF(A14="","",IFERROR(AVERAGEIF(RacePerformance!$F:$F,A14,RacePerformance!$I:$I),""))</f>
        <v/>
      </c>
      <c r="L14" s="6" t="str">
        <f>IF(A14="","",IFERROR(AVERAGEIF(RacePerformance!$F:$F,A14,RacePerformance!$J:$J),""))</f>
        <v/>
      </c>
      <c r="M14" s="6" t="str">
        <f>IF(A14="","",IFERROR(AVERAGEIF(RacePerformance!$F:$F,A14,RacePerformance!$K:$K),""))</f>
        <v/>
      </c>
      <c r="N14" s="6">
        <f>IF(A14="","",COUNTIFS(RacePerformance!$F:$F,A14,RacePerformance!$I:$I,"&lt;=20"))</f>
        <v>0</v>
      </c>
      <c r="O14" s="6">
        <f>IF(A14="","",COUNTIFS(RacePerformance!$F:$F,A14,RacePerformance!$I:$I,1))</f>
        <v>0</v>
      </c>
      <c r="P14" s="6">
        <f>IF(A14="","",COUNTIFS(RacePerformance!$F:$F,A14,RacePerformance!$J:$J,"&lt;=3"))</f>
        <v>0</v>
      </c>
      <c r="R14" s="6">
        <v>538</v>
      </c>
    </row>
    <row r="15" spans="1:18" ht="14.25" customHeight="1" x14ac:dyDescent="0.3">
      <c r="A15" s="8" t="s">
        <v>66</v>
      </c>
      <c r="B15" s="4">
        <v>553</v>
      </c>
      <c r="C15" s="4">
        <v>3</v>
      </c>
      <c r="D15" s="9">
        <v>45937</v>
      </c>
      <c r="E15" s="4"/>
      <c r="F15" s="4" t="s">
        <v>61</v>
      </c>
      <c r="G15" s="4" t="s">
        <v>62</v>
      </c>
      <c r="H15" s="4">
        <v>85</v>
      </c>
      <c r="I15" s="4" t="s">
        <v>56</v>
      </c>
      <c r="J15" s="6">
        <f>IF(A15="","",COUNTIF(RacePerformance!$F:$F,A15))</f>
        <v>0</v>
      </c>
      <c r="K15" s="6" t="str">
        <f>IF(A15="","",IFERROR(AVERAGEIF(RacePerformance!$F:$F,A15,RacePerformance!$I:$I),""))</f>
        <v/>
      </c>
      <c r="L15" s="6" t="str">
        <f>IF(A15="","",IFERROR(AVERAGEIF(RacePerformance!$F:$F,A15,RacePerformance!$J:$J),""))</f>
        <v/>
      </c>
      <c r="M15" s="6" t="str">
        <f>IF(A15="","",IFERROR(AVERAGEIF(RacePerformance!$F:$F,A15,RacePerformance!$K:$K),""))</f>
        <v/>
      </c>
      <c r="N15" s="6">
        <f>IF(A15="","",COUNTIFS(RacePerformance!$F:$F,A15,RacePerformance!$I:$I,"&lt;=20"))</f>
        <v>0</v>
      </c>
      <c r="O15" s="6">
        <f>IF(A15="","",COUNTIFS(RacePerformance!$F:$F,A15,RacePerformance!$I:$I,1))</f>
        <v>0</v>
      </c>
      <c r="P15" s="6">
        <f>IF(A15="","",COUNTIFS(RacePerformance!$F:$F,A15,RacePerformance!$J:$J,"&lt;=3"))</f>
        <v>0</v>
      </c>
      <c r="R15" s="6">
        <v>540</v>
      </c>
    </row>
    <row r="16" spans="1:18" ht="14.25" customHeight="1" x14ac:dyDescent="0.3">
      <c r="A16" s="8" t="s">
        <v>67</v>
      </c>
      <c r="B16" s="4">
        <v>563</v>
      </c>
      <c r="C16" s="4">
        <v>4</v>
      </c>
      <c r="D16" s="9">
        <v>45967</v>
      </c>
      <c r="E16" s="4" t="s">
        <v>52</v>
      </c>
      <c r="F16" s="4" t="s">
        <v>61</v>
      </c>
      <c r="G16" s="4" t="s">
        <v>62</v>
      </c>
      <c r="H16" s="4">
        <v>70</v>
      </c>
      <c r="I16" s="4" t="s">
        <v>56</v>
      </c>
      <c r="J16" s="6">
        <f>IF(A16="","",COUNTIF(RacePerformance!$F:$F,A16))</f>
        <v>0</v>
      </c>
      <c r="K16" s="6" t="str">
        <f>IF(A16="","",IFERROR(AVERAGEIF(RacePerformance!$F:$F,A16,RacePerformance!$I:$I),""))</f>
        <v/>
      </c>
      <c r="L16" s="6" t="str">
        <f>IF(A16="","",IFERROR(AVERAGEIF(RacePerformance!$F:$F,A16,RacePerformance!$J:$J),""))</f>
        <v/>
      </c>
      <c r="M16" s="6" t="str">
        <f>IF(A16="","",IFERROR(AVERAGEIF(RacePerformance!$F:$F,A16,RacePerformance!$K:$K),""))</f>
        <v/>
      </c>
      <c r="N16" s="6">
        <f>IF(A16="","",COUNTIFS(RacePerformance!$F:$F,A16,RacePerformance!$I:$I,"&lt;=20"))</f>
        <v>0</v>
      </c>
      <c r="O16" s="6">
        <f>IF(A16="","",COUNTIFS(RacePerformance!$F:$F,A16,RacePerformance!$I:$I,1))</f>
        <v>0</v>
      </c>
      <c r="P16" s="6">
        <f>IF(A16="","",COUNTIFS(RacePerformance!$F:$F,A16,RacePerformance!$J:$J,"&lt;=3"))</f>
        <v>0</v>
      </c>
      <c r="R16" s="6">
        <v>546</v>
      </c>
    </row>
    <row r="17" spans="1:18" ht="14.25" customHeight="1" x14ac:dyDescent="0.3">
      <c r="A17" s="8" t="s">
        <v>68</v>
      </c>
      <c r="B17" s="4">
        <v>505</v>
      </c>
      <c r="C17" s="4">
        <v>1</v>
      </c>
      <c r="D17" s="9">
        <v>45843</v>
      </c>
      <c r="E17" s="4" t="s">
        <v>52</v>
      </c>
      <c r="F17" s="4" t="s">
        <v>69</v>
      </c>
      <c r="G17" s="4" t="s">
        <v>51</v>
      </c>
      <c r="H17" s="4">
        <v>85</v>
      </c>
      <c r="I17" s="4" t="s">
        <v>56</v>
      </c>
      <c r="J17" s="6">
        <f>IF(A17="","",COUNTIF(RacePerformance!$F:$F,A17))</f>
        <v>0</v>
      </c>
      <c r="K17" s="6" t="str">
        <f>IF(A17="","",IFERROR(AVERAGEIF(RacePerformance!$F:$F,A17,RacePerformance!$I:$I),""))</f>
        <v/>
      </c>
      <c r="L17" s="6" t="str">
        <f>IF(A17="","",IFERROR(AVERAGEIF(RacePerformance!$F:$F,A17,RacePerformance!$J:$J),""))</f>
        <v/>
      </c>
      <c r="M17" s="6" t="str">
        <f>IF(A17="","",IFERROR(AVERAGEIF(RacePerformance!$F:$F,A17,RacePerformance!$K:$K),""))</f>
        <v/>
      </c>
      <c r="N17" s="6">
        <f>IF(A17="","",COUNTIFS(RacePerformance!$F:$F,A17,RacePerformance!$I:$I,"&lt;=20"))</f>
        <v>0</v>
      </c>
      <c r="O17" s="6">
        <f>IF(A17="","",COUNTIFS(RacePerformance!$F:$F,A17,RacePerformance!$I:$I,1))</f>
        <v>0</v>
      </c>
      <c r="P17" s="6">
        <f>IF(A17="","",COUNTIFS(RacePerformance!$F:$F,A17,RacePerformance!$J:$J,"&lt;=3"))</f>
        <v>0</v>
      </c>
      <c r="R17" s="6">
        <v>548</v>
      </c>
    </row>
    <row r="18" spans="1:18" ht="14.25" customHeight="1" x14ac:dyDescent="0.3">
      <c r="A18" s="8" t="s">
        <v>70</v>
      </c>
      <c r="B18" s="4">
        <v>515</v>
      </c>
      <c r="C18" s="4">
        <v>2</v>
      </c>
      <c r="D18" s="9">
        <v>45918</v>
      </c>
      <c r="E18" s="4" t="s">
        <v>52</v>
      </c>
      <c r="F18" s="4" t="s">
        <v>69</v>
      </c>
      <c r="G18" s="4" t="s">
        <v>71</v>
      </c>
      <c r="H18" s="4"/>
      <c r="I18" s="4" t="s">
        <v>56</v>
      </c>
      <c r="J18" s="6">
        <f>IF(A18="","",COUNTIF(RacePerformance!$F:$F,A18))</f>
        <v>0</v>
      </c>
      <c r="K18" s="6" t="str">
        <f>IF(A18="","",IFERROR(AVERAGEIF(RacePerformance!$F:$F,A18,RacePerformance!$I:$I),""))</f>
        <v/>
      </c>
      <c r="L18" s="6" t="str">
        <f>IF(A18="","",IFERROR(AVERAGEIF(RacePerformance!$F:$F,A18,RacePerformance!$J:$J),""))</f>
        <v/>
      </c>
      <c r="M18" s="6" t="str">
        <f>IF(A18="","",IFERROR(AVERAGEIF(RacePerformance!$F:$F,A18,RacePerformance!$K:$K),""))</f>
        <v/>
      </c>
      <c r="N18" s="6">
        <f>IF(A18="","",COUNTIFS(RacePerformance!$F:$F,A18,RacePerformance!$I:$I,"&lt;=20"))</f>
        <v>0</v>
      </c>
      <c r="O18" s="6">
        <f>IF(A18="","",COUNTIFS(RacePerformance!$F:$F,A18,RacePerformance!$I:$I,1))</f>
        <v>0</v>
      </c>
      <c r="P18" s="6">
        <f>IF(A18="","",COUNTIFS(RacePerformance!$F:$F,A18,RacePerformance!$J:$J,"&lt;=3"))</f>
        <v>0</v>
      </c>
      <c r="R18" s="6">
        <v>556</v>
      </c>
    </row>
    <row r="19" spans="1:18" ht="14.25" customHeight="1" x14ac:dyDescent="0.3">
      <c r="A19" s="8" t="s">
        <v>72</v>
      </c>
      <c r="B19" s="10">
        <v>525</v>
      </c>
      <c r="C19" s="4">
        <v>2</v>
      </c>
      <c r="D19" s="9">
        <v>45918</v>
      </c>
      <c r="E19" s="4" t="s">
        <v>52</v>
      </c>
      <c r="F19" s="4" t="s">
        <v>69</v>
      </c>
      <c r="G19" s="4" t="s">
        <v>71</v>
      </c>
      <c r="H19" s="4">
        <v>80</v>
      </c>
      <c r="I19" s="4" t="s">
        <v>52</v>
      </c>
      <c r="J19" s="6">
        <f>IF(A19="","",COUNTIF(RacePerformance!$F:$F,A19))</f>
        <v>0</v>
      </c>
      <c r="K19" s="6" t="str">
        <f>IF(A19="","",IFERROR(AVERAGEIF(RacePerformance!$F:$F,A19,RacePerformance!$I:$I),""))</f>
        <v/>
      </c>
      <c r="L19" s="6" t="str">
        <f>IF(A19="","",IFERROR(AVERAGEIF(RacePerformance!$F:$F,A19,RacePerformance!$J:$J),""))</f>
        <v/>
      </c>
      <c r="M19" s="6" t="str">
        <f>IF(A19="","",IFERROR(AVERAGEIF(RacePerformance!$F:$F,A19,RacePerformance!$K:$K),""))</f>
        <v/>
      </c>
      <c r="N19" s="6">
        <f>IF(A19="","",COUNTIFS(RacePerformance!$F:$F,A19,RacePerformance!$I:$I,"&lt;=20"))</f>
        <v>0</v>
      </c>
      <c r="O19" s="6">
        <f>IF(A19="","",COUNTIFS(RacePerformance!$F:$F,A19,RacePerformance!$I:$I,1))</f>
        <v>0</v>
      </c>
      <c r="P19" s="6">
        <f>IF(A19="","",COUNTIFS(RacePerformance!$F:$F,A19,RacePerformance!$J:$J,"&lt;=3"))</f>
        <v>0</v>
      </c>
    </row>
    <row r="20" spans="1:18" ht="14.25" customHeight="1" x14ac:dyDescent="0.3">
      <c r="A20" s="8" t="s">
        <v>73</v>
      </c>
      <c r="B20" s="10">
        <v>526</v>
      </c>
      <c r="C20" s="4">
        <v>2</v>
      </c>
      <c r="D20" s="9">
        <v>45925</v>
      </c>
      <c r="E20" s="4"/>
      <c r="F20" s="4" t="s">
        <v>74</v>
      </c>
      <c r="G20" s="4" t="s">
        <v>75</v>
      </c>
      <c r="H20" s="4">
        <v>90</v>
      </c>
      <c r="I20" s="4" t="s">
        <v>56</v>
      </c>
      <c r="J20" s="6">
        <f>IF(A20="","",COUNTIF(RacePerformance!$F:$F,A20))</f>
        <v>0</v>
      </c>
      <c r="K20" s="6" t="str">
        <f>IF(A20="","",IFERROR(AVERAGEIF(RacePerformance!$F:$F,A20,RacePerformance!$I:$I),""))</f>
        <v/>
      </c>
      <c r="L20" s="6" t="str">
        <f>IF(A20="","",IFERROR(AVERAGEIF(RacePerformance!$F:$F,A20,RacePerformance!$J:$J),""))</f>
        <v/>
      </c>
      <c r="M20" s="6" t="str">
        <f>IF(A20="","",IFERROR(AVERAGEIF(RacePerformance!$F:$F,A20,RacePerformance!$K:$K),""))</f>
        <v/>
      </c>
      <c r="N20" s="6">
        <f>IF(A20="","",COUNTIFS(RacePerformance!$F:$F,A20,RacePerformance!$I:$I,"&lt;=20"))</f>
        <v>0</v>
      </c>
      <c r="O20" s="6">
        <f>IF(A20="","",COUNTIFS(RacePerformance!$F:$F,A20,RacePerformance!$I:$I,1))</f>
        <v>0</v>
      </c>
      <c r="P20" s="6">
        <f>IF(A20="","",COUNTIFS(RacePerformance!$F:$F,A20,RacePerformance!$J:$J,"&lt;=3"))</f>
        <v>0</v>
      </c>
    </row>
    <row r="21" spans="1:18" ht="14.25" customHeight="1" x14ac:dyDescent="0.3">
      <c r="A21" s="8" t="s">
        <v>76</v>
      </c>
      <c r="B21" s="4">
        <v>506</v>
      </c>
      <c r="C21" s="4">
        <v>1</v>
      </c>
      <c r="D21" s="9">
        <v>45868</v>
      </c>
      <c r="E21" s="4"/>
      <c r="F21" s="4" t="s">
        <v>74</v>
      </c>
      <c r="G21" s="4" t="s">
        <v>75</v>
      </c>
      <c r="H21" s="4">
        <v>85</v>
      </c>
      <c r="I21" s="4" t="s">
        <v>52</v>
      </c>
      <c r="J21" s="6">
        <f>IF(A21="","",COUNTIF(RacePerformance!$F:$F,A21))</f>
        <v>0</v>
      </c>
      <c r="K21" s="6" t="str">
        <f>IF(A21="","",IFERROR(AVERAGEIF(RacePerformance!$F:$F,A21,RacePerformance!$I:$I),""))</f>
        <v/>
      </c>
      <c r="L21" s="6" t="str">
        <f>IF(A21="","",IFERROR(AVERAGEIF(RacePerformance!$F:$F,A21,RacePerformance!$J:$J),""))</f>
        <v/>
      </c>
      <c r="M21" s="7" t="str">
        <f>IF(A21="","",IFERROR(AVERAGEIF(RacePerformance!$F:$F,A21,RacePerformance!$K:$K),""))</f>
        <v/>
      </c>
      <c r="N21" s="6">
        <f>IF(A21="","",COUNTIFS(RacePerformance!$F:$F,A21,RacePerformance!$I:$I,"&lt;=20"))</f>
        <v>0</v>
      </c>
      <c r="O21" s="6">
        <f>IF(A21="","",COUNTIFS(RacePerformance!$F:$F,A21,RacePerformance!$I:$I,1))</f>
        <v>0</v>
      </c>
      <c r="P21" s="6">
        <f>IF(A21="","",COUNTIFS(RacePerformance!$F:$F,A21,RacePerformance!$J:$J,"&lt;=3"))</f>
        <v>0</v>
      </c>
    </row>
    <row r="22" spans="1:18" ht="14.25" customHeight="1" x14ac:dyDescent="0.3">
      <c r="A22" s="8" t="s">
        <v>77</v>
      </c>
      <c r="B22" s="4">
        <v>516</v>
      </c>
      <c r="C22" s="4">
        <v>1</v>
      </c>
      <c r="D22" s="9">
        <v>45868</v>
      </c>
      <c r="E22" s="4"/>
      <c r="F22" s="4" t="s">
        <v>74</v>
      </c>
      <c r="G22" s="4" t="s">
        <v>75</v>
      </c>
      <c r="H22" s="4">
        <v>85</v>
      </c>
      <c r="I22" s="4" t="s">
        <v>52</v>
      </c>
      <c r="J22" s="6">
        <f>IF(A22="","",COUNTIF(RacePerformance!$F:$F,A22))</f>
        <v>0</v>
      </c>
      <c r="K22" s="6" t="str">
        <f>IF(A22="","",IFERROR(AVERAGEIF(RacePerformance!$F:$F,A22,RacePerformance!$I:$I),""))</f>
        <v/>
      </c>
      <c r="L22" s="6" t="str">
        <f>IF(A22="","",IFERROR(AVERAGEIF(RacePerformance!$F:$F,A22,RacePerformance!$J:$J),""))</f>
        <v/>
      </c>
      <c r="M22" s="7" t="str">
        <f>IF(A22="","",IFERROR(AVERAGEIF(RacePerformance!$F:$F,A22,RacePerformance!$K:$K),""))</f>
        <v/>
      </c>
      <c r="N22" s="6">
        <f>IF(A22="","",COUNTIFS(RacePerformance!$F:$F,A22,RacePerformance!$I:$I,"&lt;=20"))</f>
        <v>0</v>
      </c>
      <c r="O22" s="6">
        <f>IF(A22="","",COUNTIFS(RacePerformance!$F:$F,A22,RacePerformance!$I:$I,1))</f>
        <v>0</v>
      </c>
      <c r="P22" s="6">
        <f>IF(A22="","",COUNTIFS(RacePerformance!$F:$F,A22,RacePerformance!$J:$J,"&lt;=3"))</f>
        <v>0</v>
      </c>
    </row>
    <row r="23" spans="1:18" ht="14.25" customHeight="1" x14ac:dyDescent="0.3">
      <c r="A23" s="8" t="s">
        <v>28</v>
      </c>
      <c r="B23" s="4">
        <v>536</v>
      </c>
      <c r="C23" s="4">
        <v>2</v>
      </c>
      <c r="D23" s="9">
        <v>45925</v>
      </c>
      <c r="E23" s="4"/>
      <c r="F23" s="4" t="s">
        <v>74</v>
      </c>
      <c r="G23" s="4" t="s">
        <v>75</v>
      </c>
      <c r="H23" s="4">
        <v>85</v>
      </c>
      <c r="I23" s="4" t="s">
        <v>52</v>
      </c>
      <c r="J23" s="6">
        <f>IF(A23="","",COUNTIF(RacePerformance!$F:$F,A23))</f>
        <v>2</v>
      </c>
      <c r="K23" s="6">
        <f>IF(A23="","",IFERROR(AVERAGEIF(RacePerformance!$F:$F,A23,RacePerformance!$I:$I),""))</f>
        <v>86.5</v>
      </c>
      <c r="L23" s="6">
        <f>IF(A23="","",IFERROR(AVERAGEIF(RacePerformance!$F:$F,A23,RacePerformance!$J:$J),""))</f>
        <v>10</v>
      </c>
      <c r="M23" s="7">
        <f>IF(A23="","",IFERROR(AVERAGEIF(RacePerformance!$F:$F,A23,RacePerformance!$K:$K),""))</f>
        <v>0.39982020268061458</v>
      </c>
      <c r="N23" s="6">
        <f>IF(A23="","",COUNTIFS(RacePerformance!$F:$F,A23,RacePerformance!$I:$I,"&lt;=20"))</f>
        <v>0</v>
      </c>
      <c r="O23" s="6">
        <f>IF(A23="","",COUNTIFS(RacePerformance!$F:$F,A23,RacePerformance!$I:$I,1))</f>
        <v>0</v>
      </c>
      <c r="P23" s="6">
        <f>IF(A23="","",COUNTIFS(RacePerformance!$F:$F,A23,RacePerformance!$J:$J,"&lt;=3"))</f>
        <v>0</v>
      </c>
    </row>
    <row r="24" spans="1:18" ht="14.25" customHeight="1" x14ac:dyDescent="0.3">
      <c r="A24" s="8" t="s">
        <v>78</v>
      </c>
      <c r="B24" s="4">
        <v>546</v>
      </c>
      <c r="C24" s="4">
        <v>3</v>
      </c>
      <c r="D24" s="9">
        <v>45966</v>
      </c>
      <c r="E24" s="4"/>
      <c r="F24" s="4" t="s">
        <v>74</v>
      </c>
      <c r="G24" s="4" t="s">
        <v>75</v>
      </c>
      <c r="H24" s="4">
        <v>75</v>
      </c>
      <c r="I24" s="4" t="s">
        <v>52</v>
      </c>
      <c r="J24" s="6">
        <f>IF(A24="","",COUNTIF(RacePerformance!$F:$F,A24))</f>
        <v>0</v>
      </c>
      <c r="K24" s="6" t="str">
        <f>IF(A24="","",IFERROR(AVERAGEIF(RacePerformance!$F:$F,A24,RacePerformance!$I:$I),""))</f>
        <v/>
      </c>
      <c r="L24" s="6" t="str">
        <f>IF(A24="","",IFERROR(AVERAGEIF(RacePerformance!$F:$F,A24,RacePerformance!$J:$J),""))</f>
        <v/>
      </c>
      <c r="M24" s="7" t="str">
        <f>IF(A24="","",IFERROR(AVERAGEIF(RacePerformance!$F:$F,A24,RacePerformance!$K:$K),""))</f>
        <v/>
      </c>
      <c r="N24" s="6">
        <f>IF(A24="","",COUNTIFS(RacePerformance!$F:$F,A24,RacePerformance!$I:$I,"&lt;=20"))</f>
        <v>0</v>
      </c>
      <c r="O24" s="6">
        <f>IF(A24="","",COUNTIFS(RacePerformance!$F:$F,A24,RacePerformance!$I:$I,1))</f>
        <v>0</v>
      </c>
      <c r="P24" s="6">
        <f>IF(A24="","",COUNTIFS(RacePerformance!$F:$F,A24,RacePerformance!$J:$J,"&lt;=3"))</f>
        <v>0</v>
      </c>
    </row>
    <row r="25" spans="1:18" ht="14.25" customHeight="1" x14ac:dyDescent="0.3">
      <c r="A25" s="8" t="s">
        <v>79</v>
      </c>
      <c r="B25" s="4">
        <v>556</v>
      </c>
      <c r="C25" s="4">
        <v>3</v>
      </c>
      <c r="D25" s="9">
        <v>45966</v>
      </c>
      <c r="E25" s="4"/>
      <c r="F25" s="4" t="s">
        <v>74</v>
      </c>
      <c r="G25" s="4" t="s">
        <v>75</v>
      </c>
      <c r="H25" s="4">
        <v>85</v>
      </c>
      <c r="I25" s="4" t="s">
        <v>52</v>
      </c>
      <c r="J25" s="6">
        <f>IF(A25="","",COUNTIF(RacePerformance!$F:$F,A25))</f>
        <v>0</v>
      </c>
      <c r="K25" s="6" t="str">
        <f>IF(A25="","",IFERROR(AVERAGEIF(RacePerformance!$F:$F,A25,RacePerformance!$I:$I),""))</f>
        <v/>
      </c>
      <c r="L25" s="6" t="str">
        <f>IF(A25="","",IFERROR(AVERAGEIF(RacePerformance!$F:$F,A25,RacePerformance!$J:$J),""))</f>
        <v/>
      </c>
      <c r="M25" s="7" t="str">
        <f>IF(A25="","",IFERROR(AVERAGEIF(RacePerformance!$F:$F,A25,RacePerformance!$K:$K),""))</f>
        <v/>
      </c>
      <c r="N25" s="6">
        <f>IF(A25="","",COUNTIFS(RacePerformance!$F:$F,A25,RacePerformance!$I:$I,"&lt;=20"))</f>
        <v>0</v>
      </c>
      <c r="O25" s="6">
        <f>IF(A25="","",COUNTIFS(RacePerformance!$F:$F,A25,RacePerformance!$I:$I,1))</f>
        <v>0</v>
      </c>
      <c r="P25" s="6">
        <f>IF(A25="","",COUNTIFS(RacePerformance!$F:$F,A25,RacePerformance!$J:$J,"&lt;=3"))</f>
        <v>0</v>
      </c>
    </row>
    <row r="26" spans="1:18" ht="14.25" customHeight="1" x14ac:dyDescent="0.3">
      <c r="A26" s="8" t="s">
        <v>80</v>
      </c>
      <c r="B26" s="4">
        <v>508</v>
      </c>
      <c r="C26" s="4">
        <v>1</v>
      </c>
      <c r="D26" s="9">
        <v>45843</v>
      </c>
      <c r="E26" s="4"/>
      <c r="F26" s="4" t="s">
        <v>81</v>
      </c>
      <c r="G26" s="4" t="s">
        <v>82</v>
      </c>
      <c r="H26" s="4">
        <v>85</v>
      </c>
      <c r="I26" s="4" t="s">
        <v>56</v>
      </c>
      <c r="J26" s="6">
        <f>IF(A26="","",COUNTIF(RacePerformance!$F:$F,A26))</f>
        <v>0</v>
      </c>
      <c r="K26" s="6" t="str">
        <f>IF(A26="","",IFERROR(AVERAGEIF(RacePerformance!$F:$F,A26,RacePerformance!$I:$I),""))</f>
        <v/>
      </c>
      <c r="L26" s="6" t="str">
        <f>IF(A26="","",IFERROR(AVERAGEIF(RacePerformance!$F:$F,A26,RacePerformance!$J:$J),""))</f>
        <v/>
      </c>
      <c r="M26" s="6" t="str">
        <f>IF(A26="","",IFERROR(AVERAGEIF(RacePerformance!$F:$F,A26,RacePerformance!$K:$K),""))</f>
        <v/>
      </c>
      <c r="N26" s="6">
        <f>IF(A26="","",COUNTIFS(RacePerformance!$F:$F,A26,RacePerformance!$I:$I,"&lt;=20"))</f>
        <v>0</v>
      </c>
      <c r="O26" s="6">
        <f>IF(A26="","",COUNTIFS(RacePerformance!$F:$F,A26,RacePerformance!$I:$I,1))</f>
        <v>0</v>
      </c>
      <c r="P26" s="6">
        <f>IF(A26="","",COUNTIFS(RacePerformance!$F:$F,A26,RacePerformance!$J:$J,"&lt;=3"))</f>
        <v>0</v>
      </c>
    </row>
    <row r="27" spans="1:18" ht="14.25" customHeight="1" x14ac:dyDescent="0.3">
      <c r="A27" s="8" t="s">
        <v>83</v>
      </c>
      <c r="B27" s="4">
        <v>518</v>
      </c>
      <c r="C27" s="4">
        <v>1</v>
      </c>
      <c r="D27" s="9">
        <v>45843</v>
      </c>
      <c r="E27" s="4"/>
      <c r="F27" s="4" t="s">
        <v>81</v>
      </c>
      <c r="G27" s="4" t="s">
        <v>82</v>
      </c>
      <c r="H27" s="4">
        <v>90</v>
      </c>
      <c r="I27" s="4" t="s">
        <v>56</v>
      </c>
      <c r="J27" s="6">
        <f>IF(A27="","",COUNTIF(RacePerformance!$F:$F,A27))</f>
        <v>0</v>
      </c>
      <c r="K27" s="6" t="str">
        <f>IF(A27="","",IFERROR(AVERAGEIF(RacePerformance!$F:$F,A27,RacePerformance!$I:$I),""))</f>
        <v/>
      </c>
      <c r="L27" s="6" t="str">
        <f>IF(A27="","",IFERROR(AVERAGEIF(RacePerformance!$F:$F,A27,RacePerformance!$J:$J),""))</f>
        <v/>
      </c>
      <c r="M27" s="6" t="str">
        <f>IF(A27="","",IFERROR(AVERAGEIF(RacePerformance!$F:$F,A27,RacePerformance!$K:$K),""))</f>
        <v/>
      </c>
      <c r="N27" s="6">
        <f>IF(A27="","",COUNTIFS(RacePerformance!$F:$F,A27,RacePerformance!$I:$I,"&lt;=20"))</f>
        <v>0</v>
      </c>
      <c r="O27" s="6">
        <f>IF(A27="","",COUNTIFS(RacePerformance!$F:$F,A27,RacePerformance!$I:$I,1))</f>
        <v>0</v>
      </c>
      <c r="P27" s="6">
        <f>IF(A27="","",COUNTIFS(RacePerformance!$F:$F,A27,RacePerformance!$J:$J,"&lt;=3"))</f>
        <v>0</v>
      </c>
    </row>
    <row r="28" spans="1:18" ht="14.25" customHeight="1" x14ac:dyDescent="0.3">
      <c r="A28" s="8" t="s">
        <v>84</v>
      </c>
      <c r="B28" s="4">
        <v>528</v>
      </c>
      <c r="C28" s="4">
        <v>2</v>
      </c>
      <c r="D28" s="9">
        <v>45925</v>
      </c>
      <c r="E28" s="4" t="s">
        <v>52</v>
      </c>
      <c r="F28" s="4" t="s">
        <v>81</v>
      </c>
      <c r="G28" s="4" t="s">
        <v>82</v>
      </c>
      <c r="H28" s="4">
        <v>85</v>
      </c>
      <c r="I28" s="4" t="s">
        <v>52</v>
      </c>
      <c r="J28" s="6">
        <f>IF(A28="","",COUNTIF(RacePerformance!$F:$F,A28))</f>
        <v>0</v>
      </c>
      <c r="K28" s="6" t="str">
        <f>IF(A28="","",IFERROR(AVERAGEIF(RacePerformance!$F:$F,A28,RacePerformance!$I:$I),""))</f>
        <v/>
      </c>
      <c r="L28" s="6" t="str">
        <f>IF(A28="","",IFERROR(AVERAGEIF(RacePerformance!$F:$F,A28,RacePerformance!$J:$J),""))</f>
        <v/>
      </c>
      <c r="M28" s="7" t="str">
        <f>IF(A28="","",IFERROR(AVERAGEIF(RacePerformance!$F:$F,A28,RacePerformance!$K:$K),""))</f>
        <v/>
      </c>
      <c r="N28" s="6">
        <f>IF(A28="","",COUNTIFS(RacePerformance!$F:$F,A28,RacePerformance!$I:$I,"&lt;=20"))</f>
        <v>0</v>
      </c>
      <c r="O28" s="6">
        <f>IF(A28="","",COUNTIFS(RacePerformance!$F:$F,A28,RacePerformance!$I:$I,1))</f>
        <v>0</v>
      </c>
      <c r="P28" s="6">
        <f>IF(A28="","",COUNTIFS(RacePerformance!$F:$F,A28,RacePerformance!$J:$J,"&lt;=3"))</f>
        <v>0</v>
      </c>
    </row>
    <row r="29" spans="1:18" ht="14.25" customHeight="1" x14ac:dyDescent="0.3">
      <c r="A29" s="8" t="s">
        <v>85</v>
      </c>
      <c r="B29" s="4">
        <v>538</v>
      </c>
      <c r="C29" s="4">
        <v>2</v>
      </c>
      <c r="D29" s="9">
        <v>45925</v>
      </c>
      <c r="E29" s="4" t="s">
        <v>52</v>
      </c>
      <c r="F29" s="4" t="s">
        <v>81</v>
      </c>
      <c r="G29" s="4" t="s">
        <v>82</v>
      </c>
      <c r="H29" s="4">
        <v>85</v>
      </c>
      <c r="I29" s="4" t="s">
        <v>52</v>
      </c>
      <c r="J29" s="6">
        <f>IF(A29="","",COUNTIF(RacePerformance!$F:$F,A29))</f>
        <v>0</v>
      </c>
      <c r="K29" s="6" t="str">
        <f>IF(A29="","",IFERROR(AVERAGEIF(RacePerformance!$F:$F,A29,RacePerformance!$I:$I),""))</f>
        <v/>
      </c>
      <c r="L29" s="6" t="str">
        <f>IF(A29="","",IFERROR(AVERAGEIF(RacePerformance!$F:$F,A29,RacePerformance!$J:$J),""))</f>
        <v/>
      </c>
      <c r="M29" s="7" t="str">
        <f>IF(A29="","",IFERROR(AVERAGEIF(RacePerformance!$F:$F,A29,RacePerformance!$K:$K),""))</f>
        <v/>
      </c>
      <c r="N29" s="6">
        <f>IF(A29="","",COUNTIFS(RacePerformance!$F:$F,A29,RacePerformance!$I:$I,"&lt;=20"))</f>
        <v>0</v>
      </c>
      <c r="O29" s="6">
        <f>IF(A29="","",COUNTIFS(RacePerformance!$F:$F,A29,RacePerformance!$I:$I,1))</f>
        <v>0</v>
      </c>
      <c r="P29" s="6">
        <f>IF(A29="","",COUNTIFS(RacePerformance!$F:$F,A29,RacePerformance!$J:$J,"&lt;=3"))</f>
        <v>0</v>
      </c>
    </row>
    <row r="30" spans="1:18" ht="14.25" customHeight="1" x14ac:dyDescent="0.3">
      <c r="A30" s="8" t="s">
        <v>21</v>
      </c>
      <c r="B30" s="4">
        <v>548</v>
      </c>
      <c r="C30" s="4">
        <v>3</v>
      </c>
      <c r="D30" s="9">
        <v>45945</v>
      </c>
      <c r="E30" s="4" t="s">
        <v>52</v>
      </c>
      <c r="F30" s="4" t="s">
        <v>81</v>
      </c>
      <c r="G30" s="4" t="s">
        <v>82</v>
      </c>
      <c r="H30" s="4">
        <v>85</v>
      </c>
      <c r="I30" s="4" t="s">
        <v>52</v>
      </c>
      <c r="J30" s="6">
        <f>IF(A30="","",COUNTIF(RacePerformance!$F:$F,A30))</f>
        <v>2</v>
      </c>
      <c r="K30" s="6">
        <f>IF(A30="","",IFERROR(AVERAGEIF(RacePerformance!$F:$F,A30,RacePerformance!$I:$I),""))</f>
        <v>80.5</v>
      </c>
      <c r="L30" s="6">
        <f>IF(A30="","",IFERROR(AVERAGEIF(RacePerformance!$F:$F,A30,RacePerformance!$J:$J),""))</f>
        <v>7.5</v>
      </c>
      <c r="M30" s="7">
        <f>IF(A30="","",IFERROR(AVERAGEIF(RacePerformance!$F:$F,A30,RacePerformance!$K:$K),""))</f>
        <v>0.52832080200501252</v>
      </c>
      <c r="N30" s="6">
        <f>IF(A30="","",COUNTIFS(RacePerformance!$F:$F,A30,RacePerformance!$I:$I,"&lt;=20"))</f>
        <v>0</v>
      </c>
      <c r="O30" s="6">
        <f>IF(A30="","",COUNTIFS(RacePerformance!$F:$F,A30,RacePerformance!$I:$I,1))</f>
        <v>0</v>
      </c>
      <c r="P30" s="6">
        <f>IF(A30="","",COUNTIFS(RacePerformance!$F:$F,A30,RacePerformance!$J:$J,"&lt;=3"))</f>
        <v>0</v>
      </c>
    </row>
    <row r="31" spans="1:18" ht="14.25" customHeight="1" x14ac:dyDescent="0.3">
      <c r="A31" s="8" t="s">
        <v>31</v>
      </c>
      <c r="B31" s="4">
        <v>558</v>
      </c>
      <c r="C31" s="4">
        <v>3</v>
      </c>
      <c r="D31" s="9">
        <v>45945</v>
      </c>
      <c r="E31" s="4" t="s">
        <v>52</v>
      </c>
      <c r="F31" s="4" t="s">
        <v>81</v>
      </c>
      <c r="G31" s="4" t="s">
        <v>82</v>
      </c>
      <c r="H31" s="4">
        <v>90</v>
      </c>
      <c r="I31" s="4" t="s">
        <v>52</v>
      </c>
      <c r="J31" s="6">
        <f>IF(A31="","",COUNTIF(RacePerformance!$F:$F,A31))</f>
        <v>1</v>
      </c>
      <c r="K31" s="6">
        <f>IF(A31="","",IFERROR(AVERAGEIF(RacePerformance!$F:$F,A31,RacePerformance!$I:$I),""))</f>
        <v>89</v>
      </c>
      <c r="L31" s="6">
        <f>IF(A31="","",IFERROR(AVERAGEIF(RacePerformance!$F:$F,A31,RacePerformance!$J:$J),""))</f>
        <v>11</v>
      </c>
      <c r="M31" s="7">
        <f>IF(A31="","",IFERROR(AVERAGEIF(RacePerformance!$F:$F,A31,RacePerformance!$K:$K),""))</f>
        <v>0.33583959899749372</v>
      </c>
      <c r="N31" s="6">
        <f>IF(A31="","",COUNTIFS(RacePerformance!$F:$F,A31,RacePerformance!$I:$I,"&lt;=20"))</f>
        <v>0</v>
      </c>
      <c r="O31" s="6">
        <f>IF(A31="","",COUNTIFS(RacePerformance!$F:$F,A31,RacePerformance!$I:$I,1))</f>
        <v>0</v>
      </c>
      <c r="P31" s="6">
        <f>IF(A31="","",COUNTIFS(RacePerformance!$F:$F,A31,RacePerformance!$J:$J,"&lt;=3"))</f>
        <v>0</v>
      </c>
    </row>
    <row r="32" spans="1:18" ht="14.25" customHeight="1" x14ac:dyDescent="0.3">
      <c r="A32" s="8" t="s">
        <v>25</v>
      </c>
      <c r="B32" s="4">
        <v>578</v>
      </c>
      <c r="C32" s="4">
        <v>4</v>
      </c>
      <c r="D32" s="9">
        <v>45983</v>
      </c>
      <c r="E32" s="4" t="s">
        <v>52</v>
      </c>
      <c r="F32" s="4" t="s">
        <v>81</v>
      </c>
      <c r="G32" s="4" t="s">
        <v>71</v>
      </c>
      <c r="H32" s="4">
        <v>75</v>
      </c>
      <c r="I32" s="4" t="s">
        <v>52</v>
      </c>
      <c r="J32" s="6">
        <f>IF(A32="","",COUNTIF(RacePerformance!$F:$F,A32))</f>
        <v>1</v>
      </c>
      <c r="K32" s="6">
        <f>IF(A32="","",IFERROR(AVERAGEIF(RacePerformance!$F:$F,A32,RacePerformance!$I:$I),""))</f>
        <v>53</v>
      </c>
      <c r="L32" s="6">
        <f>IF(A32="","",IFERROR(AVERAGEIF(RacePerformance!$F:$F,A32,RacePerformance!$J:$J),""))</f>
        <v>6</v>
      </c>
      <c r="M32" s="7">
        <f>IF(A32="","",IFERROR(AVERAGEIF(RacePerformance!$F:$F,A32,RacePerformance!$K:$K),""))</f>
        <v>0.6378446115288221</v>
      </c>
      <c r="N32" s="6">
        <f>IF(A32="","",COUNTIFS(RacePerformance!$F:$F,A32,RacePerformance!$I:$I,"&lt;=20"))</f>
        <v>0</v>
      </c>
      <c r="O32" s="6">
        <f>IF(A32="","",COUNTIFS(RacePerformance!$F:$F,A32,RacePerformance!$I:$I,1))</f>
        <v>0</v>
      </c>
      <c r="P32" s="6">
        <f>IF(A32="","",COUNTIFS(RacePerformance!$F:$F,A32,RacePerformance!$J:$J,"&lt;=3"))</f>
        <v>0</v>
      </c>
    </row>
    <row r="33" spans="1:16" ht="14.25" customHeight="1" x14ac:dyDescent="0.3">
      <c r="A33" s="8" t="s">
        <v>86</v>
      </c>
      <c r="B33" s="4">
        <v>568</v>
      </c>
      <c r="C33" s="4">
        <v>4</v>
      </c>
      <c r="D33" s="9">
        <v>45983</v>
      </c>
      <c r="E33" s="4" t="s">
        <v>52</v>
      </c>
      <c r="F33" s="4" t="s">
        <v>81</v>
      </c>
      <c r="G33" s="4" t="s">
        <v>71</v>
      </c>
      <c r="H33" s="4">
        <v>75</v>
      </c>
      <c r="I33" s="4" t="s">
        <v>56</v>
      </c>
      <c r="J33" s="6">
        <f>IF(A33="","",COUNTIF(RacePerformance!$F:$F,A33))</f>
        <v>0</v>
      </c>
      <c r="K33" s="6" t="str">
        <f>IF(A33="","",IFERROR(AVERAGEIF(RacePerformance!$F:$F,A33,RacePerformance!$I:$I),""))</f>
        <v/>
      </c>
      <c r="L33" s="6" t="str">
        <f>IF(A33="","",IFERROR(AVERAGEIF(RacePerformance!$F:$F,A33,RacePerformance!$J:$J),""))</f>
        <v/>
      </c>
      <c r="M33" s="6" t="str">
        <f>IF(A33="","",IFERROR(AVERAGEIF(RacePerformance!$F:$F,A33,RacePerformance!$K:$K),""))</f>
        <v/>
      </c>
      <c r="N33" s="6">
        <f>IF(A33="","",COUNTIFS(RacePerformance!$F:$F,A33,RacePerformance!$I:$I,"&lt;=20"))</f>
        <v>0</v>
      </c>
      <c r="O33" s="6">
        <f>IF(A33="","",COUNTIFS(RacePerformance!$F:$F,A33,RacePerformance!$I:$I,1))</f>
        <v>0</v>
      </c>
      <c r="P33" s="6">
        <f>IF(A33="","",COUNTIFS(RacePerformance!$F:$F,A33,RacePerformance!$J:$J,"&lt;=3"))</f>
        <v>0</v>
      </c>
    </row>
    <row r="34" spans="1:16" ht="14.25" customHeight="1" x14ac:dyDescent="0.3">
      <c r="A34" s="8" t="s">
        <v>87</v>
      </c>
      <c r="B34" s="4">
        <v>520</v>
      </c>
      <c r="C34" s="4">
        <v>3</v>
      </c>
      <c r="D34" s="9">
        <v>45962</v>
      </c>
      <c r="E34" s="4" t="s">
        <v>52</v>
      </c>
      <c r="F34" s="4" t="s">
        <v>88</v>
      </c>
      <c r="G34" s="4" t="s">
        <v>51</v>
      </c>
      <c r="H34" s="4">
        <v>75</v>
      </c>
      <c r="I34" s="4" t="s">
        <v>52</v>
      </c>
      <c r="J34" s="6">
        <f>IF(A34="","",COUNTIF(RacePerformance!$F:$F,A34))</f>
        <v>0</v>
      </c>
      <c r="K34" s="6" t="str">
        <f>IF(A34="","",IFERROR(AVERAGEIF(RacePerformance!$F:$F,A34,RacePerformance!$I:$I),""))</f>
        <v/>
      </c>
      <c r="L34" s="6" t="str">
        <f>IF(A34="","",IFERROR(AVERAGEIF(RacePerformance!$F:$F,A34,RacePerformance!$J:$J),""))</f>
        <v/>
      </c>
      <c r="M34" s="7" t="str">
        <f>IF(A34="","",IFERROR(AVERAGEIF(RacePerformance!$F:$F,A34,RacePerformance!$K:$K),""))</f>
        <v/>
      </c>
      <c r="N34" s="6">
        <f>IF(A34="","",COUNTIFS(RacePerformance!$F:$F,A34,RacePerformance!$I:$I,"&lt;=20"))</f>
        <v>0</v>
      </c>
      <c r="O34" s="6">
        <f>IF(A34="","",COUNTIFS(RacePerformance!$F:$F,A34,RacePerformance!$I:$I,1))</f>
        <v>0</v>
      </c>
      <c r="P34" s="6">
        <f>IF(A34="","",COUNTIFS(RacePerformance!$F:$F,A34,RacePerformance!$J:$J,"&lt;=3"))</f>
        <v>0</v>
      </c>
    </row>
    <row r="35" spans="1:16" ht="14.25" customHeight="1" x14ac:dyDescent="0.3">
      <c r="A35" s="8" t="s">
        <v>30</v>
      </c>
      <c r="B35" s="4">
        <v>530</v>
      </c>
      <c r="C35" s="4">
        <v>1</v>
      </c>
      <c r="D35" s="9">
        <v>45967</v>
      </c>
      <c r="E35" s="4"/>
      <c r="F35" s="4" t="s">
        <v>89</v>
      </c>
      <c r="G35" s="4" t="s">
        <v>82</v>
      </c>
      <c r="H35" s="4">
        <v>75</v>
      </c>
      <c r="I35" s="4" t="s">
        <v>52</v>
      </c>
      <c r="J35" s="6">
        <f>IF(A35="","",COUNTIF(RacePerformance!$F:$F,A35))</f>
        <v>2</v>
      </c>
      <c r="K35" s="6">
        <f>IF(A35="","",IFERROR(AVERAGEIF(RacePerformance!$F:$F,A35,RacePerformance!$I:$I),""))</f>
        <v>104.5</v>
      </c>
      <c r="L35" s="6">
        <f>IF(A35="","",IFERROR(AVERAGEIF(RacePerformance!$F:$F,A35,RacePerformance!$J:$J),""))</f>
        <v>11</v>
      </c>
      <c r="M35" s="7">
        <f>IF(A35="","",IFERROR(AVERAGEIF(RacePerformance!$F:$F,A35,RacePerformance!$K:$K),""))</f>
        <v>0.31091315244633322</v>
      </c>
      <c r="N35" s="6">
        <f>IF(A35="","",COUNTIFS(RacePerformance!$F:$F,A35,RacePerformance!$I:$I,"&lt;=20"))</f>
        <v>0</v>
      </c>
      <c r="O35" s="6">
        <f>IF(A35="","",COUNTIFS(RacePerformance!$F:$F,A35,RacePerformance!$I:$I,1))</f>
        <v>0</v>
      </c>
      <c r="P35" s="6">
        <f>IF(A35="","",COUNTIFS(RacePerformance!$F:$F,A35,RacePerformance!$J:$J,"&lt;=3"))</f>
        <v>0</v>
      </c>
    </row>
    <row r="36" spans="1:16" ht="14.25" customHeight="1" x14ac:dyDescent="0.3">
      <c r="A36" s="8" t="s">
        <v>33</v>
      </c>
      <c r="B36" s="4">
        <v>540</v>
      </c>
      <c r="C36" s="4">
        <v>1</v>
      </c>
      <c r="D36" s="9">
        <v>45967</v>
      </c>
      <c r="E36" s="4"/>
      <c r="F36" s="4" t="s">
        <v>89</v>
      </c>
      <c r="G36" s="4" t="s">
        <v>82</v>
      </c>
      <c r="H36" s="4">
        <v>80</v>
      </c>
      <c r="I36" s="4" t="s">
        <v>52</v>
      </c>
      <c r="J36" s="6">
        <f>IF(A36="","",COUNTIF(RacePerformance!$F:$F,A36))</f>
        <v>1</v>
      </c>
      <c r="K36" s="6">
        <f>IF(A36="","",IFERROR(AVERAGEIF(RacePerformance!$F:$F,A36,RacePerformance!$I:$I),""))</f>
        <v>112</v>
      </c>
      <c r="L36" s="6">
        <f>IF(A36="","",IFERROR(AVERAGEIF(RacePerformance!$F:$F,A36,RacePerformance!$J:$J),""))</f>
        <v>12</v>
      </c>
      <c r="M36" s="7">
        <f>IF(A36="","",IFERROR(AVERAGEIF(RacePerformance!$F:$F,A36,RacePerformance!$K:$K),""))</f>
        <v>0.28861283643892338</v>
      </c>
      <c r="N36" s="6">
        <f>IF(A36="","",COUNTIFS(RacePerformance!$F:$F,A36,RacePerformance!$I:$I,"&lt;=20"))</f>
        <v>0</v>
      </c>
      <c r="O36" s="6">
        <f>IF(A36="","",COUNTIFS(RacePerformance!$F:$F,A36,RacePerformance!$I:$I,1))</f>
        <v>0</v>
      </c>
      <c r="P36" s="6">
        <f>IF(A36="","",COUNTIFS(RacePerformance!$F:$F,A36,RacePerformance!$J:$J,"&lt;=3"))</f>
        <v>0</v>
      </c>
    </row>
    <row r="37" spans="1:16" ht="14.25" customHeight="1" x14ac:dyDescent="0.3">
      <c r="A37" s="8" t="s">
        <v>90</v>
      </c>
      <c r="B37" s="4">
        <v>510</v>
      </c>
      <c r="C37" s="4">
        <v>2</v>
      </c>
      <c r="D37" s="9">
        <v>45954</v>
      </c>
      <c r="E37" s="4" t="s">
        <v>52</v>
      </c>
      <c r="F37" s="4" t="s">
        <v>91</v>
      </c>
      <c r="G37" s="4" t="s">
        <v>71</v>
      </c>
      <c r="H37" s="4">
        <v>85</v>
      </c>
      <c r="I37" s="4" t="s">
        <v>56</v>
      </c>
      <c r="J37" s="6">
        <f>IF(A37="","",COUNTIF(RacePerformance!$F:$F,A37))</f>
        <v>0</v>
      </c>
      <c r="K37" s="6" t="str">
        <f>IF(A37="","",IFERROR(AVERAGEIF(RacePerformance!$F:$F,A37,RacePerformance!$I:$I),""))</f>
        <v/>
      </c>
      <c r="L37" s="6" t="str">
        <f>IF(A37="","",IFERROR(AVERAGEIF(RacePerformance!$F:$F,A37,RacePerformance!$J:$J),""))</f>
        <v/>
      </c>
      <c r="M37" s="6" t="str">
        <f>IF(A37="","",IFERROR(AVERAGEIF(RacePerformance!$F:$F,A37,RacePerformance!$K:$K),""))</f>
        <v/>
      </c>
      <c r="N37" s="6">
        <f>IF(A37="","",COUNTIFS(RacePerformance!$F:$F,A37,RacePerformance!$I:$I,"&lt;=20"))</f>
        <v>0</v>
      </c>
      <c r="O37" s="6">
        <f>IF(A37="","",COUNTIFS(RacePerformance!$F:$F,A37,RacePerformance!$I:$I,1))</f>
        <v>0</v>
      </c>
      <c r="P37" s="6">
        <f>IF(A37="","",COUNTIFS(RacePerformance!$F:$F,A37,RacePerformance!$J:$J,"&lt;=3"))</f>
        <v>0</v>
      </c>
    </row>
    <row r="38" spans="1:16" ht="14.25" customHeight="1" x14ac:dyDescent="0.3">
      <c r="A38" s="8" t="s">
        <v>92</v>
      </c>
      <c r="B38" s="4">
        <v>550</v>
      </c>
      <c r="C38" s="4">
        <v>1</v>
      </c>
      <c r="D38" s="9">
        <v>45984</v>
      </c>
      <c r="E38" s="4"/>
      <c r="F38" s="4" t="s">
        <v>91</v>
      </c>
      <c r="G38" s="4" t="s">
        <v>51</v>
      </c>
      <c r="H38" s="4">
        <v>75</v>
      </c>
      <c r="I38" s="4" t="s">
        <v>56</v>
      </c>
      <c r="J38" s="6">
        <f>IF(A38="","",COUNTIF(RacePerformance!$F:$F,A38))</f>
        <v>0</v>
      </c>
      <c r="K38" s="6" t="str">
        <f>IF(A38="","",IFERROR(AVERAGEIF(RacePerformance!$F:$F,A38,RacePerformance!$I:$I),""))</f>
        <v/>
      </c>
      <c r="L38" s="6" t="str">
        <f>IF(A38="","",IFERROR(AVERAGEIF(RacePerformance!$F:$F,A38,RacePerformance!$J:$J),""))</f>
        <v/>
      </c>
      <c r="M38" s="6" t="str">
        <f>IF(A38="","",IFERROR(AVERAGEIF(RacePerformance!$F:$F,A38,RacePerformance!$K:$K),""))</f>
        <v/>
      </c>
      <c r="N38" s="6">
        <f>IF(A38="","",COUNTIFS(RacePerformance!$F:$F,A38,RacePerformance!$I:$I,"&lt;=20"))</f>
        <v>0</v>
      </c>
      <c r="O38" s="6">
        <f>IF(A38="","",COUNTIFS(RacePerformance!$F:$F,A38,RacePerformance!$I:$I,1))</f>
        <v>0</v>
      </c>
      <c r="P38" s="6">
        <f>IF(A38="","",COUNTIFS(RacePerformance!$F:$F,A38,RacePerformance!$J:$J,"&lt;=3"))</f>
        <v>0</v>
      </c>
    </row>
    <row r="39" spans="1:16" ht="14.25" customHeight="1" x14ac:dyDescent="0.3">
      <c r="A39" s="8" t="s">
        <v>93</v>
      </c>
      <c r="B39" s="4">
        <v>560</v>
      </c>
      <c r="C39" s="4">
        <v>1</v>
      </c>
      <c r="D39" s="9">
        <v>45984</v>
      </c>
      <c r="E39" s="4"/>
      <c r="F39" s="4" t="s">
        <v>91</v>
      </c>
      <c r="G39" s="4" t="s">
        <v>51</v>
      </c>
      <c r="H39" s="4">
        <v>75</v>
      </c>
      <c r="I39" s="4" t="s">
        <v>52</v>
      </c>
      <c r="J39" s="6">
        <f>IF(A39="","",COUNTIF(RacePerformance!$F:$F,A39))</f>
        <v>0</v>
      </c>
      <c r="K39" s="6" t="str">
        <f>IF(A39="","",IFERROR(AVERAGEIF(RacePerformance!$F:$F,A39,RacePerformance!$I:$I),""))</f>
        <v/>
      </c>
      <c r="L39" s="6" t="str">
        <f>IF(A39="","",IFERROR(AVERAGEIF(RacePerformance!$F:$F,A39,RacePerformance!$J:$J),""))</f>
        <v/>
      </c>
      <c r="M39" s="7" t="str">
        <f>IF(A39="","",IFERROR(AVERAGEIF(RacePerformance!$F:$F,A39,RacePerformance!$K:$K),""))</f>
        <v/>
      </c>
      <c r="N39" s="6">
        <f>IF(A39="","",COUNTIFS(RacePerformance!$F:$F,A39,RacePerformance!$I:$I,"&lt;=20"))</f>
        <v>0</v>
      </c>
      <c r="O39" s="6">
        <f>IF(A39="","",COUNTIFS(RacePerformance!$F:$F,A39,RacePerformance!$I:$I,1))</f>
        <v>0</v>
      </c>
      <c r="P39" s="6">
        <f>IF(A39="","",COUNTIFS(RacePerformance!$F:$F,A39,RacePerformance!$J:$J,"&lt;=3"))</f>
        <v>0</v>
      </c>
    </row>
    <row r="40" spans="1:16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6" t="str">
        <f>IF(A40="","",COUNTIF(RacePerformance!$F:$F,A40))</f>
        <v/>
      </c>
      <c r="K40" s="6" t="str">
        <f>IF(A40="","",IFERROR(AVERAGEIF(RacePerformance!$F:$F,A40,RacePerformance!$I:$I),""))</f>
        <v/>
      </c>
      <c r="L40" s="6" t="str">
        <f>IF(A40="","",IFERROR(AVERAGEIF(RacePerformance!$F:$F,A40,RacePerformance!$J:$J),""))</f>
        <v/>
      </c>
      <c r="M40" s="6" t="str">
        <f>IF(A40="","",IFERROR(AVERAGEIF(RacePerformance!$F:$F,A40,RacePerformance!$K:$K),""))</f>
        <v/>
      </c>
      <c r="N40" s="6" t="str">
        <f>IF(A40="","",COUNTIFS(RacePerformance!$F:$F,A40,RacePerformance!$I:$I,"&lt;=20"))</f>
        <v/>
      </c>
      <c r="O40" s="6" t="str">
        <f>IF(A40="","",COUNTIFS(RacePerformance!$F:$F,A40,RacePerformance!$I:$I,1))</f>
        <v/>
      </c>
      <c r="P40" s="6" t="str">
        <f>IF(A40="","",COUNTIFS(RacePerformance!$F:$F,A40,RacePerformance!$J:$J,"&lt;=3"))</f>
        <v/>
      </c>
    </row>
    <row r="41" spans="1:16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6" t="str">
        <f>IF(A41="","",COUNTIF(RacePerformance!$F:$F,A41))</f>
        <v/>
      </c>
      <c r="K41" s="6" t="str">
        <f>IF(A41="","",IFERROR(AVERAGEIF(RacePerformance!$F:$F,A41,RacePerformance!$I:$I),""))</f>
        <v/>
      </c>
      <c r="L41" s="6" t="str">
        <f>IF(A41="","",IFERROR(AVERAGEIF(RacePerformance!$F:$F,A41,RacePerformance!$J:$J),""))</f>
        <v/>
      </c>
      <c r="M41" s="6" t="str">
        <f>IF(A41="","",IFERROR(AVERAGEIF(RacePerformance!$F:$F,A41,RacePerformance!$K:$K),""))</f>
        <v/>
      </c>
      <c r="N41" s="6" t="str">
        <f>IF(A41="","",COUNTIFS(RacePerformance!$F:$F,A41,RacePerformance!$I:$I,"&lt;=20"))</f>
        <v/>
      </c>
      <c r="O41" s="6" t="str">
        <f>IF(A41="","",COUNTIFS(RacePerformance!$F:$F,A41,RacePerformance!$I:$I,1))</f>
        <v/>
      </c>
      <c r="P41" s="6" t="str">
        <f>IF(A41="","",COUNTIFS(RacePerformance!$F:$F,A41,RacePerformance!$J:$J,"&lt;=3"))</f>
        <v/>
      </c>
    </row>
    <row r="42" spans="1:16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6" t="str">
        <f>IF(A42="","",COUNTIF(RacePerformance!$F:$F,A42))</f>
        <v/>
      </c>
      <c r="K42" s="6" t="str">
        <f>IF(A42="","",IFERROR(AVERAGEIF(RacePerformance!$F:$F,A42,RacePerformance!$I:$I),""))</f>
        <v/>
      </c>
      <c r="L42" s="6" t="str">
        <f>IF(A42="","",IFERROR(AVERAGEIF(RacePerformance!$F:$F,A42,RacePerformance!$J:$J),""))</f>
        <v/>
      </c>
      <c r="M42" s="6" t="str">
        <f>IF(A42="","",IFERROR(AVERAGEIF(RacePerformance!$F:$F,A42,RacePerformance!$K:$K),""))</f>
        <v/>
      </c>
      <c r="N42" s="6" t="str">
        <f>IF(A42="","",COUNTIFS(RacePerformance!$F:$F,A42,RacePerformance!$I:$I,"&lt;=20"))</f>
        <v/>
      </c>
      <c r="O42" s="6" t="str">
        <f>IF(A42="","",COUNTIFS(RacePerformance!$F:$F,A42,RacePerformance!$I:$I,1))</f>
        <v/>
      </c>
      <c r="P42" s="6" t="str">
        <f>IF(A42="","",COUNTIFS(RacePerformance!$F:$F,A42,RacePerformance!$J:$J,"&lt;=3"))</f>
        <v/>
      </c>
    </row>
    <row r="43" spans="1:16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6" t="str">
        <f>IF(A43="","",COUNTIF(RacePerformance!$F:$F,A43))</f>
        <v/>
      </c>
      <c r="K43" s="6" t="str">
        <f>IF(A43="","",IFERROR(AVERAGEIF(RacePerformance!$F:$F,A43,RacePerformance!$I:$I),""))</f>
        <v/>
      </c>
      <c r="L43" s="6" t="str">
        <f>IF(A43="","",IFERROR(AVERAGEIF(RacePerformance!$F:$F,A43,RacePerformance!$J:$J),""))</f>
        <v/>
      </c>
      <c r="M43" s="6" t="str">
        <f>IF(A43="","",IFERROR(AVERAGEIF(RacePerformance!$F:$F,A43,RacePerformance!$K:$K),""))</f>
        <v/>
      </c>
      <c r="N43" s="6" t="str">
        <f>IF(A43="","",COUNTIFS(RacePerformance!$F:$F,A43,RacePerformance!$I:$I,"&lt;=20"))</f>
        <v/>
      </c>
      <c r="O43" s="6" t="str">
        <f>IF(A43="","",COUNTIFS(RacePerformance!$F:$F,A43,RacePerformance!$I:$I,1))</f>
        <v/>
      </c>
      <c r="P43" s="6" t="str">
        <f>IF(A43="","",COUNTIFS(RacePerformance!$F:$F,A43,RacePerformance!$J:$J,"&lt;=3"))</f>
        <v/>
      </c>
    </row>
    <row r="44" spans="1:16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6" t="str">
        <f>IF(A44="","",COUNTIF(RacePerformance!$F:$F,A44))</f>
        <v/>
      </c>
      <c r="K44" s="6" t="str">
        <f>IF(A44="","",IFERROR(AVERAGEIF(RacePerformance!$F:$F,A44,RacePerformance!$I:$I),""))</f>
        <v/>
      </c>
      <c r="L44" s="6" t="str">
        <f>IF(A44="","",IFERROR(AVERAGEIF(RacePerformance!$F:$F,A44,RacePerformance!$J:$J),""))</f>
        <v/>
      </c>
      <c r="M44" s="6" t="str">
        <f>IF(A44="","",IFERROR(AVERAGEIF(RacePerformance!$F:$F,A44,RacePerformance!$K:$K),""))</f>
        <v/>
      </c>
      <c r="N44" s="6" t="str">
        <f>IF(A44="","",COUNTIFS(RacePerformance!$F:$F,A44,RacePerformance!$I:$I,"&lt;=20"))</f>
        <v/>
      </c>
      <c r="O44" s="6" t="str">
        <f>IF(A44="","",COUNTIFS(RacePerformance!$F:$F,A44,RacePerformance!$I:$I,1))</f>
        <v/>
      </c>
      <c r="P44" s="6" t="str">
        <f>IF(A44="","",COUNTIFS(RacePerformance!$F:$F,A44,RacePerformance!$J:$J,"&lt;=3"))</f>
        <v/>
      </c>
    </row>
    <row r="45" spans="1:16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6" t="str">
        <f>IF(A45="","",COUNTIF(RacePerformance!$F:$F,A45))</f>
        <v/>
      </c>
      <c r="K45" s="6" t="str">
        <f>IF(A45="","",IFERROR(AVERAGEIF(RacePerformance!$F:$F,A45,RacePerformance!$I:$I),""))</f>
        <v/>
      </c>
      <c r="L45" s="6" t="str">
        <f>IF(A45="","",IFERROR(AVERAGEIF(RacePerformance!$F:$F,A45,RacePerformance!$J:$J),""))</f>
        <v/>
      </c>
      <c r="M45" s="6" t="str">
        <f>IF(A45="","",IFERROR(AVERAGEIF(RacePerformance!$F:$F,A45,RacePerformance!$K:$K),""))</f>
        <v/>
      </c>
      <c r="N45" s="6" t="str">
        <f>IF(A45="","",COUNTIFS(RacePerformance!$F:$F,A45,RacePerformance!$I:$I,"&lt;=20"))</f>
        <v/>
      </c>
      <c r="O45" s="6" t="str">
        <f>IF(A45="","",COUNTIFS(RacePerformance!$F:$F,A45,RacePerformance!$I:$I,1))</f>
        <v/>
      </c>
      <c r="P45" s="6" t="str">
        <f>IF(A45="","",COUNTIFS(RacePerformance!$F:$F,A45,RacePerformance!$J:$J,"&lt;=3"))</f>
        <v/>
      </c>
    </row>
    <row r="46" spans="1:16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6" t="str">
        <f>IF(A46="","",COUNTIF(RacePerformance!$F:$F,A46))</f>
        <v/>
      </c>
      <c r="K46" s="6" t="str">
        <f>IF(A46="","",IFERROR(AVERAGEIF(RacePerformance!$F:$F,A46,RacePerformance!$I:$I),""))</f>
        <v/>
      </c>
      <c r="L46" s="6" t="str">
        <f>IF(A46="","",IFERROR(AVERAGEIF(RacePerformance!$F:$F,A46,RacePerformance!$J:$J),""))</f>
        <v/>
      </c>
      <c r="M46" s="6" t="str">
        <f>IF(A46="","",IFERROR(AVERAGEIF(RacePerformance!$F:$F,A46,RacePerformance!$K:$K),""))</f>
        <v/>
      </c>
      <c r="N46" s="6" t="str">
        <f>IF(A46="","",COUNTIFS(RacePerformance!$F:$F,A46,RacePerformance!$I:$I,"&lt;=20"))</f>
        <v/>
      </c>
      <c r="O46" s="6" t="str">
        <f>IF(A46="","",COUNTIFS(RacePerformance!$F:$F,A46,RacePerformance!$I:$I,1))</f>
        <v/>
      </c>
      <c r="P46" s="6" t="str">
        <f>IF(A46="","",COUNTIFS(RacePerformance!$F:$F,A46,RacePerformance!$J:$J,"&lt;=3"))</f>
        <v/>
      </c>
    </row>
    <row r="47" spans="1:16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6" t="str">
        <f>IF(A47="","",COUNTIF(RacePerformance!$F:$F,A47))</f>
        <v/>
      </c>
      <c r="K47" s="6" t="str">
        <f>IF(A47="","",IFERROR(AVERAGEIF(RacePerformance!$F:$F,A47,RacePerformance!$I:$I),""))</f>
        <v/>
      </c>
      <c r="L47" s="6" t="str">
        <f>IF(A47="","",IFERROR(AVERAGEIF(RacePerformance!$F:$F,A47,RacePerformance!$J:$J),""))</f>
        <v/>
      </c>
      <c r="M47" s="6" t="str">
        <f>IF(A47="","",IFERROR(AVERAGEIF(RacePerformance!$F:$F,A47,RacePerformance!$K:$K),""))</f>
        <v/>
      </c>
      <c r="N47" s="6" t="str">
        <f>IF(A47="","",COUNTIFS(RacePerformance!$F:$F,A47,RacePerformance!$I:$I,"&lt;=20"))</f>
        <v/>
      </c>
      <c r="O47" s="6" t="str">
        <f>IF(A47="","",COUNTIFS(RacePerformance!$F:$F,A47,RacePerformance!$I:$I,1))</f>
        <v/>
      </c>
      <c r="P47" s="6" t="str">
        <f>IF(A47="","",COUNTIFS(RacePerformance!$F:$F,A47,RacePerformance!$J:$J,"&lt;=3"))</f>
        <v/>
      </c>
    </row>
    <row r="48" spans="1:16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6" t="str">
        <f>IF(A48="","",COUNTIF(RacePerformance!$F:$F,A48))</f>
        <v/>
      </c>
      <c r="K48" s="6" t="str">
        <f>IF(A48="","",IFERROR(AVERAGEIF(RacePerformance!$F:$F,A48,RacePerformance!$I:$I),""))</f>
        <v/>
      </c>
      <c r="L48" s="6" t="str">
        <f>IF(A48="","",IFERROR(AVERAGEIF(RacePerformance!$F:$F,A48,RacePerformance!$J:$J),""))</f>
        <v/>
      </c>
      <c r="M48" s="6" t="str">
        <f>IF(A48="","",IFERROR(AVERAGEIF(RacePerformance!$F:$F,A48,RacePerformance!$K:$K),""))</f>
        <v/>
      </c>
      <c r="N48" s="6" t="str">
        <f>IF(A48="","",COUNTIFS(RacePerformance!$F:$F,A48,RacePerformance!$I:$I,"&lt;=20"))</f>
        <v/>
      </c>
      <c r="O48" s="6" t="str">
        <f>IF(A48="","",COUNTIFS(RacePerformance!$F:$F,A48,RacePerformance!$I:$I,1))</f>
        <v/>
      </c>
      <c r="P48" s="6" t="str">
        <f>IF(A48="","",COUNTIFS(RacePerformance!$F:$F,A48,RacePerformance!$J:$J,"&lt;=3"))</f>
        <v/>
      </c>
    </row>
    <row r="49" spans="1:16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6" t="str">
        <f>IF(A49="","",COUNTIF(RacePerformance!$F:$F,A49))</f>
        <v/>
      </c>
      <c r="K49" s="6" t="str">
        <f>IF(A49="","",IFERROR(AVERAGEIF(RacePerformance!$F:$F,A49,RacePerformance!$I:$I),""))</f>
        <v/>
      </c>
      <c r="L49" s="6" t="str">
        <f>IF(A49="","",IFERROR(AVERAGEIF(RacePerformance!$F:$F,A49,RacePerformance!$J:$J),""))</f>
        <v/>
      </c>
      <c r="M49" s="6" t="str">
        <f>IF(A49="","",IFERROR(AVERAGEIF(RacePerformance!$F:$F,A49,RacePerformance!$K:$K),""))</f>
        <v/>
      </c>
      <c r="N49" s="6" t="str">
        <f>IF(A49="","",COUNTIFS(RacePerformance!$F:$F,A49,RacePerformance!$I:$I,"&lt;=20"))</f>
        <v/>
      </c>
      <c r="O49" s="6" t="str">
        <f>IF(A49="","",COUNTIFS(RacePerformance!$F:$F,A49,RacePerformance!$I:$I,1))</f>
        <v/>
      </c>
      <c r="P49" s="6" t="str">
        <f>IF(A49="","",COUNTIFS(RacePerformance!$F:$F,A49,RacePerformance!$J:$J,"&lt;=3"))</f>
        <v/>
      </c>
    </row>
    <row r="50" spans="1:16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6" t="str">
        <f>IF(A50="","",COUNTIF(RacePerformance!$F:$F,A50))</f>
        <v/>
      </c>
      <c r="K50" s="6" t="str">
        <f>IF(A50="","",IFERROR(AVERAGEIF(RacePerformance!$F:$F,A50,RacePerformance!$I:$I),""))</f>
        <v/>
      </c>
      <c r="L50" s="6" t="str">
        <f>IF(A50="","",IFERROR(AVERAGEIF(RacePerformance!$F:$F,A50,RacePerformance!$J:$J),""))</f>
        <v/>
      </c>
      <c r="M50" s="6" t="str">
        <f>IF(A50="","",IFERROR(AVERAGEIF(RacePerformance!$F:$F,A50,RacePerformance!$K:$K),""))</f>
        <v/>
      </c>
      <c r="N50" s="6" t="str">
        <f>IF(A50="","",COUNTIFS(RacePerformance!$F:$F,A50,RacePerformance!$I:$I,"&lt;=20"))</f>
        <v/>
      </c>
      <c r="O50" s="6" t="str">
        <f>IF(A50="","",COUNTIFS(RacePerformance!$F:$F,A50,RacePerformance!$I:$I,1))</f>
        <v/>
      </c>
      <c r="P50" s="6" t="str">
        <f>IF(A50="","",COUNTIFS(RacePerformance!$F:$F,A50,RacePerformance!$J:$J,"&lt;=3"))</f>
        <v/>
      </c>
    </row>
    <row r="51" spans="1:16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6" t="str">
        <f>IF(A51="","",COUNTIF(RacePerformance!$F:$F,A51))</f>
        <v/>
      </c>
      <c r="K51" s="6" t="str">
        <f>IF(A51="","",IFERROR(AVERAGEIF(RacePerformance!$F:$F,A51,RacePerformance!$I:$I),""))</f>
        <v/>
      </c>
      <c r="L51" s="6" t="str">
        <f>IF(A51="","",IFERROR(AVERAGEIF(RacePerformance!$F:$F,A51,RacePerformance!$J:$J),""))</f>
        <v/>
      </c>
      <c r="M51" s="6" t="str">
        <f>IF(A51="","",IFERROR(AVERAGEIF(RacePerformance!$F:$F,A51,RacePerformance!$K:$K),""))</f>
        <v/>
      </c>
      <c r="N51" s="6" t="str">
        <f>IF(A51="","",COUNTIFS(RacePerformance!$F:$F,A51,RacePerformance!$I:$I,"&lt;=20"))</f>
        <v/>
      </c>
      <c r="O51" s="6" t="str">
        <f>IF(A51="","",COUNTIFS(RacePerformance!$F:$F,A51,RacePerformance!$I:$I,1))</f>
        <v/>
      </c>
      <c r="P51" s="6" t="str">
        <f>IF(A51="","",COUNTIFS(RacePerformance!$F:$F,A51,RacePerformance!$J:$J,"&lt;=3"))</f>
        <v/>
      </c>
    </row>
    <row r="52" spans="1:16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6" t="str">
        <f>IF(A52="","",COUNTIF(RacePerformance!$F:$F,A52))</f>
        <v/>
      </c>
      <c r="K52" s="6" t="str">
        <f>IF(A52="","",IFERROR(AVERAGEIF(RacePerformance!$F:$F,A52,RacePerformance!$I:$I),""))</f>
        <v/>
      </c>
      <c r="L52" s="6" t="str">
        <f>IF(A52="","",IFERROR(AVERAGEIF(RacePerformance!$F:$F,A52,RacePerformance!$J:$J),""))</f>
        <v/>
      </c>
      <c r="M52" s="6" t="str">
        <f>IF(A52="","",IFERROR(AVERAGEIF(RacePerformance!$F:$F,A52,RacePerformance!$K:$K),""))</f>
        <v/>
      </c>
      <c r="N52" s="6" t="str">
        <f>IF(A52="","",COUNTIFS(RacePerformance!$F:$F,A52,RacePerformance!$I:$I,"&lt;=20"))</f>
        <v/>
      </c>
      <c r="O52" s="6" t="str">
        <f>IF(A52="","",COUNTIFS(RacePerformance!$F:$F,A52,RacePerformance!$I:$I,1))</f>
        <v/>
      </c>
      <c r="P52" s="6" t="str">
        <f>IF(A52="","",COUNTIFS(RacePerformance!$F:$F,A52,RacePerformance!$J:$J,"&lt;=3"))</f>
        <v/>
      </c>
    </row>
    <row r="53" spans="1:16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6" t="str">
        <f>IF(A53="","",COUNTIF(RacePerformance!$F:$F,A53))</f>
        <v/>
      </c>
      <c r="K53" s="6" t="str">
        <f>IF(A53="","",IFERROR(AVERAGEIF(RacePerformance!$F:$F,A53,RacePerformance!$I:$I),""))</f>
        <v/>
      </c>
      <c r="L53" s="6" t="str">
        <f>IF(A53="","",IFERROR(AVERAGEIF(RacePerformance!$F:$F,A53,RacePerformance!$J:$J),""))</f>
        <v/>
      </c>
      <c r="M53" s="6" t="str">
        <f>IF(A53="","",IFERROR(AVERAGEIF(RacePerformance!$F:$F,A53,RacePerformance!$K:$K),""))</f>
        <v/>
      </c>
      <c r="N53" s="6" t="str">
        <f>IF(A53="","",COUNTIFS(RacePerformance!$F:$F,A53,RacePerformance!$I:$I,"&lt;=20"))</f>
        <v/>
      </c>
      <c r="O53" s="6" t="str">
        <f>IF(A53="","",COUNTIFS(RacePerformance!$F:$F,A53,RacePerformance!$I:$I,1))</f>
        <v/>
      </c>
      <c r="P53" s="6" t="str">
        <f>IF(A53="","",COUNTIFS(RacePerformance!$F:$F,A53,RacePerformance!$J:$J,"&lt;=3"))</f>
        <v/>
      </c>
    </row>
    <row r="54" spans="1:16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6" t="str">
        <f>IF(A54="","",COUNTIF(RacePerformance!$F:$F,A54))</f>
        <v/>
      </c>
      <c r="K54" s="6" t="str">
        <f>IF(A54="","",IFERROR(AVERAGEIF(RacePerformance!$F:$F,A54,RacePerformance!$I:$I),""))</f>
        <v/>
      </c>
      <c r="L54" s="6" t="str">
        <f>IF(A54="","",IFERROR(AVERAGEIF(RacePerformance!$F:$F,A54,RacePerformance!$J:$J),""))</f>
        <v/>
      </c>
      <c r="M54" s="6" t="str">
        <f>IF(A54="","",IFERROR(AVERAGEIF(RacePerformance!$F:$F,A54,RacePerformance!$K:$K),""))</f>
        <v/>
      </c>
      <c r="N54" s="6" t="str">
        <f>IF(A54="","",COUNTIFS(RacePerformance!$F:$F,A54,RacePerformance!$I:$I,"&lt;=20"))</f>
        <v/>
      </c>
      <c r="O54" s="6" t="str">
        <f>IF(A54="","",COUNTIFS(RacePerformance!$F:$F,A54,RacePerformance!$I:$I,1))</f>
        <v/>
      </c>
      <c r="P54" s="6" t="str">
        <f>IF(A54="","",COUNTIFS(RacePerformance!$F:$F,A54,RacePerformance!$J:$J,"&lt;=3"))</f>
        <v/>
      </c>
    </row>
    <row r="55" spans="1:16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6" t="str">
        <f>IF(A55="","",COUNTIF(RacePerformance!$F:$F,A55))</f>
        <v/>
      </c>
      <c r="K55" s="6" t="str">
        <f>IF(A55="","",IFERROR(AVERAGEIF(RacePerformance!$F:$F,A55,RacePerformance!$I:$I),""))</f>
        <v/>
      </c>
      <c r="L55" s="6" t="str">
        <f>IF(A55="","",IFERROR(AVERAGEIF(RacePerformance!$F:$F,A55,RacePerformance!$J:$J),""))</f>
        <v/>
      </c>
      <c r="M55" s="6" t="str">
        <f>IF(A55="","",IFERROR(AVERAGEIF(RacePerformance!$F:$F,A55,RacePerformance!$K:$K),""))</f>
        <v/>
      </c>
      <c r="N55" s="6" t="str">
        <f>IF(A55="","",COUNTIFS(RacePerformance!$F:$F,A55,RacePerformance!$I:$I,"&lt;=20"))</f>
        <v/>
      </c>
      <c r="O55" s="6" t="str">
        <f>IF(A55="","",COUNTIFS(RacePerformance!$F:$F,A55,RacePerformance!$I:$I,1))</f>
        <v/>
      </c>
      <c r="P55" s="6" t="str">
        <f>IF(A55="","",COUNTIFS(RacePerformance!$F:$F,A55,RacePerformance!$J:$J,"&lt;=3"))</f>
        <v/>
      </c>
    </row>
    <row r="56" spans="1:16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6" t="str">
        <f>IF(A56="","",COUNTIF(RacePerformance!$F:$F,A56))</f>
        <v/>
      </c>
      <c r="K56" s="6" t="str">
        <f>IF(A56="","",IFERROR(AVERAGEIF(RacePerformance!$F:$F,A56,RacePerformance!$I:$I),""))</f>
        <v/>
      </c>
      <c r="L56" s="6" t="str">
        <f>IF(A56="","",IFERROR(AVERAGEIF(RacePerformance!$F:$F,A56,RacePerformance!$J:$J),""))</f>
        <v/>
      </c>
      <c r="M56" s="6" t="str">
        <f>IF(A56="","",IFERROR(AVERAGEIF(RacePerformance!$F:$F,A56,RacePerformance!$K:$K),""))</f>
        <v/>
      </c>
      <c r="N56" s="6" t="str">
        <f>IF(A56="","",COUNTIFS(RacePerformance!$F:$F,A56,RacePerformance!$I:$I,"&lt;=20"))</f>
        <v/>
      </c>
      <c r="O56" s="6" t="str">
        <f>IF(A56="","",COUNTIFS(RacePerformance!$F:$F,A56,RacePerformance!$I:$I,1))</f>
        <v/>
      </c>
      <c r="P56" s="6" t="str">
        <f>IF(A56="","",COUNTIFS(RacePerformance!$F:$F,A56,RacePerformance!$J:$J,"&lt;=3"))</f>
        <v/>
      </c>
    </row>
    <row r="57" spans="1:16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6" t="str">
        <f>IF(A57="","",COUNTIF(RacePerformance!$F:$F,A57))</f>
        <v/>
      </c>
      <c r="K57" s="6" t="str">
        <f>IF(A57="","",IFERROR(AVERAGEIF(RacePerformance!$F:$F,A57,RacePerformance!$I:$I),""))</f>
        <v/>
      </c>
      <c r="L57" s="6" t="str">
        <f>IF(A57="","",IFERROR(AVERAGEIF(RacePerformance!$F:$F,A57,RacePerformance!$J:$J),""))</f>
        <v/>
      </c>
      <c r="M57" s="6" t="str">
        <f>IF(A57="","",IFERROR(AVERAGEIF(RacePerformance!$F:$F,A57,RacePerformance!$K:$K),""))</f>
        <v/>
      </c>
      <c r="N57" s="6" t="str">
        <f>IF(A57="","",COUNTIFS(RacePerformance!$F:$F,A57,RacePerformance!$I:$I,"&lt;=20"))</f>
        <v/>
      </c>
      <c r="O57" s="6" t="str">
        <f>IF(A57="","",COUNTIFS(RacePerformance!$F:$F,A57,RacePerformance!$I:$I,1))</f>
        <v/>
      </c>
      <c r="P57" s="6" t="str">
        <f>IF(A57="","",COUNTIFS(RacePerformance!$F:$F,A57,RacePerformance!$J:$J,"&lt;=3"))</f>
        <v/>
      </c>
    </row>
    <row r="58" spans="1:16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6" t="str">
        <f>IF(A58="","",COUNTIF(RacePerformance!$F:$F,A58))</f>
        <v/>
      </c>
      <c r="K58" s="6" t="str">
        <f>IF(A58="","",IFERROR(AVERAGEIF(RacePerformance!$F:$F,A58,RacePerformance!$I:$I),""))</f>
        <v/>
      </c>
      <c r="L58" s="6" t="str">
        <f>IF(A58="","",IFERROR(AVERAGEIF(RacePerformance!$F:$F,A58,RacePerformance!$J:$J),""))</f>
        <v/>
      </c>
      <c r="M58" s="6" t="str">
        <f>IF(A58="","",IFERROR(AVERAGEIF(RacePerformance!$F:$F,A58,RacePerformance!$K:$K),""))</f>
        <v/>
      </c>
      <c r="N58" s="6" t="str">
        <f>IF(A58="","",COUNTIFS(RacePerformance!$F:$F,A58,RacePerformance!$I:$I,"&lt;=20"))</f>
        <v/>
      </c>
      <c r="O58" s="6" t="str">
        <f>IF(A58="","",COUNTIFS(RacePerformance!$F:$F,A58,RacePerformance!$I:$I,1))</f>
        <v/>
      </c>
      <c r="P58" s="6" t="str">
        <f>IF(A58="","",COUNTIFS(RacePerformance!$F:$F,A58,RacePerformance!$J:$J,"&lt;=3"))</f>
        <v/>
      </c>
    </row>
    <row r="59" spans="1:16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6" t="str">
        <f>IF(A59="","",COUNTIF(RacePerformance!$F:$F,A59))</f>
        <v/>
      </c>
      <c r="K59" s="6" t="str">
        <f>IF(A59="","",IFERROR(AVERAGEIF(RacePerformance!$F:$F,A59,RacePerformance!$I:$I),""))</f>
        <v/>
      </c>
      <c r="L59" s="6" t="str">
        <f>IF(A59="","",IFERROR(AVERAGEIF(RacePerformance!$F:$F,A59,RacePerformance!$J:$J),""))</f>
        <v/>
      </c>
      <c r="M59" s="6" t="str">
        <f>IF(A59="","",IFERROR(AVERAGEIF(RacePerformance!$F:$F,A59,RacePerformance!$K:$K),""))</f>
        <v/>
      </c>
      <c r="N59" s="6" t="str">
        <f>IF(A59="","",COUNTIFS(RacePerformance!$F:$F,A59,RacePerformance!$I:$I,"&lt;=20"))</f>
        <v/>
      </c>
      <c r="O59" s="6" t="str">
        <f>IF(A59="","",COUNTIFS(RacePerformance!$F:$F,A59,RacePerformance!$I:$I,1))</f>
        <v/>
      </c>
      <c r="P59" s="6" t="str">
        <f>IF(A59="","",COUNTIFS(RacePerformance!$F:$F,A59,RacePerformance!$J:$J,"&lt;=3"))</f>
        <v/>
      </c>
    </row>
    <row r="60" spans="1:16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6" t="str">
        <f>IF(A60="","",COUNTIF(RacePerformance!$F:$F,A60))</f>
        <v/>
      </c>
      <c r="K60" s="6" t="str">
        <f>IF(A60="","",IFERROR(AVERAGEIF(RacePerformance!$F:$F,A60,RacePerformance!$I:$I),""))</f>
        <v/>
      </c>
      <c r="L60" s="6" t="str">
        <f>IF(A60="","",IFERROR(AVERAGEIF(RacePerformance!$F:$F,A60,RacePerformance!$J:$J),""))</f>
        <v/>
      </c>
      <c r="M60" s="6" t="str">
        <f>IF(A60="","",IFERROR(AVERAGEIF(RacePerformance!$F:$F,A60,RacePerformance!$K:$K),""))</f>
        <v/>
      </c>
      <c r="N60" s="6" t="str">
        <f>IF(A60="","",COUNTIFS(RacePerformance!$F:$F,A60,RacePerformance!$I:$I,"&lt;=20"))</f>
        <v/>
      </c>
      <c r="O60" s="6" t="str">
        <f>IF(A60="","",COUNTIFS(RacePerformance!$F:$F,A60,RacePerformance!$I:$I,1))</f>
        <v/>
      </c>
      <c r="P60" s="6" t="str">
        <f>IF(A60="","",COUNTIFS(RacePerformance!$F:$F,A60,RacePerformance!$J:$J,"&lt;=3"))</f>
        <v/>
      </c>
    </row>
    <row r="61" spans="1:16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6" t="str">
        <f>IF(A61="","",COUNTIF(RacePerformance!$F:$F,A61))</f>
        <v/>
      </c>
      <c r="K61" s="6" t="str">
        <f>IF(A61="","",IFERROR(AVERAGEIF(RacePerformance!$F:$F,A61,RacePerformance!$I:$I),""))</f>
        <v/>
      </c>
      <c r="L61" s="6" t="str">
        <f>IF(A61="","",IFERROR(AVERAGEIF(RacePerformance!$F:$F,A61,RacePerformance!$J:$J),""))</f>
        <v/>
      </c>
      <c r="M61" s="6" t="str">
        <f>IF(A61="","",IFERROR(AVERAGEIF(RacePerformance!$F:$F,A61,RacePerformance!$K:$K),""))</f>
        <v/>
      </c>
      <c r="N61" s="6" t="str">
        <f>IF(A61="","",COUNTIFS(RacePerformance!$F:$F,A61,RacePerformance!$I:$I,"&lt;=20"))</f>
        <v/>
      </c>
      <c r="O61" s="6" t="str">
        <f>IF(A61="","",COUNTIFS(RacePerformance!$F:$F,A61,RacePerformance!$I:$I,1))</f>
        <v/>
      </c>
      <c r="P61" s="6" t="str">
        <f>IF(A61="","",COUNTIFS(RacePerformance!$F:$F,A61,RacePerformance!$J:$J,"&lt;=3"))</f>
        <v/>
      </c>
    </row>
    <row r="62" spans="1:16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6" t="str">
        <f>IF(A62="","",COUNTIF(RacePerformance!$F:$F,A62))</f>
        <v/>
      </c>
      <c r="K62" s="6" t="str">
        <f>IF(A62="","",IFERROR(AVERAGEIF(RacePerformance!$F:$F,A62,RacePerformance!$I:$I),""))</f>
        <v/>
      </c>
      <c r="L62" s="6" t="str">
        <f>IF(A62="","",IFERROR(AVERAGEIF(RacePerformance!$F:$F,A62,RacePerformance!$J:$J),""))</f>
        <v/>
      </c>
      <c r="M62" s="6" t="str">
        <f>IF(A62="","",IFERROR(AVERAGEIF(RacePerformance!$F:$F,A62,RacePerformance!$K:$K),""))</f>
        <v/>
      </c>
      <c r="N62" s="6" t="str">
        <f>IF(A62="","",COUNTIFS(RacePerformance!$F:$F,A62,RacePerformance!$I:$I,"&lt;=20"))</f>
        <v/>
      </c>
      <c r="O62" s="6" t="str">
        <f>IF(A62="","",COUNTIFS(RacePerformance!$F:$F,A62,RacePerformance!$I:$I,1))</f>
        <v/>
      </c>
      <c r="P62" s="6" t="str">
        <f>IF(A62="","",COUNTIFS(RacePerformance!$F:$F,A62,RacePerformance!$J:$J,"&lt;=3"))</f>
        <v/>
      </c>
    </row>
    <row r="63" spans="1:16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6" t="str">
        <f>IF(A63="","",COUNTIF(RacePerformance!$F:$F,A63))</f>
        <v/>
      </c>
      <c r="K63" s="6" t="str">
        <f>IF(A63="","",IFERROR(AVERAGEIF(RacePerformance!$F:$F,A63,RacePerformance!$I:$I),""))</f>
        <v/>
      </c>
      <c r="L63" s="6" t="str">
        <f>IF(A63="","",IFERROR(AVERAGEIF(RacePerformance!$F:$F,A63,RacePerformance!$J:$J),""))</f>
        <v/>
      </c>
      <c r="M63" s="6" t="str">
        <f>IF(A63="","",IFERROR(AVERAGEIF(RacePerformance!$F:$F,A63,RacePerformance!$K:$K),""))</f>
        <v/>
      </c>
      <c r="N63" s="6" t="str">
        <f>IF(A63="","",COUNTIFS(RacePerformance!$F:$F,A63,RacePerformance!$I:$I,"&lt;=20"))</f>
        <v/>
      </c>
      <c r="O63" s="6" t="str">
        <f>IF(A63="","",COUNTIFS(RacePerformance!$F:$F,A63,RacePerformance!$I:$I,1))</f>
        <v/>
      </c>
      <c r="P63" s="6" t="str">
        <f>IF(A63="","",COUNTIFS(RacePerformance!$F:$F,A63,RacePerformance!$J:$J,"&lt;=3"))</f>
        <v/>
      </c>
    </row>
    <row r="64" spans="1:16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6" t="str">
        <f>IF(A64="","",COUNTIF(RacePerformance!$F:$F,A64))</f>
        <v/>
      </c>
      <c r="K64" s="6" t="str">
        <f>IF(A64="","",IFERROR(AVERAGEIF(RacePerformance!$F:$F,A64,RacePerformance!$I:$I),""))</f>
        <v/>
      </c>
      <c r="L64" s="6" t="str">
        <f>IF(A64="","",IFERROR(AVERAGEIF(RacePerformance!$F:$F,A64,RacePerformance!$J:$J),""))</f>
        <v/>
      </c>
      <c r="M64" s="6" t="str">
        <f>IF(A64="","",IFERROR(AVERAGEIF(RacePerformance!$F:$F,A64,RacePerformance!$K:$K),""))</f>
        <v/>
      </c>
      <c r="N64" s="6" t="str">
        <f>IF(A64="","",COUNTIFS(RacePerformance!$F:$F,A64,RacePerformance!$I:$I,"&lt;=20"))</f>
        <v/>
      </c>
      <c r="O64" s="6" t="str">
        <f>IF(A64="","",COUNTIFS(RacePerformance!$F:$F,A64,RacePerformance!$I:$I,1))</f>
        <v/>
      </c>
      <c r="P64" s="6" t="str">
        <f>IF(A64="","",COUNTIFS(RacePerformance!$F:$F,A64,RacePerformance!$J:$J,"&lt;=3"))</f>
        <v/>
      </c>
    </row>
    <row r="65" spans="1:16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6" t="str">
        <f>IF(A65="","",COUNTIF(RacePerformance!$F:$F,A65))</f>
        <v/>
      </c>
      <c r="K65" s="6" t="str">
        <f>IF(A65="","",IFERROR(AVERAGEIF(RacePerformance!$F:$F,A65,RacePerformance!$I:$I),""))</f>
        <v/>
      </c>
      <c r="L65" s="6" t="str">
        <f>IF(A65="","",IFERROR(AVERAGEIF(RacePerformance!$F:$F,A65,RacePerformance!$J:$J),""))</f>
        <v/>
      </c>
      <c r="M65" s="6" t="str">
        <f>IF(A65="","",IFERROR(AVERAGEIF(RacePerformance!$F:$F,A65,RacePerformance!$K:$K),""))</f>
        <v/>
      </c>
      <c r="N65" s="6" t="str">
        <f>IF(A65="","",COUNTIFS(RacePerformance!$F:$F,A65,RacePerformance!$I:$I,"&lt;=20"))</f>
        <v/>
      </c>
      <c r="O65" s="6" t="str">
        <f>IF(A65="","",COUNTIFS(RacePerformance!$F:$F,A65,RacePerformance!$I:$I,1))</f>
        <v/>
      </c>
      <c r="P65" s="6" t="str">
        <f>IF(A65="","",COUNTIFS(RacePerformance!$F:$F,A65,RacePerformance!$J:$J,"&lt;=3"))</f>
        <v/>
      </c>
    </row>
    <row r="66" spans="1:16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6" t="str">
        <f>IF(A66="","",COUNTIF(RacePerformance!$F:$F,A66))</f>
        <v/>
      </c>
      <c r="K66" s="6" t="str">
        <f>IF(A66="","",IFERROR(AVERAGEIF(RacePerformance!$F:$F,A66,RacePerformance!$I:$I),""))</f>
        <v/>
      </c>
      <c r="L66" s="6" t="str">
        <f>IF(A66="","",IFERROR(AVERAGEIF(RacePerformance!$F:$F,A66,RacePerformance!$J:$J),""))</f>
        <v/>
      </c>
      <c r="M66" s="6" t="str">
        <f>IF(A66="","",IFERROR(AVERAGEIF(RacePerformance!$F:$F,A66,RacePerformance!$K:$K),""))</f>
        <v/>
      </c>
      <c r="N66" s="6" t="str">
        <f>IF(A66="","",COUNTIFS(RacePerformance!$F:$F,A66,RacePerformance!$I:$I,"&lt;=20"))</f>
        <v/>
      </c>
      <c r="O66" s="6" t="str">
        <f>IF(A66="","",COUNTIFS(RacePerformance!$F:$F,A66,RacePerformance!$I:$I,1))</f>
        <v/>
      </c>
      <c r="P66" s="6" t="str">
        <f>IF(A66="","",COUNTIFS(RacePerformance!$F:$F,A66,RacePerformance!$J:$J,"&lt;=3"))</f>
        <v/>
      </c>
    </row>
    <row r="67" spans="1:16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6" t="str">
        <f>IF(A67="","",COUNTIF(RacePerformance!$F:$F,A67))</f>
        <v/>
      </c>
      <c r="K67" s="6" t="str">
        <f>IF(A67="","",IFERROR(AVERAGEIF(RacePerformance!$F:$F,A67,RacePerformance!$I:$I),""))</f>
        <v/>
      </c>
      <c r="L67" s="6" t="str">
        <f>IF(A67="","",IFERROR(AVERAGEIF(RacePerformance!$F:$F,A67,RacePerformance!$J:$J),""))</f>
        <v/>
      </c>
      <c r="M67" s="6" t="str">
        <f>IF(A67="","",IFERROR(AVERAGEIF(RacePerformance!$F:$F,A67,RacePerformance!$K:$K),""))</f>
        <v/>
      </c>
      <c r="N67" s="6" t="str">
        <f>IF(A67="","",COUNTIFS(RacePerformance!$F:$F,A67,RacePerformance!$I:$I,"&lt;=20"))</f>
        <v/>
      </c>
      <c r="O67" s="6" t="str">
        <f>IF(A67="","",COUNTIFS(RacePerformance!$F:$F,A67,RacePerformance!$I:$I,1))</f>
        <v/>
      </c>
      <c r="P67" s="6" t="str">
        <f>IF(A67="","",COUNTIFS(RacePerformance!$F:$F,A67,RacePerformance!$J:$J,"&lt;=3"))</f>
        <v/>
      </c>
    </row>
    <row r="68" spans="1:16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6" t="str">
        <f>IF(A68="","",COUNTIF(RacePerformance!$F:$F,A68))</f>
        <v/>
      </c>
      <c r="K68" s="6" t="str">
        <f>IF(A68="","",IFERROR(AVERAGEIF(RacePerformance!$F:$F,A68,RacePerformance!$I:$I),""))</f>
        <v/>
      </c>
      <c r="L68" s="6" t="str">
        <f>IF(A68="","",IFERROR(AVERAGEIF(RacePerformance!$F:$F,A68,RacePerformance!$J:$J),""))</f>
        <v/>
      </c>
      <c r="M68" s="6" t="str">
        <f>IF(A68="","",IFERROR(AVERAGEIF(RacePerformance!$F:$F,A68,RacePerformance!$K:$K),""))</f>
        <v/>
      </c>
      <c r="N68" s="6" t="str">
        <f>IF(A68="","",COUNTIFS(RacePerformance!$F:$F,A68,RacePerformance!$I:$I,"&lt;=20"))</f>
        <v/>
      </c>
      <c r="O68" s="6" t="str">
        <f>IF(A68="","",COUNTIFS(RacePerformance!$F:$F,A68,RacePerformance!$I:$I,1))</f>
        <v/>
      </c>
      <c r="P68" s="6" t="str">
        <f>IF(A68="","",COUNTIFS(RacePerformance!$F:$F,A68,RacePerformance!$J:$J,"&lt;=3"))</f>
        <v/>
      </c>
    </row>
    <row r="69" spans="1:16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6" t="str">
        <f>IF(A69="","",COUNTIF(RacePerformance!$F:$F,A69))</f>
        <v/>
      </c>
      <c r="K69" s="6" t="str">
        <f>IF(A69="","",IFERROR(AVERAGEIF(RacePerformance!$F:$F,A69,RacePerformance!$I:$I),""))</f>
        <v/>
      </c>
      <c r="L69" s="6" t="str">
        <f>IF(A69="","",IFERROR(AVERAGEIF(RacePerformance!$F:$F,A69,RacePerformance!$J:$J),""))</f>
        <v/>
      </c>
      <c r="M69" s="6" t="str">
        <f>IF(A69="","",IFERROR(AVERAGEIF(RacePerformance!$F:$F,A69,RacePerformance!$K:$K),""))</f>
        <v/>
      </c>
      <c r="N69" s="6" t="str">
        <f>IF(A69="","",COUNTIFS(RacePerformance!$F:$F,A69,RacePerformance!$I:$I,"&lt;=20"))</f>
        <v/>
      </c>
      <c r="O69" s="6" t="str">
        <f>IF(A69="","",COUNTIFS(RacePerformance!$F:$F,A69,RacePerformance!$I:$I,1))</f>
        <v/>
      </c>
      <c r="P69" s="6" t="str">
        <f>IF(A69="","",COUNTIFS(RacePerformance!$F:$F,A69,RacePerformance!$J:$J,"&lt;=3"))</f>
        <v/>
      </c>
    </row>
    <row r="70" spans="1:16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6" t="str">
        <f>IF(A70="","",COUNTIF(RacePerformance!$F:$F,A70))</f>
        <v/>
      </c>
      <c r="K70" s="6" t="str">
        <f>IF(A70="","",IFERROR(AVERAGEIF(RacePerformance!$F:$F,A70,RacePerformance!$I:$I),""))</f>
        <v/>
      </c>
      <c r="L70" s="6" t="str">
        <f>IF(A70="","",IFERROR(AVERAGEIF(RacePerformance!$F:$F,A70,RacePerformance!$J:$J),""))</f>
        <v/>
      </c>
      <c r="M70" s="6" t="str">
        <f>IF(A70="","",IFERROR(AVERAGEIF(RacePerformance!$F:$F,A70,RacePerformance!$K:$K),""))</f>
        <v/>
      </c>
      <c r="N70" s="6" t="str">
        <f>IF(A70="","",COUNTIFS(RacePerformance!$F:$F,A70,RacePerformance!$I:$I,"&lt;=20"))</f>
        <v/>
      </c>
      <c r="O70" s="6" t="str">
        <f>IF(A70="","",COUNTIFS(RacePerformance!$F:$F,A70,RacePerformance!$I:$I,1))</f>
        <v/>
      </c>
      <c r="P70" s="6" t="str">
        <f>IF(A70="","",COUNTIFS(RacePerformance!$F:$F,A70,RacePerformance!$J:$J,"&lt;=3"))</f>
        <v/>
      </c>
    </row>
    <row r="71" spans="1:16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6" t="str">
        <f>IF(A71="","",COUNTIF(RacePerformance!$F:$F,A71))</f>
        <v/>
      </c>
      <c r="K71" s="6" t="str">
        <f>IF(A71="","",IFERROR(AVERAGEIF(RacePerformance!$F:$F,A71,RacePerformance!$I:$I),""))</f>
        <v/>
      </c>
      <c r="L71" s="6" t="str">
        <f>IF(A71="","",IFERROR(AVERAGEIF(RacePerformance!$F:$F,A71,RacePerformance!$J:$J),""))</f>
        <v/>
      </c>
      <c r="M71" s="6" t="str">
        <f>IF(A71="","",IFERROR(AVERAGEIF(RacePerformance!$F:$F,A71,RacePerformance!$K:$K),""))</f>
        <v/>
      </c>
      <c r="N71" s="6" t="str">
        <f>IF(A71="","",COUNTIFS(RacePerformance!$F:$F,A71,RacePerformance!$I:$I,"&lt;=20"))</f>
        <v/>
      </c>
      <c r="O71" s="6" t="str">
        <f>IF(A71="","",COUNTIFS(RacePerformance!$F:$F,A71,RacePerformance!$I:$I,1))</f>
        <v/>
      </c>
      <c r="P71" s="6" t="str">
        <f>IF(A71="","",COUNTIFS(RacePerformance!$F:$F,A71,RacePerformance!$J:$J,"&lt;=3"))</f>
        <v/>
      </c>
    </row>
    <row r="72" spans="1:16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6" t="str">
        <f>IF(A72="","",COUNTIF(RacePerformance!$F:$F,A72))</f>
        <v/>
      </c>
      <c r="K72" s="6" t="str">
        <f>IF(A72="","",IFERROR(AVERAGEIF(RacePerformance!$F:$F,A72,RacePerformance!$I:$I),""))</f>
        <v/>
      </c>
      <c r="L72" s="6" t="str">
        <f>IF(A72="","",IFERROR(AVERAGEIF(RacePerformance!$F:$F,A72,RacePerformance!$J:$J),""))</f>
        <v/>
      </c>
      <c r="M72" s="6" t="str">
        <f>IF(A72="","",IFERROR(AVERAGEIF(RacePerformance!$F:$F,A72,RacePerformance!$K:$K),""))</f>
        <v/>
      </c>
      <c r="N72" s="6" t="str">
        <f>IF(A72="","",COUNTIFS(RacePerformance!$F:$F,A72,RacePerformance!$I:$I,"&lt;=20"))</f>
        <v/>
      </c>
      <c r="O72" s="6" t="str">
        <f>IF(A72="","",COUNTIFS(RacePerformance!$F:$F,A72,RacePerformance!$I:$I,1))</f>
        <v/>
      </c>
      <c r="P72" s="6" t="str">
        <f>IF(A72="","",COUNTIFS(RacePerformance!$F:$F,A72,RacePerformance!$J:$J,"&lt;=3"))</f>
        <v/>
      </c>
    </row>
    <row r="73" spans="1:16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6" t="str">
        <f>IF(A73="","",COUNTIF(RacePerformance!$F:$F,A73))</f>
        <v/>
      </c>
      <c r="K73" s="6" t="str">
        <f>IF(A73="","",IFERROR(AVERAGEIF(RacePerformance!$F:$F,A73,RacePerformance!$I:$I),""))</f>
        <v/>
      </c>
      <c r="L73" s="6" t="str">
        <f>IF(A73="","",IFERROR(AVERAGEIF(RacePerformance!$F:$F,A73,RacePerformance!$J:$J),""))</f>
        <v/>
      </c>
      <c r="M73" s="6" t="str">
        <f>IF(A73="","",IFERROR(AVERAGEIF(RacePerformance!$F:$F,A73,RacePerformance!$K:$K),""))</f>
        <v/>
      </c>
      <c r="N73" s="6" t="str">
        <f>IF(A73="","",COUNTIFS(RacePerformance!$F:$F,A73,RacePerformance!$I:$I,"&lt;=20"))</f>
        <v/>
      </c>
      <c r="O73" s="6" t="str">
        <f>IF(A73="","",COUNTIFS(RacePerformance!$F:$F,A73,RacePerformance!$I:$I,1))</f>
        <v/>
      </c>
      <c r="P73" s="6" t="str">
        <f>IF(A73="","",COUNTIFS(RacePerformance!$F:$F,A73,RacePerformance!$J:$J,"&lt;=3"))</f>
        <v/>
      </c>
    </row>
    <row r="74" spans="1:16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6" t="str">
        <f>IF(A74="","",COUNTIF(RacePerformance!$F:$F,A74))</f>
        <v/>
      </c>
      <c r="K74" s="6" t="str">
        <f>IF(A74="","",IFERROR(AVERAGEIF(RacePerformance!$F:$F,A74,RacePerformance!$I:$I),""))</f>
        <v/>
      </c>
      <c r="L74" s="6" t="str">
        <f>IF(A74="","",IFERROR(AVERAGEIF(RacePerformance!$F:$F,A74,RacePerformance!$J:$J),""))</f>
        <v/>
      </c>
      <c r="M74" s="6" t="str">
        <f>IF(A74="","",IFERROR(AVERAGEIF(RacePerformance!$F:$F,A74,RacePerformance!$K:$K),""))</f>
        <v/>
      </c>
      <c r="N74" s="6" t="str">
        <f>IF(A74="","",COUNTIFS(RacePerformance!$F:$F,A74,RacePerformance!$I:$I,"&lt;=20"))</f>
        <v/>
      </c>
      <c r="O74" s="6" t="str">
        <f>IF(A74="","",COUNTIFS(RacePerformance!$F:$F,A74,RacePerformance!$I:$I,1))</f>
        <v/>
      </c>
      <c r="P74" s="6" t="str">
        <f>IF(A74="","",COUNTIFS(RacePerformance!$F:$F,A74,RacePerformance!$J:$J,"&lt;=3"))</f>
        <v/>
      </c>
    </row>
    <row r="75" spans="1:16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6" t="str">
        <f>IF(A75="","",COUNTIF(RacePerformance!$F:$F,A75))</f>
        <v/>
      </c>
      <c r="K75" s="6" t="str">
        <f>IF(A75="","",IFERROR(AVERAGEIF(RacePerformance!$F:$F,A75,RacePerformance!$I:$I),""))</f>
        <v/>
      </c>
      <c r="L75" s="6" t="str">
        <f>IF(A75="","",IFERROR(AVERAGEIF(RacePerformance!$F:$F,A75,RacePerformance!$J:$J),""))</f>
        <v/>
      </c>
      <c r="M75" s="6" t="str">
        <f>IF(A75="","",IFERROR(AVERAGEIF(RacePerformance!$F:$F,A75,RacePerformance!$K:$K),""))</f>
        <v/>
      </c>
      <c r="N75" s="6" t="str">
        <f>IF(A75="","",COUNTIFS(RacePerformance!$F:$F,A75,RacePerformance!$I:$I,"&lt;=20"))</f>
        <v/>
      </c>
      <c r="O75" s="6" t="str">
        <f>IF(A75="","",COUNTIFS(RacePerformance!$F:$F,A75,RacePerformance!$I:$I,1))</f>
        <v/>
      </c>
      <c r="P75" s="6" t="str">
        <f>IF(A75="","",COUNTIFS(RacePerformance!$F:$F,A75,RacePerformance!$J:$J,"&lt;=3"))</f>
        <v/>
      </c>
    </row>
    <row r="76" spans="1:16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6" t="str">
        <f>IF(A76="","",COUNTIF(RacePerformance!$F:$F,A76))</f>
        <v/>
      </c>
      <c r="K76" s="6" t="str">
        <f>IF(A76="","",IFERROR(AVERAGEIF(RacePerformance!$F:$F,A76,RacePerformance!$I:$I),""))</f>
        <v/>
      </c>
      <c r="L76" s="6" t="str">
        <f>IF(A76="","",IFERROR(AVERAGEIF(RacePerformance!$F:$F,A76,RacePerformance!$J:$J),""))</f>
        <v/>
      </c>
      <c r="M76" s="6" t="str">
        <f>IF(A76="","",IFERROR(AVERAGEIF(RacePerformance!$F:$F,A76,RacePerformance!$K:$K),""))</f>
        <v/>
      </c>
      <c r="N76" s="6" t="str">
        <f>IF(A76="","",COUNTIFS(RacePerformance!$F:$F,A76,RacePerformance!$I:$I,"&lt;=20"))</f>
        <v/>
      </c>
      <c r="O76" s="6" t="str">
        <f>IF(A76="","",COUNTIFS(RacePerformance!$F:$F,A76,RacePerformance!$I:$I,1))</f>
        <v/>
      </c>
      <c r="P76" s="6" t="str">
        <f>IF(A76="","",COUNTIFS(RacePerformance!$F:$F,A76,RacePerformance!$J:$J,"&lt;=3"))</f>
        <v/>
      </c>
    </row>
    <row r="77" spans="1:16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6" t="str">
        <f>IF(A77="","",COUNTIF(RacePerformance!$F:$F,A77))</f>
        <v/>
      </c>
      <c r="K77" s="6" t="str">
        <f>IF(A77="","",IFERROR(AVERAGEIF(RacePerformance!$F:$F,A77,RacePerformance!$I:$I),""))</f>
        <v/>
      </c>
      <c r="L77" s="6" t="str">
        <f>IF(A77="","",IFERROR(AVERAGEIF(RacePerformance!$F:$F,A77,RacePerformance!$J:$J),""))</f>
        <v/>
      </c>
      <c r="M77" s="6" t="str">
        <f>IF(A77="","",IFERROR(AVERAGEIF(RacePerformance!$F:$F,A77,RacePerformance!$K:$K),""))</f>
        <v/>
      </c>
      <c r="N77" s="6" t="str">
        <f>IF(A77="","",COUNTIFS(RacePerformance!$F:$F,A77,RacePerformance!$I:$I,"&lt;=20"))</f>
        <v/>
      </c>
      <c r="O77" s="6" t="str">
        <f>IF(A77="","",COUNTIFS(RacePerformance!$F:$F,A77,RacePerformance!$I:$I,1))</f>
        <v/>
      </c>
      <c r="P77" s="6" t="str">
        <f>IF(A77="","",COUNTIFS(RacePerformance!$F:$F,A77,RacePerformance!$J:$J,"&lt;=3"))</f>
        <v/>
      </c>
    </row>
    <row r="78" spans="1:16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6" t="str">
        <f>IF(A78="","",COUNTIF(RacePerformance!$F:$F,A78))</f>
        <v/>
      </c>
      <c r="K78" s="6" t="str">
        <f>IF(A78="","",IFERROR(AVERAGEIF(RacePerformance!$F:$F,A78,RacePerformance!$I:$I),""))</f>
        <v/>
      </c>
      <c r="L78" s="6" t="str">
        <f>IF(A78="","",IFERROR(AVERAGEIF(RacePerformance!$F:$F,A78,RacePerformance!$J:$J),""))</f>
        <v/>
      </c>
      <c r="M78" s="6" t="str">
        <f>IF(A78="","",IFERROR(AVERAGEIF(RacePerformance!$F:$F,A78,RacePerformance!$K:$K),""))</f>
        <v/>
      </c>
      <c r="N78" s="6" t="str">
        <f>IF(A78="","",COUNTIFS(RacePerformance!$F:$F,A78,RacePerformance!$I:$I,"&lt;=20"))</f>
        <v/>
      </c>
      <c r="O78" s="6" t="str">
        <f>IF(A78="","",COUNTIFS(RacePerformance!$F:$F,A78,RacePerformance!$I:$I,1))</f>
        <v/>
      </c>
      <c r="P78" s="6" t="str">
        <f>IF(A78="","",COUNTIFS(RacePerformance!$F:$F,A78,RacePerformance!$J:$J,"&lt;=3"))</f>
        <v/>
      </c>
    </row>
    <row r="79" spans="1:16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6" t="str">
        <f>IF(A79="","",COUNTIF(RacePerformance!$F:$F,A79))</f>
        <v/>
      </c>
      <c r="K79" s="6" t="str">
        <f>IF(A79="","",IFERROR(AVERAGEIF(RacePerformance!$F:$F,A79,RacePerformance!$I:$I),""))</f>
        <v/>
      </c>
      <c r="L79" s="6" t="str">
        <f>IF(A79="","",IFERROR(AVERAGEIF(RacePerformance!$F:$F,A79,RacePerformance!$J:$J),""))</f>
        <v/>
      </c>
      <c r="M79" s="6" t="str">
        <f>IF(A79="","",IFERROR(AVERAGEIF(RacePerformance!$F:$F,A79,RacePerformance!$K:$K),""))</f>
        <v/>
      </c>
      <c r="N79" s="6" t="str">
        <f>IF(A79="","",COUNTIFS(RacePerformance!$F:$F,A79,RacePerformance!$I:$I,"&lt;=20"))</f>
        <v/>
      </c>
      <c r="O79" s="6" t="str">
        <f>IF(A79="","",COUNTIFS(RacePerformance!$F:$F,A79,RacePerformance!$I:$I,1))</f>
        <v/>
      </c>
      <c r="P79" s="6" t="str">
        <f>IF(A79="","",COUNTIFS(RacePerformance!$F:$F,A79,RacePerformance!$J:$J,"&lt;=3"))</f>
        <v/>
      </c>
    </row>
    <row r="80" spans="1:16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6" t="str">
        <f>IF(A80="","",COUNTIF(RacePerformance!$F:$F,A80))</f>
        <v/>
      </c>
      <c r="K80" s="6" t="str">
        <f>IF(A80="","",IFERROR(AVERAGEIF(RacePerformance!$F:$F,A80,RacePerformance!$I:$I),""))</f>
        <v/>
      </c>
      <c r="L80" s="6" t="str">
        <f>IF(A80="","",IFERROR(AVERAGEIF(RacePerformance!$F:$F,A80,RacePerformance!$J:$J),""))</f>
        <v/>
      </c>
      <c r="M80" s="6" t="str">
        <f>IF(A80="","",IFERROR(AVERAGEIF(RacePerformance!$F:$F,A80,RacePerformance!$K:$K),""))</f>
        <v/>
      </c>
      <c r="N80" s="6" t="str">
        <f>IF(A80="","",COUNTIFS(RacePerformance!$F:$F,A80,RacePerformance!$I:$I,"&lt;=20"))</f>
        <v/>
      </c>
      <c r="O80" s="6" t="str">
        <f>IF(A80="","",COUNTIFS(RacePerformance!$F:$F,A80,RacePerformance!$I:$I,1))</f>
        <v/>
      </c>
      <c r="P80" s="6" t="str">
        <f>IF(A80="","",COUNTIFS(RacePerformance!$F:$F,A80,RacePerformance!$J:$J,"&lt;=3"))</f>
        <v/>
      </c>
    </row>
    <row r="81" spans="1:16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6" t="str">
        <f>IF(A81="","",COUNTIF(RacePerformance!$F:$F,A81))</f>
        <v/>
      </c>
      <c r="K81" s="6" t="str">
        <f>IF(A81="","",IFERROR(AVERAGEIF(RacePerformance!$F:$F,A81,RacePerformance!$I:$I),""))</f>
        <v/>
      </c>
      <c r="L81" s="6" t="str">
        <f>IF(A81="","",IFERROR(AVERAGEIF(RacePerformance!$F:$F,A81,RacePerformance!$J:$J),""))</f>
        <v/>
      </c>
      <c r="M81" s="6" t="str">
        <f>IF(A81="","",IFERROR(AVERAGEIF(RacePerformance!$F:$F,A81,RacePerformance!$K:$K),""))</f>
        <v/>
      </c>
      <c r="N81" s="6" t="str">
        <f>IF(A81="","",COUNTIFS(RacePerformance!$F:$F,A81,RacePerformance!$I:$I,"&lt;=20"))</f>
        <v/>
      </c>
      <c r="O81" s="6" t="str">
        <f>IF(A81="","",COUNTIFS(RacePerformance!$F:$F,A81,RacePerformance!$I:$I,1))</f>
        <v/>
      </c>
      <c r="P81" s="6" t="str">
        <f>IF(A81="","",COUNTIFS(RacePerformance!$F:$F,A81,RacePerformance!$J:$J,"&lt;=3"))</f>
        <v/>
      </c>
    </row>
    <row r="82" spans="1:16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6" t="str">
        <f>IF(A82="","",COUNTIF(RacePerformance!$F:$F,A82))</f>
        <v/>
      </c>
      <c r="K82" s="6" t="str">
        <f>IF(A82="","",IFERROR(AVERAGEIF(RacePerformance!$F:$F,A82,RacePerformance!$I:$I),""))</f>
        <v/>
      </c>
      <c r="L82" s="6" t="str">
        <f>IF(A82="","",IFERROR(AVERAGEIF(RacePerformance!$F:$F,A82,RacePerformance!$J:$J),""))</f>
        <v/>
      </c>
      <c r="M82" s="6" t="str">
        <f>IF(A82="","",IFERROR(AVERAGEIF(RacePerformance!$F:$F,A82,RacePerformance!$K:$K),""))</f>
        <v/>
      </c>
      <c r="N82" s="6" t="str">
        <f>IF(A82="","",COUNTIFS(RacePerformance!$F:$F,A82,RacePerformance!$I:$I,"&lt;=20"))</f>
        <v/>
      </c>
      <c r="O82" s="6" t="str">
        <f>IF(A82="","",COUNTIFS(RacePerformance!$F:$F,A82,RacePerformance!$I:$I,1))</f>
        <v/>
      </c>
      <c r="P82" s="6" t="str">
        <f>IF(A82="","",COUNTIFS(RacePerformance!$F:$F,A82,RacePerformance!$J:$J,"&lt;=3"))</f>
        <v/>
      </c>
    </row>
    <row r="83" spans="1:16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6" t="str">
        <f>IF(A83="","",COUNTIF(RacePerformance!$F:$F,A83))</f>
        <v/>
      </c>
      <c r="K83" s="6" t="str">
        <f>IF(A83="","",IFERROR(AVERAGEIF(RacePerformance!$F:$F,A83,RacePerformance!$I:$I),""))</f>
        <v/>
      </c>
      <c r="L83" s="6" t="str">
        <f>IF(A83="","",IFERROR(AVERAGEIF(RacePerformance!$F:$F,A83,RacePerformance!$J:$J),""))</f>
        <v/>
      </c>
      <c r="M83" s="6" t="str">
        <f>IF(A83="","",IFERROR(AVERAGEIF(RacePerformance!$F:$F,A83,RacePerformance!$K:$K),""))</f>
        <v/>
      </c>
      <c r="N83" s="6" t="str">
        <f>IF(A83="","",COUNTIFS(RacePerformance!$F:$F,A83,RacePerformance!$I:$I,"&lt;=20"))</f>
        <v/>
      </c>
      <c r="O83" s="6" t="str">
        <f>IF(A83="","",COUNTIFS(RacePerformance!$F:$F,A83,RacePerformance!$I:$I,1))</f>
        <v/>
      </c>
      <c r="P83" s="6" t="str">
        <f>IF(A83="","",COUNTIFS(RacePerformance!$F:$F,A83,RacePerformance!$J:$J,"&lt;=3"))</f>
        <v/>
      </c>
    </row>
    <row r="84" spans="1:16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6" t="str">
        <f>IF(A84="","",COUNTIF(RacePerformance!$F:$F,A84))</f>
        <v/>
      </c>
      <c r="K84" s="6" t="str">
        <f>IF(A84="","",IFERROR(AVERAGEIF(RacePerformance!$F:$F,A84,RacePerformance!$I:$I),""))</f>
        <v/>
      </c>
      <c r="L84" s="6" t="str">
        <f>IF(A84="","",IFERROR(AVERAGEIF(RacePerformance!$F:$F,A84,RacePerformance!$J:$J),""))</f>
        <v/>
      </c>
      <c r="M84" s="6" t="str">
        <f>IF(A84="","",IFERROR(AVERAGEIF(RacePerformance!$F:$F,A84,RacePerformance!$K:$K),""))</f>
        <v/>
      </c>
      <c r="N84" s="6" t="str">
        <f>IF(A84="","",COUNTIFS(RacePerformance!$F:$F,A84,RacePerformance!$I:$I,"&lt;=20"))</f>
        <v/>
      </c>
      <c r="O84" s="6" t="str">
        <f>IF(A84="","",COUNTIFS(RacePerformance!$F:$F,A84,RacePerformance!$I:$I,1))</f>
        <v/>
      </c>
      <c r="P84" s="6" t="str">
        <f>IF(A84="","",COUNTIFS(RacePerformance!$F:$F,A84,RacePerformance!$J:$J,"&lt;=3"))</f>
        <v/>
      </c>
    </row>
    <row r="85" spans="1:16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6" t="str">
        <f>IF(A85="","",COUNTIF(RacePerformance!$F:$F,A85))</f>
        <v/>
      </c>
      <c r="K85" s="6" t="str">
        <f>IF(A85="","",IFERROR(AVERAGEIF(RacePerformance!$F:$F,A85,RacePerformance!$I:$I),""))</f>
        <v/>
      </c>
      <c r="L85" s="6" t="str">
        <f>IF(A85="","",IFERROR(AVERAGEIF(RacePerformance!$F:$F,A85,RacePerformance!$J:$J),""))</f>
        <v/>
      </c>
      <c r="M85" s="6" t="str">
        <f>IF(A85="","",IFERROR(AVERAGEIF(RacePerformance!$F:$F,A85,RacePerformance!$K:$K),""))</f>
        <v/>
      </c>
      <c r="N85" s="6" t="str">
        <f>IF(A85="","",COUNTIFS(RacePerformance!$F:$F,A85,RacePerformance!$I:$I,"&lt;=20"))</f>
        <v/>
      </c>
      <c r="O85" s="6" t="str">
        <f>IF(A85="","",COUNTIFS(RacePerformance!$F:$F,A85,RacePerformance!$I:$I,1))</f>
        <v/>
      </c>
      <c r="P85" s="6" t="str">
        <f>IF(A85="","",COUNTIFS(RacePerformance!$F:$F,A85,RacePerformance!$J:$J,"&lt;=3"))</f>
        <v/>
      </c>
    </row>
    <row r="86" spans="1:16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6" t="str">
        <f>IF(A86="","",COUNTIF(RacePerformance!$F:$F,A86))</f>
        <v/>
      </c>
      <c r="K86" s="6" t="str">
        <f>IF(A86="","",IFERROR(AVERAGEIF(RacePerformance!$F:$F,A86,RacePerformance!$I:$I),""))</f>
        <v/>
      </c>
      <c r="L86" s="6" t="str">
        <f>IF(A86="","",IFERROR(AVERAGEIF(RacePerformance!$F:$F,A86,RacePerformance!$J:$J),""))</f>
        <v/>
      </c>
      <c r="M86" s="6" t="str">
        <f>IF(A86="","",IFERROR(AVERAGEIF(RacePerformance!$F:$F,A86,RacePerformance!$K:$K),""))</f>
        <v/>
      </c>
      <c r="N86" s="6" t="str">
        <f>IF(A86="","",COUNTIFS(RacePerformance!$F:$F,A86,RacePerformance!$I:$I,"&lt;=20"))</f>
        <v/>
      </c>
      <c r="O86" s="6" t="str">
        <f>IF(A86="","",COUNTIFS(RacePerformance!$F:$F,A86,RacePerformance!$I:$I,1))</f>
        <v/>
      </c>
      <c r="P86" s="6" t="str">
        <f>IF(A86="","",COUNTIFS(RacePerformance!$F:$F,A86,RacePerformance!$J:$J,"&lt;=3"))</f>
        <v/>
      </c>
    </row>
    <row r="87" spans="1:16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6" t="str">
        <f>IF(A87="","",COUNTIF(RacePerformance!$F:$F,A87))</f>
        <v/>
      </c>
      <c r="K87" s="6" t="str">
        <f>IF(A87="","",IFERROR(AVERAGEIF(RacePerformance!$F:$F,A87,RacePerformance!$I:$I),""))</f>
        <v/>
      </c>
      <c r="L87" s="6" t="str">
        <f>IF(A87="","",IFERROR(AVERAGEIF(RacePerformance!$F:$F,A87,RacePerformance!$J:$J),""))</f>
        <v/>
      </c>
      <c r="M87" s="6" t="str">
        <f>IF(A87="","",IFERROR(AVERAGEIF(RacePerformance!$F:$F,A87,RacePerformance!$K:$K),""))</f>
        <v/>
      </c>
      <c r="N87" s="6" t="str">
        <f>IF(A87="","",COUNTIFS(RacePerformance!$F:$F,A87,RacePerformance!$I:$I,"&lt;=20"))</f>
        <v/>
      </c>
      <c r="O87" s="6" t="str">
        <f>IF(A87="","",COUNTIFS(RacePerformance!$F:$F,A87,RacePerformance!$I:$I,1))</f>
        <v/>
      </c>
      <c r="P87" s="6" t="str">
        <f>IF(A87="","",COUNTIFS(RacePerformance!$F:$F,A87,RacePerformance!$J:$J,"&lt;=3"))</f>
        <v/>
      </c>
    </row>
    <row r="88" spans="1:16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6" t="str">
        <f>IF(A88="","",COUNTIF(RacePerformance!$F:$F,A88))</f>
        <v/>
      </c>
      <c r="K88" s="6" t="str">
        <f>IF(A88="","",IFERROR(AVERAGEIF(RacePerformance!$F:$F,A88,RacePerformance!$I:$I),""))</f>
        <v/>
      </c>
      <c r="L88" s="6" t="str">
        <f>IF(A88="","",IFERROR(AVERAGEIF(RacePerformance!$F:$F,A88,RacePerformance!$J:$J),""))</f>
        <v/>
      </c>
      <c r="M88" s="6" t="str">
        <f>IF(A88="","",IFERROR(AVERAGEIF(RacePerformance!$F:$F,A88,RacePerformance!$K:$K),""))</f>
        <v/>
      </c>
      <c r="N88" s="6" t="str">
        <f>IF(A88="","",COUNTIFS(RacePerformance!$F:$F,A88,RacePerformance!$I:$I,"&lt;=20"))</f>
        <v/>
      </c>
      <c r="O88" s="6" t="str">
        <f>IF(A88="","",COUNTIFS(RacePerformance!$F:$F,A88,RacePerformance!$I:$I,1))</f>
        <v/>
      </c>
      <c r="P88" s="6" t="str">
        <f>IF(A88="","",COUNTIFS(RacePerformance!$F:$F,A88,RacePerformance!$J:$J,"&lt;=3"))</f>
        <v/>
      </c>
    </row>
    <row r="89" spans="1:16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6" t="str">
        <f>IF(A89="","",COUNTIF(RacePerformance!$F:$F,A89))</f>
        <v/>
      </c>
      <c r="K89" s="6" t="str">
        <f>IF(A89="","",IFERROR(AVERAGEIF(RacePerformance!$F:$F,A89,RacePerformance!$I:$I),""))</f>
        <v/>
      </c>
      <c r="L89" s="6" t="str">
        <f>IF(A89="","",IFERROR(AVERAGEIF(RacePerformance!$F:$F,A89,RacePerformance!$J:$J),""))</f>
        <v/>
      </c>
      <c r="M89" s="6" t="str">
        <f>IF(A89="","",IFERROR(AVERAGEIF(RacePerformance!$F:$F,A89,RacePerformance!$K:$K),""))</f>
        <v/>
      </c>
      <c r="N89" s="6" t="str">
        <f>IF(A89="","",COUNTIFS(RacePerformance!$F:$F,A89,RacePerformance!$I:$I,"&lt;=20"))</f>
        <v/>
      </c>
      <c r="O89" s="6" t="str">
        <f>IF(A89="","",COUNTIFS(RacePerformance!$F:$F,A89,RacePerformance!$I:$I,1))</f>
        <v/>
      </c>
      <c r="P89" s="6" t="str">
        <f>IF(A89="","",COUNTIFS(RacePerformance!$F:$F,A89,RacePerformance!$J:$J,"&lt;=3"))</f>
        <v/>
      </c>
    </row>
    <row r="90" spans="1:16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6" t="str">
        <f>IF(A90="","",COUNTIF(RacePerformance!$F:$F,A90))</f>
        <v/>
      </c>
      <c r="K90" s="6" t="str">
        <f>IF(A90="","",IFERROR(AVERAGEIF(RacePerformance!$F:$F,A90,RacePerformance!$I:$I),""))</f>
        <v/>
      </c>
      <c r="L90" s="6" t="str">
        <f>IF(A90="","",IFERROR(AVERAGEIF(RacePerformance!$F:$F,A90,RacePerformance!$J:$J),""))</f>
        <v/>
      </c>
      <c r="M90" s="6" t="str">
        <f>IF(A90="","",IFERROR(AVERAGEIF(RacePerformance!$F:$F,A90,RacePerformance!$K:$K),""))</f>
        <v/>
      </c>
      <c r="N90" s="6" t="str">
        <f>IF(A90="","",COUNTIFS(RacePerformance!$F:$F,A90,RacePerformance!$I:$I,"&lt;=20"))</f>
        <v/>
      </c>
      <c r="O90" s="6" t="str">
        <f>IF(A90="","",COUNTIFS(RacePerformance!$F:$F,A90,RacePerformance!$I:$I,1))</f>
        <v/>
      </c>
      <c r="P90" s="6" t="str">
        <f>IF(A90="","",COUNTIFS(RacePerformance!$F:$F,A90,RacePerformance!$J:$J,"&lt;=3"))</f>
        <v/>
      </c>
    </row>
    <row r="91" spans="1:16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6" t="str">
        <f>IF(A91="","",COUNTIF(RacePerformance!$F:$F,A91))</f>
        <v/>
      </c>
      <c r="K91" s="6" t="str">
        <f>IF(A91="","",IFERROR(AVERAGEIF(RacePerformance!$F:$F,A91,RacePerformance!$I:$I),""))</f>
        <v/>
      </c>
      <c r="L91" s="6" t="str">
        <f>IF(A91="","",IFERROR(AVERAGEIF(RacePerformance!$F:$F,A91,RacePerformance!$J:$J),""))</f>
        <v/>
      </c>
      <c r="M91" s="6" t="str">
        <f>IF(A91="","",IFERROR(AVERAGEIF(RacePerformance!$F:$F,A91,RacePerformance!$K:$K),""))</f>
        <v/>
      </c>
      <c r="N91" s="6" t="str">
        <f>IF(A91="","",COUNTIFS(RacePerformance!$F:$F,A91,RacePerformance!$I:$I,"&lt;=20"))</f>
        <v/>
      </c>
      <c r="O91" s="6" t="str">
        <f>IF(A91="","",COUNTIFS(RacePerformance!$F:$F,A91,RacePerformance!$I:$I,1))</f>
        <v/>
      </c>
      <c r="P91" s="6" t="str">
        <f>IF(A91="","",COUNTIFS(RacePerformance!$F:$F,A91,RacePerformance!$J:$J,"&lt;=3"))</f>
        <v/>
      </c>
    </row>
    <row r="92" spans="1:16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6" t="str">
        <f>IF(A92="","",COUNTIF(RacePerformance!$F:$F,A92))</f>
        <v/>
      </c>
      <c r="K92" s="6" t="str">
        <f>IF(A92="","",IFERROR(AVERAGEIF(RacePerformance!$F:$F,A92,RacePerformance!$I:$I),""))</f>
        <v/>
      </c>
      <c r="L92" s="6" t="str">
        <f>IF(A92="","",IFERROR(AVERAGEIF(RacePerformance!$F:$F,A92,RacePerformance!$J:$J),""))</f>
        <v/>
      </c>
      <c r="M92" s="6" t="str">
        <f>IF(A92="","",IFERROR(AVERAGEIF(RacePerformance!$F:$F,A92,RacePerformance!$K:$K),""))</f>
        <v/>
      </c>
      <c r="N92" s="6" t="str">
        <f>IF(A92="","",COUNTIFS(RacePerformance!$F:$F,A92,RacePerformance!$I:$I,"&lt;=20"))</f>
        <v/>
      </c>
      <c r="O92" s="6" t="str">
        <f>IF(A92="","",COUNTIFS(RacePerformance!$F:$F,A92,RacePerformance!$I:$I,1))</f>
        <v/>
      </c>
      <c r="P92" s="6" t="str">
        <f>IF(A92="","",COUNTIFS(RacePerformance!$F:$F,A92,RacePerformance!$J:$J,"&lt;=3"))</f>
        <v/>
      </c>
    </row>
    <row r="93" spans="1:16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6" t="str">
        <f>IF(A93="","",COUNTIF(RacePerformance!$F:$F,A93))</f>
        <v/>
      </c>
      <c r="K93" s="6" t="str">
        <f>IF(A93="","",IFERROR(AVERAGEIF(RacePerformance!$F:$F,A93,RacePerformance!$I:$I),""))</f>
        <v/>
      </c>
      <c r="L93" s="6" t="str">
        <f>IF(A93="","",IFERROR(AVERAGEIF(RacePerformance!$F:$F,A93,RacePerformance!$J:$J),""))</f>
        <v/>
      </c>
      <c r="M93" s="6" t="str">
        <f>IF(A93="","",IFERROR(AVERAGEIF(RacePerformance!$F:$F,A93,RacePerformance!$K:$K),""))</f>
        <v/>
      </c>
      <c r="N93" s="6" t="str">
        <f>IF(A93="","",COUNTIFS(RacePerformance!$F:$F,A93,RacePerformance!$I:$I,"&lt;=20"))</f>
        <v/>
      </c>
      <c r="O93" s="6" t="str">
        <f>IF(A93="","",COUNTIFS(RacePerformance!$F:$F,A93,RacePerformance!$I:$I,1))</f>
        <v/>
      </c>
      <c r="P93" s="6" t="str">
        <f>IF(A93="","",COUNTIFS(RacePerformance!$F:$F,A93,RacePerformance!$J:$J,"&lt;=3"))</f>
        <v/>
      </c>
    </row>
    <row r="94" spans="1:16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6" t="str">
        <f>IF(A94="","",COUNTIF(RacePerformance!$F:$F,A94))</f>
        <v/>
      </c>
      <c r="K94" s="6" t="str">
        <f>IF(A94="","",IFERROR(AVERAGEIF(RacePerformance!$F:$F,A94,RacePerformance!$I:$I),""))</f>
        <v/>
      </c>
      <c r="L94" s="6" t="str">
        <f>IF(A94="","",IFERROR(AVERAGEIF(RacePerformance!$F:$F,A94,RacePerformance!$J:$J),""))</f>
        <v/>
      </c>
      <c r="M94" s="6" t="str">
        <f>IF(A94="","",IFERROR(AVERAGEIF(RacePerformance!$F:$F,A94,RacePerformance!$K:$K),""))</f>
        <v/>
      </c>
      <c r="N94" s="6" t="str">
        <f>IF(A94="","",COUNTIFS(RacePerformance!$F:$F,A94,RacePerformance!$I:$I,"&lt;=20"))</f>
        <v/>
      </c>
      <c r="O94" s="6" t="str">
        <f>IF(A94="","",COUNTIFS(RacePerformance!$F:$F,A94,RacePerformance!$I:$I,1))</f>
        <v/>
      </c>
      <c r="P94" s="6" t="str">
        <f>IF(A94="","",COUNTIFS(RacePerformance!$F:$F,A94,RacePerformance!$J:$J,"&lt;=3"))</f>
        <v/>
      </c>
    </row>
    <row r="95" spans="1:16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6" t="str">
        <f>IF(A95="","",COUNTIF(RacePerformance!$F:$F,A95))</f>
        <v/>
      </c>
      <c r="K95" s="6" t="str">
        <f>IF(A95="","",IFERROR(AVERAGEIF(RacePerformance!$F:$F,A95,RacePerformance!$I:$I),""))</f>
        <v/>
      </c>
      <c r="L95" s="6" t="str">
        <f>IF(A95="","",IFERROR(AVERAGEIF(RacePerformance!$F:$F,A95,RacePerformance!$J:$J),""))</f>
        <v/>
      </c>
      <c r="M95" s="6" t="str">
        <f>IF(A95="","",IFERROR(AVERAGEIF(RacePerformance!$F:$F,A95,RacePerformance!$K:$K),""))</f>
        <v/>
      </c>
      <c r="N95" s="6" t="str">
        <f>IF(A95="","",COUNTIFS(RacePerformance!$F:$F,A95,RacePerformance!$I:$I,"&lt;=20"))</f>
        <v/>
      </c>
      <c r="O95" s="6" t="str">
        <f>IF(A95="","",COUNTIFS(RacePerformance!$F:$F,A95,RacePerformance!$I:$I,1))</f>
        <v/>
      </c>
      <c r="P95" s="6" t="str">
        <f>IF(A95="","",COUNTIFS(RacePerformance!$F:$F,A95,RacePerformance!$J:$J,"&lt;=3"))</f>
        <v/>
      </c>
    </row>
    <row r="96" spans="1:16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6" t="str">
        <f>IF(A96="","",COUNTIF(RacePerformance!$F:$F,A96))</f>
        <v/>
      </c>
      <c r="K96" s="6" t="str">
        <f>IF(A96="","",IFERROR(AVERAGEIF(RacePerformance!$F:$F,A96,RacePerformance!$I:$I),""))</f>
        <v/>
      </c>
      <c r="L96" s="6" t="str">
        <f>IF(A96="","",IFERROR(AVERAGEIF(RacePerformance!$F:$F,A96,RacePerformance!$J:$J),""))</f>
        <v/>
      </c>
      <c r="M96" s="6" t="str">
        <f>IF(A96="","",IFERROR(AVERAGEIF(RacePerformance!$F:$F,A96,RacePerformance!$K:$K),""))</f>
        <v/>
      </c>
      <c r="N96" s="6" t="str">
        <f>IF(A96="","",COUNTIFS(RacePerformance!$F:$F,A96,RacePerformance!$I:$I,"&lt;=20"))</f>
        <v/>
      </c>
      <c r="O96" s="6" t="str">
        <f>IF(A96="","",COUNTIFS(RacePerformance!$F:$F,A96,RacePerformance!$I:$I,1))</f>
        <v/>
      </c>
      <c r="P96" s="6" t="str">
        <f>IF(A96="","",COUNTIFS(RacePerformance!$F:$F,A96,RacePerformance!$J:$J,"&lt;=3"))</f>
        <v/>
      </c>
    </row>
    <row r="97" spans="1:16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6" t="str">
        <f>IF(A97="","",COUNTIF(RacePerformance!$F:$F,A97))</f>
        <v/>
      </c>
      <c r="K97" s="6" t="str">
        <f>IF(A97="","",IFERROR(AVERAGEIF(RacePerformance!$F:$F,A97,RacePerformance!$I:$I),""))</f>
        <v/>
      </c>
      <c r="L97" s="6" t="str">
        <f>IF(A97="","",IFERROR(AVERAGEIF(RacePerformance!$F:$F,A97,RacePerformance!$J:$J),""))</f>
        <v/>
      </c>
      <c r="M97" s="6" t="str">
        <f>IF(A97="","",IFERROR(AVERAGEIF(RacePerformance!$F:$F,A97,RacePerformance!$K:$K),""))</f>
        <v/>
      </c>
      <c r="N97" s="6" t="str">
        <f>IF(A97="","",COUNTIFS(RacePerformance!$F:$F,A97,RacePerformance!$I:$I,"&lt;=20"))</f>
        <v/>
      </c>
      <c r="O97" s="6" t="str">
        <f>IF(A97="","",COUNTIFS(RacePerformance!$F:$F,A97,RacePerformance!$I:$I,1))</f>
        <v/>
      </c>
      <c r="P97" s="6" t="str">
        <f>IF(A97="","",COUNTIFS(RacePerformance!$F:$F,A97,RacePerformance!$J:$J,"&lt;=3"))</f>
        <v/>
      </c>
    </row>
    <row r="98" spans="1:16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6" t="str">
        <f>IF(A98="","",COUNTIF(RacePerformance!$F:$F,A98))</f>
        <v/>
      </c>
      <c r="K98" s="6" t="str">
        <f>IF(A98="","",IFERROR(AVERAGEIF(RacePerformance!$F:$F,A98,RacePerformance!$I:$I),""))</f>
        <v/>
      </c>
      <c r="L98" s="6" t="str">
        <f>IF(A98="","",IFERROR(AVERAGEIF(RacePerformance!$F:$F,A98,RacePerformance!$J:$J),""))</f>
        <v/>
      </c>
      <c r="M98" s="6" t="str">
        <f>IF(A98="","",IFERROR(AVERAGEIF(RacePerformance!$F:$F,A98,RacePerformance!$K:$K),""))</f>
        <v/>
      </c>
      <c r="N98" s="6" t="str">
        <f>IF(A98="","",COUNTIFS(RacePerformance!$F:$F,A98,RacePerformance!$I:$I,"&lt;=20"))</f>
        <v/>
      </c>
      <c r="O98" s="6" t="str">
        <f>IF(A98="","",COUNTIFS(RacePerformance!$F:$F,A98,RacePerformance!$I:$I,1))</f>
        <v/>
      </c>
      <c r="P98" s="6" t="str">
        <f>IF(A98="","",COUNTIFS(RacePerformance!$F:$F,A98,RacePerformance!$J:$J,"&lt;=3"))</f>
        <v/>
      </c>
    </row>
    <row r="99" spans="1:16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6" t="str">
        <f>IF(A99="","",COUNTIF(RacePerformance!$F:$F,A99))</f>
        <v/>
      </c>
      <c r="K99" s="6" t="str">
        <f>IF(A99="","",IFERROR(AVERAGEIF(RacePerformance!$F:$F,A99,RacePerformance!$I:$I),""))</f>
        <v/>
      </c>
      <c r="L99" s="6" t="str">
        <f>IF(A99="","",IFERROR(AVERAGEIF(RacePerformance!$F:$F,A99,RacePerformance!$J:$J),""))</f>
        <v/>
      </c>
      <c r="M99" s="6" t="str">
        <f>IF(A99="","",IFERROR(AVERAGEIF(RacePerformance!$F:$F,A99,RacePerformance!$K:$K),""))</f>
        <v/>
      </c>
      <c r="N99" s="6" t="str">
        <f>IF(A99="","",COUNTIFS(RacePerformance!$F:$F,A99,RacePerformance!$I:$I,"&lt;=20"))</f>
        <v/>
      </c>
      <c r="O99" s="6" t="str">
        <f>IF(A99="","",COUNTIFS(RacePerformance!$F:$F,A99,RacePerformance!$I:$I,1))</f>
        <v/>
      </c>
      <c r="P99" s="6" t="str">
        <f>IF(A99="","",COUNTIFS(RacePerformance!$F:$F,A99,RacePerformance!$J:$J,"&lt;=3"))</f>
        <v/>
      </c>
    </row>
    <row r="100" spans="1:16" ht="14.2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6" t="str">
        <f>IF(A100="","",COUNTIF(RacePerformance!$F:$F,A100))</f>
        <v/>
      </c>
      <c r="K100" s="6" t="str">
        <f>IF(A100="","",IFERROR(AVERAGEIF(RacePerformance!$F:$F,A100,RacePerformance!$I:$I),""))</f>
        <v/>
      </c>
      <c r="L100" s="6" t="str">
        <f>IF(A100="","",IFERROR(AVERAGEIF(RacePerformance!$F:$F,A100,RacePerformance!$J:$J),""))</f>
        <v/>
      </c>
      <c r="M100" s="6" t="str">
        <f>IF(A100="","",IFERROR(AVERAGEIF(RacePerformance!$F:$F,A100,RacePerformance!$K:$K),""))</f>
        <v/>
      </c>
      <c r="N100" s="6" t="str">
        <f>IF(A100="","",COUNTIFS(RacePerformance!$F:$F,A100,RacePerformance!$I:$I,"&lt;=20"))</f>
        <v/>
      </c>
      <c r="O100" s="6" t="str">
        <f>IF(A100="","",COUNTIFS(RacePerformance!$F:$F,A100,RacePerformance!$I:$I,1))</f>
        <v/>
      </c>
      <c r="P100" s="6" t="str">
        <f>IF(A100="","",COUNTIFS(RacePerformance!$F:$F,A100,RacePerformance!$J:$J,"&lt;=3"))</f>
        <v/>
      </c>
    </row>
    <row r="101" spans="1:16" ht="14.2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6" t="str">
        <f>IF(A101="","",COUNTIF(RacePerformance!$F:$F,A101))</f>
        <v/>
      </c>
      <c r="K101" s="6" t="str">
        <f>IF(A101="","",IFERROR(AVERAGEIF(RacePerformance!$F:$F,A101,RacePerformance!$I:$I),""))</f>
        <v/>
      </c>
      <c r="L101" s="6" t="str">
        <f>IF(A101="","",IFERROR(AVERAGEIF(RacePerformance!$F:$F,A101,RacePerformance!$J:$J),""))</f>
        <v/>
      </c>
      <c r="M101" s="6" t="str">
        <f>IF(A101="","",IFERROR(AVERAGEIF(RacePerformance!$F:$F,A101,RacePerformance!$K:$K),""))</f>
        <v/>
      </c>
      <c r="N101" s="6" t="str">
        <f>IF(A101="","",COUNTIFS(RacePerformance!$F:$F,A101,RacePerformance!$I:$I,"&lt;=20"))</f>
        <v/>
      </c>
      <c r="O101" s="6" t="str">
        <f>IF(A101="","",COUNTIFS(RacePerformance!$F:$F,A101,RacePerformance!$I:$I,1))</f>
        <v/>
      </c>
      <c r="P101" s="6" t="str">
        <f>IF(A101="","",COUNTIFS(RacePerformance!$F:$F,A101,RacePerformance!$J:$J,"&lt;=3"))</f>
        <v/>
      </c>
    </row>
    <row r="102" spans="1:16" ht="14.2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6" t="str">
        <f>IF(A102="","",COUNTIF(RacePerformance!$F:$F,A102))</f>
        <v/>
      </c>
      <c r="K102" s="6" t="str">
        <f>IF(A102="","",IFERROR(AVERAGEIF(RacePerformance!$F:$F,A102,RacePerformance!$I:$I),""))</f>
        <v/>
      </c>
      <c r="L102" s="6" t="str">
        <f>IF(A102="","",IFERROR(AVERAGEIF(RacePerformance!$F:$F,A102,RacePerformance!$J:$J),""))</f>
        <v/>
      </c>
      <c r="M102" s="6" t="str">
        <f>IF(A102="","",IFERROR(AVERAGEIF(RacePerformance!$F:$F,A102,RacePerformance!$K:$K),""))</f>
        <v/>
      </c>
      <c r="N102" s="6" t="str">
        <f>IF(A102="","",COUNTIFS(RacePerformance!$F:$F,A102,RacePerformance!$I:$I,"&lt;=20"))</f>
        <v/>
      </c>
      <c r="O102" s="6" t="str">
        <f>IF(A102="","",COUNTIFS(RacePerformance!$F:$F,A102,RacePerformance!$I:$I,1))</f>
        <v/>
      </c>
      <c r="P102" s="6" t="str">
        <f>IF(A102="","",COUNTIFS(RacePerformance!$F:$F,A102,RacePerformance!$J:$J,"&lt;=3"))</f>
        <v/>
      </c>
    </row>
    <row r="103" spans="1:16" ht="14.2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6" t="str">
        <f>IF(A103="","",COUNTIF(RacePerformance!$F:$F,A103))</f>
        <v/>
      </c>
      <c r="K103" s="6" t="str">
        <f>IF(A103="","",IFERROR(AVERAGEIF(RacePerformance!$F:$F,A103,RacePerformance!$I:$I),""))</f>
        <v/>
      </c>
      <c r="L103" s="6" t="str">
        <f>IF(A103="","",IFERROR(AVERAGEIF(RacePerformance!$F:$F,A103,RacePerformance!$J:$J),""))</f>
        <v/>
      </c>
      <c r="M103" s="6" t="str">
        <f>IF(A103="","",IFERROR(AVERAGEIF(RacePerformance!$F:$F,A103,RacePerformance!$K:$K),""))</f>
        <v/>
      </c>
      <c r="N103" s="6" t="str">
        <f>IF(A103="","",COUNTIFS(RacePerformance!$F:$F,A103,RacePerformance!$I:$I,"&lt;=20"))</f>
        <v/>
      </c>
      <c r="O103" s="6" t="str">
        <f>IF(A103="","",COUNTIFS(RacePerformance!$F:$F,A103,RacePerformance!$I:$I,1))</f>
        <v/>
      </c>
      <c r="P103" s="6" t="str">
        <f>IF(A103="","",COUNTIFS(RacePerformance!$F:$F,A103,RacePerformance!$J:$J,"&lt;=3"))</f>
        <v/>
      </c>
    </row>
    <row r="104" spans="1:16" ht="14.2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6" t="str">
        <f>IF(A104="","",COUNTIF(RacePerformance!$F:$F,A104))</f>
        <v/>
      </c>
      <c r="K104" s="6" t="str">
        <f>IF(A104="","",IFERROR(AVERAGEIF(RacePerformance!$F:$F,A104,RacePerformance!$I:$I),""))</f>
        <v/>
      </c>
      <c r="L104" s="6" t="str">
        <f>IF(A104="","",IFERROR(AVERAGEIF(RacePerformance!$F:$F,A104,RacePerformance!$J:$J),""))</f>
        <v/>
      </c>
      <c r="M104" s="6" t="str">
        <f>IF(A104="","",IFERROR(AVERAGEIF(RacePerformance!$F:$F,A104,RacePerformance!$K:$K),""))</f>
        <v/>
      </c>
      <c r="N104" s="6" t="str">
        <f>IF(A104="","",COUNTIFS(RacePerformance!$F:$F,A104,RacePerformance!$I:$I,"&lt;=20"))</f>
        <v/>
      </c>
      <c r="O104" s="6" t="str">
        <f>IF(A104="","",COUNTIFS(RacePerformance!$F:$F,A104,RacePerformance!$I:$I,1))</f>
        <v/>
      </c>
      <c r="P104" s="6" t="str">
        <f>IF(A104="","",COUNTIFS(RacePerformance!$F:$F,A104,RacePerformance!$J:$J,"&lt;=3"))</f>
        <v/>
      </c>
    </row>
    <row r="105" spans="1:16" ht="14.2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6" t="str">
        <f>IF(A105="","",COUNTIF(RacePerformance!$F:$F,A105))</f>
        <v/>
      </c>
      <c r="K105" s="6" t="str">
        <f>IF(A105="","",IFERROR(AVERAGEIF(RacePerformance!$F:$F,A105,RacePerformance!$I:$I),""))</f>
        <v/>
      </c>
      <c r="L105" s="6" t="str">
        <f>IF(A105="","",IFERROR(AVERAGEIF(RacePerformance!$F:$F,A105,RacePerformance!$J:$J),""))</f>
        <v/>
      </c>
      <c r="M105" s="6" t="str">
        <f>IF(A105="","",IFERROR(AVERAGEIF(RacePerformance!$F:$F,A105,RacePerformance!$K:$K),""))</f>
        <v/>
      </c>
      <c r="N105" s="6" t="str">
        <f>IF(A105="","",COUNTIFS(RacePerformance!$F:$F,A105,RacePerformance!$I:$I,"&lt;=20"))</f>
        <v/>
      </c>
      <c r="O105" s="6" t="str">
        <f>IF(A105="","",COUNTIFS(RacePerformance!$F:$F,A105,RacePerformance!$I:$I,1))</f>
        <v/>
      </c>
      <c r="P105" s="6" t="str">
        <f>IF(A105="","",COUNTIFS(RacePerformance!$F:$F,A105,RacePerformance!$J:$J,"&lt;=3"))</f>
        <v/>
      </c>
    </row>
    <row r="106" spans="1:16" ht="14.2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6" t="str">
        <f>IF(A106="","",COUNTIF(RacePerformance!$F:$F,A106))</f>
        <v/>
      </c>
      <c r="K106" s="6" t="str">
        <f>IF(A106="","",IFERROR(AVERAGEIF(RacePerformance!$F:$F,A106,RacePerformance!$I:$I),""))</f>
        <v/>
      </c>
      <c r="L106" s="6" t="str">
        <f>IF(A106="","",IFERROR(AVERAGEIF(RacePerformance!$F:$F,A106,RacePerformance!$J:$J),""))</f>
        <v/>
      </c>
      <c r="M106" s="6" t="str">
        <f>IF(A106="","",IFERROR(AVERAGEIF(RacePerformance!$F:$F,A106,RacePerformance!$K:$K),""))</f>
        <v/>
      </c>
      <c r="N106" s="6" t="str">
        <f>IF(A106="","",COUNTIFS(RacePerformance!$F:$F,A106,RacePerformance!$I:$I,"&lt;=20"))</f>
        <v/>
      </c>
      <c r="O106" s="6" t="str">
        <f>IF(A106="","",COUNTIFS(RacePerformance!$F:$F,A106,RacePerformance!$I:$I,1))</f>
        <v/>
      </c>
      <c r="P106" s="6" t="str">
        <f>IF(A106="","",COUNTIFS(RacePerformance!$F:$F,A106,RacePerformance!$J:$J,"&lt;=3"))</f>
        <v/>
      </c>
    </row>
    <row r="107" spans="1:16" ht="14.2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6" t="str">
        <f>IF(A107="","",COUNTIF(RacePerformance!$F:$F,A107))</f>
        <v/>
      </c>
      <c r="K107" s="6" t="str">
        <f>IF(A107="","",IFERROR(AVERAGEIF(RacePerformance!$F:$F,A107,RacePerformance!$I:$I),""))</f>
        <v/>
      </c>
      <c r="L107" s="6" t="str">
        <f>IF(A107="","",IFERROR(AVERAGEIF(RacePerformance!$F:$F,A107,RacePerformance!$J:$J),""))</f>
        <v/>
      </c>
      <c r="M107" s="6" t="str">
        <f>IF(A107="","",IFERROR(AVERAGEIF(RacePerformance!$F:$F,A107,RacePerformance!$K:$K),""))</f>
        <v/>
      </c>
      <c r="N107" s="6" t="str">
        <f>IF(A107="","",COUNTIFS(RacePerformance!$F:$F,A107,RacePerformance!$I:$I,"&lt;=20"))</f>
        <v/>
      </c>
      <c r="O107" s="6" t="str">
        <f>IF(A107="","",COUNTIFS(RacePerformance!$F:$F,A107,RacePerformance!$I:$I,1))</f>
        <v/>
      </c>
      <c r="P107" s="6" t="str">
        <f>IF(A107="","",COUNTIFS(RacePerformance!$F:$F,A107,RacePerformance!$J:$J,"&lt;=3"))</f>
        <v/>
      </c>
    </row>
    <row r="108" spans="1:16" ht="14.2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6" t="str">
        <f>IF(A108="","",COUNTIF(RacePerformance!$F:$F,A108))</f>
        <v/>
      </c>
      <c r="K108" s="6" t="str">
        <f>IF(A108="","",IFERROR(AVERAGEIF(RacePerformance!$F:$F,A108,RacePerformance!$I:$I),""))</f>
        <v/>
      </c>
      <c r="L108" s="6" t="str">
        <f>IF(A108="","",IFERROR(AVERAGEIF(RacePerformance!$F:$F,A108,RacePerformance!$J:$J),""))</f>
        <v/>
      </c>
      <c r="M108" s="6" t="str">
        <f>IF(A108="","",IFERROR(AVERAGEIF(RacePerformance!$F:$F,A108,RacePerformance!$K:$K),""))</f>
        <v/>
      </c>
      <c r="N108" s="6" t="str">
        <f>IF(A108="","",COUNTIFS(RacePerformance!$F:$F,A108,RacePerformance!$I:$I,"&lt;=20"))</f>
        <v/>
      </c>
      <c r="O108" s="6" t="str">
        <f>IF(A108="","",COUNTIFS(RacePerformance!$F:$F,A108,RacePerformance!$I:$I,1))</f>
        <v/>
      </c>
      <c r="P108" s="6" t="str">
        <f>IF(A108="","",COUNTIFS(RacePerformance!$F:$F,A108,RacePerformance!$J:$J,"&lt;=3"))</f>
        <v/>
      </c>
    </row>
    <row r="109" spans="1:16" ht="14.2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6" t="str">
        <f>IF(A109="","",COUNTIF(RacePerformance!$F:$F,A109))</f>
        <v/>
      </c>
      <c r="K109" s="6" t="str">
        <f>IF(A109="","",IFERROR(AVERAGEIF(RacePerformance!$F:$F,A109,RacePerformance!$I:$I),""))</f>
        <v/>
      </c>
      <c r="L109" s="6" t="str">
        <f>IF(A109="","",IFERROR(AVERAGEIF(RacePerformance!$F:$F,A109,RacePerformance!$J:$J),""))</f>
        <v/>
      </c>
      <c r="M109" s="6" t="str">
        <f>IF(A109="","",IFERROR(AVERAGEIF(RacePerformance!$F:$F,A109,RacePerformance!$K:$K),""))</f>
        <v/>
      </c>
      <c r="N109" s="6" t="str">
        <f>IF(A109="","",COUNTIFS(RacePerformance!$F:$F,A109,RacePerformance!$I:$I,"&lt;=20"))</f>
        <v/>
      </c>
      <c r="O109" s="6" t="str">
        <f>IF(A109="","",COUNTIFS(RacePerformance!$F:$F,A109,RacePerformance!$I:$I,1))</f>
        <v/>
      </c>
      <c r="P109" s="6" t="str">
        <f>IF(A109="","",COUNTIFS(RacePerformance!$F:$F,A109,RacePerformance!$J:$J,"&lt;=3"))</f>
        <v/>
      </c>
    </row>
    <row r="110" spans="1:16" ht="14.2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6" t="str">
        <f>IF(A110="","",COUNTIF(RacePerformance!$F:$F,A110))</f>
        <v/>
      </c>
      <c r="K110" s="6" t="str">
        <f>IF(A110="","",IFERROR(AVERAGEIF(RacePerformance!$F:$F,A110,RacePerformance!$I:$I),""))</f>
        <v/>
      </c>
      <c r="L110" s="6" t="str">
        <f>IF(A110="","",IFERROR(AVERAGEIF(RacePerformance!$F:$F,A110,RacePerformance!$J:$J),""))</f>
        <v/>
      </c>
      <c r="M110" s="6" t="str">
        <f>IF(A110="","",IFERROR(AVERAGEIF(RacePerformance!$F:$F,A110,RacePerformance!$K:$K),""))</f>
        <v/>
      </c>
      <c r="N110" s="6" t="str">
        <f>IF(A110="","",COUNTIFS(RacePerformance!$F:$F,A110,RacePerformance!$I:$I,"&lt;=20"))</f>
        <v/>
      </c>
      <c r="O110" s="6" t="str">
        <f>IF(A110="","",COUNTIFS(RacePerformance!$F:$F,A110,RacePerformance!$I:$I,1))</f>
        <v/>
      </c>
      <c r="P110" s="6" t="str">
        <f>IF(A110="","",COUNTIFS(RacePerformance!$F:$F,A110,RacePerformance!$J:$J,"&lt;=3"))</f>
        <v/>
      </c>
    </row>
    <row r="111" spans="1:16" ht="14.2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6" t="str">
        <f>IF(A111="","",COUNTIF(RacePerformance!$F:$F,A111))</f>
        <v/>
      </c>
      <c r="K111" s="6" t="str">
        <f>IF(A111="","",IFERROR(AVERAGEIF(RacePerformance!$F:$F,A111,RacePerformance!$I:$I),""))</f>
        <v/>
      </c>
      <c r="L111" s="6" t="str">
        <f>IF(A111="","",IFERROR(AVERAGEIF(RacePerformance!$F:$F,A111,RacePerformance!$J:$J),""))</f>
        <v/>
      </c>
      <c r="M111" s="6" t="str">
        <f>IF(A111="","",IFERROR(AVERAGEIF(RacePerformance!$F:$F,A111,RacePerformance!$K:$K),""))</f>
        <v/>
      </c>
      <c r="N111" s="6" t="str">
        <f>IF(A111="","",COUNTIFS(RacePerformance!$F:$F,A111,RacePerformance!$I:$I,"&lt;=20"))</f>
        <v/>
      </c>
      <c r="O111" s="6" t="str">
        <f>IF(A111="","",COUNTIFS(RacePerformance!$F:$F,A111,RacePerformance!$I:$I,1))</f>
        <v/>
      </c>
      <c r="P111" s="6" t="str">
        <f>IF(A111="","",COUNTIFS(RacePerformance!$F:$F,A111,RacePerformance!$J:$J,"&lt;=3"))</f>
        <v/>
      </c>
    </row>
    <row r="112" spans="1:16" ht="14.2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6" t="str">
        <f>IF(A112="","",COUNTIF(RacePerformance!$F:$F,A112))</f>
        <v/>
      </c>
      <c r="K112" s="6" t="str">
        <f>IF(A112="","",IFERROR(AVERAGEIF(RacePerformance!$F:$F,A112,RacePerformance!$I:$I),""))</f>
        <v/>
      </c>
      <c r="L112" s="6" t="str">
        <f>IF(A112="","",IFERROR(AVERAGEIF(RacePerformance!$F:$F,A112,RacePerformance!$J:$J),""))</f>
        <v/>
      </c>
      <c r="M112" s="6" t="str">
        <f>IF(A112="","",IFERROR(AVERAGEIF(RacePerformance!$F:$F,A112,RacePerformance!$K:$K),""))</f>
        <v/>
      </c>
      <c r="N112" s="6" t="str">
        <f>IF(A112="","",COUNTIFS(RacePerformance!$F:$F,A112,RacePerformance!$I:$I,"&lt;=20"))</f>
        <v/>
      </c>
      <c r="O112" s="6" t="str">
        <f>IF(A112="","",COUNTIFS(RacePerformance!$F:$F,A112,RacePerformance!$I:$I,1))</f>
        <v/>
      </c>
      <c r="P112" s="6" t="str">
        <f>IF(A112="","",COUNTIFS(RacePerformance!$F:$F,A112,RacePerformance!$J:$J,"&lt;=3"))</f>
        <v/>
      </c>
    </row>
    <row r="113" spans="1:16" ht="14.2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6" t="str">
        <f>IF(A113="","",COUNTIF(RacePerformance!$F:$F,A113))</f>
        <v/>
      </c>
      <c r="K113" s="6" t="str">
        <f>IF(A113="","",IFERROR(AVERAGEIF(RacePerformance!$F:$F,A113,RacePerformance!$I:$I),""))</f>
        <v/>
      </c>
      <c r="L113" s="6" t="str">
        <f>IF(A113="","",IFERROR(AVERAGEIF(RacePerformance!$F:$F,A113,RacePerformance!$J:$J),""))</f>
        <v/>
      </c>
      <c r="M113" s="6" t="str">
        <f>IF(A113="","",IFERROR(AVERAGEIF(RacePerformance!$F:$F,A113,RacePerformance!$K:$K),""))</f>
        <v/>
      </c>
      <c r="N113" s="6" t="str">
        <f>IF(A113="","",COUNTIFS(RacePerformance!$F:$F,A113,RacePerformance!$I:$I,"&lt;=20"))</f>
        <v/>
      </c>
      <c r="O113" s="6" t="str">
        <f>IF(A113="","",COUNTIFS(RacePerformance!$F:$F,A113,RacePerformance!$I:$I,1))</f>
        <v/>
      </c>
      <c r="P113" s="6" t="str">
        <f>IF(A113="","",COUNTIFS(RacePerformance!$F:$F,A113,RacePerformance!$J:$J,"&lt;=3"))</f>
        <v/>
      </c>
    </row>
    <row r="114" spans="1:16" ht="14.2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6" t="str">
        <f>IF(A114="","",COUNTIF(RacePerformance!$F:$F,A114))</f>
        <v/>
      </c>
      <c r="K114" s="6" t="str">
        <f>IF(A114="","",IFERROR(AVERAGEIF(RacePerformance!$F:$F,A114,RacePerformance!$I:$I),""))</f>
        <v/>
      </c>
      <c r="L114" s="6" t="str">
        <f>IF(A114="","",IFERROR(AVERAGEIF(RacePerformance!$F:$F,A114,RacePerformance!$J:$J),""))</f>
        <v/>
      </c>
      <c r="M114" s="6" t="str">
        <f>IF(A114="","",IFERROR(AVERAGEIF(RacePerformance!$F:$F,A114,RacePerformance!$K:$K),""))</f>
        <v/>
      </c>
      <c r="N114" s="6" t="str">
        <f>IF(A114="","",COUNTIFS(RacePerformance!$F:$F,A114,RacePerformance!$I:$I,"&lt;=20"))</f>
        <v/>
      </c>
      <c r="O114" s="6" t="str">
        <f>IF(A114="","",COUNTIFS(RacePerformance!$F:$F,A114,RacePerformance!$I:$I,1))</f>
        <v/>
      </c>
      <c r="P114" s="6" t="str">
        <f>IF(A114="","",COUNTIFS(RacePerformance!$F:$F,A114,RacePerformance!$J:$J,"&lt;=3"))</f>
        <v/>
      </c>
    </row>
    <row r="115" spans="1:16" ht="14.2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6" t="str">
        <f>IF(A115="","",COUNTIF(RacePerformance!$F:$F,A115))</f>
        <v/>
      </c>
      <c r="K115" s="6" t="str">
        <f>IF(A115="","",IFERROR(AVERAGEIF(RacePerformance!$F:$F,A115,RacePerformance!$I:$I),""))</f>
        <v/>
      </c>
      <c r="L115" s="6" t="str">
        <f>IF(A115="","",IFERROR(AVERAGEIF(RacePerformance!$F:$F,A115,RacePerformance!$J:$J),""))</f>
        <v/>
      </c>
      <c r="M115" s="6" t="str">
        <f>IF(A115="","",IFERROR(AVERAGEIF(RacePerformance!$F:$F,A115,RacePerformance!$K:$K),""))</f>
        <v/>
      </c>
      <c r="N115" s="6" t="str">
        <f>IF(A115="","",COUNTIFS(RacePerformance!$F:$F,A115,RacePerformance!$I:$I,"&lt;=20"))</f>
        <v/>
      </c>
      <c r="O115" s="6" t="str">
        <f>IF(A115="","",COUNTIFS(RacePerformance!$F:$F,A115,RacePerformance!$I:$I,1))</f>
        <v/>
      </c>
      <c r="P115" s="6" t="str">
        <f>IF(A115="","",COUNTIFS(RacePerformance!$F:$F,A115,RacePerformance!$J:$J,"&lt;=3"))</f>
        <v/>
      </c>
    </row>
    <row r="116" spans="1:16" ht="14.2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6" t="str">
        <f>IF(A116="","",COUNTIF(RacePerformance!$F:$F,A116))</f>
        <v/>
      </c>
      <c r="K116" s="6" t="str">
        <f>IF(A116="","",IFERROR(AVERAGEIF(RacePerformance!$F:$F,A116,RacePerformance!$I:$I),""))</f>
        <v/>
      </c>
      <c r="L116" s="6" t="str">
        <f>IF(A116="","",IFERROR(AVERAGEIF(RacePerformance!$F:$F,A116,RacePerformance!$J:$J),""))</f>
        <v/>
      </c>
      <c r="M116" s="6" t="str">
        <f>IF(A116="","",IFERROR(AVERAGEIF(RacePerformance!$F:$F,A116,RacePerformance!$K:$K),""))</f>
        <v/>
      </c>
      <c r="N116" s="6" t="str">
        <f>IF(A116="","",COUNTIFS(RacePerformance!$F:$F,A116,RacePerformance!$I:$I,"&lt;=20"))</f>
        <v/>
      </c>
      <c r="O116" s="6" t="str">
        <f>IF(A116="","",COUNTIFS(RacePerformance!$F:$F,A116,RacePerformance!$I:$I,1))</f>
        <v/>
      </c>
      <c r="P116" s="6" t="str">
        <f>IF(A116="","",COUNTIFS(RacePerformance!$F:$F,A116,RacePerformance!$J:$J,"&lt;=3"))</f>
        <v/>
      </c>
    </row>
    <row r="117" spans="1:16" ht="14.2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6" t="str">
        <f>IF(A117="","",COUNTIF(RacePerformance!$F:$F,A117))</f>
        <v/>
      </c>
      <c r="K117" s="6" t="str">
        <f>IF(A117="","",IFERROR(AVERAGEIF(RacePerformance!$F:$F,A117,RacePerformance!$I:$I),""))</f>
        <v/>
      </c>
      <c r="L117" s="6" t="str">
        <f>IF(A117="","",IFERROR(AVERAGEIF(RacePerformance!$F:$F,A117,RacePerformance!$J:$J),""))</f>
        <v/>
      </c>
      <c r="M117" s="6" t="str">
        <f>IF(A117="","",IFERROR(AVERAGEIF(RacePerformance!$F:$F,A117,RacePerformance!$K:$K),""))</f>
        <v/>
      </c>
      <c r="N117" s="6" t="str">
        <f>IF(A117="","",COUNTIFS(RacePerformance!$F:$F,A117,RacePerformance!$I:$I,"&lt;=20"))</f>
        <v/>
      </c>
      <c r="O117" s="6" t="str">
        <f>IF(A117="","",COUNTIFS(RacePerformance!$F:$F,A117,RacePerformance!$I:$I,1))</f>
        <v/>
      </c>
      <c r="P117" s="6" t="str">
        <f>IF(A117="","",COUNTIFS(RacePerformance!$F:$F,A117,RacePerformance!$J:$J,"&lt;=3"))</f>
        <v/>
      </c>
    </row>
    <row r="118" spans="1:16" ht="14.2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6" t="str">
        <f>IF(A118="","",COUNTIF(RacePerformance!$F:$F,A118))</f>
        <v/>
      </c>
      <c r="K118" s="6" t="str">
        <f>IF(A118="","",IFERROR(AVERAGEIF(RacePerformance!$F:$F,A118,RacePerformance!$I:$I),""))</f>
        <v/>
      </c>
      <c r="L118" s="6" t="str">
        <f>IF(A118="","",IFERROR(AVERAGEIF(RacePerformance!$F:$F,A118,RacePerformance!$J:$J),""))</f>
        <v/>
      </c>
      <c r="M118" s="6" t="str">
        <f>IF(A118="","",IFERROR(AVERAGEIF(RacePerformance!$F:$F,A118,RacePerformance!$K:$K),""))</f>
        <v/>
      </c>
      <c r="N118" s="6" t="str">
        <f>IF(A118="","",COUNTIFS(RacePerformance!$F:$F,A118,RacePerformance!$I:$I,"&lt;=20"))</f>
        <v/>
      </c>
      <c r="O118" s="6" t="str">
        <f>IF(A118="","",COUNTIFS(RacePerformance!$F:$F,A118,RacePerformance!$I:$I,1))</f>
        <v/>
      </c>
      <c r="P118" s="6" t="str">
        <f>IF(A118="","",COUNTIFS(RacePerformance!$F:$F,A118,RacePerformance!$J:$J,"&lt;=3"))</f>
        <v/>
      </c>
    </row>
    <row r="119" spans="1:16" ht="14.2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6" t="str">
        <f>IF(A119="","",COUNTIF(RacePerformance!$F:$F,A119))</f>
        <v/>
      </c>
      <c r="K119" s="6" t="str">
        <f>IF(A119="","",IFERROR(AVERAGEIF(RacePerformance!$F:$F,A119,RacePerformance!$I:$I),""))</f>
        <v/>
      </c>
      <c r="L119" s="6" t="str">
        <f>IF(A119="","",IFERROR(AVERAGEIF(RacePerformance!$F:$F,A119,RacePerformance!$J:$J),""))</f>
        <v/>
      </c>
      <c r="M119" s="6" t="str">
        <f>IF(A119="","",IFERROR(AVERAGEIF(RacePerformance!$F:$F,A119,RacePerformance!$K:$K),""))</f>
        <v/>
      </c>
      <c r="N119" s="6" t="str">
        <f>IF(A119="","",COUNTIFS(RacePerformance!$F:$F,A119,RacePerformance!$I:$I,"&lt;=20"))</f>
        <v/>
      </c>
      <c r="O119" s="6" t="str">
        <f>IF(A119="","",COUNTIFS(RacePerformance!$F:$F,A119,RacePerformance!$I:$I,1))</f>
        <v/>
      </c>
      <c r="P119" s="6" t="str">
        <f>IF(A119="","",COUNTIFS(RacePerformance!$F:$F,A119,RacePerformance!$J:$J,"&lt;=3"))</f>
        <v/>
      </c>
    </row>
    <row r="120" spans="1:16" ht="14.2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6" t="str">
        <f>IF(A120="","",COUNTIF(RacePerformance!$F:$F,A120))</f>
        <v/>
      </c>
      <c r="K120" s="6" t="str">
        <f>IF(A120="","",IFERROR(AVERAGEIF(RacePerformance!$F:$F,A120,RacePerformance!$I:$I),""))</f>
        <v/>
      </c>
      <c r="L120" s="6" t="str">
        <f>IF(A120="","",IFERROR(AVERAGEIF(RacePerformance!$F:$F,A120,RacePerformance!$J:$J),""))</f>
        <v/>
      </c>
      <c r="M120" s="6" t="str">
        <f>IF(A120="","",IFERROR(AVERAGEIF(RacePerformance!$F:$F,A120,RacePerformance!$K:$K),""))</f>
        <v/>
      </c>
      <c r="N120" s="6" t="str">
        <f>IF(A120="","",COUNTIFS(RacePerformance!$F:$F,A120,RacePerformance!$I:$I,"&lt;=20"))</f>
        <v/>
      </c>
      <c r="O120" s="6" t="str">
        <f>IF(A120="","",COUNTIFS(RacePerformance!$F:$F,A120,RacePerformance!$I:$I,1))</f>
        <v/>
      </c>
      <c r="P120" s="6" t="str">
        <f>IF(A120="","",COUNTIFS(RacePerformance!$F:$F,A120,RacePerformance!$J:$J,"&lt;=3"))</f>
        <v/>
      </c>
    </row>
    <row r="121" spans="1:16" ht="14.2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6" t="str">
        <f>IF(A121="","",COUNTIF(RacePerformance!$F:$F,A121))</f>
        <v/>
      </c>
      <c r="K121" s="6" t="str">
        <f>IF(A121="","",IFERROR(AVERAGEIF(RacePerformance!$F:$F,A121,RacePerformance!$I:$I),""))</f>
        <v/>
      </c>
      <c r="L121" s="6" t="str">
        <f>IF(A121="","",IFERROR(AVERAGEIF(RacePerformance!$F:$F,A121,RacePerformance!$J:$J),""))</f>
        <v/>
      </c>
      <c r="M121" s="6" t="str">
        <f>IF(A121="","",IFERROR(AVERAGEIF(RacePerformance!$F:$F,A121,RacePerformance!$K:$K),""))</f>
        <v/>
      </c>
      <c r="N121" s="6" t="str">
        <f>IF(A121="","",COUNTIFS(RacePerformance!$F:$F,A121,RacePerformance!$I:$I,"&lt;=20"))</f>
        <v/>
      </c>
      <c r="O121" s="6" t="str">
        <f>IF(A121="","",COUNTIFS(RacePerformance!$F:$F,A121,RacePerformance!$I:$I,1))</f>
        <v/>
      </c>
      <c r="P121" s="6" t="str">
        <f>IF(A121="","",COUNTIFS(RacePerformance!$F:$F,A121,RacePerformance!$J:$J,"&lt;=3"))</f>
        <v/>
      </c>
    </row>
    <row r="122" spans="1:16" ht="14.2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6" t="str">
        <f>IF(A122="","",COUNTIF(RacePerformance!$F:$F,A122))</f>
        <v/>
      </c>
      <c r="K122" s="6" t="str">
        <f>IF(A122="","",IFERROR(AVERAGEIF(RacePerformance!$F:$F,A122,RacePerformance!$I:$I),""))</f>
        <v/>
      </c>
      <c r="L122" s="6" t="str">
        <f>IF(A122="","",IFERROR(AVERAGEIF(RacePerformance!$F:$F,A122,RacePerformance!$J:$J),""))</f>
        <v/>
      </c>
      <c r="M122" s="6" t="str">
        <f>IF(A122="","",IFERROR(AVERAGEIF(RacePerformance!$F:$F,A122,RacePerformance!$K:$K),""))</f>
        <v/>
      </c>
      <c r="N122" s="6" t="str">
        <f>IF(A122="","",COUNTIFS(RacePerformance!$F:$F,A122,RacePerformance!$I:$I,"&lt;=20"))</f>
        <v/>
      </c>
      <c r="O122" s="6" t="str">
        <f>IF(A122="","",COUNTIFS(RacePerformance!$F:$F,A122,RacePerformance!$I:$I,1))</f>
        <v/>
      </c>
      <c r="P122" s="6" t="str">
        <f>IF(A122="","",COUNTIFS(RacePerformance!$F:$F,A122,RacePerformance!$J:$J,"&lt;=3"))</f>
        <v/>
      </c>
    </row>
    <row r="123" spans="1:16" ht="14.2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6" t="str">
        <f>IF(A123="","",COUNTIF(RacePerformance!$F:$F,A123))</f>
        <v/>
      </c>
      <c r="K123" s="6" t="str">
        <f>IF(A123="","",IFERROR(AVERAGEIF(RacePerformance!$F:$F,A123,RacePerformance!$I:$I),""))</f>
        <v/>
      </c>
      <c r="L123" s="6" t="str">
        <f>IF(A123="","",IFERROR(AVERAGEIF(RacePerformance!$F:$F,A123,RacePerformance!$J:$J),""))</f>
        <v/>
      </c>
      <c r="M123" s="6" t="str">
        <f>IF(A123="","",IFERROR(AVERAGEIF(RacePerformance!$F:$F,A123,RacePerformance!$K:$K),""))</f>
        <v/>
      </c>
      <c r="N123" s="6" t="str">
        <f>IF(A123="","",COUNTIFS(RacePerformance!$F:$F,A123,RacePerformance!$I:$I,"&lt;=20"))</f>
        <v/>
      </c>
      <c r="O123" s="6" t="str">
        <f>IF(A123="","",COUNTIFS(RacePerformance!$F:$F,A123,RacePerformance!$I:$I,1))</f>
        <v/>
      </c>
      <c r="P123" s="6" t="str">
        <f>IF(A123="","",COUNTIFS(RacePerformance!$F:$F,A123,RacePerformance!$J:$J,"&lt;=3"))</f>
        <v/>
      </c>
    </row>
    <row r="124" spans="1:16" ht="14.2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6" t="str">
        <f>IF(A124="","",COUNTIF(RacePerformance!$F:$F,A124))</f>
        <v/>
      </c>
      <c r="K124" s="6" t="str">
        <f>IF(A124="","",IFERROR(AVERAGEIF(RacePerformance!$F:$F,A124,RacePerformance!$I:$I),""))</f>
        <v/>
      </c>
      <c r="L124" s="6" t="str">
        <f>IF(A124="","",IFERROR(AVERAGEIF(RacePerformance!$F:$F,A124,RacePerformance!$J:$J),""))</f>
        <v/>
      </c>
      <c r="M124" s="6" t="str">
        <f>IF(A124="","",IFERROR(AVERAGEIF(RacePerformance!$F:$F,A124,RacePerformance!$K:$K),""))</f>
        <v/>
      </c>
      <c r="N124" s="6" t="str">
        <f>IF(A124="","",COUNTIFS(RacePerformance!$F:$F,A124,RacePerformance!$I:$I,"&lt;=20"))</f>
        <v/>
      </c>
      <c r="O124" s="6" t="str">
        <f>IF(A124="","",COUNTIFS(RacePerformance!$F:$F,A124,RacePerformance!$I:$I,1))</f>
        <v/>
      </c>
      <c r="P124" s="6" t="str">
        <f>IF(A124="","",COUNTIFS(RacePerformance!$F:$F,A124,RacePerformance!$J:$J,"&lt;=3"))</f>
        <v/>
      </c>
    </row>
    <row r="125" spans="1:16" ht="14.2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6" t="str">
        <f>IF(A125="","",COUNTIF(RacePerformance!$F:$F,A125))</f>
        <v/>
      </c>
      <c r="K125" s="6" t="str">
        <f>IF(A125="","",IFERROR(AVERAGEIF(RacePerformance!$F:$F,A125,RacePerformance!$I:$I),""))</f>
        <v/>
      </c>
      <c r="L125" s="6" t="str">
        <f>IF(A125="","",IFERROR(AVERAGEIF(RacePerformance!$F:$F,A125,RacePerformance!$J:$J),""))</f>
        <v/>
      </c>
      <c r="M125" s="6" t="str">
        <f>IF(A125="","",IFERROR(AVERAGEIF(RacePerformance!$F:$F,A125,RacePerformance!$K:$K),""))</f>
        <v/>
      </c>
      <c r="N125" s="6" t="str">
        <f>IF(A125="","",COUNTIFS(RacePerformance!$F:$F,A125,RacePerformance!$I:$I,"&lt;=20"))</f>
        <v/>
      </c>
      <c r="O125" s="6" t="str">
        <f>IF(A125="","",COUNTIFS(RacePerformance!$F:$F,A125,RacePerformance!$I:$I,1))</f>
        <v/>
      </c>
      <c r="P125" s="6" t="str">
        <f>IF(A125="","",COUNTIFS(RacePerformance!$F:$F,A125,RacePerformance!$J:$J,"&lt;=3"))</f>
        <v/>
      </c>
    </row>
    <row r="126" spans="1:16" ht="14.2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6" t="str">
        <f>IF(A126="","",COUNTIF(RacePerformance!$F:$F,A126))</f>
        <v/>
      </c>
      <c r="K126" s="6" t="str">
        <f>IF(A126="","",IFERROR(AVERAGEIF(RacePerformance!$F:$F,A126,RacePerformance!$I:$I),""))</f>
        <v/>
      </c>
      <c r="L126" s="6" t="str">
        <f>IF(A126="","",IFERROR(AVERAGEIF(RacePerformance!$F:$F,A126,RacePerformance!$J:$J),""))</f>
        <v/>
      </c>
      <c r="M126" s="6" t="str">
        <f>IF(A126="","",IFERROR(AVERAGEIF(RacePerformance!$F:$F,A126,RacePerformance!$K:$K),""))</f>
        <v/>
      </c>
      <c r="N126" s="6" t="str">
        <f>IF(A126="","",COUNTIFS(RacePerformance!$F:$F,A126,RacePerformance!$I:$I,"&lt;=20"))</f>
        <v/>
      </c>
      <c r="O126" s="6" t="str">
        <f>IF(A126="","",COUNTIFS(RacePerformance!$F:$F,A126,RacePerformance!$I:$I,1))</f>
        <v/>
      </c>
      <c r="P126" s="6" t="str">
        <f>IF(A126="","",COUNTIFS(RacePerformance!$F:$F,A126,RacePerformance!$J:$J,"&lt;=3"))</f>
        <v/>
      </c>
    </row>
    <row r="127" spans="1:16" ht="14.2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6" t="str">
        <f>IF(A127="","",COUNTIF(RacePerformance!$F:$F,A127))</f>
        <v/>
      </c>
      <c r="K127" s="6" t="str">
        <f>IF(A127="","",IFERROR(AVERAGEIF(RacePerformance!$F:$F,A127,RacePerformance!$I:$I),""))</f>
        <v/>
      </c>
      <c r="L127" s="6" t="str">
        <f>IF(A127="","",IFERROR(AVERAGEIF(RacePerformance!$F:$F,A127,RacePerformance!$J:$J),""))</f>
        <v/>
      </c>
      <c r="M127" s="6" t="str">
        <f>IF(A127="","",IFERROR(AVERAGEIF(RacePerformance!$F:$F,A127,RacePerformance!$K:$K),""))</f>
        <v/>
      </c>
      <c r="N127" s="6" t="str">
        <f>IF(A127="","",COUNTIFS(RacePerformance!$F:$F,A127,RacePerformance!$I:$I,"&lt;=20"))</f>
        <v/>
      </c>
      <c r="O127" s="6" t="str">
        <f>IF(A127="","",COUNTIFS(RacePerformance!$F:$F,A127,RacePerformance!$I:$I,1))</f>
        <v/>
      </c>
      <c r="P127" s="6" t="str">
        <f>IF(A127="","",COUNTIFS(RacePerformance!$F:$F,A127,RacePerformance!$J:$J,"&lt;=3"))</f>
        <v/>
      </c>
    </row>
    <row r="128" spans="1:16" ht="14.2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6" t="str">
        <f>IF(A128="","",COUNTIF(RacePerformance!$F:$F,A128))</f>
        <v/>
      </c>
      <c r="K128" s="6" t="str">
        <f>IF(A128="","",IFERROR(AVERAGEIF(RacePerformance!$F:$F,A128,RacePerformance!$I:$I),""))</f>
        <v/>
      </c>
      <c r="L128" s="6" t="str">
        <f>IF(A128="","",IFERROR(AVERAGEIF(RacePerformance!$F:$F,A128,RacePerformance!$J:$J),""))</f>
        <v/>
      </c>
      <c r="M128" s="6" t="str">
        <f>IF(A128="","",IFERROR(AVERAGEIF(RacePerformance!$F:$F,A128,RacePerformance!$K:$K),""))</f>
        <v/>
      </c>
      <c r="N128" s="6" t="str">
        <f>IF(A128="","",COUNTIFS(RacePerformance!$F:$F,A128,RacePerformance!$I:$I,"&lt;=20"))</f>
        <v/>
      </c>
      <c r="O128" s="6" t="str">
        <f>IF(A128="","",COUNTIFS(RacePerformance!$F:$F,A128,RacePerformance!$I:$I,1))</f>
        <v/>
      </c>
      <c r="P128" s="6" t="str">
        <f>IF(A128="","",COUNTIFS(RacePerformance!$F:$F,A128,RacePerformance!$J:$J,"&lt;=3"))</f>
        <v/>
      </c>
    </row>
    <row r="129" spans="1:16" ht="14.2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6" t="str">
        <f>IF(A129="","",COUNTIF(RacePerformance!$F:$F,A129))</f>
        <v/>
      </c>
      <c r="K129" s="6" t="str">
        <f>IF(A129="","",IFERROR(AVERAGEIF(RacePerformance!$F:$F,A129,RacePerformance!$I:$I),""))</f>
        <v/>
      </c>
      <c r="L129" s="6" t="str">
        <f>IF(A129="","",IFERROR(AVERAGEIF(RacePerformance!$F:$F,A129,RacePerformance!$J:$J),""))</f>
        <v/>
      </c>
      <c r="M129" s="6" t="str">
        <f>IF(A129="","",IFERROR(AVERAGEIF(RacePerformance!$F:$F,A129,RacePerformance!$K:$K),""))</f>
        <v/>
      </c>
      <c r="N129" s="6" t="str">
        <f>IF(A129="","",COUNTIFS(RacePerformance!$F:$F,A129,RacePerformance!$I:$I,"&lt;=20"))</f>
        <v/>
      </c>
      <c r="O129" s="6" t="str">
        <f>IF(A129="","",COUNTIFS(RacePerformance!$F:$F,A129,RacePerformance!$I:$I,1))</f>
        <v/>
      </c>
      <c r="P129" s="6" t="str">
        <f>IF(A129="","",COUNTIFS(RacePerformance!$F:$F,A129,RacePerformance!$J:$J,"&lt;=3"))</f>
        <v/>
      </c>
    </row>
    <row r="130" spans="1:16" ht="14.2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6" t="str">
        <f>IF(A130="","",COUNTIF(RacePerformance!$F:$F,A130))</f>
        <v/>
      </c>
      <c r="K130" s="6" t="str">
        <f>IF(A130="","",IFERROR(AVERAGEIF(RacePerformance!$F:$F,A130,RacePerformance!$I:$I),""))</f>
        <v/>
      </c>
      <c r="L130" s="6" t="str">
        <f>IF(A130="","",IFERROR(AVERAGEIF(RacePerformance!$F:$F,A130,RacePerformance!$J:$J),""))</f>
        <v/>
      </c>
      <c r="M130" s="6" t="str">
        <f>IF(A130="","",IFERROR(AVERAGEIF(RacePerformance!$F:$F,A130,RacePerformance!$K:$K),""))</f>
        <v/>
      </c>
      <c r="N130" s="6" t="str">
        <f>IF(A130="","",COUNTIFS(RacePerformance!$F:$F,A130,RacePerformance!$I:$I,"&lt;=20"))</f>
        <v/>
      </c>
      <c r="O130" s="6" t="str">
        <f>IF(A130="","",COUNTIFS(RacePerformance!$F:$F,A130,RacePerformance!$I:$I,1))</f>
        <v/>
      </c>
      <c r="P130" s="6" t="str">
        <f>IF(A130="","",COUNTIFS(RacePerformance!$F:$F,A130,RacePerformance!$J:$J,"&lt;=3"))</f>
        <v/>
      </c>
    </row>
    <row r="131" spans="1:16" ht="14.2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6" t="str">
        <f>IF(A131="","",COUNTIF(RacePerformance!$F:$F,A131))</f>
        <v/>
      </c>
      <c r="K131" s="6" t="str">
        <f>IF(A131="","",IFERROR(AVERAGEIF(RacePerformance!$F:$F,A131,RacePerformance!$I:$I),""))</f>
        <v/>
      </c>
      <c r="L131" s="6" t="str">
        <f>IF(A131="","",IFERROR(AVERAGEIF(RacePerformance!$F:$F,A131,RacePerformance!$J:$J),""))</f>
        <v/>
      </c>
      <c r="M131" s="6" t="str">
        <f>IF(A131="","",IFERROR(AVERAGEIF(RacePerformance!$F:$F,A131,RacePerformance!$K:$K),""))</f>
        <v/>
      </c>
      <c r="N131" s="6" t="str">
        <f>IF(A131="","",COUNTIFS(RacePerformance!$F:$F,A131,RacePerformance!$I:$I,"&lt;=20"))</f>
        <v/>
      </c>
      <c r="O131" s="6" t="str">
        <f>IF(A131="","",COUNTIFS(RacePerformance!$F:$F,A131,RacePerformance!$I:$I,1))</f>
        <v/>
      </c>
      <c r="P131" s="6" t="str">
        <f>IF(A131="","",COUNTIFS(RacePerformance!$F:$F,A131,RacePerformance!$J:$J,"&lt;=3"))</f>
        <v/>
      </c>
    </row>
    <row r="132" spans="1:16" ht="14.2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6" t="str">
        <f>IF(A132="","",COUNTIF(RacePerformance!$F:$F,A132))</f>
        <v/>
      </c>
      <c r="K132" s="6" t="str">
        <f>IF(A132="","",IFERROR(AVERAGEIF(RacePerformance!$F:$F,A132,RacePerformance!$I:$I),""))</f>
        <v/>
      </c>
      <c r="L132" s="6" t="str">
        <f>IF(A132="","",IFERROR(AVERAGEIF(RacePerformance!$F:$F,A132,RacePerformance!$J:$J),""))</f>
        <v/>
      </c>
      <c r="M132" s="6" t="str">
        <f>IF(A132="","",IFERROR(AVERAGEIF(RacePerformance!$F:$F,A132,RacePerformance!$K:$K),""))</f>
        <v/>
      </c>
      <c r="N132" s="6" t="str">
        <f>IF(A132="","",COUNTIFS(RacePerformance!$F:$F,A132,RacePerformance!$I:$I,"&lt;=20"))</f>
        <v/>
      </c>
      <c r="O132" s="6" t="str">
        <f>IF(A132="","",COUNTIFS(RacePerformance!$F:$F,A132,RacePerformance!$I:$I,1))</f>
        <v/>
      </c>
      <c r="P132" s="6" t="str">
        <f>IF(A132="","",COUNTIFS(RacePerformance!$F:$F,A132,RacePerformance!$J:$J,"&lt;=3"))</f>
        <v/>
      </c>
    </row>
    <row r="133" spans="1:16" ht="14.2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6" t="str">
        <f>IF(A133="","",COUNTIF(RacePerformance!$F:$F,A133))</f>
        <v/>
      </c>
      <c r="K133" s="6" t="str">
        <f>IF(A133="","",IFERROR(AVERAGEIF(RacePerformance!$F:$F,A133,RacePerformance!$I:$I),""))</f>
        <v/>
      </c>
      <c r="L133" s="6" t="str">
        <f>IF(A133="","",IFERROR(AVERAGEIF(RacePerformance!$F:$F,A133,RacePerformance!$J:$J),""))</f>
        <v/>
      </c>
      <c r="M133" s="6" t="str">
        <f>IF(A133="","",IFERROR(AVERAGEIF(RacePerformance!$F:$F,A133,RacePerformance!$K:$K),""))</f>
        <v/>
      </c>
      <c r="N133" s="6" t="str">
        <f>IF(A133="","",COUNTIFS(RacePerformance!$F:$F,A133,RacePerformance!$I:$I,"&lt;=20"))</f>
        <v/>
      </c>
      <c r="O133" s="6" t="str">
        <f>IF(A133="","",COUNTIFS(RacePerformance!$F:$F,A133,RacePerformance!$I:$I,1))</f>
        <v/>
      </c>
      <c r="P133" s="6" t="str">
        <f>IF(A133="","",COUNTIFS(RacePerformance!$F:$F,A133,RacePerformance!$J:$J,"&lt;=3"))</f>
        <v/>
      </c>
    </row>
    <row r="134" spans="1:16" ht="14.2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6" t="str">
        <f>IF(A134="","",COUNTIF(RacePerformance!$F:$F,A134))</f>
        <v/>
      </c>
      <c r="K134" s="6" t="str">
        <f>IF(A134="","",IFERROR(AVERAGEIF(RacePerformance!$F:$F,A134,RacePerformance!$I:$I),""))</f>
        <v/>
      </c>
      <c r="L134" s="6" t="str">
        <f>IF(A134="","",IFERROR(AVERAGEIF(RacePerformance!$F:$F,A134,RacePerformance!$J:$J),""))</f>
        <v/>
      </c>
      <c r="M134" s="6" t="str">
        <f>IF(A134="","",IFERROR(AVERAGEIF(RacePerformance!$F:$F,A134,RacePerformance!$K:$K),""))</f>
        <v/>
      </c>
      <c r="N134" s="6" t="str">
        <f>IF(A134="","",COUNTIFS(RacePerformance!$F:$F,A134,RacePerformance!$I:$I,"&lt;=20"))</f>
        <v/>
      </c>
      <c r="O134" s="6" t="str">
        <f>IF(A134="","",COUNTIFS(RacePerformance!$F:$F,A134,RacePerformance!$I:$I,1))</f>
        <v/>
      </c>
      <c r="P134" s="6" t="str">
        <f>IF(A134="","",COUNTIFS(RacePerformance!$F:$F,A134,RacePerformance!$J:$J,"&lt;=3"))</f>
        <v/>
      </c>
    </row>
    <row r="135" spans="1:16" ht="14.2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6" t="str">
        <f>IF(A135="","",COUNTIF(RacePerformance!$F:$F,A135))</f>
        <v/>
      </c>
      <c r="K135" s="6" t="str">
        <f>IF(A135="","",IFERROR(AVERAGEIF(RacePerformance!$F:$F,A135,RacePerformance!$I:$I),""))</f>
        <v/>
      </c>
      <c r="L135" s="6" t="str">
        <f>IF(A135="","",IFERROR(AVERAGEIF(RacePerformance!$F:$F,A135,RacePerformance!$J:$J),""))</f>
        <v/>
      </c>
      <c r="M135" s="6" t="str">
        <f>IF(A135="","",IFERROR(AVERAGEIF(RacePerformance!$F:$F,A135,RacePerformance!$K:$K),""))</f>
        <v/>
      </c>
      <c r="N135" s="6" t="str">
        <f>IF(A135="","",COUNTIFS(RacePerformance!$F:$F,A135,RacePerformance!$I:$I,"&lt;=20"))</f>
        <v/>
      </c>
      <c r="O135" s="6" t="str">
        <f>IF(A135="","",COUNTIFS(RacePerformance!$F:$F,A135,RacePerformance!$I:$I,1))</f>
        <v/>
      </c>
      <c r="P135" s="6" t="str">
        <f>IF(A135="","",COUNTIFS(RacePerformance!$F:$F,A135,RacePerformance!$J:$J,"&lt;=3"))</f>
        <v/>
      </c>
    </row>
    <row r="136" spans="1:16" ht="14.2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6" t="str">
        <f>IF(A136="","",COUNTIF(RacePerformance!$F:$F,A136))</f>
        <v/>
      </c>
      <c r="K136" s="6" t="str">
        <f>IF(A136="","",IFERROR(AVERAGEIF(RacePerformance!$F:$F,A136,RacePerformance!$I:$I),""))</f>
        <v/>
      </c>
      <c r="L136" s="6" t="str">
        <f>IF(A136="","",IFERROR(AVERAGEIF(RacePerformance!$F:$F,A136,RacePerformance!$J:$J),""))</f>
        <v/>
      </c>
      <c r="M136" s="6" t="str">
        <f>IF(A136="","",IFERROR(AVERAGEIF(RacePerformance!$F:$F,A136,RacePerformance!$K:$K),""))</f>
        <v/>
      </c>
      <c r="N136" s="6" t="str">
        <f>IF(A136="","",COUNTIFS(RacePerformance!$F:$F,A136,RacePerformance!$I:$I,"&lt;=20"))</f>
        <v/>
      </c>
      <c r="O136" s="6" t="str">
        <f>IF(A136="","",COUNTIFS(RacePerformance!$F:$F,A136,RacePerformance!$I:$I,1))</f>
        <v/>
      </c>
      <c r="P136" s="6" t="str">
        <f>IF(A136="","",COUNTIFS(RacePerformance!$F:$F,A136,RacePerformance!$J:$J,"&lt;=3"))</f>
        <v/>
      </c>
    </row>
    <row r="137" spans="1:16" ht="14.2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6" t="str">
        <f>IF(A137="","",COUNTIF(RacePerformance!$F:$F,A137))</f>
        <v/>
      </c>
      <c r="K137" s="6" t="str">
        <f>IF(A137="","",IFERROR(AVERAGEIF(RacePerformance!$F:$F,A137,RacePerformance!$I:$I),""))</f>
        <v/>
      </c>
      <c r="L137" s="6" t="str">
        <f>IF(A137="","",IFERROR(AVERAGEIF(RacePerformance!$F:$F,A137,RacePerformance!$J:$J),""))</f>
        <v/>
      </c>
      <c r="M137" s="6" t="str">
        <f>IF(A137="","",IFERROR(AVERAGEIF(RacePerformance!$F:$F,A137,RacePerformance!$K:$K),""))</f>
        <v/>
      </c>
      <c r="N137" s="6" t="str">
        <f>IF(A137="","",COUNTIFS(RacePerformance!$F:$F,A137,RacePerformance!$I:$I,"&lt;=20"))</f>
        <v/>
      </c>
      <c r="O137" s="6" t="str">
        <f>IF(A137="","",COUNTIFS(RacePerformance!$F:$F,A137,RacePerformance!$I:$I,1))</f>
        <v/>
      </c>
      <c r="P137" s="6" t="str">
        <f>IF(A137="","",COUNTIFS(RacePerformance!$F:$F,A137,RacePerformance!$J:$J,"&lt;=3"))</f>
        <v/>
      </c>
    </row>
    <row r="138" spans="1:16" ht="14.2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6" t="str">
        <f>IF(A138="","",COUNTIF(RacePerformance!$F:$F,A138))</f>
        <v/>
      </c>
      <c r="K138" s="6" t="str">
        <f>IF(A138="","",IFERROR(AVERAGEIF(RacePerformance!$F:$F,A138,RacePerformance!$I:$I),""))</f>
        <v/>
      </c>
      <c r="L138" s="6" t="str">
        <f>IF(A138="","",IFERROR(AVERAGEIF(RacePerformance!$F:$F,A138,RacePerformance!$J:$J),""))</f>
        <v/>
      </c>
      <c r="M138" s="6" t="str">
        <f>IF(A138="","",IFERROR(AVERAGEIF(RacePerformance!$F:$F,A138,RacePerformance!$K:$K),""))</f>
        <v/>
      </c>
      <c r="N138" s="6" t="str">
        <f>IF(A138="","",COUNTIFS(RacePerformance!$F:$F,A138,RacePerformance!$I:$I,"&lt;=20"))</f>
        <v/>
      </c>
      <c r="O138" s="6" t="str">
        <f>IF(A138="","",COUNTIFS(RacePerformance!$F:$F,A138,RacePerformance!$I:$I,1))</f>
        <v/>
      </c>
      <c r="P138" s="6" t="str">
        <f>IF(A138="","",COUNTIFS(RacePerformance!$F:$F,A138,RacePerformance!$J:$J,"&lt;=3"))</f>
        <v/>
      </c>
    </row>
    <row r="139" spans="1:16" ht="14.2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6" t="str">
        <f>IF(A139="","",COUNTIF(RacePerformance!$F:$F,A139))</f>
        <v/>
      </c>
      <c r="K139" s="6" t="str">
        <f>IF(A139="","",IFERROR(AVERAGEIF(RacePerformance!$F:$F,A139,RacePerformance!$I:$I),""))</f>
        <v/>
      </c>
      <c r="L139" s="6" t="str">
        <f>IF(A139="","",IFERROR(AVERAGEIF(RacePerformance!$F:$F,A139,RacePerformance!$J:$J),""))</f>
        <v/>
      </c>
      <c r="M139" s="6" t="str">
        <f>IF(A139="","",IFERROR(AVERAGEIF(RacePerformance!$F:$F,A139,RacePerformance!$K:$K),""))</f>
        <v/>
      </c>
      <c r="N139" s="6" t="str">
        <f>IF(A139="","",COUNTIFS(RacePerformance!$F:$F,A139,RacePerformance!$I:$I,"&lt;=20"))</f>
        <v/>
      </c>
      <c r="O139" s="6" t="str">
        <f>IF(A139="","",COUNTIFS(RacePerformance!$F:$F,A139,RacePerformance!$I:$I,1))</f>
        <v/>
      </c>
      <c r="P139" s="6" t="str">
        <f>IF(A139="","",COUNTIFS(RacePerformance!$F:$F,A139,RacePerformance!$J:$J,"&lt;=3"))</f>
        <v/>
      </c>
    </row>
    <row r="140" spans="1:16" ht="14.2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6" t="str">
        <f>IF(A140="","",COUNTIF(RacePerformance!$F:$F,A140))</f>
        <v/>
      </c>
      <c r="K140" s="6" t="str">
        <f>IF(A140="","",IFERROR(AVERAGEIF(RacePerformance!$F:$F,A140,RacePerformance!$I:$I),""))</f>
        <v/>
      </c>
      <c r="L140" s="6" t="str">
        <f>IF(A140="","",IFERROR(AVERAGEIF(RacePerformance!$F:$F,A140,RacePerformance!$J:$J),""))</f>
        <v/>
      </c>
      <c r="M140" s="6" t="str">
        <f>IF(A140="","",IFERROR(AVERAGEIF(RacePerformance!$F:$F,A140,RacePerformance!$K:$K),""))</f>
        <v/>
      </c>
      <c r="N140" s="6" t="str">
        <f>IF(A140="","",COUNTIFS(RacePerformance!$F:$F,A140,RacePerformance!$I:$I,"&lt;=20"))</f>
        <v/>
      </c>
      <c r="O140" s="6" t="str">
        <f>IF(A140="","",COUNTIFS(RacePerformance!$F:$F,A140,RacePerformance!$I:$I,1))</f>
        <v/>
      </c>
      <c r="P140" s="6" t="str">
        <f>IF(A140="","",COUNTIFS(RacePerformance!$F:$F,A140,RacePerformance!$J:$J,"&lt;=3"))</f>
        <v/>
      </c>
    </row>
    <row r="141" spans="1:16" ht="14.2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6" t="str">
        <f>IF(A141="","",COUNTIF(RacePerformance!$F:$F,A141))</f>
        <v/>
      </c>
      <c r="K141" s="6" t="str">
        <f>IF(A141="","",IFERROR(AVERAGEIF(RacePerformance!$F:$F,A141,RacePerformance!$I:$I),""))</f>
        <v/>
      </c>
      <c r="L141" s="6" t="str">
        <f>IF(A141="","",IFERROR(AVERAGEIF(RacePerformance!$F:$F,A141,RacePerformance!$J:$J),""))</f>
        <v/>
      </c>
      <c r="M141" s="6" t="str">
        <f>IF(A141="","",IFERROR(AVERAGEIF(RacePerformance!$F:$F,A141,RacePerformance!$K:$K),""))</f>
        <v/>
      </c>
      <c r="N141" s="6" t="str">
        <f>IF(A141="","",COUNTIFS(RacePerformance!$F:$F,A141,RacePerformance!$I:$I,"&lt;=20"))</f>
        <v/>
      </c>
      <c r="O141" s="6" t="str">
        <f>IF(A141="","",COUNTIFS(RacePerformance!$F:$F,A141,RacePerformance!$I:$I,1))</f>
        <v/>
      </c>
      <c r="P141" s="6" t="str">
        <f>IF(A141="","",COUNTIFS(RacePerformance!$F:$F,A141,RacePerformance!$J:$J,"&lt;=3"))</f>
        <v/>
      </c>
    </row>
    <row r="142" spans="1:16" ht="14.2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6" t="str">
        <f>IF(A142="","",COUNTIF(RacePerformance!$F:$F,A142))</f>
        <v/>
      </c>
      <c r="K142" s="6" t="str">
        <f>IF(A142="","",IFERROR(AVERAGEIF(RacePerformance!$F:$F,A142,RacePerformance!$I:$I),""))</f>
        <v/>
      </c>
      <c r="L142" s="6" t="str">
        <f>IF(A142="","",IFERROR(AVERAGEIF(RacePerformance!$F:$F,A142,RacePerformance!$J:$J),""))</f>
        <v/>
      </c>
      <c r="M142" s="6" t="str">
        <f>IF(A142="","",IFERROR(AVERAGEIF(RacePerformance!$F:$F,A142,RacePerformance!$K:$K),""))</f>
        <v/>
      </c>
      <c r="N142" s="6" t="str">
        <f>IF(A142="","",COUNTIFS(RacePerformance!$F:$F,A142,RacePerformance!$I:$I,"&lt;=20"))</f>
        <v/>
      </c>
      <c r="O142" s="6" t="str">
        <f>IF(A142="","",COUNTIFS(RacePerformance!$F:$F,A142,RacePerformance!$I:$I,1))</f>
        <v/>
      </c>
      <c r="P142" s="6" t="str">
        <f>IF(A142="","",COUNTIFS(RacePerformance!$F:$F,A142,RacePerformance!$J:$J,"&lt;=3"))</f>
        <v/>
      </c>
    </row>
    <row r="143" spans="1:16" ht="14.2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6" t="str">
        <f>IF(A143="","",COUNTIF(RacePerformance!$F:$F,A143))</f>
        <v/>
      </c>
      <c r="K143" s="6" t="str">
        <f>IF(A143="","",IFERROR(AVERAGEIF(RacePerformance!$F:$F,A143,RacePerformance!$I:$I),""))</f>
        <v/>
      </c>
      <c r="L143" s="6" t="str">
        <f>IF(A143="","",IFERROR(AVERAGEIF(RacePerformance!$F:$F,A143,RacePerformance!$J:$J),""))</f>
        <v/>
      </c>
      <c r="M143" s="6" t="str">
        <f>IF(A143="","",IFERROR(AVERAGEIF(RacePerformance!$F:$F,A143,RacePerformance!$K:$K),""))</f>
        <v/>
      </c>
      <c r="N143" s="6" t="str">
        <f>IF(A143="","",COUNTIFS(RacePerformance!$F:$F,A143,RacePerformance!$I:$I,"&lt;=20"))</f>
        <v/>
      </c>
      <c r="O143" s="6" t="str">
        <f>IF(A143="","",COUNTIFS(RacePerformance!$F:$F,A143,RacePerformance!$I:$I,1))</f>
        <v/>
      </c>
      <c r="P143" s="6" t="str">
        <f>IF(A143="","",COUNTIFS(RacePerformance!$F:$F,A143,RacePerformance!$J:$J,"&lt;=3"))</f>
        <v/>
      </c>
    </row>
    <row r="144" spans="1:16" ht="14.2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6" t="str">
        <f>IF(A144="","",COUNTIF(RacePerformance!$F:$F,A144))</f>
        <v/>
      </c>
      <c r="K144" s="6" t="str">
        <f>IF(A144="","",IFERROR(AVERAGEIF(RacePerformance!$F:$F,A144,RacePerformance!$I:$I),""))</f>
        <v/>
      </c>
      <c r="L144" s="6" t="str">
        <f>IF(A144="","",IFERROR(AVERAGEIF(RacePerformance!$F:$F,A144,RacePerformance!$J:$J),""))</f>
        <v/>
      </c>
      <c r="M144" s="6" t="str">
        <f>IF(A144="","",IFERROR(AVERAGEIF(RacePerformance!$F:$F,A144,RacePerformance!$K:$K),""))</f>
        <v/>
      </c>
      <c r="N144" s="6" t="str">
        <f>IF(A144="","",COUNTIFS(RacePerformance!$F:$F,A144,RacePerformance!$I:$I,"&lt;=20"))</f>
        <v/>
      </c>
      <c r="O144" s="6" t="str">
        <f>IF(A144="","",COUNTIFS(RacePerformance!$F:$F,A144,RacePerformance!$I:$I,1))</f>
        <v/>
      </c>
      <c r="P144" s="6" t="str">
        <f>IF(A144="","",COUNTIFS(RacePerformance!$F:$F,A144,RacePerformance!$J:$J,"&lt;=3"))</f>
        <v/>
      </c>
    </row>
    <row r="145" spans="1:16" ht="14.2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6" t="str">
        <f>IF(A145="","",COUNTIF(RacePerformance!$F:$F,A145))</f>
        <v/>
      </c>
      <c r="K145" s="6" t="str">
        <f>IF(A145="","",IFERROR(AVERAGEIF(RacePerformance!$F:$F,A145,RacePerformance!$I:$I),""))</f>
        <v/>
      </c>
      <c r="L145" s="6" t="str">
        <f>IF(A145="","",IFERROR(AVERAGEIF(RacePerformance!$F:$F,A145,RacePerformance!$J:$J),""))</f>
        <v/>
      </c>
      <c r="M145" s="6" t="str">
        <f>IF(A145="","",IFERROR(AVERAGEIF(RacePerformance!$F:$F,A145,RacePerformance!$K:$K),""))</f>
        <v/>
      </c>
      <c r="N145" s="6" t="str">
        <f>IF(A145="","",COUNTIFS(RacePerformance!$F:$F,A145,RacePerformance!$I:$I,"&lt;=20"))</f>
        <v/>
      </c>
      <c r="O145" s="6" t="str">
        <f>IF(A145="","",COUNTIFS(RacePerformance!$F:$F,A145,RacePerformance!$I:$I,1))</f>
        <v/>
      </c>
      <c r="P145" s="6" t="str">
        <f>IF(A145="","",COUNTIFS(RacePerformance!$F:$F,A145,RacePerformance!$J:$J,"&lt;=3"))</f>
        <v/>
      </c>
    </row>
    <row r="146" spans="1:16" ht="14.2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6" t="str">
        <f>IF(A146="","",COUNTIF(RacePerformance!$F:$F,A146))</f>
        <v/>
      </c>
      <c r="K146" s="6" t="str">
        <f>IF(A146="","",IFERROR(AVERAGEIF(RacePerformance!$F:$F,A146,RacePerformance!$I:$I),""))</f>
        <v/>
      </c>
      <c r="L146" s="6" t="str">
        <f>IF(A146="","",IFERROR(AVERAGEIF(RacePerformance!$F:$F,A146,RacePerformance!$J:$J),""))</f>
        <v/>
      </c>
      <c r="M146" s="6" t="str">
        <f>IF(A146="","",IFERROR(AVERAGEIF(RacePerformance!$F:$F,A146,RacePerformance!$K:$K),""))</f>
        <v/>
      </c>
      <c r="N146" s="6" t="str">
        <f>IF(A146="","",COUNTIFS(RacePerformance!$F:$F,A146,RacePerformance!$I:$I,"&lt;=20"))</f>
        <v/>
      </c>
      <c r="O146" s="6" t="str">
        <f>IF(A146="","",COUNTIFS(RacePerformance!$F:$F,A146,RacePerformance!$I:$I,1))</f>
        <v/>
      </c>
      <c r="P146" s="6" t="str">
        <f>IF(A146="","",COUNTIFS(RacePerformance!$F:$F,A146,RacePerformance!$J:$J,"&lt;=3"))</f>
        <v/>
      </c>
    </row>
    <row r="147" spans="1:16" ht="14.2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6" t="str">
        <f>IF(A147="","",COUNTIF(RacePerformance!$F:$F,A147))</f>
        <v/>
      </c>
      <c r="K147" s="6" t="str">
        <f>IF(A147="","",IFERROR(AVERAGEIF(RacePerformance!$F:$F,A147,RacePerformance!$I:$I),""))</f>
        <v/>
      </c>
      <c r="L147" s="6" t="str">
        <f>IF(A147="","",IFERROR(AVERAGEIF(RacePerformance!$F:$F,A147,RacePerformance!$J:$J),""))</f>
        <v/>
      </c>
      <c r="M147" s="6" t="str">
        <f>IF(A147="","",IFERROR(AVERAGEIF(RacePerformance!$F:$F,A147,RacePerformance!$K:$K),""))</f>
        <v/>
      </c>
      <c r="N147" s="6" t="str">
        <f>IF(A147="","",COUNTIFS(RacePerformance!$F:$F,A147,RacePerformance!$I:$I,"&lt;=20"))</f>
        <v/>
      </c>
      <c r="O147" s="6" t="str">
        <f>IF(A147="","",COUNTIFS(RacePerformance!$F:$F,A147,RacePerformance!$I:$I,1))</f>
        <v/>
      </c>
      <c r="P147" s="6" t="str">
        <f>IF(A147="","",COUNTIFS(RacePerformance!$F:$F,A147,RacePerformance!$J:$J,"&lt;=3"))</f>
        <v/>
      </c>
    </row>
    <row r="148" spans="1:16" ht="14.2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6" t="str">
        <f>IF(A148="","",COUNTIF(RacePerformance!$F:$F,A148))</f>
        <v/>
      </c>
      <c r="K148" s="6" t="str">
        <f>IF(A148="","",IFERROR(AVERAGEIF(RacePerformance!$F:$F,A148,RacePerformance!$I:$I),""))</f>
        <v/>
      </c>
      <c r="L148" s="6" t="str">
        <f>IF(A148="","",IFERROR(AVERAGEIF(RacePerformance!$F:$F,A148,RacePerformance!$J:$J),""))</f>
        <v/>
      </c>
      <c r="M148" s="6" t="str">
        <f>IF(A148="","",IFERROR(AVERAGEIF(RacePerformance!$F:$F,A148,RacePerformance!$K:$K),""))</f>
        <v/>
      </c>
      <c r="N148" s="6" t="str">
        <f>IF(A148="","",COUNTIFS(RacePerformance!$F:$F,A148,RacePerformance!$I:$I,"&lt;=20"))</f>
        <v/>
      </c>
      <c r="O148" s="6" t="str">
        <f>IF(A148="","",COUNTIFS(RacePerformance!$F:$F,A148,RacePerformance!$I:$I,1))</f>
        <v/>
      </c>
      <c r="P148" s="6" t="str">
        <f>IF(A148="","",COUNTIFS(RacePerformance!$F:$F,A148,RacePerformance!$J:$J,"&lt;=3"))</f>
        <v/>
      </c>
    </row>
    <row r="149" spans="1:16" ht="14.2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6" t="str">
        <f>IF(A149="","",COUNTIF(RacePerformance!$F:$F,A149))</f>
        <v/>
      </c>
      <c r="K149" s="6" t="str">
        <f>IF(A149="","",IFERROR(AVERAGEIF(RacePerformance!$F:$F,A149,RacePerformance!$I:$I),""))</f>
        <v/>
      </c>
      <c r="L149" s="6" t="str">
        <f>IF(A149="","",IFERROR(AVERAGEIF(RacePerformance!$F:$F,A149,RacePerformance!$J:$J),""))</f>
        <v/>
      </c>
      <c r="M149" s="6" t="str">
        <f>IF(A149="","",IFERROR(AVERAGEIF(RacePerformance!$F:$F,A149,RacePerformance!$K:$K),""))</f>
        <v/>
      </c>
      <c r="N149" s="6" t="str">
        <f>IF(A149="","",COUNTIFS(RacePerformance!$F:$F,A149,RacePerformance!$I:$I,"&lt;=20"))</f>
        <v/>
      </c>
      <c r="O149" s="6" t="str">
        <f>IF(A149="","",COUNTIFS(RacePerformance!$F:$F,A149,RacePerformance!$I:$I,1))</f>
        <v/>
      </c>
      <c r="P149" s="6" t="str">
        <f>IF(A149="","",COUNTIFS(RacePerformance!$F:$F,A149,RacePerformance!$J:$J,"&lt;=3"))</f>
        <v/>
      </c>
    </row>
    <row r="150" spans="1:16" ht="14.2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6" t="str">
        <f>IF(A150="","",COUNTIF(RacePerformance!$F:$F,A150))</f>
        <v/>
      </c>
      <c r="K150" s="6" t="str">
        <f>IF(A150="","",IFERROR(AVERAGEIF(RacePerformance!$F:$F,A150,RacePerformance!$I:$I),""))</f>
        <v/>
      </c>
      <c r="L150" s="6" t="str">
        <f>IF(A150="","",IFERROR(AVERAGEIF(RacePerformance!$F:$F,A150,RacePerformance!$J:$J),""))</f>
        <v/>
      </c>
      <c r="M150" s="6" t="str">
        <f>IF(A150="","",IFERROR(AVERAGEIF(RacePerformance!$F:$F,A150,RacePerformance!$K:$K),""))</f>
        <v/>
      </c>
      <c r="N150" s="6" t="str">
        <f>IF(A150="","",COUNTIFS(RacePerformance!$F:$F,A150,RacePerformance!$I:$I,"&lt;=20"))</f>
        <v/>
      </c>
      <c r="O150" s="6" t="str">
        <f>IF(A150="","",COUNTIFS(RacePerformance!$F:$F,A150,RacePerformance!$I:$I,1))</f>
        <v/>
      </c>
      <c r="P150" s="6" t="str">
        <f>IF(A150="","",COUNTIFS(RacePerformance!$F:$F,A150,RacePerformance!$J:$J,"&lt;=3"))</f>
        <v/>
      </c>
    </row>
    <row r="151" spans="1:16" ht="14.2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6" t="str">
        <f>IF(A151="","",COUNTIF(RacePerformance!$F:$F,A151))</f>
        <v/>
      </c>
      <c r="K151" s="6" t="str">
        <f>IF(A151="","",IFERROR(AVERAGEIF(RacePerformance!$F:$F,A151,RacePerformance!$I:$I),""))</f>
        <v/>
      </c>
      <c r="L151" s="6" t="str">
        <f>IF(A151="","",IFERROR(AVERAGEIF(RacePerformance!$F:$F,A151,RacePerformance!$J:$J),""))</f>
        <v/>
      </c>
      <c r="M151" s="6" t="str">
        <f>IF(A151="","",IFERROR(AVERAGEIF(RacePerformance!$F:$F,A151,RacePerformance!$K:$K),""))</f>
        <v/>
      </c>
      <c r="N151" s="6" t="str">
        <f>IF(A151="","",COUNTIFS(RacePerformance!$F:$F,A151,RacePerformance!$I:$I,"&lt;=20"))</f>
        <v/>
      </c>
      <c r="O151" s="6" t="str">
        <f>IF(A151="","",COUNTIFS(RacePerformance!$F:$F,A151,RacePerformance!$I:$I,1))</f>
        <v/>
      </c>
      <c r="P151" s="6" t="str">
        <f>IF(A151="","",COUNTIFS(RacePerformance!$F:$F,A151,RacePerformance!$J:$J,"&lt;=3"))</f>
        <v/>
      </c>
    </row>
    <row r="152" spans="1:16" ht="14.2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6" t="str">
        <f>IF(A152="","",COUNTIF(RacePerformance!$F:$F,A152))</f>
        <v/>
      </c>
      <c r="K152" s="6" t="str">
        <f>IF(A152="","",IFERROR(AVERAGEIF(RacePerformance!$F:$F,A152,RacePerformance!$I:$I),""))</f>
        <v/>
      </c>
      <c r="L152" s="6" t="str">
        <f>IF(A152="","",IFERROR(AVERAGEIF(RacePerformance!$F:$F,A152,RacePerformance!$J:$J),""))</f>
        <v/>
      </c>
      <c r="M152" s="6" t="str">
        <f>IF(A152="","",IFERROR(AVERAGEIF(RacePerformance!$F:$F,A152,RacePerformance!$K:$K),""))</f>
        <v/>
      </c>
      <c r="N152" s="6" t="str">
        <f>IF(A152="","",COUNTIFS(RacePerformance!$F:$F,A152,RacePerformance!$I:$I,"&lt;=20"))</f>
        <v/>
      </c>
      <c r="O152" s="6" t="str">
        <f>IF(A152="","",COUNTIFS(RacePerformance!$F:$F,A152,RacePerformance!$I:$I,1))</f>
        <v/>
      </c>
      <c r="P152" s="6" t="str">
        <f>IF(A152="","",COUNTIFS(RacePerformance!$F:$F,A152,RacePerformance!$J:$J,"&lt;=3"))</f>
        <v/>
      </c>
    </row>
    <row r="153" spans="1:16" ht="14.2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6" t="str">
        <f>IF(A153="","",COUNTIF(RacePerformance!$F:$F,A153))</f>
        <v/>
      </c>
      <c r="K153" s="6" t="str">
        <f>IF(A153="","",IFERROR(AVERAGEIF(RacePerformance!$F:$F,A153,RacePerformance!$I:$I),""))</f>
        <v/>
      </c>
      <c r="L153" s="6" t="str">
        <f>IF(A153="","",IFERROR(AVERAGEIF(RacePerformance!$F:$F,A153,RacePerformance!$J:$J),""))</f>
        <v/>
      </c>
      <c r="M153" s="6" t="str">
        <f>IF(A153="","",IFERROR(AVERAGEIF(RacePerformance!$F:$F,A153,RacePerformance!$K:$K),""))</f>
        <v/>
      </c>
      <c r="N153" s="6" t="str">
        <f>IF(A153="","",COUNTIFS(RacePerformance!$F:$F,A153,RacePerformance!$I:$I,"&lt;=20"))</f>
        <v/>
      </c>
      <c r="O153" s="6" t="str">
        <f>IF(A153="","",COUNTIFS(RacePerformance!$F:$F,A153,RacePerformance!$I:$I,1))</f>
        <v/>
      </c>
      <c r="P153" s="6" t="str">
        <f>IF(A153="","",COUNTIFS(RacePerformance!$F:$F,A153,RacePerformance!$J:$J,"&lt;=3"))</f>
        <v/>
      </c>
    </row>
    <row r="154" spans="1:16" ht="14.2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6" t="str">
        <f>IF(A154="","",COUNTIF(RacePerformance!$F:$F,A154))</f>
        <v/>
      </c>
      <c r="K154" s="6" t="str">
        <f>IF(A154="","",IFERROR(AVERAGEIF(RacePerformance!$F:$F,A154,RacePerformance!$I:$I),""))</f>
        <v/>
      </c>
      <c r="L154" s="6" t="str">
        <f>IF(A154="","",IFERROR(AVERAGEIF(RacePerformance!$F:$F,A154,RacePerformance!$J:$J),""))</f>
        <v/>
      </c>
      <c r="M154" s="6" t="str">
        <f>IF(A154="","",IFERROR(AVERAGEIF(RacePerformance!$F:$F,A154,RacePerformance!$K:$K),""))</f>
        <v/>
      </c>
      <c r="N154" s="6" t="str">
        <f>IF(A154="","",COUNTIFS(RacePerformance!$F:$F,A154,RacePerformance!$I:$I,"&lt;=20"))</f>
        <v/>
      </c>
      <c r="O154" s="6" t="str">
        <f>IF(A154="","",COUNTIFS(RacePerformance!$F:$F,A154,RacePerformance!$I:$I,1))</f>
        <v/>
      </c>
      <c r="P154" s="6" t="str">
        <f>IF(A154="","",COUNTIFS(RacePerformance!$F:$F,A154,RacePerformance!$J:$J,"&lt;=3"))</f>
        <v/>
      </c>
    </row>
    <row r="155" spans="1:16" ht="14.2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6" t="str">
        <f>IF(A155="","",COUNTIF(RacePerformance!$F:$F,A155))</f>
        <v/>
      </c>
      <c r="K155" s="6" t="str">
        <f>IF(A155="","",IFERROR(AVERAGEIF(RacePerformance!$F:$F,A155,RacePerformance!$I:$I),""))</f>
        <v/>
      </c>
      <c r="L155" s="6" t="str">
        <f>IF(A155="","",IFERROR(AVERAGEIF(RacePerformance!$F:$F,A155,RacePerformance!$J:$J),""))</f>
        <v/>
      </c>
      <c r="M155" s="6" t="str">
        <f>IF(A155="","",IFERROR(AVERAGEIF(RacePerformance!$F:$F,A155,RacePerformance!$K:$K),""))</f>
        <v/>
      </c>
      <c r="N155" s="6" t="str">
        <f>IF(A155="","",COUNTIFS(RacePerformance!$F:$F,A155,RacePerformance!$I:$I,"&lt;=20"))</f>
        <v/>
      </c>
      <c r="O155" s="6" t="str">
        <f>IF(A155="","",COUNTIFS(RacePerformance!$F:$F,A155,RacePerformance!$I:$I,1))</f>
        <v/>
      </c>
      <c r="P155" s="6" t="str">
        <f>IF(A155="","",COUNTIFS(RacePerformance!$F:$F,A155,RacePerformance!$J:$J,"&lt;=3"))</f>
        <v/>
      </c>
    </row>
    <row r="156" spans="1:16" ht="14.2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6" t="str">
        <f>IF(A156="","",COUNTIF(RacePerformance!$F:$F,A156))</f>
        <v/>
      </c>
      <c r="K156" s="6" t="str">
        <f>IF(A156="","",IFERROR(AVERAGEIF(RacePerformance!$F:$F,A156,RacePerformance!$I:$I),""))</f>
        <v/>
      </c>
      <c r="L156" s="6" t="str">
        <f>IF(A156="","",IFERROR(AVERAGEIF(RacePerformance!$F:$F,A156,RacePerformance!$J:$J),""))</f>
        <v/>
      </c>
      <c r="M156" s="6" t="str">
        <f>IF(A156="","",IFERROR(AVERAGEIF(RacePerformance!$F:$F,A156,RacePerformance!$K:$K),""))</f>
        <v/>
      </c>
      <c r="N156" s="6" t="str">
        <f>IF(A156="","",COUNTIFS(RacePerformance!$F:$F,A156,RacePerformance!$I:$I,"&lt;=20"))</f>
        <v/>
      </c>
      <c r="O156" s="6" t="str">
        <f>IF(A156="","",COUNTIFS(RacePerformance!$F:$F,A156,RacePerformance!$I:$I,1))</f>
        <v/>
      </c>
      <c r="P156" s="6" t="str">
        <f>IF(A156="","",COUNTIFS(RacePerformance!$F:$F,A156,RacePerformance!$J:$J,"&lt;=3"))</f>
        <v/>
      </c>
    </row>
    <row r="157" spans="1:16" ht="14.2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6" t="str">
        <f>IF(A157="","",COUNTIF(RacePerformance!$F:$F,A157))</f>
        <v/>
      </c>
      <c r="K157" s="6" t="str">
        <f>IF(A157="","",IFERROR(AVERAGEIF(RacePerformance!$F:$F,A157,RacePerformance!$I:$I),""))</f>
        <v/>
      </c>
      <c r="L157" s="6" t="str">
        <f>IF(A157="","",IFERROR(AVERAGEIF(RacePerformance!$F:$F,A157,RacePerformance!$J:$J),""))</f>
        <v/>
      </c>
      <c r="M157" s="6" t="str">
        <f>IF(A157="","",IFERROR(AVERAGEIF(RacePerformance!$F:$F,A157,RacePerformance!$K:$K),""))</f>
        <v/>
      </c>
      <c r="N157" s="6" t="str">
        <f>IF(A157="","",COUNTIFS(RacePerformance!$F:$F,A157,RacePerformance!$I:$I,"&lt;=20"))</f>
        <v/>
      </c>
      <c r="O157" s="6" t="str">
        <f>IF(A157="","",COUNTIFS(RacePerformance!$F:$F,A157,RacePerformance!$I:$I,1))</f>
        <v/>
      </c>
      <c r="P157" s="6" t="str">
        <f>IF(A157="","",COUNTIFS(RacePerformance!$F:$F,A157,RacePerformance!$J:$J,"&lt;=3"))</f>
        <v/>
      </c>
    </row>
    <row r="158" spans="1:16" ht="14.2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6" t="str">
        <f>IF(A158="","",COUNTIF(RacePerformance!$F:$F,A158))</f>
        <v/>
      </c>
      <c r="K158" s="6" t="str">
        <f>IF(A158="","",IFERROR(AVERAGEIF(RacePerformance!$F:$F,A158,RacePerformance!$I:$I),""))</f>
        <v/>
      </c>
      <c r="L158" s="6" t="str">
        <f>IF(A158="","",IFERROR(AVERAGEIF(RacePerformance!$F:$F,A158,RacePerformance!$J:$J),""))</f>
        <v/>
      </c>
      <c r="M158" s="6" t="str">
        <f>IF(A158="","",IFERROR(AVERAGEIF(RacePerformance!$F:$F,A158,RacePerformance!$K:$K),""))</f>
        <v/>
      </c>
      <c r="N158" s="6" t="str">
        <f>IF(A158="","",COUNTIFS(RacePerformance!$F:$F,A158,RacePerformance!$I:$I,"&lt;=20"))</f>
        <v/>
      </c>
      <c r="O158" s="6" t="str">
        <f>IF(A158="","",COUNTIFS(RacePerformance!$F:$F,A158,RacePerformance!$I:$I,1))</f>
        <v/>
      </c>
      <c r="P158" s="6" t="str">
        <f>IF(A158="","",COUNTIFS(RacePerformance!$F:$F,A158,RacePerformance!$J:$J,"&lt;=3"))</f>
        <v/>
      </c>
    </row>
    <row r="159" spans="1:16" ht="14.2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6" t="str">
        <f>IF(A159="","",COUNTIF(RacePerformance!$F:$F,A159))</f>
        <v/>
      </c>
      <c r="K159" s="6" t="str">
        <f>IF(A159="","",IFERROR(AVERAGEIF(RacePerformance!$F:$F,A159,RacePerformance!$I:$I),""))</f>
        <v/>
      </c>
      <c r="L159" s="6" t="str">
        <f>IF(A159="","",IFERROR(AVERAGEIF(RacePerformance!$F:$F,A159,RacePerformance!$J:$J),""))</f>
        <v/>
      </c>
      <c r="M159" s="6" t="str">
        <f>IF(A159="","",IFERROR(AVERAGEIF(RacePerformance!$F:$F,A159,RacePerformance!$K:$K),""))</f>
        <v/>
      </c>
      <c r="N159" s="6" t="str">
        <f>IF(A159="","",COUNTIFS(RacePerformance!$F:$F,A159,RacePerformance!$I:$I,"&lt;=20"))</f>
        <v/>
      </c>
      <c r="O159" s="6" t="str">
        <f>IF(A159="","",COUNTIFS(RacePerformance!$F:$F,A159,RacePerformance!$I:$I,1))</f>
        <v/>
      </c>
      <c r="P159" s="6" t="str">
        <f>IF(A159="","",COUNTIFS(RacePerformance!$F:$F,A159,RacePerformance!$J:$J,"&lt;=3"))</f>
        <v/>
      </c>
    </row>
    <row r="160" spans="1:16" ht="14.2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6" t="str">
        <f>IF(A160="","",COUNTIF(RacePerformance!$F:$F,A160))</f>
        <v/>
      </c>
      <c r="K160" s="6" t="str">
        <f>IF(A160="","",IFERROR(AVERAGEIF(RacePerformance!$F:$F,A160,RacePerformance!$I:$I),""))</f>
        <v/>
      </c>
      <c r="L160" s="6" t="str">
        <f>IF(A160="","",IFERROR(AVERAGEIF(RacePerformance!$F:$F,A160,RacePerformance!$J:$J),""))</f>
        <v/>
      </c>
      <c r="M160" s="6" t="str">
        <f>IF(A160="","",IFERROR(AVERAGEIF(RacePerformance!$F:$F,A160,RacePerformance!$K:$K),""))</f>
        <v/>
      </c>
      <c r="N160" s="6" t="str">
        <f>IF(A160="","",COUNTIFS(RacePerformance!$F:$F,A160,RacePerformance!$I:$I,"&lt;=20"))</f>
        <v/>
      </c>
      <c r="O160" s="6" t="str">
        <f>IF(A160="","",COUNTIFS(RacePerformance!$F:$F,A160,RacePerformance!$I:$I,1))</f>
        <v/>
      </c>
      <c r="P160" s="6" t="str">
        <f>IF(A160="","",COUNTIFS(RacePerformance!$F:$F,A160,RacePerformance!$J:$J,"&lt;=3"))</f>
        <v/>
      </c>
    </row>
    <row r="161" spans="1:16" ht="14.2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6" t="str">
        <f>IF(A161="","",COUNTIF(RacePerformance!$F:$F,A161))</f>
        <v/>
      </c>
      <c r="K161" s="6" t="str">
        <f>IF(A161="","",IFERROR(AVERAGEIF(RacePerformance!$F:$F,A161,RacePerformance!$I:$I),""))</f>
        <v/>
      </c>
      <c r="L161" s="6" t="str">
        <f>IF(A161="","",IFERROR(AVERAGEIF(RacePerformance!$F:$F,A161,RacePerformance!$J:$J),""))</f>
        <v/>
      </c>
      <c r="M161" s="6" t="str">
        <f>IF(A161="","",IFERROR(AVERAGEIF(RacePerformance!$F:$F,A161,RacePerformance!$K:$K),""))</f>
        <v/>
      </c>
      <c r="N161" s="6" t="str">
        <f>IF(A161="","",COUNTIFS(RacePerformance!$F:$F,A161,RacePerformance!$I:$I,"&lt;=20"))</f>
        <v/>
      </c>
      <c r="O161" s="6" t="str">
        <f>IF(A161="","",COUNTIFS(RacePerformance!$F:$F,A161,RacePerformance!$I:$I,1))</f>
        <v/>
      </c>
      <c r="P161" s="6" t="str">
        <f>IF(A161="","",COUNTIFS(RacePerformance!$F:$F,A161,RacePerformance!$J:$J,"&lt;=3"))</f>
        <v/>
      </c>
    </row>
    <row r="162" spans="1:16" ht="14.2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6" t="str">
        <f>IF(A162="","",COUNTIF(RacePerformance!$F:$F,A162))</f>
        <v/>
      </c>
      <c r="K162" s="6" t="str">
        <f>IF(A162="","",IFERROR(AVERAGEIF(RacePerformance!$F:$F,A162,RacePerformance!$I:$I),""))</f>
        <v/>
      </c>
      <c r="L162" s="6" t="str">
        <f>IF(A162="","",IFERROR(AVERAGEIF(RacePerformance!$F:$F,A162,RacePerformance!$J:$J),""))</f>
        <v/>
      </c>
      <c r="M162" s="6" t="str">
        <f>IF(A162="","",IFERROR(AVERAGEIF(RacePerformance!$F:$F,A162,RacePerformance!$K:$K),""))</f>
        <v/>
      </c>
      <c r="N162" s="6" t="str">
        <f>IF(A162="","",COUNTIFS(RacePerformance!$F:$F,A162,RacePerformance!$I:$I,"&lt;=20"))</f>
        <v/>
      </c>
      <c r="O162" s="6" t="str">
        <f>IF(A162="","",COUNTIFS(RacePerformance!$F:$F,A162,RacePerformance!$I:$I,1))</f>
        <v/>
      </c>
      <c r="P162" s="6" t="str">
        <f>IF(A162="","",COUNTIFS(RacePerformance!$F:$F,A162,RacePerformance!$J:$J,"&lt;=3"))</f>
        <v/>
      </c>
    </row>
    <row r="163" spans="1:16" ht="14.2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6" t="str">
        <f>IF(A163="","",COUNTIF(RacePerformance!$F:$F,A163))</f>
        <v/>
      </c>
      <c r="K163" s="6" t="str">
        <f>IF(A163="","",IFERROR(AVERAGEIF(RacePerformance!$F:$F,A163,RacePerformance!$I:$I),""))</f>
        <v/>
      </c>
      <c r="L163" s="6" t="str">
        <f>IF(A163="","",IFERROR(AVERAGEIF(RacePerformance!$F:$F,A163,RacePerformance!$J:$J),""))</f>
        <v/>
      </c>
      <c r="M163" s="6" t="str">
        <f>IF(A163="","",IFERROR(AVERAGEIF(RacePerformance!$F:$F,A163,RacePerformance!$K:$K),""))</f>
        <v/>
      </c>
      <c r="N163" s="6" t="str">
        <f>IF(A163="","",COUNTIFS(RacePerformance!$F:$F,A163,RacePerformance!$I:$I,"&lt;=20"))</f>
        <v/>
      </c>
      <c r="O163" s="6" t="str">
        <f>IF(A163="","",COUNTIFS(RacePerformance!$F:$F,A163,RacePerformance!$I:$I,1))</f>
        <v/>
      </c>
      <c r="P163" s="6" t="str">
        <f>IF(A163="","",COUNTIFS(RacePerformance!$F:$F,A163,RacePerformance!$J:$J,"&lt;=3"))</f>
        <v/>
      </c>
    </row>
    <row r="164" spans="1:16" ht="14.2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6" t="str">
        <f>IF(A164="","",COUNTIF(RacePerformance!$F:$F,A164))</f>
        <v/>
      </c>
      <c r="K164" s="6" t="str">
        <f>IF(A164="","",IFERROR(AVERAGEIF(RacePerformance!$F:$F,A164,RacePerformance!$I:$I),""))</f>
        <v/>
      </c>
      <c r="L164" s="6" t="str">
        <f>IF(A164="","",IFERROR(AVERAGEIF(RacePerformance!$F:$F,A164,RacePerformance!$J:$J),""))</f>
        <v/>
      </c>
      <c r="M164" s="6" t="str">
        <f>IF(A164="","",IFERROR(AVERAGEIF(RacePerformance!$F:$F,A164,RacePerformance!$K:$K),""))</f>
        <v/>
      </c>
      <c r="N164" s="6" t="str">
        <f>IF(A164="","",COUNTIFS(RacePerformance!$F:$F,A164,RacePerformance!$I:$I,"&lt;=20"))</f>
        <v/>
      </c>
      <c r="O164" s="6" t="str">
        <f>IF(A164="","",COUNTIFS(RacePerformance!$F:$F,A164,RacePerformance!$I:$I,1))</f>
        <v/>
      </c>
      <c r="P164" s="6" t="str">
        <f>IF(A164="","",COUNTIFS(RacePerformance!$F:$F,A164,RacePerformance!$J:$J,"&lt;=3"))</f>
        <v/>
      </c>
    </row>
    <row r="165" spans="1:16" ht="14.2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6" t="str">
        <f>IF(A165="","",COUNTIF(RacePerformance!$F:$F,A165))</f>
        <v/>
      </c>
      <c r="K165" s="6" t="str">
        <f>IF(A165="","",IFERROR(AVERAGEIF(RacePerformance!$F:$F,A165,RacePerformance!$I:$I),""))</f>
        <v/>
      </c>
      <c r="L165" s="6" t="str">
        <f>IF(A165="","",IFERROR(AVERAGEIF(RacePerformance!$F:$F,A165,RacePerformance!$J:$J),""))</f>
        <v/>
      </c>
      <c r="M165" s="6" t="str">
        <f>IF(A165="","",IFERROR(AVERAGEIF(RacePerformance!$F:$F,A165,RacePerformance!$K:$K),""))</f>
        <v/>
      </c>
      <c r="N165" s="6" t="str">
        <f>IF(A165="","",COUNTIFS(RacePerformance!$F:$F,A165,RacePerformance!$I:$I,"&lt;=20"))</f>
        <v/>
      </c>
      <c r="O165" s="6" t="str">
        <f>IF(A165="","",COUNTIFS(RacePerformance!$F:$F,A165,RacePerformance!$I:$I,1))</f>
        <v/>
      </c>
      <c r="P165" s="6" t="str">
        <f>IF(A165="","",COUNTIFS(RacePerformance!$F:$F,A165,RacePerformance!$J:$J,"&lt;=3"))</f>
        <v/>
      </c>
    </row>
    <row r="166" spans="1:16" ht="14.2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6" t="str">
        <f>IF(A166="","",COUNTIF(RacePerformance!$F:$F,A166))</f>
        <v/>
      </c>
      <c r="K166" s="6" t="str">
        <f>IF(A166="","",IFERROR(AVERAGEIF(RacePerformance!$F:$F,A166,RacePerformance!$I:$I),""))</f>
        <v/>
      </c>
      <c r="L166" s="6" t="str">
        <f>IF(A166="","",IFERROR(AVERAGEIF(RacePerformance!$F:$F,A166,RacePerformance!$J:$J),""))</f>
        <v/>
      </c>
      <c r="M166" s="6" t="str">
        <f>IF(A166="","",IFERROR(AVERAGEIF(RacePerformance!$F:$F,A166,RacePerformance!$K:$K),""))</f>
        <v/>
      </c>
      <c r="N166" s="6" t="str">
        <f>IF(A166="","",COUNTIFS(RacePerformance!$F:$F,A166,RacePerformance!$I:$I,"&lt;=20"))</f>
        <v/>
      </c>
      <c r="O166" s="6" t="str">
        <f>IF(A166="","",COUNTIFS(RacePerformance!$F:$F,A166,RacePerformance!$I:$I,1))</f>
        <v/>
      </c>
      <c r="P166" s="6" t="str">
        <f>IF(A166="","",COUNTIFS(RacePerformance!$F:$F,A166,RacePerformance!$J:$J,"&lt;=3"))</f>
        <v/>
      </c>
    </row>
    <row r="167" spans="1:16" ht="14.2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6" t="str">
        <f>IF(A167="","",COUNTIF(RacePerformance!$F:$F,A167))</f>
        <v/>
      </c>
      <c r="K167" s="6" t="str">
        <f>IF(A167="","",IFERROR(AVERAGEIF(RacePerformance!$F:$F,A167,RacePerformance!$I:$I),""))</f>
        <v/>
      </c>
      <c r="L167" s="6" t="str">
        <f>IF(A167="","",IFERROR(AVERAGEIF(RacePerformance!$F:$F,A167,RacePerformance!$J:$J),""))</f>
        <v/>
      </c>
      <c r="M167" s="6" t="str">
        <f>IF(A167="","",IFERROR(AVERAGEIF(RacePerformance!$F:$F,A167,RacePerformance!$K:$K),""))</f>
        <v/>
      </c>
      <c r="N167" s="6" t="str">
        <f>IF(A167="","",COUNTIFS(RacePerformance!$F:$F,A167,RacePerformance!$I:$I,"&lt;=20"))</f>
        <v/>
      </c>
      <c r="O167" s="6" t="str">
        <f>IF(A167="","",COUNTIFS(RacePerformance!$F:$F,A167,RacePerformance!$I:$I,1))</f>
        <v/>
      </c>
      <c r="P167" s="6" t="str">
        <f>IF(A167="","",COUNTIFS(RacePerformance!$F:$F,A167,RacePerformance!$J:$J,"&lt;=3"))</f>
        <v/>
      </c>
    </row>
    <row r="168" spans="1:16" ht="14.2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6" t="str">
        <f>IF(A168="","",COUNTIF(RacePerformance!$F:$F,A168))</f>
        <v/>
      </c>
      <c r="K168" s="6" t="str">
        <f>IF(A168="","",IFERROR(AVERAGEIF(RacePerformance!$F:$F,A168,RacePerformance!$I:$I),""))</f>
        <v/>
      </c>
      <c r="L168" s="6" t="str">
        <f>IF(A168="","",IFERROR(AVERAGEIF(RacePerformance!$F:$F,A168,RacePerformance!$J:$J),""))</f>
        <v/>
      </c>
      <c r="M168" s="6" t="str">
        <f>IF(A168="","",IFERROR(AVERAGEIF(RacePerformance!$F:$F,A168,RacePerformance!$K:$K),""))</f>
        <v/>
      </c>
      <c r="N168" s="6" t="str">
        <f>IF(A168="","",COUNTIFS(RacePerformance!$F:$F,A168,RacePerformance!$I:$I,"&lt;=20"))</f>
        <v/>
      </c>
      <c r="O168" s="6" t="str">
        <f>IF(A168="","",COUNTIFS(RacePerformance!$F:$F,A168,RacePerformance!$I:$I,1))</f>
        <v/>
      </c>
      <c r="P168" s="6" t="str">
        <f>IF(A168="","",COUNTIFS(RacePerformance!$F:$F,A168,RacePerformance!$J:$J,"&lt;=3"))</f>
        <v/>
      </c>
    </row>
    <row r="169" spans="1:16" ht="14.2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6" t="str">
        <f>IF(A169="","",COUNTIF(RacePerformance!$F:$F,A169))</f>
        <v/>
      </c>
      <c r="K169" s="6" t="str">
        <f>IF(A169="","",IFERROR(AVERAGEIF(RacePerformance!$F:$F,A169,RacePerformance!$I:$I),""))</f>
        <v/>
      </c>
      <c r="L169" s="6" t="str">
        <f>IF(A169="","",IFERROR(AVERAGEIF(RacePerformance!$F:$F,A169,RacePerformance!$J:$J),""))</f>
        <v/>
      </c>
      <c r="M169" s="6" t="str">
        <f>IF(A169="","",IFERROR(AVERAGEIF(RacePerformance!$F:$F,A169,RacePerformance!$K:$K),""))</f>
        <v/>
      </c>
      <c r="N169" s="6" t="str">
        <f>IF(A169="","",COUNTIFS(RacePerformance!$F:$F,A169,RacePerformance!$I:$I,"&lt;=20"))</f>
        <v/>
      </c>
      <c r="O169" s="6" t="str">
        <f>IF(A169="","",COUNTIFS(RacePerformance!$F:$F,A169,RacePerformance!$I:$I,1))</f>
        <v/>
      </c>
      <c r="P169" s="6" t="str">
        <f>IF(A169="","",COUNTIFS(RacePerformance!$F:$F,A169,RacePerformance!$J:$J,"&lt;=3"))</f>
        <v/>
      </c>
    </row>
    <row r="170" spans="1:16" ht="14.2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6" t="str">
        <f>IF(A170="","",COUNTIF(RacePerformance!$F:$F,A170))</f>
        <v/>
      </c>
      <c r="K170" s="6" t="str">
        <f>IF(A170="","",IFERROR(AVERAGEIF(RacePerformance!$F:$F,A170,RacePerformance!$I:$I),""))</f>
        <v/>
      </c>
      <c r="L170" s="6" t="str">
        <f>IF(A170="","",IFERROR(AVERAGEIF(RacePerformance!$F:$F,A170,RacePerformance!$J:$J),""))</f>
        <v/>
      </c>
      <c r="M170" s="6" t="str">
        <f>IF(A170="","",IFERROR(AVERAGEIF(RacePerformance!$F:$F,A170,RacePerformance!$K:$K),""))</f>
        <v/>
      </c>
      <c r="N170" s="6" t="str">
        <f>IF(A170="","",COUNTIFS(RacePerformance!$F:$F,A170,RacePerformance!$I:$I,"&lt;=20"))</f>
        <v/>
      </c>
      <c r="O170" s="6" t="str">
        <f>IF(A170="","",COUNTIFS(RacePerformance!$F:$F,A170,RacePerformance!$I:$I,1))</f>
        <v/>
      </c>
      <c r="P170" s="6" t="str">
        <f>IF(A170="","",COUNTIFS(RacePerformance!$F:$F,A170,RacePerformance!$J:$J,"&lt;=3"))</f>
        <v/>
      </c>
    </row>
    <row r="171" spans="1:16" ht="14.2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6" t="str">
        <f>IF(A171="","",COUNTIF(RacePerformance!$F:$F,A171))</f>
        <v/>
      </c>
      <c r="K171" s="6" t="str">
        <f>IF(A171="","",IFERROR(AVERAGEIF(RacePerformance!$F:$F,A171,RacePerformance!$I:$I),""))</f>
        <v/>
      </c>
      <c r="L171" s="6" t="str">
        <f>IF(A171="","",IFERROR(AVERAGEIF(RacePerformance!$F:$F,A171,RacePerformance!$J:$J),""))</f>
        <v/>
      </c>
      <c r="M171" s="6" t="str">
        <f>IF(A171="","",IFERROR(AVERAGEIF(RacePerformance!$F:$F,A171,RacePerformance!$K:$K),""))</f>
        <v/>
      </c>
      <c r="N171" s="6" t="str">
        <f>IF(A171="","",COUNTIFS(RacePerformance!$F:$F,A171,RacePerformance!$I:$I,"&lt;=20"))</f>
        <v/>
      </c>
      <c r="O171" s="6" t="str">
        <f>IF(A171="","",COUNTIFS(RacePerformance!$F:$F,A171,RacePerformance!$I:$I,1))</f>
        <v/>
      </c>
      <c r="P171" s="6" t="str">
        <f>IF(A171="","",COUNTIFS(RacePerformance!$F:$F,A171,RacePerformance!$J:$J,"&lt;=3"))</f>
        <v/>
      </c>
    </row>
    <row r="172" spans="1:16" ht="14.2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6" t="str">
        <f>IF(A172="","",COUNTIF(RacePerformance!$F:$F,A172))</f>
        <v/>
      </c>
      <c r="K172" s="6" t="str">
        <f>IF(A172="","",IFERROR(AVERAGEIF(RacePerformance!$F:$F,A172,RacePerformance!$I:$I),""))</f>
        <v/>
      </c>
      <c r="L172" s="6" t="str">
        <f>IF(A172="","",IFERROR(AVERAGEIF(RacePerformance!$F:$F,A172,RacePerformance!$J:$J),""))</f>
        <v/>
      </c>
      <c r="M172" s="6" t="str">
        <f>IF(A172="","",IFERROR(AVERAGEIF(RacePerformance!$F:$F,A172,RacePerformance!$K:$K),""))</f>
        <v/>
      </c>
      <c r="N172" s="6" t="str">
        <f>IF(A172="","",COUNTIFS(RacePerformance!$F:$F,A172,RacePerformance!$I:$I,"&lt;=20"))</f>
        <v/>
      </c>
      <c r="O172" s="6" t="str">
        <f>IF(A172="","",COUNTIFS(RacePerformance!$F:$F,A172,RacePerformance!$I:$I,1))</f>
        <v/>
      </c>
      <c r="P172" s="6" t="str">
        <f>IF(A172="","",COUNTIFS(RacePerformance!$F:$F,A172,RacePerformance!$J:$J,"&lt;=3"))</f>
        <v/>
      </c>
    </row>
    <row r="173" spans="1:16" ht="14.2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6" t="str">
        <f>IF(A173="","",COUNTIF(RacePerformance!$F:$F,A173))</f>
        <v/>
      </c>
      <c r="K173" s="6" t="str">
        <f>IF(A173="","",IFERROR(AVERAGEIF(RacePerformance!$F:$F,A173,RacePerformance!$I:$I),""))</f>
        <v/>
      </c>
      <c r="L173" s="6" t="str">
        <f>IF(A173="","",IFERROR(AVERAGEIF(RacePerformance!$F:$F,A173,RacePerformance!$J:$J),""))</f>
        <v/>
      </c>
      <c r="M173" s="6" t="str">
        <f>IF(A173="","",IFERROR(AVERAGEIF(RacePerformance!$F:$F,A173,RacePerformance!$K:$K),""))</f>
        <v/>
      </c>
      <c r="N173" s="6" t="str">
        <f>IF(A173="","",COUNTIFS(RacePerformance!$F:$F,A173,RacePerformance!$I:$I,"&lt;=20"))</f>
        <v/>
      </c>
      <c r="O173" s="6" t="str">
        <f>IF(A173="","",COUNTIFS(RacePerformance!$F:$F,A173,RacePerformance!$I:$I,1))</f>
        <v/>
      </c>
      <c r="P173" s="6" t="str">
        <f>IF(A173="","",COUNTIFS(RacePerformance!$F:$F,A173,RacePerformance!$J:$J,"&lt;=3"))</f>
        <v/>
      </c>
    </row>
    <row r="174" spans="1:16" ht="14.2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6" t="str">
        <f>IF(A174="","",COUNTIF(RacePerformance!$F:$F,A174))</f>
        <v/>
      </c>
      <c r="K174" s="6" t="str">
        <f>IF(A174="","",IFERROR(AVERAGEIF(RacePerformance!$F:$F,A174,RacePerformance!$I:$I),""))</f>
        <v/>
      </c>
      <c r="L174" s="6" t="str">
        <f>IF(A174="","",IFERROR(AVERAGEIF(RacePerformance!$F:$F,A174,RacePerformance!$J:$J),""))</f>
        <v/>
      </c>
      <c r="M174" s="6" t="str">
        <f>IF(A174="","",IFERROR(AVERAGEIF(RacePerformance!$F:$F,A174,RacePerformance!$K:$K),""))</f>
        <v/>
      </c>
      <c r="N174" s="6" t="str">
        <f>IF(A174="","",COUNTIFS(RacePerformance!$F:$F,A174,RacePerformance!$I:$I,"&lt;=20"))</f>
        <v/>
      </c>
      <c r="O174" s="6" t="str">
        <f>IF(A174="","",COUNTIFS(RacePerformance!$F:$F,A174,RacePerformance!$I:$I,1))</f>
        <v/>
      </c>
      <c r="P174" s="6" t="str">
        <f>IF(A174="","",COUNTIFS(RacePerformance!$F:$F,A174,RacePerformance!$J:$J,"&lt;=3"))</f>
        <v/>
      </c>
    </row>
    <row r="175" spans="1:16" ht="14.2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6" t="str">
        <f>IF(A175="","",COUNTIF(RacePerformance!$F:$F,A175))</f>
        <v/>
      </c>
      <c r="K175" s="6" t="str">
        <f>IF(A175="","",IFERROR(AVERAGEIF(RacePerformance!$F:$F,A175,RacePerformance!$I:$I),""))</f>
        <v/>
      </c>
      <c r="L175" s="6" t="str">
        <f>IF(A175="","",IFERROR(AVERAGEIF(RacePerformance!$F:$F,A175,RacePerformance!$J:$J),""))</f>
        <v/>
      </c>
      <c r="M175" s="6" t="str">
        <f>IF(A175="","",IFERROR(AVERAGEIF(RacePerformance!$F:$F,A175,RacePerformance!$K:$K),""))</f>
        <v/>
      </c>
      <c r="N175" s="6" t="str">
        <f>IF(A175="","",COUNTIFS(RacePerformance!$F:$F,A175,RacePerformance!$I:$I,"&lt;=20"))</f>
        <v/>
      </c>
      <c r="O175" s="6" t="str">
        <f>IF(A175="","",COUNTIFS(RacePerformance!$F:$F,A175,RacePerformance!$I:$I,1))</f>
        <v/>
      </c>
      <c r="P175" s="6" t="str">
        <f>IF(A175="","",COUNTIFS(RacePerformance!$F:$F,A175,RacePerformance!$J:$J,"&lt;=3"))</f>
        <v/>
      </c>
    </row>
    <row r="176" spans="1:16" ht="14.2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6" t="str">
        <f>IF(A176="","",COUNTIF(RacePerformance!$F:$F,A176))</f>
        <v/>
      </c>
      <c r="K176" s="6" t="str">
        <f>IF(A176="","",IFERROR(AVERAGEIF(RacePerformance!$F:$F,A176,RacePerformance!$I:$I),""))</f>
        <v/>
      </c>
      <c r="L176" s="6" t="str">
        <f>IF(A176="","",IFERROR(AVERAGEIF(RacePerformance!$F:$F,A176,RacePerformance!$J:$J),""))</f>
        <v/>
      </c>
      <c r="M176" s="6" t="str">
        <f>IF(A176="","",IFERROR(AVERAGEIF(RacePerformance!$F:$F,A176,RacePerformance!$K:$K),""))</f>
        <v/>
      </c>
      <c r="N176" s="6" t="str">
        <f>IF(A176="","",COUNTIFS(RacePerformance!$F:$F,A176,RacePerformance!$I:$I,"&lt;=20"))</f>
        <v/>
      </c>
      <c r="O176" s="6" t="str">
        <f>IF(A176="","",COUNTIFS(RacePerformance!$F:$F,A176,RacePerformance!$I:$I,1))</f>
        <v/>
      </c>
      <c r="P176" s="6" t="str">
        <f>IF(A176="","",COUNTIFS(RacePerformance!$F:$F,A176,RacePerformance!$J:$J,"&lt;=3"))</f>
        <v/>
      </c>
    </row>
    <row r="177" spans="1:16" ht="14.2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6" t="str">
        <f>IF(A177="","",COUNTIF(RacePerformance!$F:$F,A177))</f>
        <v/>
      </c>
      <c r="K177" s="6" t="str">
        <f>IF(A177="","",IFERROR(AVERAGEIF(RacePerformance!$F:$F,A177,RacePerformance!$I:$I),""))</f>
        <v/>
      </c>
      <c r="L177" s="6" t="str">
        <f>IF(A177="","",IFERROR(AVERAGEIF(RacePerformance!$F:$F,A177,RacePerformance!$J:$J),""))</f>
        <v/>
      </c>
      <c r="M177" s="6" t="str">
        <f>IF(A177="","",IFERROR(AVERAGEIF(RacePerformance!$F:$F,A177,RacePerformance!$K:$K),""))</f>
        <v/>
      </c>
      <c r="N177" s="6" t="str">
        <f>IF(A177="","",COUNTIFS(RacePerformance!$F:$F,A177,RacePerformance!$I:$I,"&lt;=20"))</f>
        <v/>
      </c>
      <c r="O177" s="6" t="str">
        <f>IF(A177="","",COUNTIFS(RacePerformance!$F:$F,A177,RacePerformance!$I:$I,1))</f>
        <v/>
      </c>
      <c r="P177" s="6" t="str">
        <f>IF(A177="","",COUNTIFS(RacePerformance!$F:$F,A177,RacePerformance!$J:$J,"&lt;=3"))</f>
        <v/>
      </c>
    </row>
    <row r="178" spans="1:16" ht="14.2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6" t="str">
        <f>IF(A178="","",COUNTIF(RacePerformance!$F:$F,A178))</f>
        <v/>
      </c>
      <c r="K178" s="6" t="str">
        <f>IF(A178="","",IFERROR(AVERAGEIF(RacePerformance!$F:$F,A178,RacePerformance!$I:$I),""))</f>
        <v/>
      </c>
      <c r="L178" s="6" t="str">
        <f>IF(A178="","",IFERROR(AVERAGEIF(RacePerformance!$F:$F,A178,RacePerformance!$J:$J),""))</f>
        <v/>
      </c>
      <c r="M178" s="6" t="str">
        <f>IF(A178="","",IFERROR(AVERAGEIF(RacePerformance!$F:$F,A178,RacePerformance!$K:$K),""))</f>
        <v/>
      </c>
      <c r="N178" s="6" t="str">
        <f>IF(A178="","",COUNTIFS(RacePerformance!$F:$F,A178,RacePerformance!$I:$I,"&lt;=20"))</f>
        <v/>
      </c>
      <c r="O178" s="6" t="str">
        <f>IF(A178="","",COUNTIFS(RacePerformance!$F:$F,A178,RacePerformance!$I:$I,1))</f>
        <v/>
      </c>
      <c r="P178" s="6" t="str">
        <f>IF(A178="","",COUNTIFS(RacePerformance!$F:$F,A178,RacePerformance!$J:$J,"&lt;=3"))</f>
        <v/>
      </c>
    </row>
    <row r="179" spans="1:16" ht="14.2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6" t="str">
        <f>IF(A179="","",COUNTIF(RacePerformance!$F:$F,A179))</f>
        <v/>
      </c>
      <c r="K179" s="6" t="str">
        <f>IF(A179="","",IFERROR(AVERAGEIF(RacePerformance!$F:$F,A179,RacePerformance!$I:$I),""))</f>
        <v/>
      </c>
      <c r="L179" s="6" t="str">
        <f>IF(A179="","",IFERROR(AVERAGEIF(RacePerformance!$F:$F,A179,RacePerformance!$J:$J),""))</f>
        <v/>
      </c>
      <c r="M179" s="6" t="str">
        <f>IF(A179="","",IFERROR(AVERAGEIF(RacePerformance!$F:$F,A179,RacePerformance!$K:$K),""))</f>
        <v/>
      </c>
      <c r="N179" s="6" t="str">
        <f>IF(A179="","",COUNTIFS(RacePerformance!$F:$F,A179,RacePerformance!$I:$I,"&lt;=20"))</f>
        <v/>
      </c>
      <c r="O179" s="6" t="str">
        <f>IF(A179="","",COUNTIFS(RacePerformance!$F:$F,A179,RacePerformance!$I:$I,1))</f>
        <v/>
      </c>
      <c r="P179" s="6" t="str">
        <f>IF(A179="","",COUNTIFS(RacePerformance!$F:$F,A179,RacePerformance!$J:$J,"&lt;=3"))</f>
        <v/>
      </c>
    </row>
    <row r="180" spans="1:16" ht="14.2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6" t="str">
        <f>IF(A180="","",COUNTIF(RacePerformance!$F:$F,A180))</f>
        <v/>
      </c>
      <c r="K180" s="6" t="str">
        <f>IF(A180="","",IFERROR(AVERAGEIF(RacePerformance!$F:$F,A180,RacePerformance!$I:$I),""))</f>
        <v/>
      </c>
      <c r="L180" s="6" t="str">
        <f>IF(A180="","",IFERROR(AVERAGEIF(RacePerformance!$F:$F,A180,RacePerformance!$J:$J),""))</f>
        <v/>
      </c>
      <c r="M180" s="6" t="str">
        <f>IF(A180="","",IFERROR(AVERAGEIF(RacePerformance!$F:$F,A180,RacePerformance!$K:$K),""))</f>
        <v/>
      </c>
      <c r="N180" s="6" t="str">
        <f>IF(A180="","",COUNTIFS(RacePerformance!$F:$F,A180,RacePerformance!$I:$I,"&lt;=20"))</f>
        <v/>
      </c>
      <c r="O180" s="6" t="str">
        <f>IF(A180="","",COUNTIFS(RacePerformance!$F:$F,A180,RacePerformance!$I:$I,1))</f>
        <v/>
      </c>
      <c r="P180" s="6" t="str">
        <f>IF(A180="","",COUNTIFS(RacePerformance!$F:$F,A180,RacePerformance!$J:$J,"&lt;=3"))</f>
        <v/>
      </c>
    </row>
    <row r="181" spans="1:16" ht="14.2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6" t="str">
        <f>IF(A181="","",COUNTIF(RacePerformance!$F:$F,A181))</f>
        <v/>
      </c>
      <c r="K181" s="6" t="str">
        <f>IF(A181="","",IFERROR(AVERAGEIF(RacePerformance!$F:$F,A181,RacePerformance!$I:$I),""))</f>
        <v/>
      </c>
      <c r="L181" s="6" t="str">
        <f>IF(A181="","",IFERROR(AVERAGEIF(RacePerformance!$F:$F,A181,RacePerformance!$J:$J),""))</f>
        <v/>
      </c>
      <c r="M181" s="6" t="str">
        <f>IF(A181="","",IFERROR(AVERAGEIF(RacePerformance!$F:$F,A181,RacePerformance!$K:$K),""))</f>
        <v/>
      </c>
      <c r="N181" s="6" t="str">
        <f>IF(A181="","",COUNTIFS(RacePerformance!$F:$F,A181,RacePerformance!$I:$I,"&lt;=20"))</f>
        <v/>
      </c>
      <c r="O181" s="6" t="str">
        <f>IF(A181="","",COUNTIFS(RacePerformance!$F:$F,A181,RacePerformance!$I:$I,1))</f>
        <v/>
      </c>
      <c r="P181" s="6" t="str">
        <f>IF(A181="","",COUNTIFS(RacePerformance!$F:$F,A181,RacePerformance!$J:$J,"&lt;=3"))</f>
        <v/>
      </c>
    </row>
    <row r="182" spans="1:16" ht="14.2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6" t="str">
        <f>IF(A182="","",COUNTIF(RacePerformance!$F:$F,A182))</f>
        <v/>
      </c>
      <c r="K182" s="6" t="str">
        <f>IF(A182="","",IFERROR(AVERAGEIF(RacePerformance!$F:$F,A182,RacePerformance!$I:$I),""))</f>
        <v/>
      </c>
      <c r="L182" s="6" t="str">
        <f>IF(A182="","",IFERROR(AVERAGEIF(RacePerformance!$F:$F,A182,RacePerformance!$J:$J),""))</f>
        <v/>
      </c>
      <c r="M182" s="6" t="str">
        <f>IF(A182="","",IFERROR(AVERAGEIF(RacePerformance!$F:$F,A182,RacePerformance!$K:$K),""))</f>
        <v/>
      </c>
      <c r="N182" s="6" t="str">
        <f>IF(A182="","",COUNTIFS(RacePerformance!$F:$F,A182,RacePerformance!$I:$I,"&lt;=20"))</f>
        <v/>
      </c>
      <c r="O182" s="6" t="str">
        <f>IF(A182="","",COUNTIFS(RacePerformance!$F:$F,A182,RacePerformance!$I:$I,1))</f>
        <v/>
      </c>
      <c r="P182" s="6" t="str">
        <f>IF(A182="","",COUNTIFS(RacePerformance!$F:$F,A182,RacePerformance!$J:$J,"&lt;=3"))</f>
        <v/>
      </c>
    </row>
    <row r="183" spans="1:16" ht="14.2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6" t="str">
        <f>IF(A183="","",COUNTIF(RacePerformance!$F:$F,A183))</f>
        <v/>
      </c>
      <c r="K183" s="6" t="str">
        <f>IF(A183="","",IFERROR(AVERAGEIF(RacePerformance!$F:$F,A183,RacePerformance!$I:$I),""))</f>
        <v/>
      </c>
      <c r="L183" s="6" t="str">
        <f>IF(A183="","",IFERROR(AVERAGEIF(RacePerformance!$F:$F,A183,RacePerformance!$J:$J),""))</f>
        <v/>
      </c>
      <c r="M183" s="6" t="str">
        <f>IF(A183="","",IFERROR(AVERAGEIF(RacePerformance!$F:$F,A183,RacePerformance!$K:$K),""))</f>
        <v/>
      </c>
      <c r="N183" s="6" t="str">
        <f>IF(A183="","",COUNTIFS(RacePerformance!$F:$F,A183,RacePerformance!$I:$I,"&lt;=20"))</f>
        <v/>
      </c>
      <c r="O183" s="6" t="str">
        <f>IF(A183="","",COUNTIFS(RacePerformance!$F:$F,A183,RacePerformance!$I:$I,1))</f>
        <v/>
      </c>
      <c r="P183" s="6" t="str">
        <f>IF(A183="","",COUNTIFS(RacePerformance!$F:$F,A183,RacePerformance!$J:$J,"&lt;=3"))</f>
        <v/>
      </c>
    </row>
    <row r="184" spans="1:16" ht="14.2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6" t="str">
        <f>IF(A184="","",COUNTIF(RacePerformance!$F:$F,A184))</f>
        <v/>
      </c>
      <c r="K184" s="6" t="str">
        <f>IF(A184="","",IFERROR(AVERAGEIF(RacePerformance!$F:$F,A184,RacePerformance!$I:$I),""))</f>
        <v/>
      </c>
      <c r="L184" s="6" t="str">
        <f>IF(A184="","",IFERROR(AVERAGEIF(RacePerformance!$F:$F,A184,RacePerformance!$J:$J),""))</f>
        <v/>
      </c>
      <c r="M184" s="6" t="str">
        <f>IF(A184="","",IFERROR(AVERAGEIF(RacePerformance!$F:$F,A184,RacePerformance!$K:$K),""))</f>
        <v/>
      </c>
      <c r="N184" s="6" t="str">
        <f>IF(A184="","",COUNTIFS(RacePerformance!$F:$F,A184,RacePerformance!$I:$I,"&lt;=20"))</f>
        <v/>
      </c>
      <c r="O184" s="6" t="str">
        <f>IF(A184="","",COUNTIFS(RacePerformance!$F:$F,A184,RacePerformance!$I:$I,1))</f>
        <v/>
      </c>
      <c r="P184" s="6" t="str">
        <f>IF(A184="","",COUNTIFS(RacePerformance!$F:$F,A184,RacePerformance!$J:$J,"&lt;=3"))</f>
        <v/>
      </c>
    </row>
    <row r="185" spans="1:16" ht="14.2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6" t="str">
        <f>IF(A185="","",COUNTIF(RacePerformance!$F:$F,A185))</f>
        <v/>
      </c>
      <c r="K185" s="6" t="str">
        <f>IF(A185="","",IFERROR(AVERAGEIF(RacePerformance!$F:$F,A185,RacePerformance!$I:$I),""))</f>
        <v/>
      </c>
      <c r="L185" s="6" t="str">
        <f>IF(A185="","",IFERROR(AVERAGEIF(RacePerformance!$F:$F,A185,RacePerformance!$J:$J),""))</f>
        <v/>
      </c>
      <c r="M185" s="6" t="str">
        <f>IF(A185="","",IFERROR(AVERAGEIF(RacePerformance!$F:$F,A185,RacePerformance!$K:$K),""))</f>
        <v/>
      </c>
      <c r="N185" s="6" t="str">
        <f>IF(A185="","",COUNTIFS(RacePerformance!$F:$F,A185,RacePerformance!$I:$I,"&lt;=20"))</f>
        <v/>
      </c>
      <c r="O185" s="6" t="str">
        <f>IF(A185="","",COUNTIFS(RacePerformance!$F:$F,A185,RacePerformance!$I:$I,1))</f>
        <v/>
      </c>
      <c r="P185" s="6" t="str">
        <f>IF(A185="","",COUNTIFS(RacePerformance!$F:$F,A185,RacePerformance!$J:$J,"&lt;=3"))</f>
        <v/>
      </c>
    </row>
    <row r="186" spans="1:16" ht="14.2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6" t="str">
        <f>IF(A186="","",COUNTIF(RacePerformance!$F:$F,A186))</f>
        <v/>
      </c>
      <c r="K186" s="6" t="str">
        <f>IF(A186="","",IFERROR(AVERAGEIF(RacePerformance!$F:$F,A186,RacePerformance!$I:$I),""))</f>
        <v/>
      </c>
      <c r="L186" s="6" t="str">
        <f>IF(A186="","",IFERROR(AVERAGEIF(RacePerformance!$F:$F,A186,RacePerformance!$J:$J),""))</f>
        <v/>
      </c>
      <c r="M186" s="6" t="str">
        <f>IF(A186="","",IFERROR(AVERAGEIF(RacePerformance!$F:$F,A186,RacePerformance!$K:$K),""))</f>
        <v/>
      </c>
      <c r="N186" s="6" t="str">
        <f>IF(A186="","",COUNTIFS(RacePerformance!$F:$F,A186,RacePerformance!$I:$I,"&lt;=20"))</f>
        <v/>
      </c>
      <c r="O186" s="6" t="str">
        <f>IF(A186="","",COUNTIFS(RacePerformance!$F:$F,A186,RacePerformance!$I:$I,1))</f>
        <v/>
      </c>
      <c r="P186" s="6" t="str">
        <f>IF(A186="","",COUNTIFS(RacePerformance!$F:$F,A186,RacePerformance!$J:$J,"&lt;=3"))</f>
        <v/>
      </c>
    </row>
    <row r="187" spans="1:16" ht="14.2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6" t="str">
        <f>IF(A187="","",COUNTIF(RacePerformance!$F:$F,A187))</f>
        <v/>
      </c>
      <c r="K187" s="6" t="str">
        <f>IF(A187="","",IFERROR(AVERAGEIF(RacePerformance!$F:$F,A187,RacePerformance!$I:$I),""))</f>
        <v/>
      </c>
      <c r="L187" s="6" t="str">
        <f>IF(A187="","",IFERROR(AVERAGEIF(RacePerformance!$F:$F,A187,RacePerformance!$J:$J),""))</f>
        <v/>
      </c>
      <c r="M187" s="6" t="str">
        <f>IF(A187="","",IFERROR(AVERAGEIF(RacePerformance!$F:$F,A187,RacePerformance!$K:$K),""))</f>
        <v/>
      </c>
      <c r="N187" s="6" t="str">
        <f>IF(A187="","",COUNTIFS(RacePerformance!$F:$F,A187,RacePerformance!$I:$I,"&lt;=20"))</f>
        <v/>
      </c>
      <c r="O187" s="6" t="str">
        <f>IF(A187="","",COUNTIFS(RacePerformance!$F:$F,A187,RacePerformance!$I:$I,1))</f>
        <v/>
      </c>
      <c r="P187" s="6" t="str">
        <f>IF(A187="","",COUNTIFS(RacePerformance!$F:$F,A187,RacePerformance!$J:$J,"&lt;=3"))</f>
        <v/>
      </c>
    </row>
    <row r="188" spans="1:16" ht="14.2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6" t="str">
        <f>IF(A188="","",COUNTIF(RacePerformance!$F:$F,A188))</f>
        <v/>
      </c>
      <c r="K188" s="6" t="str">
        <f>IF(A188="","",IFERROR(AVERAGEIF(RacePerformance!$F:$F,A188,RacePerformance!$I:$I),""))</f>
        <v/>
      </c>
      <c r="L188" s="6" t="str">
        <f>IF(A188="","",IFERROR(AVERAGEIF(RacePerformance!$F:$F,A188,RacePerformance!$J:$J),""))</f>
        <v/>
      </c>
      <c r="M188" s="6" t="str">
        <f>IF(A188="","",IFERROR(AVERAGEIF(RacePerformance!$F:$F,A188,RacePerformance!$K:$K),""))</f>
        <v/>
      </c>
      <c r="N188" s="6" t="str">
        <f>IF(A188="","",COUNTIFS(RacePerformance!$F:$F,A188,RacePerformance!$I:$I,"&lt;=20"))</f>
        <v/>
      </c>
      <c r="O188" s="6" t="str">
        <f>IF(A188="","",COUNTIFS(RacePerformance!$F:$F,A188,RacePerformance!$I:$I,1))</f>
        <v/>
      </c>
      <c r="P188" s="6" t="str">
        <f>IF(A188="","",COUNTIFS(RacePerformance!$F:$F,A188,RacePerformance!$J:$J,"&lt;=3"))</f>
        <v/>
      </c>
    </row>
    <row r="189" spans="1:16" ht="14.2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6" t="str">
        <f>IF(A189="","",COUNTIF(RacePerformance!$F:$F,A189))</f>
        <v/>
      </c>
      <c r="K189" s="6" t="str">
        <f>IF(A189="","",IFERROR(AVERAGEIF(RacePerformance!$F:$F,A189,RacePerformance!$I:$I),""))</f>
        <v/>
      </c>
      <c r="L189" s="6" t="str">
        <f>IF(A189="","",IFERROR(AVERAGEIF(RacePerformance!$F:$F,A189,RacePerformance!$J:$J),""))</f>
        <v/>
      </c>
      <c r="M189" s="6" t="str">
        <f>IF(A189="","",IFERROR(AVERAGEIF(RacePerformance!$F:$F,A189,RacePerformance!$K:$K),""))</f>
        <v/>
      </c>
      <c r="N189" s="6" t="str">
        <f>IF(A189="","",COUNTIFS(RacePerformance!$F:$F,A189,RacePerformance!$I:$I,"&lt;=20"))</f>
        <v/>
      </c>
      <c r="O189" s="6" t="str">
        <f>IF(A189="","",COUNTIFS(RacePerformance!$F:$F,A189,RacePerformance!$I:$I,1))</f>
        <v/>
      </c>
      <c r="P189" s="6" t="str">
        <f>IF(A189="","",COUNTIFS(RacePerformance!$F:$F,A189,RacePerformance!$J:$J,"&lt;=3"))</f>
        <v/>
      </c>
    </row>
    <row r="190" spans="1:16" ht="14.2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6" t="str">
        <f>IF(A190="","",COUNTIF(RacePerformance!$F:$F,A190))</f>
        <v/>
      </c>
      <c r="K190" s="6" t="str">
        <f>IF(A190="","",IFERROR(AVERAGEIF(RacePerformance!$F:$F,A190,RacePerformance!$I:$I),""))</f>
        <v/>
      </c>
      <c r="L190" s="6" t="str">
        <f>IF(A190="","",IFERROR(AVERAGEIF(RacePerformance!$F:$F,A190,RacePerformance!$J:$J),""))</f>
        <v/>
      </c>
      <c r="M190" s="6" t="str">
        <f>IF(A190="","",IFERROR(AVERAGEIF(RacePerformance!$F:$F,A190,RacePerformance!$K:$K),""))</f>
        <v/>
      </c>
      <c r="N190" s="6" t="str">
        <f>IF(A190="","",COUNTIFS(RacePerformance!$F:$F,A190,RacePerformance!$I:$I,"&lt;=20"))</f>
        <v/>
      </c>
      <c r="O190" s="6" t="str">
        <f>IF(A190="","",COUNTIFS(RacePerformance!$F:$F,A190,RacePerformance!$I:$I,1))</f>
        <v/>
      </c>
      <c r="P190" s="6" t="str">
        <f>IF(A190="","",COUNTIFS(RacePerformance!$F:$F,A190,RacePerformance!$J:$J,"&lt;=3"))</f>
        <v/>
      </c>
    </row>
    <row r="191" spans="1:16" ht="14.2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6" t="str">
        <f>IF(A191="","",COUNTIF(RacePerformance!$F:$F,A191))</f>
        <v/>
      </c>
      <c r="K191" s="6" t="str">
        <f>IF(A191="","",IFERROR(AVERAGEIF(RacePerformance!$F:$F,A191,RacePerformance!$I:$I),""))</f>
        <v/>
      </c>
      <c r="L191" s="6" t="str">
        <f>IF(A191="","",IFERROR(AVERAGEIF(RacePerformance!$F:$F,A191,RacePerformance!$J:$J),""))</f>
        <v/>
      </c>
      <c r="M191" s="6" t="str">
        <f>IF(A191="","",IFERROR(AVERAGEIF(RacePerformance!$F:$F,A191,RacePerformance!$K:$K),""))</f>
        <v/>
      </c>
      <c r="N191" s="6" t="str">
        <f>IF(A191="","",COUNTIFS(RacePerformance!$F:$F,A191,RacePerformance!$I:$I,"&lt;=20"))</f>
        <v/>
      </c>
      <c r="O191" s="6" t="str">
        <f>IF(A191="","",COUNTIFS(RacePerformance!$F:$F,A191,RacePerformance!$I:$I,1))</f>
        <v/>
      </c>
      <c r="P191" s="6" t="str">
        <f>IF(A191="","",COUNTIFS(RacePerformance!$F:$F,A191,RacePerformance!$J:$J,"&lt;=3"))</f>
        <v/>
      </c>
    </row>
    <row r="192" spans="1:16" ht="14.2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6" t="str">
        <f>IF(A192="","",COUNTIF(RacePerformance!$F:$F,A192))</f>
        <v/>
      </c>
      <c r="K192" s="6" t="str">
        <f>IF(A192="","",IFERROR(AVERAGEIF(RacePerformance!$F:$F,A192,RacePerformance!$I:$I),""))</f>
        <v/>
      </c>
      <c r="L192" s="6" t="str">
        <f>IF(A192="","",IFERROR(AVERAGEIF(RacePerformance!$F:$F,A192,RacePerformance!$J:$J),""))</f>
        <v/>
      </c>
      <c r="M192" s="6" t="str">
        <f>IF(A192="","",IFERROR(AVERAGEIF(RacePerformance!$F:$F,A192,RacePerformance!$K:$K),""))</f>
        <v/>
      </c>
      <c r="N192" s="6" t="str">
        <f>IF(A192="","",COUNTIFS(RacePerformance!$F:$F,A192,RacePerformance!$I:$I,"&lt;=20"))</f>
        <v/>
      </c>
      <c r="O192" s="6" t="str">
        <f>IF(A192="","",COUNTIFS(RacePerformance!$F:$F,A192,RacePerformance!$I:$I,1))</f>
        <v/>
      </c>
      <c r="P192" s="6" t="str">
        <f>IF(A192="","",COUNTIFS(RacePerformance!$F:$F,A192,RacePerformance!$J:$J,"&lt;=3"))</f>
        <v/>
      </c>
    </row>
    <row r="193" spans="1:16" ht="14.2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6" t="str">
        <f>IF(A193="","",COUNTIF(RacePerformance!$F:$F,A193))</f>
        <v/>
      </c>
      <c r="K193" s="6" t="str">
        <f>IF(A193="","",IFERROR(AVERAGEIF(RacePerformance!$F:$F,A193,RacePerformance!$I:$I),""))</f>
        <v/>
      </c>
      <c r="L193" s="6" t="str">
        <f>IF(A193="","",IFERROR(AVERAGEIF(RacePerformance!$F:$F,A193,RacePerformance!$J:$J),""))</f>
        <v/>
      </c>
      <c r="M193" s="6" t="str">
        <f>IF(A193="","",IFERROR(AVERAGEIF(RacePerformance!$F:$F,A193,RacePerformance!$K:$K),""))</f>
        <v/>
      </c>
      <c r="N193" s="6" t="str">
        <f>IF(A193="","",COUNTIFS(RacePerformance!$F:$F,A193,RacePerformance!$I:$I,"&lt;=20"))</f>
        <v/>
      </c>
      <c r="O193" s="6" t="str">
        <f>IF(A193="","",COUNTIFS(RacePerformance!$F:$F,A193,RacePerformance!$I:$I,1))</f>
        <v/>
      </c>
      <c r="P193" s="6" t="str">
        <f>IF(A193="","",COUNTIFS(RacePerformance!$F:$F,A193,RacePerformance!$J:$J,"&lt;=3"))</f>
        <v/>
      </c>
    </row>
    <row r="194" spans="1:16" ht="14.2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6" t="str">
        <f>IF(A194="","",COUNTIF(RacePerformance!$F:$F,A194))</f>
        <v/>
      </c>
      <c r="K194" s="6" t="str">
        <f>IF(A194="","",IFERROR(AVERAGEIF(RacePerformance!$F:$F,A194,RacePerformance!$I:$I),""))</f>
        <v/>
      </c>
      <c r="L194" s="6" t="str">
        <f>IF(A194="","",IFERROR(AVERAGEIF(RacePerformance!$F:$F,A194,RacePerformance!$J:$J),""))</f>
        <v/>
      </c>
      <c r="M194" s="6" t="str">
        <f>IF(A194="","",IFERROR(AVERAGEIF(RacePerformance!$F:$F,A194,RacePerformance!$K:$K),""))</f>
        <v/>
      </c>
      <c r="N194" s="6" t="str">
        <f>IF(A194="","",COUNTIFS(RacePerformance!$F:$F,A194,RacePerformance!$I:$I,"&lt;=20"))</f>
        <v/>
      </c>
      <c r="O194" s="6" t="str">
        <f>IF(A194="","",COUNTIFS(RacePerformance!$F:$F,A194,RacePerformance!$I:$I,1))</f>
        <v/>
      </c>
      <c r="P194" s="6" t="str">
        <f>IF(A194="","",COUNTIFS(RacePerformance!$F:$F,A194,RacePerformance!$J:$J,"&lt;=3"))</f>
        <v/>
      </c>
    </row>
    <row r="195" spans="1:16" ht="14.2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6" t="str">
        <f>IF(A195="","",COUNTIF(RacePerformance!$F:$F,A195))</f>
        <v/>
      </c>
      <c r="K195" s="6" t="str">
        <f>IF(A195="","",IFERROR(AVERAGEIF(RacePerformance!$F:$F,A195,RacePerformance!$I:$I),""))</f>
        <v/>
      </c>
      <c r="L195" s="6" t="str">
        <f>IF(A195="","",IFERROR(AVERAGEIF(RacePerformance!$F:$F,A195,RacePerformance!$J:$J),""))</f>
        <v/>
      </c>
      <c r="M195" s="6" t="str">
        <f>IF(A195="","",IFERROR(AVERAGEIF(RacePerformance!$F:$F,A195,RacePerformance!$K:$K),""))</f>
        <v/>
      </c>
      <c r="N195" s="6" t="str">
        <f>IF(A195="","",COUNTIFS(RacePerformance!$F:$F,A195,RacePerformance!$I:$I,"&lt;=20"))</f>
        <v/>
      </c>
      <c r="O195" s="6" t="str">
        <f>IF(A195="","",COUNTIFS(RacePerformance!$F:$F,A195,RacePerformance!$I:$I,1))</f>
        <v/>
      </c>
      <c r="P195" s="6" t="str">
        <f>IF(A195="","",COUNTIFS(RacePerformance!$F:$F,A195,RacePerformance!$J:$J,"&lt;=3"))</f>
        <v/>
      </c>
    </row>
    <row r="196" spans="1:16" ht="14.2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6" t="str">
        <f>IF(A196="","",COUNTIF(RacePerformance!$F:$F,A196))</f>
        <v/>
      </c>
      <c r="K196" s="6" t="str">
        <f>IF(A196="","",IFERROR(AVERAGEIF(RacePerformance!$F:$F,A196,RacePerformance!$I:$I),""))</f>
        <v/>
      </c>
      <c r="L196" s="6" t="str">
        <f>IF(A196="","",IFERROR(AVERAGEIF(RacePerformance!$F:$F,A196,RacePerformance!$J:$J),""))</f>
        <v/>
      </c>
      <c r="M196" s="6" t="str">
        <f>IF(A196="","",IFERROR(AVERAGEIF(RacePerformance!$F:$F,A196,RacePerformance!$K:$K),""))</f>
        <v/>
      </c>
      <c r="N196" s="6" t="str">
        <f>IF(A196="","",COUNTIFS(RacePerformance!$F:$F,A196,RacePerformance!$I:$I,"&lt;=20"))</f>
        <v/>
      </c>
      <c r="O196" s="6" t="str">
        <f>IF(A196="","",COUNTIFS(RacePerformance!$F:$F,A196,RacePerformance!$I:$I,1))</f>
        <v/>
      </c>
      <c r="P196" s="6" t="str">
        <f>IF(A196="","",COUNTIFS(RacePerformance!$F:$F,A196,RacePerformance!$J:$J,"&lt;=3"))</f>
        <v/>
      </c>
    </row>
    <row r="197" spans="1:16" ht="14.2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6" t="str">
        <f>IF(A197="","",COUNTIF(RacePerformance!$F:$F,A197))</f>
        <v/>
      </c>
      <c r="K197" s="6" t="str">
        <f>IF(A197="","",IFERROR(AVERAGEIF(RacePerformance!$F:$F,A197,RacePerformance!$I:$I),""))</f>
        <v/>
      </c>
      <c r="L197" s="6" t="str">
        <f>IF(A197="","",IFERROR(AVERAGEIF(RacePerformance!$F:$F,A197,RacePerformance!$J:$J),""))</f>
        <v/>
      </c>
      <c r="M197" s="6" t="str">
        <f>IF(A197="","",IFERROR(AVERAGEIF(RacePerformance!$F:$F,A197,RacePerformance!$K:$K),""))</f>
        <v/>
      </c>
      <c r="N197" s="6" t="str">
        <f>IF(A197="","",COUNTIFS(RacePerformance!$F:$F,A197,RacePerformance!$I:$I,"&lt;=20"))</f>
        <v/>
      </c>
      <c r="O197" s="6" t="str">
        <f>IF(A197="","",COUNTIFS(RacePerformance!$F:$F,A197,RacePerformance!$I:$I,1))</f>
        <v/>
      </c>
      <c r="P197" s="6" t="str">
        <f>IF(A197="","",COUNTIFS(RacePerformance!$F:$F,A197,RacePerformance!$J:$J,"&lt;=3"))</f>
        <v/>
      </c>
    </row>
    <row r="198" spans="1:16" ht="14.2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6" t="str">
        <f>IF(A198="","",COUNTIF(RacePerformance!$F:$F,A198))</f>
        <v/>
      </c>
      <c r="K198" s="6" t="str">
        <f>IF(A198="","",IFERROR(AVERAGEIF(RacePerformance!$F:$F,A198,RacePerformance!$I:$I),""))</f>
        <v/>
      </c>
      <c r="L198" s="6" t="str">
        <f>IF(A198="","",IFERROR(AVERAGEIF(RacePerformance!$F:$F,A198,RacePerformance!$J:$J),""))</f>
        <v/>
      </c>
      <c r="M198" s="6" t="str">
        <f>IF(A198="","",IFERROR(AVERAGEIF(RacePerformance!$F:$F,A198,RacePerformance!$K:$K),""))</f>
        <v/>
      </c>
      <c r="N198" s="6" t="str">
        <f>IF(A198="","",COUNTIFS(RacePerformance!$F:$F,A198,RacePerformance!$I:$I,"&lt;=20"))</f>
        <v/>
      </c>
      <c r="O198" s="6" t="str">
        <f>IF(A198="","",COUNTIFS(RacePerformance!$F:$F,A198,RacePerformance!$I:$I,1))</f>
        <v/>
      </c>
      <c r="P198" s="6" t="str">
        <f>IF(A198="","",COUNTIFS(RacePerformance!$F:$F,A198,RacePerformance!$J:$J,"&lt;=3"))</f>
        <v/>
      </c>
    </row>
    <row r="199" spans="1:16" ht="14.2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6" t="str">
        <f>IF(A199="","",COUNTIF(RacePerformance!$F:$F,A199))</f>
        <v/>
      </c>
      <c r="K199" s="6" t="str">
        <f>IF(A199="","",IFERROR(AVERAGEIF(RacePerformance!$F:$F,A199,RacePerformance!$I:$I),""))</f>
        <v/>
      </c>
      <c r="L199" s="6" t="str">
        <f>IF(A199="","",IFERROR(AVERAGEIF(RacePerformance!$F:$F,A199,RacePerformance!$J:$J),""))</f>
        <v/>
      </c>
      <c r="M199" s="6" t="str">
        <f>IF(A199="","",IFERROR(AVERAGEIF(RacePerformance!$F:$F,A199,RacePerformance!$K:$K),""))</f>
        <v/>
      </c>
      <c r="N199" s="6" t="str">
        <f>IF(A199="","",COUNTIFS(RacePerformance!$F:$F,A199,RacePerformance!$I:$I,"&lt;=20"))</f>
        <v/>
      </c>
      <c r="O199" s="6" t="str">
        <f>IF(A199="","",COUNTIFS(RacePerformance!$F:$F,A199,RacePerformance!$I:$I,1))</f>
        <v/>
      </c>
      <c r="P199" s="6" t="str">
        <f>IF(A199="","",COUNTIFS(RacePerformance!$F:$F,A199,RacePerformance!$J:$J,"&lt;=3"))</f>
        <v/>
      </c>
    </row>
    <row r="200" spans="1:16" ht="14.2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6" t="str">
        <f>IF(A200="","",COUNTIF(RacePerformance!$F:$F,A200))</f>
        <v/>
      </c>
      <c r="K200" s="6" t="str">
        <f>IF(A200="","",IFERROR(AVERAGEIF(RacePerformance!$F:$F,A200,RacePerformance!$I:$I),""))</f>
        <v/>
      </c>
      <c r="L200" s="6" t="str">
        <f>IF(A200="","",IFERROR(AVERAGEIF(RacePerformance!$F:$F,A200,RacePerformance!$J:$J),""))</f>
        <v/>
      </c>
      <c r="M200" s="6" t="str">
        <f>IF(A200="","",IFERROR(AVERAGEIF(RacePerformance!$F:$F,A200,RacePerformance!$K:$K),""))</f>
        <v/>
      </c>
      <c r="N200" s="6" t="str">
        <f>IF(A200="","",COUNTIFS(RacePerformance!$F:$F,A200,RacePerformance!$I:$I,"&lt;=20"))</f>
        <v/>
      </c>
      <c r="O200" s="6" t="str">
        <f>IF(A200="","",COUNTIFS(RacePerformance!$F:$F,A200,RacePerformance!$I:$I,1))</f>
        <v/>
      </c>
      <c r="P200" s="6" t="str">
        <f>IF(A200="","",COUNTIFS(RacePerformance!$F:$F,A200,RacePerformance!$J:$J,"&lt;=3"))</f>
        <v/>
      </c>
    </row>
    <row r="201" spans="1:16" ht="14.2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6" t="str">
        <f>IF(A201="","",COUNTIF(RacePerformance!$F:$F,A201))</f>
        <v/>
      </c>
      <c r="K201" s="6" t="str">
        <f>IF(A201="","",IFERROR(AVERAGEIF(RacePerformance!$F:$F,A201,RacePerformance!$I:$I),""))</f>
        <v/>
      </c>
      <c r="L201" s="6" t="str">
        <f>IF(A201="","",IFERROR(AVERAGEIF(RacePerformance!$F:$F,A201,RacePerformance!$J:$J),""))</f>
        <v/>
      </c>
      <c r="M201" s="6" t="str">
        <f>IF(A201="","",IFERROR(AVERAGEIF(RacePerformance!$F:$F,A201,RacePerformance!$K:$K),""))</f>
        <v/>
      </c>
      <c r="N201" s="6" t="str">
        <f>IF(A201="","",COUNTIFS(RacePerformance!$F:$F,A201,RacePerformance!$I:$I,"&lt;=20"))</f>
        <v/>
      </c>
      <c r="O201" s="6" t="str">
        <f>IF(A201="","",COUNTIFS(RacePerformance!$F:$F,A201,RacePerformance!$I:$I,1))</f>
        <v/>
      </c>
      <c r="P201" s="6" t="str">
        <f>IF(A201="","",COUNTIFS(RacePerformance!$F:$F,A201,RacePerformance!$J:$J,"&lt;=3"))</f>
        <v/>
      </c>
    </row>
    <row r="202" spans="1:16" ht="14.2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6" t="str">
        <f>IF(A202="","",COUNTIF(RacePerformance!$F:$F,A202))</f>
        <v/>
      </c>
      <c r="K202" s="6" t="str">
        <f>IF(A202="","",IFERROR(AVERAGEIF(RacePerformance!$F:$F,A202,RacePerformance!$I:$I),""))</f>
        <v/>
      </c>
      <c r="L202" s="6" t="str">
        <f>IF(A202="","",IFERROR(AVERAGEIF(RacePerformance!$F:$F,A202,RacePerformance!$J:$J),""))</f>
        <v/>
      </c>
      <c r="M202" s="6" t="str">
        <f>IF(A202="","",IFERROR(AVERAGEIF(RacePerformance!$F:$F,A202,RacePerformance!$K:$K),""))</f>
        <v/>
      </c>
      <c r="N202" s="6" t="str">
        <f>IF(A202="","",COUNTIFS(RacePerformance!$F:$F,A202,RacePerformance!$I:$I,"&lt;=20"))</f>
        <v/>
      </c>
      <c r="O202" s="6" t="str">
        <f>IF(A202="","",COUNTIFS(RacePerformance!$F:$F,A202,RacePerformance!$I:$I,1))</f>
        <v/>
      </c>
      <c r="P202" s="6" t="str">
        <f>IF(A202="","",COUNTIFS(RacePerformance!$F:$F,A202,RacePerformance!$J:$J,"&lt;=3"))</f>
        <v/>
      </c>
    </row>
    <row r="203" spans="1:16" ht="14.2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6" t="str">
        <f>IF(A203="","",COUNTIF(RacePerformance!$F:$F,A203))</f>
        <v/>
      </c>
      <c r="K203" s="6" t="str">
        <f>IF(A203="","",IFERROR(AVERAGEIF(RacePerformance!$F:$F,A203,RacePerformance!$I:$I),""))</f>
        <v/>
      </c>
      <c r="L203" s="6" t="str">
        <f>IF(A203="","",IFERROR(AVERAGEIF(RacePerformance!$F:$F,A203,RacePerformance!$J:$J),""))</f>
        <v/>
      </c>
      <c r="M203" s="6" t="str">
        <f>IF(A203="","",IFERROR(AVERAGEIF(RacePerformance!$F:$F,A203,RacePerformance!$K:$K),""))</f>
        <v/>
      </c>
      <c r="N203" s="6" t="str">
        <f>IF(A203="","",COUNTIFS(RacePerformance!$F:$F,A203,RacePerformance!$I:$I,"&lt;=20"))</f>
        <v/>
      </c>
      <c r="O203" s="6" t="str">
        <f>IF(A203="","",COUNTIFS(RacePerformance!$F:$F,A203,RacePerformance!$I:$I,1))</f>
        <v/>
      </c>
      <c r="P203" s="6" t="str">
        <f>IF(A203="","",COUNTIFS(RacePerformance!$F:$F,A203,RacePerformance!$J:$J,"&lt;=3"))</f>
        <v/>
      </c>
    </row>
    <row r="204" spans="1:16" ht="14.2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6" t="str">
        <f>IF(A204="","",COUNTIF(RacePerformance!$F:$F,A204))</f>
        <v/>
      </c>
      <c r="K204" s="6" t="str">
        <f>IF(A204="","",IFERROR(AVERAGEIF(RacePerformance!$F:$F,A204,RacePerformance!$I:$I),""))</f>
        <v/>
      </c>
      <c r="L204" s="6" t="str">
        <f>IF(A204="","",IFERROR(AVERAGEIF(RacePerformance!$F:$F,A204,RacePerformance!$J:$J),""))</f>
        <v/>
      </c>
      <c r="M204" s="6" t="str">
        <f>IF(A204="","",IFERROR(AVERAGEIF(RacePerformance!$F:$F,A204,RacePerformance!$K:$K),""))</f>
        <v/>
      </c>
      <c r="N204" s="6" t="str">
        <f>IF(A204="","",COUNTIFS(RacePerformance!$F:$F,A204,RacePerformance!$I:$I,"&lt;=20"))</f>
        <v/>
      </c>
      <c r="O204" s="6" t="str">
        <f>IF(A204="","",COUNTIFS(RacePerformance!$F:$F,A204,RacePerformance!$I:$I,1))</f>
        <v/>
      </c>
      <c r="P204" s="6" t="str">
        <f>IF(A204="","",COUNTIFS(RacePerformance!$F:$F,A204,RacePerformance!$J:$J,"&lt;=3"))</f>
        <v/>
      </c>
    </row>
    <row r="205" spans="1:16" ht="14.2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6" t="str">
        <f>IF(A205="","",COUNTIF(RacePerformance!$F:$F,A205))</f>
        <v/>
      </c>
      <c r="K205" s="6" t="str">
        <f>IF(A205="","",IFERROR(AVERAGEIF(RacePerformance!$F:$F,A205,RacePerformance!$I:$I),""))</f>
        <v/>
      </c>
      <c r="L205" s="6" t="str">
        <f>IF(A205="","",IFERROR(AVERAGEIF(RacePerformance!$F:$F,A205,RacePerformance!$J:$J),""))</f>
        <v/>
      </c>
      <c r="M205" s="6" t="str">
        <f>IF(A205="","",IFERROR(AVERAGEIF(RacePerformance!$F:$F,A205,RacePerformance!$K:$K),""))</f>
        <v/>
      </c>
      <c r="N205" s="6" t="str">
        <f>IF(A205="","",COUNTIFS(RacePerformance!$F:$F,A205,RacePerformance!$I:$I,"&lt;=20"))</f>
        <v/>
      </c>
      <c r="O205" s="6" t="str">
        <f>IF(A205="","",COUNTIFS(RacePerformance!$F:$F,A205,RacePerformance!$I:$I,1))</f>
        <v/>
      </c>
      <c r="P205" s="6" t="str">
        <f>IF(A205="","",COUNTIFS(RacePerformance!$F:$F,A205,RacePerformance!$J:$J,"&lt;=3"))</f>
        <v/>
      </c>
    </row>
    <row r="206" spans="1:16" ht="14.2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6" t="str">
        <f>IF(A206="","",COUNTIF(RacePerformance!$F:$F,A206))</f>
        <v/>
      </c>
      <c r="K206" s="6" t="str">
        <f>IF(A206="","",IFERROR(AVERAGEIF(RacePerformance!$F:$F,A206,RacePerformance!$I:$I),""))</f>
        <v/>
      </c>
      <c r="L206" s="6" t="str">
        <f>IF(A206="","",IFERROR(AVERAGEIF(RacePerformance!$F:$F,A206,RacePerformance!$J:$J),""))</f>
        <v/>
      </c>
      <c r="M206" s="6" t="str">
        <f>IF(A206="","",IFERROR(AVERAGEIF(RacePerformance!$F:$F,A206,RacePerformance!$K:$K),""))</f>
        <v/>
      </c>
      <c r="N206" s="6" t="str">
        <f>IF(A206="","",COUNTIFS(RacePerformance!$F:$F,A206,RacePerformance!$I:$I,"&lt;=20"))</f>
        <v/>
      </c>
      <c r="O206" s="6" t="str">
        <f>IF(A206="","",COUNTIFS(RacePerformance!$F:$F,A206,RacePerformance!$I:$I,1))</f>
        <v/>
      </c>
      <c r="P206" s="6" t="str">
        <f>IF(A206="","",COUNTIFS(RacePerformance!$F:$F,A206,RacePerformance!$J:$J,"&lt;=3"))</f>
        <v/>
      </c>
    </row>
    <row r="207" spans="1:16" ht="14.2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6" t="str">
        <f>IF(A207="","",COUNTIF(RacePerformance!$F:$F,A207))</f>
        <v/>
      </c>
      <c r="K207" s="6" t="str">
        <f>IF(A207="","",IFERROR(AVERAGEIF(RacePerformance!$F:$F,A207,RacePerformance!$I:$I),""))</f>
        <v/>
      </c>
      <c r="L207" s="6" t="str">
        <f>IF(A207="","",IFERROR(AVERAGEIF(RacePerformance!$F:$F,A207,RacePerformance!$J:$J),""))</f>
        <v/>
      </c>
      <c r="M207" s="6" t="str">
        <f>IF(A207="","",IFERROR(AVERAGEIF(RacePerformance!$F:$F,A207,RacePerformance!$K:$K),""))</f>
        <v/>
      </c>
      <c r="N207" s="6" t="str">
        <f>IF(A207="","",COUNTIFS(RacePerformance!$F:$F,A207,RacePerformance!$I:$I,"&lt;=20"))</f>
        <v/>
      </c>
      <c r="O207" s="6" t="str">
        <f>IF(A207="","",COUNTIFS(RacePerformance!$F:$F,A207,RacePerformance!$I:$I,1))</f>
        <v/>
      </c>
      <c r="P207" s="6" t="str">
        <f>IF(A207="","",COUNTIFS(RacePerformance!$F:$F,A207,RacePerformance!$J:$J,"&lt;=3"))</f>
        <v/>
      </c>
    </row>
    <row r="208" spans="1:16" ht="14.2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6" t="str">
        <f>IF(A208="","",COUNTIF(RacePerformance!$F:$F,A208))</f>
        <v/>
      </c>
      <c r="K208" s="6" t="str">
        <f>IF(A208="","",IFERROR(AVERAGEIF(RacePerformance!$F:$F,A208,RacePerformance!$I:$I),""))</f>
        <v/>
      </c>
      <c r="L208" s="6" t="str">
        <f>IF(A208="","",IFERROR(AVERAGEIF(RacePerformance!$F:$F,A208,RacePerformance!$J:$J),""))</f>
        <v/>
      </c>
      <c r="M208" s="6" t="str">
        <f>IF(A208="","",IFERROR(AVERAGEIF(RacePerformance!$F:$F,A208,RacePerformance!$K:$K),""))</f>
        <v/>
      </c>
      <c r="N208" s="6" t="str">
        <f>IF(A208="","",COUNTIFS(RacePerformance!$F:$F,A208,RacePerformance!$I:$I,"&lt;=20"))</f>
        <v/>
      </c>
      <c r="O208" s="6" t="str">
        <f>IF(A208="","",COUNTIFS(RacePerformance!$F:$F,A208,RacePerformance!$I:$I,1))</f>
        <v/>
      </c>
      <c r="P208" s="6" t="str">
        <f>IF(A208="","",COUNTIFS(RacePerformance!$F:$F,A208,RacePerformance!$J:$J,"&lt;=3"))</f>
        <v/>
      </c>
    </row>
    <row r="209" spans="1:16" ht="14.2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6" t="str">
        <f>IF(A209="","",COUNTIF(RacePerformance!$F:$F,A209))</f>
        <v/>
      </c>
      <c r="K209" s="6" t="str">
        <f>IF(A209="","",IFERROR(AVERAGEIF(RacePerformance!$F:$F,A209,RacePerformance!$I:$I),""))</f>
        <v/>
      </c>
      <c r="L209" s="6" t="str">
        <f>IF(A209="","",IFERROR(AVERAGEIF(RacePerformance!$F:$F,A209,RacePerformance!$J:$J),""))</f>
        <v/>
      </c>
      <c r="M209" s="6" t="str">
        <f>IF(A209="","",IFERROR(AVERAGEIF(RacePerformance!$F:$F,A209,RacePerformance!$K:$K),""))</f>
        <v/>
      </c>
      <c r="N209" s="6" t="str">
        <f>IF(A209="","",COUNTIFS(RacePerformance!$F:$F,A209,RacePerformance!$I:$I,"&lt;=20"))</f>
        <v/>
      </c>
      <c r="O209" s="6" t="str">
        <f>IF(A209="","",COUNTIFS(RacePerformance!$F:$F,A209,RacePerformance!$I:$I,1))</f>
        <v/>
      </c>
      <c r="P209" s="6" t="str">
        <f>IF(A209="","",COUNTIFS(RacePerformance!$F:$F,A209,RacePerformance!$J:$J,"&lt;=3"))</f>
        <v/>
      </c>
    </row>
    <row r="210" spans="1:16" ht="14.2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6" t="str">
        <f>IF(A210="","",COUNTIF(RacePerformance!$F:$F,A210))</f>
        <v/>
      </c>
      <c r="K210" s="6" t="str">
        <f>IF(A210="","",IFERROR(AVERAGEIF(RacePerformance!$F:$F,A210,RacePerformance!$I:$I),""))</f>
        <v/>
      </c>
      <c r="L210" s="6" t="str">
        <f>IF(A210="","",IFERROR(AVERAGEIF(RacePerformance!$F:$F,A210,RacePerformance!$J:$J),""))</f>
        <v/>
      </c>
      <c r="M210" s="6" t="str">
        <f>IF(A210="","",IFERROR(AVERAGEIF(RacePerformance!$F:$F,A210,RacePerformance!$K:$K),""))</f>
        <v/>
      </c>
      <c r="N210" s="6" t="str">
        <f>IF(A210="","",COUNTIFS(RacePerformance!$F:$F,A210,RacePerformance!$I:$I,"&lt;=20"))</f>
        <v/>
      </c>
      <c r="O210" s="6" t="str">
        <f>IF(A210="","",COUNTIFS(RacePerformance!$F:$F,A210,RacePerformance!$I:$I,1))</f>
        <v/>
      </c>
      <c r="P210" s="6" t="str">
        <f>IF(A210="","",COUNTIFS(RacePerformance!$F:$F,A210,RacePerformance!$J:$J,"&lt;=3"))</f>
        <v/>
      </c>
    </row>
    <row r="211" spans="1:16" ht="14.2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6" t="str">
        <f>IF(A211="","",COUNTIF(RacePerformance!$F:$F,A211))</f>
        <v/>
      </c>
      <c r="K211" s="6" t="str">
        <f>IF(A211="","",IFERROR(AVERAGEIF(RacePerformance!$F:$F,A211,RacePerformance!$I:$I),""))</f>
        <v/>
      </c>
      <c r="L211" s="6" t="str">
        <f>IF(A211="","",IFERROR(AVERAGEIF(RacePerformance!$F:$F,A211,RacePerformance!$J:$J),""))</f>
        <v/>
      </c>
      <c r="M211" s="6" t="str">
        <f>IF(A211="","",IFERROR(AVERAGEIF(RacePerformance!$F:$F,A211,RacePerformance!$K:$K),""))</f>
        <v/>
      </c>
      <c r="N211" s="6" t="str">
        <f>IF(A211="","",COUNTIFS(RacePerformance!$F:$F,A211,RacePerformance!$I:$I,"&lt;=20"))</f>
        <v/>
      </c>
      <c r="O211" s="6" t="str">
        <f>IF(A211="","",COUNTIFS(RacePerformance!$F:$F,A211,RacePerformance!$I:$I,1))</f>
        <v/>
      </c>
      <c r="P211" s="6" t="str">
        <f>IF(A211="","",COUNTIFS(RacePerformance!$F:$F,A211,RacePerformance!$J:$J,"&lt;=3"))</f>
        <v/>
      </c>
    </row>
    <row r="212" spans="1:16" ht="14.2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6" t="str">
        <f>IF(A212="","",COUNTIF(RacePerformance!$F:$F,A212))</f>
        <v/>
      </c>
      <c r="K212" s="6" t="str">
        <f>IF(A212="","",IFERROR(AVERAGEIF(RacePerformance!$F:$F,A212,RacePerformance!$I:$I),""))</f>
        <v/>
      </c>
      <c r="L212" s="6" t="str">
        <f>IF(A212="","",IFERROR(AVERAGEIF(RacePerformance!$F:$F,A212,RacePerformance!$J:$J),""))</f>
        <v/>
      </c>
      <c r="M212" s="6" t="str">
        <f>IF(A212="","",IFERROR(AVERAGEIF(RacePerformance!$F:$F,A212,RacePerformance!$K:$K),""))</f>
        <v/>
      </c>
      <c r="N212" s="6" t="str">
        <f>IF(A212="","",COUNTIFS(RacePerformance!$F:$F,A212,RacePerformance!$I:$I,"&lt;=20"))</f>
        <v/>
      </c>
      <c r="O212" s="6" t="str">
        <f>IF(A212="","",COUNTIFS(RacePerformance!$F:$F,A212,RacePerformance!$I:$I,1))</f>
        <v/>
      </c>
      <c r="P212" s="6" t="str">
        <f>IF(A212="","",COUNTIFS(RacePerformance!$F:$F,A212,RacePerformance!$J:$J,"&lt;=3"))</f>
        <v/>
      </c>
    </row>
    <row r="213" spans="1:16" ht="14.2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6" t="str">
        <f>IF(A213="","",COUNTIF(RacePerformance!$F:$F,A213))</f>
        <v/>
      </c>
      <c r="K213" s="6" t="str">
        <f>IF(A213="","",IFERROR(AVERAGEIF(RacePerformance!$F:$F,A213,RacePerformance!$I:$I),""))</f>
        <v/>
      </c>
      <c r="L213" s="6" t="str">
        <f>IF(A213="","",IFERROR(AVERAGEIF(RacePerformance!$F:$F,A213,RacePerformance!$J:$J),""))</f>
        <v/>
      </c>
      <c r="M213" s="6" t="str">
        <f>IF(A213="","",IFERROR(AVERAGEIF(RacePerformance!$F:$F,A213,RacePerformance!$K:$K),""))</f>
        <v/>
      </c>
      <c r="N213" s="6" t="str">
        <f>IF(A213="","",COUNTIFS(RacePerformance!$F:$F,A213,RacePerformance!$I:$I,"&lt;=20"))</f>
        <v/>
      </c>
      <c r="O213" s="6" t="str">
        <f>IF(A213="","",COUNTIFS(RacePerformance!$F:$F,A213,RacePerformance!$I:$I,1))</f>
        <v/>
      </c>
      <c r="P213" s="6" t="str">
        <f>IF(A213="","",COUNTIFS(RacePerformance!$F:$F,A213,RacePerformance!$J:$J,"&lt;=3"))</f>
        <v/>
      </c>
    </row>
    <row r="214" spans="1:16" ht="14.2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6" t="str">
        <f>IF(A214="","",COUNTIF(RacePerformance!$F:$F,A214))</f>
        <v/>
      </c>
      <c r="K214" s="6" t="str">
        <f>IF(A214="","",IFERROR(AVERAGEIF(RacePerformance!$F:$F,A214,RacePerformance!$I:$I),""))</f>
        <v/>
      </c>
      <c r="L214" s="6" t="str">
        <f>IF(A214="","",IFERROR(AVERAGEIF(RacePerformance!$F:$F,A214,RacePerformance!$J:$J),""))</f>
        <v/>
      </c>
      <c r="M214" s="6" t="str">
        <f>IF(A214="","",IFERROR(AVERAGEIF(RacePerformance!$F:$F,A214,RacePerformance!$K:$K),""))</f>
        <v/>
      </c>
      <c r="N214" s="6" t="str">
        <f>IF(A214="","",COUNTIFS(RacePerformance!$F:$F,A214,RacePerformance!$I:$I,"&lt;=20"))</f>
        <v/>
      </c>
      <c r="O214" s="6" t="str">
        <f>IF(A214="","",COUNTIFS(RacePerformance!$F:$F,A214,RacePerformance!$I:$I,1))</f>
        <v/>
      </c>
      <c r="P214" s="6" t="str">
        <f>IF(A214="","",COUNTIFS(RacePerformance!$F:$F,A214,RacePerformance!$J:$J,"&lt;=3"))</f>
        <v/>
      </c>
    </row>
    <row r="215" spans="1:16" ht="14.2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6" t="str">
        <f>IF(A215="","",COUNTIF(RacePerformance!$F:$F,A215))</f>
        <v/>
      </c>
      <c r="K215" s="6" t="str">
        <f>IF(A215="","",IFERROR(AVERAGEIF(RacePerformance!$F:$F,A215,RacePerformance!$I:$I),""))</f>
        <v/>
      </c>
      <c r="L215" s="6" t="str">
        <f>IF(A215="","",IFERROR(AVERAGEIF(RacePerformance!$F:$F,A215,RacePerformance!$J:$J),""))</f>
        <v/>
      </c>
      <c r="M215" s="6" t="str">
        <f>IF(A215="","",IFERROR(AVERAGEIF(RacePerformance!$F:$F,A215,RacePerformance!$K:$K),""))</f>
        <v/>
      </c>
      <c r="N215" s="6" t="str">
        <f>IF(A215="","",COUNTIFS(RacePerformance!$F:$F,A215,RacePerformance!$I:$I,"&lt;=20"))</f>
        <v/>
      </c>
      <c r="O215" s="6" t="str">
        <f>IF(A215="","",COUNTIFS(RacePerformance!$F:$F,A215,RacePerformance!$I:$I,1))</f>
        <v/>
      </c>
      <c r="P215" s="6" t="str">
        <f>IF(A215="","",COUNTIFS(RacePerformance!$F:$F,A215,RacePerformance!$J:$J,"&lt;=3"))</f>
        <v/>
      </c>
    </row>
    <row r="216" spans="1:16" ht="14.2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6" t="str">
        <f>IF(A216="","",COUNTIF(RacePerformance!$F:$F,A216))</f>
        <v/>
      </c>
      <c r="K216" s="6" t="str">
        <f>IF(A216="","",IFERROR(AVERAGEIF(RacePerformance!$F:$F,A216,RacePerformance!$I:$I),""))</f>
        <v/>
      </c>
      <c r="L216" s="6" t="str">
        <f>IF(A216="","",IFERROR(AVERAGEIF(RacePerformance!$F:$F,A216,RacePerformance!$J:$J),""))</f>
        <v/>
      </c>
      <c r="M216" s="6" t="str">
        <f>IF(A216="","",IFERROR(AVERAGEIF(RacePerformance!$F:$F,A216,RacePerformance!$K:$K),""))</f>
        <v/>
      </c>
      <c r="N216" s="6" t="str">
        <f>IF(A216="","",COUNTIFS(RacePerformance!$F:$F,A216,RacePerformance!$I:$I,"&lt;=20"))</f>
        <v/>
      </c>
      <c r="O216" s="6" t="str">
        <f>IF(A216="","",COUNTIFS(RacePerformance!$F:$F,A216,RacePerformance!$I:$I,1))</f>
        <v/>
      </c>
      <c r="P216" s="6" t="str">
        <f>IF(A216="","",COUNTIFS(RacePerformance!$F:$F,A216,RacePerformance!$J:$J,"&lt;=3"))</f>
        <v/>
      </c>
    </row>
    <row r="217" spans="1:16" ht="14.2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6" t="str">
        <f>IF(A217="","",COUNTIF(RacePerformance!$F:$F,A217))</f>
        <v/>
      </c>
      <c r="K217" s="6" t="str">
        <f>IF(A217="","",IFERROR(AVERAGEIF(RacePerformance!$F:$F,A217,RacePerformance!$I:$I),""))</f>
        <v/>
      </c>
      <c r="L217" s="6" t="str">
        <f>IF(A217="","",IFERROR(AVERAGEIF(RacePerformance!$F:$F,A217,RacePerformance!$J:$J),""))</f>
        <v/>
      </c>
      <c r="M217" s="6" t="str">
        <f>IF(A217="","",IFERROR(AVERAGEIF(RacePerformance!$F:$F,A217,RacePerformance!$K:$K),""))</f>
        <v/>
      </c>
      <c r="N217" s="6" t="str">
        <f>IF(A217="","",COUNTIFS(RacePerformance!$F:$F,A217,RacePerformance!$I:$I,"&lt;=20"))</f>
        <v/>
      </c>
      <c r="O217" s="6" t="str">
        <f>IF(A217="","",COUNTIFS(RacePerformance!$F:$F,A217,RacePerformance!$I:$I,1))</f>
        <v/>
      </c>
      <c r="P217" s="6" t="str">
        <f>IF(A217="","",COUNTIFS(RacePerformance!$F:$F,A217,RacePerformance!$J:$J,"&lt;=3"))</f>
        <v/>
      </c>
    </row>
    <row r="218" spans="1:16" ht="14.2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6" t="str">
        <f>IF(A218="","",COUNTIF(RacePerformance!$F:$F,A218))</f>
        <v/>
      </c>
      <c r="K218" s="6" t="str">
        <f>IF(A218="","",IFERROR(AVERAGEIF(RacePerformance!$F:$F,A218,RacePerformance!$I:$I),""))</f>
        <v/>
      </c>
      <c r="L218" s="6" t="str">
        <f>IF(A218="","",IFERROR(AVERAGEIF(RacePerformance!$F:$F,A218,RacePerformance!$J:$J),""))</f>
        <v/>
      </c>
      <c r="M218" s="6" t="str">
        <f>IF(A218="","",IFERROR(AVERAGEIF(RacePerformance!$F:$F,A218,RacePerformance!$K:$K),""))</f>
        <v/>
      </c>
      <c r="N218" s="6" t="str">
        <f>IF(A218="","",COUNTIFS(RacePerformance!$F:$F,A218,RacePerformance!$I:$I,"&lt;=20"))</f>
        <v/>
      </c>
      <c r="O218" s="6" t="str">
        <f>IF(A218="","",COUNTIFS(RacePerformance!$F:$F,A218,RacePerformance!$I:$I,1))</f>
        <v/>
      </c>
      <c r="P218" s="6" t="str">
        <f>IF(A218="","",COUNTIFS(RacePerformance!$F:$F,A218,RacePerformance!$J:$J,"&lt;=3"))</f>
        <v/>
      </c>
    </row>
    <row r="219" spans="1:16" ht="14.2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6" t="str">
        <f>IF(A219="","",COUNTIF(RacePerformance!$F:$F,A219))</f>
        <v/>
      </c>
      <c r="K219" s="6" t="str">
        <f>IF(A219="","",IFERROR(AVERAGEIF(RacePerformance!$F:$F,A219,RacePerformance!$I:$I),""))</f>
        <v/>
      </c>
      <c r="L219" s="6" t="str">
        <f>IF(A219="","",IFERROR(AVERAGEIF(RacePerformance!$F:$F,A219,RacePerformance!$J:$J),""))</f>
        <v/>
      </c>
      <c r="M219" s="6" t="str">
        <f>IF(A219="","",IFERROR(AVERAGEIF(RacePerformance!$F:$F,A219,RacePerformance!$K:$K),""))</f>
        <v/>
      </c>
      <c r="N219" s="6" t="str">
        <f>IF(A219="","",COUNTIFS(RacePerformance!$F:$F,A219,RacePerformance!$I:$I,"&lt;=20"))</f>
        <v/>
      </c>
      <c r="O219" s="6" t="str">
        <f>IF(A219="","",COUNTIFS(RacePerformance!$F:$F,A219,RacePerformance!$I:$I,1))</f>
        <v/>
      </c>
      <c r="P219" s="6" t="str">
        <f>IF(A219="","",COUNTIFS(RacePerformance!$F:$F,A219,RacePerformance!$J:$J,"&lt;=3"))</f>
        <v/>
      </c>
    </row>
    <row r="220" spans="1:16" ht="14.2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6" t="str">
        <f>IF(A220="","",COUNTIF(RacePerformance!$F:$F,A220))</f>
        <v/>
      </c>
      <c r="K220" s="6" t="str">
        <f>IF(A220="","",IFERROR(AVERAGEIF(RacePerformance!$F:$F,A220,RacePerformance!$I:$I),""))</f>
        <v/>
      </c>
      <c r="L220" s="6" t="str">
        <f>IF(A220="","",IFERROR(AVERAGEIF(RacePerformance!$F:$F,A220,RacePerformance!$J:$J),""))</f>
        <v/>
      </c>
      <c r="M220" s="6" t="str">
        <f>IF(A220="","",IFERROR(AVERAGEIF(RacePerformance!$F:$F,A220,RacePerformance!$K:$K),""))</f>
        <v/>
      </c>
      <c r="N220" s="6" t="str">
        <f>IF(A220="","",COUNTIFS(RacePerformance!$F:$F,A220,RacePerformance!$I:$I,"&lt;=20"))</f>
        <v/>
      </c>
      <c r="O220" s="6" t="str">
        <f>IF(A220="","",COUNTIFS(RacePerformance!$F:$F,A220,RacePerformance!$I:$I,1))</f>
        <v/>
      </c>
      <c r="P220" s="6" t="str">
        <f>IF(A220="","",COUNTIFS(RacePerformance!$F:$F,A220,RacePerformance!$J:$J,"&lt;=3"))</f>
        <v/>
      </c>
    </row>
    <row r="221" spans="1:16" ht="14.2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6" t="str">
        <f>IF(A221="","",COUNTIF(RacePerformance!$F:$F,A221))</f>
        <v/>
      </c>
      <c r="K221" s="6" t="str">
        <f>IF(A221="","",IFERROR(AVERAGEIF(RacePerformance!$F:$F,A221,RacePerformance!$I:$I),""))</f>
        <v/>
      </c>
      <c r="L221" s="6" t="str">
        <f>IF(A221="","",IFERROR(AVERAGEIF(RacePerformance!$F:$F,A221,RacePerformance!$J:$J),""))</f>
        <v/>
      </c>
      <c r="M221" s="6" t="str">
        <f>IF(A221="","",IFERROR(AVERAGEIF(RacePerformance!$F:$F,A221,RacePerformance!$K:$K),""))</f>
        <v/>
      </c>
      <c r="N221" s="6" t="str">
        <f>IF(A221="","",COUNTIFS(RacePerformance!$F:$F,A221,RacePerformance!$I:$I,"&lt;=20"))</f>
        <v/>
      </c>
      <c r="O221" s="6" t="str">
        <f>IF(A221="","",COUNTIFS(RacePerformance!$F:$F,A221,RacePerformance!$I:$I,1))</f>
        <v/>
      </c>
      <c r="P221" s="6" t="str">
        <f>IF(A221="","",COUNTIFS(RacePerformance!$F:$F,A221,RacePerformance!$J:$J,"&lt;=3"))</f>
        <v/>
      </c>
    </row>
    <row r="222" spans="1:16" ht="14.2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6" t="str">
        <f>IF(A222="","",COUNTIF(RacePerformance!$F:$F,A222))</f>
        <v/>
      </c>
      <c r="K222" s="6" t="str">
        <f>IF(A222="","",IFERROR(AVERAGEIF(RacePerformance!$F:$F,A222,RacePerformance!$I:$I),""))</f>
        <v/>
      </c>
      <c r="L222" s="6" t="str">
        <f>IF(A222="","",IFERROR(AVERAGEIF(RacePerformance!$F:$F,A222,RacePerformance!$J:$J),""))</f>
        <v/>
      </c>
      <c r="M222" s="6" t="str">
        <f>IF(A222="","",IFERROR(AVERAGEIF(RacePerformance!$F:$F,A222,RacePerformance!$K:$K),""))</f>
        <v/>
      </c>
      <c r="N222" s="6" t="str">
        <f>IF(A222="","",COUNTIFS(RacePerformance!$F:$F,A222,RacePerformance!$I:$I,"&lt;=20"))</f>
        <v/>
      </c>
      <c r="O222" s="6" t="str">
        <f>IF(A222="","",COUNTIFS(RacePerformance!$F:$F,A222,RacePerformance!$I:$I,1))</f>
        <v/>
      </c>
      <c r="P222" s="6" t="str">
        <f>IF(A222="","",COUNTIFS(RacePerformance!$F:$F,A222,RacePerformance!$J:$J,"&lt;=3"))</f>
        <v/>
      </c>
    </row>
    <row r="223" spans="1:16" ht="14.2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6" t="str">
        <f>IF(A223="","",COUNTIF(RacePerformance!$F:$F,A223))</f>
        <v/>
      </c>
      <c r="K223" s="6" t="str">
        <f>IF(A223="","",IFERROR(AVERAGEIF(RacePerformance!$F:$F,A223,RacePerformance!$I:$I),""))</f>
        <v/>
      </c>
      <c r="L223" s="6" t="str">
        <f>IF(A223="","",IFERROR(AVERAGEIF(RacePerformance!$F:$F,A223,RacePerformance!$J:$J),""))</f>
        <v/>
      </c>
      <c r="M223" s="6" t="str">
        <f>IF(A223="","",IFERROR(AVERAGEIF(RacePerformance!$F:$F,A223,RacePerformance!$K:$K),""))</f>
        <v/>
      </c>
      <c r="N223" s="6" t="str">
        <f>IF(A223="","",COUNTIFS(RacePerformance!$F:$F,A223,RacePerformance!$I:$I,"&lt;=20"))</f>
        <v/>
      </c>
      <c r="O223" s="6" t="str">
        <f>IF(A223="","",COUNTIFS(RacePerformance!$F:$F,A223,RacePerformance!$I:$I,1))</f>
        <v/>
      </c>
      <c r="P223" s="6" t="str">
        <f>IF(A223="","",COUNTIFS(RacePerformance!$F:$F,A223,RacePerformance!$J:$J,"&lt;=3"))</f>
        <v/>
      </c>
    </row>
    <row r="224" spans="1:16" ht="14.2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6" t="str">
        <f>IF(A224="","",COUNTIF(RacePerformance!$F:$F,A224))</f>
        <v/>
      </c>
      <c r="K224" s="6" t="str">
        <f>IF(A224="","",IFERROR(AVERAGEIF(RacePerformance!$F:$F,A224,RacePerformance!$I:$I),""))</f>
        <v/>
      </c>
      <c r="L224" s="6" t="str">
        <f>IF(A224="","",IFERROR(AVERAGEIF(RacePerformance!$F:$F,A224,RacePerformance!$J:$J),""))</f>
        <v/>
      </c>
      <c r="M224" s="6" t="str">
        <f>IF(A224="","",IFERROR(AVERAGEIF(RacePerformance!$F:$F,A224,RacePerformance!$K:$K),""))</f>
        <v/>
      </c>
      <c r="N224" s="6" t="str">
        <f>IF(A224="","",COUNTIFS(RacePerformance!$F:$F,A224,RacePerformance!$I:$I,"&lt;=20"))</f>
        <v/>
      </c>
      <c r="O224" s="6" t="str">
        <f>IF(A224="","",COUNTIFS(RacePerformance!$F:$F,A224,RacePerformance!$I:$I,1))</f>
        <v/>
      </c>
      <c r="P224" s="6" t="str">
        <f>IF(A224="","",COUNTIFS(RacePerformance!$F:$F,A224,RacePerformance!$J:$J,"&lt;=3"))</f>
        <v/>
      </c>
    </row>
    <row r="225" spans="1:16" ht="14.2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6" t="str">
        <f>IF(A225="","",COUNTIF(RacePerformance!$F:$F,A225))</f>
        <v/>
      </c>
      <c r="K225" s="6" t="str">
        <f>IF(A225="","",IFERROR(AVERAGEIF(RacePerformance!$F:$F,A225,RacePerformance!$I:$I),""))</f>
        <v/>
      </c>
      <c r="L225" s="6" t="str">
        <f>IF(A225="","",IFERROR(AVERAGEIF(RacePerformance!$F:$F,A225,RacePerformance!$J:$J),""))</f>
        <v/>
      </c>
      <c r="M225" s="6" t="str">
        <f>IF(A225="","",IFERROR(AVERAGEIF(RacePerformance!$F:$F,A225,RacePerformance!$K:$K),""))</f>
        <v/>
      </c>
      <c r="N225" s="6" t="str">
        <f>IF(A225="","",COUNTIFS(RacePerformance!$F:$F,A225,RacePerformance!$I:$I,"&lt;=20"))</f>
        <v/>
      </c>
      <c r="O225" s="6" t="str">
        <f>IF(A225="","",COUNTIFS(RacePerformance!$F:$F,A225,RacePerformance!$I:$I,1))</f>
        <v/>
      </c>
      <c r="P225" s="6" t="str">
        <f>IF(A225="","",COUNTIFS(RacePerformance!$F:$F,A225,RacePerformance!$J:$J,"&lt;=3"))</f>
        <v/>
      </c>
    </row>
    <row r="226" spans="1:16" ht="14.2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6" t="str">
        <f>IF(A226="","",COUNTIF(RacePerformance!$F:$F,A226))</f>
        <v/>
      </c>
      <c r="K226" s="6" t="str">
        <f>IF(A226="","",IFERROR(AVERAGEIF(RacePerformance!$F:$F,A226,RacePerformance!$I:$I),""))</f>
        <v/>
      </c>
      <c r="L226" s="6" t="str">
        <f>IF(A226="","",IFERROR(AVERAGEIF(RacePerformance!$F:$F,A226,RacePerformance!$J:$J),""))</f>
        <v/>
      </c>
      <c r="M226" s="6" t="str">
        <f>IF(A226="","",IFERROR(AVERAGEIF(RacePerformance!$F:$F,A226,RacePerformance!$K:$K),""))</f>
        <v/>
      </c>
      <c r="N226" s="6" t="str">
        <f>IF(A226="","",COUNTIFS(RacePerformance!$F:$F,A226,RacePerformance!$I:$I,"&lt;=20"))</f>
        <v/>
      </c>
      <c r="O226" s="6" t="str">
        <f>IF(A226="","",COUNTIFS(RacePerformance!$F:$F,A226,RacePerformance!$I:$I,1))</f>
        <v/>
      </c>
      <c r="P226" s="6" t="str">
        <f>IF(A226="","",COUNTIFS(RacePerformance!$F:$F,A226,RacePerformance!$J:$J,"&lt;=3"))</f>
        <v/>
      </c>
    </row>
    <row r="227" spans="1:16" ht="14.2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6" t="str">
        <f>IF(A227="","",COUNTIF(RacePerformance!$F:$F,A227))</f>
        <v/>
      </c>
      <c r="K227" s="6" t="str">
        <f>IF(A227="","",IFERROR(AVERAGEIF(RacePerformance!$F:$F,A227,RacePerformance!$I:$I),""))</f>
        <v/>
      </c>
      <c r="L227" s="6" t="str">
        <f>IF(A227="","",IFERROR(AVERAGEIF(RacePerformance!$F:$F,A227,RacePerformance!$J:$J),""))</f>
        <v/>
      </c>
      <c r="M227" s="6" t="str">
        <f>IF(A227="","",IFERROR(AVERAGEIF(RacePerformance!$F:$F,A227,RacePerformance!$K:$K),""))</f>
        <v/>
      </c>
      <c r="N227" s="6" t="str">
        <f>IF(A227="","",COUNTIFS(RacePerformance!$F:$F,A227,RacePerformance!$I:$I,"&lt;=20"))</f>
        <v/>
      </c>
      <c r="O227" s="6" t="str">
        <f>IF(A227="","",COUNTIFS(RacePerformance!$F:$F,A227,RacePerformance!$I:$I,1))</f>
        <v/>
      </c>
      <c r="P227" s="6" t="str">
        <f>IF(A227="","",COUNTIFS(RacePerformance!$F:$F,A227,RacePerformance!$J:$J,"&lt;=3"))</f>
        <v/>
      </c>
    </row>
    <row r="228" spans="1:16" ht="14.2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6" t="str">
        <f>IF(A228="","",COUNTIF(RacePerformance!$F:$F,A228))</f>
        <v/>
      </c>
      <c r="K228" s="6" t="str">
        <f>IF(A228="","",IFERROR(AVERAGEIF(RacePerformance!$F:$F,A228,RacePerformance!$I:$I),""))</f>
        <v/>
      </c>
      <c r="L228" s="6" t="str">
        <f>IF(A228="","",IFERROR(AVERAGEIF(RacePerformance!$F:$F,A228,RacePerformance!$J:$J),""))</f>
        <v/>
      </c>
      <c r="M228" s="6" t="str">
        <f>IF(A228="","",IFERROR(AVERAGEIF(RacePerformance!$F:$F,A228,RacePerformance!$K:$K),""))</f>
        <v/>
      </c>
      <c r="N228" s="6" t="str">
        <f>IF(A228="","",COUNTIFS(RacePerformance!$F:$F,A228,RacePerformance!$I:$I,"&lt;=20"))</f>
        <v/>
      </c>
      <c r="O228" s="6" t="str">
        <f>IF(A228="","",COUNTIFS(RacePerformance!$F:$F,A228,RacePerformance!$I:$I,1))</f>
        <v/>
      </c>
      <c r="P228" s="6" t="str">
        <f>IF(A228="","",COUNTIFS(RacePerformance!$F:$F,A228,RacePerformance!$J:$J,"&lt;=3"))</f>
        <v/>
      </c>
    </row>
    <row r="229" spans="1:16" ht="14.2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6" t="str">
        <f>IF(A229="","",COUNTIF(RacePerformance!$F:$F,A229))</f>
        <v/>
      </c>
      <c r="K229" s="6" t="str">
        <f>IF(A229="","",IFERROR(AVERAGEIF(RacePerformance!$F:$F,A229,RacePerformance!$I:$I),""))</f>
        <v/>
      </c>
      <c r="L229" s="6" t="str">
        <f>IF(A229="","",IFERROR(AVERAGEIF(RacePerformance!$F:$F,A229,RacePerformance!$J:$J),""))</f>
        <v/>
      </c>
      <c r="M229" s="6" t="str">
        <f>IF(A229="","",IFERROR(AVERAGEIF(RacePerformance!$F:$F,A229,RacePerformance!$K:$K),""))</f>
        <v/>
      </c>
      <c r="N229" s="6" t="str">
        <f>IF(A229="","",COUNTIFS(RacePerformance!$F:$F,A229,RacePerformance!$I:$I,"&lt;=20"))</f>
        <v/>
      </c>
      <c r="O229" s="6" t="str">
        <f>IF(A229="","",COUNTIFS(RacePerformance!$F:$F,A229,RacePerformance!$I:$I,1))</f>
        <v/>
      </c>
      <c r="P229" s="6" t="str">
        <f>IF(A229="","",COUNTIFS(RacePerformance!$F:$F,A229,RacePerformance!$J:$J,"&lt;=3"))</f>
        <v/>
      </c>
    </row>
    <row r="230" spans="1:16" ht="14.2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6" t="str">
        <f>IF(A230="","",COUNTIF(RacePerformance!$F:$F,A230))</f>
        <v/>
      </c>
      <c r="K230" s="6" t="str">
        <f>IF(A230="","",IFERROR(AVERAGEIF(RacePerformance!$F:$F,A230,RacePerformance!$I:$I),""))</f>
        <v/>
      </c>
      <c r="L230" s="6" t="str">
        <f>IF(A230="","",IFERROR(AVERAGEIF(RacePerformance!$F:$F,A230,RacePerformance!$J:$J),""))</f>
        <v/>
      </c>
      <c r="M230" s="6" t="str">
        <f>IF(A230="","",IFERROR(AVERAGEIF(RacePerformance!$F:$F,A230,RacePerformance!$K:$K),""))</f>
        <v/>
      </c>
      <c r="N230" s="6" t="str">
        <f>IF(A230="","",COUNTIFS(RacePerformance!$F:$F,A230,RacePerformance!$I:$I,"&lt;=20"))</f>
        <v/>
      </c>
      <c r="O230" s="6" t="str">
        <f>IF(A230="","",COUNTIFS(RacePerformance!$F:$F,A230,RacePerformance!$I:$I,1))</f>
        <v/>
      </c>
      <c r="P230" s="6" t="str">
        <f>IF(A230="","",COUNTIFS(RacePerformance!$F:$F,A230,RacePerformance!$J:$J,"&lt;=3"))</f>
        <v/>
      </c>
    </row>
    <row r="231" spans="1:16" ht="14.2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6" t="str">
        <f>IF(A231="","",COUNTIF(RacePerformance!$F:$F,A231))</f>
        <v/>
      </c>
      <c r="K231" s="6" t="str">
        <f>IF(A231="","",IFERROR(AVERAGEIF(RacePerformance!$F:$F,A231,RacePerformance!$I:$I),""))</f>
        <v/>
      </c>
      <c r="L231" s="6" t="str">
        <f>IF(A231="","",IFERROR(AVERAGEIF(RacePerformance!$F:$F,A231,RacePerformance!$J:$J),""))</f>
        <v/>
      </c>
      <c r="M231" s="6" t="str">
        <f>IF(A231="","",IFERROR(AVERAGEIF(RacePerformance!$F:$F,A231,RacePerformance!$K:$K),""))</f>
        <v/>
      </c>
      <c r="N231" s="6" t="str">
        <f>IF(A231="","",COUNTIFS(RacePerformance!$F:$F,A231,RacePerformance!$I:$I,"&lt;=20"))</f>
        <v/>
      </c>
      <c r="O231" s="6" t="str">
        <f>IF(A231="","",COUNTIFS(RacePerformance!$F:$F,A231,RacePerformance!$I:$I,1))</f>
        <v/>
      </c>
      <c r="P231" s="6" t="str">
        <f>IF(A231="","",COUNTIFS(RacePerformance!$F:$F,A231,RacePerformance!$J:$J,"&lt;=3"))</f>
        <v/>
      </c>
    </row>
    <row r="232" spans="1:16" ht="14.2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6" t="str">
        <f>IF(A232="","",COUNTIF(RacePerformance!$F:$F,A232))</f>
        <v/>
      </c>
      <c r="K232" s="6" t="str">
        <f>IF(A232="","",IFERROR(AVERAGEIF(RacePerformance!$F:$F,A232,RacePerformance!$I:$I),""))</f>
        <v/>
      </c>
      <c r="L232" s="6" t="str">
        <f>IF(A232="","",IFERROR(AVERAGEIF(RacePerformance!$F:$F,A232,RacePerformance!$J:$J),""))</f>
        <v/>
      </c>
      <c r="M232" s="6" t="str">
        <f>IF(A232="","",IFERROR(AVERAGEIF(RacePerformance!$F:$F,A232,RacePerformance!$K:$K),""))</f>
        <v/>
      </c>
      <c r="N232" s="6" t="str">
        <f>IF(A232="","",COUNTIFS(RacePerformance!$F:$F,A232,RacePerformance!$I:$I,"&lt;=20"))</f>
        <v/>
      </c>
      <c r="O232" s="6" t="str">
        <f>IF(A232="","",COUNTIFS(RacePerformance!$F:$F,A232,RacePerformance!$I:$I,1))</f>
        <v/>
      </c>
      <c r="P232" s="6" t="str">
        <f>IF(A232="","",COUNTIFS(RacePerformance!$F:$F,A232,RacePerformance!$J:$J,"&lt;=3"))</f>
        <v/>
      </c>
    </row>
    <row r="233" spans="1:16" ht="14.2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6" t="str">
        <f>IF(A233="","",COUNTIF(RacePerformance!$F:$F,A233))</f>
        <v/>
      </c>
      <c r="K233" s="6" t="str">
        <f>IF(A233="","",IFERROR(AVERAGEIF(RacePerformance!$F:$F,A233,RacePerformance!$I:$I),""))</f>
        <v/>
      </c>
      <c r="L233" s="6" t="str">
        <f>IF(A233="","",IFERROR(AVERAGEIF(RacePerformance!$F:$F,A233,RacePerformance!$J:$J),""))</f>
        <v/>
      </c>
      <c r="M233" s="6" t="str">
        <f>IF(A233="","",IFERROR(AVERAGEIF(RacePerformance!$F:$F,A233,RacePerformance!$K:$K),""))</f>
        <v/>
      </c>
      <c r="N233" s="6" t="str">
        <f>IF(A233="","",COUNTIFS(RacePerformance!$F:$F,A233,RacePerformance!$I:$I,"&lt;=20"))</f>
        <v/>
      </c>
      <c r="O233" s="6" t="str">
        <f>IF(A233="","",COUNTIFS(RacePerformance!$F:$F,A233,RacePerformance!$I:$I,1))</f>
        <v/>
      </c>
      <c r="P233" s="6" t="str">
        <f>IF(A233="","",COUNTIFS(RacePerformance!$F:$F,A233,RacePerformance!$J:$J,"&lt;=3"))</f>
        <v/>
      </c>
    </row>
    <row r="234" spans="1:16" ht="14.2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6" t="str">
        <f>IF(A234="","",COUNTIF(RacePerformance!$F:$F,A234))</f>
        <v/>
      </c>
      <c r="K234" s="6" t="str">
        <f>IF(A234="","",IFERROR(AVERAGEIF(RacePerformance!$F:$F,A234,RacePerformance!$I:$I),""))</f>
        <v/>
      </c>
      <c r="L234" s="6" t="str">
        <f>IF(A234="","",IFERROR(AVERAGEIF(RacePerformance!$F:$F,A234,RacePerformance!$J:$J),""))</f>
        <v/>
      </c>
      <c r="M234" s="6" t="str">
        <f>IF(A234="","",IFERROR(AVERAGEIF(RacePerformance!$F:$F,A234,RacePerformance!$K:$K),""))</f>
        <v/>
      </c>
      <c r="N234" s="6" t="str">
        <f>IF(A234="","",COUNTIFS(RacePerformance!$F:$F,A234,RacePerformance!$I:$I,"&lt;=20"))</f>
        <v/>
      </c>
      <c r="O234" s="6" t="str">
        <f>IF(A234="","",COUNTIFS(RacePerformance!$F:$F,A234,RacePerformance!$I:$I,1))</f>
        <v/>
      </c>
      <c r="P234" s="6" t="str">
        <f>IF(A234="","",COUNTIFS(RacePerformance!$F:$F,A234,RacePerformance!$J:$J,"&lt;=3"))</f>
        <v/>
      </c>
    </row>
    <row r="235" spans="1:16" ht="14.2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6" t="str">
        <f>IF(A235="","",COUNTIF(RacePerformance!$F:$F,A235))</f>
        <v/>
      </c>
      <c r="K235" s="6" t="str">
        <f>IF(A235="","",IFERROR(AVERAGEIF(RacePerformance!$F:$F,A235,RacePerformance!$I:$I),""))</f>
        <v/>
      </c>
      <c r="L235" s="6" t="str">
        <f>IF(A235="","",IFERROR(AVERAGEIF(RacePerformance!$F:$F,A235,RacePerformance!$J:$J),""))</f>
        <v/>
      </c>
      <c r="M235" s="6" t="str">
        <f>IF(A235="","",IFERROR(AVERAGEIF(RacePerformance!$F:$F,A235,RacePerformance!$K:$K),""))</f>
        <v/>
      </c>
      <c r="N235" s="6" t="str">
        <f>IF(A235="","",COUNTIFS(RacePerformance!$F:$F,A235,RacePerformance!$I:$I,"&lt;=20"))</f>
        <v/>
      </c>
      <c r="O235" s="6" t="str">
        <f>IF(A235="","",COUNTIFS(RacePerformance!$F:$F,A235,RacePerformance!$I:$I,1))</f>
        <v/>
      </c>
      <c r="P235" s="6" t="str">
        <f>IF(A235="","",COUNTIFS(RacePerformance!$F:$F,A235,RacePerformance!$J:$J,"&lt;=3"))</f>
        <v/>
      </c>
    </row>
    <row r="236" spans="1:16" ht="14.2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6" t="str">
        <f>IF(A236="","",COUNTIF(RacePerformance!$F:$F,A236))</f>
        <v/>
      </c>
      <c r="K236" s="6" t="str">
        <f>IF(A236="","",IFERROR(AVERAGEIF(RacePerformance!$F:$F,A236,RacePerformance!$I:$I),""))</f>
        <v/>
      </c>
      <c r="L236" s="6" t="str">
        <f>IF(A236="","",IFERROR(AVERAGEIF(RacePerformance!$F:$F,A236,RacePerformance!$J:$J),""))</f>
        <v/>
      </c>
      <c r="M236" s="6" t="str">
        <f>IF(A236="","",IFERROR(AVERAGEIF(RacePerformance!$F:$F,A236,RacePerformance!$K:$K),""))</f>
        <v/>
      </c>
      <c r="N236" s="6" t="str">
        <f>IF(A236="","",COUNTIFS(RacePerformance!$F:$F,A236,RacePerformance!$I:$I,"&lt;=20"))</f>
        <v/>
      </c>
      <c r="O236" s="6" t="str">
        <f>IF(A236="","",COUNTIFS(RacePerformance!$F:$F,A236,RacePerformance!$I:$I,1))</f>
        <v/>
      </c>
      <c r="P236" s="6" t="str">
        <f>IF(A236="","",COUNTIFS(RacePerformance!$F:$F,A236,RacePerformance!$J:$J,"&lt;=3"))</f>
        <v/>
      </c>
    </row>
    <row r="237" spans="1:16" ht="14.2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6" t="str">
        <f>IF(A237="","",COUNTIF(RacePerformance!$F:$F,A237))</f>
        <v/>
      </c>
      <c r="K237" s="6" t="str">
        <f>IF(A237="","",IFERROR(AVERAGEIF(RacePerformance!$F:$F,A237,RacePerformance!$I:$I),""))</f>
        <v/>
      </c>
      <c r="L237" s="6" t="str">
        <f>IF(A237="","",IFERROR(AVERAGEIF(RacePerformance!$F:$F,A237,RacePerformance!$J:$J),""))</f>
        <v/>
      </c>
      <c r="M237" s="6" t="str">
        <f>IF(A237="","",IFERROR(AVERAGEIF(RacePerformance!$F:$F,A237,RacePerformance!$K:$K),""))</f>
        <v/>
      </c>
      <c r="N237" s="6" t="str">
        <f>IF(A237="","",COUNTIFS(RacePerformance!$F:$F,A237,RacePerformance!$I:$I,"&lt;=20"))</f>
        <v/>
      </c>
      <c r="O237" s="6" t="str">
        <f>IF(A237="","",COUNTIFS(RacePerformance!$F:$F,A237,RacePerformance!$I:$I,1))</f>
        <v/>
      </c>
      <c r="P237" s="6" t="str">
        <f>IF(A237="","",COUNTIFS(RacePerformance!$F:$F,A237,RacePerformance!$J:$J,"&lt;=3"))</f>
        <v/>
      </c>
    </row>
    <row r="238" spans="1:16" ht="14.2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6" t="str">
        <f>IF(A238="","",COUNTIF(RacePerformance!$F:$F,A238))</f>
        <v/>
      </c>
      <c r="K238" s="6" t="str">
        <f>IF(A238="","",IFERROR(AVERAGEIF(RacePerformance!$F:$F,A238,RacePerformance!$I:$I),""))</f>
        <v/>
      </c>
      <c r="L238" s="6" t="str">
        <f>IF(A238="","",IFERROR(AVERAGEIF(RacePerformance!$F:$F,A238,RacePerformance!$J:$J),""))</f>
        <v/>
      </c>
      <c r="M238" s="6" t="str">
        <f>IF(A238="","",IFERROR(AVERAGEIF(RacePerformance!$F:$F,A238,RacePerformance!$K:$K),""))</f>
        <v/>
      </c>
      <c r="N238" s="6" t="str">
        <f>IF(A238="","",COUNTIFS(RacePerformance!$F:$F,A238,RacePerformance!$I:$I,"&lt;=20"))</f>
        <v/>
      </c>
      <c r="O238" s="6" t="str">
        <f>IF(A238="","",COUNTIFS(RacePerformance!$F:$F,A238,RacePerformance!$I:$I,1))</f>
        <v/>
      </c>
      <c r="P238" s="6" t="str">
        <f>IF(A238="","",COUNTIFS(RacePerformance!$F:$F,A238,RacePerformance!$J:$J,"&lt;=3"))</f>
        <v/>
      </c>
    </row>
    <row r="239" spans="1:16" ht="14.2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6" t="str">
        <f>IF(A239="","",COUNTIF(RacePerformance!$F:$F,A239))</f>
        <v/>
      </c>
      <c r="K239" s="6" t="str">
        <f>IF(A239="","",IFERROR(AVERAGEIF(RacePerformance!$F:$F,A239,RacePerformance!$I:$I),""))</f>
        <v/>
      </c>
      <c r="L239" s="6" t="str">
        <f>IF(A239="","",IFERROR(AVERAGEIF(RacePerformance!$F:$F,A239,RacePerformance!$J:$J),""))</f>
        <v/>
      </c>
      <c r="M239" s="6" t="str">
        <f>IF(A239="","",IFERROR(AVERAGEIF(RacePerformance!$F:$F,A239,RacePerformance!$K:$K),""))</f>
        <v/>
      </c>
      <c r="N239" s="6" t="str">
        <f>IF(A239="","",COUNTIFS(RacePerformance!$F:$F,A239,RacePerformance!$I:$I,"&lt;=20"))</f>
        <v/>
      </c>
      <c r="O239" s="6" t="str">
        <f>IF(A239="","",COUNTIFS(RacePerformance!$F:$F,A239,RacePerformance!$I:$I,1))</f>
        <v/>
      </c>
      <c r="P239" s="6" t="str">
        <f>IF(A239="","",COUNTIFS(RacePerformance!$F:$F,A239,RacePerformance!$J:$J,"&lt;=3"))</f>
        <v/>
      </c>
    </row>
    <row r="240" spans="1:16" ht="14.2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6" t="str">
        <f>IF(A240="","",COUNTIF(RacePerformance!$F:$F,A240))</f>
        <v/>
      </c>
      <c r="K240" s="6" t="str">
        <f>IF(A240="","",IFERROR(AVERAGEIF(RacePerformance!$F:$F,A240,RacePerformance!$I:$I),""))</f>
        <v/>
      </c>
      <c r="L240" s="6" t="str">
        <f>IF(A240="","",IFERROR(AVERAGEIF(RacePerformance!$F:$F,A240,RacePerformance!$J:$J),""))</f>
        <v/>
      </c>
      <c r="M240" s="6" t="str">
        <f>IF(A240="","",IFERROR(AVERAGEIF(RacePerformance!$F:$F,A240,RacePerformance!$K:$K),""))</f>
        <v/>
      </c>
      <c r="N240" s="6" t="str">
        <f>IF(A240="","",COUNTIFS(RacePerformance!$F:$F,A240,RacePerformance!$I:$I,"&lt;=20"))</f>
        <v/>
      </c>
      <c r="O240" s="6" t="str">
        <f>IF(A240="","",COUNTIFS(RacePerformance!$F:$F,A240,RacePerformance!$I:$I,1))</f>
        <v/>
      </c>
      <c r="P240" s="6" t="str">
        <f>IF(A240="","",COUNTIFS(RacePerformance!$F:$F,A240,RacePerformance!$J:$J,"&lt;=3"))</f>
        <v/>
      </c>
    </row>
    <row r="241" spans="1:16" ht="14.2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6" t="str">
        <f>IF(A241="","",COUNTIF(RacePerformance!$F:$F,A241))</f>
        <v/>
      </c>
      <c r="K241" s="6" t="str">
        <f>IF(A241="","",IFERROR(AVERAGEIF(RacePerformance!$F:$F,A241,RacePerformance!$I:$I),""))</f>
        <v/>
      </c>
      <c r="L241" s="6" t="str">
        <f>IF(A241="","",IFERROR(AVERAGEIF(RacePerformance!$F:$F,A241,RacePerformance!$J:$J),""))</f>
        <v/>
      </c>
      <c r="M241" s="6" t="str">
        <f>IF(A241="","",IFERROR(AVERAGEIF(RacePerformance!$F:$F,A241,RacePerformance!$K:$K),""))</f>
        <v/>
      </c>
      <c r="N241" s="6" t="str">
        <f>IF(A241="","",COUNTIFS(RacePerformance!$F:$F,A241,RacePerformance!$I:$I,"&lt;=20"))</f>
        <v/>
      </c>
      <c r="O241" s="6" t="str">
        <f>IF(A241="","",COUNTIFS(RacePerformance!$F:$F,A241,RacePerformance!$I:$I,1))</f>
        <v/>
      </c>
      <c r="P241" s="6" t="str">
        <f>IF(A241="","",COUNTIFS(RacePerformance!$F:$F,A241,RacePerformance!$J:$J,"&lt;=3"))</f>
        <v/>
      </c>
    </row>
    <row r="242" spans="1:16" ht="14.2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6" t="str">
        <f>IF(A242="","",COUNTIF(RacePerformance!$F:$F,A242))</f>
        <v/>
      </c>
      <c r="K242" s="6" t="str">
        <f>IF(A242="","",IFERROR(AVERAGEIF(RacePerformance!$F:$F,A242,RacePerformance!$I:$I),""))</f>
        <v/>
      </c>
      <c r="L242" s="6" t="str">
        <f>IF(A242="","",IFERROR(AVERAGEIF(RacePerformance!$F:$F,A242,RacePerformance!$J:$J),""))</f>
        <v/>
      </c>
      <c r="M242" s="6" t="str">
        <f>IF(A242="","",IFERROR(AVERAGEIF(RacePerformance!$F:$F,A242,RacePerformance!$K:$K),""))</f>
        <v/>
      </c>
      <c r="N242" s="6" t="str">
        <f>IF(A242="","",COUNTIFS(RacePerformance!$F:$F,A242,RacePerformance!$I:$I,"&lt;=20"))</f>
        <v/>
      </c>
      <c r="O242" s="6" t="str">
        <f>IF(A242="","",COUNTIFS(RacePerformance!$F:$F,A242,RacePerformance!$I:$I,1))</f>
        <v/>
      </c>
      <c r="P242" s="6" t="str">
        <f>IF(A242="","",COUNTIFS(RacePerformance!$F:$F,A242,RacePerformance!$J:$J,"&lt;=3"))</f>
        <v/>
      </c>
    </row>
    <row r="243" spans="1:16" ht="14.2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6" t="str">
        <f>IF(A243="","",COUNTIF(RacePerformance!$F:$F,A243))</f>
        <v/>
      </c>
      <c r="K243" s="6" t="str">
        <f>IF(A243="","",IFERROR(AVERAGEIF(RacePerformance!$F:$F,A243,RacePerformance!$I:$I),""))</f>
        <v/>
      </c>
      <c r="L243" s="6" t="str">
        <f>IF(A243="","",IFERROR(AVERAGEIF(RacePerformance!$F:$F,A243,RacePerformance!$J:$J),""))</f>
        <v/>
      </c>
      <c r="M243" s="6" t="str">
        <f>IF(A243="","",IFERROR(AVERAGEIF(RacePerformance!$F:$F,A243,RacePerformance!$K:$K),""))</f>
        <v/>
      </c>
      <c r="N243" s="6" t="str">
        <f>IF(A243="","",COUNTIFS(RacePerformance!$F:$F,A243,RacePerformance!$I:$I,"&lt;=20"))</f>
        <v/>
      </c>
      <c r="O243" s="6" t="str">
        <f>IF(A243="","",COUNTIFS(RacePerformance!$F:$F,A243,RacePerformance!$I:$I,1))</f>
        <v/>
      </c>
      <c r="P243" s="6" t="str">
        <f>IF(A243="","",COUNTIFS(RacePerformance!$F:$F,A243,RacePerformance!$J:$J,"&lt;=3"))</f>
        <v/>
      </c>
    </row>
    <row r="244" spans="1:16" ht="14.2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6" t="str">
        <f>IF(A244="","",COUNTIF(RacePerformance!$F:$F,A244))</f>
        <v/>
      </c>
      <c r="K244" s="6" t="str">
        <f>IF(A244="","",IFERROR(AVERAGEIF(RacePerformance!$F:$F,A244,RacePerformance!$I:$I),""))</f>
        <v/>
      </c>
      <c r="L244" s="6" t="str">
        <f>IF(A244="","",IFERROR(AVERAGEIF(RacePerformance!$F:$F,A244,RacePerformance!$J:$J),""))</f>
        <v/>
      </c>
      <c r="M244" s="6" t="str">
        <f>IF(A244="","",IFERROR(AVERAGEIF(RacePerformance!$F:$F,A244,RacePerformance!$K:$K),""))</f>
        <v/>
      </c>
      <c r="N244" s="6" t="str">
        <f>IF(A244="","",COUNTIFS(RacePerformance!$F:$F,A244,RacePerformance!$I:$I,"&lt;=20"))</f>
        <v/>
      </c>
      <c r="O244" s="6" t="str">
        <f>IF(A244="","",COUNTIFS(RacePerformance!$F:$F,A244,RacePerformance!$I:$I,1))</f>
        <v/>
      </c>
      <c r="P244" s="6" t="str">
        <f>IF(A244="","",COUNTIFS(RacePerformance!$F:$F,A244,RacePerformance!$J:$J,"&lt;=3"))</f>
        <v/>
      </c>
    </row>
    <row r="245" spans="1:16" ht="14.2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6" t="str">
        <f>IF(A245="","",COUNTIF(RacePerformance!$F:$F,A245))</f>
        <v/>
      </c>
      <c r="K245" s="6" t="str">
        <f>IF(A245="","",IFERROR(AVERAGEIF(RacePerformance!$F:$F,A245,RacePerformance!$I:$I),""))</f>
        <v/>
      </c>
      <c r="L245" s="6" t="str">
        <f>IF(A245="","",IFERROR(AVERAGEIF(RacePerformance!$F:$F,A245,RacePerformance!$J:$J),""))</f>
        <v/>
      </c>
      <c r="M245" s="6" t="str">
        <f>IF(A245="","",IFERROR(AVERAGEIF(RacePerformance!$F:$F,A245,RacePerformance!$K:$K),""))</f>
        <v/>
      </c>
      <c r="N245" s="6" t="str">
        <f>IF(A245="","",COUNTIFS(RacePerformance!$F:$F,A245,RacePerformance!$I:$I,"&lt;=20"))</f>
        <v/>
      </c>
      <c r="O245" s="6" t="str">
        <f>IF(A245="","",COUNTIFS(RacePerformance!$F:$F,A245,RacePerformance!$I:$I,1))</f>
        <v/>
      </c>
      <c r="P245" s="6" t="str">
        <f>IF(A245="","",COUNTIFS(RacePerformance!$F:$F,A245,RacePerformance!$J:$J,"&lt;=3"))</f>
        <v/>
      </c>
    </row>
    <row r="246" spans="1:16" ht="14.2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6" t="str">
        <f>IF(A246="","",COUNTIF(RacePerformance!$F:$F,A246))</f>
        <v/>
      </c>
      <c r="K246" s="6" t="str">
        <f>IF(A246="","",IFERROR(AVERAGEIF(RacePerformance!$F:$F,A246,RacePerformance!$I:$I),""))</f>
        <v/>
      </c>
      <c r="L246" s="6" t="str">
        <f>IF(A246="","",IFERROR(AVERAGEIF(RacePerformance!$F:$F,A246,RacePerformance!$J:$J),""))</f>
        <v/>
      </c>
      <c r="M246" s="6" t="str">
        <f>IF(A246="","",IFERROR(AVERAGEIF(RacePerformance!$F:$F,A246,RacePerformance!$K:$K),""))</f>
        <v/>
      </c>
      <c r="N246" s="6" t="str">
        <f>IF(A246="","",COUNTIFS(RacePerformance!$F:$F,A246,RacePerformance!$I:$I,"&lt;=20"))</f>
        <v/>
      </c>
      <c r="O246" s="6" t="str">
        <f>IF(A246="","",COUNTIFS(RacePerformance!$F:$F,A246,RacePerformance!$I:$I,1))</f>
        <v/>
      </c>
      <c r="P246" s="6" t="str">
        <f>IF(A246="","",COUNTIFS(RacePerformance!$F:$F,A246,RacePerformance!$J:$J,"&lt;=3"))</f>
        <v/>
      </c>
    </row>
    <row r="247" spans="1:16" ht="14.2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6" t="str">
        <f>IF(A247="","",COUNTIF(RacePerformance!$F:$F,A247))</f>
        <v/>
      </c>
      <c r="K247" s="6" t="str">
        <f>IF(A247="","",IFERROR(AVERAGEIF(RacePerformance!$F:$F,A247,RacePerformance!$I:$I),""))</f>
        <v/>
      </c>
      <c r="L247" s="6" t="str">
        <f>IF(A247="","",IFERROR(AVERAGEIF(RacePerformance!$F:$F,A247,RacePerformance!$J:$J),""))</f>
        <v/>
      </c>
      <c r="M247" s="6" t="str">
        <f>IF(A247="","",IFERROR(AVERAGEIF(RacePerformance!$F:$F,A247,RacePerformance!$K:$K),""))</f>
        <v/>
      </c>
      <c r="N247" s="6" t="str">
        <f>IF(A247="","",COUNTIFS(RacePerformance!$F:$F,A247,RacePerformance!$I:$I,"&lt;=20"))</f>
        <v/>
      </c>
      <c r="O247" s="6" t="str">
        <f>IF(A247="","",COUNTIFS(RacePerformance!$F:$F,A247,RacePerformance!$I:$I,1))</f>
        <v/>
      </c>
      <c r="P247" s="6" t="str">
        <f>IF(A247="","",COUNTIFS(RacePerformance!$F:$F,A247,RacePerformance!$J:$J,"&lt;=3"))</f>
        <v/>
      </c>
    </row>
    <row r="248" spans="1:16" ht="14.2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6" t="str">
        <f>IF(A248="","",COUNTIF(RacePerformance!$F:$F,A248))</f>
        <v/>
      </c>
      <c r="K248" s="6" t="str">
        <f>IF(A248="","",IFERROR(AVERAGEIF(RacePerformance!$F:$F,A248,RacePerformance!$I:$I),""))</f>
        <v/>
      </c>
      <c r="L248" s="6" t="str">
        <f>IF(A248="","",IFERROR(AVERAGEIF(RacePerformance!$F:$F,A248,RacePerformance!$J:$J),""))</f>
        <v/>
      </c>
      <c r="M248" s="6" t="str">
        <f>IF(A248="","",IFERROR(AVERAGEIF(RacePerformance!$F:$F,A248,RacePerformance!$K:$K),""))</f>
        <v/>
      </c>
      <c r="N248" s="6" t="str">
        <f>IF(A248="","",COUNTIFS(RacePerformance!$F:$F,A248,RacePerformance!$I:$I,"&lt;=20"))</f>
        <v/>
      </c>
      <c r="O248" s="6" t="str">
        <f>IF(A248="","",COUNTIFS(RacePerformance!$F:$F,A248,RacePerformance!$I:$I,1))</f>
        <v/>
      </c>
      <c r="P248" s="6" t="str">
        <f>IF(A248="","",COUNTIFS(RacePerformance!$F:$F,A248,RacePerformance!$J:$J,"&lt;=3"))</f>
        <v/>
      </c>
    </row>
    <row r="249" spans="1:16" ht="14.2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6" t="str">
        <f>IF(A249="","",COUNTIF(RacePerformance!$F:$F,A249))</f>
        <v/>
      </c>
      <c r="K249" s="6" t="str">
        <f>IF(A249="","",IFERROR(AVERAGEIF(RacePerformance!$F:$F,A249,RacePerformance!$I:$I),""))</f>
        <v/>
      </c>
      <c r="L249" s="6" t="str">
        <f>IF(A249="","",IFERROR(AVERAGEIF(RacePerformance!$F:$F,A249,RacePerformance!$J:$J),""))</f>
        <v/>
      </c>
      <c r="M249" s="6" t="str">
        <f>IF(A249="","",IFERROR(AVERAGEIF(RacePerformance!$F:$F,A249,RacePerformance!$K:$K),""))</f>
        <v/>
      </c>
      <c r="N249" s="6" t="str">
        <f>IF(A249="","",COUNTIFS(RacePerformance!$F:$F,A249,RacePerformance!$I:$I,"&lt;=20"))</f>
        <v/>
      </c>
      <c r="O249" s="6" t="str">
        <f>IF(A249="","",COUNTIFS(RacePerformance!$F:$F,A249,RacePerformance!$I:$I,1))</f>
        <v/>
      </c>
      <c r="P249" s="6" t="str">
        <f>IF(A249="","",COUNTIFS(RacePerformance!$F:$F,A249,RacePerformance!$J:$J,"&lt;=3"))</f>
        <v/>
      </c>
    </row>
    <row r="250" spans="1:16" ht="14.2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6" t="str">
        <f>IF(A250="","",COUNTIF(RacePerformance!$F:$F,A250))</f>
        <v/>
      </c>
      <c r="K250" s="6" t="str">
        <f>IF(A250="","",IFERROR(AVERAGEIF(RacePerformance!$F:$F,A250,RacePerformance!$I:$I),""))</f>
        <v/>
      </c>
      <c r="L250" s="6" t="str">
        <f>IF(A250="","",IFERROR(AVERAGEIF(RacePerformance!$F:$F,A250,RacePerformance!$J:$J),""))</f>
        <v/>
      </c>
      <c r="M250" s="6" t="str">
        <f>IF(A250="","",IFERROR(AVERAGEIF(RacePerformance!$F:$F,A250,RacePerformance!$K:$K),""))</f>
        <v/>
      </c>
      <c r="N250" s="6" t="str">
        <f>IF(A250="","",COUNTIFS(RacePerformance!$F:$F,A250,RacePerformance!$I:$I,"&lt;=20"))</f>
        <v/>
      </c>
      <c r="O250" s="6" t="str">
        <f>IF(A250="","",COUNTIFS(RacePerformance!$F:$F,A250,RacePerformance!$I:$I,1))</f>
        <v/>
      </c>
      <c r="P250" s="6" t="str">
        <f>IF(A250="","",COUNTIFS(RacePerformance!$F:$F,A250,RacePerformance!$J:$J,"&lt;=3"))</f>
        <v/>
      </c>
    </row>
    <row r="251" spans="1:16" ht="14.2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6" t="str">
        <f>IF(A251="","",COUNTIF(RacePerformance!$F:$F,A251))</f>
        <v/>
      </c>
      <c r="K251" s="6" t="str">
        <f>IF(A251="","",IFERROR(AVERAGEIF(RacePerformance!$F:$F,A251,RacePerformance!$I:$I),""))</f>
        <v/>
      </c>
      <c r="L251" s="6" t="str">
        <f>IF(A251="","",IFERROR(AVERAGEIF(RacePerformance!$F:$F,A251,RacePerformance!$J:$J),""))</f>
        <v/>
      </c>
      <c r="M251" s="6" t="str">
        <f>IF(A251="","",IFERROR(AVERAGEIF(RacePerformance!$F:$F,A251,RacePerformance!$K:$K),""))</f>
        <v/>
      </c>
      <c r="N251" s="6" t="str">
        <f>IF(A251="","",COUNTIFS(RacePerformance!$F:$F,A251,RacePerformance!$I:$I,"&lt;=20"))</f>
        <v/>
      </c>
      <c r="O251" s="6" t="str">
        <f>IF(A251="","",COUNTIFS(RacePerformance!$F:$F,A251,RacePerformance!$I:$I,1))</f>
        <v/>
      </c>
      <c r="P251" s="6" t="str">
        <f>IF(A251="","",COUNTIFS(RacePerformance!$F:$F,A251,RacePerformance!$J:$J,"&lt;=3"))</f>
        <v/>
      </c>
    </row>
    <row r="252" spans="1:16" ht="14.2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6" t="str">
        <f>IF(A252="","",COUNTIF(RacePerformance!$F:$F,A252))</f>
        <v/>
      </c>
      <c r="K252" s="6" t="str">
        <f>IF(A252="","",IFERROR(AVERAGEIF(RacePerformance!$F:$F,A252,RacePerformance!$I:$I),""))</f>
        <v/>
      </c>
      <c r="L252" s="6" t="str">
        <f>IF(A252="","",IFERROR(AVERAGEIF(RacePerformance!$F:$F,A252,RacePerformance!$J:$J),""))</f>
        <v/>
      </c>
      <c r="M252" s="6" t="str">
        <f>IF(A252="","",IFERROR(AVERAGEIF(RacePerformance!$F:$F,A252,RacePerformance!$K:$K),""))</f>
        <v/>
      </c>
      <c r="N252" s="6" t="str">
        <f>IF(A252="","",COUNTIFS(RacePerformance!$F:$F,A252,RacePerformance!$I:$I,"&lt;=20"))</f>
        <v/>
      </c>
      <c r="O252" s="6" t="str">
        <f>IF(A252="","",COUNTIFS(RacePerformance!$F:$F,A252,RacePerformance!$I:$I,1))</f>
        <v/>
      </c>
      <c r="P252" s="6" t="str">
        <f>IF(A252="","",COUNTIFS(RacePerformance!$F:$F,A252,RacePerformance!$J:$J,"&lt;=3"))</f>
        <v/>
      </c>
    </row>
    <row r="253" spans="1:16" ht="14.2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6" t="str">
        <f>IF(A253="","",COUNTIF(RacePerformance!$F:$F,A253))</f>
        <v/>
      </c>
      <c r="K253" s="6" t="str">
        <f>IF(A253="","",IFERROR(AVERAGEIF(RacePerformance!$F:$F,A253,RacePerformance!$I:$I),""))</f>
        <v/>
      </c>
      <c r="L253" s="6" t="str">
        <f>IF(A253="","",IFERROR(AVERAGEIF(RacePerformance!$F:$F,A253,RacePerformance!$J:$J),""))</f>
        <v/>
      </c>
      <c r="M253" s="6" t="str">
        <f>IF(A253="","",IFERROR(AVERAGEIF(RacePerformance!$F:$F,A253,RacePerformance!$K:$K),""))</f>
        <v/>
      </c>
      <c r="N253" s="6" t="str">
        <f>IF(A253="","",COUNTIFS(RacePerformance!$F:$F,A253,RacePerformance!$I:$I,"&lt;=20"))</f>
        <v/>
      </c>
      <c r="O253" s="6" t="str">
        <f>IF(A253="","",COUNTIFS(RacePerformance!$F:$F,A253,RacePerformance!$I:$I,1))</f>
        <v/>
      </c>
      <c r="P253" s="6" t="str">
        <f>IF(A253="","",COUNTIFS(RacePerformance!$F:$F,A253,RacePerformance!$J:$J,"&lt;=3"))</f>
        <v/>
      </c>
    </row>
    <row r="254" spans="1:16" ht="14.2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6" t="str">
        <f>IF(A254="","",COUNTIF(RacePerformance!$F:$F,A254))</f>
        <v/>
      </c>
      <c r="K254" s="6" t="str">
        <f>IF(A254="","",IFERROR(AVERAGEIF(RacePerformance!$F:$F,A254,RacePerformance!$I:$I),""))</f>
        <v/>
      </c>
      <c r="L254" s="6" t="str">
        <f>IF(A254="","",IFERROR(AVERAGEIF(RacePerformance!$F:$F,A254,RacePerformance!$J:$J),""))</f>
        <v/>
      </c>
      <c r="M254" s="6" t="str">
        <f>IF(A254="","",IFERROR(AVERAGEIF(RacePerformance!$F:$F,A254,RacePerformance!$K:$K),""))</f>
        <v/>
      </c>
      <c r="N254" s="6" t="str">
        <f>IF(A254="","",COUNTIFS(RacePerformance!$F:$F,A254,RacePerformance!$I:$I,"&lt;=20"))</f>
        <v/>
      </c>
      <c r="O254" s="6" t="str">
        <f>IF(A254="","",COUNTIFS(RacePerformance!$F:$F,A254,RacePerformance!$I:$I,1))</f>
        <v/>
      </c>
      <c r="P254" s="6" t="str">
        <f>IF(A254="","",COUNTIFS(RacePerformance!$F:$F,A254,RacePerformance!$J:$J,"&lt;=3"))</f>
        <v/>
      </c>
    </row>
    <row r="255" spans="1:16" ht="14.2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6" t="str">
        <f>IF(A255="","",COUNTIF(RacePerformance!$F:$F,A255))</f>
        <v/>
      </c>
      <c r="K255" s="6" t="str">
        <f>IF(A255="","",IFERROR(AVERAGEIF(RacePerformance!$F:$F,A255,RacePerformance!$I:$I),""))</f>
        <v/>
      </c>
      <c r="L255" s="6" t="str">
        <f>IF(A255="","",IFERROR(AVERAGEIF(RacePerformance!$F:$F,A255,RacePerformance!$J:$J),""))</f>
        <v/>
      </c>
      <c r="M255" s="6" t="str">
        <f>IF(A255="","",IFERROR(AVERAGEIF(RacePerformance!$F:$F,A255,RacePerformance!$K:$K),""))</f>
        <v/>
      </c>
      <c r="N255" s="6" t="str">
        <f>IF(A255="","",COUNTIFS(RacePerformance!$F:$F,A255,RacePerformance!$I:$I,"&lt;=20"))</f>
        <v/>
      </c>
      <c r="O255" s="6" t="str">
        <f>IF(A255="","",COUNTIFS(RacePerformance!$F:$F,A255,RacePerformance!$I:$I,1))</f>
        <v/>
      </c>
      <c r="P255" s="6" t="str">
        <f>IF(A255="","",COUNTIFS(RacePerformance!$F:$F,A255,RacePerformance!$J:$J,"&lt;=3"))</f>
        <v/>
      </c>
    </row>
    <row r="256" spans="1:16" ht="14.2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6" t="str">
        <f>IF(A256="","",COUNTIF(RacePerformance!$F:$F,A256))</f>
        <v/>
      </c>
      <c r="K256" s="6" t="str">
        <f>IF(A256="","",IFERROR(AVERAGEIF(RacePerformance!$F:$F,A256,RacePerformance!$I:$I),""))</f>
        <v/>
      </c>
      <c r="L256" s="6" t="str">
        <f>IF(A256="","",IFERROR(AVERAGEIF(RacePerformance!$F:$F,A256,RacePerformance!$J:$J),""))</f>
        <v/>
      </c>
      <c r="M256" s="6" t="str">
        <f>IF(A256="","",IFERROR(AVERAGEIF(RacePerformance!$F:$F,A256,RacePerformance!$K:$K),""))</f>
        <v/>
      </c>
      <c r="N256" s="6" t="str">
        <f>IF(A256="","",COUNTIFS(RacePerformance!$F:$F,A256,RacePerformance!$I:$I,"&lt;=20"))</f>
        <v/>
      </c>
      <c r="O256" s="6" t="str">
        <f>IF(A256="","",COUNTIFS(RacePerformance!$F:$F,A256,RacePerformance!$I:$I,1))</f>
        <v/>
      </c>
      <c r="P256" s="6" t="str">
        <f>IF(A256="","",COUNTIFS(RacePerformance!$F:$F,A256,RacePerformance!$J:$J,"&lt;=3"))</f>
        <v/>
      </c>
    </row>
    <row r="257" spans="1:16" ht="14.2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6" t="str">
        <f>IF(A257="","",COUNTIF(RacePerformance!$F:$F,A257))</f>
        <v/>
      </c>
      <c r="K257" s="6" t="str">
        <f>IF(A257="","",IFERROR(AVERAGEIF(RacePerformance!$F:$F,A257,RacePerformance!$I:$I),""))</f>
        <v/>
      </c>
      <c r="L257" s="6" t="str">
        <f>IF(A257="","",IFERROR(AVERAGEIF(RacePerformance!$F:$F,A257,RacePerformance!$J:$J),""))</f>
        <v/>
      </c>
      <c r="M257" s="6" t="str">
        <f>IF(A257="","",IFERROR(AVERAGEIF(RacePerformance!$F:$F,A257,RacePerformance!$K:$K),""))</f>
        <v/>
      </c>
      <c r="N257" s="6" t="str">
        <f>IF(A257="","",COUNTIFS(RacePerformance!$F:$F,A257,RacePerformance!$I:$I,"&lt;=20"))</f>
        <v/>
      </c>
      <c r="O257" s="6" t="str">
        <f>IF(A257="","",COUNTIFS(RacePerformance!$F:$F,A257,RacePerformance!$I:$I,1))</f>
        <v/>
      </c>
      <c r="P257" s="6" t="str">
        <f>IF(A257="","",COUNTIFS(RacePerformance!$F:$F,A257,RacePerformance!$J:$J,"&lt;=3"))</f>
        <v/>
      </c>
    </row>
    <row r="258" spans="1:16" ht="14.2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6" t="str">
        <f>IF(A258="","",COUNTIF(RacePerformance!$F:$F,A258))</f>
        <v/>
      </c>
      <c r="K258" s="6" t="str">
        <f>IF(A258="","",IFERROR(AVERAGEIF(RacePerformance!$F:$F,A258,RacePerformance!$I:$I),""))</f>
        <v/>
      </c>
      <c r="L258" s="6" t="str">
        <f>IF(A258="","",IFERROR(AVERAGEIF(RacePerformance!$F:$F,A258,RacePerformance!$J:$J),""))</f>
        <v/>
      </c>
      <c r="M258" s="6" t="str">
        <f>IF(A258="","",IFERROR(AVERAGEIF(RacePerformance!$F:$F,A258,RacePerformance!$K:$K),""))</f>
        <v/>
      </c>
      <c r="N258" s="6" t="str">
        <f>IF(A258="","",COUNTIFS(RacePerformance!$F:$F,A258,RacePerformance!$I:$I,"&lt;=20"))</f>
        <v/>
      </c>
      <c r="O258" s="6" t="str">
        <f>IF(A258="","",COUNTIFS(RacePerformance!$F:$F,A258,RacePerformance!$I:$I,1))</f>
        <v/>
      </c>
      <c r="P258" s="6" t="str">
        <f>IF(A258="","",COUNTIFS(RacePerformance!$F:$F,A258,RacePerformance!$J:$J,"&lt;=3"))</f>
        <v/>
      </c>
    </row>
    <row r="259" spans="1:16" ht="14.2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6" t="str">
        <f>IF(A259="","",COUNTIF(RacePerformance!$F:$F,A259))</f>
        <v/>
      </c>
      <c r="K259" s="6" t="str">
        <f>IF(A259="","",IFERROR(AVERAGEIF(RacePerformance!$F:$F,A259,RacePerformance!$I:$I),""))</f>
        <v/>
      </c>
      <c r="L259" s="6" t="str">
        <f>IF(A259="","",IFERROR(AVERAGEIF(RacePerformance!$F:$F,A259,RacePerformance!$J:$J),""))</f>
        <v/>
      </c>
      <c r="M259" s="6" t="str">
        <f>IF(A259="","",IFERROR(AVERAGEIF(RacePerformance!$F:$F,A259,RacePerformance!$K:$K),""))</f>
        <v/>
      </c>
      <c r="N259" s="6" t="str">
        <f>IF(A259="","",COUNTIFS(RacePerformance!$F:$F,A259,RacePerformance!$I:$I,"&lt;=20"))</f>
        <v/>
      </c>
      <c r="O259" s="6" t="str">
        <f>IF(A259="","",COUNTIFS(RacePerformance!$F:$F,A259,RacePerformance!$I:$I,1))</f>
        <v/>
      </c>
      <c r="P259" s="6" t="str">
        <f>IF(A259="","",COUNTIFS(RacePerformance!$F:$F,A259,RacePerformance!$J:$J,"&lt;=3"))</f>
        <v/>
      </c>
    </row>
    <row r="260" spans="1:16" ht="14.2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6" t="str">
        <f>IF(A260="","",COUNTIF(RacePerformance!$F:$F,A260))</f>
        <v/>
      </c>
      <c r="K260" s="6" t="str">
        <f>IF(A260="","",IFERROR(AVERAGEIF(RacePerformance!$F:$F,A260,RacePerformance!$I:$I),""))</f>
        <v/>
      </c>
      <c r="L260" s="6" t="str">
        <f>IF(A260="","",IFERROR(AVERAGEIF(RacePerformance!$F:$F,A260,RacePerformance!$J:$J),""))</f>
        <v/>
      </c>
      <c r="M260" s="6" t="str">
        <f>IF(A260="","",IFERROR(AVERAGEIF(RacePerformance!$F:$F,A260,RacePerformance!$K:$K),""))</f>
        <v/>
      </c>
      <c r="N260" s="6" t="str">
        <f>IF(A260="","",COUNTIFS(RacePerformance!$F:$F,A260,RacePerformance!$I:$I,"&lt;=20"))</f>
        <v/>
      </c>
      <c r="O260" s="6" t="str">
        <f>IF(A260="","",COUNTIFS(RacePerformance!$F:$F,A260,RacePerformance!$I:$I,1))</f>
        <v/>
      </c>
      <c r="P260" s="6" t="str">
        <f>IF(A260="","",COUNTIFS(RacePerformance!$F:$F,A260,RacePerformance!$J:$J,"&lt;=3"))</f>
        <v/>
      </c>
    </row>
    <row r="261" spans="1:16" ht="14.2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6" t="str">
        <f>IF(A261="","",COUNTIF(RacePerformance!$F:$F,A261))</f>
        <v/>
      </c>
      <c r="K261" s="6" t="str">
        <f>IF(A261="","",IFERROR(AVERAGEIF(RacePerformance!$F:$F,A261,RacePerformance!$I:$I),""))</f>
        <v/>
      </c>
      <c r="L261" s="6" t="str">
        <f>IF(A261="","",IFERROR(AVERAGEIF(RacePerformance!$F:$F,A261,RacePerformance!$J:$J),""))</f>
        <v/>
      </c>
      <c r="M261" s="6" t="str">
        <f>IF(A261="","",IFERROR(AVERAGEIF(RacePerformance!$F:$F,A261,RacePerformance!$K:$K),""))</f>
        <v/>
      </c>
      <c r="N261" s="6" t="str">
        <f>IF(A261="","",COUNTIFS(RacePerformance!$F:$F,A261,RacePerformance!$I:$I,"&lt;=20"))</f>
        <v/>
      </c>
      <c r="O261" s="6" t="str">
        <f>IF(A261="","",COUNTIFS(RacePerformance!$F:$F,A261,RacePerformance!$I:$I,1))</f>
        <v/>
      </c>
      <c r="P261" s="6" t="str">
        <f>IF(A261="","",COUNTIFS(RacePerformance!$F:$F,A261,RacePerformance!$J:$J,"&lt;=3"))</f>
        <v/>
      </c>
    </row>
    <row r="262" spans="1:16" ht="14.2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6" t="str">
        <f>IF(A262="","",COUNTIF(RacePerformance!$F:$F,A262))</f>
        <v/>
      </c>
      <c r="K262" s="6" t="str">
        <f>IF(A262="","",IFERROR(AVERAGEIF(RacePerformance!$F:$F,A262,RacePerformance!$I:$I),""))</f>
        <v/>
      </c>
      <c r="L262" s="6" t="str">
        <f>IF(A262="","",IFERROR(AVERAGEIF(RacePerformance!$F:$F,A262,RacePerformance!$J:$J),""))</f>
        <v/>
      </c>
      <c r="M262" s="6" t="str">
        <f>IF(A262="","",IFERROR(AVERAGEIF(RacePerformance!$F:$F,A262,RacePerformance!$K:$K),""))</f>
        <v/>
      </c>
      <c r="N262" s="6" t="str">
        <f>IF(A262="","",COUNTIFS(RacePerformance!$F:$F,A262,RacePerformance!$I:$I,"&lt;=20"))</f>
        <v/>
      </c>
      <c r="O262" s="6" t="str">
        <f>IF(A262="","",COUNTIFS(RacePerformance!$F:$F,A262,RacePerformance!$I:$I,1))</f>
        <v/>
      </c>
      <c r="P262" s="6" t="str">
        <f>IF(A262="","",COUNTIFS(RacePerformance!$F:$F,A262,RacePerformance!$J:$J,"&lt;=3"))</f>
        <v/>
      </c>
    </row>
    <row r="263" spans="1:16" ht="14.2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6" t="str">
        <f>IF(A263="","",COUNTIF(RacePerformance!$F:$F,A263))</f>
        <v/>
      </c>
      <c r="K263" s="6" t="str">
        <f>IF(A263="","",IFERROR(AVERAGEIF(RacePerformance!$F:$F,A263,RacePerformance!$I:$I),""))</f>
        <v/>
      </c>
      <c r="L263" s="6" t="str">
        <f>IF(A263="","",IFERROR(AVERAGEIF(RacePerformance!$F:$F,A263,RacePerformance!$J:$J),""))</f>
        <v/>
      </c>
      <c r="M263" s="6" t="str">
        <f>IF(A263="","",IFERROR(AVERAGEIF(RacePerformance!$F:$F,A263,RacePerformance!$K:$K),""))</f>
        <v/>
      </c>
      <c r="N263" s="6" t="str">
        <f>IF(A263="","",COUNTIFS(RacePerformance!$F:$F,A263,RacePerformance!$I:$I,"&lt;=20"))</f>
        <v/>
      </c>
      <c r="O263" s="6" t="str">
        <f>IF(A263="","",COUNTIFS(RacePerformance!$F:$F,A263,RacePerformance!$I:$I,1))</f>
        <v/>
      </c>
      <c r="P263" s="6" t="str">
        <f>IF(A263="","",COUNTIFS(RacePerformance!$F:$F,A263,RacePerformance!$J:$J,"&lt;=3"))</f>
        <v/>
      </c>
    </row>
    <row r="264" spans="1:16" ht="14.2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6" t="str">
        <f>IF(A264="","",COUNTIF(RacePerformance!$F:$F,A264))</f>
        <v/>
      </c>
      <c r="K264" s="6" t="str">
        <f>IF(A264="","",IFERROR(AVERAGEIF(RacePerformance!$F:$F,A264,RacePerformance!$I:$I),""))</f>
        <v/>
      </c>
      <c r="L264" s="6" t="str">
        <f>IF(A264="","",IFERROR(AVERAGEIF(RacePerformance!$F:$F,A264,RacePerformance!$J:$J),""))</f>
        <v/>
      </c>
      <c r="M264" s="6" t="str">
        <f>IF(A264="","",IFERROR(AVERAGEIF(RacePerformance!$F:$F,A264,RacePerformance!$K:$K),""))</f>
        <v/>
      </c>
      <c r="N264" s="6" t="str">
        <f>IF(A264="","",COUNTIFS(RacePerformance!$F:$F,A264,RacePerformance!$I:$I,"&lt;=20"))</f>
        <v/>
      </c>
      <c r="O264" s="6" t="str">
        <f>IF(A264="","",COUNTIFS(RacePerformance!$F:$F,A264,RacePerformance!$I:$I,1))</f>
        <v/>
      </c>
      <c r="P264" s="6" t="str">
        <f>IF(A264="","",COUNTIFS(RacePerformance!$F:$F,A264,RacePerformance!$J:$J,"&lt;=3"))</f>
        <v/>
      </c>
    </row>
    <row r="265" spans="1:16" ht="14.2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6" t="str">
        <f>IF(A265="","",COUNTIF(RacePerformance!$F:$F,A265))</f>
        <v/>
      </c>
      <c r="K265" s="6" t="str">
        <f>IF(A265="","",IFERROR(AVERAGEIF(RacePerformance!$F:$F,A265,RacePerformance!$I:$I),""))</f>
        <v/>
      </c>
      <c r="L265" s="6" t="str">
        <f>IF(A265="","",IFERROR(AVERAGEIF(RacePerformance!$F:$F,A265,RacePerformance!$J:$J),""))</f>
        <v/>
      </c>
      <c r="M265" s="6" t="str">
        <f>IF(A265="","",IFERROR(AVERAGEIF(RacePerformance!$F:$F,A265,RacePerformance!$K:$K),""))</f>
        <v/>
      </c>
      <c r="N265" s="6" t="str">
        <f>IF(A265="","",COUNTIFS(RacePerformance!$F:$F,A265,RacePerformance!$I:$I,"&lt;=20"))</f>
        <v/>
      </c>
      <c r="O265" s="6" t="str">
        <f>IF(A265="","",COUNTIFS(RacePerformance!$F:$F,A265,RacePerformance!$I:$I,1))</f>
        <v/>
      </c>
      <c r="P265" s="6" t="str">
        <f>IF(A265="","",COUNTIFS(RacePerformance!$F:$F,A265,RacePerformance!$J:$J,"&lt;=3"))</f>
        <v/>
      </c>
    </row>
    <row r="266" spans="1:16" ht="14.2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6" t="str">
        <f>IF(A266="","",COUNTIF(RacePerformance!$F:$F,A266))</f>
        <v/>
      </c>
      <c r="K266" s="6" t="str">
        <f>IF(A266="","",IFERROR(AVERAGEIF(RacePerformance!$F:$F,A266,RacePerformance!$I:$I),""))</f>
        <v/>
      </c>
      <c r="L266" s="6" t="str">
        <f>IF(A266="","",IFERROR(AVERAGEIF(RacePerformance!$F:$F,A266,RacePerformance!$J:$J),""))</f>
        <v/>
      </c>
      <c r="M266" s="6" t="str">
        <f>IF(A266="","",IFERROR(AVERAGEIF(RacePerformance!$F:$F,A266,RacePerformance!$K:$K),""))</f>
        <v/>
      </c>
      <c r="N266" s="6" t="str">
        <f>IF(A266="","",COUNTIFS(RacePerformance!$F:$F,A266,RacePerformance!$I:$I,"&lt;=20"))</f>
        <v/>
      </c>
      <c r="O266" s="6" t="str">
        <f>IF(A266="","",COUNTIFS(RacePerformance!$F:$F,A266,RacePerformance!$I:$I,1))</f>
        <v/>
      </c>
      <c r="P266" s="6" t="str">
        <f>IF(A266="","",COUNTIFS(RacePerformance!$F:$F,A266,RacePerformance!$J:$J,"&lt;=3"))</f>
        <v/>
      </c>
    </row>
    <row r="267" spans="1:16" ht="14.2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6" t="str">
        <f>IF(A267="","",COUNTIF(RacePerformance!$F:$F,A267))</f>
        <v/>
      </c>
      <c r="K267" s="6" t="str">
        <f>IF(A267="","",IFERROR(AVERAGEIF(RacePerformance!$F:$F,A267,RacePerformance!$I:$I),""))</f>
        <v/>
      </c>
      <c r="L267" s="6" t="str">
        <f>IF(A267="","",IFERROR(AVERAGEIF(RacePerformance!$F:$F,A267,RacePerformance!$J:$J),""))</f>
        <v/>
      </c>
      <c r="M267" s="6" t="str">
        <f>IF(A267="","",IFERROR(AVERAGEIF(RacePerformance!$F:$F,A267,RacePerformance!$K:$K),""))</f>
        <v/>
      </c>
      <c r="N267" s="6" t="str">
        <f>IF(A267="","",COUNTIFS(RacePerformance!$F:$F,A267,RacePerformance!$I:$I,"&lt;=20"))</f>
        <v/>
      </c>
      <c r="O267" s="6" t="str">
        <f>IF(A267="","",COUNTIFS(RacePerformance!$F:$F,A267,RacePerformance!$I:$I,1))</f>
        <v/>
      </c>
      <c r="P267" s="6" t="str">
        <f>IF(A267="","",COUNTIFS(RacePerformance!$F:$F,A267,RacePerformance!$J:$J,"&lt;=3"))</f>
        <v/>
      </c>
    </row>
    <row r="268" spans="1:16" ht="14.2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6" t="str">
        <f>IF(A268="","",COUNTIF(RacePerformance!$F:$F,A268))</f>
        <v/>
      </c>
      <c r="K268" s="6" t="str">
        <f>IF(A268="","",IFERROR(AVERAGEIF(RacePerformance!$F:$F,A268,RacePerformance!$I:$I),""))</f>
        <v/>
      </c>
      <c r="L268" s="6" t="str">
        <f>IF(A268="","",IFERROR(AVERAGEIF(RacePerformance!$F:$F,A268,RacePerformance!$J:$J),""))</f>
        <v/>
      </c>
      <c r="M268" s="6" t="str">
        <f>IF(A268="","",IFERROR(AVERAGEIF(RacePerformance!$F:$F,A268,RacePerformance!$K:$K),""))</f>
        <v/>
      </c>
      <c r="N268" s="6" t="str">
        <f>IF(A268="","",COUNTIFS(RacePerformance!$F:$F,A268,RacePerformance!$I:$I,"&lt;=20"))</f>
        <v/>
      </c>
      <c r="O268" s="6" t="str">
        <f>IF(A268="","",COUNTIFS(RacePerformance!$F:$F,A268,RacePerformance!$I:$I,1))</f>
        <v/>
      </c>
      <c r="P268" s="6" t="str">
        <f>IF(A268="","",COUNTIFS(RacePerformance!$F:$F,A268,RacePerformance!$J:$J,"&lt;=3"))</f>
        <v/>
      </c>
    </row>
    <row r="269" spans="1:16" ht="14.2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6" t="str">
        <f>IF(A269="","",COUNTIF(RacePerformance!$F:$F,A269))</f>
        <v/>
      </c>
      <c r="K269" s="6" t="str">
        <f>IF(A269="","",IFERROR(AVERAGEIF(RacePerformance!$F:$F,A269,RacePerformance!$I:$I),""))</f>
        <v/>
      </c>
      <c r="L269" s="6" t="str">
        <f>IF(A269="","",IFERROR(AVERAGEIF(RacePerformance!$F:$F,A269,RacePerformance!$J:$J),""))</f>
        <v/>
      </c>
      <c r="M269" s="6" t="str">
        <f>IF(A269="","",IFERROR(AVERAGEIF(RacePerformance!$F:$F,A269,RacePerformance!$K:$K),""))</f>
        <v/>
      </c>
      <c r="N269" s="6" t="str">
        <f>IF(A269="","",COUNTIFS(RacePerformance!$F:$F,A269,RacePerformance!$I:$I,"&lt;=20"))</f>
        <v/>
      </c>
      <c r="O269" s="6" t="str">
        <f>IF(A269="","",COUNTIFS(RacePerformance!$F:$F,A269,RacePerformance!$I:$I,1))</f>
        <v/>
      </c>
      <c r="P269" s="6" t="str">
        <f>IF(A269="","",COUNTIFS(RacePerformance!$F:$F,A269,RacePerformance!$J:$J,"&lt;=3"))</f>
        <v/>
      </c>
    </row>
    <row r="270" spans="1:16" ht="14.2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6" t="str">
        <f>IF(A270="","",COUNTIF(RacePerformance!$F:$F,A270))</f>
        <v/>
      </c>
      <c r="K270" s="6" t="str">
        <f>IF(A270="","",IFERROR(AVERAGEIF(RacePerformance!$F:$F,A270,RacePerformance!$I:$I),""))</f>
        <v/>
      </c>
      <c r="L270" s="6" t="str">
        <f>IF(A270="","",IFERROR(AVERAGEIF(RacePerformance!$F:$F,A270,RacePerformance!$J:$J),""))</f>
        <v/>
      </c>
      <c r="M270" s="6" t="str">
        <f>IF(A270="","",IFERROR(AVERAGEIF(RacePerformance!$F:$F,A270,RacePerformance!$K:$K),""))</f>
        <v/>
      </c>
      <c r="N270" s="6" t="str">
        <f>IF(A270="","",COUNTIFS(RacePerformance!$F:$F,A270,RacePerformance!$I:$I,"&lt;=20"))</f>
        <v/>
      </c>
      <c r="O270" s="6" t="str">
        <f>IF(A270="","",COUNTIFS(RacePerformance!$F:$F,A270,RacePerformance!$I:$I,1))</f>
        <v/>
      </c>
      <c r="P270" s="6" t="str">
        <f>IF(A270="","",COUNTIFS(RacePerformance!$F:$F,A270,RacePerformance!$J:$J,"&lt;=3"))</f>
        <v/>
      </c>
    </row>
    <row r="271" spans="1:16" ht="14.2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6" t="str">
        <f>IF(A271="","",COUNTIF(RacePerformance!$F:$F,A271))</f>
        <v/>
      </c>
      <c r="K271" s="6" t="str">
        <f>IF(A271="","",IFERROR(AVERAGEIF(RacePerformance!$F:$F,A271,RacePerformance!$I:$I),""))</f>
        <v/>
      </c>
      <c r="L271" s="6" t="str">
        <f>IF(A271="","",IFERROR(AVERAGEIF(RacePerformance!$F:$F,A271,RacePerformance!$J:$J),""))</f>
        <v/>
      </c>
      <c r="M271" s="6" t="str">
        <f>IF(A271="","",IFERROR(AVERAGEIF(RacePerformance!$F:$F,A271,RacePerformance!$K:$K),""))</f>
        <v/>
      </c>
      <c r="N271" s="6" t="str">
        <f>IF(A271="","",COUNTIFS(RacePerformance!$F:$F,A271,RacePerformance!$I:$I,"&lt;=20"))</f>
        <v/>
      </c>
      <c r="O271" s="6" t="str">
        <f>IF(A271="","",COUNTIFS(RacePerformance!$F:$F,A271,RacePerformance!$I:$I,1))</f>
        <v/>
      </c>
      <c r="P271" s="6" t="str">
        <f>IF(A271="","",COUNTIFS(RacePerformance!$F:$F,A271,RacePerformance!$J:$J,"&lt;=3"))</f>
        <v/>
      </c>
    </row>
    <row r="272" spans="1:16" ht="14.2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6" t="str">
        <f>IF(A272="","",COUNTIF(RacePerformance!$F:$F,A272))</f>
        <v/>
      </c>
      <c r="K272" s="6" t="str">
        <f>IF(A272="","",IFERROR(AVERAGEIF(RacePerformance!$F:$F,A272,RacePerformance!$I:$I),""))</f>
        <v/>
      </c>
      <c r="L272" s="6" t="str">
        <f>IF(A272="","",IFERROR(AVERAGEIF(RacePerformance!$F:$F,A272,RacePerformance!$J:$J),""))</f>
        <v/>
      </c>
      <c r="M272" s="6" t="str">
        <f>IF(A272="","",IFERROR(AVERAGEIF(RacePerformance!$F:$F,A272,RacePerformance!$K:$K),""))</f>
        <v/>
      </c>
      <c r="N272" s="6" t="str">
        <f>IF(A272="","",COUNTIFS(RacePerformance!$F:$F,A272,RacePerformance!$I:$I,"&lt;=20"))</f>
        <v/>
      </c>
      <c r="O272" s="6" t="str">
        <f>IF(A272="","",COUNTIFS(RacePerformance!$F:$F,A272,RacePerformance!$I:$I,1))</f>
        <v/>
      </c>
      <c r="P272" s="6" t="str">
        <f>IF(A272="","",COUNTIFS(RacePerformance!$F:$F,A272,RacePerformance!$J:$J,"&lt;=3"))</f>
        <v/>
      </c>
    </row>
    <row r="273" spans="1:16" ht="14.2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6" t="str">
        <f>IF(A273="","",COUNTIF(RacePerformance!$F:$F,A273))</f>
        <v/>
      </c>
      <c r="K273" s="6" t="str">
        <f>IF(A273="","",IFERROR(AVERAGEIF(RacePerformance!$F:$F,A273,RacePerformance!$I:$I),""))</f>
        <v/>
      </c>
      <c r="L273" s="6" t="str">
        <f>IF(A273="","",IFERROR(AVERAGEIF(RacePerformance!$F:$F,A273,RacePerformance!$J:$J),""))</f>
        <v/>
      </c>
      <c r="M273" s="6" t="str">
        <f>IF(A273="","",IFERROR(AVERAGEIF(RacePerformance!$F:$F,A273,RacePerformance!$K:$K),""))</f>
        <v/>
      </c>
      <c r="N273" s="6" t="str">
        <f>IF(A273="","",COUNTIFS(RacePerformance!$F:$F,A273,RacePerformance!$I:$I,"&lt;=20"))</f>
        <v/>
      </c>
      <c r="O273" s="6" t="str">
        <f>IF(A273="","",COUNTIFS(RacePerformance!$F:$F,A273,RacePerformance!$I:$I,1))</f>
        <v/>
      </c>
      <c r="P273" s="6" t="str">
        <f>IF(A273="","",COUNTIFS(RacePerformance!$F:$F,A273,RacePerformance!$J:$J,"&lt;=3"))</f>
        <v/>
      </c>
    </row>
    <row r="274" spans="1:16" ht="14.2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6" t="str">
        <f>IF(A274="","",COUNTIF(RacePerformance!$F:$F,A274))</f>
        <v/>
      </c>
      <c r="K274" s="6" t="str">
        <f>IF(A274="","",IFERROR(AVERAGEIF(RacePerformance!$F:$F,A274,RacePerformance!$I:$I),""))</f>
        <v/>
      </c>
      <c r="L274" s="6" t="str">
        <f>IF(A274="","",IFERROR(AVERAGEIF(RacePerformance!$F:$F,A274,RacePerformance!$J:$J),""))</f>
        <v/>
      </c>
      <c r="M274" s="6" t="str">
        <f>IF(A274="","",IFERROR(AVERAGEIF(RacePerformance!$F:$F,A274,RacePerformance!$K:$K),""))</f>
        <v/>
      </c>
      <c r="N274" s="6" t="str">
        <f>IF(A274="","",COUNTIFS(RacePerformance!$F:$F,A274,RacePerformance!$I:$I,"&lt;=20"))</f>
        <v/>
      </c>
      <c r="O274" s="6" t="str">
        <f>IF(A274="","",COUNTIFS(RacePerformance!$F:$F,A274,RacePerformance!$I:$I,1))</f>
        <v/>
      </c>
      <c r="P274" s="6" t="str">
        <f>IF(A274="","",COUNTIFS(RacePerformance!$F:$F,A274,RacePerformance!$J:$J,"&lt;=3"))</f>
        <v/>
      </c>
    </row>
    <row r="275" spans="1:16" ht="14.2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6" t="str">
        <f>IF(A275="","",COUNTIF(RacePerformance!$F:$F,A275))</f>
        <v/>
      </c>
      <c r="K275" s="6" t="str">
        <f>IF(A275="","",IFERROR(AVERAGEIF(RacePerformance!$F:$F,A275,RacePerformance!$I:$I),""))</f>
        <v/>
      </c>
      <c r="L275" s="6" t="str">
        <f>IF(A275="","",IFERROR(AVERAGEIF(RacePerformance!$F:$F,A275,RacePerformance!$J:$J),""))</f>
        <v/>
      </c>
      <c r="M275" s="6" t="str">
        <f>IF(A275="","",IFERROR(AVERAGEIF(RacePerformance!$F:$F,A275,RacePerformance!$K:$K),""))</f>
        <v/>
      </c>
      <c r="N275" s="6" t="str">
        <f>IF(A275="","",COUNTIFS(RacePerformance!$F:$F,A275,RacePerformance!$I:$I,"&lt;=20"))</f>
        <v/>
      </c>
      <c r="O275" s="6" t="str">
        <f>IF(A275="","",COUNTIFS(RacePerformance!$F:$F,A275,RacePerformance!$I:$I,1))</f>
        <v/>
      </c>
      <c r="P275" s="6" t="str">
        <f>IF(A275="","",COUNTIFS(RacePerformance!$F:$F,A275,RacePerformance!$J:$J,"&lt;=3"))</f>
        <v/>
      </c>
    </row>
    <row r="276" spans="1:16" ht="14.2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6" t="str">
        <f>IF(A276="","",COUNTIF(RacePerformance!$F:$F,A276))</f>
        <v/>
      </c>
      <c r="K276" s="6" t="str">
        <f>IF(A276="","",IFERROR(AVERAGEIF(RacePerformance!$F:$F,A276,RacePerformance!$I:$I),""))</f>
        <v/>
      </c>
      <c r="L276" s="6" t="str">
        <f>IF(A276="","",IFERROR(AVERAGEIF(RacePerformance!$F:$F,A276,RacePerformance!$J:$J),""))</f>
        <v/>
      </c>
      <c r="M276" s="6" t="str">
        <f>IF(A276="","",IFERROR(AVERAGEIF(RacePerformance!$F:$F,A276,RacePerformance!$K:$K),""))</f>
        <v/>
      </c>
      <c r="N276" s="6" t="str">
        <f>IF(A276="","",COUNTIFS(RacePerformance!$F:$F,A276,RacePerformance!$I:$I,"&lt;=20"))</f>
        <v/>
      </c>
      <c r="O276" s="6" t="str">
        <f>IF(A276="","",COUNTIFS(RacePerformance!$F:$F,A276,RacePerformance!$I:$I,1))</f>
        <v/>
      </c>
      <c r="P276" s="6" t="str">
        <f>IF(A276="","",COUNTIFS(RacePerformance!$F:$F,A276,RacePerformance!$J:$J,"&lt;=3"))</f>
        <v/>
      </c>
    </row>
    <row r="277" spans="1:16" ht="14.2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6" t="str">
        <f>IF(A277="","",COUNTIF(RacePerformance!$F:$F,A277))</f>
        <v/>
      </c>
      <c r="K277" s="6" t="str">
        <f>IF(A277="","",IFERROR(AVERAGEIF(RacePerformance!$F:$F,A277,RacePerformance!$I:$I),""))</f>
        <v/>
      </c>
      <c r="L277" s="6" t="str">
        <f>IF(A277="","",IFERROR(AVERAGEIF(RacePerformance!$F:$F,A277,RacePerformance!$J:$J),""))</f>
        <v/>
      </c>
      <c r="M277" s="6" t="str">
        <f>IF(A277="","",IFERROR(AVERAGEIF(RacePerformance!$F:$F,A277,RacePerformance!$K:$K),""))</f>
        <v/>
      </c>
      <c r="N277" s="6" t="str">
        <f>IF(A277="","",COUNTIFS(RacePerformance!$F:$F,A277,RacePerformance!$I:$I,"&lt;=20"))</f>
        <v/>
      </c>
      <c r="O277" s="6" t="str">
        <f>IF(A277="","",COUNTIFS(RacePerformance!$F:$F,A277,RacePerformance!$I:$I,1))</f>
        <v/>
      </c>
      <c r="P277" s="6" t="str">
        <f>IF(A277="","",COUNTIFS(RacePerformance!$F:$F,A277,RacePerformance!$J:$J,"&lt;=3"))</f>
        <v/>
      </c>
    </row>
    <row r="278" spans="1:16" ht="14.2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6" t="str">
        <f>IF(A278="","",COUNTIF(RacePerformance!$F:$F,A278))</f>
        <v/>
      </c>
      <c r="K278" s="6" t="str">
        <f>IF(A278="","",IFERROR(AVERAGEIF(RacePerformance!$F:$F,A278,RacePerformance!$I:$I),""))</f>
        <v/>
      </c>
      <c r="L278" s="6" t="str">
        <f>IF(A278="","",IFERROR(AVERAGEIF(RacePerformance!$F:$F,A278,RacePerformance!$J:$J),""))</f>
        <v/>
      </c>
      <c r="M278" s="6" t="str">
        <f>IF(A278="","",IFERROR(AVERAGEIF(RacePerformance!$F:$F,A278,RacePerformance!$K:$K),""))</f>
        <v/>
      </c>
      <c r="N278" s="6" t="str">
        <f>IF(A278="","",COUNTIFS(RacePerformance!$F:$F,A278,RacePerformance!$I:$I,"&lt;=20"))</f>
        <v/>
      </c>
      <c r="O278" s="6" t="str">
        <f>IF(A278="","",COUNTIFS(RacePerformance!$F:$F,A278,RacePerformance!$I:$I,1))</f>
        <v/>
      </c>
      <c r="P278" s="6" t="str">
        <f>IF(A278="","",COUNTIFS(RacePerformance!$F:$F,A278,RacePerformance!$J:$J,"&lt;=3"))</f>
        <v/>
      </c>
    </row>
    <row r="279" spans="1:16" ht="14.2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6" t="str">
        <f>IF(A279="","",COUNTIF(RacePerformance!$F:$F,A279))</f>
        <v/>
      </c>
      <c r="K279" s="6" t="str">
        <f>IF(A279="","",IFERROR(AVERAGEIF(RacePerformance!$F:$F,A279,RacePerformance!$I:$I),""))</f>
        <v/>
      </c>
      <c r="L279" s="6" t="str">
        <f>IF(A279="","",IFERROR(AVERAGEIF(RacePerformance!$F:$F,A279,RacePerformance!$J:$J),""))</f>
        <v/>
      </c>
      <c r="M279" s="6" t="str">
        <f>IF(A279="","",IFERROR(AVERAGEIF(RacePerformance!$F:$F,A279,RacePerformance!$K:$K),""))</f>
        <v/>
      </c>
      <c r="N279" s="6" t="str">
        <f>IF(A279="","",COUNTIFS(RacePerformance!$F:$F,A279,RacePerformance!$I:$I,"&lt;=20"))</f>
        <v/>
      </c>
      <c r="O279" s="6" t="str">
        <f>IF(A279="","",COUNTIFS(RacePerformance!$F:$F,A279,RacePerformance!$I:$I,1))</f>
        <v/>
      </c>
      <c r="P279" s="6" t="str">
        <f>IF(A279="","",COUNTIFS(RacePerformance!$F:$F,A279,RacePerformance!$J:$J,"&lt;=3"))</f>
        <v/>
      </c>
    </row>
    <row r="280" spans="1:16" ht="14.2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6" t="str">
        <f>IF(A280="","",COUNTIF(RacePerformance!$F:$F,A280))</f>
        <v/>
      </c>
      <c r="K280" s="6" t="str">
        <f>IF(A280="","",IFERROR(AVERAGEIF(RacePerformance!$F:$F,A280,RacePerformance!$I:$I),""))</f>
        <v/>
      </c>
      <c r="L280" s="6" t="str">
        <f>IF(A280="","",IFERROR(AVERAGEIF(RacePerformance!$F:$F,A280,RacePerformance!$J:$J),""))</f>
        <v/>
      </c>
      <c r="M280" s="6" t="str">
        <f>IF(A280="","",IFERROR(AVERAGEIF(RacePerformance!$F:$F,A280,RacePerformance!$K:$K),""))</f>
        <v/>
      </c>
      <c r="N280" s="6" t="str">
        <f>IF(A280="","",COUNTIFS(RacePerformance!$F:$F,A280,RacePerformance!$I:$I,"&lt;=20"))</f>
        <v/>
      </c>
      <c r="O280" s="6" t="str">
        <f>IF(A280="","",COUNTIFS(RacePerformance!$F:$F,A280,RacePerformance!$I:$I,1))</f>
        <v/>
      </c>
      <c r="P280" s="6" t="str">
        <f>IF(A280="","",COUNTIFS(RacePerformance!$F:$F,A280,RacePerformance!$J:$J,"&lt;=3"))</f>
        <v/>
      </c>
    </row>
    <row r="281" spans="1:16" ht="14.2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6" t="str">
        <f>IF(A281="","",COUNTIF(RacePerformance!$F:$F,A281))</f>
        <v/>
      </c>
      <c r="K281" s="6" t="str">
        <f>IF(A281="","",IFERROR(AVERAGEIF(RacePerformance!$F:$F,A281,RacePerformance!$I:$I),""))</f>
        <v/>
      </c>
      <c r="L281" s="6" t="str">
        <f>IF(A281="","",IFERROR(AVERAGEIF(RacePerformance!$F:$F,A281,RacePerformance!$J:$J),""))</f>
        <v/>
      </c>
      <c r="M281" s="6" t="str">
        <f>IF(A281="","",IFERROR(AVERAGEIF(RacePerformance!$F:$F,A281,RacePerformance!$K:$K),""))</f>
        <v/>
      </c>
      <c r="N281" s="6" t="str">
        <f>IF(A281="","",COUNTIFS(RacePerformance!$F:$F,A281,RacePerformance!$I:$I,"&lt;=20"))</f>
        <v/>
      </c>
      <c r="O281" s="6" t="str">
        <f>IF(A281="","",COUNTIFS(RacePerformance!$F:$F,A281,RacePerformance!$I:$I,1))</f>
        <v/>
      </c>
      <c r="P281" s="6" t="str">
        <f>IF(A281="","",COUNTIFS(RacePerformance!$F:$F,A281,RacePerformance!$J:$J,"&lt;=3"))</f>
        <v/>
      </c>
    </row>
    <row r="282" spans="1:16" ht="14.2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6" t="str">
        <f>IF(A282="","",COUNTIF(RacePerformance!$F:$F,A282))</f>
        <v/>
      </c>
      <c r="K282" s="6" t="str">
        <f>IF(A282="","",IFERROR(AVERAGEIF(RacePerformance!$F:$F,A282,RacePerformance!$I:$I),""))</f>
        <v/>
      </c>
      <c r="L282" s="6" t="str">
        <f>IF(A282="","",IFERROR(AVERAGEIF(RacePerformance!$F:$F,A282,RacePerformance!$J:$J),""))</f>
        <v/>
      </c>
      <c r="M282" s="6" t="str">
        <f>IF(A282="","",IFERROR(AVERAGEIF(RacePerformance!$F:$F,A282,RacePerformance!$K:$K),""))</f>
        <v/>
      </c>
      <c r="N282" s="6" t="str">
        <f>IF(A282="","",COUNTIFS(RacePerformance!$F:$F,A282,RacePerformance!$I:$I,"&lt;=20"))</f>
        <v/>
      </c>
      <c r="O282" s="6" t="str">
        <f>IF(A282="","",COUNTIFS(RacePerformance!$F:$F,A282,RacePerformance!$I:$I,1))</f>
        <v/>
      </c>
      <c r="P282" s="6" t="str">
        <f>IF(A282="","",COUNTIFS(RacePerformance!$F:$F,A282,RacePerformance!$J:$J,"&lt;=3"))</f>
        <v/>
      </c>
    </row>
    <row r="283" spans="1:16" ht="14.2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6" t="str">
        <f>IF(A283="","",COUNTIF(RacePerformance!$F:$F,A283))</f>
        <v/>
      </c>
      <c r="K283" s="6" t="str">
        <f>IF(A283="","",IFERROR(AVERAGEIF(RacePerformance!$F:$F,A283,RacePerformance!$I:$I),""))</f>
        <v/>
      </c>
      <c r="L283" s="6" t="str">
        <f>IF(A283="","",IFERROR(AVERAGEIF(RacePerformance!$F:$F,A283,RacePerformance!$J:$J),""))</f>
        <v/>
      </c>
      <c r="M283" s="6" t="str">
        <f>IF(A283="","",IFERROR(AVERAGEIF(RacePerformance!$F:$F,A283,RacePerformance!$K:$K),""))</f>
        <v/>
      </c>
      <c r="N283" s="6" t="str">
        <f>IF(A283="","",COUNTIFS(RacePerformance!$F:$F,A283,RacePerformance!$I:$I,"&lt;=20"))</f>
        <v/>
      </c>
      <c r="O283" s="6" t="str">
        <f>IF(A283="","",COUNTIFS(RacePerformance!$F:$F,A283,RacePerformance!$I:$I,1))</f>
        <v/>
      </c>
      <c r="P283" s="6" t="str">
        <f>IF(A283="","",COUNTIFS(RacePerformance!$F:$F,A283,RacePerformance!$J:$J,"&lt;=3"))</f>
        <v/>
      </c>
    </row>
    <row r="284" spans="1:16" ht="14.2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6" t="str">
        <f>IF(A284="","",COUNTIF(RacePerformance!$F:$F,A284))</f>
        <v/>
      </c>
      <c r="K284" s="6" t="str">
        <f>IF(A284="","",IFERROR(AVERAGEIF(RacePerformance!$F:$F,A284,RacePerformance!$I:$I),""))</f>
        <v/>
      </c>
      <c r="L284" s="6" t="str">
        <f>IF(A284="","",IFERROR(AVERAGEIF(RacePerformance!$F:$F,A284,RacePerformance!$J:$J),""))</f>
        <v/>
      </c>
      <c r="M284" s="6" t="str">
        <f>IF(A284="","",IFERROR(AVERAGEIF(RacePerformance!$F:$F,A284,RacePerformance!$K:$K),""))</f>
        <v/>
      </c>
      <c r="N284" s="6" t="str">
        <f>IF(A284="","",COUNTIFS(RacePerformance!$F:$F,A284,RacePerformance!$I:$I,"&lt;=20"))</f>
        <v/>
      </c>
      <c r="O284" s="6" t="str">
        <f>IF(A284="","",COUNTIFS(RacePerformance!$F:$F,A284,RacePerformance!$I:$I,1))</f>
        <v/>
      </c>
      <c r="P284" s="6" t="str">
        <f>IF(A284="","",COUNTIFS(RacePerformance!$F:$F,A284,RacePerformance!$J:$J,"&lt;=3"))</f>
        <v/>
      </c>
    </row>
    <row r="285" spans="1:16" ht="14.2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6" t="str">
        <f>IF(A285="","",COUNTIF(RacePerformance!$F:$F,A285))</f>
        <v/>
      </c>
      <c r="K285" s="6" t="str">
        <f>IF(A285="","",IFERROR(AVERAGEIF(RacePerformance!$F:$F,A285,RacePerformance!$I:$I),""))</f>
        <v/>
      </c>
      <c r="L285" s="6" t="str">
        <f>IF(A285="","",IFERROR(AVERAGEIF(RacePerformance!$F:$F,A285,RacePerformance!$J:$J),""))</f>
        <v/>
      </c>
      <c r="M285" s="6" t="str">
        <f>IF(A285="","",IFERROR(AVERAGEIF(RacePerformance!$F:$F,A285,RacePerformance!$K:$K),""))</f>
        <v/>
      </c>
      <c r="N285" s="6" t="str">
        <f>IF(A285="","",COUNTIFS(RacePerformance!$F:$F,A285,RacePerformance!$I:$I,"&lt;=20"))</f>
        <v/>
      </c>
      <c r="O285" s="6" t="str">
        <f>IF(A285="","",COUNTIFS(RacePerformance!$F:$F,A285,RacePerformance!$I:$I,1))</f>
        <v/>
      </c>
      <c r="P285" s="6" t="str">
        <f>IF(A285="","",COUNTIFS(RacePerformance!$F:$F,A285,RacePerformance!$J:$J,"&lt;=3"))</f>
        <v/>
      </c>
    </row>
    <row r="286" spans="1:16" ht="14.2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6" t="str">
        <f>IF(A286="","",COUNTIF(RacePerformance!$F:$F,A286))</f>
        <v/>
      </c>
      <c r="K286" s="6" t="str">
        <f>IF(A286="","",IFERROR(AVERAGEIF(RacePerformance!$F:$F,A286,RacePerformance!$I:$I),""))</f>
        <v/>
      </c>
      <c r="L286" s="6" t="str">
        <f>IF(A286="","",IFERROR(AVERAGEIF(RacePerformance!$F:$F,A286,RacePerformance!$J:$J),""))</f>
        <v/>
      </c>
      <c r="M286" s="6" t="str">
        <f>IF(A286="","",IFERROR(AVERAGEIF(RacePerformance!$F:$F,A286,RacePerformance!$K:$K),""))</f>
        <v/>
      </c>
      <c r="N286" s="6" t="str">
        <f>IF(A286="","",COUNTIFS(RacePerformance!$F:$F,A286,RacePerformance!$I:$I,"&lt;=20"))</f>
        <v/>
      </c>
      <c r="O286" s="6" t="str">
        <f>IF(A286="","",COUNTIFS(RacePerformance!$F:$F,A286,RacePerformance!$I:$I,1))</f>
        <v/>
      </c>
      <c r="P286" s="6" t="str">
        <f>IF(A286="","",COUNTIFS(RacePerformance!$F:$F,A286,RacePerformance!$J:$J,"&lt;=3"))</f>
        <v/>
      </c>
    </row>
    <row r="287" spans="1:16" ht="14.2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6" t="str">
        <f>IF(A287="","",COUNTIF(RacePerformance!$F:$F,A287))</f>
        <v/>
      </c>
      <c r="K287" s="6" t="str">
        <f>IF(A287="","",IFERROR(AVERAGEIF(RacePerformance!$F:$F,A287,RacePerformance!$I:$I),""))</f>
        <v/>
      </c>
      <c r="L287" s="6" t="str">
        <f>IF(A287="","",IFERROR(AVERAGEIF(RacePerformance!$F:$F,A287,RacePerformance!$J:$J),""))</f>
        <v/>
      </c>
      <c r="M287" s="6" t="str">
        <f>IF(A287="","",IFERROR(AVERAGEIF(RacePerformance!$F:$F,A287,RacePerformance!$K:$K),""))</f>
        <v/>
      </c>
      <c r="N287" s="6" t="str">
        <f>IF(A287="","",COUNTIFS(RacePerformance!$F:$F,A287,RacePerformance!$I:$I,"&lt;=20"))</f>
        <v/>
      </c>
      <c r="O287" s="6" t="str">
        <f>IF(A287="","",COUNTIFS(RacePerformance!$F:$F,A287,RacePerformance!$I:$I,1))</f>
        <v/>
      </c>
      <c r="P287" s="6" t="str">
        <f>IF(A287="","",COUNTIFS(RacePerformance!$F:$F,A287,RacePerformance!$J:$J,"&lt;=3"))</f>
        <v/>
      </c>
    </row>
    <row r="288" spans="1:16" ht="14.2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6" t="str">
        <f>IF(A288="","",COUNTIF(RacePerformance!$F:$F,A288))</f>
        <v/>
      </c>
      <c r="K288" s="6" t="str">
        <f>IF(A288="","",IFERROR(AVERAGEIF(RacePerformance!$F:$F,A288,RacePerformance!$I:$I),""))</f>
        <v/>
      </c>
      <c r="L288" s="6" t="str">
        <f>IF(A288="","",IFERROR(AVERAGEIF(RacePerformance!$F:$F,A288,RacePerformance!$J:$J),""))</f>
        <v/>
      </c>
      <c r="M288" s="6" t="str">
        <f>IF(A288="","",IFERROR(AVERAGEIF(RacePerformance!$F:$F,A288,RacePerformance!$K:$K),""))</f>
        <v/>
      </c>
      <c r="N288" s="6" t="str">
        <f>IF(A288="","",COUNTIFS(RacePerformance!$F:$F,A288,RacePerformance!$I:$I,"&lt;=20"))</f>
        <v/>
      </c>
      <c r="O288" s="6" t="str">
        <f>IF(A288="","",COUNTIFS(RacePerformance!$F:$F,A288,RacePerformance!$I:$I,1))</f>
        <v/>
      </c>
      <c r="P288" s="6" t="str">
        <f>IF(A288="","",COUNTIFS(RacePerformance!$F:$F,A288,RacePerformance!$J:$J,"&lt;=3"))</f>
        <v/>
      </c>
    </row>
    <row r="289" spans="1:16" ht="14.2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6" t="str">
        <f>IF(A289="","",COUNTIF(RacePerformance!$F:$F,A289))</f>
        <v/>
      </c>
      <c r="K289" s="6" t="str">
        <f>IF(A289="","",IFERROR(AVERAGEIF(RacePerformance!$F:$F,A289,RacePerformance!$I:$I),""))</f>
        <v/>
      </c>
      <c r="L289" s="6" t="str">
        <f>IF(A289="","",IFERROR(AVERAGEIF(RacePerformance!$F:$F,A289,RacePerformance!$J:$J),""))</f>
        <v/>
      </c>
      <c r="M289" s="6" t="str">
        <f>IF(A289="","",IFERROR(AVERAGEIF(RacePerformance!$F:$F,A289,RacePerformance!$K:$K),""))</f>
        <v/>
      </c>
      <c r="N289" s="6" t="str">
        <f>IF(A289="","",COUNTIFS(RacePerformance!$F:$F,A289,RacePerformance!$I:$I,"&lt;=20"))</f>
        <v/>
      </c>
      <c r="O289" s="6" t="str">
        <f>IF(A289="","",COUNTIFS(RacePerformance!$F:$F,A289,RacePerformance!$I:$I,1))</f>
        <v/>
      </c>
      <c r="P289" s="6" t="str">
        <f>IF(A289="","",COUNTIFS(RacePerformance!$F:$F,A289,RacePerformance!$J:$J,"&lt;=3"))</f>
        <v/>
      </c>
    </row>
    <row r="290" spans="1:16" ht="14.2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6" t="str">
        <f>IF(A290="","",COUNTIF(RacePerformance!$F:$F,A290))</f>
        <v/>
      </c>
      <c r="K290" s="6" t="str">
        <f>IF(A290="","",IFERROR(AVERAGEIF(RacePerformance!$F:$F,A290,RacePerformance!$I:$I),""))</f>
        <v/>
      </c>
      <c r="L290" s="6" t="str">
        <f>IF(A290="","",IFERROR(AVERAGEIF(RacePerformance!$F:$F,A290,RacePerformance!$J:$J),""))</f>
        <v/>
      </c>
      <c r="M290" s="6" t="str">
        <f>IF(A290="","",IFERROR(AVERAGEIF(RacePerformance!$F:$F,A290,RacePerformance!$K:$K),""))</f>
        <v/>
      </c>
      <c r="N290" s="6" t="str">
        <f>IF(A290="","",COUNTIFS(RacePerformance!$F:$F,A290,RacePerformance!$I:$I,"&lt;=20"))</f>
        <v/>
      </c>
      <c r="O290" s="6" t="str">
        <f>IF(A290="","",COUNTIFS(RacePerformance!$F:$F,A290,RacePerformance!$I:$I,1))</f>
        <v/>
      </c>
      <c r="P290" s="6" t="str">
        <f>IF(A290="","",COUNTIFS(RacePerformance!$F:$F,A290,RacePerformance!$J:$J,"&lt;=3"))</f>
        <v/>
      </c>
    </row>
    <row r="291" spans="1:16" ht="14.2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6" t="str">
        <f>IF(A291="","",COUNTIF(RacePerformance!$F:$F,A291))</f>
        <v/>
      </c>
      <c r="K291" s="6" t="str">
        <f>IF(A291="","",IFERROR(AVERAGEIF(RacePerformance!$F:$F,A291,RacePerformance!$I:$I),""))</f>
        <v/>
      </c>
      <c r="L291" s="6" t="str">
        <f>IF(A291="","",IFERROR(AVERAGEIF(RacePerformance!$F:$F,A291,RacePerformance!$J:$J),""))</f>
        <v/>
      </c>
      <c r="M291" s="6" t="str">
        <f>IF(A291="","",IFERROR(AVERAGEIF(RacePerformance!$F:$F,A291,RacePerformance!$K:$K),""))</f>
        <v/>
      </c>
      <c r="N291" s="6" t="str">
        <f>IF(A291="","",COUNTIFS(RacePerformance!$F:$F,A291,RacePerformance!$I:$I,"&lt;=20"))</f>
        <v/>
      </c>
      <c r="O291" s="6" t="str">
        <f>IF(A291="","",COUNTIFS(RacePerformance!$F:$F,A291,RacePerformance!$I:$I,1))</f>
        <v/>
      </c>
      <c r="P291" s="6" t="str">
        <f>IF(A291="","",COUNTIFS(RacePerformance!$F:$F,A291,RacePerformance!$J:$J,"&lt;=3"))</f>
        <v/>
      </c>
    </row>
    <row r="292" spans="1:16" ht="14.2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6" t="str">
        <f>IF(A292="","",COUNTIF(RacePerformance!$F:$F,A292))</f>
        <v/>
      </c>
      <c r="K292" s="6" t="str">
        <f>IF(A292="","",IFERROR(AVERAGEIF(RacePerformance!$F:$F,A292,RacePerformance!$I:$I),""))</f>
        <v/>
      </c>
      <c r="L292" s="6" t="str">
        <f>IF(A292="","",IFERROR(AVERAGEIF(RacePerformance!$F:$F,A292,RacePerformance!$J:$J),""))</f>
        <v/>
      </c>
      <c r="M292" s="6" t="str">
        <f>IF(A292="","",IFERROR(AVERAGEIF(RacePerformance!$F:$F,A292,RacePerformance!$K:$K),""))</f>
        <v/>
      </c>
      <c r="N292" s="6" t="str">
        <f>IF(A292="","",COUNTIFS(RacePerformance!$F:$F,A292,RacePerformance!$I:$I,"&lt;=20"))</f>
        <v/>
      </c>
      <c r="O292" s="6" t="str">
        <f>IF(A292="","",COUNTIFS(RacePerformance!$F:$F,A292,RacePerformance!$I:$I,1))</f>
        <v/>
      </c>
      <c r="P292" s="6" t="str">
        <f>IF(A292="","",COUNTIFS(RacePerformance!$F:$F,A292,RacePerformance!$J:$J,"&lt;=3"))</f>
        <v/>
      </c>
    </row>
    <row r="293" spans="1:16" ht="14.2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6" t="str">
        <f>IF(A293="","",COUNTIF(RacePerformance!$F:$F,A293))</f>
        <v/>
      </c>
      <c r="K293" s="6" t="str">
        <f>IF(A293="","",IFERROR(AVERAGEIF(RacePerformance!$F:$F,A293,RacePerformance!$I:$I),""))</f>
        <v/>
      </c>
      <c r="L293" s="6" t="str">
        <f>IF(A293="","",IFERROR(AVERAGEIF(RacePerformance!$F:$F,A293,RacePerformance!$J:$J),""))</f>
        <v/>
      </c>
      <c r="M293" s="6" t="str">
        <f>IF(A293="","",IFERROR(AVERAGEIF(RacePerformance!$F:$F,A293,RacePerformance!$K:$K),""))</f>
        <v/>
      </c>
      <c r="N293" s="6" t="str">
        <f>IF(A293="","",COUNTIFS(RacePerformance!$F:$F,A293,RacePerformance!$I:$I,"&lt;=20"))</f>
        <v/>
      </c>
      <c r="O293" s="6" t="str">
        <f>IF(A293="","",COUNTIFS(RacePerformance!$F:$F,A293,RacePerformance!$I:$I,1))</f>
        <v/>
      </c>
      <c r="P293" s="6" t="str">
        <f>IF(A293="","",COUNTIFS(RacePerformance!$F:$F,A293,RacePerformance!$J:$J,"&lt;=3"))</f>
        <v/>
      </c>
    </row>
    <row r="294" spans="1:16" ht="14.2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6" t="str">
        <f>IF(A294="","",COUNTIF(RacePerformance!$F:$F,A294))</f>
        <v/>
      </c>
      <c r="K294" s="6" t="str">
        <f>IF(A294="","",IFERROR(AVERAGEIF(RacePerformance!$F:$F,A294,RacePerformance!$I:$I),""))</f>
        <v/>
      </c>
      <c r="L294" s="6" t="str">
        <f>IF(A294="","",IFERROR(AVERAGEIF(RacePerformance!$F:$F,A294,RacePerformance!$J:$J),""))</f>
        <v/>
      </c>
      <c r="M294" s="6" t="str">
        <f>IF(A294="","",IFERROR(AVERAGEIF(RacePerformance!$F:$F,A294,RacePerformance!$K:$K),""))</f>
        <v/>
      </c>
      <c r="N294" s="6" t="str">
        <f>IF(A294="","",COUNTIFS(RacePerformance!$F:$F,A294,RacePerformance!$I:$I,"&lt;=20"))</f>
        <v/>
      </c>
      <c r="O294" s="6" t="str">
        <f>IF(A294="","",COUNTIFS(RacePerformance!$F:$F,A294,RacePerformance!$I:$I,1))</f>
        <v/>
      </c>
      <c r="P294" s="6" t="str">
        <f>IF(A294="","",COUNTIFS(RacePerformance!$F:$F,A294,RacePerformance!$J:$J,"&lt;=3"))</f>
        <v/>
      </c>
    </row>
    <row r="295" spans="1:16" ht="14.2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6" t="str">
        <f>IF(A295="","",COUNTIF(RacePerformance!$F:$F,A295))</f>
        <v/>
      </c>
      <c r="K295" s="6" t="str">
        <f>IF(A295="","",IFERROR(AVERAGEIF(RacePerformance!$F:$F,A295,RacePerformance!$I:$I),""))</f>
        <v/>
      </c>
      <c r="L295" s="6" t="str">
        <f>IF(A295="","",IFERROR(AVERAGEIF(RacePerformance!$F:$F,A295,RacePerformance!$J:$J),""))</f>
        <v/>
      </c>
      <c r="M295" s="6" t="str">
        <f>IF(A295="","",IFERROR(AVERAGEIF(RacePerformance!$F:$F,A295,RacePerformance!$K:$K),""))</f>
        <v/>
      </c>
      <c r="N295" s="6" t="str">
        <f>IF(A295="","",COUNTIFS(RacePerformance!$F:$F,A295,RacePerformance!$I:$I,"&lt;=20"))</f>
        <v/>
      </c>
      <c r="O295" s="6" t="str">
        <f>IF(A295="","",COUNTIFS(RacePerformance!$F:$F,A295,RacePerformance!$I:$I,1))</f>
        <v/>
      </c>
      <c r="P295" s="6" t="str">
        <f>IF(A295="","",COUNTIFS(RacePerformance!$F:$F,A295,RacePerformance!$J:$J,"&lt;=3"))</f>
        <v/>
      </c>
    </row>
    <row r="296" spans="1:16" ht="14.2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6" t="str">
        <f>IF(A296="","",COUNTIF(RacePerformance!$F:$F,A296))</f>
        <v/>
      </c>
      <c r="K296" s="6" t="str">
        <f>IF(A296="","",IFERROR(AVERAGEIF(RacePerformance!$F:$F,A296,RacePerformance!$I:$I),""))</f>
        <v/>
      </c>
      <c r="L296" s="6" t="str">
        <f>IF(A296="","",IFERROR(AVERAGEIF(RacePerformance!$F:$F,A296,RacePerformance!$J:$J),""))</f>
        <v/>
      </c>
      <c r="M296" s="6" t="str">
        <f>IF(A296="","",IFERROR(AVERAGEIF(RacePerformance!$F:$F,A296,RacePerformance!$K:$K),""))</f>
        <v/>
      </c>
      <c r="N296" s="6" t="str">
        <f>IF(A296="","",COUNTIFS(RacePerformance!$F:$F,A296,RacePerformance!$I:$I,"&lt;=20"))</f>
        <v/>
      </c>
      <c r="O296" s="6" t="str">
        <f>IF(A296="","",COUNTIFS(RacePerformance!$F:$F,A296,RacePerformance!$I:$I,1))</f>
        <v/>
      </c>
      <c r="P296" s="6" t="str">
        <f>IF(A296="","",COUNTIFS(RacePerformance!$F:$F,A296,RacePerformance!$J:$J,"&lt;=3"))</f>
        <v/>
      </c>
    </row>
    <row r="297" spans="1:16" ht="14.2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6" t="str">
        <f>IF(A297="","",COUNTIF(RacePerformance!$F:$F,A297))</f>
        <v/>
      </c>
      <c r="K297" s="6" t="str">
        <f>IF(A297="","",IFERROR(AVERAGEIF(RacePerformance!$F:$F,A297,RacePerformance!$I:$I),""))</f>
        <v/>
      </c>
      <c r="L297" s="6" t="str">
        <f>IF(A297="","",IFERROR(AVERAGEIF(RacePerformance!$F:$F,A297,RacePerformance!$J:$J),""))</f>
        <v/>
      </c>
      <c r="M297" s="6" t="str">
        <f>IF(A297="","",IFERROR(AVERAGEIF(RacePerformance!$F:$F,A297,RacePerformance!$K:$K),""))</f>
        <v/>
      </c>
      <c r="N297" s="6" t="str">
        <f>IF(A297="","",COUNTIFS(RacePerformance!$F:$F,A297,RacePerformance!$I:$I,"&lt;=20"))</f>
        <v/>
      </c>
      <c r="O297" s="6" t="str">
        <f>IF(A297="","",COUNTIFS(RacePerformance!$F:$F,A297,RacePerformance!$I:$I,1))</f>
        <v/>
      </c>
      <c r="P297" s="6" t="str">
        <f>IF(A297="","",COUNTIFS(RacePerformance!$F:$F,A297,RacePerformance!$J:$J,"&lt;=3"))</f>
        <v/>
      </c>
    </row>
    <row r="298" spans="1:16" ht="14.2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6" t="str">
        <f>IF(A298="","",COUNTIF(RacePerformance!$F:$F,A298))</f>
        <v/>
      </c>
      <c r="K298" s="6" t="str">
        <f>IF(A298="","",IFERROR(AVERAGEIF(RacePerformance!$F:$F,A298,RacePerformance!$I:$I),""))</f>
        <v/>
      </c>
      <c r="L298" s="6" t="str">
        <f>IF(A298="","",IFERROR(AVERAGEIF(RacePerformance!$F:$F,A298,RacePerformance!$J:$J),""))</f>
        <v/>
      </c>
      <c r="M298" s="6" t="str">
        <f>IF(A298="","",IFERROR(AVERAGEIF(RacePerformance!$F:$F,A298,RacePerformance!$K:$K),""))</f>
        <v/>
      </c>
      <c r="N298" s="6" t="str">
        <f>IF(A298="","",COUNTIFS(RacePerformance!$F:$F,A298,RacePerformance!$I:$I,"&lt;=20"))</f>
        <v/>
      </c>
      <c r="O298" s="6" t="str">
        <f>IF(A298="","",COUNTIFS(RacePerformance!$F:$F,A298,RacePerformance!$I:$I,1))</f>
        <v/>
      </c>
      <c r="P298" s="6" t="str">
        <f>IF(A298="","",COUNTIFS(RacePerformance!$F:$F,A298,RacePerformance!$J:$J,"&lt;=3"))</f>
        <v/>
      </c>
    </row>
    <row r="299" spans="1:16" ht="14.2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6" t="str">
        <f>IF(A299="","",COUNTIF(RacePerformance!$F:$F,A299))</f>
        <v/>
      </c>
      <c r="K299" s="6" t="str">
        <f>IF(A299="","",IFERROR(AVERAGEIF(RacePerformance!$F:$F,A299,RacePerformance!$I:$I),""))</f>
        <v/>
      </c>
      <c r="L299" s="6" t="str">
        <f>IF(A299="","",IFERROR(AVERAGEIF(RacePerformance!$F:$F,A299,RacePerformance!$J:$J),""))</f>
        <v/>
      </c>
      <c r="M299" s="6" t="str">
        <f>IF(A299="","",IFERROR(AVERAGEIF(RacePerformance!$F:$F,A299,RacePerformance!$K:$K),""))</f>
        <v/>
      </c>
      <c r="N299" s="6" t="str">
        <f>IF(A299="","",COUNTIFS(RacePerformance!$F:$F,A299,RacePerformance!$I:$I,"&lt;=20"))</f>
        <v/>
      </c>
      <c r="O299" s="6" t="str">
        <f>IF(A299="","",COUNTIFS(RacePerformance!$F:$F,A299,RacePerformance!$I:$I,1))</f>
        <v/>
      </c>
      <c r="P299" s="6" t="str">
        <f>IF(A299="","",COUNTIFS(RacePerformance!$F:$F,A299,RacePerformance!$J:$J,"&lt;=3"))</f>
        <v/>
      </c>
    </row>
    <row r="300" spans="1:16" ht="14.2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6" t="str">
        <f>IF(A300="","",COUNTIF(RacePerformance!$F:$F,A300))</f>
        <v/>
      </c>
      <c r="K300" s="6" t="str">
        <f>IF(A300="","",IFERROR(AVERAGEIF(RacePerformance!$F:$F,A300,RacePerformance!$I:$I),""))</f>
        <v/>
      </c>
      <c r="L300" s="6" t="str">
        <f>IF(A300="","",IFERROR(AVERAGEIF(RacePerformance!$F:$F,A300,RacePerformance!$J:$J),""))</f>
        <v/>
      </c>
      <c r="M300" s="6" t="str">
        <f>IF(A300="","",IFERROR(AVERAGEIF(RacePerformance!$F:$F,A300,RacePerformance!$K:$K),""))</f>
        <v/>
      </c>
      <c r="N300" s="6" t="str">
        <f>IF(A300="","",COUNTIFS(RacePerformance!$F:$F,A300,RacePerformance!$I:$I,"&lt;=20"))</f>
        <v/>
      </c>
      <c r="O300" s="6" t="str">
        <f>IF(A300="","",COUNTIFS(RacePerformance!$F:$F,A300,RacePerformance!$I:$I,1))</f>
        <v/>
      </c>
      <c r="P300" s="6" t="str">
        <f>IF(A300="","",COUNTIFS(RacePerformance!$F:$F,A300,RacePerformance!$J:$J,"&lt;=3"))</f>
        <v/>
      </c>
    </row>
    <row r="301" spans="1:16" ht="14.2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6" t="str">
        <f>IF(A301="","",COUNTIF(RacePerformance!$F:$F,A301))</f>
        <v/>
      </c>
      <c r="K301" s="6" t="str">
        <f>IF(A301="","",IFERROR(AVERAGEIF(RacePerformance!$F:$F,A301,RacePerformance!$I:$I),""))</f>
        <v/>
      </c>
      <c r="L301" s="6" t="str">
        <f>IF(A301="","",IFERROR(AVERAGEIF(RacePerformance!$F:$F,A301,RacePerformance!$J:$J),""))</f>
        <v/>
      </c>
      <c r="M301" s="6" t="str">
        <f>IF(A301="","",IFERROR(AVERAGEIF(RacePerformance!$F:$F,A301,RacePerformance!$K:$K),""))</f>
        <v/>
      </c>
      <c r="N301" s="6" t="str">
        <f>IF(A301="","",COUNTIFS(RacePerformance!$F:$F,A301,RacePerformance!$I:$I,"&lt;=20"))</f>
        <v/>
      </c>
      <c r="O301" s="6" t="str">
        <f>IF(A301="","",COUNTIFS(RacePerformance!$F:$F,A301,RacePerformance!$I:$I,1))</f>
        <v/>
      </c>
      <c r="P301" s="6" t="str">
        <f>IF(A301="","",COUNTIFS(RacePerformance!$F:$F,A301,RacePerformance!$J:$J,"&lt;=3"))</f>
        <v/>
      </c>
    </row>
    <row r="302" spans="1:16" ht="14.2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6" t="str">
        <f>IF(A302="","",COUNTIF(RacePerformance!$F:$F,A302))</f>
        <v/>
      </c>
      <c r="K302" s="6" t="str">
        <f>IF(A302="","",IFERROR(AVERAGEIF(RacePerformance!$F:$F,A302,RacePerformance!$I:$I),""))</f>
        <v/>
      </c>
      <c r="L302" s="6" t="str">
        <f>IF(A302="","",IFERROR(AVERAGEIF(RacePerformance!$F:$F,A302,RacePerformance!$J:$J),""))</f>
        <v/>
      </c>
      <c r="M302" s="6" t="str">
        <f>IF(A302="","",IFERROR(AVERAGEIF(RacePerformance!$F:$F,A302,RacePerformance!$K:$K),""))</f>
        <v/>
      </c>
      <c r="N302" s="6" t="str">
        <f>IF(A302="","",COUNTIFS(RacePerformance!$F:$F,A302,RacePerformance!$I:$I,"&lt;=20"))</f>
        <v/>
      </c>
      <c r="O302" s="6" t="str">
        <f>IF(A302="","",COUNTIFS(RacePerformance!$F:$F,A302,RacePerformance!$I:$I,1))</f>
        <v/>
      </c>
      <c r="P302" s="6" t="str">
        <f>IF(A302="","",COUNTIFS(RacePerformance!$F:$F,A302,RacePerformance!$J:$J,"&lt;=3"))</f>
        <v/>
      </c>
    </row>
    <row r="303" spans="1:16" ht="14.2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6" t="str">
        <f>IF(A303="","",COUNTIF(RacePerformance!$F:$F,A303))</f>
        <v/>
      </c>
      <c r="K303" s="6" t="str">
        <f>IF(A303="","",IFERROR(AVERAGEIF(RacePerformance!$F:$F,A303,RacePerformance!$I:$I),""))</f>
        <v/>
      </c>
      <c r="L303" s="6" t="str">
        <f>IF(A303="","",IFERROR(AVERAGEIF(RacePerformance!$F:$F,A303,RacePerformance!$J:$J),""))</f>
        <v/>
      </c>
      <c r="M303" s="6" t="str">
        <f>IF(A303="","",IFERROR(AVERAGEIF(RacePerformance!$F:$F,A303,RacePerformance!$K:$K),""))</f>
        <v/>
      </c>
      <c r="N303" s="6" t="str">
        <f>IF(A303="","",COUNTIFS(RacePerformance!$F:$F,A303,RacePerformance!$I:$I,"&lt;=20"))</f>
        <v/>
      </c>
      <c r="O303" s="6" t="str">
        <f>IF(A303="","",COUNTIFS(RacePerformance!$F:$F,A303,RacePerformance!$I:$I,1))</f>
        <v/>
      </c>
      <c r="P303" s="6" t="str">
        <f>IF(A303="","",COUNTIFS(RacePerformance!$F:$F,A303,RacePerformance!$J:$J,"&lt;=3"))</f>
        <v/>
      </c>
    </row>
    <row r="304" spans="1:16" ht="14.2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6" t="str">
        <f>IF(A304="","",COUNTIF(RacePerformance!$F:$F,A304))</f>
        <v/>
      </c>
      <c r="K304" s="6" t="str">
        <f>IF(A304="","",IFERROR(AVERAGEIF(RacePerformance!$F:$F,A304,RacePerformance!$I:$I),""))</f>
        <v/>
      </c>
      <c r="L304" s="6" t="str">
        <f>IF(A304="","",IFERROR(AVERAGEIF(RacePerformance!$F:$F,A304,RacePerformance!$J:$J),""))</f>
        <v/>
      </c>
      <c r="M304" s="6" t="str">
        <f>IF(A304="","",IFERROR(AVERAGEIF(RacePerformance!$F:$F,A304,RacePerformance!$K:$K),""))</f>
        <v/>
      </c>
      <c r="N304" s="6" t="str">
        <f>IF(A304="","",COUNTIFS(RacePerformance!$F:$F,A304,RacePerformance!$I:$I,"&lt;=20"))</f>
        <v/>
      </c>
      <c r="O304" s="6" t="str">
        <f>IF(A304="","",COUNTIFS(RacePerformance!$F:$F,A304,RacePerformance!$I:$I,1))</f>
        <v/>
      </c>
      <c r="P304" s="6" t="str">
        <f>IF(A304="","",COUNTIFS(RacePerformance!$F:$F,A304,RacePerformance!$J:$J,"&lt;=3"))</f>
        <v/>
      </c>
    </row>
    <row r="305" spans="1:16" ht="14.2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6" t="str">
        <f>IF(A305="","",COUNTIF(RacePerformance!$F:$F,A305))</f>
        <v/>
      </c>
      <c r="K305" s="6" t="str">
        <f>IF(A305="","",IFERROR(AVERAGEIF(RacePerformance!$F:$F,A305,RacePerformance!$I:$I),""))</f>
        <v/>
      </c>
      <c r="L305" s="6" t="str">
        <f>IF(A305="","",IFERROR(AVERAGEIF(RacePerformance!$F:$F,A305,RacePerformance!$J:$J),""))</f>
        <v/>
      </c>
      <c r="M305" s="6" t="str">
        <f>IF(A305="","",IFERROR(AVERAGEIF(RacePerformance!$F:$F,A305,RacePerformance!$K:$K),""))</f>
        <v/>
      </c>
      <c r="N305" s="6" t="str">
        <f>IF(A305="","",COUNTIFS(RacePerformance!$F:$F,A305,RacePerformance!$I:$I,"&lt;=20"))</f>
        <v/>
      </c>
      <c r="O305" s="6" t="str">
        <f>IF(A305="","",COUNTIFS(RacePerformance!$F:$F,A305,RacePerformance!$I:$I,1))</f>
        <v/>
      </c>
      <c r="P305" s="6" t="str">
        <f>IF(A305="","",COUNTIFS(RacePerformance!$F:$F,A305,RacePerformance!$J:$J,"&lt;=3"))</f>
        <v/>
      </c>
    </row>
    <row r="306" spans="1:16" ht="14.2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6" t="str">
        <f>IF(A306="","",COUNTIF(RacePerformance!$F:$F,A306))</f>
        <v/>
      </c>
      <c r="K306" s="6" t="str">
        <f>IF(A306="","",IFERROR(AVERAGEIF(RacePerformance!$F:$F,A306,RacePerformance!$I:$I),""))</f>
        <v/>
      </c>
      <c r="L306" s="6" t="str">
        <f>IF(A306="","",IFERROR(AVERAGEIF(RacePerformance!$F:$F,A306,RacePerformance!$J:$J),""))</f>
        <v/>
      </c>
      <c r="M306" s="6" t="str">
        <f>IF(A306="","",IFERROR(AVERAGEIF(RacePerformance!$F:$F,A306,RacePerformance!$K:$K),""))</f>
        <v/>
      </c>
      <c r="N306" s="6" t="str">
        <f>IF(A306="","",COUNTIFS(RacePerformance!$F:$F,A306,RacePerformance!$I:$I,"&lt;=20"))</f>
        <v/>
      </c>
      <c r="O306" s="6" t="str">
        <f>IF(A306="","",COUNTIFS(RacePerformance!$F:$F,A306,RacePerformance!$I:$I,1))</f>
        <v/>
      </c>
      <c r="P306" s="6" t="str">
        <f>IF(A306="","",COUNTIFS(RacePerformance!$F:$F,A306,RacePerformance!$J:$J,"&lt;=3"))</f>
        <v/>
      </c>
    </row>
    <row r="307" spans="1:16" ht="14.2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6" t="str">
        <f>IF(A307="","",COUNTIF(RacePerformance!$F:$F,A307))</f>
        <v/>
      </c>
      <c r="K307" s="6" t="str">
        <f>IF(A307="","",IFERROR(AVERAGEIF(RacePerformance!$F:$F,A307,RacePerformance!$I:$I),""))</f>
        <v/>
      </c>
      <c r="L307" s="6" t="str">
        <f>IF(A307="","",IFERROR(AVERAGEIF(RacePerformance!$F:$F,A307,RacePerformance!$J:$J),""))</f>
        <v/>
      </c>
      <c r="M307" s="6" t="str">
        <f>IF(A307="","",IFERROR(AVERAGEIF(RacePerformance!$F:$F,A307,RacePerformance!$K:$K),""))</f>
        <v/>
      </c>
      <c r="N307" s="6" t="str">
        <f>IF(A307="","",COUNTIFS(RacePerformance!$F:$F,A307,RacePerformance!$I:$I,"&lt;=20"))</f>
        <v/>
      </c>
      <c r="O307" s="6" t="str">
        <f>IF(A307="","",COUNTIFS(RacePerformance!$F:$F,A307,RacePerformance!$I:$I,1))</f>
        <v/>
      </c>
      <c r="P307" s="6" t="str">
        <f>IF(A307="","",COUNTIFS(RacePerformance!$F:$F,A307,RacePerformance!$J:$J,"&lt;=3"))</f>
        <v/>
      </c>
    </row>
    <row r="308" spans="1:16" ht="14.2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6" t="str">
        <f>IF(A308="","",COUNTIF(RacePerformance!$F:$F,A308))</f>
        <v/>
      </c>
      <c r="K308" s="6" t="str">
        <f>IF(A308="","",IFERROR(AVERAGEIF(RacePerformance!$F:$F,A308,RacePerformance!$I:$I),""))</f>
        <v/>
      </c>
      <c r="L308" s="6" t="str">
        <f>IF(A308="","",IFERROR(AVERAGEIF(RacePerformance!$F:$F,A308,RacePerformance!$J:$J),""))</f>
        <v/>
      </c>
      <c r="M308" s="6" t="str">
        <f>IF(A308="","",IFERROR(AVERAGEIF(RacePerformance!$F:$F,A308,RacePerformance!$K:$K),""))</f>
        <v/>
      </c>
      <c r="N308" s="6" t="str">
        <f>IF(A308="","",COUNTIFS(RacePerformance!$F:$F,A308,RacePerformance!$I:$I,"&lt;=20"))</f>
        <v/>
      </c>
      <c r="O308" s="6" t="str">
        <f>IF(A308="","",COUNTIFS(RacePerformance!$F:$F,A308,RacePerformance!$I:$I,1))</f>
        <v/>
      </c>
      <c r="P308" s="6" t="str">
        <f>IF(A308="","",COUNTIFS(RacePerformance!$F:$F,A308,RacePerformance!$J:$J,"&lt;=3"))</f>
        <v/>
      </c>
    </row>
    <row r="309" spans="1:16" ht="14.2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6" t="str">
        <f>IF(A309="","",COUNTIF(RacePerformance!$F:$F,A309))</f>
        <v/>
      </c>
      <c r="K309" s="6" t="str">
        <f>IF(A309="","",IFERROR(AVERAGEIF(RacePerformance!$F:$F,A309,RacePerformance!$I:$I),""))</f>
        <v/>
      </c>
      <c r="L309" s="6" t="str">
        <f>IF(A309="","",IFERROR(AVERAGEIF(RacePerformance!$F:$F,A309,RacePerformance!$J:$J),""))</f>
        <v/>
      </c>
      <c r="M309" s="6" t="str">
        <f>IF(A309="","",IFERROR(AVERAGEIF(RacePerformance!$F:$F,A309,RacePerformance!$K:$K),""))</f>
        <v/>
      </c>
      <c r="N309" s="6" t="str">
        <f>IF(A309="","",COUNTIFS(RacePerformance!$F:$F,A309,RacePerformance!$I:$I,"&lt;=20"))</f>
        <v/>
      </c>
      <c r="O309" s="6" t="str">
        <f>IF(A309="","",COUNTIFS(RacePerformance!$F:$F,A309,RacePerformance!$I:$I,1))</f>
        <v/>
      </c>
      <c r="P309" s="6" t="str">
        <f>IF(A309="","",COUNTIFS(RacePerformance!$F:$F,A309,RacePerformance!$J:$J,"&lt;=3"))</f>
        <v/>
      </c>
    </row>
    <row r="310" spans="1:16" ht="14.2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6" t="str">
        <f>IF(A310="","",COUNTIF(RacePerformance!$F:$F,A310))</f>
        <v/>
      </c>
      <c r="K310" s="6" t="str">
        <f>IF(A310="","",IFERROR(AVERAGEIF(RacePerformance!$F:$F,A310,RacePerformance!$I:$I),""))</f>
        <v/>
      </c>
      <c r="L310" s="6" t="str">
        <f>IF(A310="","",IFERROR(AVERAGEIF(RacePerformance!$F:$F,A310,RacePerformance!$J:$J),""))</f>
        <v/>
      </c>
      <c r="M310" s="6" t="str">
        <f>IF(A310="","",IFERROR(AVERAGEIF(RacePerformance!$F:$F,A310,RacePerformance!$K:$K),""))</f>
        <v/>
      </c>
      <c r="N310" s="6" t="str">
        <f>IF(A310="","",COUNTIFS(RacePerformance!$F:$F,A310,RacePerformance!$I:$I,"&lt;=20"))</f>
        <v/>
      </c>
      <c r="O310" s="6" t="str">
        <f>IF(A310="","",COUNTIFS(RacePerformance!$F:$F,A310,RacePerformance!$I:$I,1))</f>
        <v/>
      </c>
      <c r="P310" s="6" t="str">
        <f>IF(A310="","",COUNTIFS(RacePerformance!$F:$F,A310,RacePerformance!$J:$J,"&lt;=3"))</f>
        <v/>
      </c>
    </row>
    <row r="311" spans="1:16" ht="14.2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6" t="str">
        <f>IF(A311="","",COUNTIF(RacePerformance!$F:$F,A311))</f>
        <v/>
      </c>
      <c r="K311" s="6" t="str">
        <f>IF(A311="","",IFERROR(AVERAGEIF(RacePerformance!$F:$F,A311,RacePerformance!$I:$I),""))</f>
        <v/>
      </c>
      <c r="L311" s="6" t="str">
        <f>IF(A311="","",IFERROR(AVERAGEIF(RacePerformance!$F:$F,A311,RacePerformance!$J:$J),""))</f>
        <v/>
      </c>
      <c r="M311" s="6" t="str">
        <f>IF(A311="","",IFERROR(AVERAGEIF(RacePerformance!$F:$F,A311,RacePerformance!$K:$K),""))</f>
        <v/>
      </c>
      <c r="N311" s="6" t="str">
        <f>IF(A311="","",COUNTIFS(RacePerformance!$F:$F,A311,RacePerformance!$I:$I,"&lt;=20"))</f>
        <v/>
      </c>
      <c r="O311" s="6" t="str">
        <f>IF(A311="","",COUNTIFS(RacePerformance!$F:$F,A311,RacePerformance!$I:$I,1))</f>
        <v/>
      </c>
      <c r="P311" s="6" t="str">
        <f>IF(A311="","",COUNTIFS(RacePerformance!$F:$F,A311,RacePerformance!$J:$J,"&lt;=3"))</f>
        <v/>
      </c>
    </row>
    <row r="312" spans="1:16" ht="14.2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6" t="str">
        <f>IF(A312="","",COUNTIF(RacePerformance!$F:$F,A312))</f>
        <v/>
      </c>
      <c r="K312" s="6" t="str">
        <f>IF(A312="","",IFERROR(AVERAGEIF(RacePerformance!$F:$F,A312,RacePerformance!$I:$I),""))</f>
        <v/>
      </c>
      <c r="L312" s="6" t="str">
        <f>IF(A312="","",IFERROR(AVERAGEIF(RacePerformance!$F:$F,A312,RacePerformance!$J:$J),""))</f>
        <v/>
      </c>
      <c r="M312" s="6" t="str">
        <f>IF(A312="","",IFERROR(AVERAGEIF(RacePerformance!$F:$F,A312,RacePerformance!$K:$K),""))</f>
        <v/>
      </c>
      <c r="N312" s="6" t="str">
        <f>IF(A312="","",COUNTIFS(RacePerformance!$F:$F,A312,RacePerformance!$I:$I,"&lt;=20"))</f>
        <v/>
      </c>
      <c r="O312" s="6" t="str">
        <f>IF(A312="","",COUNTIFS(RacePerformance!$F:$F,A312,RacePerformance!$I:$I,1))</f>
        <v/>
      </c>
      <c r="P312" s="6" t="str">
        <f>IF(A312="","",COUNTIFS(RacePerformance!$F:$F,A312,RacePerformance!$J:$J,"&lt;=3"))</f>
        <v/>
      </c>
    </row>
    <row r="313" spans="1:16" ht="14.2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6" t="str">
        <f>IF(A313="","",COUNTIF(RacePerformance!$F:$F,A313))</f>
        <v/>
      </c>
      <c r="K313" s="6" t="str">
        <f>IF(A313="","",IFERROR(AVERAGEIF(RacePerformance!$F:$F,A313,RacePerformance!$I:$I),""))</f>
        <v/>
      </c>
      <c r="L313" s="6" t="str">
        <f>IF(A313="","",IFERROR(AVERAGEIF(RacePerformance!$F:$F,A313,RacePerformance!$J:$J),""))</f>
        <v/>
      </c>
      <c r="M313" s="6" t="str">
        <f>IF(A313="","",IFERROR(AVERAGEIF(RacePerformance!$F:$F,A313,RacePerformance!$K:$K),""))</f>
        <v/>
      </c>
      <c r="N313" s="6" t="str">
        <f>IF(A313="","",COUNTIFS(RacePerformance!$F:$F,A313,RacePerformance!$I:$I,"&lt;=20"))</f>
        <v/>
      </c>
      <c r="O313" s="6" t="str">
        <f>IF(A313="","",COUNTIFS(RacePerformance!$F:$F,A313,RacePerformance!$I:$I,1))</f>
        <v/>
      </c>
      <c r="P313" s="6" t="str">
        <f>IF(A313="","",COUNTIFS(RacePerformance!$F:$F,A313,RacePerformance!$J:$J,"&lt;=3"))</f>
        <v/>
      </c>
    </row>
    <row r="314" spans="1:16" ht="14.2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6" t="str">
        <f>IF(A314="","",COUNTIF(RacePerformance!$F:$F,A314))</f>
        <v/>
      </c>
      <c r="K314" s="6" t="str">
        <f>IF(A314="","",IFERROR(AVERAGEIF(RacePerformance!$F:$F,A314,RacePerformance!$I:$I),""))</f>
        <v/>
      </c>
      <c r="L314" s="6" t="str">
        <f>IF(A314="","",IFERROR(AVERAGEIF(RacePerformance!$F:$F,A314,RacePerformance!$J:$J),""))</f>
        <v/>
      </c>
      <c r="M314" s="6" t="str">
        <f>IF(A314="","",IFERROR(AVERAGEIF(RacePerformance!$F:$F,A314,RacePerformance!$K:$K),""))</f>
        <v/>
      </c>
      <c r="N314" s="6" t="str">
        <f>IF(A314="","",COUNTIFS(RacePerformance!$F:$F,A314,RacePerformance!$I:$I,"&lt;=20"))</f>
        <v/>
      </c>
      <c r="O314" s="6" t="str">
        <f>IF(A314="","",COUNTIFS(RacePerformance!$F:$F,A314,RacePerformance!$I:$I,1))</f>
        <v/>
      </c>
      <c r="P314" s="6" t="str">
        <f>IF(A314="","",COUNTIFS(RacePerformance!$F:$F,A314,RacePerformance!$J:$J,"&lt;=3"))</f>
        <v/>
      </c>
    </row>
    <row r="315" spans="1:16" ht="14.2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6" t="str">
        <f>IF(A315="","",COUNTIF(RacePerformance!$F:$F,A315))</f>
        <v/>
      </c>
      <c r="K315" s="6" t="str">
        <f>IF(A315="","",IFERROR(AVERAGEIF(RacePerformance!$F:$F,A315,RacePerformance!$I:$I),""))</f>
        <v/>
      </c>
      <c r="L315" s="6" t="str">
        <f>IF(A315="","",IFERROR(AVERAGEIF(RacePerformance!$F:$F,A315,RacePerformance!$J:$J),""))</f>
        <v/>
      </c>
      <c r="M315" s="6" t="str">
        <f>IF(A315="","",IFERROR(AVERAGEIF(RacePerformance!$F:$F,A315,RacePerformance!$K:$K),""))</f>
        <v/>
      </c>
      <c r="N315" s="6" t="str">
        <f>IF(A315="","",COUNTIFS(RacePerformance!$F:$F,A315,RacePerformance!$I:$I,"&lt;=20"))</f>
        <v/>
      </c>
      <c r="O315" s="6" t="str">
        <f>IF(A315="","",COUNTIFS(RacePerformance!$F:$F,A315,RacePerformance!$I:$I,1))</f>
        <v/>
      </c>
      <c r="P315" s="6" t="str">
        <f>IF(A315="","",COUNTIFS(RacePerformance!$F:$F,A315,RacePerformance!$J:$J,"&lt;=3"))</f>
        <v/>
      </c>
    </row>
    <row r="316" spans="1:16" ht="14.2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6" t="str">
        <f>IF(A316="","",COUNTIF(RacePerformance!$F:$F,A316))</f>
        <v/>
      </c>
      <c r="K316" s="6" t="str">
        <f>IF(A316="","",IFERROR(AVERAGEIF(RacePerformance!$F:$F,A316,RacePerformance!$I:$I),""))</f>
        <v/>
      </c>
      <c r="L316" s="6" t="str">
        <f>IF(A316="","",IFERROR(AVERAGEIF(RacePerformance!$F:$F,A316,RacePerformance!$J:$J),""))</f>
        <v/>
      </c>
      <c r="M316" s="6" t="str">
        <f>IF(A316="","",IFERROR(AVERAGEIF(RacePerformance!$F:$F,A316,RacePerformance!$K:$K),""))</f>
        <v/>
      </c>
      <c r="N316" s="6" t="str">
        <f>IF(A316="","",COUNTIFS(RacePerformance!$F:$F,A316,RacePerformance!$I:$I,"&lt;=20"))</f>
        <v/>
      </c>
      <c r="O316" s="6" t="str">
        <f>IF(A316="","",COUNTIFS(RacePerformance!$F:$F,A316,RacePerformance!$I:$I,1))</f>
        <v/>
      </c>
      <c r="P316" s="6" t="str">
        <f>IF(A316="","",COUNTIFS(RacePerformance!$F:$F,A316,RacePerformance!$J:$J,"&lt;=3"))</f>
        <v/>
      </c>
    </row>
    <row r="317" spans="1:16" ht="14.2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6" t="str">
        <f>IF(A317="","",COUNTIF(RacePerformance!$F:$F,A317))</f>
        <v/>
      </c>
      <c r="K317" s="6" t="str">
        <f>IF(A317="","",IFERROR(AVERAGEIF(RacePerformance!$F:$F,A317,RacePerformance!$I:$I),""))</f>
        <v/>
      </c>
      <c r="L317" s="6" t="str">
        <f>IF(A317="","",IFERROR(AVERAGEIF(RacePerformance!$F:$F,A317,RacePerformance!$J:$J),""))</f>
        <v/>
      </c>
      <c r="M317" s="6" t="str">
        <f>IF(A317="","",IFERROR(AVERAGEIF(RacePerformance!$F:$F,A317,RacePerformance!$K:$K),""))</f>
        <v/>
      </c>
      <c r="N317" s="6" t="str">
        <f>IF(A317="","",COUNTIFS(RacePerformance!$F:$F,A317,RacePerformance!$I:$I,"&lt;=20"))</f>
        <v/>
      </c>
      <c r="O317" s="6" t="str">
        <f>IF(A317="","",COUNTIFS(RacePerformance!$F:$F,A317,RacePerformance!$I:$I,1))</f>
        <v/>
      </c>
      <c r="P317" s="6" t="str">
        <f>IF(A317="","",COUNTIFS(RacePerformance!$F:$F,A317,RacePerformance!$J:$J,"&lt;=3"))</f>
        <v/>
      </c>
    </row>
    <row r="318" spans="1:16" ht="14.2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6" t="str">
        <f>IF(A318="","",COUNTIF(RacePerformance!$F:$F,A318))</f>
        <v/>
      </c>
      <c r="K318" s="6" t="str">
        <f>IF(A318="","",IFERROR(AVERAGEIF(RacePerformance!$F:$F,A318,RacePerformance!$I:$I),""))</f>
        <v/>
      </c>
      <c r="L318" s="6" t="str">
        <f>IF(A318="","",IFERROR(AVERAGEIF(RacePerformance!$F:$F,A318,RacePerformance!$J:$J),""))</f>
        <v/>
      </c>
      <c r="M318" s="6" t="str">
        <f>IF(A318="","",IFERROR(AVERAGEIF(RacePerformance!$F:$F,A318,RacePerformance!$K:$K),""))</f>
        <v/>
      </c>
      <c r="N318" s="6" t="str">
        <f>IF(A318="","",COUNTIFS(RacePerformance!$F:$F,A318,RacePerformance!$I:$I,"&lt;=20"))</f>
        <v/>
      </c>
      <c r="O318" s="6" t="str">
        <f>IF(A318="","",COUNTIFS(RacePerformance!$F:$F,A318,RacePerformance!$I:$I,1))</f>
        <v/>
      </c>
      <c r="P318" s="6" t="str">
        <f>IF(A318="","",COUNTIFS(RacePerformance!$F:$F,A318,RacePerformance!$J:$J,"&lt;=3"))</f>
        <v/>
      </c>
    </row>
    <row r="319" spans="1:16" ht="14.2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6" t="str">
        <f>IF(A319="","",COUNTIF(RacePerformance!$F:$F,A319))</f>
        <v/>
      </c>
      <c r="K319" s="6" t="str">
        <f>IF(A319="","",IFERROR(AVERAGEIF(RacePerformance!$F:$F,A319,RacePerformance!$I:$I),""))</f>
        <v/>
      </c>
      <c r="L319" s="6" t="str">
        <f>IF(A319="","",IFERROR(AVERAGEIF(RacePerformance!$F:$F,A319,RacePerformance!$J:$J),""))</f>
        <v/>
      </c>
      <c r="M319" s="6" t="str">
        <f>IF(A319="","",IFERROR(AVERAGEIF(RacePerformance!$F:$F,A319,RacePerformance!$K:$K),""))</f>
        <v/>
      </c>
      <c r="N319" s="6" t="str">
        <f>IF(A319="","",COUNTIFS(RacePerformance!$F:$F,A319,RacePerformance!$I:$I,"&lt;=20"))</f>
        <v/>
      </c>
      <c r="O319" s="6" t="str">
        <f>IF(A319="","",COUNTIFS(RacePerformance!$F:$F,A319,RacePerformance!$I:$I,1))</f>
        <v/>
      </c>
      <c r="P319" s="6" t="str">
        <f>IF(A319="","",COUNTIFS(RacePerformance!$F:$F,A319,RacePerformance!$J:$J,"&lt;=3"))</f>
        <v/>
      </c>
    </row>
    <row r="320" spans="1:16" ht="14.2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6" t="str">
        <f>IF(A320="","",COUNTIF(RacePerformance!$F:$F,A320))</f>
        <v/>
      </c>
      <c r="K320" s="6" t="str">
        <f>IF(A320="","",IFERROR(AVERAGEIF(RacePerformance!$F:$F,A320,RacePerformance!$I:$I),""))</f>
        <v/>
      </c>
      <c r="L320" s="6" t="str">
        <f>IF(A320="","",IFERROR(AVERAGEIF(RacePerformance!$F:$F,A320,RacePerformance!$J:$J),""))</f>
        <v/>
      </c>
      <c r="M320" s="6" t="str">
        <f>IF(A320="","",IFERROR(AVERAGEIF(RacePerformance!$F:$F,A320,RacePerformance!$K:$K),""))</f>
        <v/>
      </c>
      <c r="N320" s="6" t="str">
        <f>IF(A320="","",COUNTIFS(RacePerformance!$F:$F,A320,RacePerformance!$I:$I,"&lt;=20"))</f>
        <v/>
      </c>
      <c r="O320" s="6" t="str">
        <f>IF(A320="","",COUNTIFS(RacePerformance!$F:$F,A320,RacePerformance!$I:$I,1))</f>
        <v/>
      </c>
      <c r="P320" s="6" t="str">
        <f>IF(A320="","",COUNTIFS(RacePerformance!$F:$F,A320,RacePerformance!$J:$J,"&lt;=3"))</f>
        <v/>
      </c>
    </row>
    <row r="321" spans="1:16" ht="14.2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6" t="str">
        <f>IF(A321="","",COUNTIF(RacePerformance!$F:$F,A321))</f>
        <v/>
      </c>
      <c r="K321" s="6" t="str">
        <f>IF(A321="","",IFERROR(AVERAGEIF(RacePerformance!$F:$F,A321,RacePerformance!$I:$I),""))</f>
        <v/>
      </c>
      <c r="L321" s="6" t="str">
        <f>IF(A321="","",IFERROR(AVERAGEIF(RacePerformance!$F:$F,A321,RacePerformance!$J:$J),""))</f>
        <v/>
      </c>
      <c r="M321" s="6" t="str">
        <f>IF(A321="","",IFERROR(AVERAGEIF(RacePerformance!$F:$F,A321,RacePerformance!$K:$K),""))</f>
        <v/>
      </c>
      <c r="N321" s="6" t="str">
        <f>IF(A321="","",COUNTIFS(RacePerformance!$F:$F,A321,RacePerformance!$I:$I,"&lt;=20"))</f>
        <v/>
      </c>
      <c r="O321" s="6" t="str">
        <f>IF(A321="","",COUNTIFS(RacePerformance!$F:$F,A321,RacePerformance!$I:$I,1))</f>
        <v/>
      </c>
      <c r="P321" s="6" t="str">
        <f>IF(A321="","",COUNTIFS(RacePerformance!$F:$F,A321,RacePerformance!$J:$J,"&lt;=3"))</f>
        <v/>
      </c>
    </row>
    <row r="322" spans="1:16" ht="14.2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6" t="str">
        <f>IF(A322="","",COUNTIF(RacePerformance!$F:$F,A322))</f>
        <v/>
      </c>
      <c r="K322" s="6" t="str">
        <f>IF(A322="","",IFERROR(AVERAGEIF(RacePerformance!$F:$F,A322,RacePerformance!$I:$I),""))</f>
        <v/>
      </c>
      <c r="L322" s="6" t="str">
        <f>IF(A322="","",IFERROR(AVERAGEIF(RacePerformance!$F:$F,A322,RacePerformance!$J:$J),""))</f>
        <v/>
      </c>
      <c r="M322" s="6" t="str">
        <f>IF(A322="","",IFERROR(AVERAGEIF(RacePerformance!$F:$F,A322,RacePerformance!$K:$K),""))</f>
        <v/>
      </c>
      <c r="N322" s="6" t="str">
        <f>IF(A322="","",COUNTIFS(RacePerformance!$F:$F,A322,RacePerformance!$I:$I,"&lt;=20"))</f>
        <v/>
      </c>
      <c r="O322" s="6" t="str">
        <f>IF(A322="","",COUNTIFS(RacePerformance!$F:$F,A322,RacePerformance!$I:$I,1))</f>
        <v/>
      </c>
      <c r="P322" s="6" t="str">
        <f>IF(A322="","",COUNTIFS(RacePerformance!$F:$F,A322,RacePerformance!$J:$J,"&lt;=3"))</f>
        <v/>
      </c>
    </row>
    <row r="323" spans="1:16" ht="14.2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6" t="str">
        <f>IF(A323="","",COUNTIF(RacePerformance!$F:$F,A323))</f>
        <v/>
      </c>
      <c r="K323" s="6" t="str">
        <f>IF(A323="","",IFERROR(AVERAGEIF(RacePerformance!$F:$F,A323,RacePerformance!$I:$I),""))</f>
        <v/>
      </c>
      <c r="L323" s="6" t="str">
        <f>IF(A323="","",IFERROR(AVERAGEIF(RacePerformance!$F:$F,A323,RacePerformance!$J:$J),""))</f>
        <v/>
      </c>
      <c r="M323" s="6" t="str">
        <f>IF(A323="","",IFERROR(AVERAGEIF(RacePerformance!$F:$F,A323,RacePerformance!$K:$K),""))</f>
        <v/>
      </c>
      <c r="N323" s="6" t="str">
        <f>IF(A323="","",COUNTIFS(RacePerformance!$F:$F,A323,RacePerformance!$I:$I,"&lt;=20"))</f>
        <v/>
      </c>
      <c r="O323" s="6" t="str">
        <f>IF(A323="","",COUNTIFS(RacePerformance!$F:$F,A323,RacePerformance!$I:$I,1))</f>
        <v/>
      </c>
      <c r="P323" s="6" t="str">
        <f>IF(A323="","",COUNTIFS(RacePerformance!$F:$F,A323,RacePerformance!$J:$J,"&lt;=3"))</f>
        <v/>
      </c>
    </row>
    <row r="324" spans="1:16" ht="14.2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6" t="str">
        <f>IF(A324="","",COUNTIF(RacePerformance!$F:$F,A324))</f>
        <v/>
      </c>
      <c r="K324" s="6" t="str">
        <f>IF(A324="","",IFERROR(AVERAGEIF(RacePerformance!$F:$F,A324,RacePerformance!$I:$I),""))</f>
        <v/>
      </c>
      <c r="L324" s="6" t="str">
        <f>IF(A324="","",IFERROR(AVERAGEIF(RacePerformance!$F:$F,A324,RacePerformance!$J:$J),""))</f>
        <v/>
      </c>
      <c r="M324" s="6" t="str">
        <f>IF(A324="","",IFERROR(AVERAGEIF(RacePerformance!$F:$F,A324,RacePerformance!$K:$K),""))</f>
        <v/>
      </c>
      <c r="N324" s="6" t="str">
        <f>IF(A324="","",COUNTIFS(RacePerformance!$F:$F,A324,RacePerformance!$I:$I,"&lt;=20"))</f>
        <v/>
      </c>
      <c r="O324" s="6" t="str">
        <f>IF(A324="","",COUNTIFS(RacePerformance!$F:$F,A324,RacePerformance!$I:$I,1))</f>
        <v/>
      </c>
      <c r="P324" s="6" t="str">
        <f>IF(A324="","",COUNTIFS(RacePerformance!$F:$F,A324,RacePerformance!$J:$J,"&lt;=3"))</f>
        <v/>
      </c>
    </row>
    <row r="325" spans="1:16" ht="14.2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6" t="str">
        <f>IF(A325="","",COUNTIF(RacePerformance!$F:$F,A325))</f>
        <v/>
      </c>
      <c r="K325" s="6" t="str">
        <f>IF(A325="","",IFERROR(AVERAGEIF(RacePerformance!$F:$F,A325,RacePerformance!$I:$I),""))</f>
        <v/>
      </c>
      <c r="L325" s="6" t="str">
        <f>IF(A325="","",IFERROR(AVERAGEIF(RacePerformance!$F:$F,A325,RacePerformance!$J:$J),""))</f>
        <v/>
      </c>
      <c r="M325" s="6" t="str">
        <f>IF(A325="","",IFERROR(AVERAGEIF(RacePerformance!$F:$F,A325,RacePerformance!$K:$K),""))</f>
        <v/>
      </c>
      <c r="N325" s="6" t="str">
        <f>IF(A325="","",COUNTIFS(RacePerformance!$F:$F,A325,RacePerformance!$I:$I,"&lt;=20"))</f>
        <v/>
      </c>
      <c r="O325" s="6" t="str">
        <f>IF(A325="","",COUNTIFS(RacePerformance!$F:$F,A325,RacePerformance!$I:$I,1))</f>
        <v/>
      </c>
      <c r="P325" s="6" t="str">
        <f>IF(A325="","",COUNTIFS(RacePerformance!$F:$F,A325,RacePerformance!$J:$J,"&lt;=3"))</f>
        <v/>
      </c>
    </row>
    <row r="326" spans="1:16" ht="14.2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6" t="str">
        <f>IF(A326="","",COUNTIF(RacePerformance!$F:$F,A326))</f>
        <v/>
      </c>
      <c r="K326" s="6" t="str">
        <f>IF(A326="","",IFERROR(AVERAGEIF(RacePerformance!$F:$F,A326,RacePerformance!$I:$I),""))</f>
        <v/>
      </c>
      <c r="L326" s="6" t="str">
        <f>IF(A326="","",IFERROR(AVERAGEIF(RacePerformance!$F:$F,A326,RacePerformance!$J:$J),""))</f>
        <v/>
      </c>
      <c r="M326" s="6" t="str">
        <f>IF(A326="","",IFERROR(AVERAGEIF(RacePerformance!$F:$F,A326,RacePerformance!$K:$K),""))</f>
        <v/>
      </c>
      <c r="N326" s="6" t="str">
        <f>IF(A326="","",COUNTIFS(RacePerformance!$F:$F,A326,RacePerformance!$I:$I,"&lt;=20"))</f>
        <v/>
      </c>
      <c r="O326" s="6" t="str">
        <f>IF(A326="","",COUNTIFS(RacePerformance!$F:$F,A326,RacePerformance!$I:$I,1))</f>
        <v/>
      </c>
      <c r="P326" s="6" t="str">
        <f>IF(A326="","",COUNTIFS(RacePerformance!$F:$F,A326,RacePerformance!$J:$J,"&lt;=3"))</f>
        <v/>
      </c>
    </row>
    <row r="327" spans="1:16" ht="14.2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6" t="str">
        <f>IF(A327="","",COUNTIF(RacePerformance!$F:$F,A327))</f>
        <v/>
      </c>
      <c r="K327" s="6" t="str">
        <f>IF(A327="","",IFERROR(AVERAGEIF(RacePerformance!$F:$F,A327,RacePerformance!$I:$I),""))</f>
        <v/>
      </c>
      <c r="L327" s="6" t="str">
        <f>IF(A327="","",IFERROR(AVERAGEIF(RacePerformance!$F:$F,A327,RacePerformance!$J:$J),""))</f>
        <v/>
      </c>
      <c r="M327" s="6" t="str">
        <f>IF(A327="","",IFERROR(AVERAGEIF(RacePerformance!$F:$F,A327,RacePerformance!$K:$K),""))</f>
        <v/>
      </c>
      <c r="N327" s="6" t="str">
        <f>IF(A327="","",COUNTIFS(RacePerformance!$F:$F,A327,RacePerformance!$I:$I,"&lt;=20"))</f>
        <v/>
      </c>
      <c r="O327" s="6" t="str">
        <f>IF(A327="","",COUNTIFS(RacePerformance!$F:$F,A327,RacePerformance!$I:$I,1))</f>
        <v/>
      </c>
      <c r="P327" s="6" t="str">
        <f>IF(A327="","",COUNTIFS(RacePerformance!$F:$F,A327,RacePerformance!$J:$J,"&lt;=3"))</f>
        <v/>
      </c>
    </row>
    <row r="328" spans="1:16" ht="14.2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6" t="str">
        <f>IF(A328="","",COUNTIF(RacePerformance!$F:$F,A328))</f>
        <v/>
      </c>
      <c r="K328" s="6" t="str">
        <f>IF(A328="","",IFERROR(AVERAGEIF(RacePerformance!$F:$F,A328,RacePerformance!$I:$I),""))</f>
        <v/>
      </c>
      <c r="L328" s="6" t="str">
        <f>IF(A328="","",IFERROR(AVERAGEIF(RacePerformance!$F:$F,A328,RacePerformance!$J:$J),""))</f>
        <v/>
      </c>
      <c r="M328" s="6" t="str">
        <f>IF(A328="","",IFERROR(AVERAGEIF(RacePerformance!$F:$F,A328,RacePerformance!$K:$K),""))</f>
        <v/>
      </c>
      <c r="N328" s="6" t="str">
        <f>IF(A328="","",COUNTIFS(RacePerformance!$F:$F,A328,RacePerformance!$I:$I,"&lt;=20"))</f>
        <v/>
      </c>
      <c r="O328" s="6" t="str">
        <f>IF(A328="","",COUNTIFS(RacePerformance!$F:$F,A328,RacePerformance!$I:$I,1))</f>
        <v/>
      </c>
      <c r="P328" s="6" t="str">
        <f>IF(A328="","",COUNTIFS(RacePerformance!$F:$F,A328,RacePerformance!$J:$J,"&lt;=3"))</f>
        <v/>
      </c>
    </row>
    <row r="329" spans="1:16" ht="14.2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6" t="str">
        <f>IF(A329="","",COUNTIF(RacePerformance!$F:$F,A329))</f>
        <v/>
      </c>
      <c r="K329" s="6" t="str">
        <f>IF(A329="","",IFERROR(AVERAGEIF(RacePerformance!$F:$F,A329,RacePerformance!$I:$I),""))</f>
        <v/>
      </c>
      <c r="L329" s="6" t="str">
        <f>IF(A329="","",IFERROR(AVERAGEIF(RacePerformance!$F:$F,A329,RacePerformance!$J:$J),""))</f>
        <v/>
      </c>
      <c r="M329" s="6" t="str">
        <f>IF(A329="","",IFERROR(AVERAGEIF(RacePerformance!$F:$F,A329,RacePerformance!$K:$K),""))</f>
        <v/>
      </c>
      <c r="N329" s="6" t="str">
        <f>IF(A329="","",COUNTIFS(RacePerformance!$F:$F,A329,RacePerformance!$I:$I,"&lt;=20"))</f>
        <v/>
      </c>
      <c r="O329" s="6" t="str">
        <f>IF(A329="","",COUNTIFS(RacePerformance!$F:$F,A329,RacePerformance!$I:$I,1))</f>
        <v/>
      </c>
      <c r="P329" s="6" t="str">
        <f>IF(A329="","",COUNTIFS(RacePerformance!$F:$F,A329,RacePerformance!$J:$J,"&lt;=3"))</f>
        <v/>
      </c>
    </row>
    <row r="330" spans="1:16" ht="14.2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6" t="str">
        <f>IF(A330="","",COUNTIF(RacePerformance!$F:$F,A330))</f>
        <v/>
      </c>
      <c r="K330" s="6" t="str">
        <f>IF(A330="","",IFERROR(AVERAGEIF(RacePerformance!$F:$F,A330,RacePerformance!$I:$I),""))</f>
        <v/>
      </c>
      <c r="L330" s="6" t="str">
        <f>IF(A330="","",IFERROR(AVERAGEIF(RacePerformance!$F:$F,A330,RacePerformance!$J:$J),""))</f>
        <v/>
      </c>
      <c r="M330" s="6" t="str">
        <f>IF(A330="","",IFERROR(AVERAGEIF(RacePerformance!$F:$F,A330,RacePerformance!$K:$K),""))</f>
        <v/>
      </c>
      <c r="N330" s="6" t="str">
        <f>IF(A330="","",COUNTIFS(RacePerformance!$F:$F,A330,RacePerformance!$I:$I,"&lt;=20"))</f>
        <v/>
      </c>
      <c r="O330" s="6" t="str">
        <f>IF(A330="","",COUNTIFS(RacePerformance!$F:$F,A330,RacePerformance!$I:$I,1))</f>
        <v/>
      </c>
      <c r="P330" s="6" t="str">
        <f>IF(A330="","",COUNTIFS(RacePerformance!$F:$F,A330,RacePerformance!$J:$J,"&lt;=3"))</f>
        <v/>
      </c>
    </row>
    <row r="331" spans="1:16" ht="14.2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6" t="str">
        <f>IF(A331="","",COUNTIF(RacePerformance!$F:$F,A331))</f>
        <v/>
      </c>
      <c r="K331" s="6" t="str">
        <f>IF(A331="","",IFERROR(AVERAGEIF(RacePerformance!$F:$F,A331,RacePerformance!$I:$I),""))</f>
        <v/>
      </c>
      <c r="L331" s="6" t="str">
        <f>IF(A331="","",IFERROR(AVERAGEIF(RacePerformance!$F:$F,A331,RacePerformance!$J:$J),""))</f>
        <v/>
      </c>
      <c r="M331" s="6" t="str">
        <f>IF(A331="","",IFERROR(AVERAGEIF(RacePerformance!$F:$F,A331,RacePerformance!$K:$K),""))</f>
        <v/>
      </c>
      <c r="N331" s="6" t="str">
        <f>IF(A331="","",COUNTIFS(RacePerformance!$F:$F,A331,RacePerformance!$I:$I,"&lt;=20"))</f>
        <v/>
      </c>
      <c r="O331" s="6" t="str">
        <f>IF(A331="","",COUNTIFS(RacePerformance!$F:$F,A331,RacePerformance!$I:$I,1))</f>
        <v/>
      </c>
      <c r="P331" s="6" t="str">
        <f>IF(A331="","",COUNTIFS(RacePerformance!$F:$F,A331,RacePerformance!$J:$J,"&lt;=3"))</f>
        <v/>
      </c>
    </row>
    <row r="332" spans="1:16" ht="14.2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6" t="str">
        <f>IF(A332="","",COUNTIF(RacePerformance!$F:$F,A332))</f>
        <v/>
      </c>
      <c r="K332" s="6" t="str">
        <f>IF(A332="","",IFERROR(AVERAGEIF(RacePerformance!$F:$F,A332,RacePerformance!$I:$I),""))</f>
        <v/>
      </c>
      <c r="L332" s="6" t="str">
        <f>IF(A332="","",IFERROR(AVERAGEIF(RacePerformance!$F:$F,A332,RacePerformance!$J:$J),""))</f>
        <v/>
      </c>
      <c r="M332" s="6" t="str">
        <f>IF(A332="","",IFERROR(AVERAGEIF(RacePerformance!$F:$F,A332,RacePerformance!$K:$K),""))</f>
        <v/>
      </c>
      <c r="N332" s="6" t="str">
        <f>IF(A332="","",COUNTIFS(RacePerformance!$F:$F,A332,RacePerformance!$I:$I,"&lt;=20"))</f>
        <v/>
      </c>
      <c r="O332" s="6" t="str">
        <f>IF(A332="","",COUNTIFS(RacePerformance!$F:$F,A332,RacePerformance!$I:$I,1))</f>
        <v/>
      </c>
      <c r="P332" s="6" t="str">
        <f>IF(A332="","",COUNTIFS(RacePerformance!$F:$F,A332,RacePerformance!$J:$J,"&lt;=3"))</f>
        <v/>
      </c>
    </row>
    <row r="333" spans="1:16" ht="14.2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6" t="str">
        <f>IF(A333="","",COUNTIF(RacePerformance!$F:$F,A333))</f>
        <v/>
      </c>
      <c r="K333" s="6" t="str">
        <f>IF(A333="","",IFERROR(AVERAGEIF(RacePerformance!$F:$F,A333,RacePerformance!$I:$I),""))</f>
        <v/>
      </c>
      <c r="L333" s="6" t="str">
        <f>IF(A333="","",IFERROR(AVERAGEIF(RacePerformance!$F:$F,A333,RacePerformance!$J:$J),""))</f>
        <v/>
      </c>
      <c r="M333" s="6" t="str">
        <f>IF(A333="","",IFERROR(AVERAGEIF(RacePerformance!$F:$F,A333,RacePerformance!$K:$K),""))</f>
        <v/>
      </c>
      <c r="N333" s="6" t="str">
        <f>IF(A333="","",COUNTIFS(RacePerformance!$F:$F,A333,RacePerformance!$I:$I,"&lt;=20"))</f>
        <v/>
      </c>
      <c r="O333" s="6" t="str">
        <f>IF(A333="","",COUNTIFS(RacePerformance!$F:$F,A333,RacePerformance!$I:$I,1))</f>
        <v/>
      </c>
      <c r="P333" s="6" t="str">
        <f>IF(A333="","",COUNTIFS(RacePerformance!$F:$F,A333,RacePerformance!$J:$J,"&lt;=3"))</f>
        <v/>
      </c>
    </row>
    <row r="334" spans="1:16" ht="14.2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6" t="str">
        <f>IF(A334="","",COUNTIF(RacePerformance!$F:$F,A334))</f>
        <v/>
      </c>
      <c r="K334" s="6" t="str">
        <f>IF(A334="","",IFERROR(AVERAGEIF(RacePerformance!$F:$F,A334,RacePerformance!$I:$I),""))</f>
        <v/>
      </c>
      <c r="L334" s="6" t="str">
        <f>IF(A334="","",IFERROR(AVERAGEIF(RacePerformance!$F:$F,A334,RacePerformance!$J:$J),""))</f>
        <v/>
      </c>
      <c r="M334" s="6" t="str">
        <f>IF(A334="","",IFERROR(AVERAGEIF(RacePerformance!$F:$F,A334,RacePerformance!$K:$K),""))</f>
        <v/>
      </c>
      <c r="N334" s="6" t="str">
        <f>IF(A334="","",COUNTIFS(RacePerformance!$F:$F,A334,RacePerformance!$I:$I,"&lt;=20"))</f>
        <v/>
      </c>
      <c r="O334" s="6" t="str">
        <f>IF(A334="","",COUNTIFS(RacePerformance!$F:$F,A334,RacePerformance!$I:$I,1))</f>
        <v/>
      </c>
      <c r="P334" s="6" t="str">
        <f>IF(A334="","",COUNTIFS(RacePerformance!$F:$F,A334,RacePerformance!$J:$J,"&lt;=3"))</f>
        <v/>
      </c>
    </row>
    <row r="335" spans="1:16" ht="14.2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6" t="str">
        <f>IF(A335="","",COUNTIF(RacePerformance!$F:$F,A335))</f>
        <v/>
      </c>
      <c r="K335" s="6" t="str">
        <f>IF(A335="","",IFERROR(AVERAGEIF(RacePerformance!$F:$F,A335,RacePerformance!$I:$I),""))</f>
        <v/>
      </c>
      <c r="L335" s="6" t="str">
        <f>IF(A335="","",IFERROR(AVERAGEIF(RacePerformance!$F:$F,A335,RacePerformance!$J:$J),""))</f>
        <v/>
      </c>
      <c r="M335" s="6" t="str">
        <f>IF(A335="","",IFERROR(AVERAGEIF(RacePerformance!$F:$F,A335,RacePerformance!$K:$K),""))</f>
        <v/>
      </c>
      <c r="N335" s="6" t="str">
        <f>IF(A335="","",COUNTIFS(RacePerformance!$F:$F,A335,RacePerformance!$I:$I,"&lt;=20"))</f>
        <v/>
      </c>
      <c r="O335" s="6" t="str">
        <f>IF(A335="","",COUNTIFS(RacePerformance!$F:$F,A335,RacePerformance!$I:$I,1))</f>
        <v/>
      </c>
      <c r="P335" s="6" t="str">
        <f>IF(A335="","",COUNTIFS(RacePerformance!$F:$F,A335,RacePerformance!$J:$J,"&lt;=3"))</f>
        <v/>
      </c>
    </row>
    <row r="336" spans="1:16" ht="14.2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6" t="str">
        <f>IF(A336="","",COUNTIF(RacePerformance!$F:$F,A336))</f>
        <v/>
      </c>
      <c r="K336" s="6" t="str">
        <f>IF(A336="","",IFERROR(AVERAGEIF(RacePerformance!$F:$F,A336,RacePerformance!$I:$I),""))</f>
        <v/>
      </c>
      <c r="L336" s="6" t="str">
        <f>IF(A336="","",IFERROR(AVERAGEIF(RacePerformance!$F:$F,A336,RacePerformance!$J:$J),""))</f>
        <v/>
      </c>
      <c r="M336" s="6" t="str">
        <f>IF(A336="","",IFERROR(AVERAGEIF(RacePerformance!$F:$F,A336,RacePerformance!$K:$K),""))</f>
        <v/>
      </c>
      <c r="N336" s="6" t="str">
        <f>IF(A336="","",COUNTIFS(RacePerformance!$F:$F,A336,RacePerformance!$I:$I,"&lt;=20"))</f>
        <v/>
      </c>
      <c r="O336" s="6" t="str">
        <f>IF(A336="","",COUNTIFS(RacePerformance!$F:$F,A336,RacePerformance!$I:$I,1))</f>
        <v/>
      </c>
      <c r="P336" s="6" t="str">
        <f>IF(A336="","",COUNTIFS(RacePerformance!$F:$F,A336,RacePerformance!$J:$J,"&lt;=3"))</f>
        <v/>
      </c>
    </row>
    <row r="337" spans="1:16" ht="14.2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6" t="str">
        <f>IF(A337="","",COUNTIF(RacePerformance!$F:$F,A337))</f>
        <v/>
      </c>
      <c r="K337" s="6" t="str">
        <f>IF(A337="","",IFERROR(AVERAGEIF(RacePerformance!$F:$F,A337,RacePerformance!$I:$I),""))</f>
        <v/>
      </c>
      <c r="L337" s="6" t="str">
        <f>IF(A337="","",IFERROR(AVERAGEIF(RacePerformance!$F:$F,A337,RacePerformance!$J:$J),""))</f>
        <v/>
      </c>
      <c r="M337" s="6" t="str">
        <f>IF(A337="","",IFERROR(AVERAGEIF(RacePerformance!$F:$F,A337,RacePerformance!$K:$K),""))</f>
        <v/>
      </c>
      <c r="N337" s="6" t="str">
        <f>IF(A337="","",COUNTIFS(RacePerformance!$F:$F,A337,RacePerformance!$I:$I,"&lt;=20"))</f>
        <v/>
      </c>
      <c r="O337" s="6" t="str">
        <f>IF(A337="","",COUNTIFS(RacePerformance!$F:$F,A337,RacePerformance!$I:$I,1))</f>
        <v/>
      </c>
      <c r="P337" s="6" t="str">
        <f>IF(A337="","",COUNTIFS(RacePerformance!$F:$F,A337,RacePerformance!$J:$J,"&lt;=3"))</f>
        <v/>
      </c>
    </row>
    <row r="338" spans="1:16" ht="14.2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6" t="str">
        <f>IF(A338="","",COUNTIF(RacePerformance!$F:$F,A338))</f>
        <v/>
      </c>
      <c r="K338" s="6" t="str">
        <f>IF(A338="","",IFERROR(AVERAGEIF(RacePerformance!$F:$F,A338,RacePerformance!$I:$I),""))</f>
        <v/>
      </c>
      <c r="L338" s="6" t="str">
        <f>IF(A338="","",IFERROR(AVERAGEIF(RacePerformance!$F:$F,A338,RacePerformance!$J:$J),""))</f>
        <v/>
      </c>
      <c r="M338" s="6" t="str">
        <f>IF(A338="","",IFERROR(AVERAGEIF(RacePerformance!$F:$F,A338,RacePerformance!$K:$K),""))</f>
        <v/>
      </c>
      <c r="N338" s="6" t="str">
        <f>IF(A338="","",COUNTIFS(RacePerformance!$F:$F,A338,RacePerformance!$I:$I,"&lt;=20"))</f>
        <v/>
      </c>
      <c r="O338" s="6" t="str">
        <f>IF(A338="","",COUNTIFS(RacePerformance!$F:$F,A338,RacePerformance!$I:$I,1))</f>
        <v/>
      </c>
      <c r="P338" s="6" t="str">
        <f>IF(A338="","",COUNTIFS(RacePerformance!$F:$F,A338,RacePerformance!$J:$J,"&lt;=3"))</f>
        <v/>
      </c>
    </row>
    <row r="339" spans="1:16" ht="14.2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6" t="str">
        <f>IF(A339="","",COUNTIF(RacePerformance!$F:$F,A339))</f>
        <v/>
      </c>
      <c r="K339" s="6" t="str">
        <f>IF(A339="","",IFERROR(AVERAGEIF(RacePerformance!$F:$F,A339,RacePerformance!$I:$I),""))</f>
        <v/>
      </c>
      <c r="L339" s="6" t="str">
        <f>IF(A339="","",IFERROR(AVERAGEIF(RacePerformance!$F:$F,A339,RacePerformance!$J:$J),""))</f>
        <v/>
      </c>
      <c r="M339" s="6" t="str">
        <f>IF(A339="","",IFERROR(AVERAGEIF(RacePerformance!$F:$F,A339,RacePerformance!$K:$K),""))</f>
        <v/>
      </c>
      <c r="N339" s="6" t="str">
        <f>IF(A339="","",COUNTIFS(RacePerformance!$F:$F,A339,RacePerformance!$I:$I,"&lt;=20"))</f>
        <v/>
      </c>
      <c r="O339" s="6" t="str">
        <f>IF(A339="","",COUNTIFS(RacePerformance!$F:$F,A339,RacePerformance!$I:$I,1))</f>
        <v/>
      </c>
      <c r="P339" s="6" t="str">
        <f>IF(A339="","",COUNTIFS(RacePerformance!$F:$F,A339,RacePerformance!$J:$J,"&lt;=3"))</f>
        <v/>
      </c>
    </row>
    <row r="340" spans="1:16" ht="14.2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6" t="str">
        <f>IF(A340="","",COUNTIF(RacePerformance!$F:$F,A340))</f>
        <v/>
      </c>
      <c r="K340" s="6" t="str">
        <f>IF(A340="","",IFERROR(AVERAGEIF(RacePerformance!$F:$F,A340,RacePerformance!$I:$I),""))</f>
        <v/>
      </c>
      <c r="L340" s="6" t="str">
        <f>IF(A340="","",IFERROR(AVERAGEIF(RacePerformance!$F:$F,A340,RacePerformance!$J:$J),""))</f>
        <v/>
      </c>
      <c r="M340" s="6" t="str">
        <f>IF(A340="","",IFERROR(AVERAGEIF(RacePerformance!$F:$F,A340,RacePerformance!$K:$K),""))</f>
        <v/>
      </c>
      <c r="N340" s="6" t="str">
        <f>IF(A340="","",COUNTIFS(RacePerformance!$F:$F,A340,RacePerformance!$I:$I,"&lt;=20"))</f>
        <v/>
      </c>
      <c r="O340" s="6" t="str">
        <f>IF(A340="","",COUNTIFS(RacePerformance!$F:$F,A340,RacePerformance!$I:$I,1))</f>
        <v/>
      </c>
      <c r="P340" s="6" t="str">
        <f>IF(A340="","",COUNTIFS(RacePerformance!$F:$F,A340,RacePerformance!$J:$J,"&lt;=3"))</f>
        <v/>
      </c>
    </row>
    <row r="341" spans="1:16" ht="14.2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6" t="str">
        <f>IF(A341="","",COUNTIF(RacePerformance!$F:$F,A341))</f>
        <v/>
      </c>
      <c r="K341" s="6" t="str">
        <f>IF(A341="","",IFERROR(AVERAGEIF(RacePerformance!$F:$F,A341,RacePerformance!$I:$I),""))</f>
        <v/>
      </c>
      <c r="L341" s="6" t="str">
        <f>IF(A341="","",IFERROR(AVERAGEIF(RacePerformance!$F:$F,A341,RacePerformance!$J:$J),""))</f>
        <v/>
      </c>
      <c r="M341" s="6" t="str">
        <f>IF(A341="","",IFERROR(AVERAGEIF(RacePerformance!$F:$F,A341,RacePerformance!$K:$K),""))</f>
        <v/>
      </c>
      <c r="N341" s="6" t="str">
        <f>IF(A341="","",COUNTIFS(RacePerformance!$F:$F,A341,RacePerformance!$I:$I,"&lt;=20"))</f>
        <v/>
      </c>
      <c r="O341" s="6" t="str">
        <f>IF(A341="","",COUNTIFS(RacePerformance!$F:$F,A341,RacePerformance!$I:$I,1))</f>
        <v/>
      </c>
      <c r="P341" s="6" t="str">
        <f>IF(A341="","",COUNTIFS(RacePerformance!$F:$F,A341,RacePerformance!$J:$J,"&lt;=3"))</f>
        <v/>
      </c>
    </row>
    <row r="342" spans="1:16" ht="14.2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6" t="str">
        <f>IF(A342="","",COUNTIF(RacePerformance!$F:$F,A342))</f>
        <v/>
      </c>
      <c r="K342" s="6" t="str">
        <f>IF(A342="","",IFERROR(AVERAGEIF(RacePerformance!$F:$F,A342,RacePerformance!$I:$I),""))</f>
        <v/>
      </c>
      <c r="L342" s="6" t="str">
        <f>IF(A342="","",IFERROR(AVERAGEIF(RacePerformance!$F:$F,A342,RacePerformance!$J:$J),""))</f>
        <v/>
      </c>
      <c r="M342" s="6" t="str">
        <f>IF(A342="","",IFERROR(AVERAGEIF(RacePerformance!$F:$F,A342,RacePerformance!$K:$K),""))</f>
        <v/>
      </c>
      <c r="N342" s="6" t="str">
        <f>IF(A342="","",COUNTIFS(RacePerformance!$F:$F,A342,RacePerformance!$I:$I,"&lt;=20"))</f>
        <v/>
      </c>
      <c r="O342" s="6" t="str">
        <f>IF(A342="","",COUNTIFS(RacePerformance!$F:$F,A342,RacePerformance!$I:$I,1))</f>
        <v/>
      </c>
      <c r="P342" s="6" t="str">
        <f>IF(A342="","",COUNTIFS(RacePerformance!$F:$F,A342,RacePerformance!$J:$J,"&lt;=3"))</f>
        <v/>
      </c>
    </row>
    <row r="343" spans="1:16" ht="14.2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6" t="str">
        <f>IF(A343="","",COUNTIF(RacePerformance!$F:$F,A343))</f>
        <v/>
      </c>
      <c r="K343" s="6" t="str">
        <f>IF(A343="","",IFERROR(AVERAGEIF(RacePerformance!$F:$F,A343,RacePerformance!$I:$I),""))</f>
        <v/>
      </c>
      <c r="L343" s="6" t="str">
        <f>IF(A343="","",IFERROR(AVERAGEIF(RacePerformance!$F:$F,A343,RacePerformance!$J:$J),""))</f>
        <v/>
      </c>
      <c r="M343" s="6" t="str">
        <f>IF(A343="","",IFERROR(AVERAGEIF(RacePerformance!$F:$F,A343,RacePerformance!$K:$K),""))</f>
        <v/>
      </c>
      <c r="N343" s="6" t="str">
        <f>IF(A343="","",COUNTIFS(RacePerformance!$F:$F,A343,RacePerformance!$I:$I,"&lt;=20"))</f>
        <v/>
      </c>
      <c r="O343" s="6" t="str">
        <f>IF(A343="","",COUNTIFS(RacePerformance!$F:$F,A343,RacePerformance!$I:$I,1))</f>
        <v/>
      </c>
      <c r="P343" s="6" t="str">
        <f>IF(A343="","",COUNTIFS(RacePerformance!$F:$F,A343,RacePerformance!$J:$J,"&lt;=3"))</f>
        <v/>
      </c>
    </row>
    <row r="344" spans="1:16" ht="14.2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6" t="str">
        <f>IF(A344="","",COUNTIF(RacePerformance!$F:$F,A344))</f>
        <v/>
      </c>
      <c r="K344" s="6" t="str">
        <f>IF(A344="","",IFERROR(AVERAGEIF(RacePerformance!$F:$F,A344,RacePerformance!$I:$I),""))</f>
        <v/>
      </c>
      <c r="L344" s="6" t="str">
        <f>IF(A344="","",IFERROR(AVERAGEIF(RacePerformance!$F:$F,A344,RacePerformance!$J:$J),""))</f>
        <v/>
      </c>
      <c r="M344" s="6" t="str">
        <f>IF(A344="","",IFERROR(AVERAGEIF(RacePerformance!$F:$F,A344,RacePerformance!$K:$K),""))</f>
        <v/>
      </c>
      <c r="N344" s="6" t="str">
        <f>IF(A344="","",COUNTIFS(RacePerformance!$F:$F,A344,RacePerformance!$I:$I,"&lt;=20"))</f>
        <v/>
      </c>
      <c r="O344" s="6" t="str">
        <f>IF(A344="","",COUNTIFS(RacePerformance!$F:$F,A344,RacePerformance!$I:$I,1))</f>
        <v/>
      </c>
      <c r="P344" s="6" t="str">
        <f>IF(A344="","",COUNTIFS(RacePerformance!$F:$F,A344,RacePerformance!$J:$J,"&lt;=3"))</f>
        <v/>
      </c>
    </row>
    <row r="345" spans="1:16" ht="14.2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6" t="str">
        <f>IF(A345="","",COUNTIF(RacePerformance!$F:$F,A345))</f>
        <v/>
      </c>
      <c r="K345" s="6" t="str">
        <f>IF(A345="","",IFERROR(AVERAGEIF(RacePerformance!$F:$F,A345,RacePerformance!$I:$I),""))</f>
        <v/>
      </c>
      <c r="L345" s="6" t="str">
        <f>IF(A345="","",IFERROR(AVERAGEIF(RacePerformance!$F:$F,A345,RacePerformance!$J:$J),""))</f>
        <v/>
      </c>
      <c r="M345" s="6" t="str">
        <f>IF(A345="","",IFERROR(AVERAGEIF(RacePerformance!$F:$F,A345,RacePerformance!$K:$K),""))</f>
        <v/>
      </c>
      <c r="N345" s="6" t="str">
        <f>IF(A345="","",COUNTIFS(RacePerformance!$F:$F,A345,RacePerformance!$I:$I,"&lt;=20"))</f>
        <v/>
      </c>
      <c r="O345" s="6" t="str">
        <f>IF(A345="","",COUNTIFS(RacePerformance!$F:$F,A345,RacePerformance!$I:$I,1))</f>
        <v/>
      </c>
      <c r="P345" s="6" t="str">
        <f>IF(A345="","",COUNTIFS(RacePerformance!$F:$F,A345,RacePerformance!$J:$J,"&lt;=3"))</f>
        <v/>
      </c>
    </row>
    <row r="346" spans="1:16" ht="14.2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6" t="str">
        <f>IF(A346="","",COUNTIF(RacePerformance!$F:$F,A346))</f>
        <v/>
      </c>
      <c r="K346" s="6" t="str">
        <f>IF(A346="","",IFERROR(AVERAGEIF(RacePerformance!$F:$F,A346,RacePerformance!$I:$I),""))</f>
        <v/>
      </c>
      <c r="L346" s="6" t="str">
        <f>IF(A346="","",IFERROR(AVERAGEIF(RacePerformance!$F:$F,A346,RacePerformance!$J:$J),""))</f>
        <v/>
      </c>
      <c r="M346" s="6" t="str">
        <f>IF(A346="","",IFERROR(AVERAGEIF(RacePerformance!$F:$F,A346,RacePerformance!$K:$K),""))</f>
        <v/>
      </c>
      <c r="N346" s="6" t="str">
        <f>IF(A346="","",COUNTIFS(RacePerformance!$F:$F,A346,RacePerformance!$I:$I,"&lt;=20"))</f>
        <v/>
      </c>
      <c r="O346" s="6" t="str">
        <f>IF(A346="","",COUNTIFS(RacePerformance!$F:$F,A346,RacePerformance!$I:$I,1))</f>
        <v/>
      </c>
      <c r="P346" s="6" t="str">
        <f>IF(A346="","",COUNTIFS(RacePerformance!$F:$F,A346,RacePerformance!$J:$J,"&lt;=3"))</f>
        <v/>
      </c>
    </row>
    <row r="347" spans="1:16" ht="14.2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6" t="str">
        <f>IF(A347="","",COUNTIF(RacePerformance!$F:$F,A347))</f>
        <v/>
      </c>
      <c r="K347" s="6" t="str">
        <f>IF(A347="","",IFERROR(AVERAGEIF(RacePerformance!$F:$F,A347,RacePerformance!$I:$I),""))</f>
        <v/>
      </c>
      <c r="L347" s="6" t="str">
        <f>IF(A347="","",IFERROR(AVERAGEIF(RacePerformance!$F:$F,A347,RacePerformance!$J:$J),""))</f>
        <v/>
      </c>
      <c r="M347" s="6" t="str">
        <f>IF(A347="","",IFERROR(AVERAGEIF(RacePerformance!$F:$F,A347,RacePerformance!$K:$K),""))</f>
        <v/>
      </c>
      <c r="N347" s="6" t="str">
        <f>IF(A347="","",COUNTIFS(RacePerformance!$F:$F,A347,RacePerformance!$I:$I,"&lt;=20"))</f>
        <v/>
      </c>
      <c r="O347" s="6" t="str">
        <f>IF(A347="","",COUNTIFS(RacePerformance!$F:$F,A347,RacePerformance!$I:$I,1))</f>
        <v/>
      </c>
      <c r="P347" s="6" t="str">
        <f>IF(A347="","",COUNTIFS(RacePerformance!$F:$F,A347,RacePerformance!$J:$J,"&lt;=3"))</f>
        <v/>
      </c>
    </row>
    <row r="348" spans="1:16" ht="14.2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6" t="str">
        <f>IF(A348="","",COUNTIF(RacePerformance!$F:$F,A348))</f>
        <v/>
      </c>
      <c r="K348" s="6" t="str">
        <f>IF(A348="","",IFERROR(AVERAGEIF(RacePerformance!$F:$F,A348,RacePerformance!$I:$I),""))</f>
        <v/>
      </c>
      <c r="L348" s="6" t="str">
        <f>IF(A348="","",IFERROR(AVERAGEIF(RacePerformance!$F:$F,A348,RacePerformance!$J:$J),""))</f>
        <v/>
      </c>
      <c r="M348" s="6" t="str">
        <f>IF(A348="","",IFERROR(AVERAGEIF(RacePerformance!$F:$F,A348,RacePerformance!$K:$K),""))</f>
        <v/>
      </c>
      <c r="N348" s="6" t="str">
        <f>IF(A348="","",COUNTIFS(RacePerformance!$F:$F,A348,RacePerformance!$I:$I,"&lt;=20"))</f>
        <v/>
      </c>
      <c r="O348" s="6" t="str">
        <f>IF(A348="","",COUNTIFS(RacePerformance!$F:$F,A348,RacePerformance!$I:$I,1))</f>
        <v/>
      </c>
      <c r="P348" s="6" t="str">
        <f>IF(A348="","",COUNTIFS(RacePerformance!$F:$F,A348,RacePerformance!$J:$J,"&lt;=3"))</f>
        <v/>
      </c>
    </row>
    <row r="349" spans="1:16" ht="14.2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6" t="str">
        <f>IF(A349="","",COUNTIF(RacePerformance!$F:$F,A349))</f>
        <v/>
      </c>
      <c r="K349" s="6" t="str">
        <f>IF(A349="","",IFERROR(AVERAGEIF(RacePerformance!$F:$F,A349,RacePerformance!$I:$I),""))</f>
        <v/>
      </c>
      <c r="L349" s="6" t="str">
        <f>IF(A349="","",IFERROR(AVERAGEIF(RacePerformance!$F:$F,A349,RacePerformance!$J:$J),""))</f>
        <v/>
      </c>
      <c r="M349" s="6" t="str">
        <f>IF(A349="","",IFERROR(AVERAGEIF(RacePerformance!$F:$F,A349,RacePerformance!$K:$K),""))</f>
        <v/>
      </c>
      <c r="N349" s="6" t="str">
        <f>IF(A349="","",COUNTIFS(RacePerformance!$F:$F,A349,RacePerformance!$I:$I,"&lt;=20"))</f>
        <v/>
      </c>
      <c r="O349" s="6" t="str">
        <f>IF(A349="","",COUNTIFS(RacePerformance!$F:$F,A349,RacePerformance!$I:$I,1))</f>
        <v/>
      </c>
      <c r="P349" s="6" t="str">
        <f>IF(A349="","",COUNTIFS(RacePerformance!$F:$F,A349,RacePerformance!$J:$J,"&lt;=3"))</f>
        <v/>
      </c>
    </row>
    <row r="350" spans="1:16" ht="14.2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6" t="str">
        <f>IF(A350="","",COUNTIF(RacePerformance!$F:$F,A350))</f>
        <v/>
      </c>
      <c r="K350" s="6" t="str">
        <f>IF(A350="","",IFERROR(AVERAGEIF(RacePerformance!$F:$F,A350,RacePerformance!$I:$I),""))</f>
        <v/>
      </c>
      <c r="L350" s="6" t="str">
        <f>IF(A350="","",IFERROR(AVERAGEIF(RacePerformance!$F:$F,A350,RacePerformance!$J:$J),""))</f>
        <v/>
      </c>
      <c r="M350" s="6" t="str">
        <f>IF(A350="","",IFERROR(AVERAGEIF(RacePerformance!$F:$F,A350,RacePerformance!$K:$K),""))</f>
        <v/>
      </c>
      <c r="N350" s="6" t="str">
        <f>IF(A350="","",COUNTIFS(RacePerformance!$F:$F,A350,RacePerformance!$I:$I,"&lt;=20"))</f>
        <v/>
      </c>
      <c r="O350" s="6" t="str">
        <f>IF(A350="","",COUNTIFS(RacePerformance!$F:$F,A350,RacePerformance!$I:$I,1))</f>
        <v/>
      </c>
      <c r="P350" s="6" t="str">
        <f>IF(A350="","",COUNTIFS(RacePerformance!$F:$F,A350,RacePerformance!$J:$J,"&lt;=3"))</f>
        <v/>
      </c>
    </row>
    <row r="351" spans="1:16" ht="14.2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6" t="str">
        <f>IF(A351="","",COUNTIF(RacePerformance!$F:$F,A351))</f>
        <v/>
      </c>
      <c r="K351" s="6" t="str">
        <f>IF(A351="","",IFERROR(AVERAGEIF(RacePerformance!$F:$F,A351,RacePerformance!$I:$I),""))</f>
        <v/>
      </c>
      <c r="L351" s="6" t="str">
        <f>IF(A351="","",IFERROR(AVERAGEIF(RacePerformance!$F:$F,A351,RacePerformance!$J:$J),""))</f>
        <v/>
      </c>
      <c r="M351" s="6" t="str">
        <f>IF(A351="","",IFERROR(AVERAGEIF(RacePerformance!$F:$F,A351,RacePerformance!$K:$K),""))</f>
        <v/>
      </c>
      <c r="N351" s="6" t="str">
        <f>IF(A351="","",COUNTIFS(RacePerformance!$F:$F,A351,RacePerformance!$I:$I,"&lt;=20"))</f>
        <v/>
      </c>
      <c r="O351" s="6" t="str">
        <f>IF(A351="","",COUNTIFS(RacePerformance!$F:$F,A351,RacePerformance!$I:$I,1))</f>
        <v/>
      </c>
      <c r="P351" s="6" t="str">
        <f>IF(A351="","",COUNTIFS(RacePerformance!$F:$F,A351,RacePerformance!$J:$J,"&lt;=3"))</f>
        <v/>
      </c>
    </row>
    <row r="352" spans="1:16" ht="14.2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6" t="str">
        <f>IF(A352="","",COUNTIF(RacePerformance!$F:$F,A352))</f>
        <v/>
      </c>
      <c r="K352" s="6" t="str">
        <f>IF(A352="","",IFERROR(AVERAGEIF(RacePerformance!$F:$F,A352,RacePerformance!$I:$I),""))</f>
        <v/>
      </c>
      <c r="L352" s="6" t="str">
        <f>IF(A352="","",IFERROR(AVERAGEIF(RacePerformance!$F:$F,A352,RacePerformance!$J:$J),""))</f>
        <v/>
      </c>
      <c r="M352" s="6" t="str">
        <f>IF(A352="","",IFERROR(AVERAGEIF(RacePerformance!$F:$F,A352,RacePerformance!$K:$K),""))</f>
        <v/>
      </c>
      <c r="N352" s="6" t="str">
        <f>IF(A352="","",COUNTIFS(RacePerformance!$F:$F,A352,RacePerformance!$I:$I,"&lt;=20"))</f>
        <v/>
      </c>
      <c r="O352" s="6" t="str">
        <f>IF(A352="","",COUNTIFS(RacePerformance!$F:$F,A352,RacePerformance!$I:$I,1))</f>
        <v/>
      </c>
      <c r="P352" s="6" t="str">
        <f>IF(A352="","",COUNTIFS(RacePerformance!$F:$F,A352,RacePerformance!$J:$J,"&lt;=3"))</f>
        <v/>
      </c>
    </row>
    <row r="353" spans="1:16" ht="14.2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6" t="str">
        <f>IF(A353="","",COUNTIF(RacePerformance!$F:$F,A353))</f>
        <v/>
      </c>
      <c r="K353" s="6" t="str">
        <f>IF(A353="","",IFERROR(AVERAGEIF(RacePerformance!$F:$F,A353,RacePerformance!$I:$I),""))</f>
        <v/>
      </c>
      <c r="L353" s="6" t="str">
        <f>IF(A353="","",IFERROR(AVERAGEIF(RacePerformance!$F:$F,A353,RacePerformance!$J:$J),""))</f>
        <v/>
      </c>
      <c r="M353" s="6" t="str">
        <f>IF(A353="","",IFERROR(AVERAGEIF(RacePerformance!$F:$F,A353,RacePerformance!$K:$K),""))</f>
        <v/>
      </c>
      <c r="N353" s="6" t="str">
        <f>IF(A353="","",COUNTIFS(RacePerformance!$F:$F,A353,RacePerformance!$I:$I,"&lt;=20"))</f>
        <v/>
      </c>
      <c r="O353" s="6" t="str">
        <f>IF(A353="","",COUNTIFS(RacePerformance!$F:$F,A353,RacePerformance!$I:$I,1))</f>
        <v/>
      </c>
      <c r="P353" s="6" t="str">
        <f>IF(A353="","",COUNTIFS(RacePerformance!$F:$F,A353,RacePerformance!$J:$J,"&lt;=3"))</f>
        <v/>
      </c>
    </row>
    <row r="354" spans="1:16" ht="14.2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6" t="str">
        <f>IF(A354="","",COUNTIF(RacePerformance!$F:$F,A354))</f>
        <v/>
      </c>
      <c r="K354" s="6" t="str">
        <f>IF(A354="","",IFERROR(AVERAGEIF(RacePerformance!$F:$F,A354,RacePerformance!$I:$I),""))</f>
        <v/>
      </c>
      <c r="L354" s="6" t="str">
        <f>IF(A354="","",IFERROR(AVERAGEIF(RacePerformance!$F:$F,A354,RacePerformance!$J:$J),""))</f>
        <v/>
      </c>
      <c r="M354" s="6" t="str">
        <f>IF(A354="","",IFERROR(AVERAGEIF(RacePerformance!$F:$F,A354,RacePerformance!$K:$K),""))</f>
        <v/>
      </c>
      <c r="N354" s="6" t="str">
        <f>IF(A354="","",COUNTIFS(RacePerformance!$F:$F,A354,RacePerformance!$I:$I,"&lt;=20"))</f>
        <v/>
      </c>
      <c r="O354" s="6" t="str">
        <f>IF(A354="","",COUNTIFS(RacePerformance!$F:$F,A354,RacePerformance!$I:$I,1))</f>
        <v/>
      </c>
      <c r="P354" s="6" t="str">
        <f>IF(A354="","",COUNTIFS(RacePerformance!$F:$F,A354,RacePerformance!$J:$J,"&lt;=3"))</f>
        <v/>
      </c>
    </row>
    <row r="355" spans="1:16" ht="14.2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6" t="str">
        <f>IF(A355="","",COUNTIF(RacePerformance!$F:$F,A355))</f>
        <v/>
      </c>
      <c r="K355" s="6" t="str">
        <f>IF(A355="","",IFERROR(AVERAGEIF(RacePerformance!$F:$F,A355,RacePerformance!$I:$I),""))</f>
        <v/>
      </c>
      <c r="L355" s="6" t="str">
        <f>IF(A355="","",IFERROR(AVERAGEIF(RacePerformance!$F:$F,A355,RacePerformance!$J:$J),""))</f>
        <v/>
      </c>
      <c r="M355" s="6" t="str">
        <f>IF(A355="","",IFERROR(AVERAGEIF(RacePerformance!$F:$F,A355,RacePerformance!$K:$K),""))</f>
        <v/>
      </c>
      <c r="N355" s="6" t="str">
        <f>IF(A355="","",COUNTIFS(RacePerformance!$F:$F,A355,RacePerformance!$I:$I,"&lt;=20"))</f>
        <v/>
      </c>
      <c r="O355" s="6" t="str">
        <f>IF(A355="","",COUNTIFS(RacePerformance!$F:$F,A355,RacePerformance!$I:$I,1))</f>
        <v/>
      </c>
      <c r="P355" s="6" t="str">
        <f>IF(A355="","",COUNTIFS(RacePerformance!$F:$F,A355,RacePerformance!$J:$J,"&lt;=3"))</f>
        <v/>
      </c>
    </row>
    <row r="356" spans="1:16" ht="14.2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6" t="str">
        <f>IF(A356="","",COUNTIF(RacePerformance!$F:$F,A356))</f>
        <v/>
      </c>
      <c r="K356" s="6" t="str">
        <f>IF(A356="","",IFERROR(AVERAGEIF(RacePerformance!$F:$F,A356,RacePerformance!$I:$I),""))</f>
        <v/>
      </c>
      <c r="L356" s="6" t="str">
        <f>IF(A356="","",IFERROR(AVERAGEIF(RacePerformance!$F:$F,A356,RacePerformance!$J:$J),""))</f>
        <v/>
      </c>
      <c r="M356" s="6" t="str">
        <f>IF(A356="","",IFERROR(AVERAGEIF(RacePerformance!$F:$F,A356,RacePerformance!$K:$K),""))</f>
        <v/>
      </c>
      <c r="N356" s="6" t="str">
        <f>IF(A356="","",COUNTIFS(RacePerformance!$F:$F,A356,RacePerformance!$I:$I,"&lt;=20"))</f>
        <v/>
      </c>
      <c r="O356" s="6" t="str">
        <f>IF(A356="","",COUNTIFS(RacePerformance!$F:$F,A356,RacePerformance!$I:$I,1))</f>
        <v/>
      </c>
      <c r="P356" s="6" t="str">
        <f>IF(A356="","",COUNTIFS(RacePerformance!$F:$F,A356,RacePerformance!$J:$J,"&lt;=3"))</f>
        <v/>
      </c>
    </row>
    <row r="357" spans="1:16" ht="14.2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6" t="str">
        <f>IF(A357="","",COUNTIF(RacePerformance!$F:$F,A357))</f>
        <v/>
      </c>
      <c r="K357" s="6" t="str">
        <f>IF(A357="","",IFERROR(AVERAGEIF(RacePerformance!$F:$F,A357,RacePerformance!$I:$I),""))</f>
        <v/>
      </c>
      <c r="L357" s="6" t="str">
        <f>IF(A357="","",IFERROR(AVERAGEIF(RacePerformance!$F:$F,A357,RacePerformance!$J:$J),""))</f>
        <v/>
      </c>
      <c r="M357" s="6" t="str">
        <f>IF(A357="","",IFERROR(AVERAGEIF(RacePerformance!$F:$F,A357,RacePerformance!$K:$K),""))</f>
        <v/>
      </c>
      <c r="N357" s="6" t="str">
        <f>IF(A357="","",COUNTIFS(RacePerformance!$F:$F,A357,RacePerformance!$I:$I,"&lt;=20"))</f>
        <v/>
      </c>
      <c r="O357" s="6" t="str">
        <f>IF(A357="","",COUNTIFS(RacePerformance!$F:$F,A357,RacePerformance!$I:$I,1))</f>
        <v/>
      </c>
      <c r="P357" s="6" t="str">
        <f>IF(A357="","",COUNTIFS(RacePerformance!$F:$F,A357,RacePerformance!$J:$J,"&lt;=3"))</f>
        <v/>
      </c>
    </row>
    <row r="358" spans="1:16" ht="14.2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6" t="str">
        <f>IF(A358="","",COUNTIF(RacePerformance!$F:$F,A358))</f>
        <v/>
      </c>
      <c r="K358" s="6" t="str">
        <f>IF(A358="","",IFERROR(AVERAGEIF(RacePerformance!$F:$F,A358,RacePerformance!$I:$I),""))</f>
        <v/>
      </c>
      <c r="L358" s="6" t="str">
        <f>IF(A358="","",IFERROR(AVERAGEIF(RacePerformance!$F:$F,A358,RacePerformance!$J:$J),""))</f>
        <v/>
      </c>
      <c r="M358" s="6" t="str">
        <f>IF(A358="","",IFERROR(AVERAGEIF(RacePerformance!$F:$F,A358,RacePerformance!$K:$K),""))</f>
        <v/>
      </c>
      <c r="N358" s="6" t="str">
        <f>IF(A358="","",COUNTIFS(RacePerformance!$F:$F,A358,RacePerformance!$I:$I,"&lt;=20"))</f>
        <v/>
      </c>
      <c r="O358" s="6" t="str">
        <f>IF(A358="","",COUNTIFS(RacePerformance!$F:$F,A358,RacePerformance!$I:$I,1))</f>
        <v/>
      </c>
      <c r="P358" s="6" t="str">
        <f>IF(A358="","",COUNTIFS(RacePerformance!$F:$F,A358,RacePerformance!$J:$J,"&lt;=3"))</f>
        <v/>
      </c>
    </row>
    <row r="359" spans="1:16" ht="14.2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6" t="str">
        <f>IF(A359="","",COUNTIF(RacePerformance!$F:$F,A359))</f>
        <v/>
      </c>
      <c r="K359" s="6" t="str">
        <f>IF(A359="","",IFERROR(AVERAGEIF(RacePerformance!$F:$F,A359,RacePerformance!$I:$I),""))</f>
        <v/>
      </c>
      <c r="L359" s="6" t="str">
        <f>IF(A359="","",IFERROR(AVERAGEIF(RacePerformance!$F:$F,A359,RacePerformance!$J:$J),""))</f>
        <v/>
      </c>
      <c r="M359" s="6" t="str">
        <f>IF(A359="","",IFERROR(AVERAGEIF(RacePerformance!$F:$F,A359,RacePerformance!$K:$K),""))</f>
        <v/>
      </c>
      <c r="N359" s="6" t="str">
        <f>IF(A359="","",COUNTIFS(RacePerformance!$F:$F,A359,RacePerformance!$I:$I,"&lt;=20"))</f>
        <v/>
      </c>
      <c r="O359" s="6" t="str">
        <f>IF(A359="","",COUNTIFS(RacePerformance!$F:$F,A359,RacePerformance!$I:$I,1))</f>
        <v/>
      </c>
      <c r="P359" s="6" t="str">
        <f>IF(A359="","",COUNTIFS(RacePerformance!$F:$F,A359,RacePerformance!$J:$J,"&lt;=3"))</f>
        <v/>
      </c>
    </row>
    <row r="360" spans="1:16" ht="14.2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6" t="str">
        <f>IF(A360="","",COUNTIF(RacePerformance!$F:$F,A360))</f>
        <v/>
      </c>
      <c r="K360" s="6" t="str">
        <f>IF(A360="","",IFERROR(AVERAGEIF(RacePerformance!$F:$F,A360,RacePerformance!$I:$I),""))</f>
        <v/>
      </c>
      <c r="L360" s="6" t="str">
        <f>IF(A360="","",IFERROR(AVERAGEIF(RacePerformance!$F:$F,A360,RacePerformance!$J:$J),""))</f>
        <v/>
      </c>
      <c r="M360" s="6" t="str">
        <f>IF(A360="","",IFERROR(AVERAGEIF(RacePerformance!$F:$F,A360,RacePerformance!$K:$K),""))</f>
        <v/>
      </c>
      <c r="N360" s="6" t="str">
        <f>IF(A360="","",COUNTIFS(RacePerformance!$F:$F,A360,RacePerformance!$I:$I,"&lt;=20"))</f>
        <v/>
      </c>
      <c r="O360" s="6" t="str">
        <f>IF(A360="","",COUNTIFS(RacePerformance!$F:$F,A360,RacePerformance!$I:$I,1))</f>
        <v/>
      </c>
      <c r="P360" s="6" t="str">
        <f>IF(A360="","",COUNTIFS(RacePerformance!$F:$F,A360,RacePerformance!$J:$J,"&lt;=3"))</f>
        <v/>
      </c>
    </row>
    <row r="361" spans="1:16" ht="14.2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6" t="str">
        <f>IF(A361="","",COUNTIF(RacePerformance!$F:$F,A361))</f>
        <v/>
      </c>
      <c r="K361" s="6" t="str">
        <f>IF(A361="","",IFERROR(AVERAGEIF(RacePerformance!$F:$F,A361,RacePerformance!$I:$I),""))</f>
        <v/>
      </c>
      <c r="L361" s="6" t="str">
        <f>IF(A361="","",IFERROR(AVERAGEIF(RacePerformance!$F:$F,A361,RacePerformance!$J:$J),""))</f>
        <v/>
      </c>
      <c r="M361" s="6" t="str">
        <f>IF(A361="","",IFERROR(AVERAGEIF(RacePerformance!$F:$F,A361,RacePerformance!$K:$K),""))</f>
        <v/>
      </c>
      <c r="N361" s="6" t="str">
        <f>IF(A361="","",COUNTIFS(RacePerformance!$F:$F,A361,RacePerformance!$I:$I,"&lt;=20"))</f>
        <v/>
      </c>
      <c r="O361" s="6" t="str">
        <f>IF(A361="","",COUNTIFS(RacePerformance!$F:$F,A361,RacePerformance!$I:$I,1))</f>
        <v/>
      </c>
      <c r="P361" s="6" t="str">
        <f>IF(A361="","",COUNTIFS(RacePerformance!$F:$F,A361,RacePerformance!$J:$J,"&lt;=3"))</f>
        <v/>
      </c>
    </row>
    <row r="362" spans="1:16" ht="14.2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6" t="str">
        <f>IF(A362="","",COUNTIF(RacePerformance!$F:$F,A362))</f>
        <v/>
      </c>
      <c r="K362" s="6" t="str">
        <f>IF(A362="","",IFERROR(AVERAGEIF(RacePerformance!$F:$F,A362,RacePerformance!$I:$I),""))</f>
        <v/>
      </c>
      <c r="L362" s="6" t="str">
        <f>IF(A362="","",IFERROR(AVERAGEIF(RacePerformance!$F:$F,A362,RacePerformance!$J:$J),""))</f>
        <v/>
      </c>
      <c r="M362" s="6" t="str">
        <f>IF(A362="","",IFERROR(AVERAGEIF(RacePerformance!$F:$F,A362,RacePerformance!$K:$K),""))</f>
        <v/>
      </c>
      <c r="N362" s="6" t="str">
        <f>IF(A362="","",COUNTIFS(RacePerformance!$F:$F,A362,RacePerformance!$I:$I,"&lt;=20"))</f>
        <v/>
      </c>
      <c r="O362" s="6" t="str">
        <f>IF(A362="","",COUNTIFS(RacePerformance!$F:$F,A362,RacePerformance!$I:$I,1))</f>
        <v/>
      </c>
      <c r="P362" s="6" t="str">
        <f>IF(A362="","",COUNTIFS(RacePerformance!$F:$F,A362,RacePerformance!$J:$J,"&lt;=3"))</f>
        <v/>
      </c>
    </row>
    <row r="363" spans="1:16" ht="14.2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6" t="str">
        <f>IF(A363="","",COUNTIF(RacePerformance!$F:$F,A363))</f>
        <v/>
      </c>
      <c r="K363" s="6" t="str">
        <f>IF(A363="","",IFERROR(AVERAGEIF(RacePerformance!$F:$F,A363,RacePerformance!$I:$I),""))</f>
        <v/>
      </c>
      <c r="L363" s="6" t="str">
        <f>IF(A363="","",IFERROR(AVERAGEIF(RacePerformance!$F:$F,A363,RacePerformance!$J:$J),""))</f>
        <v/>
      </c>
      <c r="M363" s="6" t="str">
        <f>IF(A363="","",IFERROR(AVERAGEIF(RacePerformance!$F:$F,A363,RacePerformance!$K:$K),""))</f>
        <v/>
      </c>
      <c r="N363" s="6" t="str">
        <f>IF(A363="","",COUNTIFS(RacePerformance!$F:$F,A363,RacePerformance!$I:$I,"&lt;=20"))</f>
        <v/>
      </c>
      <c r="O363" s="6" t="str">
        <f>IF(A363="","",COUNTIFS(RacePerformance!$F:$F,A363,RacePerformance!$I:$I,1))</f>
        <v/>
      </c>
      <c r="P363" s="6" t="str">
        <f>IF(A363="","",COUNTIFS(RacePerformance!$F:$F,A363,RacePerformance!$J:$J,"&lt;=3"))</f>
        <v/>
      </c>
    </row>
    <row r="364" spans="1:16" ht="14.2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6" t="str">
        <f>IF(A364="","",COUNTIF(RacePerformance!$F:$F,A364))</f>
        <v/>
      </c>
      <c r="K364" s="6" t="str">
        <f>IF(A364="","",IFERROR(AVERAGEIF(RacePerformance!$F:$F,A364,RacePerformance!$I:$I),""))</f>
        <v/>
      </c>
      <c r="L364" s="6" t="str">
        <f>IF(A364="","",IFERROR(AVERAGEIF(RacePerformance!$F:$F,A364,RacePerformance!$J:$J),""))</f>
        <v/>
      </c>
      <c r="M364" s="6" t="str">
        <f>IF(A364="","",IFERROR(AVERAGEIF(RacePerformance!$F:$F,A364,RacePerformance!$K:$K),""))</f>
        <v/>
      </c>
      <c r="N364" s="6" t="str">
        <f>IF(A364="","",COUNTIFS(RacePerformance!$F:$F,A364,RacePerformance!$I:$I,"&lt;=20"))</f>
        <v/>
      </c>
      <c r="O364" s="6" t="str">
        <f>IF(A364="","",COUNTIFS(RacePerformance!$F:$F,A364,RacePerformance!$I:$I,1))</f>
        <v/>
      </c>
      <c r="P364" s="6" t="str">
        <f>IF(A364="","",COUNTIFS(RacePerformance!$F:$F,A364,RacePerformance!$J:$J,"&lt;=3"))</f>
        <v/>
      </c>
    </row>
    <row r="365" spans="1:16" ht="14.2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6" t="str">
        <f>IF(A365="","",COUNTIF(RacePerformance!$F:$F,A365))</f>
        <v/>
      </c>
      <c r="K365" s="6" t="str">
        <f>IF(A365="","",IFERROR(AVERAGEIF(RacePerformance!$F:$F,A365,RacePerformance!$I:$I),""))</f>
        <v/>
      </c>
      <c r="L365" s="6" t="str">
        <f>IF(A365="","",IFERROR(AVERAGEIF(RacePerformance!$F:$F,A365,RacePerformance!$J:$J),""))</f>
        <v/>
      </c>
      <c r="M365" s="6" t="str">
        <f>IF(A365="","",IFERROR(AVERAGEIF(RacePerformance!$F:$F,A365,RacePerformance!$K:$K),""))</f>
        <v/>
      </c>
      <c r="N365" s="6" t="str">
        <f>IF(A365="","",COUNTIFS(RacePerformance!$F:$F,A365,RacePerformance!$I:$I,"&lt;=20"))</f>
        <v/>
      </c>
      <c r="O365" s="6" t="str">
        <f>IF(A365="","",COUNTIFS(RacePerformance!$F:$F,A365,RacePerformance!$I:$I,1))</f>
        <v/>
      </c>
      <c r="P365" s="6" t="str">
        <f>IF(A365="","",COUNTIFS(RacePerformance!$F:$F,A365,RacePerformance!$J:$J,"&lt;=3"))</f>
        <v/>
      </c>
    </row>
    <row r="366" spans="1:16" ht="14.2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6" t="str">
        <f>IF(A366="","",COUNTIF(RacePerformance!$F:$F,A366))</f>
        <v/>
      </c>
      <c r="K366" s="6" t="str">
        <f>IF(A366="","",IFERROR(AVERAGEIF(RacePerformance!$F:$F,A366,RacePerformance!$I:$I),""))</f>
        <v/>
      </c>
      <c r="L366" s="6" t="str">
        <f>IF(A366="","",IFERROR(AVERAGEIF(RacePerformance!$F:$F,A366,RacePerformance!$J:$J),""))</f>
        <v/>
      </c>
      <c r="M366" s="6" t="str">
        <f>IF(A366="","",IFERROR(AVERAGEIF(RacePerformance!$F:$F,A366,RacePerformance!$K:$K),""))</f>
        <v/>
      </c>
      <c r="N366" s="6" t="str">
        <f>IF(A366="","",COUNTIFS(RacePerformance!$F:$F,A366,RacePerformance!$I:$I,"&lt;=20"))</f>
        <v/>
      </c>
      <c r="O366" s="6" t="str">
        <f>IF(A366="","",COUNTIFS(RacePerformance!$F:$F,A366,RacePerformance!$I:$I,1))</f>
        <v/>
      </c>
      <c r="P366" s="6" t="str">
        <f>IF(A366="","",COUNTIFS(RacePerformance!$F:$F,A366,RacePerformance!$J:$J,"&lt;=3"))</f>
        <v/>
      </c>
    </row>
    <row r="367" spans="1:16" ht="14.2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6" t="str">
        <f>IF(A367="","",COUNTIF(RacePerformance!$F:$F,A367))</f>
        <v/>
      </c>
      <c r="K367" s="6" t="str">
        <f>IF(A367="","",IFERROR(AVERAGEIF(RacePerformance!$F:$F,A367,RacePerformance!$I:$I),""))</f>
        <v/>
      </c>
      <c r="L367" s="6" t="str">
        <f>IF(A367="","",IFERROR(AVERAGEIF(RacePerformance!$F:$F,A367,RacePerformance!$J:$J),""))</f>
        <v/>
      </c>
      <c r="M367" s="6" t="str">
        <f>IF(A367="","",IFERROR(AVERAGEIF(RacePerformance!$F:$F,A367,RacePerformance!$K:$K),""))</f>
        <v/>
      </c>
      <c r="N367" s="6" t="str">
        <f>IF(A367="","",COUNTIFS(RacePerformance!$F:$F,A367,RacePerformance!$I:$I,"&lt;=20"))</f>
        <v/>
      </c>
      <c r="O367" s="6" t="str">
        <f>IF(A367="","",COUNTIFS(RacePerformance!$F:$F,A367,RacePerformance!$I:$I,1))</f>
        <v/>
      </c>
      <c r="P367" s="6" t="str">
        <f>IF(A367="","",COUNTIFS(RacePerformance!$F:$F,A367,RacePerformance!$J:$J,"&lt;=3"))</f>
        <v/>
      </c>
    </row>
    <row r="368" spans="1:16" ht="14.2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6" t="str">
        <f>IF(A368="","",COUNTIF(RacePerformance!$F:$F,A368))</f>
        <v/>
      </c>
      <c r="K368" s="6" t="str">
        <f>IF(A368="","",IFERROR(AVERAGEIF(RacePerformance!$F:$F,A368,RacePerformance!$I:$I),""))</f>
        <v/>
      </c>
      <c r="L368" s="6" t="str">
        <f>IF(A368="","",IFERROR(AVERAGEIF(RacePerformance!$F:$F,A368,RacePerformance!$J:$J),""))</f>
        <v/>
      </c>
      <c r="M368" s="6" t="str">
        <f>IF(A368="","",IFERROR(AVERAGEIF(RacePerformance!$F:$F,A368,RacePerformance!$K:$K),""))</f>
        <v/>
      </c>
      <c r="N368" s="6" t="str">
        <f>IF(A368="","",COUNTIFS(RacePerformance!$F:$F,A368,RacePerformance!$I:$I,"&lt;=20"))</f>
        <v/>
      </c>
      <c r="O368" s="6" t="str">
        <f>IF(A368="","",COUNTIFS(RacePerformance!$F:$F,A368,RacePerformance!$I:$I,1))</f>
        <v/>
      </c>
      <c r="P368" s="6" t="str">
        <f>IF(A368="","",COUNTIFS(RacePerformance!$F:$F,A368,RacePerformance!$J:$J,"&lt;=3"))</f>
        <v/>
      </c>
    </row>
    <row r="369" spans="1:16" ht="14.2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6" t="str">
        <f>IF(A369="","",COUNTIF(RacePerformance!$F:$F,A369))</f>
        <v/>
      </c>
      <c r="K369" s="6" t="str">
        <f>IF(A369="","",IFERROR(AVERAGEIF(RacePerformance!$F:$F,A369,RacePerformance!$I:$I),""))</f>
        <v/>
      </c>
      <c r="L369" s="6" t="str">
        <f>IF(A369="","",IFERROR(AVERAGEIF(RacePerformance!$F:$F,A369,RacePerformance!$J:$J),""))</f>
        <v/>
      </c>
      <c r="M369" s="6" t="str">
        <f>IF(A369="","",IFERROR(AVERAGEIF(RacePerformance!$F:$F,A369,RacePerformance!$K:$K),""))</f>
        <v/>
      </c>
      <c r="N369" s="6" t="str">
        <f>IF(A369="","",COUNTIFS(RacePerformance!$F:$F,A369,RacePerformance!$I:$I,"&lt;=20"))</f>
        <v/>
      </c>
      <c r="O369" s="6" t="str">
        <f>IF(A369="","",COUNTIFS(RacePerformance!$F:$F,A369,RacePerformance!$I:$I,1))</f>
        <v/>
      </c>
      <c r="P369" s="6" t="str">
        <f>IF(A369="","",COUNTIFS(RacePerformance!$F:$F,A369,RacePerformance!$J:$J,"&lt;=3"))</f>
        <v/>
      </c>
    </row>
    <row r="370" spans="1:16" ht="14.2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6" t="str">
        <f>IF(A370="","",COUNTIF(RacePerformance!$F:$F,A370))</f>
        <v/>
      </c>
      <c r="K370" s="6" t="str">
        <f>IF(A370="","",IFERROR(AVERAGEIF(RacePerformance!$F:$F,A370,RacePerformance!$I:$I),""))</f>
        <v/>
      </c>
      <c r="L370" s="6" t="str">
        <f>IF(A370="","",IFERROR(AVERAGEIF(RacePerformance!$F:$F,A370,RacePerformance!$J:$J),""))</f>
        <v/>
      </c>
      <c r="M370" s="6" t="str">
        <f>IF(A370="","",IFERROR(AVERAGEIF(RacePerformance!$F:$F,A370,RacePerformance!$K:$K),""))</f>
        <v/>
      </c>
      <c r="N370" s="6" t="str">
        <f>IF(A370="","",COUNTIFS(RacePerformance!$F:$F,A370,RacePerformance!$I:$I,"&lt;=20"))</f>
        <v/>
      </c>
      <c r="O370" s="6" t="str">
        <f>IF(A370="","",COUNTIFS(RacePerformance!$F:$F,A370,RacePerformance!$I:$I,1))</f>
        <v/>
      </c>
      <c r="P370" s="6" t="str">
        <f>IF(A370="","",COUNTIFS(RacePerformance!$F:$F,A370,RacePerformance!$J:$J,"&lt;=3"))</f>
        <v/>
      </c>
    </row>
    <row r="371" spans="1:16" ht="14.2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6" t="str">
        <f>IF(A371="","",COUNTIF(RacePerformance!$F:$F,A371))</f>
        <v/>
      </c>
      <c r="K371" s="6" t="str">
        <f>IF(A371="","",IFERROR(AVERAGEIF(RacePerformance!$F:$F,A371,RacePerformance!$I:$I),""))</f>
        <v/>
      </c>
      <c r="L371" s="6" t="str">
        <f>IF(A371="","",IFERROR(AVERAGEIF(RacePerformance!$F:$F,A371,RacePerformance!$J:$J),""))</f>
        <v/>
      </c>
      <c r="M371" s="6" t="str">
        <f>IF(A371="","",IFERROR(AVERAGEIF(RacePerformance!$F:$F,A371,RacePerformance!$K:$K),""))</f>
        <v/>
      </c>
      <c r="N371" s="6" t="str">
        <f>IF(A371="","",COUNTIFS(RacePerformance!$F:$F,A371,RacePerformance!$I:$I,"&lt;=20"))</f>
        <v/>
      </c>
      <c r="O371" s="6" t="str">
        <f>IF(A371="","",COUNTIFS(RacePerformance!$F:$F,A371,RacePerformance!$I:$I,1))</f>
        <v/>
      </c>
      <c r="P371" s="6" t="str">
        <f>IF(A371="","",COUNTIFS(RacePerformance!$F:$F,A371,RacePerformance!$J:$J,"&lt;=3"))</f>
        <v/>
      </c>
    </row>
    <row r="372" spans="1:16" ht="14.2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6" t="str">
        <f>IF(A372="","",COUNTIF(RacePerformance!$F:$F,A372))</f>
        <v/>
      </c>
      <c r="K372" s="6" t="str">
        <f>IF(A372="","",IFERROR(AVERAGEIF(RacePerformance!$F:$F,A372,RacePerformance!$I:$I),""))</f>
        <v/>
      </c>
      <c r="L372" s="6" t="str">
        <f>IF(A372="","",IFERROR(AVERAGEIF(RacePerformance!$F:$F,A372,RacePerformance!$J:$J),""))</f>
        <v/>
      </c>
      <c r="M372" s="6" t="str">
        <f>IF(A372="","",IFERROR(AVERAGEIF(RacePerformance!$F:$F,A372,RacePerformance!$K:$K),""))</f>
        <v/>
      </c>
      <c r="N372" s="6" t="str">
        <f>IF(A372="","",COUNTIFS(RacePerformance!$F:$F,A372,RacePerformance!$I:$I,"&lt;=20"))</f>
        <v/>
      </c>
      <c r="O372" s="6" t="str">
        <f>IF(A372="","",COUNTIFS(RacePerformance!$F:$F,A372,RacePerformance!$I:$I,1))</f>
        <v/>
      </c>
      <c r="P372" s="6" t="str">
        <f>IF(A372="","",COUNTIFS(RacePerformance!$F:$F,A372,RacePerformance!$J:$J,"&lt;=3"))</f>
        <v/>
      </c>
    </row>
    <row r="373" spans="1:16" ht="14.2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6" t="str">
        <f>IF(A373="","",COUNTIF(RacePerformance!$F:$F,A373))</f>
        <v/>
      </c>
      <c r="K373" s="6" t="str">
        <f>IF(A373="","",IFERROR(AVERAGEIF(RacePerformance!$F:$F,A373,RacePerformance!$I:$I),""))</f>
        <v/>
      </c>
      <c r="L373" s="6" t="str">
        <f>IF(A373="","",IFERROR(AVERAGEIF(RacePerformance!$F:$F,A373,RacePerformance!$J:$J),""))</f>
        <v/>
      </c>
      <c r="M373" s="6" t="str">
        <f>IF(A373="","",IFERROR(AVERAGEIF(RacePerformance!$F:$F,A373,RacePerformance!$K:$K),""))</f>
        <v/>
      </c>
      <c r="N373" s="6" t="str">
        <f>IF(A373="","",COUNTIFS(RacePerformance!$F:$F,A373,RacePerformance!$I:$I,"&lt;=20"))</f>
        <v/>
      </c>
      <c r="O373" s="6" t="str">
        <f>IF(A373="","",COUNTIFS(RacePerformance!$F:$F,A373,RacePerformance!$I:$I,1))</f>
        <v/>
      </c>
      <c r="P373" s="6" t="str">
        <f>IF(A373="","",COUNTIFS(RacePerformance!$F:$F,A373,RacePerformance!$J:$J,"&lt;=3"))</f>
        <v/>
      </c>
    </row>
    <row r="374" spans="1:16" ht="14.2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6" t="str">
        <f>IF(A374="","",COUNTIF(RacePerformance!$F:$F,A374))</f>
        <v/>
      </c>
      <c r="K374" s="6" t="str">
        <f>IF(A374="","",IFERROR(AVERAGEIF(RacePerformance!$F:$F,A374,RacePerformance!$I:$I),""))</f>
        <v/>
      </c>
      <c r="L374" s="6" t="str">
        <f>IF(A374="","",IFERROR(AVERAGEIF(RacePerformance!$F:$F,A374,RacePerformance!$J:$J),""))</f>
        <v/>
      </c>
      <c r="M374" s="6" t="str">
        <f>IF(A374="","",IFERROR(AVERAGEIF(RacePerformance!$F:$F,A374,RacePerformance!$K:$K),""))</f>
        <v/>
      </c>
      <c r="N374" s="6" t="str">
        <f>IF(A374="","",COUNTIFS(RacePerformance!$F:$F,A374,RacePerformance!$I:$I,"&lt;=20"))</f>
        <v/>
      </c>
      <c r="O374" s="6" t="str">
        <f>IF(A374="","",COUNTIFS(RacePerformance!$F:$F,A374,RacePerformance!$I:$I,1))</f>
        <v/>
      </c>
      <c r="P374" s="6" t="str">
        <f>IF(A374="","",COUNTIFS(RacePerformance!$F:$F,A374,RacePerformance!$J:$J,"&lt;=3"))</f>
        <v/>
      </c>
    </row>
    <row r="375" spans="1:16" ht="14.2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6" t="str">
        <f>IF(A375="","",COUNTIF(RacePerformance!$F:$F,A375))</f>
        <v/>
      </c>
      <c r="K375" s="6" t="str">
        <f>IF(A375="","",IFERROR(AVERAGEIF(RacePerformance!$F:$F,A375,RacePerformance!$I:$I),""))</f>
        <v/>
      </c>
      <c r="L375" s="6" t="str">
        <f>IF(A375="","",IFERROR(AVERAGEIF(RacePerformance!$F:$F,A375,RacePerformance!$J:$J),""))</f>
        <v/>
      </c>
      <c r="M375" s="6" t="str">
        <f>IF(A375="","",IFERROR(AVERAGEIF(RacePerformance!$F:$F,A375,RacePerformance!$K:$K),""))</f>
        <v/>
      </c>
      <c r="N375" s="6" t="str">
        <f>IF(A375="","",COUNTIFS(RacePerformance!$F:$F,A375,RacePerformance!$I:$I,"&lt;=20"))</f>
        <v/>
      </c>
      <c r="O375" s="6" t="str">
        <f>IF(A375="","",COUNTIFS(RacePerformance!$F:$F,A375,RacePerformance!$I:$I,1))</f>
        <v/>
      </c>
      <c r="P375" s="6" t="str">
        <f>IF(A375="","",COUNTIFS(RacePerformance!$F:$F,A375,RacePerformance!$J:$J,"&lt;=3"))</f>
        <v/>
      </c>
    </row>
    <row r="376" spans="1:16" ht="14.2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6" t="str">
        <f>IF(A376="","",COUNTIF(RacePerformance!$F:$F,A376))</f>
        <v/>
      </c>
      <c r="K376" s="6" t="str">
        <f>IF(A376="","",IFERROR(AVERAGEIF(RacePerformance!$F:$F,A376,RacePerformance!$I:$I),""))</f>
        <v/>
      </c>
      <c r="L376" s="6" t="str">
        <f>IF(A376="","",IFERROR(AVERAGEIF(RacePerformance!$F:$F,A376,RacePerformance!$J:$J),""))</f>
        <v/>
      </c>
      <c r="M376" s="6" t="str">
        <f>IF(A376="","",IFERROR(AVERAGEIF(RacePerformance!$F:$F,A376,RacePerformance!$K:$K),""))</f>
        <v/>
      </c>
      <c r="N376" s="6" t="str">
        <f>IF(A376="","",COUNTIFS(RacePerformance!$F:$F,A376,RacePerformance!$I:$I,"&lt;=20"))</f>
        <v/>
      </c>
      <c r="O376" s="6" t="str">
        <f>IF(A376="","",COUNTIFS(RacePerformance!$F:$F,A376,RacePerformance!$I:$I,1))</f>
        <v/>
      </c>
      <c r="P376" s="6" t="str">
        <f>IF(A376="","",COUNTIFS(RacePerformance!$F:$F,A376,RacePerformance!$J:$J,"&lt;=3"))</f>
        <v/>
      </c>
    </row>
    <row r="377" spans="1:16" ht="14.2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6" t="str">
        <f>IF(A377="","",COUNTIF(RacePerformance!$F:$F,A377))</f>
        <v/>
      </c>
      <c r="K377" s="6" t="str">
        <f>IF(A377="","",IFERROR(AVERAGEIF(RacePerformance!$F:$F,A377,RacePerformance!$I:$I),""))</f>
        <v/>
      </c>
      <c r="L377" s="6" t="str">
        <f>IF(A377="","",IFERROR(AVERAGEIF(RacePerformance!$F:$F,A377,RacePerformance!$J:$J),""))</f>
        <v/>
      </c>
      <c r="M377" s="6" t="str">
        <f>IF(A377="","",IFERROR(AVERAGEIF(RacePerformance!$F:$F,A377,RacePerformance!$K:$K),""))</f>
        <v/>
      </c>
      <c r="N377" s="6" t="str">
        <f>IF(A377="","",COUNTIFS(RacePerformance!$F:$F,A377,RacePerformance!$I:$I,"&lt;=20"))</f>
        <v/>
      </c>
      <c r="O377" s="6" t="str">
        <f>IF(A377="","",COUNTIFS(RacePerformance!$F:$F,A377,RacePerformance!$I:$I,1))</f>
        <v/>
      </c>
      <c r="P377" s="6" t="str">
        <f>IF(A377="","",COUNTIFS(RacePerformance!$F:$F,A377,RacePerformance!$J:$J,"&lt;=3"))</f>
        <v/>
      </c>
    </row>
    <row r="378" spans="1:16" ht="14.2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6" t="str">
        <f>IF(A378="","",COUNTIF(RacePerformance!$F:$F,A378))</f>
        <v/>
      </c>
      <c r="K378" s="6" t="str">
        <f>IF(A378="","",IFERROR(AVERAGEIF(RacePerformance!$F:$F,A378,RacePerformance!$I:$I),""))</f>
        <v/>
      </c>
      <c r="L378" s="6" t="str">
        <f>IF(A378="","",IFERROR(AVERAGEIF(RacePerformance!$F:$F,A378,RacePerformance!$J:$J),""))</f>
        <v/>
      </c>
      <c r="M378" s="6" t="str">
        <f>IF(A378="","",IFERROR(AVERAGEIF(RacePerformance!$F:$F,A378,RacePerformance!$K:$K),""))</f>
        <v/>
      </c>
      <c r="N378" s="6" t="str">
        <f>IF(A378="","",COUNTIFS(RacePerformance!$F:$F,A378,RacePerformance!$I:$I,"&lt;=20"))</f>
        <v/>
      </c>
      <c r="O378" s="6" t="str">
        <f>IF(A378="","",COUNTIFS(RacePerformance!$F:$F,A378,RacePerformance!$I:$I,1))</f>
        <v/>
      </c>
      <c r="P378" s="6" t="str">
        <f>IF(A378="","",COUNTIFS(RacePerformance!$F:$F,A378,RacePerformance!$J:$J,"&lt;=3"))</f>
        <v/>
      </c>
    </row>
    <row r="379" spans="1:16" ht="14.2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6" t="str">
        <f>IF(A379="","",COUNTIF(RacePerformance!$F:$F,A379))</f>
        <v/>
      </c>
      <c r="K379" s="6" t="str">
        <f>IF(A379="","",IFERROR(AVERAGEIF(RacePerformance!$F:$F,A379,RacePerformance!$I:$I),""))</f>
        <v/>
      </c>
      <c r="L379" s="6" t="str">
        <f>IF(A379="","",IFERROR(AVERAGEIF(RacePerformance!$F:$F,A379,RacePerformance!$J:$J),""))</f>
        <v/>
      </c>
      <c r="M379" s="6" t="str">
        <f>IF(A379="","",IFERROR(AVERAGEIF(RacePerformance!$F:$F,A379,RacePerformance!$K:$K),""))</f>
        <v/>
      </c>
      <c r="N379" s="6" t="str">
        <f>IF(A379="","",COUNTIFS(RacePerformance!$F:$F,A379,RacePerformance!$I:$I,"&lt;=20"))</f>
        <v/>
      </c>
      <c r="O379" s="6" t="str">
        <f>IF(A379="","",COUNTIFS(RacePerformance!$F:$F,A379,RacePerformance!$I:$I,1))</f>
        <v/>
      </c>
      <c r="P379" s="6" t="str">
        <f>IF(A379="","",COUNTIFS(RacePerformance!$F:$F,A379,RacePerformance!$J:$J,"&lt;=3"))</f>
        <v/>
      </c>
    </row>
    <row r="380" spans="1:16" ht="14.2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6" t="str">
        <f>IF(A380="","",COUNTIF(RacePerformance!$F:$F,A380))</f>
        <v/>
      </c>
      <c r="K380" s="6" t="str">
        <f>IF(A380="","",IFERROR(AVERAGEIF(RacePerformance!$F:$F,A380,RacePerformance!$I:$I),""))</f>
        <v/>
      </c>
      <c r="L380" s="6" t="str">
        <f>IF(A380="","",IFERROR(AVERAGEIF(RacePerformance!$F:$F,A380,RacePerformance!$J:$J),""))</f>
        <v/>
      </c>
      <c r="M380" s="6" t="str">
        <f>IF(A380="","",IFERROR(AVERAGEIF(RacePerformance!$F:$F,A380,RacePerformance!$K:$K),""))</f>
        <v/>
      </c>
      <c r="N380" s="6" t="str">
        <f>IF(A380="","",COUNTIFS(RacePerformance!$F:$F,A380,RacePerformance!$I:$I,"&lt;=20"))</f>
        <v/>
      </c>
      <c r="O380" s="6" t="str">
        <f>IF(A380="","",COUNTIFS(RacePerformance!$F:$F,A380,RacePerformance!$I:$I,1))</f>
        <v/>
      </c>
      <c r="P380" s="6" t="str">
        <f>IF(A380="","",COUNTIFS(RacePerformance!$F:$F,A380,RacePerformance!$J:$J,"&lt;=3"))</f>
        <v/>
      </c>
    </row>
    <row r="381" spans="1:16" ht="14.2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6" t="str">
        <f>IF(A381="","",COUNTIF(RacePerformance!$F:$F,A381))</f>
        <v/>
      </c>
      <c r="K381" s="6" t="str">
        <f>IF(A381="","",IFERROR(AVERAGEIF(RacePerformance!$F:$F,A381,RacePerformance!$I:$I),""))</f>
        <v/>
      </c>
      <c r="L381" s="6" t="str">
        <f>IF(A381="","",IFERROR(AVERAGEIF(RacePerformance!$F:$F,A381,RacePerformance!$J:$J),""))</f>
        <v/>
      </c>
      <c r="M381" s="6" t="str">
        <f>IF(A381="","",IFERROR(AVERAGEIF(RacePerformance!$F:$F,A381,RacePerformance!$K:$K),""))</f>
        <v/>
      </c>
      <c r="N381" s="6" t="str">
        <f>IF(A381="","",COUNTIFS(RacePerformance!$F:$F,A381,RacePerformance!$I:$I,"&lt;=20"))</f>
        <v/>
      </c>
      <c r="O381" s="6" t="str">
        <f>IF(A381="","",COUNTIFS(RacePerformance!$F:$F,A381,RacePerformance!$I:$I,1))</f>
        <v/>
      </c>
      <c r="P381" s="6" t="str">
        <f>IF(A381="","",COUNTIFS(RacePerformance!$F:$F,A381,RacePerformance!$J:$J,"&lt;=3"))</f>
        <v/>
      </c>
    </row>
    <row r="382" spans="1:16" ht="14.2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6" t="str">
        <f>IF(A382="","",COUNTIF(RacePerformance!$F:$F,A382))</f>
        <v/>
      </c>
      <c r="K382" s="6" t="str">
        <f>IF(A382="","",IFERROR(AVERAGEIF(RacePerformance!$F:$F,A382,RacePerformance!$I:$I),""))</f>
        <v/>
      </c>
      <c r="L382" s="6" t="str">
        <f>IF(A382="","",IFERROR(AVERAGEIF(RacePerformance!$F:$F,A382,RacePerformance!$J:$J),""))</f>
        <v/>
      </c>
      <c r="M382" s="6" t="str">
        <f>IF(A382="","",IFERROR(AVERAGEIF(RacePerformance!$F:$F,A382,RacePerformance!$K:$K),""))</f>
        <v/>
      </c>
      <c r="N382" s="6" t="str">
        <f>IF(A382="","",COUNTIFS(RacePerformance!$F:$F,A382,RacePerformance!$I:$I,"&lt;=20"))</f>
        <v/>
      </c>
      <c r="O382" s="6" t="str">
        <f>IF(A382="","",COUNTIFS(RacePerformance!$F:$F,A382,RacePerformance!$I:$I,1))</f>
        <v/>
      </c>
      <c r="P382" s="6" t="str">
        <f>IF(A382="","",COUNTIFS(RacePerformance!$F:$F,A382,RacePerformance!$J:$J,"&lt;=3"))</f>
        <v/>
      </c>
    </row>
    <row r="383" spans="1:16" ht="14.2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6" t="str">
        <f>IF(A383="","",COUNTIF(RacePerformance!$F:$F,A383))</f>
        <v/>
      </c>
      <c r="K383" s="6" t="str">
        <f>IF(A383="","",IFERROR(AVERAGEIF(RacePerformance!$F:$F,A383,RacePerformance!$I:$I),""))</f>
        <v/>
      </c>
      <c r="L383" s="6" t="str">
        <f>IF(A383="","",IFERROR(AVERAGEIF(RacePerformance!$F:$F,A383,RacePerformance!$J:$J),""))</f>
        <v/>
      </c>
      <c r="M383" s="6" t="str">
        <f>IF(A383="","",IFERROR(AVERAGEIF(RacePerformance!$F:$F,A383,RacePerformance!$K:$K),""))</f>
        <v/>
      </c>
      <c r="N383" s="6" t="str">
        <f>IF(A383="","",COUNTIFS(RacePerformance!$F:$F,A383,RacePerformance!$I:$I,"&lt;=20"))</f>
        <v/>
      </c>
      <c r="O383" s="6" t="str">
        <f>IF(A383="","",COUNTIFS(RacePerformance!$F:$F,A383,RacePerformance!$I:$I,1))</f>
        <v/>
      </c>
      <c r="P383" s="6" t="str">
        <f>IF(A383="","",COUNTIFS(RacePerformance!$F:$F,A383,RacePerformance!$J:$J,"&lt;=3"))</f>
        <v/>
      </c>
    </row>
    <row r="384" spans="1:16" ht="14.2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6" t="str">
        <f>IF(A384="","",COUNTIF(RacePerformance!$F:$F,A384))</f>
        <v/>
      </c>
      <c r="K384" s="6" t="str">
        <f>IF(A384="","",IFERROR(AVERAGEIF(RacePerformance!$F:$F,A384,RacePerformance!$I:$I),""))</f>
        <v/>
      </c>
      <c r="L384" s="6" t="str">
        <f>IF(A384="","",IFERROR(AVERAGEIF(RacePerformance!$F:$F,A384,RacePerformance!$J:$J),""))</f>
        <v/>
      </c>
      <c r="M384" s="6" t="str">
        <f>IF(A384="","",IFERROR(AVERAGEIF(RacePerformance!$F:$F,A384,RacePerformance!$K:$K),""))</f>
        <v/>
      </c>
      <c r="N384" s="6" t="str">
        <f>IF(A384="","",COUNTIFS(RacePerformance!$F:$F,A384,RacePerformance!$I:$I,"&lt;=20"))</f>
        <v/>
      </c>
      <c r="O384" s="6" t="str">
        <f>IF(A384="","",COUNTIFS(RacePerformance!$F:$F,A384,RacePerformance!$I:$I,1))</f>
        <v/>
      </c>
      <c r="P384" s="6" t="str">
        <f>IF(A384="","",COUNTIFS(RacePerformance!$F:$F,A384,RacePerformance!$J:$J,"&lt;=3"))</f>
        <v/>
      </c>
    </row>
    <row r="385" spans="1:16" ht="14.2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6" t="str">
        <f>IF(A385="","",COUNTIF(RacePerformance!$F:$F,A385))</f>
        <v/>
      </c>
      <c r="K385" s="6" t="str">
        <f>IF(A385="","",IFERROR(AVERAGEIF(RacePerformance!$F:$F,A385,RacePerformance!$I:$I),""))</f>
        <v/>
      </c>
      <c r="L385" s="6" t="str">
        <f>IF(A385="","",IFERROR(AVERAGEIF(RacePerformance!$F:$F,A385,RacePerformance!$J:$J),""))</f>
        <v/>
      </c>
      <c r="M385" s="6" t="str">
        <f>IF(A385="","",IFERROR(AVERAGEIF(RacePerformance!$F:$F,A385,RacePerformance!$K:$K),""))</f>
        <v/>
      </c>
      <c r="N385" s="6" t="str">
        <f>IF(A385="","",COUNTIFS(RacePerformance!$F:$F,A385,RacePerformance!$I:$I,"&lt;=20"))</f>
        <v/>
      </c>
      <c r="O385" s="6" t="str">
        <f>IF(A385="","",COUNTIFS(RacePerformance!$F:$F,A385,RacePerformance!$I:$I,1))</f>
        <v/>
      </c>
      <c r="P385" s="6" t="str">
        <f>IF(A385="","",COUNTIFS(RacePerformance!$F:$F,A385,RacePerformance!$J:$J,"&lt;=3"))</f>
        <v/>
      </c>
    </row>
    <row r="386" spans="1:16" ht="14.2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6" t="str">
        <f>IF(A386="","",COUNTIF(RacePerformance!$F:$F,A386))</f>
        <v/>
      </c>
      <c r="K386" s="6" t="str">
        <f>IF(A386="","",IFERROR(AVERAGEIF(RacePerformance!$F:$F,A386,RacePerformance!$I:$I),""))</f>
        <v/>
      </c>
      <c r="L386" s="6" t="str">
        <f>IF(A386="","",IFERROR(AVERAGEIF(RacePerformance!$F:$F,A386,RacePerformance!$J:$J),""))</f>
        <v/>
      </c>
      <c r="M386" s="6" t="str">
        <f>IF(A386="","",IFERROR(AVERAGEIF(RacePerformance!$F:$F,A386,RacePerformance!$K:$K),""))</f>
        <v/>
      </c>
      <c r="N386" s="6" t="str">
        <f>IF(A386="","",COUNTIFS(RacePerformance!$F:$F,A386,RacePerformance!$I:$I,"&lt;=20"))</f>
        <v/>
      </c>
      <c r="O386" s="6" t="str">
        <f>IF(A386="","",COUNTIFS(RacePerformance!$F:$F,A386,RacePerformance!$I:$I,1))</f>
        <v/>
      </c>
      <c r="P386" s="6" t="str">
        <f>IF(A386="","",COUNTIFS(RacePerformance!$F:$F,A386,RacePerformance!$J:$J,"&lt;=3"))</f>
        <v/>
      </c>
    </row>
    <row r="387" spans="1:16" ht="14.2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6" t="str">
        <f>IF(A387="","",COUNTIF(RacePerformance!$F:$F,A387))</f>
        <v/>
      </c>
      <c r="K387" s="6" t="str">
        <f>IF(A387="","",IFERROR(AVERAGEIF(RacePerformance!$F:$F,A387,RacePerformance!$I:$I),""))</f>
        <v/>
      </c>
      <c r="L387" s="6" t="str">
        <f>IF(A387="","",IFERROR(AVERAGEIF(RacePerformance!$F:$F,A387,RacePerformance!$J:$J),""))</f>
        <v/>
      </c>
      <c r="M387" s="6" t="str">
        <f>IF(A387="","",IFERROR(AVERAGEIF(RacePerformance!$F:$F,A387,RacePerformance!$K:$K),""))</f>
        <v/>
      </c>
      <c r="N387" s="6" t="str">
        <f>IF(A387="","",COUNTIFS(RacePerformance!$F:$F,A387,RacePerformance!$I:$I,"&lt;=20"))</f>
        <v/>
      </c>
      <c r="O387" s="6" t="str">
        <f>IF(A387="","",COUNTIFS(RacePerformance!$F:$F,A387,RacePerformance!$I:$I,1))</f>
        <v/>
      </c>
      <c r="P387" s="6" t="str">
        <f>IF(A387="","",COUNTIFS(RacePerformance!$F:$F,A387,RacePerformance!$J:$J,"&lt;=3"))</f>
        <v/>
      </c>
    </row>
    <row r="388" spans="1:16" ht="14.2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6" t="str">
        <f>IF(A388="","",COUNTIF(RacePerformance!$F:$F,A388))</f>
        <v/>
      </c>
      <c r="K388" s="6" t="str">
        <f>IF(A388="","",IFERROR(AVERAGEIF(RacePerformance!$F:$F,A388,RacePerformance!$I:$I),""))</f>
        <v/>
      </c>
      <c r="L388" s="6" t="str">
        <f>IF(A388="","",IFERROR(AVERAGEIF(RacePerformance!$F:$F,A388,RacePerformance!$J:$J),""))</f>
        <v/>
      </c>
      <c r="M388" s="6" t="str">
        <f>IF(A388="","",IFERROR(AVERAGEIF(RacePerformance!$F:$F,A388,RacePerformance!$K:$K),""))</f>
        <v/>
      </c>
      <c r="N388" s="6" t="str">
        <f>IF(A388="","",COUNTIFS(RacePerformance!$F:$F,A388,RacePerformance!$I:$I,"&lt;=20"))</f>
        <v/>
      </c>
      <c r="O388" s="6" t="str">
        <f>IF(A388="","",COUNTIFS(RacePerformance!$F:$F,A388,RacePerformance!$I:$I,1))</f>
        <v/>
      </c>
      <c r="P388" s="6" t="str">
        <f>IF(A388="","",COUNTIFS(RacePerformance!$F:$F,A388,RacePerformance!$J:$J,"&lt;=3"))</f>
        <v/>
      </c>
    </row>
    <row r="389" spans="1:16" ht="14.2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6" t="str">
        <f>IF(A389="","",COUNTIF(RacePerformance!$F:$F,A389))</f>
        <v/>
      </c>
      <c r="K389" s="6" t="str">
        <f>IF(A389="","",IFERROR(AVERAGEIF(RacePerformance!$F:$F,A389,RacePerformance!$I:$I),""))</f>
        <v/>
      </c>
      <c r="L389" s="6" t="str">
        <f>IF(A389="","",IFERROR(AVERAGEIF(RacePerformance!$F:$F,A389,RacePerformance!$J:$J),""))</f>
        <v/>
      </c>
      <c r="M389" s="6" t="str">
        <f>IF(A389="","",IFERROR(AVERAGEIF(RacePerformance!$F:$F,A389,RacePerformance!$K:$K),""))</f>
        <v/>
      </c>
      <c r="N389" s="6" t="str">
        <f>IF(A389="","",COUNTIFS(RacePerformance!$F:$F,A389,RacePerformance!$I:$I,"&lt;=20"))</f>
        <v/>
      </c>
      <c r="O389" s="6" t="str">
        <f>IF(A389="","",COUNTIFS(RacePerformance!$F:$F,A389,RacePerformance!$I:$I,1))</f>
        <v/>
      </c>
      <c r="P389" s="6" t="str">
        <f>IF(A389="","",COUNTIFS(RacePerformance!$F:$F,A389,RacePerformance!$J:$J,"&lt;=3"))</f>
        <v/>
      </c>
    </row>
    <row r="390" spans="1:16" ht="14.2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6" t="str">
        <f>IF(A390="","",COUNTIF(RacePerformance!$F:$F,A390))</f>
        <v/>
      </c>
      <c r="K390" s="6" t="str">
        <f>IF(A390="","",IFERROR(AVERAGEIF(RacePerformance!$F:$F,A390,RacePerformance!$I:$I),""))</f>
        <v/>
      </c>
      <c r="L390" s="6" t="str">
        <f>IF(A390="","",IFERROR(AVERAGEIF(RacePerformance!$F:$F,A390,RacePerformance!$J:$J),""))</f>
        <v/>
      </c>
      <c r="M390" s="6" t="str">
        <f>IF(A390="","",IFERROR(AVERAGEIF(RacePerformance!$F:$F,A390,RacePerformance!$K:$K),""))</f>
        <v/>
      </c>
      <c r="N390" s="6" t="str">
        <f>IF(A390="","",COUNTIFS(RacePerformance!$F:$F,A390,RacePerformance!$I:$I,"&lt;=20"))</f>
        <v/>
      </c>
      <c r="O390" s="6" t="str">
        <f>IF(A390="","",COUNTIFS(RacePerformance!$F:$F,A390,RacePerformance!$I:$I,1))</f>
        <v/>
      </c>
      <c r="P390" s="6" t="str">
        <f>IF(A390="","",COUNTIFS(RacePerformance!$F:$F,A390,RacePerformance!$J:$J,"&lt;=3"))</f>
        <v/>
      </c>
    </row>
    <row r="391" spans="1:16" ht="14.2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6" t="str">
        <f>IF(A391="","",COUNTIF(RacePerformance!$F:$F,A391))</f>
        <v/>
      </c>
      <c r="K391" s="6" t="str">
        <f>IF(A391="","",IFERROR(AVERAGEIF(RacePerformance!$F:$F,A391,RacePerformance!$I:$I),""))</f>
        <v/>
      </c>
      <c r="L391" s="6" t="str">
        <f>IF(A391="","",IFERROR(AVERAGEIF(RacePerformance!$F:$F,A391,RacePerformance!$J:$J),""))</f>
        <v/>
      </c>
      <c r="M391" s="6" t="str">
        <f>IF(A391="","",IFERROR(AVERAGEIF(RacePerformance!$F:$F,A391,RacePerformance!$K:$K),""))</f>
        <v/>
      </c>
      <c r="N391" s="6" t="str">
        <f>IF(A391="","",COUNTIFS(RacePerformance!$F:$F,A391,RacePerformance!$I:$I,"&lt;=20"))</f>
        <v/>
      </c>
      <c r="O391" s="6" t="str">
        <f>IF(A391="","",COUNTIFS(RacePerformance!$F:$F,A391,RacePerformance!$I:$I,1))</f>
        <v/>
      </c>
      <c r="P391" s="6" t="str">
        <f>IF(A391="","",COUNTIFS(RacePerformance!$F:$F,A391,RacePerformance!$J:$J,"&lt;=3"))</f>
        <v/>
      </c>
    </row>
    <row r="392" spans="1:16" ht="14.2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6" t="str">
        <f>IF(A392="","",COUNTIF(RacePerformance!$F:$F,A392))</f>
        <v/>
      </c>
      <c r="K392" s="6" t="str">
        <f>IF(A392="","",IFERROR(AVERAGEIF(RacePerformance!$F:$F,A392,RacePerformance!$I:$I),""))</f>
        <v/>
      </c>
      <c r="L392" s="6" t="str">
        <f>IF(A392="","",IFERROR(AVERAGEIF(RacePerformance!$F:$F,A392,RacePerformance!$J:$J),""))</f>
        <v/>
      </c>
      <c r="M392" s="6" t="str">
        <f>IF(A392="","",IFERROR(AVERAGEIF(RacePerformance!$F:$F,A392,RacePerformance!$K:$K),""))</f>
        <v/>
      </c>
      <c r="N392" s="6" t="str">
        <f>IF(A392="","",COUNTIFS(RacePerformance!$F:$F,A392,RacePerformance!$I:$I,"&lt;=20"))</f>
        <v/>
      </c>
      <c r="O392" s="6" t="str">
        <f>IF(A392="","",COUNTIFS(RacePerformance!$F:$F,A392,RacePerformance!$I:$I,1))</f>
        <v/>
      </c>
      <c r="P392" s="6" t="str">
        <f>IF(A392="","",COUNTIFS(RacePerformance!$F:$F,A392,RacePerformance!$J:$J,"&lt;=3"))</f>
        <v/>
      </c>
    </row>
    <row r="393" spans="1:16" ht="14.2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6" t="str">
        <f>IF(A393="","",COUNTIF(RacePerformance!$F:$F,A393))</f>
        <v/>
      </c>
      <c r="K393" s="6" t="str">
        <f>IF(A393="","",IFERROR(AVERAGEIF(RacePerformance!$F:$F,A393,RacePerformance!$I:$I),""))</f>
        <v/>
      </c>
      <c r="L393" s="6" t="str">
        <f>IF(A393="","",IFERROR(AVERAGEIF(RacePerformance!$F:$F,A393,RacePerformance!$J:$J),""))</f>
        <v/>
      </c>
      <c r="M393" s="6" t="str">
        <f>IF(A393="","",IFERROR(AVERAGEIF(RacePerformance!$F:$F,A393,RacePerformance!$K:$K),""))</f>
        <v/>
      </c>
      <c r="N393" s="6" t="str">
        <f>IF(A393="","",COUNTIFS(RacePerformance!$F:$F,A393,RacePerformance!$I:$I,"&lt;=20"))</f>
        <v/>
      </c>
      <c r="O393" s="6" t="str">
        <f>IF(A393="","",COUNTIFS(RacePerformance!$F:$F,A393,RacePerformance!$I:$I,1))</f>
        <v/>
      </c>
      <c r="P393" s="6" t="str">
        <f>IF(A393="","",COUNTIFS(RacePerformance!$F:$F,A393,RacePerformance!$J:$J,"&lt;=3"))</f>
        <v/>
      </c>
    </row>
    <row r="394" spans="1:16" ht="14.2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6" t="str">
        <f>IF(A394="","",COUNTIF(RacePerformance!$F:$F,A394))</f>
        <v/>
      </c>
      <c r="K394" s="6" t="str">
        <f>IF(A394="","",IFERROR(AVERAGEIF(RacePerformance!$F:$F,A394,RacePerformance!$I:$I),""))</f>
        <v/>
      </c>
      <c r="L394" s="6" t="str">
        <f>IF(A394="","",IFERROR(AVERAGEIF(RacePerformance!$F:$F,A394,RacePerformance!$J:$J),""))</f>
        <v/>
      </c>
      <c r="M394" s="6" t="str">
        <f>IF(A394="","",IFERROR(AVERAGEIF(RacePerformance!$F:$F,A394,RacePerformance!$K:$K),""))</f>
        <v/>
      </c>
      <c r="N394" s="6" t="str">
        <f>IF(A394="","",COUNTIFS(RacePerformance!$F:$F,A394,RacePerformance!$I:$I,"&lt;=20"))</f>
        <v/>
      </c>
      <c r="O394" s="6" t="str">
        <f>IF(A394="","",COUNTIFS(RacePerformance!$F:$F,A394,RacePerformance!$I:$I,1))</f>
        <v/>
      </c>
      <c r="P394" s="6" t="str">
        <f>IF(A394="","",COUNTIFS(RacePerformance!$F:$F,A394,RacePerformance!$J:$J,"&lt;=3"))</f>
        <v/>
      </c>
    </row>
    <row r="395" spans="1:16" ht="14.2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6" t="str">
        <f>IF(A395="","",COUNTIF(RacePerformance!$F:$F,A395))</f>
        <v/>
      </c>
      <c r="K395" s="6" t="str">
        <f>IF(A395="","",IFERROR(AVERAGEIF(RacePerformance!$F:$F,A395,RacePerformance!$I:$I),""))</f>
        <v/>
      </c>
      <c r="L395" s="6" t="str">
        <f>IF(A395="","",IFERROR(AVERAGEIF(RacePerformance!$F:$F,A395,RacePerformance!$J:$J),""))</f>
        <v/>
      </c>
      <c r="M395" s="6" t="str">
        <f>IF(A395="","",IFERROR(AVERAGEIF(RacePerformance!$F:$F,A395,RacePerformance!$K:$K),""))</f>
        <v/>
      </c>
      <c r="N395" s="6" t="str">
        <f>IF(A395="","",COUNTIFS(RacePerformance!$F:$F,A395,RacePerformance!$I:$I,"&lt;=20"))</f>
        <v/>
      </c>
      <c r="O395" s="6" t="str">
        <f>IF(A395="","",COUNTIFS(RacePerformance!$F:$F,A395,RacePerformance!$I:$I,1))</f>
        <v/>
      </c>
      <c r="P395" s="6" t="str">
        <f>IF(A395="","",COUNTIFS(RacePerformance!$F:$F,A395,RacePerformance!$J:$J,"&lt;=3"))</f>
        <v/>
      </c>
    </row>
    <row r="396" spans="1:16" ht="14.2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6" t="str">
        <f>IF(A396="","",COUNTIF(RacePerformance!$F:$F,A396))</f>
        <v/>
      </c>
      <c r="K396" s="6" t="str">
        <f>IF(A396="","",IFERROR(AVERAGEIF(RacePerformance!$F:$F,A396,RacePerformance!$I:$I),""))</f>
        <v/>
      </c>
      <c r="L396" s="6" t="str">
        <f>IF(A396="","",IFERROR(AVERAGEIF(RacePerformance!$F:$F,A396,RacePerformance!$J:$J),""))</f>
        <v/>
      </c>
      <c r="M396" s="6" t="str">
        <f>IF(A396="","",IFERROR(AVERAGEIF(RacePerformance!$F:$F,A396,RacePerformance!$K:$K),""))</f>
        <v/>
      </c>
      <c r="N396" s="6" t="str">
        <f>IF(A396="","",COUNTIFS(RacePerformance!$F:$F,A396,RacePerformance!$I:$I,"&lt;=20"))</f>
        <v/>
      </c>
      <c r="O396" s="6" t="str">
        <f>IF(A396="","",COUNTIFS(RacePerformance!$F:$F,A396,RacePerformance!$I:$I,1))</f>
        <v/>
      </c>
      <c r="P396" s="6" t="str">
        <f>IF(A396="","",COUNTIFS(RacePerformance!$F:$F,A396,RacePerformance!$J:$J,"&lt;=3"))</f>
        <v/>
      </c>
    </row>
    <row r="397" spans="1:16" ht="14.2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6" t="str">
        <f>IF(A397="","",COUNTIF(RacePerformance!$F:$F,A397))</f>
        <v/>
      </c>
      <c r="K397" s="6" t="str">
        <f>IF(A397="","",IFERROR(AVERAGEIF(RacePerformance!$F:$F,A397,RacePerformance!$I:$I),""))</f>
        <v/>
      </c>
      <c r="L397" s="6" t="str">
        <f>IF(A397="","",IFERROR(AVERAGEIF(RacePerformance!$F:$F,A397,RacePerformance!$J:$J),""))</f>
        <v/>
      </c>
      <c r="M397" s="6" t="str">
        <f>IF(A397="","",IFERROR(AVERAGEIF(RacePerformance!$F:$F,A397,RacePerformance!$K:$K),""))</f>
        <v/>
      </c>
      <c r="N397" s="6" t="str">
        <f>IF(A397="","",COUNTIFS(RacePerformance!$F:$F,A397,RacePerformance!$I:$I,"&lt;=20"))</f>
        <v/>
      </c>
      <c r="O397" s="6" t="str">
        <f>IF(A397="","",COUNTIFS(RacePerformance!$F:$F,A397,RacePerformance!$I:$I,1))</f>
        <v/>
      </c>
      <c r="P397" s="6" t="str">
        <f>IF(A397="","",COUNTIFS(RacePerformance!$F:$F,A397,RacePerformance!$J:$J,"&lt;=3"))</f>
        <v/>
      </c>
    </row>
    <row r="398" spans="1:16" ht="14.2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6" t="str">
        <f>IF(A398="","",COUNTIF(RacePerformance!$F:$F,A398))</f>
        <v/>
      </c>
      <c r="K398" s="6" t="str">
        <f>IF(A398="","",IFERROR(AVERAGEIF(RacePerformance!$F:$F,A398,RacePerformance!$I:$I),""))</f>
        <v/>
      </c>
      <c r="L398" s="6" t="str">
        <f>IF(A398="","",IFERROR(AVERAGEIF(RacePerformance!$F:$F,A398,RacePerformance!$J:$J),""))</f>
        <v/>
      </c>
      <c r="M398" s="6" t="str">
        <f>IF(A398="","",IFERROR(AVERAGEIF(RacePerformance!$F:$F,A398,RacePerformance!$K:$K),""))</f>
        <v/>
      </c>
      <c r="N398" s="6" t="str">
        <f>IF(A398="","",COUNTIFS(RacePerformance!$F:$F,A398,RacePerformance!$I:$I,"&lt;=20"))</f>
        <v/>
      </c>
      <c r="O398" s="6" t="str">
        <f>IF(A398="","",COUNTIFS(RacePerformance!$F:$F,A398,RacePerformance!$I:$I,1))</f>
        <v/>
      </c>
      <c r="P398" s="6" t="str">
        <f>IF(A398="","",COUNTIFS(RacePerformance!$F:$F,A398,RacePerformance!$J:$J,"&lt;=3"))</f>
        <v/>
      </c>
    </row>
    <row r="399" spans="1:16" ht="14.2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6" t="str">
        <f>IF(A399="","",COUNTIF(RacePerformance!$F:$F,A399))</f>
        <v/>
      </c>
      <c r="K399" s="6" t="str">
        <f>IF(A399="","",IFERROR(AVERAGEIF(RacePerformance!$F:$F,A399,RacePerformance!$I:$I),""))</f>
        <v/>
      </c>
      <c r="L399" s="6" t="str">
        <f>IF(A399="","",IFERROR(AVERAGEIF(RacePerformance!$F:$F,A399,RacePerformance!$J:$J),""))</f>
        <v/>
      </c>
      <c r="M399" s="6" t="str">
        <f>IF(A399="","",IFERROR(AVERAGEIF(RacePerformance!$F:$F,A399,RacePerformance!$K:$K),""))</f>
        <v/>
      </c>
      <c r="N399" s="6" t="str">
        <f>IF(A399="","",COUNTIFS(RacePerformance!$F:$F,A399,RacePerformance!$I:$I,"&lt;=20"))</f>
        <v/>
      </c>
      <c r="O399" s="6" t="str">
        <f>IF(A399="","",COUNTIFS(RacePerformance!$F:$F,A399,RacePerformance!$I:$I,1))</f>
        <v/>
      </c>
      <c r="P399" s="6" t="str">
        <f>IF(A399="","",COUNTIFS(RacePerformance!$F:$F,A399,RacePerformance!$J:$J,"&lt;=3"))</f>
        <v/>
      </c>
    </row>
    <row r="400" spans="1:16" ht="14.2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6" t="str">
        <f>IF(A400="","",COUNTIF(RacePerformance!$F:$F,A400))</f>
        <v/>
      </c>
      <c r="K400" s="6" t="str">
        <f>IF(A400="","",IFERROR(AVERAGEIF(RacePerformance!$F:$F,A400,RacePerformance!$I:$I),""))</f>
        <v/>
      </c>
      <c r="L400" s="6" t="str">
        <f>IF(A400="","",IFERROR(AVERAGEIF(RacePerformance!$F:$F,A400,RacePerformance!$J:$J),""))</f>
        <v/>
      </c>
      <c r="M400" s="6" t="str">
        <f>IF(A400="","",IFERROR(AVERAGEIF(RacePerformance!$F:$F,A400,RacePerformance!$K:$K),""))</f>
        <v/>
      </c>
      <c r="N400" s="6" t="str">
        <f>IF(A400="","",COUNTIFS(RacePerformance!$F:$F,A400,RacePerformance!$I:$I,"&lt;=20"))</f>
        <v/>
      </c>
      <c r="O400" s="6" t="str">
        <f>IF(A400="","",COUNTIFS(RacePerformance!$F:$F,A400,RacePerformance!$I:$I,1))</f>
        <v/>
      </c>
      <c r="P400" s="6" t="str">
        <f>IF(A400="","",COUNTIFS(RacePerformance!$F:$F,A400,RacePerformance!$J:$J,"&lt;=3"))</f>
        <v/>
      </c>
    </row>
    <row r="401" spans="1:16" ht="14.2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6" t="str">
        <f>IF(A401="","",COUNTIF(RacePerformance!$F:$F,A401))</f>
        <v/>
      </c>
      <c r="K401" s="6" t="str">
        <f>IF(A401="","",IFERROR(AVERAGEIF(RacePerformance!$F:$F,A401,RacePerformance!$I:$I),""))</f>
        <v/>
      </c>
      <c r="L401" s="6" t="str">
        <f>IF(A401="","",IFERROR(AVERAGEIF(RacePerformance!$F:$F,A401,RacePerformance!$J:$J),""))</f>
        <v/>
      </c>
      <c r="M401" s="6" t="str">
        <f>IF(A401="","",IFERROR(AVERAGEIF(RacePerformance!$F:$F,A401,RacePerformance!$K:$K),""))</f>
        <v/>
      </c>
      <c r="N401" s="6" t="str">
        <f>IF(A401="","",COUNTIFS(RacePerformance!$F:$F,A401,RacePerformance!$I:$I,"&lt;=20"))</f>
        <v/>
      </c>
      <c r="O401" s="6" t="str">
        <f>IF(A401="","",COUNTIFS(RacePerformance!$F:$F,A401,RacePerformance!$I:$I,1))</f>
        <v/>
      </c>
      <c r="P401" s="6" t="str">
        <f>IF(A401="","",COUNTIFS(RacePerformance!$F:$F,A401,RacePerformance!$J:$J,"&lt;=3"))</f>
        <v/>
      </c>
    </row>
    <row r="402" spans="1:16" ht="14.2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6" t="str">
        <f>IF(A402="","",COUNTIF(RacePerformance!$F:$F,A402))</f>
        <v/>
      </c>
      <c r="K402" s="6" t="str">
        <f>IF(A402="","",IFERROR(AVERAGEIF(RacePerformance!$F:$F,A402,RacePerformance!$I:$I),""))</f>
        <v/>
      </c>
      <c r="L402" s="6" t="str">
        <f>IF(A402="","",IFERROR(AVERAGEIF(RacePerformance!$F:$F,A402,RacePerformance!$J:$J),""))</f>
        <v/>
      </c>
      <c r="M402" s="6" t="str">
        <f>IF(A402="","",IFERROR(AVERAGEIF(RacePerformance!$F:$F,A402,RacePerformance!$K:$K),""))</f>
        <v/>
      </c>
      <c r="N402" s="6" t="str">
        <f>IF(A402="","",COUNTIFS(RacePerformance!$F:$F,A402,RacePerformance!$I:$I,"&lt;=20"))</f>
        <v/>
      </c>
      <c r="O402" s="6" t="str">
        <f>IF(A402="","",COUNTIFS(RacePerformance!$F:$F,A402,RacePerformance!$I:$I,1))</f>
        <v/>
      </c>
      <c r="P402" s="6" t="str">
        <f>IF(A402="","",COUNTIFS(RacePerformance!$F:$F,A402,RacePerformance!$J:$J,"&lt;=3"))</f>
        <v/>
      </c>
    </row>
    <row r="403" spans="1:16" ht="14.2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6" t="str">
        <f>IF(A403="","",COUNTIF(RacePerformance!$F:$F,A403))</f>
        <v/>
      </c>
      <c r="K403" s="6" t="str">
        <f>IF(A403="","",IFERROR(AVERAGEIF(RacePerformance!$F:$F,A403,RacePerformance!$I:$I),""))</f>
        <v/>
      </c>
      <c r="L403" s="6" t="str">
        <f>IF(A403="","",IFERROR(AVERAGEIF(RacePerformance!$F:$F,A403,RacePerformance!$J:$J),""))</f>
        <v/>
      </c>
      <c r="M403" s="6" t="str">
        <f>IF(A403="","",IFERROR(AVERAGEIF(RacePerformance!$F:$F,A403,RacePerformance!$K:$K),""))</f>
        <v/>
      </c>
      <c r="N403" s="6" t="str">
        <f>IF(A403="","",COUNTIFS(RacePerformance!$F:$F,A403,RacePerformance!$I:$I,"&lt;=20"))</f>
        <v/>
      </c>
      <c r="O403" s="6" t="str">
        <f>IF(A403="","",COUNTIFS(RacePerformance!$F:$F,A403,RacePerformance!$I:$I,1))</f>
        <v/>
      </c>
      <c r="P403" s="6" t="str">
        <f>IF(A403="","",COUNTIFS(RacePerformance!$F:$F,A403,RacePerformance!$J:$J,"&lt;=3"))</f>
        <v/>
      </c>
    </row>
    <row r="404" spans="1:16" ht="14.2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6" t="str">
        <f>IF(A404="","",COUNTIF(RacePerformance!$F:$F,A404))</f>
        <v/>
      </c>
      <c r="K404" s="6" t="str">
        <f>IF(A404="","",IFERROR(AVERAGEIF(RacePerformance!$F:$F,A404,RacePerformance!$I:$I),""))</f>
        <v/>
      </c>
      <c r="L404" s="6" t="str">
        <f>IF(A404="","",IFERROR(AVERAGEIF(RacePerformance!$F:$F,A404,RacePerformance!$J:$J),""))</f>
        <v/>
      </c>
      <c r="M404" s="6" t="str">
        <f>IF(A404="","",IFERROR(AVERAGEIF(RacePerformance!$F:$F,A404,RacePerformance!$K:$K),""))</f>
        <v/>
      </c>
      <c r="N404" s="6" t="str">
        <f>IF(A404="","",COUNTIFS(RacePerformance!$F:$F,A404,RacePerformance!$I:$I,"&lt;=20"))</f>
        <v/>
      </c>
      <c r="O404" s="6" t="str">
        <f>IF(A404="","",COUNTIFS(RacePerformance!$F:$F,A404,RacePerformance!$I:$I,1))</f>
        <v/>
      </c>
      <c r="P404" s="6" t="str">
        <f>IF(A404="","",COUNTIFS(RacePerformance!$F:$F,A404,RacePerformance!$J:$J,"&lt;=3"))</f>
        <v/>
      </c>
    </row>
    <row r="405" spans="1:16" ht="14.2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6" t="str">
        <f>IF(A405="","",COUNTIF(RacePerformance!$F:$F,A405))</f>
        <v/>
      </c>
      <c r="K405" s="6" t="str">
        <f>IF(A405="","",IFERROR(AVERAGEIF(RacePerformance!$F:$F,A405,RacePerformance!$I:$I),""))</f>
        <v/>
      </c>
      <c r="L405" s="6" t="str">
        <f>IF(A405="","",IFERROR(AVERAGEIF(RacePerformance!$F:$F,A405,RacePerformance!$J:$J),""))</f>
        <v/>
      </c>
      <c r="M405" s="6" t="str">
        <f>IF(A405="","",IFERROR(AVERAGEIF(RacePerformance!$F:$F,A405,RacePerformance!$K:$K),""))</f>
        <v/>
      </c>
      <c r="N405" s="6" t="str">
        <f>IF(A405="","",COUNTIFS(RacePerformance!$F:$F,A405,RacePerformance!$I:$I,"&lt;=20"))</f>
        <v/>
      </c>
      <c r="O405" s="6" t="str">
        <f>IF(A405="","",COUNTIFS(RacePerformance!$F:$F,A405,RacePerformance!$I:$I,1))</f>
        <v/>
      </c>
      <c r="P405" s="6" t="str">
        <f>IF(A405="","",COUNTIFS(RacePerformance!$F:$F,A405,RacePerformance!$J:$J,"&lt;=3"))</f>
        <v/>
      </c>
    </row>
    <row r="406" spans="1:16" ht="14.2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6" t="str">
        <f>IF(A406="","",COUNTIF(RacePerformance!$F:$F,A406))</f>
        <v/>
      </c>
      <c r="K406" s="6" t="str">
        <f>IF(A406="","",IFERROR(AVERAGEIF(RacePerformance!$F:$F,A406,RacePerformance!$I:$I),""))</f>
        <v/>
      </c>
      <c r="L406" s="6" t="str">
        <f>IF(A406="","",IFERROR(AVERAGEIF(RacePerformance!$F:$F,A406,RacePerformance!$J:$J),""))</f>
        <v/>
      </c>
      <c r="M406" s="6" t="str">
        <f>IF(A406="","",IFERROR(AVERAGEIF(RacePerformance!$F:$F,A406,RacePerformance!$K:$K),""))</f>
        <v/>
      </c>
      <c r="N406" s="6" t="str">
        <f>IF(A406="","",COUNTIFS(RacePerformance!$F:$F,A406,RacePerformance!$I:$I,"&lt;=20"))</f>
        <v/>
      </c>
      <c r="O406" s="6" t="str">
        <f>IF(A406="","",COUNTIFS(RacePerformance!$F:$F,A406,RacePerformance!$I:$I,1))</f>
        <v/>
      </c>
      <c r="P406" s="6" t="str">
        <f>IF(A406="","",COUNTIFS(RacePerformance!$F:$F,A406,RacePerformance!$J:$J,"&lt;=3"))</f>
        <v/>
      </c>
    </row>
    <row r="407" spans="1:16" ht="14.2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6" t="str">
        <f>IF(A407="","",COUNTIF(RacePerformance!$F:$F,A407))</f>
        <v/>
      </c>
      <c r="K407" s="6" t="str">
        <f>IF(A407="","",IFERROR(AVERAGEIF(RacePerformance!$F:$F,A407,RacePerformance!$I:$I),""))</f>
        <v/>
      </c>
      <c r="L407" s="6" t="str">
        <f>IF(A407="","",IFERROR(AVERAGEIF(RacePerformance!$F:$F,A407,RacePerformance!$J:$J),""))</f>
        <v/>
      </c>
      <c r="M407" s="6" t="str">
        <f>IF(A407="","",IFERROR(AVERAGEIF(RacePerformance!$F:$F,A407,RacePerformance!$K:$K),""))</f>
        <v/>
      </c>
      <c r="N407" s="6" t="str">
        <f>IF(A407="","",COUNTIFS(RacePerformance!$F:$F,A407,RacePerformance!$I:$I,"&lt;=20"))</f>
        <v/>
      </c>
      <c r="O407" s="6" t="str">
        <f>IF(A407="","",COUNTIFS(RacePerformance!$F:$F,A407,RacePerformance!$I:$I,1))</f>
        <v/>
      </c>
      <c r="P407" s="6" t="str">
        <f>IF(A407="","",COUNTIFS(RacePerformance!$F:$F,A407,RacePerformance!$J:$J,"&lt;=3"))</f>
        <v/>
      </c>
    </row>
    <row r="408" spans="1:16" ht="14.2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6" t="str">
        <f>IF(A408="","",COUNTIF(RacePerformance!$F:$F,A408))</f>
        <v/>
      </c>
      <c r="K408" s="6" t="str">
        <f>IF(A408="","",IFERROR(AVERAGEIF(RacePerformance!$F:$F,A408,RacePerformance!$I:$I),""))</f>
        <v/>
      </c>
      <c r="L408" s="6" t="str">
        <f>IF(A408="","",IFERROR(AVERAGEIF(RacePerformance!$F:$F,A408,RacePerformance!$J:$J),""))</f>
        <v/>
      </c>
      <c r="M408" s="6" t="str">
        <f>IF(A408="","",IFERROR(AVERAGEIF(RacePerformance!$F:$F,A408,RacePerformance!$K:$K),""))</f>
        <v/>
      </c>
      <c r="N408" s="6" t="str">
        <f>IF(A408="","",COUNTIFS(RacePerformance!$F:$F,A408,RacePerformance!$I:$I,"&lt;=20"))</f>
        <v/>
      </c>
      <c r="O408" s="6" t="str">
        <f>IF(A408="","",COUNTIFS(RacePerformance!$F:$F,A408,RacePerformance!$I:$I,1))</f>
        <v/>
      </c>
      <c r="P408" s="6" t="str">
        <f>IF(A408="","",COUNTIFS(RacePerformance!$F:$F,A408,RacePerformance!$J:$J,"&lt;=3"))</f>
        <v/>
      </c>
    </row>
    <row r="409" spans="1:16" ht="14.2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6" t="str">
        <f>IF(A409="","",COUNTIF(RacePerformance!$F:$F,A409))</f>
        <v/>
      </c>
      <c r="K409" s="6" t="str">
        <f>IF(A409="","",IFERROR(AVERAGEIF(RacePerformance!$F:$F,A409,RacePerformance!$I:$I),""))</f>
        <v/>
      </c>
      <c r="L409" s="6" t="str">
        <f>IF(A409="","",IFERROR(AVERAGEIF(RacePerformance!$F:$F,A409,RacePerformance!$J:$J),""))</f>
        <v/>
      </c>
      <c r="M409" s="6" t="str">
        <f>IF(A409="","",IFERROR(AVERAGEIF(RacePerformance!$F:$F,A409,RacePerformance!$K:$K),""))</f>
        <v/>
      </c>
      <c r="N409" s="6" t="str">
        <f>IF(A409="","",COUNTIFS(RacePerformance!$F:$F,A409,RacePerformance!$I:$I,"&lt;=20"))</f>
        <v/>
      </c>
      <c r="O409" s="6" t="str">
        <f>IF(A409="","",COUNTIFS(RacePerformance!$F:$F,A409,RacePerformance!$I:$I,1))</f>
        <v/>
      </c>
      <c r="P409" s="6" t="str">
        <f>IF(A409="","",COUNTIFS(RacePerformance!$F:$F,A409,RacePerformance!$J:$J,"&lt;=3"))</f>
        <v/>
      </c>
    </row>
    <row r="410" spans="1:16" ht="14.2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6" t="str">
        <f>IF(A410="","",COUNTIF(RacePerformance!$F:$F,A410))</f>
        <v/>
      </c>
      <c r="K410" s="6" t="str">
        <f>IF(A410="","",IFERROR(AVERAGEIF(RacePerformance!$F:$F,A410,RacePerformance!$I:$I),""))</f>
        <v/>
      </c>
      <c r="L410" s="6" t="str">
        <f>IF(A410="","",IFERROR(AVERAGEIF(RacePerformance!$F:$F,A410,RacePerformance!$J:$J),""))</f>
        <v/>
      </c>
      <c r="M410" s="6" t="str">
        <f>IF(A410="","",IFERROR(AVERAGEIF(RacePerformance!$F:$F,A410,RacePerformance!$K:$K),""))</f>
        <v/>
      </c>
      <c r="N410" s="6" t="str">
        <f>IF(A410="","",COUNTIFS(RacePerformance!$F:$F,A410,RacePerformance!$I:$I,"&lt;=20"))</f>
        <v/>
      </c>
      <c r="O410" s="6" t="str">
        <f>IF(A410="","",COUNTIFS(RacePerformance!$F:$F,A410,RacePerformance!$I:$I,1))</f>
        <v/>
      </c>
      <c r="P410" s="6" t="str">
        <f>IF(A410="","",COUNTIFS(RacePerformance!$F:$F,A410,RacePerformance!$J:$J,"&lt;=3"))</f>
        <v/>
      </c>
    </row>
    <row r="411" spans="1:16" ht="14.2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6" t="str">
        <f>IF(A411="","",COUNTIF(RacePerformance!$F:$F,A411))</f>
        <v/>
      </c>
      <c r="K411" s="6" t="str">
        <f>IF(A411="","",IFERROR(AVERAGEIF(RacePerformance!$F:$F,A411,RacePerformance!$I:$I),""))</f>
        <v/>
      </c>
      <c r="L411" s="6" t="str">
        <f>IF(A411="","",IFERROR(AVERAGEIF(RacePerformance!$F:$F,A411,RacePerformance!$J:$J),""))</f>
        <v/>
      </c>
      <c r="M411" s="6" t="str">
        <f>IF(A411="","",IFERROR(AVERAGEIF(RacePerformance!$F:$F,A411,RacePerformance!$K:$K),""))</f>
        <v/>
      </c>
      <c r="N411" s="6" t="str">
        <f>IF(A411="","",COUNTIFS(RacePerformance!$F:$F,A411,RacePerformance!$I:$I,"&lt;=20"))</f>
        <v/>
      </c>
      <c r="O411" s="6" t="str">
        <f>IF(A411="","",COUNTIFS(RacePerformance!$F:$F,A411,RacePerformance!$I:$I,1))</f>
        <v/>
      </c>
      <c r="P411" s="6" t="str">
        <f>IF(A411="","",COUNTIFS(RacePerformance!$F:$F,A411,RacePerformance!$J:$J,"&lt;=3"))</f>
        <v/>
      </c>
    </row>
    <row r="412" spans="1:16" ht="14.2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6" t="str">
        <f>IF(A412="","",COUNTIF(RacePerformance!$F:$F,A412))</f>
        <v/>
      </c>
      <c r="K412" s="6" t="str">
        <f>IF(A412="","",IFERROR(AVERAGEIF(RacePerformance!$F:$F,A412,RacePerformance!$I:$I),""))</f>
        <v/>
      </c>
      <c r="L412" s="6" t="str">
        <f>IF(A412="","",IFERROR(AVERAGEIF(RacePerformance!$F:$F,A412,RacePerformance!$J:$J),""))</f>
        <v/>
      </c>
      <c r="M412" s="6" t="str">
        <f>IF(A412="","",IFERROR(AVERAGEIF(RacePerformance!$F:$F,A412,RacePerformance!$K:$K),""))</f>
        <v/>
      </c>
      <c r="N412" s="6" t="str">
        <f>IF(A412="","",COUNTIFS(RacePerformance!$F:$F,A412,RacePerformance!$I:$I,"&lt;=20"))</f>
        <v/>
      </c>
      <c r="O412" s="6" t="str">
        <f>IF(A412="","",COUNTIFS(RacePerformance!$F:$F,A412,RacePerformance!$I:$I,1))</f>
        <v/>
      </c>
      <c r="P412" s="6" t="str">
        <f>IF(A412="","",COUNTIFS(RacePerformance!$F:$F,A412,RacePerformance!$J:$J,"&lt;=3"))</f>
        <v/>
      </c>
    </row>
    <row r="413" spans="1:16" ht="14.2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6" t="str">
        <f>IF(A413="","",COUNTIF(RacePerformance!$F:$F,A413))</f>
        <v/>
      </c>
      <c r="K413" s="6" t="str">
        <f>IF(A413="","",IFERROR(AVERAGEIF(RacePerformance!$F:$F,A413,RacePerformance!$I:$I),""))</f>
        <v/>
      </c>
      <c r="L413" s="6" t="str">
        <f>IF(A413="","",IFERROR(AVERAGEIF(RacePerformance!$F:$F,A413,RacePerformance!$J:$J),""))</f>
        <v/>
      </c>
      <c r="M413" s="6" t="str">
        <f>IF(A413="","",IFERROR(AVERAGEIF(RacePerformance!$F:$F,A413,RacePerformance!$K:$K),""))</f>
        <v/>
      </c>
      <c r="N413" s="6" t="str">
        <f>IF(A413="","",COUNTIFS(RacePerformance!$F:$F,A413,RacePerformance!$I:$I,"&lt;=20"))</f>
        <v/>
      </c>
      <c r="O413" s="6" t="str">
        <f>IF(A413="","",COUNTIFS(RacePerformance!$F:$F,A413,RacePerformance!$I:$I,1))</f>
        <v/>
      </c>
      <c r="P413" s="6" t="str">
        <f>IF(A413="","",COUNTIFS(RacePerformance!$F:$F,A413,RacePerformance!$J:$J,"&lt;=3"))</f>
        <v/>
      </c>
    </row>
    <row r="414" spans="1:16" ht="14.2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6" t="str">
        <f>IF(A414="","",COUNTIF(RacePerformance!$F:$F,A414))</f>
        <v/>
      </c>
      <c r="K414" s="6" t="str">
        <f>IF(A414="","",IFERROR(AVERAGEIF(RacePerformance!$F:$F,A414,RacePerformance!$I:$I),""))</f>
        <v/>
      </c>
      <c r="L414" s="6" t="str">
        <f>IF(A414="","",IFERROR(AVERAGEIF(RacePerformance!$F:$F,A414,RacePerformance!$J:$J),""))</f>
        <v/>
      </c>
      <c r="M414" s="6" t="str">
        <f>IF(A414="","",IFERROR(AVERAGEIF(RacePerformance!$F:$F,A414,RacePerformance!$K:$K),""))</f>
        <v/>
      </c>
      <c r="N414" s="6" t="str">
        <f>IF(A414="","",COUNTIFS(RacePerformance!$F:$F,A414,RacePerformance!$I:$I,"&lt;=20"))</f>
        <v/>
      </c>
      <c r="O414" s="6" t="str">
        <f>IF(A414="","",COUNTIFS(RacePerformance!$F:$F,A414,RacePerformance!$I:$I,1))</f>
        <v/>
      </c>
      <c r="P414" s="6" t="str">
        <f>IF(A414="","",COUNTIFS(RacePerformance!$F:$F,A414,RacePerformance!$J:$J,"&lt;=3"))</f>
        <v/>
      </c>
    </row>
    <row r="415" spans="1:16" ht="14.2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6" t="str">
        <f>IF(A415="","",COUNTIF(RacePerformance!$F:$F,A415))</f>
        <v/>
      </c>
      <c r="K415" s="6" t="str">
        <f>IF(A415="","",IFERROR(AVERAGEIF(RacePerformance!$F:$F,A415,RacePerformance!$I:$I),""))</f>
        <v/>
      </c>
      <c r="L415" s="6" t="str">
        <f>IF(A415="","",IFERROR(AVERAGEIF(RacePerformance!$F:$F,A415,RacePerformance!$J:$J),""))</f>
        <v/>
      </c>
      <c r="M415" s="6" t="str">
        <f>IF(A415="","",IFERROR(AVERAGEIF(RacePerformance!$F:$F,A415,RacePerformance!$K:$K),""))</f>
        <v/>
      </c>
      <c r="N415" s="6" t="str">
        <f>IF(A415="","",COUNTIFS(RacePerformance!$F:$F,A415,RacePerformance!$I:$I,"&lt;=20"))</f>
        <v/>
      </c>
      <c r="O415" s="6" t="str">
        <f>IF(A415="","",COUNTIFS(RacePerformance!$F:$F,A415,RacePerformance!$I:$I,1))</f>
        <v/>
      </c>
      <c r="P415" s="6" t="str">
        <f>IF(A415="","",COUNTIFS(RacePerformance!$F:$F,A415,RacePerformance!$J:$J,"&lt;=3"))</f>
        <v/>
      </c>
    </row>
    <row r="416" spans="1:16" ht="14.2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6" t="str">
        <f>IF(A416="","",COUNTIF(RacePerformance!$F:$F,A416))</f>
        <v/>
      </c>
      <c r="K416" s="6" t="str">
        <f>IF(A416="","",IFERROR(AVERAGEIF(RacePerformance!$F:$F,A416,RacePerformance!$I:$I),""))</f>
        <v/>
      </c>
      <c r="L416" s="6" t="str">
        <f>IF(A416="","",IFERROR(AVERAGEIF(RacePerformance!$F:$F,A416,RacePerformance!$J:$J),""))</f>
        <v/>
      </c>
      <c r="M416" s="6" t="str">
        <f>IF(A416="","",IFERROR(AVERAGEIF(RacePerformance!$F:$F,A416,RacePerformance!$K:$K),""))</f>
        <v/>
      </c>
      <c r="N416" s="6" t="str">
        <f>IF(A416="","",COUNTIFS(RacePerformance!$F:$F,A416,RacePerformance!$I:$I,"&lt;=20"))</f>
        <v/>
      </c>
      <c r="O416" s="6" t="str">
        <f>IF(A416="","",COUNTIFS(RacePerformance!$F:$F,A416,RacePerformance!$I:$I,1))</f>
        <v/>
      </c>
      <c r="P416" s="6" t="str">
        <f>IF(A416="","",COUNTIFS(RacePerformance!$F:$F,A416,RacePerformance!$J:$J,"&lt;=3"))</f>
        <v/>
      </c>
    </row>
    <row r="417" spans="1:16" ht="14.2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6" t="str">
        <f>IF(A417="","",COUNTIF(RacePerformance!$F:$F,A417))</f>
        <v/>
      </c>
      <c r="K417" s="6" t="str">
        <f>IF(A417="","",IFERROR(AVERAGEIF(RacePerformance!$F:$F,A417,RacePerformance!$I:$I),""))</f>
        <v/>
      </c>
      <c r="L417" s="6" t="str">
        <f>IF(A417="","",IFERROR(AVERAGEIF(RacePerformance!$F:$F,A417,RacePerformance!$J:$J),""))</f>
        <v/>
      </c>
      <c r="M417" s="6" t="str">
        <f>IF(A417="","",IFERROR(AVERAGEIF(RacePerformance!$F:$F,A417,RacePerformance!$K:$K),""))</f>
        <v/>
      </c>
      <c r="N417" s="6" t="str">
        <f>IF(A417="","",COUNTIFS(RacePerformance!$F:$F,A417,RacePerformance!$I:$I,"&lt;=20"))</f>
        <v/>
      </c>
      <c r="O417" s="6" t="str">
        <f>IF(A417="","",COUNTIFS(RacePerformance!$F:$F,A417,RacePerformance!$I:$I,1))</f>
        <v/>
      </c>
      <c r="P417" s="6" t="str">
        <f>IF(A417="","",COUNTIFS(RacePerformance!$F:$F,A417,RacePerformance!$J:$J,"&lt;=3"))</f>
        <v/>
      </c>
    </row>
    <row r="418" spans="1:16" ht="14.2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6" t="str">
        <f>IF(A418="","",COUNTIF(RacePerformance!$F:$F,A418))</f>
        <v/>
      </c>
      <c r="K418" s="6" t="str">
        <f>IF(A418="","",IFERROR(AVERAGEIF(RacePerformance!$F:$F,A418,RacePerformance!$I:$I),""))</f>
        <v/>
      </c>
      <c r="L418" s="6" t="str">
        <f>IF(A418="","",IFERROR(AVERAGEIF(RacePerformance!$F:$F,A418,RacePerformance!$J:$J),""))</f>
        <v/>
      </c>
      <c r="M418" s="6" t="str">
        <f>IF(A418="","",IFERROR(AVERAGEIF(RacePerformance!$F:$F,A418,RacePerformance!$K:$K),""))</f>
        <v/>
      </c>
      <c r="N418" s="6" t="str">
        <f>IF(A418="","",COUNTIFS(RacePerformance!$F:$F,A418,RacePerformance!$I:$I,"&lt;=20"))</f>
        <v/>
      </c>
      <c r="O418" s="6" t="str">
        <f>IF(A418="","",COUNTIFS(RacePerformance!$F:$F,A418,RacePerformance!$I:$I,1))</f>
        <v/>
      </c>
      <c r="P418" s="6" t="str">
        <f>IF(A418="","",COUNTIFS(RacePerformance!$F:$F,A418,RacePerformance!$J:$J,"&lt;=3"))</f>
        <v/>
      </c>
    </row>
    <row r="419" spans="1:16" ht="14.2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6" t="str">
        <f>IF(A419="","",COUNTIF(RacePerformance!$F:$F,A419))</f>
        <v/>
      </c>
      <c r="K419" s="6" t="str">
        <f>IF(A419="","",IFERROR(AVERAGEIF(RacePerformance!$F:$F,A419,RacePerformance!$I:$I),""))</f>
        <v/>
      </c>
      <c r="L419" s="6" t="str">
        <f>IF(A419="","",IFERROR(AVERAGEIF(RacePerformance!$F:$F,A419,RacePerformance!$J:$J),""))</f>
        <v/>
      </c>
      <c r="M419" s="6" t="str">
        <f>IF(A419="","",IFERROR(AVERAGEIF(RacePerformance!$F:$F,A419,RacePerformance!$K:$K),""))</f>
        <v/>
      </c>
      <c r="N419" s="6" t="str">
        <f>IF(A419="","",COUNTIFS(RacePerformance!$F:$F,A419,RacePerformance!$I:$I,"&lt;=20"))</f>
        <v/>
      </c>
      <c r="O419" s="6" t="str">
        <f>IF(A419="","",COUNTIFS(RacePerformance!$F:$F,A419,RacePerformance!$I:$I,1))</f>
        <v/>
      </c>
      <c r="P419" s="6" t="str">
        <f>IF(A419="","",COUNTIFS(RacePerformance!$F:$F,A419,RacePerformance!$J:$J,"&lt;=3"))</f>
        <v/>
      </c>
    </row>
    <row r="420" spans="1:16" ht="14.2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6" t="str">
        <f>IF(A420="","",COUNTIF(RacePerformance!$F:$F,A420))</f>
        <v/>
      </c>
      <c r="K420" s="6" t="str">
        <f>IF(A420="","",IFERROR(AVERAGEIF(RacePerformance!$F:$F,A420,RacePerformance!$I:$I),""))</f>
        <v/>
      </c>
      <c r="L420" s="6" t="str">
        <f>IF(A420="","",IFERROR(AVERAGEIF(RacePerformance!$F:$F,A420,RacePerformance!$J:$J),""))</f>
        <v/>
      </c>
      <c r="M420" s="6" t="str">
        <f>IF(A420="","",IFERROR(AVERAGEIF(RacePerformance!$F:$F,A420,RacePerformance!$K:$K),""))</f>
        <v/>
      </c>
      <c r="N420" s="6" t="str">
        <f>IF(A420="","",COUNTIFS(RacePerformance!$F:$F,A420,RacePerformance!$I:$I,"&lt;=20"))</f>
        <v/>
      </c>
      <c r="O420" s="6" t="str">
        <f>IF(A420="","",COUNTIFS(RacePerformance!$F:$F,A420,RacePerformance!$I:$I,1))</f>
        <v/>
      </c>
      <c r="P420" s="6" t="str">
        <f>IF(A420="","",COUNTIFS(RacePerformance!$F:$F,A420,RacePerformance!$J:$J,"&lt;=3"))</f>
        <v/>
      </c>
    </row>
    <row r="421" spans="1:16" ht="14.2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6" t="str">
        <f>IF(A421="","",COUNTIF(RacePerformance!$F:$F,A421))</f>
        <v/>
      </c>
      <c r="K421" s="6" t="str">
        <f>IF(A421="","",IFERROR(AVERAGEIF(RacePerformance!$F:$F,A421,RacePerformance!$I:$I),""))</f>
        <v/>
      </c>
      <c r="L421" s="6" t="str">
        <f>IF(A421="","",IFERROR(AVERAGEIF(RacePerformance!$F:$F,A421,RacePerformance!$J:$J),""))</f>
        <v/>
      </c>
      <c r="M421" s="6" t="str">
        <f>IF(A421="","",IFERROR(AVERAGEIF(RacePerformance!$F:$F,A421,RacePerformance!$K:$K),""))</f>
        <v/>
      </c>
      <c r="N421" s="6" t="str">
        <f>IF(A421="","",COUNTIFS(RacePerformance!$F:$F,A421,RacePerformance!$I:$I,"&lt;=20"))</f>
        <v/>
      </c>
      <c r="O421" s="6" t="str">
        <f>IF(A421="","",COUNTIFS(RacePerformance!$F:$F,A421,RacePerformance!$I:$I,1))</f>
        <v/>
      </c>
      <c r="P421" s="6" t="str">
        <f>IF(A421="","",COUNTIFS(RacePerformance!$F:$F,A421,RacePerformance!$J:$J,"&lt;=3"))</f>
        <v/>
      </c>
    </row>
    <row r="422" spans="1:16" ht="14.2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6" t="str">
        <f>IF(A422="","",COUNTIF(RacePerformance!$F:$F,A422))</f>
        <v/>
      </c>
      <c r="K422" s="6" t="str">
        <f>IF(A422="","",IFERROR(AVERAGEIF(RacePerformance!$F:$F,A422,RacePerformance!$I:$I),""))</f>
        <v/>
      </c>
      <c r="L422" s="6" t="str">
        <f>IF(A422="","",IFERROR(AVERAGEIF(RacePerformance!$F:$F,A422,RacePerformance!$J:$J),""))</f>
        <v/>
      </c>
      <c r="M422" s="6" t="str">
        <f>IF(A422="","",IFERROR(AVERAGEIF(RacePerformance!$F:$F,A422,RacePerformance!$K:$K),""))</f>
        <v/>
      </c>
      <c r="N422" s="6" t="str">
        <f>IF(A422="","",COUNTIFS(RacePerformance!$F:$F,A422,RacePerformance!$I:$I,"&lt;=20"))</f>
        <v/>
      </c>
      <c r="O422" s="6" t="str">
        <f>IF(A422="","",COUNTIFS(RacePerformance!$F:$F,A422,RacePerformance!$I:$I,1))</f>
        <v/>
      </c>
      <c r="P422" s="6" t="str">
        <f>IF(A422="","",COUNTIFS(RacePerformance!$F:$F,A422,RacePerformance!$J:$J,"&lt;=3"))</f>
        <v/>
      </c>
    </row>
    <row r="423" spans="1:16" ht="14.2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6" t="str">
        <f>IF(A423="","",COUNTIF(RacePerformance!$F:$F,A423))</f>
        <v/>
      </c>
      <c r="K423" s="6" t="str">
        <f>IF(A423="","",IFERROR(AVERAGEIF(RacePerformance!$F:$F,A423,RacePerformance!$I:$I),""))</f>
        <v/>
      </c>
      <c r="L423" s="6" t="str">
        <f>IF(A423="","",IFERROR(AVERAGEIF(RacePerformance!$F:$F,A423,RacePerformance!$J:$J),""))</f>
        <v/>
      </c>
      <c r="M423" s="6" t="str">
        <f>IF(A423="","",IFERROR(AVERAGEIF(RacePerformance!$F:$F,A423,RacePerformance!$K:$K),""))</f>
        <v/>
      </c>
      <c r="N423" s="6" t="str">
        <f>IF(A423="","",COUNTIFS(RacePerformance!$F:$F,A423,RacePerformance!$I:$I,"&lt;=20"))</f>
        <v/>
      </c>
      <c r="O423" s="6" t="str">
        <f>IF(A423="","",COUNTIFS(RacePerformance!$F:$F,A423,RacePerformance!$I:$I,1))</f>
        <v/>
      </c>
      <c r="P423" s="6" t="str">
        <f>IF(A423="","",COUNTIFS(RacePerformance!$F:$F,A423,RacePerformance!$J:$J,"&lt;=3"))</f>
        <v/>
      </c>
    </row>
    <row r="424" spans="1:16" ht="14.2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6" t="str">
        <f>IF(A424="","",COUNTIF(RacePerformance!$F:$F,A424))</f>
        <v/>
      </c>
      <c r="K424" s="6" t="str">
        <f>IF(A424="","",IFERROR(AVERAGEIF(RacePerformance!$F:$F,A424,RacePerformance!$I:$I),""))</f>
        <v/>
      </c>
      <c r="L424" s="6" t="str">
        <f>IF(A424="","",IFERROR(AVERAGEIF(RacePerformance!$F:$F,A424,RacePerformance!$J:$J),""))</f>
        <v/>
      </c>
      <c r="M424" s="6" t="str">
        <f>IF(A424="","",IFERROR(AVERAGEIF(RacePerformance!$F:$F,A424,RacePerformance!$K:$K),""))</f>
        <v/>
      </c>
      <c r="N424" s="6" t="str">
        <f>IF(A424="","",COUNTIFS(RacePerformance!$F:$F,A424,RacePerformance!$I:$I,"&lt;=20"))</f>
        <v/>
      </c>
      <c r="O424" s="6" t="str">
        <f>IF(A424="","",COUNTIFS(RacePerformance!$F:$F,A424,RacePerformance!$I:$I,1))</f>
        <v/>
      </c>
      <c r="P424" s="6" t="str">
        <f>IF(A424="","",COUNTIFS(RacePerformance!$F:$F,A424,RacePerformance!$J:$J,"&lt;=3"))</f>
        <v/>
      </c>
    </row>
    <row r="425" spans="1:16" ht="14.2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6" t="str">
        <f>IF(A425="","",COUNTIF(RacePerformance!$F:$F,A425))</f>
        <v/>
      </c>
      <c r="K425" s="6" t="str">
        <f>IF(A425="","",IFERROR(AVERAGEIF(RacePerformance!$F:$F,A425,RacePerformance!$I:$I),""))</f>
        <v/>
      </c>
      <c r="L425" s="6" t="str">
        <f>IF(A425="","",IFERROR(AVERAGEIF(RacePerformance!$F:$F,A425,RacePerformance!$J:$J),""))</f>
        <v/>
      </c>
      <c r="M425" s="6" t="str">
        <f>IF(A425="","",IFERROR(AVERAGEIF(RacePerformance!$F:$F,A425,RacePerformance!$K:$K),""))</f>
        <v/>
      </c>
      <c r="N425" s="6" t="str">
        <f>IF(A425="","",COUNTIFS(RacePerformance!$F:$F,A425,RacePerformance!$I:$I,"&lt;=20"))</f>
        <v/>
      </c>
      <c r="O425" s="6" t="str">
        <f>IF(A425="","",COUNTIFS(RacePerformance!$F:$F,A425,RacePerformance!$I:$I,1))</f>
        <v/>
      </c>
      <c r="P425" s="6" t="str">
        <f>IF(A425="","",COUNTIFS(RacePerformance!$F:$F,A425,RacePerformance!$J:$J,"&lt;=3"))</f>
        <v/>
      </c>
    </row>
    <row r="426" spans="1:16" ht="14.2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6" t="str">
        <f>IF(A426="","",COUNTIF(RacePerformance!$F:$F,A426))</f>
        <v/>
      </c>
      <c r="K426" s="6" t="str">
        <f>IF(A426="","",IFERROR(AVERAGEIF(RacePerformance!$F:$F,A426,RacePerformance!$I:$I),""))</f>
        <v/>
      </c>
      <c r="L426" s="6" t="str">
        <f>IF(A426="","",IFERROR(AVERAGEIF(RacePerformance!$F:$F,A426,RacePerformance!$J:$J),""))</f>
        <v/>
      </c>
      <c r="M426" s="6" t="str">
        <f>IF(A426="","",IFERROR(AVERAGEIF(RacePerformance!$F:$F,A426,RacePerformance!$K:$K),""))</f>
        <v/>
      </c>
      <c r="N426" s="6" t="str">
        <f>IF(A426="","",COUNTIFS(RacePerformance!$F:$F,A426,RacePerformance!$I:$I,"&lt;=20"))</f>
        <v/>
      </c>
      <c r="O426" s="6" t="str">
        <f>IF(A426="","",COUNTIFS(RacePerformance!$F:$F,A426,RacePerformance!$I:$I,1))</f>
        <v/>
      </c>
      <c r="P426" s="6" t="str">
        <f>IF(A426="","",COUNTIFS(RacePerformance!$F:$F,A426,RacePerformance!$J:$J,"&lt;=3"))</f>
        <v/>
      </c>
    </row>
    <row r="427" spans="1:16" ht="14.2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6" t="str">
        <f>IF(A427="","",COUNTIF(RacePerformance!$F:$F,A427))</f>
        <v/>
      </c>
      <c r="K427" s="6" t="str">
        <f>IF(A427="","",IFERROR(AVERAGEIF(RacePerformance!$F:$F,A427,RacePerformance!$I:$I),""))</f>
        <v/>
      </c>
      <c r="L427" s="6" t="str">
        <f>IF(A427="","",IFERROR(AVERAGEIF(RacePerformance!$F:$F,A427,RacePerformance!$J:$J),""))</f>
        <v/>
      </c>
      <c r="M427" s="6" t="str">
        <f>IF(A427="","",IFERROR(AVERAGEIF(RacePerformance!$F:$F,A427,RacePerformance!$K:$K),""))</f>
        <v/>
      </c>
      <c r="N427" s="6" t="str">
        <f>IF(A427="","",COUNTIFS(RacePerformance!$F:$F,A427,RacePerformance!$I:$I,"&lt;=20"))</f>
        <v/>
      </c>
      <c r="O427" s="6" t="str">
        <f>IF(A427="","",COUNTIFS(RacePerformance!$F:$F,A427,RacePerformance!$I:$I,1))</f>
        <v/>
      </c>
      <c r="P427" s="6" t="str">
        <f>IF(A427="","",COUNTIFS(RacePerformance!$F:$F,A427,RacePerformance!$J:$J,"&lt;=3"))</f>
        <v/>
      </c>
    </row>
    <row r="428" spans="1:16" ht="14.2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6" t="str">
        <f>IF(A428="","",COUNTIF(RacePerformance!$F:$F,A428))</f>
        <v/>
      </c>
      <c r="K428" s="6" t="str">
        <f>IF(A428="","",IFERROR(AVERAGEIF(RacePerformance!$F:$F,A428,RacePerformance!$I:$I),""))</f>
        <v/>
      </c>
      <c r="L428" s="6" t="str">
        <f>IF(A428="","",IFERROR(AVERAGEIF(RacePerformance!$F:$F,A428,RacePerformance!$J:$J),""))</f>
        <v/>
      </c>
      <c r="M428" s="6" t="str">
        <f>IF(A428="","",IFERROR(AVERAGEIF(RacePerformance!$F:$F,A428,RacePerformance!$K:$K),""))</f>
        <v/>
      </c>
      <c r="N428" s="6" t="str">
        <f>IF(A428="","",COUNTIFS(RacePerformance!$F:$F,A428,RacePerformance!$I:$I,"&lt;=20"))</f>
        <v/>
      </c>
      <c r="O428" s="6" t="str">
        <f>IF(A428="","",COUNTIFS(RacePerformance!$F:$F,A428,RacePerformance!$I:$I,1))</f>
        <v/>
      </c>
      <c r="P428" s="6" t="str">
        <f>IF(A428="","",COUNTIFS(RacePerformance!$F:$F,A428,RacePerformance!$J:$J,"&lt;=3"))</f>
        <v/>
      </c>
    </row>
    <row r="429" spans="1:16" ht="14.2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6" t="str">
        <f>IF(A429="","",COUNTIF(RacePerformance!$F:$F,A429))</f>
        <v/>
      </c>
      <c r="K429" s="6" t="str">
        <f>IF(A429="","",IFERROR(AVERAGEIF(RacePerformance!$F:$F,A429,RacePerformance!$I:$I),""))</f>
        <v/>
      </c>
      <c r="L429" s="6" t="str">
        <f>IF(A429="","",IFERROR(AVERAGEIF(RacePerformance!$F:$F,A429,RacePerformance!$J:$J),""))</f>
        <v/>
      </c>
      <c r="M429" s="6" t="str">
        <f>IF(A429="","",IFERROR(AVERAGEIF(RacePerformance!$F:$F,A429,RacePerformance!$K:$K),""))</f>
        <v/>
      </c>
      <c r="N429" s="6" t="str">
        <f>IF(A429="","",COUNTIFS(RacePerformance!$F:$F,A429,RacePerformance!$I:$I,"&lt;=20"))</f>
        <v/>
      </c>
      <c r="O429" s="6" t="str">
        <f>IF(A429="","",COUNTIFS(RacePerformance!$F:$F,A429,RacePerformance!$I:$I,1))</f>
        <v/>
      </c>
      <c r="P429" s="6" t="str">
        <f>IF(A429="","",COUNTIFS(RacePerformance!$F:$F,A429,RacePerformance!$J:$J,"&lt;=3"))</f>
        <v/>
      </c>
    </row>
    <row r="430" spans="1:16" ht="14.2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6" t="str">
        <f>IF(A430="","",COUNTIF(RacePerformance!$F:$F,A430))</f>
        <v/>
      </c>
      <c r="K430" s="6" t="str">
        <f>IF(A430="","",IFERROR(AVERAGEIF(RacePerformance!$F:$F,A430,RacePerformance!$I:$I),""))</f>
        <v/>
      </c>
      <c r="L430" s="6" t="str">
        <f>IF(A430="","",IFERROR(AVERAGEIF(RacePerformance!$F:$F,A430,RacePerformance!$J:$J),""))</f>
        <v/>
      </c>
      <c r="M430" s="6" t="str">
        <f>IF(A430="","",IFERROR(AVERAGEIF(RacePerformance!$F:$F,A430,RacePerformance!$K:$K),""))</f>
        <v/>
      </c>
      <c r="N430" s="6" t="str">
        <f>IF(A430="","",COUNTIFS(RacePerformance!$F:$F,A430,RacePerformance!$I:$I,"&lt;=20"))</f>
        <v/>
      </c>
      <c r="O430" s="6" t="str">
        <f>IF(A430="","",COUNTIFS(RacePerformance!$F:$F,A430,RacePerformance!$I:$I,1))</f>
        <v/>
      </c>
      <c r="P430" s="6" t="str">
        <f>IF(A430="","",COUNTIFS(RacePerformance!$F:$F,A430,RacePerformance!$J:$J,"&lt;=3"))</f>
        <v/>
      </c>
    </row>
    <row r="431" spans="1:16" ht="14.2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6" t="str">
        <f>IF(A431="","",COUNTIF(RacePerformance!$F:$F,A431))</f>
        <v/>
      </c>
      <c r="K431" s="6" t="str">
        <f>IF(A431="","",IFERROR(AVERAGEIF(RacePerformance!$F:$F,A431,RacePerformance!$I:$I),""))</f>
        <v/>
      </c>
      <c r="L431" s="6" t="str">
        <f>IF(A431="","",IFERROR(AVERAGEIF(RacePerformance!$F:$F,A431,RacePerformance!$J:$J),""))</f>
        <v/>
      </c>
      <c r="M431" s="6" t="str">
        <f>IF(A431="","",IFERROR(AVERAGEIF(RacePerformance!$F:$F,A431,RacePerformance!$K:$K),""))</f>
        <v/>
      </c>
      <c r="N431" s="6" t="str">
        <f>IF(A431="","",COUNTIFS(RacePerformance!$F:$F,A431,RacePerformance!$I:$I,"&lt;=20"))</f>
        <v/>
      </c>
      <c r="O431" s="6" t="str">
        <f>IF(A431="","",COUNTIFS(RacePerformance!$F:$F,A431,RacePerformance!$I:$I,1))</f>
        <v/>
      </c>
      <c r="P431" s="6" t="str">
        <f>IF(A431="","",COUNTIFS(RacePerformance!$F:$F,A431,RacePerformance!$J:$J,"&lt;=3"))</f>
        <v/>
      </c>
    </row>
    <row r="432" spans="1:16" ht="14.2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6" t="str">
        <f>IF(A432="","",COUNTIF(RacePerformance!$F:$F,A432))</f>
        <v/>
      </c>
      <c r="K432" s="6" t="str">
        <f>IF(A432="","",IFERROR(AVERAGEIF(RacePerformance!$F:$F,A432,RacePerformance!$I:$I),""))</f>
        <v/>
      </c>
      <c r="L432" s="6" t="str">
        <f>IF(A432="","",IFERROR(AVERAGEIF(RacePerformance!$F:$F,A432,RacePerformance!$J:$J),""))</f>
        <v/>
      </c>
      <c r="M432" s="6" t="str">
        <f>IF(A432="","",IFERROR(AVERAGEIF(RacePerformance!$F:$F,A432,RacePerformance!$K:$K),""))</f>
        <v/>
      </c>
      <c r="N432" s="6" t="str">
        <f>IF(A432="","",COUNTIFS(RacePerformance!$F:$F,A432,RacePerformance!$I:$I,"&lt;=20"))</f>
        <v/>
      </c>
      <c r="O432" s="6" t="str">
        <f>IF(A432="","",COUNTIFS(RacePerformance!$F:$F,A432,RacePerformance!$I:$I,1))</f>
        <v/>
      </c>
      <c r="P432" s="6" t="str">
        <f>IF(A432="","",COUNTIFS(RacePerformance!$F:$F,A432,RacePerformance!$J:$J,"&lt;=3"))</f>
        <v/>
      </c>
    </row>
    <row r="433" spans="1:16" ht="14.2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6" t="str">
        <f>IF(A433="","",COUNTIF(RacePerformance!$F:$F,A433))</f>
        <v/>
      </c>
      <c r="K433" s="6" t="str">
        <f>IF(A433="","",IFERROR(AVERAGEIF(RacePerformance!$F:$F,A433,RacePerformance!$I:$I),""))</f>
        <v/>
      </c>
      <c r="L433" s="6" t="str">
        <f>IF(A433="","",IFERROR(AVERAGEIF(RacePerformance!$F:$F,A433,RacePerformance!$J:$J),""))</f>
        <v/>
      </c>
      <c r="M433" s="6" t="str">
        <f>IF(A433="","",IFERROR(AVERAGEIF(RacePerformance!$F:$F,A433,RacePerformance!$K:$K),""))</f>
        <v/>
      </c>
      <c r="N433" s="6" t="str">
        <f>IF(A433="","",COUNTIFS(RacePerformance!$F:$F,A433,RacePerformance!$I:$I,"&lt;=20"))</f>
        <v/>
      </c>
      <c r="O433" s="6" t="str">
        <f>IF(A433="","",COUNTIFS(RacePerformance!$F:$F,A433,RacePerformance!$I:$I,1))</f>
        <v/>
      </c>
      <c r="P433" s="6" t="str">
        <f>IF(A433="","",COUNTIFS(RacePerformance!$F:$F,A433,RacePerformance!$J:$J,"&lt;=3"))</f>
        <v/>
      </c>
    </row>
    <row r="434" spans="1:16" ht="14.2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6" t="str">
        <f>IF(A434="","",COUNTIF(RacePerformance!$F:$F,A434))</f>
        <v/>
      </c>
      <c r="K434" s="6" t="str">
        <f>IF(A434="","",IFERROR(AVERAGEIF(RacePerformance!$F:$F,A434,RacePerformance!$I:$I),""))</f>
        <v/>
      </c>
      <c r="L434" s="6" t="str">
        <f>IF(A434="","",IFERROR(AVERAGEIF(RacePerformance!$F:$F,A434,RacePerformance!$J:$J),""))</f>
        <v/>
      </c>
      <c r="M434" s="6" t="str">
        <f>IF(A434="","",IFERROR(AVERAGEIF(RacePerformance!$F:$F,A434,RacePerformance!$K:$K),""))</f>
        <v/>
      </c>
      <c r="N434" s="6" t="str">
        <f>IF(A434="","",COUNTIFS(RacePerformance!$F:$F,A434,RacePerformance!$I:$I,"&lt;=20"))</f>
        <v/>
      </c>
      <c r="O434" s="6" t="str">
        <f>IF(A434="","",COUNTIFS(RacePerformance!$F:$F,A434,RacePerformance!$I:$I,1))</f>
        <v/>
      </c>
      <c r="P434" s="6" t="str">
        <f>IF(A434="","",COUNTIFS(RacePerformance!$F:$F,A434,RacePerformance!$J:$J,"&lt;=3"))</f>
        <v/>
      </c>
    </row>
    <row r="435" spans="1:16" ht="14.2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6" t="str">
        <f>IF(A435="","",COUNTIF(RacePerformance!$F:$F,A435))</f>
        <v/>
      </c>
      <c r="K435" s="6" t="str">
        <f>IF(A435="","",IFERROR(AVERAGEIF(RacePerformance!$F:$F,A435,RacePerformance!$I:$I),""))</f>
        <v/>
      </c>
      <c r="L435" s="6" t="str">
        <f>IF(A435="","",IFERROR(AVERAGEIF(RacePerformance!$F:$F,A435,RacePerformance!$J:$J),""))</f>
        <v/>
      </c>
      <c r="M435" s="6" t="str">
        <f>IF(A435="","",IFERROR(AVERAGEIF(RacePerformance!$F:$F,A435,RacePerformance!$K:$K),""))</f>
        <v/>
      </c>
      <c r="N435" s="6" t="str">
        <f>IF(A435="","",COUNTIFS(RacePerformance!$F:$F,A435,RacePerformance!$I:$I,"&lt;=20"))</f>
        <v/>
      </c>
      <c r="O435" s="6" t="str">
        <f>IF(A435="","",COUNTIFS(RacePerformance!$F:$F,A435,RacePerformance!$I:$I,1))</f>
        <v/>
      </c>
      <c r="P435" s="6" t="str">
        <f>IF(A435="","",COUNTIFS(RacePerformance!$F:$F,A435,RacePerformance!$J:$J,"&lt;=3"))</f>
        <v/>
      </c>
    </row>
    <row r="436" spans="1:16" ht="14.2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6" t="str">
        <f>IF(A436="","",COUNTIF(RacePerformance!$F:$F,A436))</f>
        <v/>
      </c>
      <c r="K436" s="6" t="str">
        <f>IF(A436="","",IFERROR(AVERAGEIF(RacePerformance!$F:$F,A436,RacePerformance!$I:$I),""))</f>
        <v/>
      </c>
      <c r="L436" s="6" t="str">
        <f>IF(A436="","",IFERROR(AVERAGEIF(RacePerformance!$F:$F,A436,RacePerformance!$J:$J),""))</f>
        <v/>
      </c>
      <c r="M436" s="6" t="str">
        <f>IF(A436="","",IFERROR(AVERAGEIF(RacePerformance!$F:$F,A436,RacePerformance!$K:$K),""))</f>
        <v/>
      </c>
      <c r="N436" s="6" t="str">
        <f>IF(A436="","",COUNTIFS(RacePerformance!$F:$F,A436,RacePerformance!$I:$I,"&lt;=20"))</f>
        <v/>
      </c>
      <c r="O436" s="6" t="str">
        <f>IF(A436="","",COUNTIFS(RacePerformance!$F:$F,A436,RacePerformance!$I:$I,1))</f>
        <v/>
      </c>
      <c r="P436" s="6" t="str">
        <f>IF(A436="","",COUNTIFS(RacePerformance!$F:$F,A436,RacePerformance!$J:$J,"&lt;=3"))</f>
        <v/>
      </c>
    </row>
    <row r="437" spans="1:16" ht="14.2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6" t="str">
        <f>IF(A437="","",COUNTIF(RacePerformance!$F:$F,A437))</f>
        <v/>
      </c>
      <c r="K437" s="6" t="str">
        <f>IF(A437="","",IFERROR(AVERAGEIF(RacePerformance!$F:$F,A437,RacePerformance!$I:$I),""))</f>
        <v/>
      </c>
      <c r="L437" s="6" t="str">
        <f>IF(A437="","",IFERROR(AVERAGEIF(RacePerformance!$F:$F,A437,RacePerformance!$J:$J),""))</f>
        <v/>
      </c>
      <c r="M437" s="6" t="str">
        <f>IF(A437="","",IFERROR(AVERAGEIF(RacePerformance!$F:$F,A437,RacePerformance!$K:$K),""))</f>
        <v/>
      </c>
      <c r="N437" s="6" t="str">
        <f>IF(A437="","",COUNTIFS(RacePerformance!$F:$F,A437,RacePerformance!$I:$I,"&lt;=20"))</f>
        <v/>
      </c>
      <c r="O437" s="6" t="str">
        <f>IF(A437="","",COUNTIFS(RacePerformance!$F:$F,A437,RacePerformance!$I:$I,1))</f>
        <v/>
      </c>
      <c r="P437" s="6" t="str">
        <f>IF(A437="","",COUNTIFS(RacePerformance!$F:$F,A437,RacePerformance!$J:$J,"&lt;=3"))</f>
        <v/>
      </c>
    </row>
    <row r="438" spans="1:16" ht="14.2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6" t="str">
        <f>IF(A438="","",COUNTIF(RacePerformance!$F:$F,A438))</f>
        <v/>
      </c>
      <c r="K438" s="6" t="str">
        <f>IF(A438="","",IFERROR(AVERAGEIF(RacePerformance!$F:$F,A438,RacePerformance!$I:$I),""))</f>
        <v/>
      </c>
      <c r="L438" s="6" t="str">
        <f>IF(A438="","",IFERROR(AVERAGEIF(RacePerformance!$F:$F,A438,RacePerformance!$J:$J),""))</f>
        <v/>
      </c>
      <c r="M438" s="6" t="str">
        <f>IF(A438="","",IFERROR(AVERAGEIF(RacePerformance!$F:$F,A438,RacePerformance!$K:$K),""))</f>
        <v/>
      </c>
      <c r="N438" s="6" t="str">
        <f>IF(A438="","",COUNTIFS(RacePerformance!$F:$F,A438,RacePerformance!$I:$I,"&lt;=20"))</f>
        <v/>
      </c>
      <c r="O438" s="6" t="str">
        <f>IF(A438="","",COUNTIFS(RacePerformance!$F:$F,A438,RacePerformance!$I:$I,1))</f>
        <v/>
      </c>
      <c r="P438" s="6" t="str">
        <f>IF(A438="","",COUNTIFS(RacePerformance!$F:$F,A438,RacePerformance!$J:$J,"&lt;=3"))</f>
        <v/>
      </c>
    </row>
    <row r="439" spans="1:16" ht="14.2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6" t="str">
        <f>IF(A439="","",COUNTIF(RacePerformance!$F:$F,A439))</f>
        <v/>
      </c>
      <c r="K439" s="6" t="str">
        <f>IF(A439="","",IFERROR(AVERAGEIF(RacePerformance!$F:$F,A439,RacePerformance!$I:$I),""))</f>
        <v/>
      </c>
      <c r="L439" s="6" t="str">
        <f>IF(A439="","",IFERROR(AVERAGEIF(RacePerformance!$F:$F,A439,RacePerformance!$J:$J),""))</f>
        <v/>
      </c>
      <c r="M439" s="6" t="str">
        <f>IF(A439="","",IFERROR(AVERAGEIF(RacePerformance!$F:$F,A439,RacePerformance!$K:$K),""))</f>
        <v/>
      </c>
      <c r="N439" s="6" t="str">
        <f>IF(A439="","",COUNTIFS(RacePerformance!$F:$F,A439,RacePerformance!$I:$I,"&lt;=20"))</f>
        <v/>
      </c>
      <c r="O439" s="6" t="str">
        <f>IF(A439="","",COUNTIFS(RacePerformance!$F:$F,A439,RacePerformance!$I:$I,1))</f>
        <v/>
      </c>
      <c r="P439" s="6" t="str">
        <f>IF(A439="","",COUNTIFS(RacePerformance!$F:$F,A439,RacePerformance!$J:$J,"&lt;=3"))</f>
        <v/>
      </c>
    </row>
    <row r="440" spans="1:16" ht="14.2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6" t="str">
        <f>IF(A440="","",COUNTIF(RacePerformance!$F:$F,A440))</f>
        <v/>
      </c>
      <c r="K440" s="6" t="str">
        <f>IF(A440="","",IFERROR(AVERAGEIF(RacePerformance!$F:$F,A440,RacePerformance!$I:$I),""))</f>
        <v/>
      </c>
      <c r="L440" s="6" t="str">
        <f>IF(A440="","",IFERROR(AVERAGEIF(RacePerformance!$F:$F,A440,RacePerformance!$J:$J),""))</f>
        <v/>
      </c>
      <c r="M440" s="6" t="str">
        <f>IF(A440="","",IFERROR(AVERAGEIF(RacePerformance!$F:$F,A440,RacePerformance!$K:$K),""))</f>
        <v/>
      </c>
      <c r="N440" s="6" t="str">
        <f>IF(A440="","",COUNTIFS(RacePerformance!$F:$F,A440,RacePerformance!$I:$I,"&lt;=20"))</f>
        <v/>
      </c>
      <c r="O440" s="6" t="str">
        <f>IF(A440="","",COUNTIFS(RacePerformance!$F:$F,A440,RacePerformance!$I:$I,1))</f>
        <v/>
      </c>
      <c r="P440" s="6" t="str">
        <f>IF(A440="","",COUNTIFS(RacePerformance!$F:$F,A440,RacePerformance!$J:$J,"&lt;=3"))</f>
        <v/>
      </c>
    </row>
    <row r="441" spans="1:16" ht="14.2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6" t="str">
        <f>IF(A441="","",COUNTIF(RacePerformance!$F:$F,A441))</f>
        <v/>
      </c>
      <c r="K441" s="6" t="str">
        <f>IF(A441="","",IFERROR(AVERAGEIF(RacePerformance!$F:$F,A441,RacePerformance!$I:$I),""))</f>
        <v/>
      </c>
      <c r="L441" s="6" t="str">
        <f>IF(A441="","",IFERROR(AVERAGEIF(RacePerformance!$F:$F,A441,RacePerformance!$J:$J),""))</f>
        <v/>
      </c>
      <c r="M441" s="6" t="str">
        <f>IF(A441="","",IFERROR(AVERAGEIF(RacePerformance!$F:$F,A441,RacePerformance!$K:$K),""))</f>
        <v/>
      </c>
      <c r="N441" s="6" t="str">
        <f>IF(A441="","",COUNTIFS(RacePerformance!$F:$F,A441,RacePerformance!$I:$I,"&lt;=20"))</f>
        <v/>
      </c>
      <c r="O441" s="6" t="str">
        <f>IF(A441="","",COUNTIFS(RacePerformance!$F:$F,A441,RacePerformance!$I:$I,1))</f>
        <v/>
      </c>
      <c r="P441" s="6" t="str">
        <f>IF(A441="","",COUNTIFS(RacePerformance!$F:$F,A441,RacePerformance!$J:$J,"&lt;=3"))</f>
        <v/>
      </c>
    </row>
    <row r="442" spans="1:16" ht="14.2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6" t="str">
        <f>IF(A442="","",COUNTIF(RacePerformance!$F:$F,A442))</f>
        <v/>
      </c>
      <c r="K442" s="6" t="str">
        <f>IF(A442="","",IFERROR(AVERAGEIF(RacePerformance!$F:$F,A442,RacePerformance!$I:$I),""))</f>
        <v/>
      </c>
      <c r="L442" s="6" t="str">
        <f>IF(A442="","",IFERROR(AVERAGEIF(RacePerformance!$F:$F,A442,RacePerformance!$J:$J),""))</f>
        <v/>
      </c>
      <c r="M442" s="6" t="str">
        <f>IF(A442="","",IFERROR(AVERAGEIF(RacePerformance!$F:$F,A442,RacePerformance!$K:$K),""))</f>
        <v/>
      </c>
      <c r="N442" s="6" t="str">
        <f>IF(A442="","",COUNTIFS(RacePerformance!$F:$F,A442,RacePerformance!$I:$I,"&lt;=20"))</f>
        <v/>
      </c>
      <c r="O442" s="6" t="str">
        <f>IF(A442="","",COUNTIFS(RacePerformance!$F:$F,A442,RacePerformance!$I:$I,1))</f>
        <v/>
      </c>
      <c r="P442" s="6" t="str">
        <f>IF(A442="","",COUNTIFS(RacePerformance!$F:$F,A442,RacePerformance!$J:$J,"&lt;=3"))</f>
        <v/>
      </c>
    </row>
    <row r="443" spans="1:16" ht="14.2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6" t="str">
        <f>IF(A443="","",COUNTIF(RacePerformance!$F:$F,A443))</f>
        <v/>
      </c>
      <c r="K443" s="6" t="str">
        <f>IF(A443="","",IFERROR(AVERAGEIF(RacePerformance!$F:$F,A443,RacePerformance!$I:$I),""))</f>
        <v/>
      </c>
      <c r="L443" s="6" t="str">
        <f>IF(A443="","",IFERROR(AVERAGEIF(RacePerformance!$F:$F,A443,RacePerformance!$J:$J),""))</f>
        <v/>
      </c>
      <c r="M443" s="6" t="str">
        <f>IF(A443="","",IFERROR(AVERAGEIF(RacePerformance!$F:$F,A443,RacePerformance!$K:$K),""))</f>
        <v/>
      </c>
      <c r="N443" s="6" t="str">
        <f>IF(A443="","",COUNTIFS(RacePerformance!$F:$F,A443,RacePerformance!$I:$I,"&lt;=20"))</f>
        <v/>
      </c>
      <c r="O443" s="6" t="str">
        <f>IF(A443="","",COUNTIFS(RacePerformance!$F:$F,A443,RacePerformance!$I:$I,1))</f>
        <v/>
      </c>
      <c r="P443" s="6" t="str">
        <f>IF(A443="","",COUNTIFS(RacePerformance!$F:$F,A443,RacePerformance!$J:$J,"&lt;=3"))</f>
        <v/>
      </c>
    </row>
    <row r="444" spans="1:16" ht="14.2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6" t="str">
        <f>IF(A444="","",COUNTIF(RacePerformance!$F:$F,A444))</f>
        <v/>
      </c>
      <c r="K444" s="6" t="str">
        <f>IF(A444="","",IFERROR(AVERAGEIF(RacePerformance!$F:$F,A444,RacePerformance!$I:$I),""))</f>
        <v/>
      </c>
      <c r="L444" s="6" t="str">
        <f>IF(A444="","",IFERROR(AVERAGEIF(RacePerformance!$F:$F,A444,RacePerformance!$J:$J),""))</f>
        <v/>
      </c>
      <c r="M444" s="6" t="str">
        <f>IF(A444="","",IFERROR(AVERAGEIF(RacePerformance!$F:$F,A444,RacePerformance!$K:$K),""))</f>
        <v/>
      </c>
      <c r="N444" s="6" t="str">
        <f>IF(A444="","",COUNTIFS(RacePerformance!$F:$F,A444,RacePerformance!$I:$I,"&lt;=20"))</f>
        <v/>
      </c>
      <c r="O444" s="6" t="str">
        <f>IF(A444="","",COUNTIFS(RacePerformance!$F:$F,A444,RacePerformance!$I:$I,1))</f>
        <v/>
      </c>
      <c r="P444" s="6" t="str">
        <f>IF(A444="","",COUNTIFS(RacePerformance!$F:$F,A444,RacePerformance!$J:$J,"&lt;=3"))</f>
        <v/>
      </c>
    </row>
    <row r="445" spans="1:16" ht="14.2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6" t="str">
        <f>IF(A445="","",COUNTIF(RacePerformance!$F:$F,A445))</f>
        <v/>
      </c>
      <c r="K445" s="6" t="str">
        <f>IF(A445="","",IFERROR(AVERAGEIF(RacePerformance!$F:$F,A445,RacePerformance!$I:$I),""))</f>
        <v/>
      </c>
      <c r="L445" s="6" t="str">
        <f>IF(A445="","",IFERROR(AVERAGEIF(RacePerformance!$F:$F,A445,RacePerformance!$J:$J),""))</f>
        <v/>
      </c>
      <c r="M445" s="6" t="str">
        <f>IF(A445="","",IFERROR(AVERAGEIF(RacePerformance!$F:$F,A445,RacePerformance!$K:$K),""))</f>
        <v/>
      </c>
      <c r="N445" s="6" t="str">
        <f>IF(A445="","",COUNTIFS(RacePerformance!$F:$F,A445,RacePerformance!$I:$I,"&lt;=20"))</f>
        <v/>
      </c>
      <c r="O445" s="6" t="str">
        <f>IF(A445="","",COUNTIFS(RacePerformance!$F:$F,A445,RacePerformance!$I:$I,1))</f>
        <v/>
      </c>
      <c r="P445" s="6" t="str">
        <f>IF(A445="","",COUNTIFS(RacePerformance!$F:$F,A445,RacePerformance!$J:$J,"&lt;=3"))</f>
        <v/>
      </c>
    </row>
    <row r="446" spans="1:16" ht="14.2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6" t="str">
        <f>IF(A446="","",COUNTIF(RacePerformance!$F:$F,A446))</f>
        <v/>
      </c>
      <c r="K446" s="6" t="str">
        <f>IF(A446="","",IFERROR(AVERAGEIF(RacePerformance!$F:$F,A446,RacePerformance!$I:$I),""))</f>
        <v/>
      </c>
      <c r="L446" s="6" t="str">
        <f>IF(A446="","",IFERROR(AVERAGEIF(RacePerformance!$F:$F,A446,RacePerformance!$J:$J),""))</f>
        <v/>
      </c>
      <c r="M446" s="6" t="str">
        <f>IF(A446="","",IFERROR(AVERAGEIF(RacePerformance!$F:$F,A446,RacePerformance!$K:$K),""))</f>
        <v/>
      </c>
      <c r="N446" s="6" t="str">
        <f>IF(A446="","",COUNTIFS(RacePerformance!$F:$F,A446,RacePerformance!$I:$I,"&lt;=20"))</f>
        <v/>
      </c>
      <c r="O446" s="6" t="str">
        <f>IF(A446="","",COUNTIFS(RacePerformance!$F:$F,A446,RacePerformance!$I:$I,1))</f>
        <v/>
      </c>
      <c r="P446" s="6" t="str">
        <f>IF(A446="","",COUNTIFS(RacePerformance!$F:$F,A446,RacePerformance!$J:$J,"&lt;=3"))</f>
        <v/>
      </c>
    </row>
    <row r="447" spans="1:16" ht="14.2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6" t="str">
        <f>IF(A447="","",COUNTIF(RacePerformance!$F:$F,A447))</f>
        <v/>
      </c>
      <c r="K447" s="6" t="str">
        <f>IF(A447="","",IFERROR(AVERAGEIF(RacePerformance!$F:$F,A447,RacePerformance!$I:$I),""))</f>
        <v/>
      </c>
      <c r="L447" s="6" t="str">
        <f>IF(A447="","",IFERROR(AVERAGEIF(RacePerformance!$F:$F,A447,RacePerformance!$J:$J),""))</f>
        <v/>
      </c>
      <c r="M447" s="6" t="str">
        <f>IF(A447="","",IFERROR(AVERAGEIF(RacePerformance!$F:$F,A447,RacePerformance!$K:$K),""))</f>
        <v/>
      </c>
      <c r="N447" s="6" t="str">
        <f>IF(A447="","",COUNTIFS(RacePerformance!$F:$F,A447,RacePerformance!$I:$I,"&lt;=20"))</f>
        <v/>
      </c>
      <c r="O447" s="6" t="str">
        <f>IF(A447="","",COUNTIFS(RacePerformance!$F:$F,A447,RacePerformance!$I:$I,1))</f>
        <v/>
      </c>
      <c r="P447" s="6" t="str">
        <f>IF(A447="","",COUNTIFS(RacePerformance!$F:$F,A447,RacePerformance!$J:$J,"&lt;=3"))</f>
        <v/>
      </c>
    </row>
    <row r="448" spans="1:16" ht="14.2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6" t="str">
        <f>IF(A448="","",COUNTIF(RacePerformance!$F:$F,A448))</f>
        <v/>
      </c>
      <c r="K448" s="6" t="str">
        <f>IF(A448="","",IFERROR(AVERAGEIF(RacePerformance!$F:$F,A448,RacePerformance!$I:$I),""))</f>
        <v/>
      </c>
      <c r="L448" s="6" t="str">
        <f>IF(A448="","",IFERROR(AVERAGEIF(RacePerformance!$F:$F,A448,RacePerformance!$J:$J),""))</f>
        <v/>
      </c>
      <c r="M448" s="6" t="str">
        <f>IF(A448="","",IFERROR(AVERAGEIF(RacePerformance!$F:$F,A448,RacePerformance!$K:$K),""))</f>
        <v/>
      </c>
      <c r="N448" s="6" t="str">
        <f>IF(A448="","",COUNTIFS(RacePerformance!$F:$F,A448,RacePerformance!$I:$I,"&lt;=20"))</f>
        <v/>
      </c>
      <c r="O448" s="6" t="str">
        <f>IF(A448="","",COUNTIFS(RacePerformance!$F:$F,A448,RacePerformance!$I:$I,1))</f>
        <v/>
      </c>
      <c r="P448" s="6" t="str">
        <f>IF(A448="","",COUNTIFS(RacePerformance!$F:$F,A448,RacePerformance!$J:$J,"&lt;=3"))</f>
        <v/>
      </c>
    </row>
    <row r="449" spans="1:16" ht="14.2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6" t="str">
        <f>IF(A449="","",COUNTIF(RacePerformance!$F:$F,A449))</f>
        <v/>
      </c>
      <c r="K449" s="6" t="str">
        <f>IF(A449="","",IFERROR(AVERAGEIF(RacePerformance!$F:$F,A449,RacePerformance!$I:$I),""))</f>
        <v/>
      </c>
      <c r="L449" s="6" t="str">
        <f>IF(A449="","",IFERROR(AVERAGEIF(RacePerformance!$F:$F,A449,RacePerformance!$J:$J),""))</f>
        <v/>
      </c>
      <c r="M449" s="6" t="str">
        <f>IF(A449="","",IFERROR(AVERAGEIF(RacePerformance!$F:$F,A449,RacePerformance!$K:$K),""))</f>
        <v/>
      </c>
      <c r="N449" s="6" t="str">
        <f>IF(A449="","",COUNTIFS(RacePerformance!$F:$F,A449,RacePerformance!$I:$I,"&lt;=20"))</f>
        <v/>
      </c>
      <c r="O449" s="6" t="str">
        <f>IF(A449="","",COUNTIFS(RacePerformance!$F:$F,A449,RacePerformance!$I:$I,1))</f>
        <v/>
      </c>
      <c r="P449" s="6" t="str">
        <f>IF(A449="","",COUNTIFS(RacePerformance!$F:$F,A449,RacePerformance!$J:$J,"&lt;=3"))</f>
        <v/>
      </c>
    </row>
    <row r="450" spans="1:16" ht="14.2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6" t="str">
        <f>IF(A450="","",COUNTIF(RacePerformance!$F:$F,A450))</f>
        <v/>
      </c>
      <c r="K450" s="6" t="str">
        <f>IF(A450="","",IFERROR(AVERAGEIF(RacePerformance!$F:$F,A450,RacePerformance!$I:$I),""))</f>
        <v/>
      </c>
      <c r="L450" s="6" t="str">
        <f>IF(A450="","",IFERROR(AVERAGEIF(RacePerformance!$F:$F,A450,RacePerformance!$J:$J),""))</f>
        <v/>
      </c>
      <c r="M450" s="6" t="str">
        <f>IF(A450="","",IFERROR(AVERAGEIF(RacePerformance!$F:$F,A450,RacePerformance!$K:$K),""))</f>
        <v/>
      </c>
      <c r="N450" s="6" t="str">
        <f>IF(A450="","",COUNTIFS(RacePerformance!$F:$F,A450,RacePerformance!$I:$I,"&lt;=20"))</f>
        <v/>
      </c>
      <c r="O450" s="6" t="str">
        <f>IF(A450="","",COUNTIFS(RacePerformance!$F:$F,A450,RacePerformance!$I:$I,1))</f>
        <v/>
      </c>
      <c r="P450" s="6" t="str">
        <f>IF(A450="","",COUNTIFS(RacePerformance!$F:$F,A450,RacePerformance!$J:$J,"&lt;=3"))</f>
        <v/>
      </c>
    </row>
    <row r="451" spans="1:16" ht="14.2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6" t="str">
        <f>IF(A451="","",COUNTIF(RacePerformance!$F:$F,A451))</f>
        <v/>
      </c>
      <c r="K451" s="6" t="str">
        <f>IF(A451="","",IFERROR(AVERAGEIF(RacePerformance!$F:$F,A451,RacePerformance!$I:$I),""))</f>
        <v/>
      </c>
      <c r="L451" s="6" t="str">
        <f>IF(A451="","",IFERROR(AVERAGEIF(RacePerformance!$F:$F,A451,RacePerformance!$J:$J),""))</f>
        <v/>
      </c>
      <c r="M451" s="6" t="str">
        <f>IF(A451="","",IFERROR(AVERAGEIF(RacePerformance!$F:$F,A451,RacePerformance!$K:$K),""))</f>
        <v/>
      </c>
      <c r="N451" s="6" t="str">
        <f>IF(A451="","",COUNTIFS(RacePerformance!$F:$F,A451,RacePerformance!$I:$I,"&lt;=20"))</f>
        <v/>
      </c>
      <c r="O451" s="6" t="str">
        <f>IF(A451="","",COUNTIFS(RacePerformance!$F:$F,A451,RacePerformance!$I:$I,1))</f>
        <v/>
      </c>
      <c r="P451" s="6" t="str">
        <f>IF(A451="","",COUNTIFS(RacePerformance!$F:$F,A451,RacePerformance!$J:$J,"&lt;=3"))</f>
        <v/>
      </c>
    </row>
    <row r="452" spans="1:16" ht="14.2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6" t="str">
        <f>IF(A452="","",COUNTIF(RacePerformance!$F:$F,A452))</f>
        <v/>
      </c>
      <c r="K452" s="6" t="str">
        <f>IF(A452="","",IFERROR(AVERAGEIF(RacePerformance!$F:$F,A452,RacePerformance!$I:$I),""))</f>
        <v/>
      </c>
      <c r="L452" s="6" t="str">
        <f>IF(A452="","",IFERROR(AVERAGEIF(RacePerformance!$F:$F,A452,RacePerformance!$J:$J),""))</f>
        <v/>
      </c>
      <c r="M452" s="6" t="str">
        <f>IF(A452="","",IFERROR(AVERAGEIF(RacePerformance!$F:$F,A452,RacePerformance!$K:$K),""))</f>
        <v/>
      </c>
      <c r="N452" s="6" t="str">
        <f>IF(A452="","",COUNTIFS(RacePerformance!$F:$F,A452,RacePerformance!$I:$I,"&lt;=20"))</f>
        <v/>
      </c>
      <c r="O452" s="6" t="str">
        <f>IF(A452="","",COUNTIFS(RacePerformance!$F:$F,A452,RacePerformance!$I:$I,1))</f>
        <v/>
      </c>
      <c r="P452" s="6" t="str">
        <f>IF(A452="","",COUNTIFS(RacePerformance!$F:$F,A452,RacePerformance!$J:$J,"&lt;=3"))</f>
        <v/>
      </c>
    </row>
    <row r="453" spans="1:16" ht="14.2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6" t="str">
        <f>IF(A453="","",COUNTIF(RacePerformance!$F:$F,A453))</f>
        <v/>
      </c>
      <c r="K453" s="6" t="str">
        <f>IF(A453="","",IFERROR(AVERAGEIF(RacePerformance!$F:$F,A453,RacePerformance!$I:$I),""))</f>
        <v/>
      </c>
      <c r="L453" s="6" t="str">
        <f>IF(A453="","",IFERROR(AVERAGEIF(RacePerformance!$F:$F,A453,RacePerformance!$J:$J),""))</f>
        <v/>
      </c>
      <c r="M453" s="6" t="str">
        <f>IF(A453="","",IFERROR(AVERAGEIF(RacePerformance!$F:$F,A453,RacePerformance!$K:$K),""))</f>
        <v/>
      </c>
      <c r="N453" s="6" t="str">
        <f>IF(A453="","",COUNTIFS(RacePerformance!$F:$F,A453,RacePerformance!$I:$I,"&lt;=20"))</f>
        <v/>
      </c>
      <c r="O453" s="6" t="str">
        <f>IF(A453="","",COUNTIFS(RacePerformance!$F:$F,A453,RacePerformance!$I:$I,1))</f>
        <v/>
      </c>
      <c r="P453" s="6" t="str">
        <f>IF(A453="","",COUNTIFS(RacePerformance!$F:$F,A453,RacePerformance!$J:$J,"&lt;=3"))</f>
        <v/>
      </c>
    </row>
    <row r="454" spans="1:16" ht="14.2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6" t="str">
        <f>IF(A454="","",COUNTIF(RacePerformance!$F:$F,A454))</f>
        <v/>
      </c>
      <c r="K454" s="6" t="str">
        <f>IF(A454="","",IFERROR(AVERAGEIF(RacePerformance!$F:$F,A454,RacePerformance!$I:$I),""))</f>
        <v/>
      </c>
      <c r="L454" s="6" t="str">
        <f>IF(A454="","",IFERROR(AVERAGEIF(RacePerformance!$F:$F,A454,RacePerformance!$J:$J),""))</f>
        <v/>
      </c>
      <c r="M454" s="6" t="str">
        <f>IF(A454="","",IFERROR(AVERAGEIF(RacePerformance!$F:$F,A454,RacePerformance!$K:$K),""))</f>
        <v/>
      </c>
      <c r="N454" s="6" t="str">
        <f>IF(A454="","",COUNTIFS(RacePerformance!$F:$F,A454,RacePerformance!$I:$I,"&lt;=20"))</f>
        <v/>
      </c>
      <c r="O454" s="6" t="str">
        <f>IF(A454="","",COUNTIFS(RacePerformance!$F:$F,A454,RacePerformance!$I:$I,1))</f>
        <v/>
      </c>
      <c r="P454" s="6" t="str">
        <f>IF(A454="","",COUNTIFS(RacePerformance!$F:$F,A454,RacePerformance!$J:$J,"&lt;=3"))</f>
        <v/>
      </c>
    </row>
    <row r="455" spans="1:16" ht="14.2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6" t="str">
        <f>IF(A455="","",COUNTIF(RacePerformance!$F:$F,A455))</f>
        <v/>
      </c>
      <c r="K455" s="6" t="str">
        <f>IF(A455="","",IFERROR(AVERAGEIF(RacePerformance!$F:$F,A455,RacePerformance!$I:$I),""))</f>
        <v/>
      </c>
      <c r="L455" s="6" t="str">
        <f>IF(A455="","",IFERROR(AVERAGEIF(RacePerformance!$F:$F,A455,RacePerformance!$J:$J),""))</f>
        <v/>
      </c>
      <c r="M455" s="6" t="str">
        <f>IF(A455="","",IFERROR(AVERAGEIF(RacePerformance!$F:$F,A455,RacePerformance!$K:$K),""))</f>
        <v/>
      </c>
      <c r="N455" s="6" t="str">
        <f>IF(A455="","",COUNTIFS(RacePerformance!$F:$F,A455,RacePerformance!$I:$I,"&lt;=20"))</f>
        <v/>
      </c>
      <c r="O455" s="6" t="str">
        <f>IF(A455="","",COUNTIFS(RacePerformance!$F:$F,A455,RacePerformance!$I:$I,1))</f>
        <v/>
      </c>
      <c r="P455" s="6" t="str">
        <f>IF(A455="","",COUNTIFS(RacePerformance!$F:$F,A455,RacePerformance!$J:$J,"&lt;=3"))</f>
        <v/>
      </c>
    </row>
    <row r="456" spans="1:16" ht="14.2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6" t="str">
        <f>IF(A456="","",COUNTIF(RacePerformance!$F:$F,A456))</f>
        <v/>
      </c>
      <c r="K456" s="6" t="str">
        <f>IF(A456="","",IFERROR(AVERAGEIF(RacePerformance!$F:$F,A456,RacePerformance!$I:$I),""))</f>
        <v/>
      </c>
      <c r="L456" s="6" t="str">
        <f>IF(A456="","",IFERROR(AVERAGEIF(RacePerformance!$F:$F,A456,RacePerformance!$J:$J),""))</f>
        <v/>
      </c>
      <c r="M456" s="6" t="str">
        <f>IF(A456="","",IFERROR(AVERAGEIF(RacePerformance!$F:$F,A456,RacePerformance!$K:$K),""))</f>
        <v/>
      </c>
      <c r="N456" s="6" t="str">
        <f>IF(A456="","",COUNTIFS(RacePerformance!$F:$F,A456,RacePerformance!$I:$I,"&lt;=20"))</f>
        <v/>
      </c>
      <c r="O456" s="6" t="str">
        <f>IF(A456="","",COUNTIFS(RacePerformance!$F:$F,A456,RacePerformance!$I:$I,1))</f>
        <v/>
      </c>
      <c r="P456" s="6" t="str">
        <f>IF(A456="","",COUNTIFS(RacePerformance!$F:$F,A456,RacePerformance!$J:$J,"&lt;=3"))</f>
        <v/>
      </c>
    </row>
    <row r="457" spans="1:16" ht="14.2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6" t="str">
        <f>IF(A457="","",COUNTIF(RacePerformance!$F:$F,A457))</f>
        <v/>
      </c>
      <c r="K457" s="6" t="str">
        <f>IF(A457="","",IFERROR(AVERAGEIF(RacePerformance!$F:$F,A457,RacePerformance!$I:$I),""))</f>
        <v/>
      </c>
      <c r="L457" s="6" t="str">
        <f>IF(A457="","",IFERROR(AVERAGEIF(RacePerformance!$F:$F,A457,RacePerformance!$J:$J),""))</f>
        <v/>
      </c>
      <c r="M457" s="6" t="str">
        <f>IF(A457="","",IFERROR(AVERAGEIF(RacePerformance!$F:$F,A457,RacePerformance!$K:$K),""))</f>
        <v/>
      </c>
      <c r="N457" s="6" t="str">
        <f>IF(A457="","",COUNTIFS(RacePerformance!$F:$F,A457,RacePerformance!$I:$I,"&lt;=20"))</f>
        <v/>
      </c>
      <c r="O457" s="6" t="str">
        <f>IF(A457="","",COUNTIFS(RacePerformance!$F:$F,A457,RacePerformance!$I:$I,1))</f>
        <v/>
      </c>
      <c r="P457" s="6" t="str">
        <f>IF(A457="","",COUNTIFS(RacePerformance!$F:$F,A457,RacePerformance!$J:$J,"&lt;=3"))</f>
        <v/>
      </c>
    </row>
    <row r="458" spans="1:16" ht="14.2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6" t="str">
        <f>IF(A458="","",COUNTIF(RacePerformance!$F:$F,A458))</f>
        <v/>
      </c>
      <c r="K458" s="6" t="str">
        <f>IF(A458="","",IFERROR(AVERAGEIF(RacePerformance!$F:$F,A458,RacePerformance!$I:$I),""))</f>
        <v/>
      </c>
      <c r="L458" s="6" t="str">
        <f>IF(A458="","",IFERROR(AVERAGEIF(RacePerformance!$F:$F,A458,RacePerformance!$J:$J),""))</f>
        <v/>
      </c>
      <c r="M458" s="6" t="str">
        <f>IF(A458="","",IFERROR(AVERAGEIF(RacePerformance!$F:$F,A458,RacePerformance!$K:$K),""))</f>
        <v/>
      </c>
      <c r="N458" s="6" t="str">
        <f>IF(A458="","",COUNTIFS(RacePerformance!$F:$F,A458,RacePerformance!$I:$I,"&lt;=20"))</f>
        <v/>
      </c>
      <c r="O458" s="6" t="str">
        <f>IF(A458="","",COUNTIFS(RacePerformance!$F:$F,A458,RacePerformance!$I:$I,1))</f>
        <v/>
      </c>
      <c r="P458" s="6" t="str">
        <f>IF(A458="","",COUNTIFS(RacePerformance!$F:$F,A458,RacePerformance!$J:$J,"&lt;=3"))</f>
        <v/>
      </c>
    </row>
    <row r="459" spans="1:16" ht="14.2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6" t="str">
        <f>IF(A459="","",COUNTIF(RacePerformance!$F:$F,A459))</f>
        <v/>
      </c>
      <c r="K459" s="6" t="str">
        <f>IF(A459="","",IFERROR(AVERAGEIF(RacePerformance!$F:$F,A459,RacePerformance!$I:$I),""))</f>
        <v/>
      </c>
      <c r="L459" s="6" t="str">
        <f>IF(A459="","",IFERROR(AVERAGEIF(RacePerformance!$F:$F,A459,RacePerformance!$J:$J),""))</f>
        <v/>
      </c>
      <c r="M459" s="6" t="str">
        <f>IF(A459="","",IFERROR(AVERAGEIF(RacePerformance!$F:$F,A459,RacePerformance!$K:$K),""))</f>
        <v/>
      </c>
      <c r="N459" s="6" t="str">
        <f>IF(A459="","",COUNTIFS(RacePerformance!$F:$F,A459,RacePerformance!$I:$I,"&lt;=20"))</f>
        <v/>
      </c>
      <c r="O459" s="6" t="str">
        <f>IF(A459="","",COUNTIFS(RacePerformance!$F:$F,A459,RacePerformance!$I:$I,1))</f>
        <v/>
      </c>
      <c r="P459" s="6" t="str">
        <f>IF(A459="","",COUNTIFS(RacePerformance!$F:$F,A459,RacePerformance!$J:$J,"&lt;=3"))</f>
        <v/>
      </c>
    </row>
    <row r="460" spans="1:16" ht="14.2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6" t="str">
        <f>IF(A460="","",COUNTIF(RacePerformance!$F:$F,A460))</f>
        <v/>
      </c>
      <c r="K460" s="6" t="str">
        <f>IF(A460="","",IFERROR(AVERAGEIF(RacePerformance!$F:$F,A460,RacePerformance!$I:$I),""))</f>
        <v/>
      </c>
      <c r="L460" s="6" t="str">
        <f>IF(A460="","",IFERROR(AVERAGEIF(RacePerformance!$F:$F,A460,RacePerformance!$J:$J),""))</f>
        <v/>
      </c>
      <c r="M460" s="6" t="str">
        <f>IF(A460="","",IFERROR(AVERAGEIF(RacePerformance!$F:$F,A460,RacePerformance!$K:$K),""))</f>
        <v/>
      </c>
      <c r="N460" s="6" t="str">
        <f>IF(A460="","",COUNTIFS(RacePerformance!$F:$F,A460,RacePerformance!$I:$I,"&lt;=20"))</f>
        <v/>
      </c>
      <c r="O460" s="6" t="str">
        <f>IF(A460="","",COUNTIFS(RacePerformance!$F:$F,A460,RacePerformance!$I:$I,1))</f>
        <v/>
      </c>
      <c r="P460" s="6" t="str">
        <f>IF(A460="","",COUNTIFS(RacePerformance!$F:$F,A460,RacePerformance!$J:$J,"&lt;=3"))</f>
        <v/>
      </c>
    </row>
    <row r="461" spans="1:16" ht="14.2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6" t="str">
        <f>IF(A461="","",COUNTIF(RacePerformance!$F:$F,A461))</f>
        <v/>
      </c>
      <c r="K461" s="6" t="str">
        <f>IF(A461="","",IFERROR(AVERAGEIF(RacePerformance!$F:$F,A461,RacePerformance!$I:$I),""))</f>
        <v/>
      </c>
      <c r="L461" s="6" t="str">
        <f>IF(A461="","",IFERROR(AVERAGEIF(RacePerformance!$F:$F,A461,RacePerformance!$J:$J),""))</f>
        <v/>
      </c>
      <c r="M461" s="6" t="str">
        <f>IF(A461="","",IFERROR(AVERAGEIF(RacePerformance!$F:$F,A461,RacePerformance!$K:$K),""))</f>
        <v/>
      </c>
      <c r="N461" s="6" t="str">
        <f>IF(A461="","",COUNTIFS(RacePerformance!$F:$F,A461,RacePerformance!$I:$I,"&lt;=20"))</f>
        <v/>
      </c>
      <c r="O461" s="6" t="str">
        <f>IF(A461="","",COUNTIFS(RacePerformance!$F:$F,A461,RacePerformance!$I:$I,1))</f>
        <v/>
      </c>
      <c r="P461" s="6" t="str">
        <f>IF(A461="","",COUNTIFS(RacePerformance!$F:$F,A461,RacePerformance!$J:$J,"&lt;=3"))</f>
        <v/>
      </c>
    </row>
    <row r="462" spans="1:16" ht="14.2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6" t="str">
        <f>IF(A462="","",COUNTIF(RacePerformance!$F:$F,A462))</f>
        <v/>
      </c>
      <c r="K462" s="6" t="str">
        <f>IF(A462="","",IFERROR(AVERAGEIF(RacePerformance!$F:$F,A462,RacePerformance!$I:$I),""))</f>
        <v/>
      </c>
      <c r="L462" s="6" t="str">
        <f>IF(A462="","",IFERROR(AVERAGEIF(RacePerformance!$F:$F,A462,RacePerformance!$J:$J),""))</f>
        <v/>
      </c>
      <c r="M462" s="6" t="str">
        <f>IF(A462="","",IFERROR(AVERAGEIF(RacePerformance!$F:$F,A462,RacePerformance!$K:$K),""))</f>
        <v/>
      </c>
      <c r="N462" s="6" t="str">
        <f>IF(A462="","",COUNTIFS(RacePerformance!$F:$F,A462,RacePerformance!$I:$I,"&lt;=20"))</f>
        <v/>
      </c>
      <c r="O462" s="6" t="str">
        <f>IF(A462="","",COUNTIFS(RacePerformance!$F:$F,A462,RacePerformance!$I:$I,1))</f>
        <v/>
      </c>
      <c r="P462" s="6" t="str">
        <f>IF(A462="","",COUNTIFS(RacePerformance!$F:$F,A462,RacePerformance!$J:$J,"&lt;=3"))</f>
        <v/>
      </c>
    </row>
    <row r="463" spans="1:16" ht="14.2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6" t="str">
        <f>IF(A463="","",COUNTIF(RacePerformance!$F:$F,A463))</f>
        <v/>
      </c>
      <c r="K463" s="6" t="str">
        <f>IF(A463="","",IFERROR(AVERAGEIF(RacePerformance!$F:$F,A463,RacePerformance!$I:$I),""))</f>
        <v/>
      </c>
      <c r="L463" s="6" t="str">
        <f>IF(A463="","",IFERROR(AVERAGEIF(RacePerformance!$F:$F,A463,RacePerformance!$J:$J),""))</f>
        <v/>
      </c>
      <c r="M463" s="6" t="str">
        <f>IF(A463="","",IFERROR(AVERAGEIF(RacePerformance!$F:$F,A463,RacePerformance!$K:$K),""))</f>
        <v/>
      </c>
      <c r="N463" s="6" t="str">
        <f>IF(A463="","",COUNTIFS(RacePerformance!$F:$F,A463,RacePerformance!$I:$I,"&lt;=20"))</f>
        <v/>
      </c>
      <c r="O463" s="6" t="str">
        <f>IF(A463="","",COUNTIFS(RacePerformance!$F:$F,A463,RacePerformance!$I:$I,1))</f>
        <v/>
      </c>
      <c r="P463" s="6" t="str">
        <f>IF(A463="","",COUNTIFS(RacePerformance!$F:$F,A463,RacePerformance!$J:$J,"&lt;=3"))</f>
        <v/>
      </c>
    </row>
    <row r="464" spans="1:16" ht="14.2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6" t="str">
        <f>IF(A464="","",COUNTIF(RacePerformance!$F:$F,A464))</f>
        <v/>
      </c>
      <c r="K464" s="6" t="str">
        <f>IF(A464="","",IFERROR(AVERAGEIF(RacePerformance!$F:$F,A464,RacePerformance!$I:$I),""))</f>
        <v/>
      </c>
      <c r="L464" s="6" t="str">
        <f>IF(A464="","",IFERROR(AVERAGEIF(RacePerformance!$F:$F,A464,RacePerformance!$J:$J),""))</f>
        <v/>
      </c>
      <c r="M464" s="6" t="str">
        <f>IF(A464="","",IFERROR(AVERAGEIF(RacePerformance!$F:$F,A464,RacePerformance!$K:$K),""))</f>
        <v/>
      </c>
      <c r="N464" s="6" t="str">
        <f>IF(A464="","",COUNTIFS(RacePerformance!$F:$F,A464,RacePerformance!$I:$I,"&lt;=20"))</f>
        <v/>
      </c>
      <c r="O464" s="6" t="str">
        <f>IF(A464="","",COUNTIFS(RacePerformance!$F:$F,A464,RacePerformance!$I:$I,1))</f>
        <v/>
      </c>
      <c r="P464" s="6" t="str">
        <f>IF(A464="","",COUNTIFS(RacePerformance!$F:$F,A464,RacePerformance!$J:$J,"&lt;=3"))</f>
        <v/>
      </c>
    </row>
    <row r="465" spans="1:16" ht="14.2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6" t="str">
        <f>IF(A465="","",COUNTIF(RacePerformance!$F:$F,A465))</f>
        <v/>
      </c>
      <c r="K465" s="6" t="str">
        <f>IF(A465="","",IFERROR(AVERAGEIF(RacePerformance!$F:$F,A465,RacePerformance!$I:$I),""))</f>
        <v/>
      </c>
      <c r="L465" s="6" t="str">
        <f>IF(A465="","",IFERROR(AVERAGEIF(RacePerformance!$F:$F,A465,RacePerformance!$J:$J),""))</f>
        <v/>
      </c>
      <c r="M465" s="6" t="str">
        <f>IF(A465="","",IFERROR(AVERAGEIF(RacePerformance!$F:$F,A465,RacePerformance!$K:$K),""))</f>
        <v/>
      </c>
      <c r="N465" s="6" t="str">
        <f>IF(A465="","",COUNTIFS(RacePerformance!$F:$F,A465,RacePerformance!$I:$I,"&lt;=20"))</f>
        <v/>
      </c>
      <c r="O465" s="6" t="str">
        <f>IF(A465="","",COUNTIFS(RacePerformance!$F:$F,A465,RacePerformance!$I:$I,1))</f>
        <v/>
      </c>
      <c r="P465" s="6" t="str">
        <f>IF(A465="","",COUNTIFS(RacePerformance!$F:$F,A465,RacePerformance!$J:$J,"&lt;=3"))</f>
        <v/>
      </c>
    </row>
    <row r="466" spans="1:16" ht="14.2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6" t="str">
        <f>IF(A466="","",COUNTIF(RacePerformance!$F:$F,A466))</f>
        <v/>
      </c>
      <c r="K466" s="6" t="str">
        <f>IF(A466="","",IFERROR(AVERAGEIF(RacePerformance!$F:$F,A466,RacePerformance!$I:$I),""))</f>
        <v/>
      </c>
      <c r="L466" s="6" t="str">
        <f>IF(A466="","",IFERROR(AVERAGEIF(RacePerformance!$F:$F,A466,RacePerformance!$J:$J),""))</f>
        <v/>
      </c>
      <c r="M466" s="6" t="str">
        <f>IF(A466="","",IFERROR(AVERAGEIF(RacePerformance!$F:$F,A466,RacePerformance!$K:$K),""))</f>
        <v/>
      </c>
      <c r="N466" s="6" t="str">
        <f>IF(A466="","",COUNTIFS(RacePerformance!$F:$F,A466,RacePerformance!$I:$I,"&lt;=20"))</f>
        <v/>
      </c>
      <c r="O466" s="6" t="str">
        <f>IF(A466="","",COUNTIFS(RacePerformance!$F:$F,A466,RacePerformance!$I:$I,1))</f>
        <v/>
      </c>
      <c r="P466" s="6" t="str">
        <f>IF(A466="","",COUNTIFS(RacePerformance!$F:$F,A466,RacePerformance!$J:$J,"&lt;=3"))</f>
        <v/>
      </c>
    </row>
    <row r="467" spans="1:16" ht="14.2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6" t="str">
        <f>IF(A467="","",COUNTIF(RacePerformance!$F:$F,A467))</f>
        <v/>
      </c>
      <c r="K467" s="6" t="str">
        <f>IF(A467="","",IFERROR(AVERAGEIF(RacePerformance!$F:$F,A467,RacePerformance!$I:$I),""))</f>
        <v/>
      </c>
      <c r="L467" s="6" t="str">
        <f>IF(A467="","",IFERROR(AVERAGEIF(RacePerformance!$F:$F,A467,RacePerformance!$J:$J),""))</f>
        <v/>
      </c>
      <c r="M467" s="6" t="str">
        <f>IF(A467="","",IFERROR(AVERAGEIF(RacePerformance!$F:$F,A467,RacePerformance!$K:$K),""))</f>
        <v/>
      </c>
      <c r="N467" s="6" t="str">
        <f>IF(A467="","",COUNTIFS(RacePerformance!$F:$F,A467,RacePerformance!$I:$I,"&lt;=20"))</f>
        <v/>
      </c>
      <c r="O467" s="6" t="str">
        <f>IF(A467="","",COUNTIFS(RacePerformance!$F:$F,A467,RacePerformance!$I:$I,1))</f>
        <v/>
      </c>
      <c r="P467" s="6" t="str">
        <f>IF(A467="","",COUNTIFS(RacePerformance!$F:$F,A467,RacePerformance!$J:$J,"&lt;=3"))</f>
        <v/>
      </c>
    </row>
    <row r="468" spans="1:16" ht="14.2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6" t="str">
        <f>IF(A468="","",COUNTIF(RacePerformance!$F:$F,A468))</f>
        <v/>
      </c>
      <c r="K468" s="6" t="str">
        <f>IF(A468="","",IFERROR(AVERAGEIF(RacePerformance!$F:$F,A468,RacePerformance!$I:$I),""))</f>
        <v/>
      </c>
      <c r="L468" s="6" t="str">
        <f>IF(A468="","",IFERROR(AVERAGEIF(RacePerformance!$F:$F,A468,RacePerformance!$J:$J),""))</f>
        <v/>
      </c>
      <c r="M468" s="6" t="str">
        <f>IF(A468="","",IFERROR(AVERAGEIF(RacePerformance!$F:$F,A468,RacePerformance!$K:$K),""))</f>
        <v/>
      </c>
      <c r="N468" s="6" t="str">
        <f>IF(A468="","",COUNTIFS(RacePerformance!$F:$F,A468,RacePerformance!$I:$I,"&lt;=20"))</f>
        <v/>
      </c>
      <c r="O468" s="6" t="str">
        <f>IF(A468="","",COUNTIFS(RacePerformance!$F:$F,A468,RacePerformance!$I:$I,1))</f>
        <v/>
      </c>
      <c r="P468" s="6" t="str">
        <f>IF(A468="","",COUNTIFS(RacePerformance!$F:$F,A468,RacePerformance!$J:$J,"&lt;=3"))</f>
        <v/>
      </c>
    </row>
    <row r="469" spans="1:16" ht="14.2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6" t="str">
        <f>IF(A469="","",COUNTIF(RacePerformance!$F:$F,A469))</f>
        <v/>
      </c>
      <c r="K469" s="6" t="str">
        <f>IF(A469="","",IFERROR(AVERAGEIF(RacePerformance!$F:$F,A469,RacePerformance!$I:$I),""))</f>
        <v/>
      </c>
      <c r="L469" s="6" t="str">
        <f>IF(A469="","",IFERROR(AVERAGEIF(RacePerformance!$F:$F,A469,RacePerformance!$J:$J),""))</f>
        <v/>
      </c>
      <c r="M469" s="6" t="str">
        <f>IF(A469="","",IFERROR(AVERAGEIF(RacePerformance!$F:$F,A469,RacePerformance!$K:$K),""))</f>
        <v/>
      </c>
      <c r="N469" s="6" t="str">
        <f>IF(A469="","",COUNTIFS(RacePerformance!$F:$F,A469,RacePerformance!$I:$I,"&lt;=20"))</f>
        <v/>
      </c>
      <c r="O469" s="6" t="str">
        <f>IF(A469="","",COUNTIFS(RacePerformance!$F:$F,A469,RacePerformance!$I:$I,1))</f>
        <v/>
      </c>
      <c r="P469" s="6" t="str">
        <f>IF(A469="","",COUNTIFS(RacePerformance!$F:$F,A469,RacePerformance!$J:$J,"&lt;=3"))</f>
        <v/>
      </c>
    </row>
    <row r="470" spans="1:16" ht="14.2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6" t="str">
        <f>IF(A470="","",COUNTIF(RacePerformance!$F:$F,A470))</f>
        <v/>
      </c>
      <c r="K470" s="6" t="str">
        <f>IF(A470="","",IFERROR(AVERAGEIF(RacePerformance!$F:$F,A470,RacePerformance!$I:$I),""))</f>
        <v/>
      </c>
      <c r="L470" s="6" t="str">
        <f>IF(A470="","",IFERROR(AVERAGEIF(RacePerformance!$F:$F,A470,RacePerformance!$J:$J),""))</f>
        <v/>
      </c>
      <c r="M470" s="6" t="str">
        <f>IF(A470="","",IFERROR(AVERAGEIF(RacePerformance!$F:$F,A470,RacePerformance!$K:$K),""))</f>
        <v/>
      </c>
      <c r="N470" s="6" t="str">
        <f>IF(A470="","",COUNTIFS(RacePerformance!$F:$F,A470,RacePerformance!$I:$I,"&lt;=20"))</f>
        <v/>
      </c>
      <c r="O470" s="6" t="str">
        <f>IF(A470="","",COUNTIFS(RacePerformance!$F:$F,A470,RacePerformance!$I:$I,1))</f>
        <v/>
      </c>
      <c r="P470" s="6" t="str">
        <f>IF(A470="","",COUNTIFS(RacePerformance!$F:$F,A470,RacePerformance!$J:$J,"&lt;=3"))</f>
        <v/>
      </c>
    </row>
    <row r="471" spans="1:16" ht="14.2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6" t="str">
        <f>IF(A471="","",COUNTIF(RacePerformance!$F:$F,A471))</f>
        <v/>
      </c>
      <c r="K471" s="6" t="str">
        <f>IF(A471="","",IFERROR(AVERAGEIF(RacePerformance!$F:$F,A471,RacePerformance!$I:$I),""))</f>
        <v/>
      </c>
      <c r="L471" s="6" t="str">
        <f>IF(A471="","",IFERROR(AVERAGEIF(RacePerformance!$F:$F,A471,RacePerformance!$J:$J),""))</f>
        <v/>
      </c>
      <c r="M471" s="6" t="str">
        <f>IF(A471="","",IFERROR(AVERAGEIF(RacePerformance!$F:$F,A471,RacePerformance!$K:$K),""))</f>
        <v/>
      </c>
      <c r="N471" s="6" t="str">
        <f>IF(A471="","",COUNTIFS(RacePerformance!$F:$F,A471,RacePerformance!$I:$I,"&lt;=20"))</f>
        <v/>
      </c>
      <c r="O471" s="6" t="str">
        <f>IF(A471="","",COUNTIFS(RacePerformance!$F:$F,A471,RacePerformance!$I:$I,1))</f>
        <v/>
      </c>
      <c r="P471" s="6" t="str">
        <f>IF(A471="","",COUNTIFS(RacePerformance!$F:$F,A471,RacePerformance!$J:$J,"&lt;=3"))</f>
        <v/>
      </c>
    </row>
    <row r="472" spans="1:16" ht="14.2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6" t="str">
        <f>IF(A472="","",COUNTIF(RacePerformance!$F:$F,A472))</f>
        <v/>
      </c>
      <c r="K472" s="6" t="str">
        <f>IF(A472="","",IFERROR(AVERAGEIF(RacePerformance!$F:$F,A472,RacePerformance!$I:$I),""))</f>
        <v/>
      </c>
      <c r="L472" s="6" t="str">
        <f>IF(A472="","",IFERROR(AVERAGEIF(RacePerformance!$F:$F,A472,RacePerformance!$J:$J),""))</f>
        <v/>
      </c>
      <c r="M472" s="6" t="str">
        <f>IF(A472="","",IFERROR(AVERAGEIF(RacePerformance!$F:$F,A472,RacePerformance!$K:$K),""))</f>
        <v/>
      </c>
      <c r="N472" s="6" t="str">
        <f>IF(A472="","",COUNTIFS(RacePerformance!$F:$F,A472,RacePerformance!$I:$I,"&lt;=20"))</f>
        <v/>
      </c>
      <c r="O472" s="6" t="str">
        <f>IF(A472="","",COUNTIFS(RacePerformance!$F:$F,A472,RacePerformance!$I:$I,1))</f>
        <v/>
      </c>
      <c r="P472" s="6" t="str">
        <f>IF(A472="","",COUNTIFS(RacePerformance!$F:$F,A472,RacePerformance!$J:$J,"&lt;=3"))</f>
        <v/>
      </c>
    </row>
    <row r="473" spans="1:16" ht="14.2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6" t="str">
        <f>IF(A473="","",COUNTIF(RacePerformance!$F:$F,A473))</f>
        <v/>
      </c>
      <c r="K473" s="6" t="str">
        <f>IF(A473="","",IFERROR(AVERAGEIF(RacePerformance!$F:$F,A473,RacePerformance!$I:$I),""))</f>
        <v/>
      </c>
      <c r="L473" s="6" t="str">
        <f>IF(A473="","",IFERROR(AVERAGEIF(RacePerformance!$F:$F,A473,RacePerformance!$J:$J),""))</f>
        <v/>
      </c>
      <c r="M473" s="6" t="str">
        <f>IF(A473="","",IFERROR(AVERAGEIF(RacePerformance!$F:$F,A473,RacePerformance!$K:$K),""))</f>
        <v/>
      </c>
      <c r="N473" s="6" t="str">
        <f>IF(A473="","",COUNTIFS(RacePerformance!$F:$F,A473,RacePerformance!$I:$I,"&lt;=20"))</f>
        <v/>
      </c>
      <c r="O473" s="6" t="str">
        <f>IF(A473="","",COUNTIFS(RacePerformance!$F:$F,A473,RacePerformance!$I:$I,1))</f>
        <v/>
      </c>
      <c r="P473" s="6" t="str">
        <f>IF(A473="","",COUNTIFS(RacePerformance!$F:$F,A473,RacePerformance!$J:$J,"&lt;=3"))</f>
        <v/>
      </c>
    </row>
    <row r="474" spans="1:16" ht="14.2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6" t="str">
        <f>IF(A474="","",COUNTIF(RacePerformance!$F:$F,A474))</f>
        <v/>
      </c>
      <c r="K474" s="6" t="str">
        <f>IF(A474="","",IFERROR(AVERAGEIF(RacePerformance!$F:$F,A474,RacePerformance!$I:$I),""))</f>
        <v/>
      </c>
      <c r="L474" s="6" t="str">
        <f>IF(A474="","",IFERROR(AVERAGEIF(RacePerformance!$F:$F,A474,RacePerformance!$J:$J),""))</f>
        <v/>
      </c>
      <c r="M474" s="6" t="str">
        <f>IF(A474="","",IFERROR(AVERAGEIF(RacePerformance!$F:$F,A474,RacePerformance!$K:$K),""))</f>
        <v/>
      </c>
      <c r="N474" s="6" t="str">
        <f>IF(A474="","",COUNTIFS(RacePerformance!$F:$F,A474,RacePerformance!$I:$I,"&lt;=20"))</f>
        <v/>
      </c>
      <c r="O474" s="6" t="str">
        <f>IF(A474="","",COUNTIFS(RacePerformance!$F:$F,A474,RacePerformance!$I:$I,1))</f>
        <v/>
      </c>
      <c r="P474" s="6" t="str">
        <f>IF(A474="","",COUNTIFS(RacePerformance!$F:$F,A474,RacePerformance!$J:$J,"&lt;=3"))</f>
        <v/>
      </c>
    </row>
    <row r="475" spans="1:16" ht="14.2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6" t="str">
        <f>IF(A475="","",COUNTIF(RacePerformance!$F:$F,A475))</f>
        <v/>
      </c>
      <c r="K475" s="6" t="str">
        <f>IF(A475="","",IFERROR(AVERAGEIF(RacePerformance!$F:$F,A475,RacePerformance!$I:$I),""))</f>
        <v/>
      </c>
      <c r="L475" s="6" t="str">
        <f>IF(A475="","",IFERROR(AVERAGEIF(RacePerformance!$F:$F,A475,RacePerformance!$J:$J),""))</f>
        <v/>
      </c>
      <c r="M475" s="6" t="str">
        <f>IF(A475="","",IFERROR(AVERAGEIF(RacePerformance!$F:$F,A475,RacePerformance!$K:$K),""))</f>
        <v/>
      </c>
      <c r="N475" s="6" t="str">
        <f>IF(A475="","",COUNTIFS(RacePerformance!$F:$F,A475,RacePerformance!$I:$I,"&lt;=20"))</f>
        <v/>
      </c>
      <c r="O475" s="6" t="str">
        <f>IF(A475="","",COUNTIFS(RacePerformance!$F:$F,A475,RacePerformance!$I:$I,1))</f>
        <v/>
      </c>
      <c r="P475" s="6" t="str">
        <f>IF(A475="","",COUNTIFS(RacePerformance!$F:$F,A475,RacePerformance!$J:$J,"&lt;=3"))</f>
        <v/>
      </c>
    </row>
    <row r="476" spans="1:16" ht="14.2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6" t="str">
        <f>IF(A476="","",COUNTIF(RacePerformance!$F:$F,A476))</f>
        <v/>
      </c>
      <c r="K476" s="6" t="str">
        <f>IF(A476="","",IFERROR(AVERAGEIF(RacePerformance!$F:$F,A476,RacePerformance!$I:$I),""))</f>
        <v/>
      </c>
      <c r="L476" s="6" t="str">
        <f>IF(A476="","",IFERROR(AVERAGEIF(RacePerformance!$F:$F,A476,RacePerformance!$J:$J),""))</f>
        <v/>
      </c>
      <c r="M476" s="6" t="str">
        <f>IF(A476="","",IFERROR(AVERAGEIF(RacePerformance!$F:$F,A476,RacePerformance!$K:$K),""))</f>
        <v/>
      </c>
      <c r="N476" s="6" t="str">
        <f>IF(A476="","",COUNTIFS(RacePerformance!$F:$F,A476,RacePerformance!$I:$I,"&lt;=20"))</f>
        <v/>
      </c>
      <c r="O476" s="6" t="str">
        <f>IF(A476="","",COUNTIFS(RacePerformance!$F:$F,A476,RacePerformance!$I:$I,1))</f>
        <v/>
      </c>
      <c r="P476" s="6" t="str">
        <f>IF(A476="","",COUNTIFS(RacePerformance!$F:$F,A476,RacePerformance!$J:$J,"&lt;=3"))</f>
        <v/>
      </c>
    </row>
    <row r="477" spans="1:16" ht="14.2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6" t="str">
        <f>IF(A477="","",COUNTIF(RacePerformance!$F:$F,A477))</f>
        <v/>
      </c>
      <c r="K477" s="6" t="str">
        <f>IF(A477="","",IFERROR(AVERAGEIF(RacePerformance!$F:$F,A477,RacePerformance!$I:$I),""))</f>
        <v/>
      </c>
      <c r="L477" s="6" t="str">
        <f>IF(A477="","",IFERROR(AVERAGEIF(RacePerformance!$F:$F,A477,RacePerformance!$J:$J),""))</f>
        <v/>
      </c>
      <c r="M477" s="6" t="str">
        <f>IF(A477="","",IFERROR(AVERAGEIF(RacePerformance!$F:$F,A477,RacePerformance!$K:$K),""))</f>
        <v/>
      </c>
      <c r="N477" s="6" t="str">
        <f>IF(A477="","",COUNTIFS(RacePerformance!$F:$F,A477,RacePerformance!$I:$I,"&lt;=20"))</f>
        <v/>
      </c>
      <c r="O477" s="6" t="str">
        <f>IF(A477="","",COUNTIFS(RacePerformance!$F:$F,A477,RacePerformance!$I:$I,1))</f>
        <v/>
      </c>
      <c r="P477" s="6" t="str">
        <f>IF(A477="","",COUNTIFS(RacePerformance!$F:$F,A477,RacePerformance!$J:$J,"&lt;=3"))</f>
        <v/>
      </c>
    </row>
    <row r="478" spans="1:16" ht="14.2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6" t="str">
        <f>IF(A478="","",COUNTIF(RacePerformance!$F:$F,A478))</f>
        <v/>
      </c>
      <c r="K478" s="6" t="str">
        <f>IF(A478="","",IFERROR(AVERAGEIF(RacePerformance!$F:$F,A478,RacePerformance!$I:$I),""))</f>
        <v/>
      </c>
      <c r="L478" s="6" t="str">
        <f>IF(A478="","",IFERROR(AVERAGEIF(RacePerformance!$F:$F,A478,RacePerformance!$J:$J),""))</f>
        <v/>
      </c>
      <c r="M478" s="6" t="str">
        <f>IF(A478="","",IFERROR(AVERAGEIF(RacePerformance!$F:$F,A478,RacePerformance!$K:$K),""))</f>
        <v/>
      </c>
      <c r="N478" s="6" t="str">
        <f>IF(A478="","",COUNTIFS(RacePerformance!$F:$F,A478,RacePerformance!$I:$I,"&lt;=20"))</f>
        <v/>
      </c>
      <c r="O478" s="6" t="str">
        <f>IF(A478="","",COUNTIFS(RacePerformance!$F:$F,A478,RacePerformance!$I:$I,1))</f>
        <v/>
      </c>
      <c r="P478" s="6" t="str">
        <f>IF(A478="","",COUNTIFS(RacePerformance!$F:$F,A478,RacePerformance!$J:$J,"&lt;=3"))</f>
        <v/>
      </c>
    </row>
    <row r="479" spans="1:16" ht="14.2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6" t="str">
        <f>IF(A479="","",COUNTIF(RacePerformance!$F:$F,A479))</f>
        <v/>
      </c>
      <c r="K479" s="6" t="str">
        <f>IF(A479="","",IFERROR(AVERAGEIF(RacePerformance!$F:$F,A479,RacePerformance!$I:$I),""))</f>
        <v/>
      </c>
      <c r="L479" s="6" t="str">
        <f>IF(A479="","",IFERROR(AVERAGEIF(RacePerformance!$F:$F,A479,RacePerformance!$J:$J),""))</f>
        <v/>
      </c>
      <c r="M479" s="6" t="str">
        <f>IF(A479="","",IFERROR(AVERAGEIF(RacePerformance!$F:$F,A479,RacePerformance!$K:$K),""))</f>
        <v/>
      </c>
      <c r="N479" s="6" t="str">
        <f>IF(A479="","",COUNTIFS(RacePerformance!$F:$F,A479,RacePerformance!$I:$I,"&lt;=20"))</f>
        <v/>
      </c>
      <c r="O479" s="6" t="str">
        <f>IF(A479="","",COUNTIFS(RacePerformance!$F:$F,A479,RacePerformance!$I:$I,1))</f>
        <v/>
      </c>
      <c r="P479" s="6" t="str">
        <f>IF(A479="","",COUNTIFS(RacePerformance!$F:$F,A479,RacePerformance!$J:$J,"&lt;=3"))</f>
        <v/>
      </c>
    </row>
    <row r="480" spans="1:16" ht="14.2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6" t="str">
        <f>IF(A480="","",COUNTIF(RacePerformance!$F:$F,A480))</f>
        <v/>
      </c>
      <c r="K480" s="6" t="str">
        <f>IF(A480="","",IFERROR(AVERAGEIF(RacePerformance!$F:$F,A480,RacePerformance!$I:$I),""))</f>
        <v/>
      </c>
      <c r="L480" s="6" t="str">
        <f>IF(A480="","",IFERROR(AVERAGEIF(RacePerformance!$F:$F,A480,RacePerformance!$J:$J),""))</f>
        <v/>
      </c>
      <c r="M480" s="6" t="str">
        <f>IF(A480="","",IFERROR(AVERAGEIF(RacePerformance!$F:$F,A480,RacePerformance!$K:$K),""))</f>
        <v/>
      </c>
      <c r="N480" s="6" t="str">
        <f>IF(A480="","",COUNTIFS(RacePerformance!$F:$F,A480,RacePerformance!$I:$I,"&lt;=20"))</f>
        <v/>
      </c>
      <c r="O480" s="6" t="str">
        <f>IF(A480="","",COUNTIFS(RacePerformance!$F:$F,A480,RacePerformance!$I:$I,1))</f>
        <v/>
      </c>
      <c r="P480" s="6" t="str">
        <f>IF(A480="","",COUNTIFS(RacePerformance!$F:$F,A480,RacePerformance!$J:$J,"&lt;=3"))</f>
        <v/>
      </c>
    </row>
    <row r="481" spans="1:16" ht="14.2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6" t="str">
        <f>IF(A481="","",COUNTIF(RacePerformance!$F:$F,A481))</f>
        <v/>
      </c>
      <c r="K481" s="6" t="str">
        <f>IF(A481="","",IFERROR(AVERAGEIF(RacePerformance!$F:$F,A481,RacePerformance!$I:$I),""))</f>
        <v/>
      </c>
      <c r="L481" s="6" t="str">
        <f>IF(A481="","",IFERROR(AVERAGEIF(RacePerformance!$F:$F,A481,RacePerformance!$J:$J),""))</f>
        <v/>
      </c>
      <c r="M481" s="6" t="str">
        <f>IF(A481="","",IFERROR(AVERAGEIF(RacePerformance!$F:$F,A481,RacePerformance!$K:$K),""))</f>
        <v/>
      </c>
      <c r="N481" s="6" t="str">
        <f>IF(A481="","",COUNTIFS(RacePerformance!$F:$F,A481,RacePerformance!$I:$I,"&lt;=20"))</f>
        <v/>
      </c>
      <c r="O481" s="6" t="str">
        <f>IF(A481="","",COUNTIFS(RacePerformance!$F:$F,A481,RacePerformance!$I:$I,1))</f>
        <v/>
      </c>
      <c r="P481" s="6" t="str">
        <f>IF(A481="","",COUNTIFS(RacePerformance!$F:$F,A481,RacePerformance!$J:$J,"&lt;=3"))</f>
        <v/>
      </c>
    </row>
    <row r="482" spans="1:16" ht="14.2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6" t="str">
        <f>IF(A482="","",COUNTIF(RacePerformance!$F:$F,A482))</f>
        <v/>
      </c>
      <c r="K482" s="6" t="str">
        <f>IF(A482="","",IFERROR(AVERAGEIF(RacePerformance!$F:$F,A482,RacePerformance!$I:$I),""))</f>
        <v/>
      </c>
      <c r="L482" s="6" t="str">
        <f>IF(A482="","",IFERROR(AVERAGEIF(RacePerformance!$F:$F,A482,RacePerformance!$J:$J),""))</f>
        <v/>
      </c>
      <c r="M482" s="6" t="str">
        <f>IF(A482="","",IFERROR(AVERAGEIF(RacePerformance!$F:$F,A482,RacePerformance!$K:$K),""))</f>
        <v/>
      </c>
      <c r="N482" s="6" t="str">
        <f>IF(A482="","",COUNTIFS(RacePerformance!$F:$F,A482,RacePerformance!$I:$I,"&lt;=20"))</f>
        <v/>
      </c>
      <c r="O482" s="6" t="str">
        <f>IF(A482="","",COUNTIFS(RacePerformance!$F:$F,A482,RacePerformance!$I:$I,1))</f>
        <v/>
      </c>
      <c r="P482" s="6" t="str">
        <f>IF(A482="","",COUNTIFS(RacePerformance!$F:$F,A482,RacePerformance!$J:$J,"&lt;=3"))</f>
        <v/>
      </c>
    </row>
    <row r="483" spans="1:16" ht="14.2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6" t="str">
        <f>IF(A483="","",COUNTIF(RacePerformance!$F:$F,A483))</f>
        <v/>
      </c>
      <c r="K483" s="6" t="str">
        <f>IF(A483="","",IFERROR(AVERAGEIF(RacePerformance!$F:$F,A483,RacePerformance!$I:$I),""))</f>
        <v/>
      </c>
      <c r="L483" s="6" t="str">
        <f>IF(A483="","",IFERROR(AVERAGEIF(RacePerformance!$F:$F,A483,RacePerformance!$J:$J),""))</f>
        <v/>
      </c>
      <c r="M483" s="6" t="str">
        <f>IF(A483="","",IFERROR(AVERAGEIF(RacePerformance!$F:$F,A483,RacePerformance!$K:$K),""))</f>
        <v/>
      </c>
      <c r="N483" s="6" t="str">
        <f>IF(A483="","",COUNTIFS(RacePerformance!$F:$F,A483,RacePerformance!$I:$I,"&lt;=20"))</f>
        <v/>
      </c>
      <c r="O483" s="6" t="str">
        <f>IF(A483="","",COUNTIFS(RacePerformance!$F:$F,A483,RacePerformance!$I:$I,1))</f>
        <v/>
      </c>
      <c r="P483" s="6" t="str">
        <f>IF(A483="","",COUNTIFS(RacePerformance!$F:$F,A483,RacePerformance!$J:$J,"&lt;=3"))</f>
        <v/>
      </c>
    </row>
    <row r="484" spans="1:16" ht="14.2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6" t="str">
        <f>IF(A484="","",COUNTIF(RacePerformance!$F:$F,A484))</f>
        <v/>
      </c>
      <c r="K484" s="6" t="str">
        <f>IF(A484="","",IFERROR(AVERAGEIF(RacePerformance!$F:$F,A484,RacePerformance!$I:$I),""))</f>
        <v/>
      </c>
      <c r="L484" s="6" t="str">
        <f>IF(A484="","",IFERROR(AVERAGEIF(RacePerformance!$F:$F,A484,RacePerformance!$J:$J),""))</f>
        <v/>
      </c>
      <c r="M484" s="6" t="str">
        <f>IF(A484="","",IFERROR(AVERAGEIF(RacePerformance!$F:$F,A484,RacePerformance!$K:$K),""))</f>
        <v/>
      </c>
      <c r="N484" s="6" t="str">
        <f>IF(A484="","",COUNTIFS(RacePerformance!$F:$F,A484,RacePerformance!$I:$I,"&lt;=20"))</f>
        <v/>
      </c>
      <c r="O484" s="6" t="str">
        <f>IF(A484="","",COUNTIFS(RacePerformance!$F:$F,A484,RacePerformance!$I:$I,1))</f>
        <v/>
      </c>
      <c r="P484" s="6" t="str">
        <f>IF(A484="","",COUNTIFS(RacePerformance!$F:$F,A484,RacePerformance!$J:$J,"&lt;=3"))</f>
        <v/>
      </c>
    </row>
    <row r="485" spans="1:16" ht="14.2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6" t="str">
        <f>IF(A485="","",COUNTIF(RacePerformance!$F:$F,A485))</f>
        <v/>
      </c>
      <c r="K485" s="6" t="str">
        <f>IF(A485="","",IFERROR(AVERAGEIF(RacePerformance!$F:$F,A485,RacePerformance!$I:$I),""))</f>
        <v/>
      </c>
      <c r="L485" s="6" t="str">
        <f>IF(A485="","",IFERROR(AVERAGEIF(RacePerformance!$F:$F,A485,RacePerformance!$J:$J),""))</f>
        <v/>
      </c>
      <c r="M485" s="6" t="str">
        <f>IF(A485="","",IFERROR(AVERAGEIF(RacePerformance!$F:$F,A485,RacePerformance!$K:$K),""))</f>
        <v/>
      </c>
      <c r="N485" s="6" t="str">
        <f>IF(A485="","",COUNTIFS(RacePerformance!$F:$F,A485,RacePerformance!$I:$I,"&lt;=20"))</f>
        <v/>
      </c>
      <c r="O485" s="6" t="str">
        <f>IF(A485="","",COUNTIFS(RacePerformance!$F:$F,A485,RacePerformance!$I:$I,1))</f>
        <v/>
      </c>
      <c r="P485" s="6" t="str">
        <f>IF(A485="","",COUNTIFS(RacePerformance!$F:$F,A485,RacePerformance!$J:$J,"&lt;=3"))</f>
        <v/>
      </c>
    </row>
    <row r="486" spans="1:16" ht="14.2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6" t="str">
        <f>IF(A486="","",COUNTIF(RacePerformance!$F:$F,A486))</f>
        <v/>
      </c>
      <c r="K486" s="6" t="str">
        <f>IF(A486="","",IFERROR(AVERAGEIF(RacePerformance!$F:$F,A486,RacePerformance!$I:$I),""))</f>
        <v/>
      </c>
      <c r="L486" s="6" t="str">
        <f>IF(A486="","",IFERROR(AVERAGEIF(RacePerformance!$F:$F,A486,RacePerformance!$J:$J),""))</f>
        <v/>
      </c>
      <c r="M486" s="6" t="str">
        <f>IF(A486="","",IFERROR(AVERAGEIF(RacePerformance!$F:$F,A486,RacePerformance!$K:$K),""))</f>
        <v/>
      </c>
      <c r="N486" s="6" t="str">
        <f>IF(A486="","",COUNTIFS(RacePerformance!$F:$F,A486,RacePerformance!$I:$I,"&lt;=20"))</f>
        <v/>
      </c>
      <c r="O486" s="6" t="str">
        <f>IF(A486="","",COUNTIFS(RacePerformance!$F:$F,A486,RacePerformance!$I:$I,1))</f>
        <v/>
      </c>
      <c r="P486" s="6" t="str">
        <f>IF(A486="","",COUNTIFS(RacePerformance!$F:$F,A486,RacePerformance!$J:$J,"&lt;=3"))</f>
        <v/>
      </c>
    </row>
    <row r="487" spans="1:16" ht="14.2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6" t="str">
        <f>IF(A487="","",COUNTIF(RacePerformance!$F:$F,A487))</f>
        <v/>
      </c>
      <c r="K487" s="6" t="str">
        <f>IF(A487="","",IFERROR(AVERAGEIF(RacePerformance!$F:$F,A487,RacePerformance!$I:$I),""))</f>
        <v/>
      </c>
      <c r="L487" s="6" t="str">
        <f>IF(A487="","",IFERROR(AVERAGEIF(RacePerformance!$F:$F,A487,RacePerformance!$J:$J),""))</f>
        <v/>
      </c>
      <c r="M487" s="6" t="str">
        <f>IF(A487="","",IFERROR(AVERAGEIF(RacePerformance!$F:$F,A487,RacePerformance!$K:$K),""))</f>
        <v/>
      </c>
      <c r="N487" s="6" t="str">
        <f>IF(A487="","",COUNTIFS(RacePerformance!$F:$F,A487,RacePerformance!$I:$I,"&lt;=20"))</f>
        <v/>
      </c>
      <c r="O487" s="6" t="str">
        <f>IF(A487="","",COUNTIFS(RacePerformance!$F:$F,A487,RacePerformance!$I:$I,1))</f>
        <v/>
      </c>
      <c r="P487" s="6" t="str">
        <f>IF(A487="","",COUNTIFS(RacePerformance!$F:$F,A487,RacePerformance!$J:$J,"&lt;=3"))</f>
        <v/>
      </c>
    </row>
    <row r="488" spans="1:16" ht="14.2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6" t="str">
        <f>IF(A488="","",COUNTIF(RacePerformance!$F:$F,A488))</f>
        <v/>
      </c>
      <c r="K488" s="6" t="str">
        <f>IF(A488="","",IFERROR(AVERAGEIF(RacePerformance!$F:$F,A488,RacePerformance!$I:$I),""))</f>
        <v/>
      </c>
      <c r="L488" s="6" t="str">
        <f>IF(A488="","",IFERROR(AVERAGEIF(RacePerformance!$F:$F,A488,RacePerformance!$J:$J),""))</f>
        <v/>
      </c>
      <c r="M488" s="6" t="str">
        <f>IF(A488="","",IFERROR(AVERAGEIF(RacePerformance!$F:$F,A488,RacePerformance!$K:$K),""))</f>
        <v/>
      </c>
      <c r="N488" s="6" t="str">
        <f>IF(A488="","",COUNTIFS(RacePerformance!$F:$F,A488,RacePerformance!$I:$I,"&lt;=20"))</f>
        <v/>
      </c>
      <c r="O488" s="6" t="str">
        <f>IF(A488="","",COUNTIFS(RacePerformance!$F:$F,A488,RacePerformance!$I:$I,1))</f>
        <v/>
      </c>
      <c r="P488" s="6" t="str">
        <f>IF(A488="","",COUNTIFS(RacePerformance!$F:$F,A488,RacePerformance!$J:$J,"&lt;=3"))</f>
        <v/>
      </c>
    </row>
    <row r="489" spans="1:16" ht="14.2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6" t="str">
        <f>IF(A489="","",COUNTIF(RacePerformance!$F:$F,A489))</f>
        <v/>
      </c>
      <c r="K489" s="6" t="str">
        <f>IF(A489="","",IFERROR(AVERAGEIF(RacePerformance!$F:$F,A489,RacePerformance!$I:$I),""))</f>
        <v/>
      </c>
      <c r="L489" s="6" t="str">
        <f>IF(A489="","",IFERROR(AVERAGEIF(RacePerformance!$F:$F,A489,RacePerformance!$J:$J),""))</f>
        <v/>
      </c>
      <c r="M489" s="6" t="str">
        <f>IF(A489="","",IFERROR(AVERAGEIF(RacePerformance!$F:$F,A489,RacePerformance!$K:$K),""))</f>
        <v/>
      </c>
      <c r="N489" s="6" t="str">
        <f>IF(A489="","",COUNTIFS(RacePerformance!$F:$F,A489,RacePerformance!$I:$I,"&lt;=20"))</f>
        <v/>
      </c>
      <c r="O489" s="6" t="str">
        <f>IF(A489="","",COUNTIFS(RacePerformance!$F:$F,A489,RacePerformance!$I:$I,1))</f>
        <v/>
      </c>
      <c r="P489" s="6" t="str">
        <f>IF(A489="","",COUNTIFS(RacePerformance!$F:$F,A489,RacePerformance!$J:$J,"&lt;=3"))</f>
        <v/>
      </c>
    </row>
    <row r="490" spans="1:16" ht="14.2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6" t="str">
        <f>IF(A490="","",COUNTIF(RacePerformance!$F:$F,A490))</f>
        <v/>
      </c>
      <c r="K490" s="6" t="str">
        <f>IF(A490="","",IFERROR(AVERAGEIF(RacePerformance!$F:$F,A490,RacePerformance!$I:$I),""))</f>
        <v/>
      </c>
      <c r="L490" s="6" t="str">
        <f>IF(A490="","",IFERROR(AVERAGEIF(RacePerformance!$F:$F,A490,RacePerformance!$J:$J),""))</f>
        <v/>
      </c>
      <c r="M490" s="6" t="str">
        <f>IF(A490="","",IFERROR(AVERAGEIF(RacePerformance!$F:$F,A490,RacePerformance!$K:$K),""))</f>
        <v/>
      </c>
      <c r="N490" s="6" t="str">
        <f>IF(A490="","",COUNTIFS(RacePerformance!$F:$F,A490,RacePerformance!$I:$I,"&lt;=20"))</f>
        <v/>
      </c>
      <c r="O490" s="6" t="str">
        <f>IF(A490="","",COUNTIFS(RacePerformance!$F:$F,A490,RacePerformance!$I:$I,1))</f>
        <v/>
      </c>
      <c r="P490" s="6" t="str">
        <f>IF(A490="","",COUNTIFS(RacePerformance!$F:$F,A490,RacePerformance!$J:$J,"&lt;=3"))</f>
        <v/>
      </c>
    </row>
    <row r="491" spans="1:16" ht="14.2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6" t="str">
        <f>IF(A491="","",COUNTIF(RacePerformance!$F:$F,A491))</f>
        <v/>
      </c>
      <c r="K491" s="6" t="str">
        <f>IF(A491="","",IFERROR(AVERAGEIF(RacePerformance!$F:$F,A491,RacePerformance!$I:$I),""))</f>
        <v/>
      </c>
      <c r="L491" s="6" t="str">
        <f>IF(A491="","",IFERROR(AVERAGEIF(RacePerformance!$F:$F,A491,RacePerformance!$J:$J),""))</f>
        <v/>
      </c>
      <c r="M491" s="6" t="str">
        <f>IF(A491="","",IFERROR(AVERAGEIF(RacePerformance!$F:$F,A491,RacePerformance!$K:$K),""))</f>
        <v/>
      </c>
      <c r="N491" s="6" t="str">
        <f>IF(A491="","",COUNTIFS(RacePerformance!$F:$F,A491,RacePerformance!$I:$I,"&lt;=20"))</f>
        <v/>
      </c>
      <c r="O491" s="6" t="str">
        <f>IF(A491="","",COUNTIFS(RacePerformance!$F:$F,A491,RacePerformance!$I:$I,1))</f>
        <v/>
      </c>
      <c r="P491" s="6" t="str">
        <f>IF(A491="","",COUNTIFS(RacePerformance!$F:$F,A491,RacePerformance!$J:$J,"&lt;=3"))</f>
        <v/>
      </c>
    </row>
    <row r="492" spans="1:16" ht="14.2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6" t="str">
        <f>IF(A492="","",COUNTIF(RacePerformance!$F:$F,A492))</f>
        <v/>
      </c>
      <c r="K492" s="6" t="str">
        <f>IF(A492="","",IFERROR(AVERAGEIF(RacePerformance!$F:$F,A492,RacePerformance!$I:$I),""))</f>
        <v/>
      </c>
      <c r="L492" s="6" t="str">
        <f>IF(A492="","",IFERROR(AVERAGEIF(RacePerformance!$F:$F,A492,RacePerformance!$J:$J),""))</f>
        <v/>
      </c>
      <c r="M492" s="6" t="str">
        <f>IF(A492="","",IFERROR(AVERAGEIF(RacePerformance!$F:$F,A492,RacePerformance!$K:$K),""))</f>
        <v/>
      </c>
      <c r="N492" s="6" t="str">
        <f>IF(A492="","",COUNTIFS(RacePerformance!$F:$F,A492,RacePerformance!$I:$I,"&lt;=20"))</f>
        <v/>
      </c>
      <c r="O492" s="6" t="str">
        <f>IF(A492="","",COUNTIFS(RacePerformance!$F:$F,A492,RacePerformance!$I:$I,1))</f>
        <v/>
      </c>
      <c r="P492" s="6" t="str">
        <f>IF(A492="","",COUNTIFS(RacePerformance!$F:$F,A492,RacePerformance!$J:$J,"&lt;=3"))</f>
        <v/>
      </c>
    </row>
    <row r="493" spans="1:16" ht="14.25" customHeight="1" x14ac:dyDescent="0.3">
      <c r="E493" s="6"/>
      <c r="I493" s="6"/>
      <c r="J493" s="6" t="str">
        <f>IF(A493="","",COUNTIF(RacePerformance!$F:$F,A493))</f>
        <v/>
      </c>
      <c r="K493" s="6" t="str">
        <f>IF(A493="","",IFERROR(AVERAGEIF(RacePerformance!$F:$F,A493,RacePerformance!$I:$I),""))</f>
        <v/>
      </c>
      <c r="L493" s="6" t="str">
        <f>IF(A493="","",IFERROR(AVERAGEIF(RacePerformance!$F:$F,A493,RacePerformance!$J:$J),""))</f>
        <v/>
      </c>
      <c r="M493" s="6" t="str">
        <f>IF(A493="","",IFERROR(AVERAGEIF(RacePerformance!$F:$F,A493,RacePerformance!$K:$K),""))</f>
        <v/>
      </c>
      <c r="N493" s="6" t="str">
        <f>IF(A493="","",COUNTIFS(RacePerformance!$F:$F,A493,RacePerformance!$I:$I,"&lt;=20"))</f>
        <v/>
      </c>
      <c r="O493" s="6" t="str">
        <f>IF(A493="","",COUNTIFS(RacePerformance!$F:$F,A493,RacePerformance!$I:$I,1))</f>
        <v/>
      </c>
      <c r="P493" s="6" t="str">
        <f>IF(A493="","",COUNTIFS(RacePerformance!$F:$F,A493,RacePerformance!$J:$J,"&lt;=3"))</f>
        <v/>
      </c>
    </row>
    <row r="494" spans="1:16" ht="14.25" customHeight="1" x14ac:dyDescent="0.3">
      <c r="E494" s="6"/>
      <c r="I494" s="6"/>
      <c r="J494" s="6" t="str">
        <f>IF(A494="","",COUNTIF(RacePerformance!$F:$F,A494))</f>
        <v/>
      </c>
      <c r="K494" s="6" t="str">
        <f>IF(A494="","",IFERROR(AVERAGEIF(RacePerformance!$F:$F,A494,RacePerformance!$I:$I),""))</f>
        <v/>
      </c>
      <c r="L494" s="6" t="str">
        <f>IF(A494="","",IFERROR(AVERAGEIF(RacePerformance!$F:$F,A494,RacePerformance!$J:$J),""))</f>
        <v/>
      </c>
      <c r="M494" s="6" t="str">
        <f>IF(A494="","",IFERROR(AVERAGEIF(RacePerformance!$F:$F,A494,RacePerformance!$K:$K),""))</f>
        <v/>
      </c>
      <c r="N494" s="6" t="str">
        <f>IF(A494="","",COUNTIFS(RacePerformance!$F:$F,A494,RacePerformance!$I:$I,"&lt;=20"))</f>
        <v/>
      </c>
      <c r="O494" s="6" t="str">
        <f>IF(A494="","",COUNTIFS(RacePerformance!$F:$F,A494,RacePerformance!$I:$I,1))</f>
        <v/>
      </c>
      <c r="P494" s="6" t="str">
        <f>IF(A494="","",COUNTIFS(RacePerformance!$F:$F,A494,RacePerformance!$J:$J,"&lt;=3"))</f>
        <v/>
      </c>
    </row>
    <row r="495" spans="1:16" ht="14.25" customHeight="1" x14ac:dyDescent="0.3">
      <c r="E495" s="6"/>
      <c r="I495" s="6"/>
      <c r="J495" s="6" t="str">
        <f>IF(A495="","",COUNTIF(RacePerformance!$F:$F,A495))</f>
        <v/>
      </c>
      <c r="K495" s="6" t="str">
        <f>IF(A495="","",IFERROR(AVERAGEIF(RacePerformance!$F:$F,A495,RacePerformance!$I:$I),""))</f>
        <v/>
      </c>
      <c r="L495" s="6" t="str">
        <f>IF(A495="","",IFERROR(AVERAGEIF(RacePerformance!$F:$F,A495,RacePerformance!$J:$J),""))</f>
        <v/>
      </c>
      <c r="M495" s="6" t="str">
        <f>IF(A495="","",IFERROR(AVERAGEIF(RacePerformance!$F:$F,A495,RacePerformance!$K:$K),""))</f>
        <v/>
      </c>
      <c r="N495" s="6" t="str">
        <f>IF(A495="","",COUNTIFS(RacePerformance!$F:$F,A495,RacePerformance!$I:$I,"&lt;=20"))</f>
        <v/>
      </c>
      <c r="O495" s="6" t="str">
        <f>IF(A495="","",COUNTIFS(RacePerformance!$F:$F,A495,RacePerformance!$I:$I,1))</f>
        <v/>
      </c>
      <c r="P495" s="6" t="str">
        <f>IF(A495="","",COUNTIFS(RacePerformance!$F:$F,A495,RacePerformance!$J:$J,"&lt;=3"))</f>
        <v/>
      </c>
    </row>
    <row r="496" spans="1:16" ht="14.25" customHeight="1" x14ac:dyDescent="0.3">
      <c r="E496" s="6"/>
      <c r="I496" s="6"/>
      <c r="J496" s="6" t="str">
        <f>IF(A496="","",COUNTIF(RacePerformance!$F:$F,A496))</f>
        <v/>
      </c>
      <c r="K496" s="6" t="str">
        <f>IF(A496="","",IFERROR(AVERAGEIF(RacePerformance!$F:$F,A496,RacePerformance!$I:$I),""))</f>
        <v/>
      </c>
      <c r="L496" s="6" t="str">
        <f>IF(A496="","",IFERROR(AVERAGEIF(RacePerformance!$F:$F,A496,RacePerformance!$J:$J),""))</f>
        <v/>
      </c>
      <c r="M496" s="6" t="str">
        <f>IF(A496="","",IFERROR(AVERAGEIF(RacePerformance!$F:$F,A496,RacePerformance!$K:$K),""))</f>
        <v/>
      </c>
      <c r="N496" s="6" t="str">
        <f>IF(A496="","",COUNTIFS(RacePerformance!$F:$F,A496,RacePerformance!$I:$I,"&lt;=20"))</f>
        <v/>
      </c>
      <c r="O496" s="6" t="str">
        <f>IF(A496="","",COUNTIFS(RacePerformance!$F:$F,A496,RacePerformance!$I:$I,1))</f>
        <v/>
      </c>
      <c r="P496" s="6" t="str">
        <f>IF(A496="","",COUNTIFS(RacePerformance!$F:$F,A496,RacePerformance!$J:$J,"&lt;=3"))</f>
        <v/>
      </c>
    </row>
    <row r="497" spans="5:16" ht="14.25" customHeight="1" x14ac:dyDescent="0.3">
      <c r="E497" s="6"/>
      <c r="I497" s="6"/>
      <c r="J497" s="6" t="str">
        <f>IF(A497="","",COUNTIF(RacePerformance!$F:$F,A497))</f>
        <v/>
      </c>
      <c r="K497" s="6" t="str">
        <f>IF(A497="","",IFERROR(AVERAGEIF(RacePerformance!$F:$F,A497,RacePerformance!$I:$I),""))</f>
        <v/>
      </c>
      <c r="L497" s="6" t="str">
        <f>IF(A497="","",IFERROR(AVERAGEIF(RacePerformance!$F:$F,A497,RacePerformance!$J:$J),""))</f>
        <v/>
      </c>
      <c r="M497" s="6" t="str">
        <f>IF(A497="","",IFERROR(AVERAGEIF(RacePerformance!$F:$F,A497,RacePerformance!$K:$K),""))</f>
        <v/>
      </c>
      <c r="N497" s="6" t="str">
        <f>IF(A497="","",COUNTIFS(RacePerformance!$F:$F,A497,RacePerformance!$I:$I,"&lt;=20"))</f>
        <v/>
      </c>
      <c r="O497" s="6" t="str">
        <f>IF(A497="","",COUNTIFS(RacePerformance!$F:$F,A497,RacePerformance!$I:$I,1))</f>
        <v/>
      </c>
      <c r="P497" s="6" t="str">
        <f>IF(A497="","",COUNTIFS(RacePerformance!$F:$F,A497,RacePerformance!$J:$J,"&lt;=3"))</f>
        <v/>
      </c>
    </row>
    <row r="498" spans="5:16" ht="14.25" customHeight="1" x14ac:dyDescent="0.3">
      <c r="E498" s="6"/>
      <c r="I498" s="6"/>
      <c r="J498" s="6" t="str">
        <f>IF(A498="","",COUNTIF(RacePerformance!$F:$F,A498))</f>
        <v/>
      </c>
      <c r="K498" s="6" t="str">
        <f>IF(A498="","",IFERROR(AVERAGEIF(RacePerformance!$F:$F,A498,RacePerformance!$I:$I),""))</f>
        <v/>
      </c>
      <c r="L498" s="6" t="str">
        <f>IF(A498="","",IFERROR(AVERAGEIF(RacePerformance!$F:$F,A498,RacePerformance!$J:$J),""))</f>
        <v/>
      </c>
      <c r="M498" s="6" t="str">
        <f>IF(A498="","",IFERROR(AVERAGEIF(RacePerformance!$F:$F,A498,RacePerformance!$K:$K),""))</f>
        <v/>
      </c>
      <c r="N498" s="6" t="str">
        <f>IF(A498="","",COUNTIFS(RacePerformance!$F:$F,A498,RacePerformance!$I:$I,"&lt;=20"))</f>
        <v/>
      </c>
      <c r="O498" s="6" t="str">
        <f>IF(A498="","",COUNTIFS(RacePerformance!$F:$F,A498,RacePerformance!$I:$I,1))</f>
        <v/>
      </c>
      <c r="P498" s="6" t="str">
        <f>IF(A498="","",COUNTIFS(RacePerformance!$F:$F,A498,RacePerformance!$J:$J,"&lt;=3"))</f>
        <v/>
      </c>
    </row>
    <row r="499" spans="5:16" ht="14.25" customHeight="1" x14ac:dyDescent="0.3">
      <c r="E499" s="6"/>
      <c r="I499" s="6"/>
      <c r="J499" s="6" t="str">
        <f>IF(A499="","",COUNTIF(RacePerformance!$F:$F,A499))</f>
        <v/>
      </c>
      <c r="K499" s="6" t="str">
        <f>IF(A499="","",IFERROR(AVERAGEIF(RacePerformance!$F:$F,A499,RacePerformance!$I:$I),""))</f>
        <v/>
      </c>
      <c r="L499" s="6" t="str">
        <f>IF(A499="","",IFERROR(AVERAGEIF(RacePerformance!$F:$F,A499,RacePerformance!$J:$J),""))</f>
        <v/>
      </c>
      <c r="M499" s="6" t="str">
        <f>IF(A499="","",IFERROR(AVERAGEIF(RacePerformance!$F:$F,A499,RacePerformance!$K:$K),""))</f>
        <v/>
      </c>
      <c r="N499" s="6" t="str">
        <f>IF(A499="","",COUNTIFS(RacePerformance!$F:$F,A499,RacePerformance!$I:$I,"&lt;=20"))</f>
        <v/>
      </c>
      <c r="O499" s="6" t="str">
        <f>IF(A499="","",COUNTIFS(RacePerformance!$F:$F,A499,RacePerformance!$I:$I,1))</f>
        <v/>
      </c>
      <c r="P499" s="6" t="str">
        <f>IF(A499="","",COUNTIFS(RacePerformance!$F:$F,A499,RacePerformance!$J:$J,"&lt;=3"))</f>
        <v/>
      </c>
    </row>
    <row r="500" spans="5:16" ht="14.25" customHeight="1" x14ac:dyDescent="0.3">
      <c r="E500" s="6"/>
      <c r="I500" s="6"/>
      <c r="J500" s="6" t="str">
        <f>IF(A500="","",COUNTIF(RacePerformance!$F:$F,A500))</f>
        <v/>
      </c>
      <c r="K500" s="6" t="str">
        <f>IF(A500="","",IFERROR(AVERAGEIF(RacePerformance!$F:$F,A500,RacePerformance!$I:$I),""))</f>
        <v/>
      </c>
      <c r="L500" s="6" t="str">
        <f>IF(A500="","",IFERROR(AVERAGEIF(RacePerformance!$F:$F,A500,RacePerformance!$J:$J),""))</f>
        <v/>
      </c>
      <c r="M500" s="6" t="str">
        <f>IF(A500="","",IFERROR(AVERAGEIF(RacePerformance!$F:$F,A500,RacePerformance!$K:$K),""))</f>
        <v/>
      </c>
      <c r="N500" s="6" t="str">
        <f>IF(A500="","",COUNTIFS(RacePerformance!$F:$F,A500,RacePerformance!$I:$I,"&lt;=20"))</f>
        <v/>
      </c>
      <c r="O500" s="6" t="str">
        <f>IF(A500="","",COUNTIFS(RacePerformance!$F:$F,A500,RacePerformance!$I:$I,1))</f>
        <v/>
      </c>
      <c r="P500" s="6" t="str">
        <f>IF(A500="","",COUNTIFS(RacePerformance!$F:$F,A500,RacePerformance!$J:$J,"&lt;=3"))</f>
        <v/>
      </c>
    </row>
    <row r="501" spans="5:16" ht="14.25" customHeight="1" x14ac:dyDescent="0.3">
      <c r="E501" s="6"/>
      <c r="I501" s="6"/>
      <c r="J501" s="6" t="str">
        <f>IF(A501="","",COUNTIF(RacePerformance!$F:$F,A501))</f>
        <v/>
      </c>
      <c r="K501" s="6" t="str">
        <f>IF(A501="","",IFERROR(AVERAGEIF(RacePerformance!$F:$F,A501,RacePerformance!$I:$I),""))</f>
        <v/>
      </c>
      <c r="L501" s="6" t="str">
        <f>IF(A501="","",IFERROR(AVERAGEIF(RacePerformance!$F:$F,A501,RacePerformance!$J:$J),""))</f>
        <v/>
      </c>
      <c r="M501" s="6" t="str">
        <f>IF(A501="","",IFERROR(AVERAGEIF(RacePerformance!$F:$F,A501,RacePerformance!$K:$K),""))</f>
        <v/>
      </c>
      <c r="N501" s="6" t="str">
        <f>IF(A501="","",COUNTIFS(RacePerformance!$F:$F,A501,RacePerformance!$I:$I,"&lt;=20"))</f>
        <v/>
      </c>
      <c r="O501" s="6" t="str">
        <f>IF(A501="","",COUNTIFS(RacePerformance!$F:$F,A501,RacePerformance!$I:$I,1))</f>
        <v/>
      </c>
      <c r="P501" s="6" t="str">
        <f>IF(A501="","",COUNTIFS(RacePerformance!$F:$F,A501,RacePerformance!$J:$J,"&lt;=3"))</f>
        <v/>
      </c>
    </row>
    <row r="502" spans="5:16" ht="14.25" customHeight="1" x14ac:dyDescent="0.3">
      <c r="E502" s="6"/>
      <c r="I502" s="6"/>
      <c r="J502" s="6" t="str">
        <f>IF(A502="","",COUNTIF(RacePerformance!$F:$F,A502))</f>
        <v/>
      </c>
      <c r="K502" s="6" t="str">
        <f>IF(A502="","",IFERROR(AVERAGEIF(RacePerformance!$F:$F,A502,RacePerformance!$I:$I),""))</f>
        <v/>
      </c>
      <c r="L502" s="6" t="str">
        <f>IF(A502="","",IFERROR(AVERAGEIF(RacePerformance!$F:$F,A502,RacePerformance!$J:$J),""))</f>
        <v/>
      </c>
      <c r="M502" s="6" t="str">
        <f>IF(A502="","",IFERROR(AVERAGEIF(RacePerformance!$F:$F,A502,RacePerformance!$K:$K),""))</f>
        <v/>
      </c>
      <c r="N502" s="6" t="str">
        <f>IF(A502="","",COUNTIFS(RacePerformance!$F:$F,A502,RacePerformance!$I:$I,"&lt;=20"))</f>
        <v/>
      </c>
      <c r="O502" s="6" t="str">
        <f>IF(A502="","",COUNTIFS(RacePerformance!$F:$F,A502,RacePerformance!$I:$I,1))</f>
        <v/>
      </c>
      <c r="P502" s="6" t="str">
        <f>IF(A502="","",COUNTIFS(RacePerformance!$F:$F,A502,RacePerformance!$J:$J,"&lt;=3"))</f>
        <v/>
      </c>
    </row>
    <row r="503" spans="5:16" ht="14.25" customHeight="1" x14ac:dyDescent="0.3">
      <c r="E503" s="6"/>
      <c r="I503" s="6"/>
      <c r="J503" s="6" t="str">
        <f>IF(A503="","",COUNTIF(RacePerformance!$F:$F,A503))</f>
        <v/>
      </c>
      <c r="K503" s="6" t="str">
        <f>IF(A503="","",IFERROR(AVERAGEIF(RacePerformance!$F:$F,A503,RacePerformance!$I:$I),""))</f>
        <v/>
      </c>
      <c r="L503" s="6" t="str">
        <f>IF(A503="","",IFERROR(AVERAGEIF(RacePerformance!$F:$F,A503,RacePerformance!$J:$J),""))</f>
        <v/>
      </c>
      <c r="M503" s="6" t="str">
        <f>IF(A503="","",IFERROR(AVERAGEIF(RacePerformance!$F:$F,A503,RacePerformance!$K:$K),""))</f>
        <v/>
      </c>
      <c r="N503" s="6" t="str">
        <f>IF(A503="","",COUNTIFS(RacePerformance!$F:$F,A503,RacePerformance!$I:$I,"&lt;=20"))</f>
        <v/>
      </c>
      <c r="O503" s="6" t="str">
        <f>IF(A503="","",COUNTIFS(RacePerformance!$F:$F,A503,RacePerformance!$I:$I,1))</f>
        <v/>
      </c>
      <c r="P503" s="6" t="str">
        <f>IF(A503="","",COUNTIFS(RacePerformance!$F:$F,A503,RacePerformance!$J:$J,"&lt;=3"))</f>
        <v/>
      </c>
    </row>
    <row r="504" spans="5:16" ht="14.25" customHeight="1" x14ac:dyDescent="0.3">
      <c r="E504" s="6"/>
      <c r="I504" s="6"/>
      <c r="J504" s="6" t="str">
        <f>IF(A504="","",COUNTIF(RacePerformance!$F:$F,A504))</f>
        <v/>
      </c>
      <c r="K504" s="6" t="str">
        <f>IF(A504="","",IFERROR(AVERAGEIF(RacePerformance!$F:$F,A504,RacePerformance!$I:$I),""))</f>
        <v/>
      </c>
      <c r="L504" s="6" t="str">
        <f>IF(A504="","",IFERROR(AVERAGEIF(RacePerformance!$F:$F,A504,RacePerformance!$J:$J),""))</f>
        <v/>
      </c>
      <c r="M504" s="6" t="str">
        <f>IF(A504="","",IFERROR(AVERAGEIF(RacePerformance!$F:$F,A504,RacePerformance!$K:$K),""))</f>
        <v/>
      </c>
      <c r="N504" s="6" t="str">
        <f>IF(A504="","",COUNTIFS(RacePerformance!$F:$F,A504,RacePerformance!$I:$I,"&lt;=20"))</f>
        <v/>
      </c>
      <c r="O504" s="6" t="str">
        <f>IF(A504="","",COUNTIFS(RacePerformance!$F:$F,A504,RacePerformance!$I:$I,1))</f>
        <v/>
      </c>
      <c r="P504" s="6" t="str">
        <f>IF(A504="","",COUNTIFS(RacePerformance!$F:$F,A504,RacePerformance!$J:$J,"&lt;=3"))</f>
        <v/>
      </c>
    </row>
    <row r="505" spans="5:16" ht="14.25" customHeight="1" x14ac:dyDescent="0.3">
      <c r="E505" s="6"/>
      <c r="I505" s="6"/>
      <c r="J505" s="6" t="str">
        <f>IF(A505="","",COUNTIF(RacePerformance!$F:$F,A505))</f>
        <v/>
      </c>
      <c r="K505" s="6" t="str">
        <f>IF(A505="","",IFERROR(AVERAGEIF(RacePerformance!$F:$F,A505,RacePerformance!$I:$I),""))</f>
        <v/>
      </c>
      <c r="L505" s="6" t="str">
        <f>IF(A505="","",IFERROR(AVERAGEIF(RacePerformance!$F:$F,A505,RacePerformance!$J:$J),""))</f>
        <v/>
      </c>
      <c r="M505" s="6" t="str">
        <f>IF(A505="","",IFERROR(AVERAGEIF(RacePerformance!$F:$F,A505,RacePerformance!$K:$K),""))</f>
        <v/>
      </c>
      <c r="N505" s="6" t="str">
        <f>IF(A505="","",COUNTIFS(RacePerformance!$F:$F,A505,RacePerformance!$I:$I,"&lt;=20"))</f>
        <v/>
      </c>
      <c r="O505" s="6" t="str">
        <f>IF(A505="","",COUNTIFS(RacePerformance!$F:$F,A505,RacePerformance!$I:$I,1))</f>
        <v/>
      </c>
      <c r="P505" s="6" t="str">
        <f>IF(A505="","",COUNTIFS(RacePerformance!$F:$F,A505,RacePerformance!$J:$J,"&lt;=3"))</f>
        <v/>
      </c>
    </row>
    <row r="506" spans="5:16" ht="14.25" customHeight="1" x14ac:dyDescent="0.3">
      <c r="E506" s="6"/>
      <c r="I506" s="6"/>
      <c r="J506" s="6" t="str">
        <f>IF(A506="","",COUNTIF(RacePerformance!$F:$F,A506))</f>
        <v/>
      </c>
      <c r="K506" s="6" t="str">
        <f>IF(A506="","",IFERROR(AVERAGEIF(RacePerformance!$F:$F,A506,RacePerformance!$I:$I),""))</f>
        <v/>
      </c>
      <c r="L506" s="6" t="str">
        <f>IF(A506="","",IFERROR(AVERAGEIF(RacePerformance!$F:$F,A506,RacePerformance!$J:$J),""))</f>
        <v/>
      </c>
      <c r="M506" s="6" t="str">
        <f>IF(A506="","",IFERROR(AVERAGEIF(RacePerformance!$F:$F,A506,RacePerformance!$K:$K),""))</f>
        <v/>
      </c>
      <c r="N506" s="6" t="str">
        <f>IF(A506="","",COUNTIFS(RacePerformance!$F:$F,A506,RacePerformance!$I:$I,"&lt;=20"))</f>
        <v/>
      </c>
      <c r="O506" s="6" t="str">
        <f>IF(A506="","",COUNTIFS(RacePerformance!$F:$F,A506,RacePerformance!$I:$I,1))</f>
        <v/>
      </c>
      <c r="P506" s="6" t="str">
        <f>IF(A506="","",COUNTIFS(RacePerformance!$F:$F,A506,RacePerformance!$J:$J,"&lt;=3"))</f>
        <v/>
      </c>
    </row>
    <row r="507" spans="5:16" ht="14.25" customHeight="1" x14ac:dyDescent="0.3">
      <c r="E507" s="6"/>
      <c r="I507" s="6"/>
      <c r="J507" s="6" t="str">
        <f>IF(A507="","",COUNTIF(RacePerformance!$F:$F,A507))</f>
        <v/>
      </c>
      <c r="K507" s="6" t="str">
        <f>IF(A507="","",IFERROR(AVERAGEIF(RacePerformance!$F:$F,A507,RacePerformance!$I:$I),""))</f>
        <v/>
      </c>
      <c r="L507" s="6" t="str">
        <f>IF(A507="","",IFERROR(AVERAGEIF(RacePerformance!$F:$F,A507,RacePerformance!$J:$J),""))</f>
        <v/>
      </c>
      <c r="M507" s="6" t="str">
        <f>IF(A507="","",IFERROR(AVERAGEIF(RacePerformance!$F:$F,A507,RacePerformance!$K:$K),""))</f>
        <v/>
      </c>
      <c r="N507" s="6" t="str">
        <f>IF(A507="","",COUNTIFS(RacePerformance!$F:$F,A507,RacePerformance!$I:$I,"&lt;=20"))</f>
        <v/>
      </c>
      <c r="O507" s="6" t="str">
        <f>IF(A507="","",COUNTIFS(RacePerformance!$F:$F,A507,RacePerformance!$I:$I,1))</f>
        <v/>
      </c>
      <c r="P507" s="6" t="str">
        <f>IF(A507="","",COUNTIFS(RacePerformance!$F:$F,A507,RacePerformance!$J:$J,"&lt;=3"))</f>
        <v/>
      </c>
    </row>
    <row r="508" spans="5:16" ht="14.25" customHeight="1" x14ac:dyDescent="0.3">
      <c r="E508" s="6"/>
      <c r="I508" s="6"/>
      <c r="J508" s="6" t="str">
        <f>IF(A508="","",COUNTIF(RacePerformance!$F:$F,A508))</f>
        <v/>
      </c>
      <c r="K508" s="6" t="str">
        <f>IF(A508="","",IFERROR(AVERAGEIF(RacePerformance!$F:$F,A508,RacePerformance!$I:$I),""))</f>
        <v/>
      </c>
      <c r="L508" s="6" t="str">
        <f>IF(A508="","",IFERROR(AVERAGEIF(RacePerformance!$F:$F,A508,RacePerformance!$J:$J),""))</f>
        <v/>
      </c>
      <c r="M508" s="6" t="str">
        <f>IF(A508="","",IFERROR(AVERAGEIF(RacePerformance!$F:$F,A508,RacePerformance!$K:$K),""))</f>
        <v/>
      </c>
      <c r="N508" s="6" t="str">
        <f>IF(A508="","",COUNTIFS(RacePerformance!$F:$F,A508,RacePerformance!$I:$I,"&lt;=20"))</f>
        <v/>
      </c>
      <c r="O508" s="6" t="str">
        <f>IF(A508="","",COUNTIFS(RacePerformance!$F:$F,A508,RacePerformance!$I:$I,1))</f>
        <v/>
      </c>
      <c r="P508" s="6" t="str">
        <f>IF(A508="","",COUNTIFS(RacePerformance!$F:$F,A508,RacePerformance!$J:$J,"&lt;=3"))</f>
        <v/>
      </c>
    </row>
    <row r="509" spans="5:16" ht="14.25" customHeight="1" x14ac:dyDescent="0.3">
      <c r="E509" s="6"/>
      <c r="I509" s="6"/>
      <c r="J509" s="6" t="str">
        <f>IF(A509="","",COUNTIF(RacePerformance!$F:$F,A509))</f>
        <v/>
      </c>
      <c r="K509" s="6" t="str">
        <f>IF(A509="","",IFERROR(AVERAGEIF(RacePerformance!$F:$F,A509,RacePerformance!$I:$I),""))</f>
        <v/>
      </c>
      <c r="L509" s="6" t="str">
        <f>IF(A509="","",IFERROR(AVERAGEIF(RacePerformance!$F:$F,A509,RacePerformance!$J:$J),""))</f>
        <v/>
      </c>
      <c r="M509" s="6" t="str">
        <f>IF(A509="","",IFERROR(AVERAGEIF(RacePerformance!$F:$F,A509,RacePerformance!$K:$K),""))</f>
        <v/>
      </c>
      <c r="N509" s="6" t="str">
        <f>IF(A509="","",COUNTIFS(RacePerformance!$F:$F,A509,RacePerformance!$I:$I,"&lt;=20"))</f>
        <v/>
      </c>
      <c r="O509" s="6" t="str">
        <f>IF(A509="","",COUNTIFS(RacePerformance!$F:$F,A509,RacePerformance!$I:$I,1))</f>
        <v/>
      </c>
      <c r="P509" s="6" t="str">
        <f>IF(A509="","",COUNTIFS(RacePerformance!$F:$F,A509,RacePerformance!$J:$J,"&lt;=3"))</f>
        <v/>
      </c>
    </row>
    <row r="510" spans="5:16" ht="14.25" customHeight="1" x14ac:dyDescent="0.3">
      <c r="E510" s="6"/>
      <c r="I510" s="6"/>
      <c r="J510" s="6" t="str">
        <f>IF(A510="","",COUNTIF(RacePerformance!$F:$F,A510))</f>
        <v/>
      </c>
      <c r="K510" s="6" t="str">
        <f>IF(A510="","",IFERROR(AVERAGEIF(RacePerformance!$F:$F,A510,RacePerformance!$I:$I),""))</f>
        <v/>
      </c>
      <c r="L510" s="6" t="str">
        <f>IF(A510="","",IFERROR(AVERAGEIF(RacePerformance!$F:$F,A510,RacePerformance!$J:$J),""))</f>
        <v/>
      </c>
      <c r="M510" s="6" t="str">
        <f>IF(A510="","",IFERROR(AVERAGEIF(RacePerformance!$F:$F,A510,RacePerformance!$K:$K),""))</f>
        <v/>
      </c>
      <c r="N510" s="6" t="str">
        <f>IF(A510="","",COUNTIFS(RacePerformance!$F:$F,A510,RacePerformance!$I:$I,"&lt;=20"))</f>
        <v/>
      </c>
      <c r="O510" s="6" t="str">
        <f>IF(A510="","",COUNTIFS(RacePerformance!$F:$F,A510,RacePerformance!$I:$I,1))</f>
        <v/>
      </c>
      <c r="P510" s="6" t="str">
        <f>IF(A510="","",COUNTIFS(RacePerformance!$F:$F,A510,RacePerformance!$J:$J,"&lt;=3"))</f>
        <v/>
      </c>
    </row>
    <row r="511" spans="5:16" ht="14.25" customHeight="1" x14ac:dyDescent="0.3">
      <c r="E511" s="6"/>
      <c r="I511" s="6"/>
      <c r="J511" s="6" t="str">
        <f>IF(A511="","",COUNTIF(RacePerformance!$F:$F,A511))</f>
        <v/>
      </c>
      <c r="K511" s="6" t="str">
        <f>IF(A511="","",IFERROR(AVERAGEIF(RacePerformance!$F:$F,A511,RacePerformance!$I:$I),""))</f>
        <v/>
      </c>
      <c r="L511" s="6" t="str">
        <f>IF(A511="","",IFERROR(AVERAGEIF(RacePerformance!$F:$F,A511,RacePerformance!$J:$J),""))</f>
        <v/>
      </c>
      <c r="M511" s="6" t="str">
        <f>IF(A511="","",IFERROR(AVERAGEIF(RacePerformance!$F:$F,A511,RacePerformance!$K:$K),""))</f>
        <v/>
      </c>
      <c r="N511" s="6" t="str">
        <f>IF(A511="","",COUNTIFS(RacePerformance!$F:$F,A511,RacePerformance!$I:$I,"&lt;=20"))</f>
        <v/>
      </c>
      <c r="O511" s="6" t="str">
        <f>IF(A511="","",COUNTIFS(RacePerformance!$F:$F,A511,RacePerformance!$I:$I,1))</f>
        <v/>
      </c>
      <c r="P511" s="6" t="str">
        <f>IF(A511="","",COUNTIFS(RacePerformance!$F:$F,A511,RacePerformance!$J:$J,"&lt;=3"))</f>
        <v/>
      </c>
    </row>
    <row r="512" spans="5:16" ht="14.25" customHeight="1" x14ac:dyDescent="0.3">
      <c r="E512" s="6"/>
      <c r="I512" s="6"/>
      <c r="J512" s="6" t="str">
        <f>IF(A512="","",COUNTIF(RacePerformance!$F:$F,A512))</f>
        <v/>
      </c>
      <c r="K512" s="6" t="str">
        <f>IF(A512="","",IFERROR(AVERAGEIF(RacePerformance!$F:$F,A512,RacePerformance!$I:$I),""))</f>
        <v/>
      </c>
      <c r="L512" s="6" t="str">
        <f>IF(A512="","",IFERROR(AVERAGEIF(RacePerformance!$F:$F,A512,RacePerformance!$J:$J),""))</f>
        <v/>
      </c>
      <c r="M512" s="6" t="str">
        <f>IF(A512="","",IFERROR(AVERAGEIF(RacePerformance!$F:$F,A512,RacePerformance!$K:$K),""))</f>
        <v/>
      </c>
      <c r="N512" s="6" t="str">
        <f>IF(A512="","",COUNTIFS(RacePerformance!$F:$F,A512,RacePerformance!$I:$I,"&lt;=20"))</f>
        <v/>
      </c>
      <c r="O512" s="6" t="str">
        <f>IF(A512="","",COUNTIFS(RacePerformance!$F:$F,A512,RacePerformance!$I:$I,1))</f>
        <v/>
      </c>
      <c r="P512" s="6" t="str">
        <f>IF(A512="","",COUNTIFS(RacePerformance!$F:$F,A512,RacePerformance!$J:$J,"&lt;=3"))</f>
        <v/>
      </c>
    </row>
    <row r="513" spans="5:16" ht="14.25" customHeight="1" x14ac:dyDescent="0.3">
      <c r="E513" s="6"/>
      <c r="I513" s="6"/>
      <c r="J513" s="6" t="str">
        <f>IF(A513="","",COUNTIF(RacePerformance!$F:$F,A513))</f>
        <v/>
      </c>
      <c r="K513" s="6" t="str">
        <f>IF(A513="","",IFERROR(AVERAGEIF(RacePerformance!$F:$F,A513,RacePerformance!$I:$I),""))</f>
        <v/>
      </c>
      <c r="L513" s="6" t="str">
        <f>IF(A513="","",IFERROR(AVERAGEIF(RacePerformance!$F:$F,A513,RacePerformance!$J:$J),""))</f>
        <v/>
      </c>
      <c r="M513" s="6" t="str">
        <f>IF(A513="","",IFERROR(AVERAGEIF(RacePerformance!$F:$F,A513,RacePerformance!$K:$K),""))</f>
        <v/>
      </c>
      <c r="N513" s="6" t="str">
        <f>IF(A513="","",COUNTIFS(RacePerformance!$F:$F,A513,RacePerformance!$I:$I,"&lt;=20"))</f>
        <v/>
      </c>
      <c r="O513" s="6" t="str">
        <f>IF(A513="","",COUNTIFS(RacePerformance!$F:$F,A513,RacePerformance!$I:$I,1))</f>
        <v/>
      </c>
      <c r="P513" s="6" t="str">
        <f>IF(A513="","",COUNTIFS(RacePerformance!$F:$F,A513,RacePerformance!$J:$J,"&lt;=3"))</f>
        <v/>
      </c>
    </row>
    <row r="514" spans="5:16" ht="14.25" customHeight="1" x14ac:dyDescent="0.3">
      <c r="E514" s="6"/>
      <c r="I514" s="6"/>
      <c r="J514" s="6" t="str">
        <f>IF(A514="","",COUNTIF(RacePerformance!$F:$F,A514))</f>
        <v/>
      </c>
      <c r="K514" s="6" t="str">
        <f>IF(A514="","",IFERROR(AVERAGEIF(RacePerformance!$F:$F,A514,RacePerformance!$I:$I),""))</f>
        <v/>
      </c>
      <c r="L514" s="6" t="str">
        <f>IF(A514="","",IFERROR(AVERAGEIF(RacePerformance!$F:$F,A514,RacePerformance!$J:$J),""))</f>
        <v/>
      </c>
      <c r="M514" s="6" t="str">
        <f>IF(A514="","",IFERROR(AVERAGEIF(RacePerformance!$F:$F,A514,RacePerformance!$K:$K),""))</f>
        <v/>
      </c>
      <c r="N514" s="6" t="str">
        <f>IF(A514="","",COUNTIFS(RacePerformance!$F:$F,A514,RacePerformance!$I:$I,"&lt;=20"))</f>
        <v/>
      </c>
      <c r="O514" s="6" t="str">
        <f>IF(A514="","",COUNTIFS(RacePerformance!$F:$F,A514,RacePerformance!$I:$I,1))</f>
        <v/>
      </c>
      <c r="P514" s="6" t="str">
        <f>IF(A514="","",COUNTIFS(RacePerformance!$F:$F,A514,RacePerformance!$J:$J,"&lt;=3"))</f>
        <v/>
      </c>
    </row>
    <row r="515" spans="5:16" ht="14.25" customHeight="1" x14ac:dyDescent="0.3">
      <c r="E515" s="6"/>
      <c r="I515" s="6"/>
      <c r="J515" s="6" t="str">
        <f>IF(A515="","",COUNTIF(RacePerformance!$F:$F,A515))</f>
        <v/>
      </c>
      <c r="K515" s="6" t="str">
        <f>IF(A515="","",IFERROR(AVERAGEIF(RacePerformance!$F:$F,A515,RacePerformance!$I:$I),""))</f>
        <v/>
      </c>
      <c r="L515" s="6" t="str">
        <f>IF(A515="","",IFERROR(AVERAGEIF(RacePerformance!$F:$F,A515,RacePerformance!$J:$J),""))</f>
        <v/>
      </c>
      <c r="M515" s="6" t="str">
        <f>IF(A515="","",IFERROR(AVERAGEIF(RacePerformance!$F:$F,A515,RacePerformance!$K:$K),""))</f>
        <v/>
      </c>
      <c r="N515" s="6" t="str">
        <f>IF(A515="","",COUNTIFS(RacePerformance!$F:$F,A515,RacePerformance!$I:$I,"&lt;=20"))</f>
        <v/>
      </c>
      <c r="O515" s="6" t="str">
        <f>IF(A515="","",COUNTIFS(RacePerformance!$F:$F,A515,RacePerformance!$I:$I,1))</f>
        <v/>
      </c>
      <c r="P515" s="6" t="str">
        <f>IF(A515="","",COUNTIFS(RacePerformance!$F:$F,A515,RacePerformance!$J:$J,"&lt;=3"))</f>
        <v/>
      </c>
    </row>
    <row r="516" spans="5:16" ht="14.25" customHeight="1" x14ac:dyDescent="0.3">
      <c r="E516" s="6"/>
      <c r="I516" s="6"/>
      <c r="J516" s="6" t="str">
        <f>IF(A516="","",COUNTIF(RacePerformance!$F:$F,A516))</f>
        <v/>
      </c>
      <c r="K516" s="6" t="str">
        <f>IF(A516="","",IFERROR(AVERAGEIF(RacePerformance!$F:$F,A516,RacePerformance!$I:$I),""))</f>
        <v/>
      </c>
      <c r="L516" s="6" t="str">
        <f>IF(A516="","",IFERROR(AVERAGEIF(RacePerformance!$F:$F,A516,RacePerformance!$J:$J),""))</f>
        <v/>
      </c>
      <c r="M516" s="6" t="str">
        <f>IF(A516="","",IFERROR(AVERAGEIF(RacePerformance!$F:$F,A516,RacePerformance!$K:$K),""))</f>
        <v/>
      </c>
      <c r="N516" s="6" t="str">
        <f>IF(A516="","",COUNTIFS(RacePerformance!$F:$F,A516,RacePerformance!$I:$I,"&lt;=20"))</f>
        <v/>
      </c>
      <c r="O516" s="6" t="str">
        <f>IF(A516="","",COUNTIFS(RacePerformance!$F:$F,A516,RacePerformance!$I:$I,1))</f>
        <v/>
      </c>
      <c r="P516" s="6" t="str">
        <f>IF(A516="","",COUNTIFS(RacePerformance!$F:$F,A516,RacePerformance!$J:$J,"&lt;=3"))</f>
        <v/>
      </c>
    </row>
    <row r="517" spans="5:16" ht="14.25" customHeight="1" x14ac:dyDescent="0.3">
      <c r="E517" s="6"/>
      <c r="I517" s="6"/>
      <c r="J517" s="6" t="str">
        <f>IF(A517="","",COUNTIF(RacePerformance!$F:$F,A517))</f>
        <v/>
      </c>
      <c r="K517" s="6" t="str">
        <f>IF(A517="","",IFERROR(AVERAGEIF(RacePerformance!$F:$F,A517,RacePerformance!$I:$I),""))</f>
        <v/>
      </c>
      <c r="L517" s="6" t="str">
        <f>IF(A517="","",IFERROR(AVERAGEIF(RacePerformance!$F:$F,A517,RacePerformance!$J:$J),""))</f>
        <v/>
      </c>
      <c r="M517" s="6" t="str">
        <f>IF(A517="","",IFERROR(AVERAGEIF(RacePerformance!$F:$F,A517,RacePerformance!$K:$K),""))</f>
        <v/>
      </c>
      <c r="N517" s="6" t="str">
        <f>IF(A517="","",COUNTIFS(RacePerformance!$F:$F,A517,RacePerformance!$I:$I,"&lt;=20"))</f>
        <v/>
      </c>
      <c r="O517" s="6" t="str">
        <f>IF(A517="","",COUNTIFS(RacePerformance!$F:$F,A517,RacePerformance!$I:$I,1))</f>
        <v/>
      </c>
      <c r="P517" s="6" t="str">
        <f>IF(A517="","",COUNTIFS(RacePerformance!$F:$F,A517,RacePerformance!$J:$J,"&lt;=3"))</f>
        <v/>
      </c>
    </row>
    <row r="518" spans="5:16" ht="14.25" customHeight="1" x14ac:dyDescent="0.3">
      <c r="E518" s="6"/>
      <c r="I518" s="6"/>
      <c r="J518" s="6" t="str">
        <f>IF(A518="","",COUNTIF(RacePerformance!$F:$F,A518))</f>
        <v/>
      </c>
      <c r="K518" s="6" t="str">
        <f>IF(A518="","",IFERROR(AVERAGEIF(RacePerformance!$F:$F,A518,RacePerformance!$I:$I),""))</f>
        <v/>
      </c>
      <c r="L518" s="6" t="str">
        <f>IF(A518="","",IFERROR(AVERAGEIF(RacePerformance!$F:$F,A518,RacePerformance!$J:$J),""))</f>
        <v/>
      </c>
      <c r="M518" s="6" t="str">
        <f>IF(A518="","",IFERROR(AVERAGEIF(RacePerformance!$F:$F,A518,RacePerformance!$K:$K),""))</f>
        <v/>
      </c>
      <c r="N518" s="6" t="str">
        <f>IF(A518="","",COUNTIFS(RacePerformance!$F:$F,A518,RacePerformance!$I:$I,"&lt;=20"))</f>
        <v/>
      </c>
      <c r="O518" s="6" t="str">
        <f>IF(A518="","",COUNTIFS(RacePerformance!$F:$F,A518,RacePerformance!$I:$I,1))</f>
        <v/>
      </c>
      <c r="P518" s="6" t="str">
        <f>IF(A518="","",COUNTIFS(RacePerformance!$F:$F,A518,RacePerformance!$J:$J,"&lt;=3"))</f>
        <v/>
      </c>
    </row>
    <row r="519" spans="5:16" ht="14.25" customHeight="1" x14ac:dyDescent="0.3">
      <c r="E519" s="6"/>
      <c r="I519" s="6"/>
      <c r="J519" s="6" t="str">
        <f>IF(A519="","",COUNTIF(RacePerformance!$F:$F,A519))</f>
        <v/>
      </c>
      <c r="K519" s="6" t="str">
        <f>IF(A519="","",IFERROR(AVERAGEIF(RacePerformance!$F:$F,A519,RacePerformance!$I:$I),""))</f>
        <v/>
      </c>
      <c r="L519" s="6" t="str">
        <f>IF(A519="","",IFERROR(AVERAGEIF(RacePerformance!$F:$F,A519,RacePerformance!$J:$J),""))</f>
        <v/>
      </c>
      <c r="M519" s="6" t="str">
        <f>IF(A519="","",IFERROR(AVERAGEIF(RacePerformance!$F:$F,A519,RacePerformance!$K:$K),""))</f>
        <v/>
      </c>
      <c r="N519" s="6" t="str">
        <f>IF(A519="","",COUNTIFS(RacePerformance!$F:$F,A519,RacePerformance!$I:$I,"&lt;=20"))</f>
        <v/>
      </c>
      <c r="O519" s="6" t="str">
        <f>IF(A519="","",COUNTIFS(RacePerformance!$F:$F,A519,RacePerformance!$I:$I,1))</f>
        <v/>
      </c>
      <c r="P519" s="6" t="str">
        <f>IF(A519="","",COUNTIFS(RacePerformance!$F:$F,A519,RacePerformance!$J:$J,"&lt;=3"))</f>
        <v/>
      </c>
    </row>
    <row r="520" spans="5:16" ht="14.25" customHeight="1" x14ac:dyDescent="0.3">
      <c r="E520" s="6"/>
      <c r="I520" s="6"/>
      <c r="J520" s="6" t="str">
        <f>IF(A520="","",COUNTIF(RacePerformance!$F:$F,A520))</f>
        <v/>
      </c>
      <c r="K520" s="6" t="str">
        <f>IF(A520="","",IFERROR(AVERAGEIF(RacePerformance!$F:$F,A520,RacePerformance!$I:$I),""))</f>
        <v/>
      </c>
      <c r="L520" s="6" t="str">
        <f>IF(A520="","",IFERROR(AVERAGEIF(RacePerformance!$F:$F,A520,RacePerformance!$J:$J),""))</f>
        <v/>
      </c>
      <c r="M520" s="6" t="str">
        <f>IF(A520="","",IFERROR(AVERAGEIF(RacePerformance!$F:$F,A520,RacePerformance!$K:$K),""))</f>
        <v/>
      </c>
      <c r="N520" s="6" t="str">
        <f>IF(A520="","",COUNTIFS(RacePerformance!$F:$F,A520,RacePerformance!$I:$I,"&lt;=20"))</f>
        <v/>
      </c>
      <c r="O520" s="6" t="str">
        <f>IF(A520="","",COUNTIFS(RacePerformance!$F:$F,A520,RacePerformance!$I:$I,1))</f>
        <v/>
      </c>
      <c r="P520" s="6" t="str">
        <f>IF(A520="","",COUNTIFS(RacePerformance!$F:$F,A520,RacePerformance!$J:$J,"&lt;=3"))</f>
        <v/>
      </c>
    </row>
    <row r="521" spans="5:16" ht="14.25" customHeight="1" x14ac:dyDescent="0.3">
      <c r="E521" s="6"/>
      <c r="I521" s="6"/>
      <c r="J521" s="6" t="str">
        <f>IF(A521="","",COUNTIF(RacePerformance!$F:$F,A521))</f>
        <v/>
      </c>
      <c r="K521" s="6" t="str">
        <f>IF(A521="","",IFERROR(AVERAGEIF(RacePerformance!$F:$F,A521,RacePerformance!$I:$I),""))</f>
        <v/>
      </c>
      <c r="L521" s="6" t="str">
        <f>IF(A521="","",IFERROR(AVERAGEIF(RacePerformance!$F:$F,A521,RacePerformance!$J:$J),""))</f>
        <v/>
      </c>
      <c r="M521" s="6" t="str">
        <f>IF(A521="","",IFERROR(AVERAGEIF(RacePerformance!$F:$F,A521,RacePerformance!$K:$K),""))</f>
        <v/>
      </c>
      <c r="N521" s="6" t="str">
        <f>IF(A521="","",COUNTIFS(RacePerformance!$F:$F,A521,RacePerformance!$I:$I,"&lt;=20"))</f>
        <v/>
      </c>
      <c r="O521" s="6" t="str">
        <f>IF(A521="","",COUNTIFS(RacePerformance!$F:$F,A521,RacePerformance!$I:$I,1))</f>
        <v/>
      </c>
      <c r="P521" s="6" t="str">
        <f>IF(A521="","",COUNTIFS(RacePerformance!$F:$F,A521,RacePerformance!$J:$J,"&lt;=3"))</f>
        <v/>
      </c>
    </row>
    <row r="522" spans="5:16" ht="14.25" customHeight="1" x14ac:dyDescent="0.3">
      <c r="E522" s="6"/>
      <c r="I522" s="6"/>
      <c r="J522" s="6" t="str">
        <f>IF(A522="","",COUNTIF(RacePerformance!$F:$F,A522))</f>
        <v/>
      </c>
      <c r="K522" s="6" t="str">
        <f>IF(A522="","",IFERROR(AVERAGEIF(RacePerformance!$F:$F,A522,RacePerformance!$I:$I),""))</f>
        <v/>
      </c>
      <c r="L522" s="6" t="str">
        <f>IF(A522="","",IFERROR(AVERAGEIF(RacePerformance!$F:$F,A522,RacePerformance!$J:$J),""))</f>
        <v/>
      </c>
      <c r="M522" s="6" t="str">
        <f>IF(A522="","",IFERROR(AVERAGEIF(RacePerformance!$F:$F,A522,RacePerformance!$K:$K),""))</f>
        <v/>
      </c>
      <c r="N522" s="6" t="str">
        <f>IF(A522="","",COUNTIFS(RacePerformance!$F:$F,A522,RacePerformance!$I:$I,"&lt;=20"))</f>
        <v/>
      </c>
      <c r="O522" s="6" t="str">
        <f>IF(A522="","",COUNTIFS(RacePerformance!$F:$F,A522,RacePerformance!$I:$I,1))</f>
        <v/>
      </c>
      <c r="P522" s="6" t="str">
        <f>IF(A522="","",COUNTIFS(RacePerformance!$F:$F,A522,RacePerformance!$J:$J,"&lt;=3"))</f>
        <v/>
      </c>
    </row>
    <row r="523" spans="5:16" ht="14.25" customHeight="1" x14ac:dyDescent="0.3">
      <c r="E523" s="6"/>
      <c r="I523" s="6"/>
      <c r="J523" s="6" t="str">
        <f>IF(A523="","",COUNTIF(RacePerformance!$F:$F,A523))</f>
        <v/>
      </c>
      <c r="K523" s="6" t="str">
        <f>IF(A523="","",IFERROR(AVERAGEIF(RacePerformance!$F:$F,A523,RacePerformance!$I:$I),""))</f>
        <v/>
      </c>
      <c r="L523" s="6" t="str">
        <f>IF(A523="","",IFERROR(AVERAGEIF(RacePerformance!$F:$F,A523,RacePerformance!$J:$J),""))</f>
        <v/>
      </c>
      <c r="M523" s="6" t="str">
        <f>IF(A523="","",IFERROR(AVERAGEIF(RacePerformance!$F:$F,A523,RacePerformance!$K:$K),""))</f>
        <v/>
      </c>
      <c r="N523" s="6" t="str">
        <f>IF(A523="","",COUNTIFS(RacePerformance!$F:$F,A523,RacePerformance!$I:$I,"&lt;=20"))</f>
        <v/>
      </c>
      <c r="O523" s="6" t="str">
        <f>IF(A523="","",COUNTIFS(RacePerformance!$F:$F,A523,RacePerformance!$I:$I,1))</f>
        <v/>
      </c>
      <c r="P523" s="6" t="str">
        <f>IF(A523="","",COUNTIFS(RacePerformance!$F:$F,A523,RacePerformance!$J:$J,"&lt;=3"))</f>
        <v/>
      </c>
    </row>
    <row r="524" spans="5:16" ht="14.25" customHeight="1" x14ac:dyDescent="0.3">
      <c r="E524" s="6"/>
      <c r="I524" s="6"/>
      <c r="J524" s="6" t="str">
        <f>IF(A524="","",COUNTIF(RacePerformance!$F:$F,A524))</f>
        <v/>
      </c>
      <c r="K524" s="6" t="str">
        <f>IF(A524="","",IFERROR(AVERAGEIF(RacePerformance!$F:$F,A524,RacePerformance!$I:$I),""))</f>
        <v/>
      </c>
      <c r="L524" s="6" t="str">
        <f>IF(A524="","",IFERROR(AVERAGEIF(RacePerformance!$F:$F,A524,RacePerformance!$J:$J),""))</f>
        <v/>
      </c>
      <c r="M524" s="6" t="str">
        <f>IF(A524="","",IFERROR(AVERAGEIF(RacePerformance!$F:$F,A524,RacePerformance!$K:$K),""))</f>
        <v/>
      </c>
      <c r="N524" s="6" t="str">
        <f>IF(A524="","",COUNTIFS(RacePerformance!$F:$F,A524,RacePerformance!$I:$I,"&lt;=20"))</f>
        <v/>
      </c>
      <c r="O524" s="6" t="str">
        <f>IF(A524="","",COUNTIFS(RacePerformance!$F:$F,A524,RacePerformance!$I:$I,1))</f>
        <v/>
      </c>
      <c r="P524" s="6" t="str">
        <f>IF(A524="","",COUNTIFS(RacePerformance!$F:$F,A524,RacePerformance!$J:$J,"&lt;=3"))</f>
        <v/>
      </c>
    </row>
    <row r="525" spans="5:16" ht="14.25" customHeight="1" x14ac:dyDescent="0.3">
      <c r="E525" s="6"/>
      <c r="I525" s="6"/>
      <c r="J525" s="6" t="str">
        <f>IF(A525="","",COUNTIF(RacePerformance!$F:$F,A525))</f>
        <v/>
      </c>
      <c r="K525" s="6" t="str">
        <f>IF(A525="","",IFERROR(AVERAGEIF(RacePerformance!$F:$F,A525,RacePerformance!$I:$I),""))</f>
        <v/>
      </c>
      <c r="L525" s="6" t="str">
        <f>IF(A525="","",IFERROR(AVERAGEIF(RacePerformance!$F:$F,A525,RacePerformance!$J:$J),""))</f>
        <v/>
      </c>
      <c r="M525" s="6" t="str">
        <f>IF(A525="","",IFERROR(AVERAGEIF(RacePerformance!$F:$F,A525,RacePerformance!$K:$K),""))</f>
        <v/>
      </c>
      <c r="N525" s="6" t="str">
        <f>IF(A525="","",COUNTIFS(RacePerformance!$F:$F,A525,RacePerformance!$I:$I,"&lt;=20"))</f>
        <v/>
      </c>
      <c r="O525" s="6" t="str">
        <f>IF(A525="","",COUNTIFS(RacePerformance!$F:$F,A525,RacePerformance!$I:$I,1))</f>
        <v/>
      </c>
      <c r="P525" s="6" t="str">
        <f>IF(A525="","",COUNTIFS(RacePerformance!$F:$F,A525,RacePerformance!$J:$J,"&lt;=3"))</f>
        <v/>
      </c>
    </row>
    <row r="526" spans="5:16" ht="14.25" customHeight="1" x14ac:dyDescent="0.3">
      <c r="E526" s="6"/>
      <c r="I526" s="6"/>
      <c r="J526" s="6" t="str">
        <f>IF(A526="","",COUNTIF(RacePerformance!$F:$F,A526))</f>
        <v/>
      </c>
      <c r="K526" s="6" t="str">
        <f>IF(A526="","",IFERROR(AVERAGEIF(RacePerformance!$F:$F,A526,RacePerformance!$I:$I),""))</f>
        <v/>
      </c>
      <c r="L526" s="6" t="str">
        <f>IF(A526="","",IFERROR(AVERAGEIF(RacePerformance!$F:$F,A526,RacePerformance!$J:$J),""))</f>
        <v/>
      </c>
      <c r="M526" s="6" t="str">
        <f>IF(A526="","",IFERROR(AVERAGEIF(RacePerformance!$F:$F,A526,RacePerformance!$K:$K),""))</f>
        <v/>
      </c>
      <c r="N526" s="6" t="str">
        <f>IF(A526="","",COUNTIFS(RacePerformance!$F:$F,A526,RacePerformance!$I:$I,"&lt;=20"))</f>
        <v/>
      </c>
      <c r="O526" s="6" t="str">
        <f>IF(A526="","",COUNTIFS(RacePerformance!$F:$F,A526,RacePerformance!$I:$I,1))</f>
        <v/>
      </c>
      <c r="P526" s="6" t="str">
        <f>IF(A526="","",COUNTIFS(RacePerformance!$F:$F,A526,RacePerformance!$J:$J,"&lt;=3"))</f>
        <v/>
      </c>
    </row>
    <row r="527" spans="5:16" ht="14.25" customHeight="1" x14ac:dyDescent="0.3">
      <c r="E527" s="6"/>
      <c r="I527" s="6"/>
      <c r="J527" s="6" t="str">
        <f>IF(A527="","",COUNTIF(RacePerformance!$F:$F,A527))</f>
        <v/>
      </c>
      <c r="K527" s="6" t="str">
        <f>IF(A527="","",IFERROR(AVERAGEIF(RacePerformance!$F:$F,A527,RacePerformance!$I:$I),""))</f>
        <v/>
      </c>
      <c r="L527" s="6" t="str">
        <f>IF(A527="","",IFERROR(AVERAGEIF(RacePerformance!$F:$F,A527,RacePerformance!$J:$J),""))</f>
        <v/>
      </c>
      <c r="M527" s="6" t="str">
        <f>IF(A527="","",IFERROR(AVERAGEIF(RacePerformance!$F:$F,A527,RacePerformance!$K:$K),""))</f>
        <v/>
      </c>
      <c r="N527" s="6" t="str">
        <f>IF(A527="","",COUNTIFS(RacePerformance!$F:$F,A527,RacePerformance!$I:$I,"&lt;=20"))</f>
        <v/>
      </c>
      <c r="O527" s="6" t="str">
        <f>IF(A527="","",COUNTIFS(RacePerformance!$F:$F,A527,RacePerformance!$I:$I,1))</f>
        <v/>
      </c>
      <c r="P527" s="6" t="str">
        <f>IF(A527="","",COUNTIFS(RacePerformance!$F:$F,A527,RacePerformance!$J:$J,"&lt;=3"))</f>
        <v/>
      </c>
    </row>
    <row r="528" spans="5:16" ht="14.25" customHeight="1" x14ac:dyDescent="0.3">
      <c r="E528" s="6"/>
      <c r="I528" s="6"/>
      <c r="J528" s="6" t="str">
        <f>IF(A528="","",COUNTIF(RacePerformance!$F:$F,A528))</f>
        <v/>
      </c>
      <c r="K528" s="6" t="str">
        <f>IF(A528="","",IFERROR(AVERAGEIF(RacePerformance!$F:$F,A528,RacePerformance!$I:$I),""))</f>
        <v/>
      </c>
      <c r="L528" s="6" t="str">
        <f>IF(A528="","",IFERROR(AVERAGEIF(RacePerformance!$F:$F,A528,RacePerformance!$J:$J),""))</f>
        <v/>
      </c>
      <c r="M528" s="6" t="str">
        <f>IF(A528="","",IFERROR(AVERAGEIF(RacePerformance!$F:$F,A528,RacePerformance!$K:$K),""))</f>
        <v/>
      </c>
      <c r="N528" s="6" t="str">
        <f>IF(A528="","",COUNTIFS(RacePerformance!$F:$F,A528,RacePerformance!$I:$I,"&lt;=20"))</f>
        <v/>
      </c>
      <c r="O528" s="6" t="str">
        <f>IF(A528="","",COUNTIFS(RacePerformance!$F:$F,A528,RacePerformance!$I:$I,1))</f>
        <v/>
      </c>
      <c r="P528" s="6" t="str">
        <f>IF(A528="","",COUNTIFS(RacePerformance!$F:$F,A528,RacePerformance!$J:$J,"&lt;=3"))</f>
        <v/>
      </c>
    </row>
    <row r="529" spans="5:16" ht="14.25" customHeight="1" x14ac:dyDescent="0.3">
      <c r="E529" s="6"/>
      <c r="I529" s="6"/>
      <c r="J529" s="6" t="str">
        <f>IF(A529="","",COUNTIF(RacePerformance!$F:$F,A529))</f>
        <v/>
      </c>
      <c r="K529" s="6" t="str">
        <f>IF(A529="","",IFERROR(AVERAGEIF(RacePerformance!$F:$F,A529,RacePerformance!$I:$I),""))</f>
        <v/>
      </c>
      <c r="L529" s="6" t="str">
        <f>IF(A529="","",IFERROR(AVERAGEIF(RacePerformance!$F:$F,A529,RacePerformance!$J:$J),""))</f>
        <v/>
      </c>
      <c r="M529" s="6" t="str">
        <f>IF(A529="","",IFERROR(AVERAGEIF(RacePerformance!$F:$F,A529,RacePerformance!$K:$K),""))</f>
        <v/>
      </c>
      <c r="N529" s="6" t="str">
        <f>IF(A529="","",COUNTIFS(RacePerformance!$F:$F,A529,RacePerformance!$I:$I,"&lt;=20"))</f>
        <v/>
      </c>
      <c r="O529" s="6" t="str">
        <f>IF(A529="","",COUNTIFS(RacePerformance!$F:$F,A529,RacePerformance!$I:$I,1))</f>
        <v/>
      </c>
      <c r="P529" s="6" t="str">
        <f>IF(A529="","",COUNTIFS(RacePerformance!$F:$F,A529,RacePerformance!$J:$J,"&lt;=3"))</f>
        <v/>
      </c>
    </row>
    <row r="530" spans="5:16" ht="14.25" customHeight="1" x14ac:dyDescent="0.3">
      <c r="E530" s="6"/>
      <c r="I530" s="6"/>
      <c r="J530" s="6" t="str">
        <f>IF(A530="","",COUNTIF(RacePerformance!$F:$F,A530))</f>
        <v/>
      </c>
      <c r="K530" s="6" t="str">
        <f>IF(A530="","",IFERROR(AVERAGEIF(RacePerformance!$F:$F,A530,RacePerformance!$I:$I),""))</f>
        <v/>
      </c>
      <c r="L530" s="6" t="str">
        <f>IF(A530="","",IFERROR(AVERAGEIF(RacePerformance!$F:$F,A530,RacePerformance!$J:$J),""))</f>
        <v/>
      </c>
      <c r="M530" s="6" t="str">
        <f>IF(A530="","",IFERROR(AVERAGEIF(RacePerformance!$F:$F,A530,RacePerformance!$K:$K),""))</f>
        <v/>
      </c>
      <c r="N530" s="6" t="str">
        <f>IF(A530="","",COUNTIFS(RacePerformance!$F:$F,A530,RacePerformance!$I:$I,"&lt;=20"))</f>
        <v/>
      </c>
      <c r="O530" s="6" t="str">
        <f>IF(A530="","",COUNTIFS(RacePerformance!$F:$F,A530,RacePerformance!$I:$I,1))</f>
        <v/>
      </c>
      <c r="P530" s="6" t="str">
        <f>IF(A530="","",COUNTIFS(RacePerformance!$F:$F,A530,RacePerformance!$J:$J,"&lt;=3"))</f>
        <v/>
      </c>
    </row>
    <row r="531" spans="5:16" ht="14.25" customHeight="1" x14ac:dyDescent="0.3">
      <c r="E531" s="6"/>
      <c r="I531" s="6"/>
      <c r="J531" s="6" t="str">
        <f>IF(A531="","",COUNTIF(RacePerformance!$F:$F,A531))</f>
        <v/>
      </c>
      <c r="K531" s="6" t="str">
        <f>IF(A531="","",IFERROR(AVERAGEIF(RacePerformance!$F:$F,A531,RacePerformance!$I:$I),""))</f>
        <v/>
      </c>
      <c r="L531" s="6" t="str">
        <f>IF(A531="","",IFERROR(AVERAGEIF(RacePerformance!$F:$F,A531,RacePerformance!$J:$J),""))</f>
        <v/>
      </c>
      <c r="M531" s="6" t="str">
        <f>IF(A531="","",IFERROR(AVERAGEIF(RacePerformance!$F:$F,A531,RacePerformance!$K:$K),""))</f>
        <v/>
      </c>
      <c r="N531" s="6" t="str">
        <f>IF(A531="","",COUNTIFS(RacePerformance!$F:$F,A531,RacePerformance!$I:$I,"&lt;=20"))</f>
        <v/>
      </c>
      <c r="O531" s="6" t="str">
        <f>IF(A531="","",COUNTIFS(RacePerformance!$F:$F,A531,RacePerformance!$I:$I,1))</f>
        <v/>
      </c>
      <c r="P531" s="6" t="str">
        <f>IF(A531="","",COUNTIFS(RacePerformance!$F:$F,A531,RacePerformance!$J:$J,"&lt;=3"))</f>
        <v/>
      </c>
    </row>
    <row r="532" spans="5:16" ht="14.25" customHeight="1" x14ac:dyDescent="0.3">
      <c r="E532" s="6"/>
      <c r="I532" s="6"/>
      <c r="J532" s="6" t="str">
        <f>IF(A532="","",COUNTIF(RacePerformance!$F:$F,A532))</f>
        <v/>
      </c>
      <c r="K532" s="6" t="str">
        <f>IF(A532="","",IFERROR(AVERAGEIF(RacePerformance!$F:$F,A532,RacePerformance!$I:$I),""))</f>
        <v/>
      </c>
      <c r="L532" s="6" t="str">
        <f>IF(A532="","",IFERROR(AVERAGEIF(RacePerformance!$F:$F,A532,RacePerformance!$J:$J),""))</f>
        <v/>
      </c>
      <c r="M532" s="6" t="str">
        <f>IF(A532="","",IFERROR(AVERAGEIF(RacePerformance!$F:$F,A532,RacePerformance!$K:$K),""))</f>
        <v/>
      </c>
      <c r="N532" s="6" t="str">
        <f>IF(A532="","",COUNTIFS(RacePerformance!$F:$F,A532,RacePerformance!$I:$I,"&lt;=20"))</f>
        <v/>
      </c>
      <c r="O532" s="6" t="str">
        <f>IF(A532="","",COUNTIFS(RacePerformance!$F:$F,A532,RacePerformance!$I:$I,1))</f>
        <v/>
      </c>
      <c r="P532" s="6" t="str">
        <f>IF(A532="","",COUNTIFS(RacePerformance!$F:$F,A532,RacePerformance!$J:$J,"&lt;=3"))</f>
        <v/>
      </c>
    </row>
    <row r="533" spans="5:16" ht="14.25" customHeight="1" x14ac:dyDescent="0.3">
      <c r="E533" s="6"/>
      <c r="I533" s="6"/>
      <c r="J533" s="6" t="str">
        <f>IF(A533="","",COUNTIF(RacePerformance!$F:$F,A533))</f>
        <v/>
      </c>
      <c r="K533" s="6" t="str">
        <f>IF(A533="","",IFERROR(AVERAGEIF(RacePerformance!$F:$F,A533,RacePerformance!$I:$I),""))</f>
        <v/>
      </c>
      <c r="L533" s="6" t="str">
        <f>IF(A533="","",IFERROR(AVERAGEIF(RacePerformance!$F:$F,A533,RacePerformance!$J:$J),""))</f>
        <v/>
      </c>
      <c r="M533" s="6" t="str">
        <f>IF(A533="","",IFERROR(AVERAGEIF(RacePerformance!$F:$F,A533,RacePerformance!$K:$K),""))</f>
        <v/>
      </c>
      <c r="N533" s="6" t="str">
        <f>IF(A533="","",COUNTIFS(RacePerformance!$F:$F,A533,RacePerformance!$I:$I,"&lt;=20"))</f>
        <v/>
      </c>
      <c r="O533" s="6" t="str">
        <f>IF(A533="","",COUNTIFS(RacePerformance!$F:$F,A533,RacePerformance!$I:$I,1))</f>
        <v/>
      </c>
      <c r="P533" s="6" t="str">
        <f>IF(A533="","",COUNTIFS(RacePerformance!$F:$F,A533,RacePerformance!$J:$J,"&lt;=3"))</f>
        <v/>
      </c>
    </row>
    <row r="534" spans="5:16" ht="14.25" customHeight="1" x14ac:dyDescent="0.3">
      <c r="E534" s="6"/>
      <c r="I534" s="6"/>
      <c r="J534" s="6" t="str">
        <f>IF(A534="","",COUNTIF(RacePerformance!$F:$F,A534))</f>
        <v/>
      </c>
      <c r="K534" s="6" t="str">
        <f>IF(A534="","",IFERROR(AVERAGEIF(RacePerformance!$F:$F,A534,RacePerformance!$I:$I),""))</f>
        <v/>
      </c>
      <c r="L534" s="6" t="str">
        <f>IF(A534="","",IFERROR(AVERAGEIF(RacePerformance!$F:$F,A534,RacePerformance!$J:$J),""))</f>
        <v/>
      </c>
      <c r="M534" s="6" t="str">
        <f>IF(A534="","",IFERROR(AVERAGEIF(RacePerformance!$F:$F,A534,RacePerformance!$K:$K),""))</f>
        <v/>
      </c>
      <c r="N534" s="6" t="str">
        <f>IF(A534="","",COUNTIFS(RacePerformance!$F:$F,A534,RacePerformance!$I:$I,"&lt;=20"))</f>
        <v/>
      </c>
      <c r="O534" s="6" t="str">
        <f>IF(A534="","",COUNTIFS(RacePerformance!$F:$F,A534,RacePerformance!$I:$I,1))</f>
        <v/>
      </c>
      <c r="P534" s="6" t="str">
        <f>IF(A534="","",COUNTIFS(RacePerformance!$F:$F,A534,RacePerformance!$J:$J,"&lt;=3"))</f>
        <v/>
      </c>
    </row>
    <row r="535" spans="5:16" ht="14.25" customHeight="1" x14ac:dyDescent="0.3">
      <c r="E535" s="6"/>
      <c r="I535" s="6"/>
      <c r="J535" s="6" t="str">
        <f>IF(A535="","",COUNTIF(RacePerformance!$F:$F,A535))</f>
        <v/>
      </c>
      <c r="K535" s="6" t="str">
        <f>IF(A535="","",IFERROR(AVERAGEIF(RacePerformance!$F:$F,A535,RacePerformance!$I:$I),""))</f>
        <v/>
      </c>
      <c r="L535" s="6" t="str">
        <f>IF(A535="","",IFERROR(AVERAGEIF(RacePerformance!$F:$F,A535,RacePerformance!$J:$J),""))</f>
        <v/>
      </c>
      <c r="M535" s="6" t="str">
        <f>IF(A535="","",IFERROR(AVERAGEIF(RacePerformance!$F:$F,A535,RacePerformance!$K:$K),""))</f>
        <v/>
      </c>
      <c r="N535" s="6" t="str">
        <f>IF(A535="","",COUNTIFS(RacePerformance!$F:$F,A535,RacePerformance!$I:$I,"&lt;=20"))</f>
        <v/>
      </c>
      <c r="O535" s="6" t="str">
        <f>IF(A535="","",COUNTIFS(RacePerformance!$F:$F,A535,RacePerformance!$I:$I,1))</f>
        <v/>
      </c>
      <c r="P535" s="6" t="str">
        <f>IF(A535="","",COUNTIFS(RacePerformance!$F:$F,A535,RacePerformance!$J:$J,"&lt;=3"))</f>
        <v/>
      </c>
    </row>
    <row r="536" spans="5:16" ht="14.25" customHeight="1" x14ac:dyDescent="0.3">
      <c r="E536" s="6"/>
      <c r="I536" s="6"/>
      <c r="J536" s="6" t="str">
        <f>IF(A536="","",COUNTIF(RacePerformance!$F:$F,A536))</f>
        <v/>
      </c>
      <c r="K536" s="6" t="str">
        <f>IF(A536="","",IFERROR(AVERAGEIF(RacePerformance!$F:$F,A536,RacePerformance!$I:$I),""))</f>
        <v/>
      </c>
      <c r="L536" s="6" t="str">
        <f>IF(A536="","",IFERROR(AVERAGEIF(RacePerformance!$F:$F,A536,RacePerformance!$J:$J),""))</f>
        <v/>
      </c>
      <c r="M536" s="6" t="str">
        <f>IF(A536="","",IFERROR(AVERAGEIF(RacePerformance!$F:$F,A536,RacePerformance!$K:$K),""))</f>
        <v/>
      </c>
      <c r="N536" s="6" t="str">
        <f>IF(A536="","",COUNTIFS(RacePerformance!$F:$F,A536,RacePerformance!$I:$I,"&lt;=20"))</f>
        <v/>
      </c>
      <c r="O536" s="6" t="str">
        <f>IF(A536="","",COUNTIFS(RacePerformance!$F:$F,A536,RacePerformance!$I:$I,1))</f>
        <v/>
      </c>
      <c r="P536" s="6" t="str">
        <f>IF(A536="","",COUNTIFS(RacePerformance!$F:$F,A536,RacePerformance!$J:$J,"&lt;=3"))</f>
        <v/>
      </c>
    </row>
    <row r="537" spans="5:16" ht="14.25" customHeight="1" x14ac:dyDescent="0.3">
      <c r="E537" s="6"/>
      <c r="I537" s="6"/>
      <c r="J537" s="6" t="str">
        <f>IF(A537="","",COUNTIF(RacePerformance!$F:$F,A537))</f>
        <v/>
      </c>
      <c r="K537" s="6" t="str">
        <f>IF(A537="","",IFERROR(AVERAGEIF(RacePerformance!$F:$F,A537,RacePerformance!$I:$I),""))</f>
        <v/>
      </c>
      <c r="L537" s="6" t="str">
        <f>IF(A537="","",IFERROR(AVERAGEIF(RacePerformance!$F:$F,A537,RacePerformance!$J:$J),""))</f>
        <v/>
      </c>
      <c r="M537" s="6" t="str">
        <f>IF(A537="","",IFERROR(AVERAGEIF(RacePerformance!$F:$F,A537,RacePerformance!$K:$K),""))</f>
        <v/>
      </c>
      <c r="N537" s="6" t="str">
        <f>IF(A537="","",COUNTIFS(RacePerformance!$F:$F,A537,RacePerformance!$I:$I,"&lt;=20"))</f>
        <v/>
      </c>
      <c r="O537" s="6" t="str">
        <f>IF(A537="","",COUNTIFS(RacePerformance!$F:$F,A537,RacePerformance!$I:$I,1))</f>
        <v/>
      </c>
      <c r="P537" s="6" t="str">
        <f>IF(A537="","",COUNTIFS(RacePerformance!$F:$F,A537,RacePerformance!$J:$J,"&lt;=3"))</f>
        <v/>
      </c>
    </row>
    <row r="538" spans="5:16" ht="14.25" customHeight="1" x14ac:dyDescent="0.3">
      <c r="E538" s="6"/>
      <c r="I538" s="6"/>
      <c r="J538" s="6" t="str">
        <f>IF(A538="","",COUNTIF(RacePerformance!$F:$F,A538))</f>
        <v/>
      </c>
      <c r="K538" s="6" t="str">
        <f>IF(A538="","",IFERROR(AVERAGEIF(RacePerformance!$F:$F,A538,RacePerformance!$I:$I),""))</f>
        <v/>
      </c>
      <c r="L538" s="6" t="str">
        <f>IF(A538="","",IFERROR(AVERAGEIF(RacePerformance!$F:$F,A538,RacePerformance!$J:$J),""))</f>
        <v/>
      </c>
      <c r="M538" s="6" t="str">
        <f>IF(A538="","",IFERROR(AVERAGEIF(RacePerformance!$F:$F,A538,RacePerformance!$K:$K),""))</f>
        <v/>
      </c>
      <c r="N538" s="6" t="str">
        <f>IF(A538="","",COUNTIFS(RacePerformance!$F:$F,A538,RacePerformance!$I:$I,"&lt;=20"))</f>
        <v/>
      </c>
      <c r="O538" s="6" t="str">
        <f>IF(A538="","",COUNTIFS(RacePerformance!$F:$F,A538,RacePerformance!$I:$I,1))</f>
        <v/>
      </c>
      <c r="P538" s="6" t="str">
        <f>IF(A538="","",COUNTIFS(RacePerformance!$F:$F,A538,RacePerformance!$J:$J,"&lt;=3"))</f>
        <v/>
      </c>
    </row>
    <row r="539" spans="5:16" ht="14.25" customHeight="1" x14ac:dyDescent="0.3">
      <c r="E539" s="6"/>
      <c r="I539" s="6"/>
      <c r="J539" s="6" t="str">
        <f>IF(A539="","",COUNTIF(RacePerformance!$F:$F,A539))</f>
        <v/>
      </c>
      <c r="K539" s="6" t="str">
        <f>IF(A539="","",IFERROR(AVERAGEIF(RacePerformance!$F:$F,A539,RacePerformance!$I:$I),""))</f>
        <v/>
      </c>
      <c r="L539" s="6" t="str">
        <f>IF(A539="","",IFERROR(AVERAGEIF(RacePerformance!$F:$F,A539,RacePerformance!$J:$J),""))</f>
        <v/>
      </c>
      <c r="M539" s="6" t="str">
        <f>IF(A539="","",IFERROR(AVERAGEIF(RacePerformance!$F:$F,A539,RacePerformance!$K:$K),""))</f>
        <v/>
      </c>
      <c r="N539" s="6" t="str">
        <f>IF(A539="","",COUNTIFS(RacePerformance!$F:$F,A539,RacePerformance!$I:$I,"&lt;=20"))</f>
        <v/>
      </c>
      <c r="O539" s="6" t="str">
        <f>IF(A539="","",COUNTIFS(RacePerformance!$F:$F,A539,RacePerformance!$I:$I,1))</f>
        <v/>
      </c>
      <c r="P539" s="6" t="str">
        <f>IF(A539="","",COUNTIFS(RacePerformance!$F:$F,A539,RacePerformance!$J:$J,"&lt;=3"))</f>
        <v/>
      </c>
    </row>
    <row r="540" spans="5:16" ht="14.25" customHeight="1" x14ac:dyDescent="0.3">
      <c r="E540" s="6"/>
      <c r="I540" s="6"/>
      <c r="J540" s="6" t="str">
        <f>IF(A540="","",COUNTIF(RacePerformance!$F:$F,A540))</f>
        <v/>
      </c>
      <c r="K540" s="6" t="str">
        <f>IF(A540="","",IFERROR(AVERAGEIF(RacePerformance!$F:$F,A540,RacePerformance!$I:$I),""))</f>
        <v/>
      </c>
      <c r="L540" s="6" t="str">
        <f>IF(A540="","",IFERROR(AVERAGEIF(RacePerformance!$F:$F,A540,RacePerformance!$J:$J),""))</f>
        <v/>
      </c>
      <c r="M540" s="6" t="str">
        <f>IF(A540="","",IFERROR(AVERAGEIF(RacePerformance!$F:$F,A540,RacePerformance!$K:$K),""))</f>
        <v/>
      </c>
      <c r="N540" s="6" t="str">
        <f>IF(A540="","",COUNTIFS(RacePerformance!$F:$F,A540,RacePerformance!$I:$I,"&lt;=20"))</f>
        <v/>
      </c>
      <c r="O540" s="6" t="str">
        <f>IF(A540="","",COUNTIFS(RacePerformance!$F:$F,A540,RacePerformance!$I:$I,1))</f>
        <v/>
      </c>
      <c r="P540" s="6" t="str">
        <f>IF(A540="","",COUNTIFS(RacePerformance!$F:$F,A540,RacePerformance!$J:$J,"&lt;=3"))</f>
        <v/>
      </c>
    </row>
    <row r="541" spans="5:16" ht="14.25" customHeight="1" x14ac:dyDescent="0.3">
      <c r="E541" s="6"/>
      <c r="I541" s="6"/>
      <c r="J541" s="6" t="str">
        <f>IF(A541="","",COUNTIF(RacePerformance!$F:$F,A541))</f>
        <v/>
      </c>
      <c r="K541" s="6" t="str">
        <f>IF(A541="","",IFERROR(AVERAGEIF(RacePerformance!$F:$F,A541,RacePerformance!$I:$I),""))</f>
        <v/>
      </c>
      <c r="L541" s="6" t="str">
        <f>IF(A541="","",IFERROR(AVERAGEIF(RacePerformance!$F:$F,A541,RacePerformance!$J:$J),""))</f>
        <v/>
      </c>
      <c r="M541" s="6" t="str">
        <f>IF(A541="","",IFERROR(AVERAGEIF(RacePerformance!$F:$F,A541,RacePerformance!$K:$K),""))</f>
        <v/>
      </c>
      <c r="N541" s="6" t="str">
        <f>IF(A541="","",COUNTIFS(RacePerformance!$F:$F,A541,RacePerformance!$I:$I,"&lt;=20"))</f>
        <v/>
      </c>
      <c r="O541" s="6" t="str">
        <f>IF(A541="","",COUNTIFS(RacePerformance!$F:$F,A541,RacePerformance!$I:$I,1))</f>
        <v/>
      </c>
      <c r="P541" s="6" t="str">
        <f>IF(A541="","",COUNTIFS(RacePerformance!$F:$F,A541,RacePerformance!$J:$J,"&lt;=3"))</f>
        <v/>
      </c>
    </row>
    <row r="542" spans="5:16" ht="14.25" customHeight="1" x14ac:dyDescent="0.3">
      <c r="E542" s="6"/>
      <c r="I542" s="6"/>
      <c r="J542" s="6" t="str">
        <f>IF(A542="","",COUNTIF(RacePerformance!$F:$F,A542))</f>
        <v/>
      </c>
      <c r="K542" s="6" t="str">
        <f>IF(A542="","",IFERROR(AVERAGEIF(RacePerformance!$F:$F,A542,RacePerformance!$I:$I),""))</f>
        <v/>
      </c>
      <c r="L542" s="6" t="str">
        <f>IF(A542="","",IFERROR(AVERAGEIF(RacePerformance!$F:$F,A542,RacePerformance!$J:$J),""))</f>
        <v/>
      </c>
      <c r="M542" s="6" t="str">
        <f>IF(A542="","",IFERROR(AVERAGEIF(RacePerformance!$F:$F,A542,RacePerformance!$K:$K),""))</f>
        <v/>
      </c>
      <c r="N542" s="6" t="str">
        <f>IF(A542="","",COUNTIFS(RacePerformance!$F:$F,A542,RacePerformance!$I:$I,"&lt;=20"))</f>
        <v/>
      </c>
      <c r="O542" s="6" t="str">
        <f>IF(A542="","",COUNTIFS(RacePerformance!$F:$F,A542,RacePerformance!$I:$I,1))</f>
        <v/>
      </c>
      <c r="P542" s="6" t="str">
        <f>IF(A542="","",COUNTIFS(RacePerformance!$F:$F,A542,RacePerformance!$J:$J,"&lt;=3"))</f>
        <v/>
      </c>
    </row>
    <row r="543" spans="5:16" ht="14.25" customHeight="1" x14ac:dyDescent="0.3">
      <c r="E543" s="6"/>
      <c r="I543" s="6"/>
      <c r="J543" s="6" t="str">
        <f>IF(A543="","",COUNTIF(RacePerformance!$F:$F,A543))</f>
        <v/>
      </c>
      <c r="K543" s="6" t="str">
        <f>IF(A543="","",IFERROR(AVERAGEIF(RacePerformance!$F:$F,A543,RacePerformance!$I:$I),""))</f>
        <v/>
      </c>
      <c r="L543" s="6" t="str">
        <f>IF(A543="","",IFERROR(AVERAGEIF(RacePerformance!$F:$F,A543,RacePerformance!$J:$J),""))</f>
        <v/>
      </c>
      <c r="M543" s="6" t="str">
        <f>IF(A543="","",IFERROR(AVERAGEIF(RacePerformance!$F:$F,A543,RacePerformance!$K:$K),""))</f>
        <v/>
      </c>
      <c r="N543" s="6" t="str">
        <f>IF(A543="","",COUNTIFS(RacePerformance!$F:$F,A543,RacePerformance!$I:$I,"&lt;=20"))</f>
        <v/>
      </c>
      <c r="O543" s="6" t="str">
        <f>IF(A543="","",COUNTIFS(RacePerformance!$F:$F,A543,RacePerformance!$I:$I,1))</f>
        <v/>
      </c>
      <c r="P543" s="6" t="str">
        <f>IF(A543="","",COUNTIFS(RacePerformance!$F:$F,A543,RacePerformance!$J:$J,"&lt;=3"))</f>
        <v/>
      </c>
    </row>
    <row r="544" spans="5:16" ht="14.25" customHeight="1" x14ac:dyDescent="0.3">
      <c r="E544" s="6"/>
      <c r="I544" s="6"/>
      <c r="J544" s="6" t="str">
        <f>IF(A544="","",COUNTIF(RacePerformance!$F:$F,A544))</f>
        <v/>
      </c>
      <c r="K544" s="6" t="str">
        <f>IF(A544="","",IFERROR(AVERAGEIF(RacePerformance!$F:$F,A544,RacePerformance!$I:$I),""))</f>
        <v/>
      </c>
      <c r="L544" s="6" t="str">
        <f>IF(A544="","",IFERROR(AVERAGEIF(RacePerformance!$F:$F,A544,RacePerformance!$J:$J),""))</f>
        <v/>
      </c>
      <c r="M544" s="6" t="str">
        <f>IF(A544="","",IFERROR(AVERAGEIF(RacePerformance!$F:$F,A544,RacePerformance!$K:$K),""))</f>
        <v/>
      </c>
      <c r="N544" s="6" t="str">
        <f>IF(A544="","",COUNTIFS(RacePerformance!$F:$F,A544,RacePerformance!$I:$I,"&lt;=20"))</f>
        <v/>
      </c>
      <c r="O544" s="6" t="str">
        <f>IF(A544="","",COUNTIFS(RacePerformance!$F:$F,A544,RacePerformance!$I:$I,1))</f>
        <v/>
      </c>
      <c r="P544" s="6" t="str">
        <f>IF(A544="","",COUNTIFS(RacePerformance!$F:$F,A544,RacePerformance!$J:$J,"&lt;=3"))</f>
        <v/>
      </c>
    </row>
    <row r="545" spans="5:16" ht="14.25" customHeight="1" x14ac:dyDescent="0.3">
      <c r="E545" s="6"/>
      <c r="I545" s="6"/>
      <c r="J545" s="6" t="str">
        <f>IF(A545="","",COUNTIF(RacePerformance!$F:$F,A545))</f>
        <v/>
      </c>
      <c r="K545" s="6" t="str">
        <f>IF(A545="","",IFERROR(AVERAGEIF(RacePerformance!$F:$F,A545,RacePerformance!$I:$I),""))</f>
        <v/>
      </c>
      <c r="L545" s="6" t="str">
        <f>IF(A545="","",IFERROR(AVERAGEIF(RacePerformance!$F:$F,A545,RacePerformance!$J:$J),""))</f>
        <v/>
      </c>
      <c r="M545" s="6" t="str">
        <f>IF(A545="","",IFERROR(AVERAGEIF(RacePerformance!$F:$F,A545,RacePerformance!$K:$K),""))</f>
        <v/>
      </c>
      <c r="N545" s="6" t="str">
        <f>IF(A545="","",COUNTIFS(RacePerformance!$F:$F,A545,RacePerformance!$I:$I,"&lt;=20"))</f>
        <v/>
      </c>
      <c r="O545" s="6" t="str">
        <f>IF(A545="","",COUNTIFS(RacePerformance!$F:$F,A545,RacePerformance!$I:$I,1))</f>
        <v/>
      </c>
      <c r="P545" s="6" t="str">
        <f>IF(A545="","",COUNTIFS(RacePerformance!$F:$F,A545,RacePerformance!$J:$J,"&lt;=3"))</f>
        <v/>
      </c>
    </row>
    <row r="546" spans="5:16" ht="14.25" customHeight="1" x14ac:dyDescent="0.3">
      <c r="E546" s="6"/>
      <c r="I546" s="6"/>
      <c r="J546" s="6" t="str">
        <f>IF(A546="","",COUNTIF(RacePerformance!$F:$F,A546))</f>
        <v/>
      </c>
      <c r="K546" s="6" t="str">
        <f>IF(A546="","",IFERROR(AVERAGEIF(RacePerformance!$F:$F,A546,RacePerformance!$I:$I),""))</f>
        <v/>
      </c>
      <c r="L546" s="6" t="str">
        <f>IF(A546="","",IFERROR(AVERAGEIF(RacePerformance!$F:$F,A546,RacePerformance!$J:$J),""))</f>
        <v/>
      </c>
      <c r="M546" s="6" t="str">
        <f>IF(A546="","",IFERROR(AVERAGEIF(RacePerformance!$F:$F,A546,RacePerformance!$K:$K),""))</f>
        <v/>
      </c>
      <c r="N546" s="6" t="str">
        <f>IF(A546="","",COUNTIFS(RacePerformance!$F:$F,A546,RacePerformance!$I:$I,"&lt;=20"))</f>
        <v/>
      </c>
      <c r="O546" s="6" t="str">
        <f>IF(A546="","",COUNTIFS(RacePerformance!$F:$F,A546,RacePerformance!$I:$I,1))</f>
        <v/>
      </c>
      <c r="P546" s="6" t="str">
        <f>IF(A546="","",COUNTIFS(RacePerformance!$F:$F,A546,RacePerformance!$J:$J,"&lt;=3"))</f>
        <v/>
      </c>
    </row>
    <row r="547" spans="5:16" ht="14.25" customHeight="1" x14ac:dyDescent="0.3">
      <c r="E547" s="6"/>
      <c r="I547" s="6"/>
      <c r="J547" s="6" t="str">
        <f>IF(A547="","",COUNTIF(RacePerformance!$F:$F,A547))</f>
        <v/>
      </c>
      <c r="K547" s="6" t="str">
        <f>IF(A547="","",IFERROR(AVERAGEIF(RacePerformance!$F:$F,A547,RacePerformance!$I:$I),""))</f>
        <v/>
      </c>
      <c r="L547" s="6" t="str">
        <f>IF(A547="","",IFERROR(AVERAGEIF(RacePerformance!$F:$F,A547,RacePerformance!$J:$J),""))</f>
        <v/>
      </c>
      <c r="M547" s="6" t="str">
        <f>IF(A547="","",IFERROR(AVERAGEIF(RacePerformance!$F:$F,A547,RacePerformance!$K:$K),""))</f>
        <v/>
      </c>
      <c r="N547" s="6" t="str">
        <f>IF(A547="","",COUNTIFS(RacePerformance!$F:$F,A547,RacePerformance!$I:$I,"&lt;=20"))</f>
        <v/>
      </c>
      <c r="O547" s="6" t="str">
        <f>IF(A547="","",COUNTIFS(RacePerformance!$F:$F,A547,RacePerformance!$I:$I,1))</f>
        <v/>
      </c>
      <c r="P547" s="6" t="str">
        <f>IF(A547="","",COUNTIFS(RacePerformance!$F:$F,A547,RacePerformance!$J:$J,"&lt;=3"))</f>
        <v/>
      </c>
    </row>
    <row r="548" spans="5:16" ht="14.25" customHeight="1" x14ac:dyDescent="0.3">
      <c r="E548" s="6"/>
      <c r="I548" s="6"/>
      <c r="J548" s="6" t="str">
        <f>IF(A548="","",COUNTIF(RacePerformance!$F:$F,A548))</f>
        <v/>
      </c>
      <c r="K548" s="6" t="str">
        <f>IF(A548="","",IFERROR(AVERAGEIF(RacePerformance!$F:$F,A548,RacePerformance!$I:$I),""))</f>
        <v/>
      </c>
      <c r="L548" s="6" t="str">
        <f>IF(A548="","",IFERROR(AVERAGEIF(RacePerformance!$F:$F,A548,RacePerformance!$J:$J),""))</f>
        <v/>
      </c>
      <c r="M548" s="6" t="str">
        <f>IF(A548="","",IFERROR(AVERAGEIF(RacePerformance!$F:$F,A548,RacePerformance!$K:$K),""))</f>
        <v/>
      </c>
      <c r="N548" s="6" t="str">
        <f>IF(A548="","",COUNTIFS(RacePerformance!$F:$F,A548,RacePerformance!$I:$I,"&lt;=20"))</f>
        <v/>
      </c>
      <c r="O548" s="6" t="str">
        <f>IF(A548="","",COUNTIFS(RacePerformance!$F:$F,A548,RacePerformance!$I:$I,1))</f>
        <v/>
      </c>
      <c r="P548" s="6" t="str">
        <f>IF(A548="","",COUNTIFS(RacePerformance!$F:$F,A548,RacePerformance!$J:$J,"&lt;=3"))</f>
        <v/>
      </c>
    </row>
    <row r="549" spans="5:16" ht="14.25" customHeight="1" x14ac:dyDescent="0.3">
      <c r="E549" s="6"/>
      <c r="I549" s="6"/>
      <c r="J549" s="6" t="str">
        <f>IF(A549="","",COUNTIF(RacePerformance!$F:$F,A549))</f>
        <v/>
      </c>
      <c r="K549" s="6" t="str">
        <f>IF(A549="","",IFERROR(AVERAGEIF(RacePerformance!$F:$F,A549,RacePerformance!$I:$I),""))</f>
        <v/>
      </c>
      <c r="L549" s="6" t="str">
        <f>IF(A549="","",IFERROR(AVERAGEIF(RacePerformance!$F:$F,A549,RacePerformance!$J:$J),""))</f>
        <v/>
      </c>
      <c r="M549" s="6" t="str">
        <f>IF(A549="","",IFERROR(AVERAGEIF(RacePerformance!$F:$F,A549,RacePerformance!$K:$K),""))</f>
        <v/>
      </c>
      <c r="N549" s="6" t="str">
        <f>IF(A549="","",COUNTIFS(RacePerformance!$F:$F,A549,RacePerformance!$I:$I,"&lt;=20"))</f>
        <v/>
      </c>
      <c r="O549" s="6" t="str">
        <f>IF(A549="","",COUNTIFS(RacePerformance!$F:$F,A549,RacePerformance!$I:$I,1))</f>
        <v/>
      </c>
      <c r="P549" s="6" t="str">
        <f>IF(A549="","",COUNTIFS(RacePerformance!$F:$F,A549,RacePerformance!$J:$J,"&lt;=3"))</f>
        <v/>
      </c>
    </row>
    <row r="550" spans="5:16" ht="14.25" customHeight="1" x14ac:dyDescent="0.3">
      <c r="E550" s="6"/>
      <c r="I550" s="6"/>
      <c r="J550" s="6" t="str">
        <f>IF(A550="","",COUNTIF(RacePerformance!$F:$F,A550))</f>
        <v/>
      </c>
      <c r="K550" s="6" t="str">
        <f>IF(A550="","",IFERROR(AVERAGEIF(RacePerformance!$F:$F,A550,RacePerformance!$I:$I),""))</f>
        <v/>
      </c>
      <c r="L550" s="6" t="str">
        <f>IF(A550="","",IFERROR(AVERAGEIF(RacePerformance!$F:$F,A550,RacePerformance!$J:$J),""))</f>
        <v/>
      </c>
      <c r="M550" s="6" t="str">
        <f>IF(A550="","",IFERROR(AVERAGEIF(RacePerformance!$F:$F,A550,RacePerformance!$K:$K),""))</f>
        <v/>
      </c>
      <c r="N550" s="6" t="str">
        <f>IF(A550="","",COUNTIFS(RacePerformance!$F:$F,A550,RacePerformance!$I:$I,"&lt;=20"))</f>
        <v/>
      </c>
      <c r="O550" s="6" t="str">
        <f>IF(A550="","",COUNTIFS(RacePerformance!$F:$F,A550,RacePerformance!$I:$I,1))</f>
        <v/>
      </c>
      <c r="P550" s="6" t="str">
        <f>IF(A550="","",COUNTIFS(RacePerformance!$F:$F,A550,RacePerformance!$J:$J,"&lt;=3"))</f>
        <v/>
      </c>
    </row>
    <row r="551" spans="5:16" ht="14.25" customHeight="1" x14ac:dyDescent="0.3">
      <c r="E551" s="6"/>
      <c r="I551" s="6"/>
      <c r="J551" s="6" t="str">
        <f>IF(A551="","",COUNTIF(RacePerformance!$F:$F,A551))</f>
        <v/>
      </c>
      <c r="K551" s="6" t="str">
        <f>IF(A551="","",IFERROR(AVERAGEIF(RacePerformance!$F:$F,A551,RacePerformance!$I:$I),""))</f>
        <v/>
      </c>
      <c r="L551" s="6" t="str">
        <f>IF(A551="","",IFERROR(AVERAGEIF(RacePerformance!$F:$F,A551,RacePerformance!$J:$J),""))</f>
        <v/>
      </c>
      <c r="M551" s="6" t="str">
        <f>IF(A551="","",IFERROR(AVERAGEIF(RacePerformance!$F:$F,A551,RacePerformance!$K:$K),""))</f>
        <v/>
      </c>
      <c r="N551" s="6" t="str">
        <f>IF(A551="","",COUNTIFS(RacePerformance!$F:$F,A551,RacePerformance!$I:$I,"&lt;=20"))</f>
        <v/>
      </c>
      <c r="O551" s="6" t="str">
        <f>IF(A551="","",COUNTIFS(RacePerformance!$F:$F,A551,RacePerformance!$I:$I,1))</f>
        <v/>
      </c>
      <c r="P551" s="6" t="str">
        <f>IF(A551="","",COUNTIFS(RacePerformance!$F:$F,A551,RacePerformance!$J:$J,"&lt;=3"))</f>
        <v/>
      </c>
    </row>
    <row r="552" spans="5:16" ht="14.25" customHeight="1" x14ac:dyDescent="0.3">
      <c r="E552" s="6"/>
      <c r="I552" s="6"/>
      <c r="J552" s="6" t="str">
        <f>IF(A552="","",COUNTIF(RacePerformance!$F:$F,A552))</f>
        <v/>
      </c>
      <c r="K552" s="6" t="str">
        <f>IF(A552="","",IFERROR(AVERAGEIF(RacePerformance!$F:$F,A552,RacePerformance!$I:$I),""))</f>
        <v/>
      </c>
      <c r="L552" s="6" t="str">
        <f>IF(A552="","",IFERROR(AVERAGEIF(RacePerformance!$F:$F,A552,RacePerformance!$J:$J),""))</f>
        <v/>
      </c>
      <c r="M552" s="6" t="str">
        <f>IF(A552="","",IFERROR(AVERAGEIF(RacePerformance!$F:$F,A552,RacePerformance!$K:$K),""))</f>
        <v/>
      </c>
      <c r="N552" s="6" t="str">
        <f>IF(A552="","",COUNTIFS(RacePerformance!$F:$F,A552,RacePerformance!$I:$I,"&lt;=20"))</f>
        <v/>
      </c>
      <c r="O552" s="6" t="str">
        <f>IF(A552="","",COUNTIFS(RacePerformance!$F:$F,A552,RacePerformance!$I:$I,1))</f>
        <v/>
      </c>
      <c r="P552" s="6" t="str">
        <f>IF(A552="","",COUNTIFS(RacePerformance!$F:$F,A552,RacePerformance!$J:$J,"&lt;=3"))</f>
        <v/>
      </c>
    </row>
    <row r="553" spans="5:16" ht="14.25" customHeight="1" x14ac:dyDescent="0.3">
      <c r="E553" s="6"/>
      <c r="I553" s="6"/>
      <c r="J553" s="6" t="str">
        <f>IF(A553="","",COUNTIF(RacePerformance!$F:$F,A553))</f>
        <v/>
      </c>
      <c r="K553" s="6" t="str">
        <f>IF(A553="","",IFERROR(AVERAGEIF(RacePerformance!$F:$F,A553,RacePerformance!$I:$I),""))</f>
        <v/>
      </c>
      <c r="L553" s="6" t="str">
        <f>IF(A553="","",IFERROR(AVERAGEIF(RacePerformance!$F:$F,A553,RacePerformance!$J:$J),""))</f>
        <v/>
      </c>
      <c r="M553" s="6" t="str">
        <f>IF(A553="","",IFERROR(AVERAGEIF(RacePerformance!$F:$F,A553,RacePerformance!$K:$K),""))</f>
        <v/>
      </c>
      <c r="N553" s="6" t="str">
        <f>IF(A553="","",COUNTIFS(RacePerformance!$F:$F,A553,RacePerformance!$I:$I,"&lt;=20"))</f>
        <v/>
      </c>
      <c r="O553" s="6" t="str">
        <f>IF(A553="","",COUNTIFS(RacePerformance!$F:$F,A553,RacePerformance!$I:$I,1))</f>
        <v/>
      </c>
      <c r="P553" s="6" t="str">
        <f>IF(A553="","",COUNTIFS(RacePerformance!$F:$F,A553,RacePerformance!$J:$J,"&lt;=3"))</f>
        <v/>
      </c>
    </row>
    <row r="554" spans="5:16" ht="14.25" customHeight="1" x14ac:dyDescent="0.3">
      <c r="E554" s="6"/>
      <c r="I554" s="6"/>
      <c r="J554" s="6" t="str">
        <f>IF(A554="","",COUNTIF(RacePerformance!$F:$F,A554))</f>
        <v/>
      </c>
      <c r="K554" s="6" t="str">
        <f>IF(A554="","",IFERROR(AVERAGEIF(RacePerformance!$F:$F,A554,RacePerformance!$I:$I),""))</f>
        <v/>
      </c>
      <c r="L554" s="6" t="str">
        <f>IF(A554="","",IFERROR(AVERAGEIF(RacePerformance!$F:$F,A554,RacePerformance!$J:$J),""))</f>
        <v/>
      </c>
      <c r="M554" s="6" t="str">
        <f>IF(A554="","",IFERROR(AVERAGEIF(RacePerformance!$F:$F,A554,RacePerformance!$K:$K),""))</f>
        <v/>
      </c>
      <c r="N554" s="6" t="str">
        <f>IF(A554="","",COUNTIFS(RacePerformance!$F:$F,A554,RacePerformance!$I:$I,"&lt;=20"))</f>
        <v/>
      </c>
      <c r="O554" s="6" t="str">
        <f>IF(A554="","",COUNTIFS(RacePerformance!$F:$F,A554,RacePerformance!$I:$I,1))</f>
        <v/>
      </c>
      <c r="P554" s="6" t="str">
        <f>IF(A554="","",COUNTIFS(RacePerformance!$F:$F,A554,RacePerformance!$J:$J,"&lt;=3"))</f>
        <v/>
      </c>
    </row>
    <row r="555" spans="5:16" ht="14.25" customHeight="1" x14ac:dyDescent="0.3">
      <c r="E555" s="6"/>
      <c r="I555" s="6"/>
      <c r="J555" s="6" t="str">
        <f>IF(A555="","",COUNTIF(RacePerformance!$F:$F,A555))</f>
        <v/>
      </c>
      <c r="K555" s="6" t="str">
        <f>IF(A555="","",IFERROR(AVERAGEIF(RacePerformance!$F:$F,A555,RacePerformance!$I:$I),""))</f>
        <v/>
      </c>
      <c r="L555" s="6" t="str">
        <f>IF(A555="","",IFERROR(AVERAGEIF(RacePerformance!$F:$F,A555,RacePerformance!$J:$J),""))</f>
        <v/>
      </c>
      <c r="M555" s="6" t="str">
        <f>IF(A555="","",IFERROR(AVERAGEIF(RacePerformance!$F:$F,A555,RacePerformance!$K:$K),""))</f>
        <v/>
      </c>
      <c r="N555" s="6" t="str">
        <f>IF(A555="","",COUNTIFS(RacePerformance!$F:$F,A555,RacePerformance!$I:$I,"&lt;=20"))</f>
        <v/>
      </c>
      <c r="O555" s="6" t="str">
        <f>IF(A555="","",COUNTIFS(RacePerformance!$F:$F,A555,RacePerformance!$I:$I,1))</f>
        <v/>
      </c>
      <c r="P555" s="6" t="str">
        <f>IF(A555="","",COUNTIFS(RacePerformance!$F:$F,A555,RacePerformance!$J:$J,"&lt;=3"))</f>
        <v/>
      </c>
    </row>
    <row r="556" spans="5:16" ht="14.25" customHeight="1" x14ac:dyDescent="0.3">
      <c r="E556" s="6"/>
      <c r="I556" s="6"/>
      <c r="J556" s="6" t="str">
        <f>IF(A556="","",COUNTIF(RacePerformance!$F:$F,A556))</f>
        <v/>
      </c>
      <c r="K556" s="6" t="str">
        <f>IF(A556="","",IFERROR(AVERAGEIF(RacePerformance!$F:$F,A556,RacePerformance!$I:$I),""))</f>
        <v/>
      </c>
      <c r="L556" s="6" t="str">
        <f>IF(A556="","",IFERROR(AVERAGEIF(RacePerformance!$F:$F,A556,RacePerformance!$J:$J),""))</f>
        <v/>
      </c>
      <c r="M556" s="6" t="str">
        <f>IF(A556="","",IFERROR(AVERAGEIF(RacePerformance!$F:$F,A556,RacePerformance!$K:$K),""))</f>
        <v/>
      </c>
      <c r="N556" s="6" t="str">
        <f>IF(A556="","",COUNTIFS(RacePerformance!$F:$F,A556,RacePerformance!$I:$I,"&lt;=20"))</f>
        <v/>
      </c>
      <c r="O556" s="6" t="str">
        <f>IF(A556="","",COUNTIFS(RacePerformance!$F:$F,A556,RacePerformance!$I:$I,1))</f>
        <v/>
      </c>
      <c r="P556" s="6" t="str">
        <f>IF(A556="","",COUNTIFS(RacePerformance!$F:$F,A556,RacePerformance!$J:$J,"&lt;=3"))</f>
        <v/>
      </c>
    </row>
    <row r="557" spans="5:16" ht="14.25" customHeight="1" x14ac:dyDescent="0.3">
      <c r="E557" s="6"/>
      <c r="I557" s="6"/>
      <c r="J557" s="6" t="str">
        <f>IF(A557="","",COUNTIF(RacePerformance!$F:$F,A557))</f>
        <v/>
      </c>
      <c r="K557" s="6" t="str">
        <f>IF(A557="","",IFERROR(AVERAGEIF(RacePerformance!$F:$F,A557,RacePerformance!$I:$I),""))</f>
        <v/>
      </c>
      <c r="L557" s="6" t="str">
        <f>IF(A557="","",IFERROR(AVERAGEIF(RacePerformance!$F:$F,A557,RacePerformance!$J:$J),""))</f>
        <v/>
      </c>
      <c r="M557" s="6" t="str">
        <f>IF(A557="","",IFERROR(AVERAGEIF(RacePerformance!$F:$F,A557,RacePerformance!$K:$K),""))</f>
        <v/>
      </c>
      <c r="N557" s="6" t="str">
        <f>IF(A557="","",COUNTIFS(RacePerformance!$F:$F,A557,RacePerformance!$I:$I,"&lt;=20"))</f>
        <v/>
      </c>
      <c r="O557" s="6" t="str">
        <f>IF(A557="","",COUNTIFS(RacePerformance!$F:$F,A557,RacePerformance!$I:$I,1))</f>
        <v/>
      </c>
      <c r="P557" s="6" t="str">
        <f>IF(A557="","",COUNTIFS(RacePerformance!$F:$F,A557,RacePerformance!$J:$J,"&lt;=3"))</f>
        <v/>
      </c>
    </row>
    <row r="558" spans="5:16" ht="14.25" customHeight="1" x14ac:dyDescent="0.3">
      <c r="E558" s="6"/>
      <c r="I558" s="6"/>
      <c r="J558" s="6" t="str">
        <f>IF(A558="","",COUNTIF(RacePerformance!$F:$F,A558))</f>
        <v/>
      </c>
      <c r="K558" s="6" t="str">
        <f>IF(A558="","",IFERROR(AVERAGEIF(RacePerformance!$F:$F,A558,RacePerformance!$I:$I),""))</f>
        <v/>
      </c>
      <c r="L558" s="6" t="str">
        <f>IF(A558="","",IFERROR(AVERAGEIF(RacePerformance!$F:$F,A558,RacePerformance!$J:$J),""))</f>
        <v/>
      </c>
      <c r="M558" s="6" t="str">
        <f>IF(A558="","",IFERROR(AVERAGEIF(RacePerformance!$F:$F,A558,RacePerformance!$K:$K),""))</f>
        <v/>
      </c>
      <c r="N558" s="6" t="str">
        <f>IF(A558="","",COUNTIFS(RacePerformance!$F:$F,A558,RacePerformance!$I:$I,"&lt;=20"))</f>
        <v/>
      </c>
      <c r="O558" s="6" t="str">
        <f>IF(A558="","",COUNTIFS(RacePerformance!$F:$F,A558,RacePerformance!$I:$I,1))</f>
        <v/>
      </c>
      <c r="P558" s="6" t="str">
        <f>IF(A558="","",COUNTIFS(RacePerformance!$F:$F,A558,RacePerformance!$J:$J,"&lt;=3"))</f>
        <v/>
      </c>
    </row>
    <row r="559" spans="5:16" ht="14.25" customHeight="1" x14ac:dyDescent="0.3">
      <c r="E559" s="6"/>
      <c r="I559" s="6"/>
      <c r="J559" s="6" t="str">
        <f>IF(A559="","",COUNTIF(RacePerformance!$F:$F,A559))</f>
        <v/>
      </c>
      <c r="K559" s="6" t="str">
        <f>IF(A559="","",IFERROR(AVERAGEIF(RacePerformance!$F:$F,A559,RacePerformance!$I:$I),""))</f>
        <v/>
      </c>
      <c r="L559" s="6" t="str">
        <f>IF(A559="","",IFERROR(AVERAGEIF(RacePerformance!$F:$F,A559,RacePerformance!$J:$J),""))</f>
        <v/>
      </c>
      <c r="M559" s="6" t="str">
        <f>IF(A559="","",IFERROR(AVERAGEIF(RacePerformance!$F:$F,A559,RacePerformance!$K:$K),""))</f>
        <v/>
      </c>
      <c r="N559" s="6" t="str">
        <f>IF(A559="","",COUNTIFS(RacePerformance!$F:$F,A559,RacePerformance!$I:$I,"&lt;=20"))</f>
        <v/>
      </c>
      <c r="O559" s="6" t="str">
        <f>IF(A559="","",COUNTIFS(RacePerformance!$F:$F,A559,RacePerformance!$I:$I,1))</f>
        <v/>
      </c>
      <c r="P559" s="6" t="str">
        <f>IF(A559="","",COUNTIFS(RacePerformance!$F:$F,A559,RacePerformance!$J:$J,"&lt;=3"))</f>
        <v/>
      </c>
    </row>
    <row r="560" spans="5:16" ht="14.25" customHeight="1" x14ac:dyDescent="0.3">
      <c r="E560" s="6"/>
      <c r="I560" s="6"/>
      <c r="J560" s="6" t="str">
        <f>IF(A560="","",COUNTIF(RacePerformance!$F:$F,A560))</f>
        <v/>
      </c>
      <c r="K560" s="6" t="str">
        <f>IF(A560="","",IFERROR(AVERAGEIF(RacePerformance!$F:$F,A560,RacePerformance!$I:$I),""))</f>
        <v/>
      </c>
      <c r="L560" s="6" t="str">
        <f>IF(A560="","",IFERROR(AVERAGEIF(RacePerformance!$F:$F,A560,RacePerformance!$J:$J),""))</f>
        <v/>
      </c>
      <c r="M560" s="6" t="str">
        <f>IF(A560="","",IFERROR(AVERAGEIF(RacePerformance!$F:$F,A560,RacePerformance!$K:$K),""))</f>
        <v/>
      </c>
      <c r="N560" s="6" t="str">
        <f>IF(A560="","",COUNTIFS(RacePerformance!$F:$F,A560,RacePerformance!$I:$I,"&lt;=20"))</f>
        <v/>
      </c>
      <c r="O560" s="6" t="str">
        <f>IF(A560="","",COUNTIFS(RacePerformance!$F:$F,A560,RacePerformance!$I:$I,1))</f>
        <v/>
      </c>
      <c r="P560" s="6" t="str">
        <f>IF(A560="","",COUNTIFS(RacePerformance!$F:$F,A560,RacePerformance!$J:$J,"&lt;=3"))</f>
        <v/>
      </c>
    </row>
    <row r="561" spans="5:16" ht="14.25" customHeight="1" x14ac:dyDescent="0.3">
      <c r="E561" s="6"/>
      <c r="I561" s="6"/>
      <c r="J561" s="6" t="str">
        <f>IF(A561="","",COUNTIF(RacePerformance!$F:$F,A561))</f>
        <v/>
      </c>
      <c r="K561" s="6" t="str">
        <f>IF(A561="","",IFERROR(AVERAGEIF(RacePerformance!$F:$F,A561,RacePerformance!$I:$I),""))</f>
        <v/>
      </c>
      <c r="L561" s="6" t="str">
        <f>IF(A561="","",IFERROR(AVERAGEIF(RacePerformance!$F:$F,A561,RacePerformance!$J:$J),""))</f>
        <v/>
      </c>
      <c r="M561" s="6" t="str">
        <f>IF(A561="","",IFERROR(AVERAGEIF(RacePerformance!$F:$F,A561,RacePerformance!$K:$K),""))</f>
        <v/>
      </c>
      <c r="N561" s="6" t="str">
        <f>IF(A561="","",COUNTIFS(RacePerformance!$F:$F,A561,RacePerformance!$I:$I,"&lt;=20"))</f>
        <v/>
      </c>
      <c r="O561" s="6" t="str">
        <f>IF(A561="","",COUNTIFS(RacePerformance!$F:$F,A561,RacePerformance!$I:$I,1))</f>
        <v/>
      </c>
      <c r="P561" s="6" t="str">
        <f>IF(A561="","",COUNTIFS(RacePerformance!$F:$F,A561,RacePerformance!$J:$J,"&lt;=3"))</f>
        <v/>
      </c>
    </row>
    <row r="562" spans="5:16" ht="14.25" customHeight="1" x14ac:dyDescent="0.3">
      <c r="E562" s="6"/>
      <c r="I562" s="6"/>
      <c r="J562" s="6" t="str">
        <f>IF(A562="","",COUNTIF(RacePerformance!$F:$F,A562))</f>
        <v/>
      </c>
      <c r="K562" s="6" t="str">
        <f>IF(A562="","",IFERROR(AVERAGEIF(RacePerformance!$F:$F,A562,RacePerformance!$I:$I),""))</f>
        <v/>
      </c>
      <c r="L562" s="6" t="str">
        <f>IF(A562="","",IFERROR(AVERAGEIF(RacePerformance!$F:$F,A562,RacePerformance!$J:$J),""))</f>
        <v/>
      </c>
      <c r="M562" s="6" t="str">
        <f>IF(A562="","",IFERROR(AVERAGEIF(RacePerformance!$F:$F,A562,RacePerformance!$K:$K),""))</f>
        <v/>
      </c>
      <c r="N562" s="6" t="str">
        <f>IF(A562="","",COUNTIFS(RacePerformance!$F:$F,A562,RacePerformance!$I:$I,"&lt;=20"))</f>
        <v/>
      </c>
      <c r="O562" s="6" t="str">
        <f>IF(A562="","",COUNTIFS(RacePerformance!$F:$F,A562,RacePerformance!$I:$I,1))</f>
        <v/>
      </c>
      <c r="P562" s="6" t="str">
        <f>IF(A562="","",COUNTIFS(RacePerformance!$F:$F,A562,RacePerformance!$J:$J,"&lt;=3"))</f>
        <v/>
      </c>
    </row>
    <row r="563" spans="5:16" ht="14.25" customHeight="1" x14ac:dyDescent="0.3">
      <c r="E563" s="6"/>
      <c r="I563" s="6"/>
      <c r="J563" s="6" t="str">
        <f>IF(A563="","",COUNTIF(RacePerformance!$F:$F,A563))</f>
        <v/>
      </c>
      <c r="K563" s="6" t="str">
        <f>IF(A563="","",IFERROR(AVERAGEIF(RacePerformance!$F:$F,A563,RacePerformance!$I:$I),""))</f>
        <v/>
      </c>
      <c r="L563" s="6" t="str">
        <f>IF(A563="","",IFERROR(AVERAGEIF(RacePerformance!$F:$F,A563,RacePerformance!$J:$J),""))</f>
        <v/>
      </c>
      <c r="M563" s="6" t="str">
        <f>IF(A563="","",IFERROR(AVERAGEIF(RacePerformance!$F:$F,A563,RacePerformance!$K:$K),""))</f>
        <v/>
      </c>
      <c r="N563" s="6" t="str">
        <f>IF(A563="","",COUNTIFS(RacePerformance!$F:$F,A563,RacePerformance!$I:$I,"&lt;=20"))</f>
        <v/>
      </c>
      <c r="O563" s="6" t="str">
        <f>IF(A563="","",COUNTIFS(RacePerformance!$F:$F,A563,RacePerformance!$I:$I,1))</f>
        <v/>
      </c>
      <c r="P563" s="6" t="str">
        <f>IF(A563="","",COUNTIFS(RacePerformance!$F:$F,A563,RacePerformance!$J:$J,"&lt;=3"))</f>
        <v/>
      </c>
    </row>
    <row r="564" spans="5:16" ht="14.25" customHeight="1" x14ac:dyDescent="0.3">
      <c r="E564" s="6"/>
      <c r="I564" s="6"/>
      <c r="J564" s="6" t="str">
        <f>IF(A564="","",COUNTIF(RacePerformance!$F:$F,A564))</f>
        <v/>
      </c>
      <c r="K564" s="6" t="str">
        <f>IF(A564="","",IFERROR(AVERAGEIF(RacePerformance!$F:$F,A564,RacePerformance!$I:$I),""))</f>
        <v/>
      </c>
      <c r="L564" s="6" t="str">
        <f>IF(A564="","",IFERROR(AVERAGEIF(RacePerformance!$F:$F,A564,RacePerformance!$J:$J),""))</f>
        <v/>
      </c>
      <c r="M564" s="6" t="str">
        <f>IF(A564="","",IFERROR(AVERAGEIF(RacePerformance!$F:$F,A564,RacePerformance!$K:$K),""))</f>
        <v/>
      </c>
      <c r="N564" s="6" t="str">
        <f>IF(A564="","",COUNTIFS(RacePerformance!$F:$F,A564,RacePerformance!$I:$I,"&lt;=20"))</f>
        <v/>
      </c>
      <c r="O564" s="6" t="str">
        <f>IF(A564="","",COUNTIFS(RacePerformance!$F:$F,A564,RacePerformance!$I:$I,1))</f>
        <v/>
      </c>
      <c r="P564" s="6" t="str">
        <f>IF(A564="","",COUNTIFS(RacePerformance!$F:$F,A564,RacePerformance!$J:$J,"&lt;=3"))</f>
        <v/>
      </c>
    </row>
    <row r="565" spans="5:16" ht="14.25" customHeight="1" x14ac:dyDescent="0.3">
      <c r="E565" s="6"/>
      <c r="I565" s="6"/>
      <c r="J565" s="6" t="str">
        <f>IF(A565="","",COUNTIF(RacePerformance!$F:$F,A565))</f>
        <v/>
      </c>
      <c r="K565" s="6" t="str">
        <f>IF(A565="","",IFERROR(AVERAGEIF(RacePerformance!$F:$F,A565,RacePerformance!$I:$I),""))</f>
        <v/>
      </c>
      <c r="L565" s="6" t="str">
        <f>IF(A565="","",IFERROR(AVERAGEIF(RacePerformance!$F:$F,A565,RacePerformance!$J:$J),""))</f>
        <v/>
      </c>
      <c r="M565" s="6" t="str">
        <f>IF(A565="","",IFERROR(AVERAGEIF(RacePerformance!$F:$F,A565,RacePerformance!$K:$K),""))</f>
        <v/>
      </c>
      <c r="N565" s="6" t="str">
        <f>IF(A565="","",COUNTIFS(RacePerformance!$F:$F,A565,RacePerformance!$I:$I,"&lt;=20"))</f>
        <v/>
      </c>
      <c r="O565" s="6" t="str">
        <f>IF(A565="","",COUNTIFS(RacePerformance!$F:$F,A565,RacePerformance!$I:$I,1))</f>
        <v/>
      </c>
      <c r="P565" s="6" t="str">
        <f>IF(A565="","",COUNTIFS(RacePerformance!$F:$F,A565,RacePerformance!$J:$J,"&lt;=3"))</f>
        <v/>
      </c>
    </row>
    <row r="566" spans="5:16" ht="14.25" customHeight="1" x14ac:dyDescent="0.3">
      <c r="E566" s="6"/>
      <c r="I566" s="6"/>
      <c r="J566" s="6" t="str">
        <f>IF(A566="","",COUNTIF(RacePerformance!$F:$F,A566))</f>
        <v/>
      </c>
      <c r="K566" s="6" t="str">
        <f>IF(A566="","",IFERROR(AVERAGEIF(RacePerformance!$F:$F,A566,RacePerformance!$I:$I),""))</f>
        <v/>
      </c>
      <c r="L566" s="6" t="str">
        <f>IF(A566="","",IFERROR(AVERAGEIF(RacePerformance!$F:$F,A566,RacePerformance!$J:$J),""))</f>
        <v/>
      </c>
      <c r="M566" s="6" t="str">
        <f>IF(A566="","",IFERROR(AVERAGEIF(RacePerformance!$F:$F,A566,RacePerformance!$K:$K),""))</f>
        <v/>
      </c>
      <c r="N566" s="6" t="str">
        <f>IF(A566="","",COUNTIFS(RacePerformance!$F:$F,A566,RacePerformance!$I:$I,"&lt;=20"))</f>
        <v/>
      </c>
      <c r="O566" s="6" t="str">
        <f>IF(A566="","",COUNTIFS(RacePerformance!$F:$F,A566,RacePerformance!$I:$I,1))</f>
        <v/>
      </c>
      <c r="P566" s="6" t="str">
        <f>IF(A566="","",COUNTIFS(RacePerformance!$F:$F,A566,RacePerformance!$J:$J,"&lt;=3"))</f>
        <v/>
      </c>
    </row>
    <row r="567" spans="5:16" ht="14.25" customHeight="1" x14ac:dyDescent="0.3">
      <c r="E567" s="6"/>
      <c r="I567" s="6"/>
      <c r="J567" s="6" t="str">
        <f>IF(A567="","",COUNTIF(RacePerformance!$F:$F,A567))</f>
        <v/>
      </c>
      <c r="K567" s="6" t="str">
        <f>IF(A567="","",IFERROR(AVERAGEIF(RacePerformance!$F:$F,A567,RacePerformance!$I:$I),""))</f>
        <v/>
      </c>
      <c r="L567" s="6" t="str">
        <f>IF(A567="","",IFERROR(AVERAGEIF(RacePerformance!$F:$F,A567,RacePerformance!$J:$J),""))</f>
        <v/>
      </c>
      <c r="M567" s="6" t="str">
        <f>IF(A567="","",IFERROR(AVERAGEIF(RacePerformance!$F:$F,A567,RacePerformance!$K:$K),""))</f>
        <v/>
      </c>
      <c r="N567" s="6" t="str">
        <f>IF(A567="","",COUNTIFS(RacePerformance!$F:$F,A567,RacePerformance!$I:$I,"&lt;=20"))</f>
        <v/>
      </c>
      <c r="O567" s="6" t="str">
        <f>IF(A567="","",COUNTIFS(RacePerformance!$F:$F,A567,RacePerformance!$I:$I,1))</f>
        <v/>
      </c>
      <c r="P567" s="6" t="str">
        <f>IF(A567="","",COUNTIFS(RacePerformance!$F:$F,A567,RacePerformance!$J:$J,"&lt;=3"))</f>
        <v/>
      </c>
    </row>
    <row r="568" spans="5:16" ht="14.25" customHeight="1" x14ac:dyDescent="0.3">
      <c r="E568" s="6"/>
      <c r="I568" s="6"/>
      <c r="J568" s="6" t="str">
        <f>IF(A568="","",COUNTIF(RacePerformance!$F:$F,A568))</f>
        <v/>
      </c>
      <c r="K568" s="6" t="str">
        <f>IF(A568="","",IFERROR(AVERAGEIF(RacePerformance!$F:$F,A568,RacePerformance!$I:$I),""))</f>
        <v/>
      </c>
      <c r="L568" s="6" t="str">
        <f>IF(A568="","",IFERROR(AVERAGEIF(RacePerformance!$F:$F,A568,RacePerformance!$J:$J),""))</f>
        <v/>
      </c>
      <c r="M568" s="6" t="str">
        <f>IF(A568="","",IFERROR(AVERAGEIF(RacePerformance!$F:$F,A568,RacePerformance!$K:$K),""))</f>
        <v/>
      </c>
      <c r="N568" s="6" t="str">
        <f>IF(A568="","",COUNTIFS(RacePerformance!$F:$F,A568,RacePerformance!$I:$I,"&lt;=20"))</f>
        <v/>
      </c>
      <c r="O568" s="6" t="str">
        <f>IF(A568="","",COUNTIFS(RacePerformance!$F:$F,A568,RacePerformance!$I:$I,1))</f>
        <v/>
      </c>
      <c r="P568" s="6" t="str">
        <f>IF(A568="","",COUNTIFS(RacePerformance!$F:$F,A568,RacePerformance!$J:$J,"&lt;=3"))</f>
        <v/>
      </c>
    </row>
    <row r="569" spans="5:16" ht="14.25" customHeight="1" x14ac:dyDescent="0.3">
      <c r="E569" s="6"/>
      <c r="I569" s="6"/>
      <c r="J569" s="6" t="str">
        <f>IF(A569="","",COUNTIF(RacePerformance!$F:$F,A569))</f>
        <v/>
      </c>
      <c r="K569" s="6" t="str">
        <f>IF(A569="","",IFERROR(AVERAGEIF(RacePerformance!$F:$F,A569,RacePerformance!$I:$I),""))</f>
        <v/>
      </c>
      <c r="L569" s="6" t="str">
        <f>IF(A569="","",IFERROR(AVERAGEIF(RacePerformance!$F:$F,A569,RacePerformance!$J:$J),""))</f>
        <v/>
      </c>
      <c r="M569" s="6" t="str">
        <f>IF(A569="","",IFERROR(AVERAGEIF(RacePerformance!$F:$F,A569,RacePerformance!$K:$K),""))</f>
        <v/>
      </c>
      <c r="N569" s="6" t="str">
        <f>IF(A569="","",COUNTIFS(RacePerformance!$F:$F,A569,RacePerformance!$I:$I,"&lt;=20"))</f>
        <v/>
      </c>
      <c r="O569" s="6" t="str">
        <f>IF(A569="","",COUNTIFS(RacePerformance!$F:$F,A569,RacePerformance!$I:$I,1))</f>
        <v/>
      </c>
      <c r="P569" s="6" t="str">
        <f>IF(A569="","",COUNTIFS(RacePerformance!$F:$F,A569,RacePerformance!$J:$J,"&lt;=3"))</f>
        <v/>
      </c>
    </row>
    <row r="570" spans="5:16" ht="14.25" customHeight="1" x14ac:dyDescent="0.3">
      <c r="E570" s="6"/>
      <c r="I570" s="6"/>
      <c r="J570" s="6" t="str">
        <f>IF(A570="","",COUNTIF(RacePerformance!$F:$F,A570))</f>
        <v/>
      </c>
      <c r="K570" s="6" t="str">
        <f>IF(A570="","",IFERROR(AVERAGEIF(RacePerformance!$F:$F,A570,RacePerformance!$I:$I),""))</f>
        <v/>
      </c>
      <c r="L570" s="6" t="str">
        <f>IF(A570="","",IFERROR(AVERAGEIF(RacePerformance!$F:$F,A570,RacePerformance!$J:$J),""))</f>
        <v/>
      </c>
      <c r="M570" s="6" t="str">
        <f>IF(A570="","",IFERROR(AVERAGEIF(RacePerformance!$F:$F,A570,RacePerformance!$K:$K),""))</f>
        <v/>
      </c>
      <c r="N570" s="6" t="str">
        <f>IF(A570="","",COUNTIFS(RacePerformance!$F:$F,A570,RacePerformance!$I:$I,"&lt;=20"))</f>
        <v/>
      </c>
      <c r="O570" s="6" t="str">
        <f>IF(A570="","",COUNTIFS(RacePerformance!$F:$F,A570,RacePerformance!$I:$I,1))</f>
        <v/>
      </c>
      <c r="P570" s="6" t="str">
        <f>IF(A570="","",COUNTIFS(RacePerformance!$F:$F,A570,RacePerformance!$J:$J,"&lt;=3"))</f>
        <v/>
      </c>
    </row>
    <row r="571" spans="5:16" ht="14.25" customHeight="1" x14ac:dyDescent="0.3">
      <c r="E571" s="6"/>
      <c r="I571" s="6"/>
      <c r="J571" s="6" t="str">
        <f>IF(A571="","",COUNTIF(RacePerformance!$F:$F,A571))</f>
        <v/>
      </c>
      <c r="K571" s="6" t="str">
        <f>IF(A571="","",IFERROR(AVERAGEIF(RacePerformance!$F:$F,A571,RacePerformance!$I:$I),""))</f>
        <v/>
      </c>
      <c r="L571" s="6" t="str">
        <f>IF(A571="","",IFERROR(AVERAGEIF(RacePerformance!$F:$F,A571,RacePerformance!$J:$J),""))</f>
        <v/>
      </c>
      <c r="M571" s="6" t="str">
        <f>IF(A571="","",IFERROR(AVERAGEIF(RacePerformance!$F:$F,A571,RacePerformance!$K:$K),""))</f>
        <v/>
      </c>
      <c r="N571" s="6" t="str">
        <f>IF(A571="","",COUNTIFS(RacePerformance!$F:$F,A571,RacePerformance!$I:$I,"&lt;=20"))</f>
        <v/>
      </c>
      <c r="O571" s="6" t="str">
        <f>IF(A571="","",COUNTIFS(RacePerformance!$F:$F,A571,RacePerformance!$I:$I,1))</f>
        <v/>
      </c>
      <c r="P571" s="6" t="str">
        <f>IF(A571="","",COUNTIFS(RacePerformance!$F:$F,A571,RacePerformance!$J:$J,"&lt;=3"))</f>
        <v/>
      </c>
    </row>
    <row r="572" spans="5:16" ht="14.25" customHeight="1" x14ac:dyDescent="0.3">
      <c r="E572" s="6"/>
      <c r="I572" s="6"/>
      <c r="J572" s="6" t="str">
        <f>IF(A572="","",COUNTIF(RacePerformance!$F:$F,A572))</f>
        <v/>
      </c>
      <c r="K572" s="6" t="str">
        <f>IF(A572="","",IFERROR(AVERAGEIF(RacePerformance!$F:$F,A572,RacePerformance!$I:$I),""))</f>
        <v/>
      </c>
      <c r="L572" s="6" t="str">
        <f>IF(A572="","",IFERROR(AVERAGEIF(RacePerformance!$F:$F,A572,RacePerformance!$J:$J),""))</f>
        <v/>
      </c>
      <c r="M572" s="6" t="str">
        <f>IF(A572="","",IFERROR(AVERAGEIF(RacePerformance!$F:$F,A572,RacePerformance!$K:$K),""))</f>
        <v/>
      </c>
      <c r="N572" s="6" t="str">
        <f>IF(A572="","",COUNTIFS(RacePerformance!$F:$F,A572,RacePerformance!$I:$I,"&lt;=20"))</f>
        <v/>
      </c>
      <c r="O572" s="6" t="str">
        <f>IF(A572="","",COUNTIFS(RacePerformance!$F:$F,A572,RacePerformance!$I:$I,1))</f>
        <v/>
      </c>
      <c r="P572" s="6" t="str">
        <f>IF(A572="","",COUNTIFS(RacePerformance!$F:$F,A572,RacePerformance!$J:$J,"&lt;=3"))</f>
        <v/>
      </c>
    </row>
    <row r="573" spans="5:16" ht="14.25" customHeight="1" x14ac:dyDescent="0.3">
      <c r="E573" s="6"/>
      <c r="I573" s="6"/>
      <c r="J573" s="6" t="str">
        <f>IF(A573="","",COUNTIF(RacePerformance!$F:$F,A573))</f>
        <v/>
      </c>
      <c r="K573" s="6" t="str">
        <f>IF(A573="","",IFERROR(AVERAGEIF(RacePerformance!$F:$F,A573,RacePerformance!$I:$I),""))</f>
        <v/>
      </c>
      <c r="L573" s="6" t="str">
        <f>IF(A573="","",IFERROR(AVERAGEIF(RacePerformance!$F:$F,A573,RacePerformance!$J:$J),""))</f>
        <v/>
      </c>
      <c r="M573" s="6" t="str">
        <f>IF(A573="","",IFERROR(AVERAGEIF(RacePerformance!$F:$F,A573,RacePerformance!$K:$K),""))</f>
        <v/>
      </c>
      <c r="N573" s="6" t="str">
        <f>IF(A573="","",COUNTIFS(RacePerformance!$F:$F,A573,RacePerformance!$I:$I,"&lt;=20"))</f>
        <v/>
      </c>
      <c r="O573" s="6" t="str">
        <f>IF(A573="","",COUNTIFS(RacePerformance!$F:$F,A573,RacePerformance!$I:$I,1))</f>
        <v/>
      </c>
      <c r="P573" s="6" t="str">
        <f>IF(A573="","",COUNTIFS(RacePerformance!$F:$F,A573,RacePerformance!$J:$J,"&lt;=3"))</f>
        <v/>
      </c>
    </row>
    <row r="574" spans="5:16" ht="14.25" customHeight="1" x14ac:dyDescent="0.3">
      <c r="E574" s="6"/>
      <c r="I574" s="6"/>
      <c r="J574" s="6" t="str">
        <f>IF(A574="","",COUNTIF(RacePerformance!$F:$F,A574))</f>
        <v/>
      </c>
      <c r="K574" s="6" t="str">
        <f>IF(A574="","",IFERROR(AVERAGEIF(RacePerformance!$F:$F,A574,RacePerformance!$I:$I),""))</f>
        <v/>
      </c>
      <c r="L574" s="6" t="str">
        <f>IF(A574="","",IFERROR(AVERAGEIF(RacePerformance!$F:$F,A574,RacePerformance!$J:$J),""))</f>
        <v/>
      </c>
      <c r="M574" s="6" t="str">
        <f>IF(A574="","",IFERROR(AVERAGEIF(RacePerformance!$F:$F,A574,RacePerformance!$K:$K),""))</f>
        <v/>
      </c>
      <c r="N574" s="6" t="str">
        <f>IF(A574="","",COUNTIFS(RacePerformance!$F:$F,A574,RacePerformance!$I:$I,"&lt;=20"))</f>
        <v/>
      </c>
      <c r="O574" s="6" t="str">
        <f>IF(A574="","",COUNTIFS(RacePerformance!$F:$F,A574,RacePerformance!$I:$I,1))</f>
        <v/>
      </c>
      <c r="P574" s="6" t="str">
        <f>IF(A574="","",COUNTIFS(RacePerformance!$F:$F,A574,RacePerformance!$J:$J,"&lt;=3"))</f>
        <v/>
      </c>
    </row>
    <row r="575" spans="5:16" ht="14.25" customHeight="1" x14ac:dyDescent="0.3">
      <c r="E575" s="6"/>
      <c r="I575" s="6"/>
      <c r="J575" s="6" t="str">
        <f>IF(A575="","",COUNTIF(RacePerformance!$F:$F,A575))</f>
        <v/>
      </c>
      <c r="K575" s="6" t="str">
        <f>IF(A575="","",IFERROR(AVERAGEIF(RacePerformance!$F:$F,A575,RacePerformance!$I:$I),""))</f>
        <v/>
      </c>
      <c r="L575" s="6" t="str">
        <f>IF(A575="","",IFERROR(AVERAGEIF(RacePerformance!$F:$F,A575,RacePerformance!$J:$J),""))</f>
        <v/>
      </c>
      <c r="M575" s="6" t="str">
        <f>IF(A575="","",IFERROR(AVERAGEIF(RacePerformance!$F:$F,A575,RacePerformance!$K:$K),""))</f>
        <v/>
      </c>
      <c r="N575" s="6" t="str">
        <f>IF(A575="","",COUNTIFS(RacePerformance!$F:$F,A575,RacePerformance!$I:$I,"&lt;=20"))</f>
        <v/>
      </c>
      <c r="O575" s="6" t="str">
        <f>IF(A575="","",COUNTIFS(RacePerformance!$F:$F,A575,RacePerformance!$I:$I,1))</f>
        <v/>
      </c>
      <c r="P575" s="6" t="str">
        <f>IF(A575="","",COUNTIFS(RacePerformance!$F:$F,A575,RacePerformance!$J:$J,"&lt;=3"))</f>
        <v/>
      </c>
    </row>
    <row r="576" spans="5:16" ht="14.25" customHeight="1" x14ac:dyDescent="0.3">
      <c r="E576" s="6"/>
      <c r="I576" s="6"/>
      <c r="J576" s="6" t="str">
        <f>IF(A576="","",COUNTIF(RacePerformance!$F:$F,A576))</f>
        <v/>
      </c>
      <c r="K576" s="6" t="str">
        <f>IF(A576="","",IFERROR(AVERAGEIF(RacePerformance!$F:$F,A576,RacePerformance!$I:$I),""))</f>
        <v/>
      </c>
      <c r="L576" s="6" t="str">
        <f>IF(A576="","",IFERROR(AVERAGEIF(RacePerformance!$F:$F,A576,RacePerformance!$J:$J),""))</f>
        <v/>
      </c>
      <c r="M576" s="6" t="str">
        <f>IF(A576="","",IFERROR(AVERAGEIF(RacePerformance!$F:$F,A576,RacePerformance!$K:$K),""))</f>
        <v/>
      </c>
      <c r="N576" s="6" t="str">
        <f>IF(A576="","",COUNTIFS(RacePerformance!$F:$F,A576,RacePerformance!$I:$I,"&lt;=20"))</f>
        <v/>
      </c>
      <c r="O576" s="6" t="str">
        <f>IF(A576="","",COUNTIFS(RacePerformance!$F:$F,A576,RacePerformance!$I:$I,1))</f>
        <v/>
      </c>
      <c r="P576" s="6" t="str">
        <f>IF(A576="","",COUNTIFS(RacePerformance!$F:$F,A576,RacePerformance!$J:$J,"&lt;=3"))</f>
        <v/>
      </c>
    </row>
    <row r="577" spans="5:16" ht="14.25" customHeight="1" x14ac:dyDescent="0.3">
      <c r="E577" s="6"/>
      <c r="I577" s="6"/>
      <c r="J577" s="6" t="str">
        <f>IF(A577="","",COUNTIF(RacePerformance!$F:$F,A577))</f>
        <v/>
      </c>
      <c r="K577" s="6" t="str">
        <f>IF(A577="","",IFERROR(AVERAGEIF(RacePerformance!$F:$F,A577,RacePerformance!$I:$I),""))</f>
        <v/>
      </c>
      <c r="L577" s="6" t="str">
        <f>IF(A577="","",IFERROR(AVERAGEIF(RacePerformance!$F:$F,A577,RacePerformance!$J:$J),""))</f>
        <v/>
      </c>
      <c r="M577" s="6" t="str">
        <f>IF(A577="","",IFERROR(AVERAGEIF(RacePerformance!$F:$F,A577,RacePerformance!$K:$K),""))</f>
        <v/>
      </c>
      <c r="N577" s="6" t="str">
        <f>IF(A577="","",COUNTIFS(RacePerformance!$F:$F,A577,RacePerformance!$I:$I,"&lt;=20"))</f>
        <v/>
      </c>
      <c r="O577" s="6" t="str">
        <f>IF(A577="","",COUNTIFS(RacePerformance!$F:$F,A577,RacePerformance!$I:$I,1))</f>
        <v/>
      </c>
      <c r="P577" s="6" t="str">
        <f>IF(A577="","",COUNTIFS(RacePerformance!$F:$F,A577,RacePerformance!$J:$J,"&lt;=3"))</f>
        <v/>
      </c>
    </row>
    <row r="578" spans="5:16" ht="14.25" customHeight="1" x14ac:dyDescent="0.3">
      <c r="E578" s="6"/>
      <c r="I578" s="6"/>
      <c r="J578" s="6" t="str">
        <f>IF(A578="","",COUNTIF(RacePerformance!$F:$F,A578))</f>
        <v/>
      </c>
      <c r="K578" s="6" t="str">
        <f>IF(A578="","",IFERROR(AVERAGEIF(RacePerformance!$F:$F,A578,RacePerformance!$I:$I),""))</f>
        <v/>
      </c>
      <c r="L578" s="6" t="str">
        <f>IF(A578="","",IFERROR(AVERAGEIF(RacePerformance!$F:$F,A578,RacePerformance!$J:$J),""))</f>
        <v/>
      </c>
      <c r="M578" s="6" t="str">
        <f>IF(A578="","",IFERROR(AVERAGEIF(RacePerformance!$F:$F,A578,RacePerformance!$K:$K),""))</f>
        <v/>
      </c>
      <c r="N578" s="6" t="str">
        <f>IF(A578="","",COUNTIFS(RacePerformance!$F:$F,A578,RacePerformance!$I:$I,"&lt;=20"))</f>
        <v/>
      </c>
      <c r="O578" s="6" t="str">
        <f>IF(A578="","",COUNTIFS(RacePerformance!$F:$F,A578,RacePerformance!$I:$I,1))</f>
        <v/>
      </c>
      <c r="P578" s="6" t="str">
        <f>IF(A578="","",COUNTIFS(RacePerformance!$F:$F,A578,RacePerformance!$J:$J,"&lt;=3"))</f>
        <v/>
      </c>
    </row>
    <row r="579" spans="5:16" ht="14.25" customHeight="1" x14ac:dyDescent="0.3">
      <c r="E579" s="6"/>
      <c r="I579" s="6"/>
      <c r="J579" s="6" t="str">
        <f>IF(A579="","",COUNTIF(RacePerformance!$F:$F,A579))</f>
        <v/>
      </c>
      <c r="K579" s="6" t="str">
        <f>IF(A579="","",IFERROR(AVERAGEIF(RacePerformance!$F:$F,A579,RacePerformance!$I:$I),""))</f>
        <v/>
      </c>
      <c r="L579" s="6" t="str">
        <f>IF(A579="","",IFERROR(AVERAGEIF(RacePerformance!$F:$F,A579,RacePerformance!$J:$J),""))</f>
        <v/>
      </c>
      <c r="M579" s="6" t="str">
        <f>IF(A579="","",IFERROR(AVERAGEIF(RacePerformance!$F:$F,A579,RacePerformance!$K:$K),""))</f>
        <v/>
      </c>
      <c r="N579" s="6" t="str">
        <f>IF(A579="","",COUNTIFS(RacePerformance!$F:$F,A579,RacePerformance!$I:$I,"&lt;=20"))</f>
        <v/>
      </c>
      <c r="O579" s="6" t="str">
        <f>IF(A579="","",COUNTIFS(RacePerformance!$F:$F,A579,RacePerformance!$I:$I,1))</f>
        <v/>
      </c>
      <c r="P579" s="6" t="str">
        <f>IF(A579="","",COUNTIFS(RacePerformance!$F:$F,A579,RacePerformance!$J:$J,"&lt;=3"))</f>
        <v/>
      </c>
    </row>
    <row r="580" spans="5:16" ht="14.25" customHeight="1" x14ac:dyDescent="0.3">
      <c r="E580" s="6"/>
      <c r="I580" s="6"/>
      <c r="J580" s="6" t="str">
        <f>IF(A580="","",COUNTIF(RacePerformance!$F:$F,A580))</f>
        <v/>
      </c>
      <c r="K580" s="6" t="str">
        <f>IF(A580="","",IFERROR(AVERAGEIF(RacePerformance!$F:$F,A580,RacePerformance!$I:$I),""))</f>
        <v/>
      </c>
      <c r="L580" s="6" t="str">
        <f>IF(A580="","",IFERROR(AVERAGEIF(RacePerformance!$F:$F,A580,RacePerformance!$J:$J),""))</f>
        <v/>
      </c>
      <c r="M580" s="6" t="str">
        <f>IF(A580="","",IFERROR(AVERAGEIF(RacePerformance!$F:$F,A580,RacePerformance!$K:$K),""))</f>
        <v/>
      </c>
      <c r="N580" s="6" t="str">
        <f>IF(A580="","",COUNTIFS(RacePerformance!$F:$F,A580,RacePerformance!$I:$I,"&lt;=20"))</f>
        <v/>
      </c>
      <c r="O580" s="6" t="str">
        <f>IF(A580="","",COUNTIFS(RacePerformance!$F:$F,A580,RacePerformance!$I:$I,1))</f>
        <v/>
      </c>
      <c r="P580" s="6" t="str">
        <f>IF(A580="","",COUNTIFS(RacePerformance!$F:$F,A580,RacePerformance!$J:$J,"&lt;=3"))</f>
        <v/>
      </c>
    </row>
    <row r="581" spans="5:16" ht="14.25" customHeight="1" x14ac:dyDescent="0.3">
      <c r="E581" s="6"/>
      <c r="I581" s="6"/>
      <c r="J581" s="6" t="str">
        <f>IF(A581="","",COUNTIF(RacePerformance!$F:$F,A581))</f>
        <v/>
      </c>
      <c r="K581" s="6" t="str">
        <f>IF(A581="","",IFERROR(AVERAGEIF(RacePerformance!$F:$F,A581,RacePerformance!$I:$I),""))</f>
        <v/>
      </c>
      <c r="L581" s="6" t="str">
        <f>IF(A581="","",IFERROR(AVERAGEIF(RacePerformance!$F:$F,A581,RacePerformance!$J:$J),""))</f>
        <v/>
      </c>
      <c r="M581" s="6" t="str">
        <f>IF(A581="","",IFERROR(AVERAGEIF(RacePerformance!$F:$F,A581,RacePerformance!$K:$K),""))</f>
        <v/>
      </c>
      <c r="N581" s="6" t="str">
        <f>IF(A581="","",COUNTIFS(RacePerformance!$F:$F,A581,RacePerformance!$I:$I,"&lt;=20"))</f>
        <v/>
      </c>
      <c r="O581" s="6" t="str">
        <f>IF(A581="","",COUNTIFS(RacePerformance!$F:$F,A581,RacePerformance!$I:$I,1))</f>
        <v/>
      </c>
      <c r="P581" s="6" t="str">
        <f>IF(A581="","",COUNTIFS(RacePerformance!$F:$F,A581,RacePerformance!$J:$J,"&lt;=3"))</f>
        <v/>
      </c>
    </row>
    <row r="582" spans="5:16" ht="14.25" customHeight="1" x14ac:dyDescent="0.3">
      <c r="E582" s="6"/>
      <c r="I582" s="6"/>
      <c r="J582" s="6" t="str">
        <f>IF(A582="","",COUNTIF(RacePerformance!$F:$F,A582))</f>
        <v/>
      </c>
      <c r="K582" s="6" t="str">
        <f>IF(A582="","",IFERROR(AVERAGEIF(RacePerformance!$F:$F,A582,RacePerformance!$I:$I),""))</f>
        <v/>
      </c>
      <c r="L582" s="6" t="str">
        <f>IF(A582="","",IFERROR(AVERAGEIF(RacePerformance!$F:$F,A582,RacePerformance!$J:$J),""))</f>
        <v/>
      </c>
      <c r="M582" s="6" t="str">
        <f>IF(A582="","",IFERROR(AVERAGEIF(RacePerformance!$F:$F,A582,RacePerformance!$K:$K),""))</f>
        <v/>
      </c>
      <c r="N582" s="6" t="str">
        <f>IF(A582="","",COUNTIFS(RacePerformance!$F:$F,A582,RacePerformance!$I:$I,"&lt;=20"))</f>
        <v/>
      </c>
      <c r="O582" s="6" t="str">
        <f>IF(A582="","",COUNTIFS(RacePerformance!$F:$F,A582,RacePerformance!$I:$I,1))</f>
        <v/>
      </c>
      <c r="P582" s="6" t="str">
        <f>IF(A582="","",COUNTIFS(RacePerformance!$F:$F,A582,RacePerformance!$J:$J,"&lt;=3"))</f>
        <v/>
      </c>
    </row>
    <row r="583" spans="5:16" ht="14.25" customHeight="1" x14ac:dyDescent="0.3">
      <c r="E583" s="6"/>
      <c r="I583" s="6"/>
      <c r="J583" s="6" t="str">
        <f>IF(A583="","",COUNTIF(RacePerformance!$F:$F,A583))</f>
        <v/>
      </c>
      <c r="K583" s="6" t="str">
        <f>IF(A583="","",IFERROR(AVERAGEIF(RacePerformance!$F:$F,A583,RacePerformance!$I:$I),""))</f>
        <v/>
      </c>
      <c r="L583" s="6" t="str">
        <f>IF(A583="","",IFERROR(AVERAGEIF(RacePerformance!$F:$F,A583,RacePerformance!$J:$J),""))</f>
        <v/>
      </c>
      <c r="M583" s="6" t="str">
        <f>IF(A583="","",IFERROR(AVERAGEIF(RacePerformance!$F:$F,A583,RacePerformance!$K:$K),""))</f>
        <v/>
      </c>
      <c r="N583" s="6" t="str">
        <f>IF(A583="","",COUNTIFS(RacePerformance!$F:$F,A583,RacePerformance!$I:$I,"&lt;=20"))</f>
        <v/>
      </c>
      <c r="O583" s="6" t="str">
        <f>IF(A583="","",COUNTIFS(RacePerformance!$F:$F,A583,RacePerformance!$I:$I,1))</f>
        <v/>
      </c>
      <c r="P583" s="6" t="str">
        <f>IF(A583="","",COUNTIFS(RacePerformance!$F:$F,A583,RacePerformance!$J:$J,"&lt;=3"))</f>
        <v/>
      </c>
    </row>
    <row r="584" spans="5:16" ht="14.25" customHeight="1" x14ac:dyDescent="0.3">
      <c r="E584" s="6"/>
      <c r="I584" s="6"/>
      <c r="J584" s="6" t="str">
        <f>IF(A584="","",COUNTIF(RacePerformance!$F:$F,A584))</f>
        <v/>
      </c>
      <c r="K584" s="6" t="str">
        <f>IF(A584="","",IFERROR(AVERAGEIF(RacePerformance!$F:$F,A584,RacePerformance!$I:$I),""))</f>
        <v/>
      </c>
      <c r="L584" s="6" t="str">
        <f>IF(A584="","",IFERROR(AVERAGEIF(RacePerformance!$F:$F,A584,RacePerformance!$J:$J),""))</f>
        <v/>
      </c>
      <c r="M584" s="6" t="str">
        <f>IF(A584="","",IFERROR(AVERAGEIF(RacePerformance!$F:$F,A584,RacePerformance!$K:$K),""))</f>
        <v/>
      </c>
      <c r="N584" s="6" t="str">
        <f>IF(A584="","",COUNTIFS(RacePerformance!$F:$F,A584,RacePerformance!$I:$I,"&lt;=20"))</f>
        <v/>
      </c>
      <c r="O584" s="6" t="str">
        <f>IF(A584="","",COUNTIFS(RacePerformance!$F:$F,A584,RacePerformance!$I:$I,1))</f>
        <v/>
      </c>
      <c r="P584" s="6" t="str">
        <f>IF(A584="","",COUNTIFS(RacePerformance!$F:$F,A584,RacePerformance!$J:$J,"&lt;=3"))</f>
        <v/>
      </c>
    </row>
    <row r="585" spans="5:16" ht="14.25" customHeight="1" x14ac:dyDescent="0.3">
      <c r="E585" s="6"/>
      <c r="I585" s="6"/>
      <c r="J585" s="6" t="str">
        <f>IF(A585="","",COUNTIF(RacePerformance!$F:$F,A585))</f>
        <v/>
      </c>
      <c r="K585" s="6" t="str">
        <f>IF(A585="","",IFERROR(AVERAGEIF(RacePerformance!$F:$F,A585,RacePerformance!$I:$I),""))</f>
        <v/>
      </c>
      <c r="L585" s="6" t="str">
        <f>IF(A585="","",IFERROR(AVERAGEIF(RacePerformance!$F:$F,A585,RacePerformance!$J:$J),""))</f>
        <v/>
      </c>
      <c r="M585" s="6" t="str">
        <f>IF(A585="","",IFERROR(AVERAGEIF(RacePerformance!$F:$F,A585,RacePerformance!$K:$K),""))</f>
        <v/>
      </c>
      <c r="N585" s="6" t="str">
        <f>IF(A585="","",COUNTIFS(RacePerformance!$F:$F,A585,RacePerformance!$I:$I,"&lt;=20"))</f>
        <v/>
      </c>
      <c r="O585" s="6" t="str">
        <f>IF(A585="","",COUNTIFS(RacePerformance!$F:$F,A585,RacePerformance!$I:$I,1))</f>
        <v/>
      </c>
      <c r="P585" s="6" t="str">
        <f>IF(A585="","",COUNTIFS(RacePerformance!$F:$F,A585,RacePerformance!$J:$J,"&lt;=3"))</f>
        <v/>
      </c>
    </row>
    <row r="586" spans="5:16" ht="14.25" customHeight="1" x14ac:dyDescent="0.3">
      <c r="E586" s="6"/>
      <c r="I586" s="6"/>
      <c r="J586" s="6" t="str">
        <f>IF(A586="","",COUNTIF(RacePerformance!$F:$F,A586))</f>
        <v/>
      </c>
      <c r="K586" s="6" t="str">
        <f>IF(A586="","",IFERROR(AVERAGEIF(RacePerformance!$F:$F,A586,RacePerformance!$I:$I),""))</f>
        <v/>
      </c>
      <c r="L586" s="6" t="str">
        <f>IF(A586="","",IFERROR(AVERAGEIF(RacePerformance!$F:$F,A586,RacePerformance!$J:$J),""))</f>
        <v/>
      </c>
      <c r="M586" s="6" t="str">
        <f>IF(A586="","",IFERROR(AVERAGEIF(RacePerformance!$F:$F,A586,RacePerformance!$K:$K),""))</f>
        <v/>
      </c>
      <c r="N586" s="6" t="str">
        <f>IF(A586="","",COUNTIFS(RacePerformance!$F:$F,A586,RacePerformance!$I:$I,"&lt;=20"))</f>
        <v/>
      </c>
      <c r="O586" s="6" t="str">
        <f>IF(A586="","",COUNTIFS(RacePerformance!$F:$F,A586,RacePerformance!$I:$I,1))</f>
        <v/>
      </c>
      <c r="P586" s="6" t="str">
        <f>IF(A586="","",COUNTIFS(RacePerformance!$F:$F,A586,RacePerformance!$J:$J,"&lt;=3"))</f>
        <v/>
      </c>
    </row>
    <row r="587" spans="5:16" ht="14.25" customHeight="1" x14ac:dyDescent="0.3">
      <c r="E587" s="6"/>
      <c r="I587" s="6"/>
      <c r="J587" s="6" t="str">
        <f>IF(A587="","",COUNTIF(RacePerformance!$F:$F,A587))</f>
        <v/>
      </c>
      <c r="K587" s="6" t="str">
        <f>IF(A587="","",IFERROR(AVERAGEIF(RacePerformance!$F:$F,A587,RacePerformance!$I:$I),""))</f>
        <v/>
      </c>
      <c r="L587" s="6" t="str">
        <f>IF(A587="","",IFERROR(AVERAGEIF(RacePerformance!$F:$F,A587,RacePerformance!$J:$J),""))</f>
        <v/>
      </c>
      <c r="M587" s="6" t="str">
        <f>IF(A587="","",IFERROR(AVERAGEIF(RacePerformance!$F:$F,A587,RacePerformance!$K:$K),""))</f>
        <v/>
      </c>
      <c r="N587" s="6" t="str">
        <f>IF(A587="","",COUNTIFS(RacePerformance!$F:$F,A587,RacePerformance!$I:$I,"&lt;=20"))</f>
        <v/>
      </c>
      <c r="O587" s="6" t="str">
        <f>IF(A587="","",COUNTIFS(RacePerformance!$F:$F,A587,RacePerformance!$I:$I,1))</f>
        <v/>
      </c>
      <c r="P587" s="6" t="str">
        <f>IF(A587="","",COUNTIFS(RacePerformance!$F:$F,A587,RacePerformance!$J:$J,"&lt;=3"))</f>
        <v/>
      </c>
    </row>
    <row r="588" spans="5:16" ht="14.25" customHeight="1" x14ac:dyDescent="0.3">
      <c r="E588" s="6"/>
      <c r="I588" s="6"/>
      <c r="J588" s="6" t="str">
        <f>IF(A588="","",COUNTIF(RacePerformance!$F:$F,A588))</f>
        <v/>
      </c>
      <c r="K588" s="6" t="str">
        <f>IF(A588="","",IFERROR(AVERAGEIF(RacePerformance!$F:$F,A588,RacePerformance!$I:$I),""))</f>
        <v/>
      </c>
      <c r="L588" s="6" t="str">
        <f>IF(A588="","",IFERROR(AVERAGEIF(RacePerformance!$F:$F,A588,RacePerformance!$J:$J),""))</f>
        <v/>
      </c>
      <c r="M588" s="6" t="str">
        <f>IF(A588="","",IFERROR(AVERAGEIF(RacePerformance!$F:$F,A588,RacePerformance!$K:$K),""))</f>
        <v/>
      </c>
      <c r="N588" s="6" t="str">
        <f>IF(A588="","",COUNTIFS(RacePerformance!$F:$F,A588,RacePerformance!$I:$I,"&lt;=20"))</f>
        <v/>
      </c>
      <c r="O588" s="6" t="str">
        <f>IF(A588="","",COUNTIFS(RacePerformance!$F:$F,A588,RacePerformance!$I:$I,1))</f>
        <v/>
      </c>
      <c r="P588" s="6" t="str">
        <f>IF(A588="","",COUNTIFS(RacePerformance!$F:$F,A588,RacePerformance!$J:$J,"&lt;=3"))</f>
        <v/>
      </c>
    </row>
    <row r="589" spans="5:16" ht="14.25" customHeight="1" x14ac:dyDescent="0.3">
      <c r="E589" s="6"/>
      <c r="I589" s="6"/>
      <c r="J589" s="6" t="str">
        <f>IF(A589="","",COUNTIF(RacePerformance!$F:$F,A589))</f>
        <v/>
      </c>
      <c r="K589" s="6" t="str">
        <f>IF(A589="","",IFERROR(AVERAGEIF(RacePerformance!$F:$F,A589,RacePerformance!$I:$I),""))</f>
        <v/>
      </c>
      <c r="L589" s="6" t="str">
        <f>IF(A589="","",IFERROR(AVERAGEIF(RacePerformance!$F:$F,A589,RacePerformance!$J:$J),""))</f>
        <v/>
      </c>
      <c r="M589" s="6" t="str">
        <f>IF(A589="","",IFERROR(AVERAGEIF(RacePerformance!$F:$F,A589,RacePerformance!$K:$K),""))</f>
        <v/>
      </c>
      <c r="N589" s="6" t="str">
        <f>IF(A589="","",COUNTIFS(RacePerformance!$F:$F,A589,RacePerformance!$I:$I,"&lt;=20"))</f>
        <v/>
      </c>
      <c r="O589" s="6" t="str">
        <f>IF(A589="","",COUNTIFS(RacePerformance!$F:$F,A589,RacePerformance!$I:$I,1))</f>
        <v/>
      </c>
      <c r="P589" s="6" t="str">
        <f>IF(A589="","",COUNTIFS(RacePerformance!$F:$F,A589,RacePerformance!$J:$J,"&lt;=3"))</f>
        <v/>
      </c>
    </row>
    <row r="590" spans="5:16" ht="14.25" customHeight="1" x14ac:dyDescent="0.3">
      <c r="E590" s="6"/>
      <c r="I590" s="6"/>
      <c r="J590" s="6" t="str">
        <f>IF(A590="","",COUNTIF(RacePerformance!$F:$F,A590))</f>
        <v/>
      </c>
      <c r="K590" s="6" t="str">
        <f>IF(A590="","",IFERROR(AVERAGEIF(RacePerformance!$F:$F,A590,RacePerformance!$I:$I),""))</f>
        <v/>
      </c>
      <c r="L590" s="6" t="str">
        <f>IF(A590="","",IFERROR(AVERAGEIF(RacePerformance!$F:$F,A590,RacePerformance!$J:$J),""))</f>
        <v/>
      </c>
      <c r="M590" s="6" t="str">
        <f>IF(A590="","",IFERROR(AVERAGEIF(RacePerformance!$F:$F,A590,RacePerformance!$K:$K),""))</f>
        <v/>
      </c>
      <c r="N590" s="6" t="str">
        <f>IF(A590="","",COUNTIFS(RacePerformance!$F:$F,A590,RacePerformance!$I:$I,"&lt;=20"))</f>
        <v/>
      </c>
      <c r="O590" s="6" t="str">
        <f>IF(A590="","",COUNTIFS(RacePerformance!$F:$F,A590,RacePerformance!$I:$I,1))</f>
        <v/>
      </c>
      <c r="P590" s="6" t="str">
        <f>IF(A590="","",COUNTIFS(RacePerformance!$F:$F,A590,RacePerformance!$J:$J,"&lt;=3"))</f>
        <v/>
      </c>
    </row>
    <row r="591" spans="5:16" ht="14.25" customHeight="1" x14ac:dyDescent="0.3">
      <c r="E591" s="6"/>
      <c r="I591" s="6"/>
      <c r="J591" s="6" t="str">
        <f>IF(A591="","",COUNTIF(RacePerformance!$F:$F,A591))</f>
        <v/>
      </c>
      <c r="K591" s="6" t="str">
        <f>IF(A591="","",IFERROR(AVERAGEIF(RacePerformance!$F:$F,A591,RacePerformance!$I:$I),""))</f>
        <v/>
      </c>
      <c r="L591" s="6" t="str">
        <f>IF(A591="","",IFERROR(AVERAGEIF(RacePerformance!$F:$F,A591,RacePerformance!$J:$J),""))</f>
        <v/>
      </c>
      <c r="M591" s="6" t="str">
        <f>IF(A591="","",IFERROR(AVERAGEIF(RacePerformance!$F:$F,A591,RacePerformance!$K:$K),""))</f>
        <v/>
      </c>
      <c r="N591" s="6" t="str">
        <f>IF(A591="","",COUNTIFS(RacePerformance!$F:$F,A591,RacePerformance!$I:$I,"&lt;=20"))</f>
        <v/>
      </c>
      <c r="O591" s="6" t="str">
        <f>IF(A591="","",COUNTIFS(RacePerformance!$F:$F,A591,RacePerformance!$I:$I,1))</f>
        <v/>
      </c>
      <c r="P591" s="6" t="str">
        <f>IF(A591="","",COUNTIFS(RacePerformance!$F:$F,A591,RacePerformance!$J:$J,"&lt;=3"))</f>
        <v/>
      </c>
    </row>
    <row r="592" spans="5:16" ht="14.25" customHeight="1" x14ac:dyDescent="0.3">
      <c r="E592" s="6"/>
      <c r="I592" s="6"/>
      <c r="J592" s="6" t="str">
        <f>IF(A592="","",COUNTIF(RacePerformance!$F:$F,A592))</f>
        <v/>
      </c>
      <c r="K592" s="6" t="str">
        <f>IF(A592="","",IFERROR(AVERAGEIF(RacePerformance!$F:$F,A592,RacePerformance!$I:$I),""))</f>
        <v/>
      </c>
      <c r="L592" s="6" t="str">
        <f>IF(A592="","",IFERROR(AVERAGEIF(RacePerformance!$F:$F,A592,RacePerformance!$J:$J),""))</f>
        <v/>
      </c>
      <c r="M592" s="6" t="str">
        <f>IF(A592="","",IFERROR(AVERAGEIF(RacePerformance!$F:$F,A592,RacePerformance!$K:$K),""))</f>
        <v/>
      </c>
      <c r="N592" s="6" t="str">
        <f>IF(A592="","",COUNTIFS(RacePerformance!$F:$F,A592,RacePerformance!$I:$I,"&lt;=20"))</f>
        <v/>
      </c>
      <c r="O592" s="6" t="str">
        <f>IF(A592="","",COUNTIFS(RacePerformance!$F:$F,A592,RacePerformance!$I:$I,1))</f>
        <v/>
      </c>
      <c r="P592" s="6" t="str">
        <f>IF(A592="","",COUNTIFS(RacePerformance!$F:$F,A592,RacePerformance!$J:$J,"&lt;=3"))</f>
        <v/>
      </c>
    </row>
    <row r="593" spans="5:16" ht="14.25" customHeight="1" x14ac:dyDescent="0.3">
      <c r="E593" s="6"/>
      <c r="I593" s="6"/>
      <c r="J593" s="6" t="str">
        <f>IF(A593="","",COUNTIF(RacePerformance!$F:$F,A593))</f>
        <v/>
      </c>
      <c r="K593" s="6" t="str">
        <f>IF(A593="","",IFERROR(AVERAGEIF(RacePerformance!$F:$F,A593,RacePerformance!$I:$I),""))</f>
        <v/>
      </c>
      <c r="L593" s="6" t="str">
        <f>IF(A593="","",IFERROR(AVERAGEIF(RacePerformance!$F:$F,A593,RacePerformance!$J:$J),""))</f>
        <v/>
      </c>
      <c r="M593" s="6" t="str">
        <f>IF(A593="","",IFERROR(AVERAGEIF(RacePerformance!$F:$F,A593,RacePerformance!$K:$K),""))</f>
        <v/>
      </c>
      <c r="N593" s="6" t="str">
        <f>IF(A593="","",COUNTIFS(RacePerformance!$F:$F,A593,RacePerformance!$I:$I,"&lt;=20"))</f>
        <v/>
      </c>
      <c r="O593" s="6" t="str">
        <f>IF(A593="","",COUNTIFS(RacePerformance!$F:$F,A593,RacePerformance!$I:$I,1))</f>
        <v/>
      </c>
      <c r="P593" s="6" t="str">
        <f>IF(A593="","",COUNTIFS(RacePerformance!$F:$F,A593,RacePerformance!$J:$J,"&lt;=3"))</f>
        <v/>
      </c>
    </row>
    <row r="594" spans="5:16" ht="14.25" customHeight="1" x14ac:dyDescent="0.3">
      <c r="E594" s="6"/>
      <c r="I594" s="6"/>
      <c r="J594" s="6" t="str">
        <f>IF(A594="","",COUNTIF(RacePerformance!$F:$F,A594))</f>
        <v/>
      </c>
      <c r="K594" s="6" t="str">
        <f>IF(A594="","",IFERROR(AVERAGEIF(RacePerformance!$F:$F,A594,RacePerformance!$I:$I),""))</f>
        <v/>
      </c>
      <c r="L594" s="6" t="str">
        <f>IF(A594="","",IFERROR(AVERAGEIF(RacePerformance!$F:$F,A594,RacePerformance!$J:$J),""))</f>
        <v/>
      </c>
      <c r="M594" s="6" t="str">
        <f>IF(A594="","",IFERROR(AVERAGEIF(RacePerformance!$F:$F,A594,RacePerformance!$K:$K),""))</f>
        <v/>
      </c>
      <c r="N594" s="6" t="str">
        <f>IF(A594="","",COUNTIFS(RacePerformance!$F:$F,A594,RacePerformance!$I:$I,"&lt;=20"))</f>
        <v/>
      </c>
      <c r="O594" s="6" t="str">
        <f>IF(A594="","",COUNTIFS(RacePerformance!$F:$F,A594,RacePerformance!$I:$I,1))</f>
        <v/>
      </c>
      <c r="P594" s="6" t="str">
        <f>IF(A594="","",COUNTIFS(RacePerformance!$F:$F,A594,RacePerformance!$J:$J,"&lt;=3"))</f>
        <v/>
      </c>
    </row>
    <row r="595" spans="5:16" ht="14.25" customHeight="1" x14ac:dyDescent="0.3">
      <c r="E595" s="6"/>
      <c r="I595" s="6"/>
      <c r="J595" s="6" t="str">
        <f>IF(A595="","",COUNTIF(RacePerformance!$F:$F,A595))</f>
        <v/>
      </c>
      <c r="K595" s="6" t="str">
        <f>IF(A595="","",IFERROR(AVERAGEIF(RacePerformance!$F:$F,A595,RacePerformance!$I:$I),""))</f>
        <v/>
      </c>
      <c r="L595" s="6" t="str">
        <f>IF(A595="","",IFERROR(AVERAGEIF(RacePerformance!$F:$F,A595,RacePerformance!$J:$J),""))</f>
        <v/>
      </c>
      <c r="M595" s="6" t="str">
        <f>IF(A595="","",IFERROR(AVERAGEIF(RacePerformance!$F:$F,A595,RacePerformance!$K:$K),""))</f>
        <v/>
      </c>
      <c r="N595" s="6" t="str">
        <f>IF(A595="","",COUNTIFS(RacePerformance!$F:$F,A595,RacePerformance!$I:$I,"&lt;=20"))</f>
        <v/>
      </c>
      <c r="O595" s="6" t="str">
        <f>IF(A595="","",COUNTIFS(RacePerformance!$F:$F,A595,RacePerformance!$I:$I,1))</f>
        <v/>
      </c>
      <c r="P595" s="6" t="str">
        <f>IF(A595="","",COUNTIFS(RacePerformance!$F:$F,A595,RacePerformance!$J:$J,"&lt;=3"))</f>
        <v/>
      </c>
    </row>
    <row r="596" spans="5:16" ht="14.25" customHeight="1" x14ac:dyDescent="0.3">
      <c r="E596" s="6"/>
      <c r="I596" s="6"/>
      <c r="J596" s="6" t="str">
        <f>IF(A596="","",COUNTIF(RacePerformance!$F:$F,A596))</f>
        <v/>
      </c>
      <c r="K596" s="6" t="str">
        <f>IF(A596="","",IFERROR(AVERAGEIF(RacePerformance!$F:$F,A596,RacePerformance!$I:$I),""))</f>
        <v/>
      </c>
      <c r="L596" s="6" t="str">
        <f>IF(A596="","",IFERROR(AVERAGEIF(RacePerformance!$F:$F,A596,RacePerformance!$J:$J),""))</f>
        <v/>
      </c>
      <c r="M596" s="6" t="str">
        <f>IF(A596="","",IFERROR(AVERAGEIF(RacePerformance!$F:$F,A596,RacePerformance!$K:$K),""))</f>
        <v/>
      </c>
      <c r="N596" s="6" t="str">
        <f>IF(A596="","",COUNTIFS(RacePerformance!$F:$F,A596,RacePerformance!$I:$I,"&lt;=20"))</f>
        <v/>
      </c>
      <c r="O596" s="6" t="str">
        <f>IF(A596="","",COUNTIFS(RacePerformance!$F:$F,A596,RacePerformance!$I:$I,1))</f>
        <v/>
      </c>
      <c r="P596" s="6" t="str">
        <f>IF(A596="","",COUNTIFS(RacePerformance!$F:$F,A596,RacePerformance!$J:$J,"&lt;=3"))</f>
        <v/>
      </c>
    </row>
    <row r="597" spans="5:16" ht="14.25" customHeight="1" x14ac:dyDescent="0.3">
      <c r="E597" s="6"/>
      <c r="I597" s="6"/>
      <c r="J597" s="6" t="str">
        <f>IF(A597="","",COUNTIF(RacePerformance!$F:$F,A597))</f>
        <v/>
      </c>
      <c r="K597" s="6" t="str">
        <f>IF(A597="","",IFERROR(AVERAGEIF(RacePerformance!$F:$F,A597,RacePerformance!$I:$I),""))</f>
        <v/>
      </c>
      <c r="L597" s="6" t="str">
        <f>IF(A597="","",IFERROR(AVERAGEIF(RacePerformance!$F:$F,A597,RacePerformance!$J:$J),""))</f>
        <v/>
      </c>
      <c r="M597" s="6" t="str">
        <f>IF(A597="","",IFERROR(AVERAGEIF(RacePerformance!$F:$F,A597,RacePerformance!$K:$K),""))</f>
        <v/>
      </c>
      <c r="N597" s="6" t="str">
        <f>IF(A597="","",COUNTIFS(RacePerformance!$F:$F,A597,RacePerformance!$I:$I,"&lt;=20"))</f>
        <v/>
      </c>
      <c r="O597" s="6" t="str">
        <f>IF(A597="","",COUNTIFS(RacePerformance!$F:$F,A597,RacePerformance!$I:$I,1))</f>
        <v/>
      </c>
      <c r="P597" s="6" t="str">
        <f>IF(A597="","",COUNTIFS(RacePerformance!$F:$F,A597,RacePerformance!$J:$J,"&lt;=3"))</f>
        <v/>
      </c>
    </row>
    <row r="598" spans="5:16" ht="14.25" customHeight="1" x14ac:dyDescent="0.3">
      <c r="E598" s="6"/>
      <c r="I598" s="6"/>
      <c r="J598" s="6" t="str">
        <f>IF(A598="","",COUNTIF(RacePerformance!$F:$F,A598))</f>
        <v/>
      </c>
      <c r="K598" s="6" t="str">
        <f>IF(A598="","",IFERROR(AVERAGEIF(RacePerformance!$F:$F,A598,RacePerformance!$I:$I),""))</f>
        <v/>
      </c>
      <c r="L598" s="6" t="str">
        <f>IF(A598="","",IFERROR(AVERAGEIF(RacePerformance!$F:$F,A598,RacePerformance!$J:$J),""))</f>
        <v/>
      </c>
      <c r="M598" s="6" t="str">
        <f>IF(A598="","",IFERROR(AVERAGEIF(RacePerformance!$F:$F,A598,RacePerformance!$K:$K),""))</f>
        <v/>
      </c>
      <c r="N598" s="6" t="str">
        <f>IF(A598="","",COUNTIFS(RacePerformance!$F:$F,A598,RacePerformance!$I:$I,"&lt;=20"))</f>
        <v/>
      </c>
      <c r="O598" s="6" t="str">
        <f>IF(A598="","",COUNTIFS(RacePerformance!$F:$F,A598,RacePerformance!$I:$I,1))</f>
        <v/>
      </c>
      <c r="P598" s="6" t="str">
        <f>IF(A598="","",COUNTIFS(RacePerformance!$F:$F,A598,RacePerformance!$J:$J,"&lt;=3"))</f>
        <v/>
      </c>
    </row>
    <row r="599" spans="5:16" ht="14.25" customHeight="1" x14ac:dyDescent="0.3">
      <c r="E599" s="6"/>
      <c r="I599" s="6"/>
      <c r="J599" s="6" t="str">
        <f>IF(A599="","",COUNTIF(RacePerformance!$F:$F,A599))</f>
        <v/>
      </c>
      <c r="K599" s="6" t="str">
        <f>IF(A599="","",IFERROR(AVERAGEIF(RacePerformance!$F:$F,A599,RacePerformance!$I:$I),""))</f>
        <v/>
      </c>
      <c r="L599" s="6" t="str">
        <f>IF(A599="","",IFERROR(AVERAGEIF(RacePerformance!$F:$F,A599,RacePerformance!$J:$J),""))</f>
        <v/>
      </c>
      <c r="M599" s="6" t="str">
        <f>IF(A599="","",IFERROR(AVERAGEIF(RacePerformance!$F:$F,A599,RacePerformance!$K:$K),""))</f>
        <v/>
      </c>
      <c r="N599" s="6" t="str">
        <f>IF(A599="","",COUNTIFS(RacePerformance!$F:$F,A599,RacePerformance!$I:$I,"&lt;=20"))</f>
        <v/>
      </c>
      <c r="O599" s="6" t="str">
        <f>IF(A599="","",COUNTIFS(RacePerformance!$F:$F,A599,RacePerformance!$I:$I,1))</f>
        <v/>
      </c>
      <c r="P599" s="6" t="str">
        <f>IF(A599="","",COUNTIFS(RacePerformance!$F:$F,A599,RacePerformance!$J:$J,"&lt;=3"))</f>
        <v/>
      </c>
    </row>
    <row r="600" spans="5:16" ht="14.25" customHeight="1" x14ac:dyDescent="0.3">
      <c r="E600" s="6"/>
      <c r="I600" s="6"/>
      <c r="J600" s="6" t="str">
        <f>IF(A600="","",COUNTIF(RacePerformance!$F:$F,A600))</f>
        <v/>
      </c>
      <c r="K600" s="6" t="str">
        <f>IF(A600="","",IFERROR(AVERAGEIF(RacePerformance!$F:$F,A600,RacePerformance!$I:$I),""))</f>
        <v/>
      </c>
      <c r="L600" s="6" t="str">
        <f>IF(A600="","",IFERROR(AVERAGEIF(RacePerformance!$F:$F,A600,RacePerformance!$J:$J),""))</f>
        <v/>
      </c>
      <c r="M600" s="6" t="str">
        <f>IF(A600="","",IFERROR(AVERAGEIF(RacePerformance!$F:$F,A600,RacePerformance!$K:$K),""))</f>
        <v/>
      </c>
      <c r="N600" s="6" t="str">
        <f>IF(A600="","",COUNTIFS(RacePerformance!$F:$F,A600,RacePerformance!$I:$I,"&lt;=20"))</f>
        <v/>
      </c>
      <c r="O600" s="6" t="str">
        <f>IF(A600="","",COUNTIFS(RacePerformance!$F:$F,A600,RacePerformance!$I:$I,1))</f>
        <v/>
      </c>
      <c r="P600" s="6" t="str">
        <f>IF(A600="","",COUNTIFS(RacePerformance!$F:$F,A600,RacePerformance!$J:$J,"&lt;=3"))</f>
        <v/>
      </c>
    </row>
    <row r="601" spans="5:16" ht="14.25" customHeight="1" x14ac:dyDescent="0.3">
      <c r="E601" s="6"/>
      <c r="I601" s="6"/>
      <c r="J601" s="6" t="str">
        <f>IF(A601="","",COUNTIF(RacePerformance!$F:$F,A601))</f>
        <v/>
      </c>
      <c r="K601" s="6" t="str">
        <f>IF(A601="","",IFERROR(AVERAGEIF(RacePerformance!$F:$F,A601,RacePerformance!$I:$I),""))</f>
        <v/>
      </c>
      <c r="L601" s="6" t="str">
        <f>IF(A601="","",IFERROR(AVERAGEIF(RacePerformance!$F:$F,A601,RacePerformance!$J:$J),""))</f>
        <v/>
      </c>
      <c r="M601" s="6" t="str">
        <f>IF(A601="","",IFERROR(AVERAGEIF(RacePerformance!$F:$F,A601,RacePerformance!$K:$K),""))</f>
        <v/>
      </c>
      <c r="N601" s="6" t="str">
        <f>IF(A601="","",COUNTIFS(RacePerformance!$F:$F,A601,RacePerformance!$I:$I,"&lt;=20"))</f>
        <v/>
      </c>
      <c r="O601" s="6" t="str">
        <f>IF(A601="","",COUNTIFS(RacePerformance!$F:$F,A601,RacePerformance!$I:$I,1))</f>
        <v/>
      </c>
      <c r="P601" s="6" t="str">
        <f>IF(A601="","",COUNTIFS(RacePerformance!$F:$F,A601,RacePerformance!$J:$J,"&lt;=3"))</f>
        <v/>
      </c>
    </row>
    <row r="602" spans="5:16" ht="14.25" customHeight="1" x14ac:dyDescent="0.3">
      <c r="E602" s="6"/>
      <c r="I602" s="6"/>
      <c r="J602" s="6" t="str">
        <f>IF(A602="","",COUNTIF(RacePerformance!$F:$F,A602))</f>
        <v/>
      </c>
      <c r="K602" s="6" t="str">
        <f>IF(A602="","",IFERROR(AVERAGEIF(RacePerformance!$F:$F,A602,RacePerformance!$I:$I),""))</f>
        <v/>
      </c>
      <c r="L602" s="6" t="str">
        <f>IF(A602="","",IFERROR(AVERAGEIF(RacePerformance!$F:$F,A602,RacePerformance!$J:$J),""))</f>
        <v/>
      </c>
      <c r="M602" s="6" t="str">
        <f>IF(A602="","",IFERROR(AVERAGEIF(RacePerformance!$F:$F,A602,RacePerformance!$K:$K),""))</f>
        <v/>
      </c>
      <c r="N602" s="6" t="str">
        <f>IF(A602="","",COUNTIFS(RacePerformance!$F:$F,A602,RacePerformance!$I:$I,"&lt;=20"))</f>
        <v/>
      </c>
      <c r="O602" s="6" t="str">
        <f>IF(A602="","",COUNTIFS(RacePerformance!$F:$F,A602,RacePerformance!$I:$I,1))</f>
        <v/>
      </c>
      <c r="P602" s="6" t="str">
        <f>IF(A602="","",COUNTIFS(RacePerformance!$F:$F,A602,RacePerformance!$J:$J,"&lt;=3"))</f>
        <v/>
      </c>
    </row>
    <row r="603" spans="5:16" ht="14.25" customHeight="1" x14ac:dyDescent="0.3">
      <c r="E603" s="6"/>
      <c r="I603" s="6"/>
      <c r="J603" s="6" t="str">
        <f>IF(A603="","",COUNTIF(RacePerformance!$F:$F,A603))</f>
        <v/>
      </c>
      <c r="K603" s="6" t="str">
        <f>IF(A603="","",IFERROR(AVERAGEIF(RacePerformance!$F:$F,A603,RacePerformance!$I:$I),""))</f>
        <v/>
      </c>
      <c r="L603" s="6" t="str">
        <f>IF(A603="","",IFERROR(AVERAGEIF(RacePerformance!$F:$F,A603,RacePerformance!$J:$J),""))</f>
        <v/>
      </c>
      <c r="M603" s="6" t="str">
        <f>IF(A603="","",IFERROR(AVERAGEIF(RacePerformance!$F:$F,A603,RacePerformance!$K:$K),""))</f>
        <v/>
      </c>
      <c r="N603" s="6" t="str">
        <f>IF(A603="","",COUNTIFS(RacePerformance!$F:$F,A603,RacePerformance!$I:$I,"&lt;=20"))</f>
        <v/>
      </c>
      <c r="O603" s="6" t="str">
        <f>IF(A603="","",COUNTIFS(RacePerformance!$F:$F,A603,RacePerformance!$I:$I,1))</f>
        <v/>
      </c>
      <c r="P603" s="6" t="str">
        <f>IF(A603="","",COUNTIFS(RacePerformance!$F:$F,A603,RacePerformance!$J:$J,"&lt;=3"))</f>
        <v/>
      </c>
    </row>
    <row r="604" spans="5:16" ht="14.25" customHeight="1" x14ac:dyDescent="0.3">
      <c r="E604" s="6"/>
      <c r="I604" s="6"/>
      <c r="J604" s="6" t="str">
        <f>IF(A604="","",COUNTIF(RacePerformance!$F:$F,A604))</f>
        <v/>
      </c>
      <c r="K604" s="6" t="str">
        <f>IF(A604="","",IFERROR(AVERAGEIF(RacePerformance!$F:$F,A604,RacePerformance!$I:$I),""))</f>
        <v/>
      </c>
      <c r="L604" s="6" t="str">
        <f>IF(A604="","",IFERROR(AVERAGEIF(RacePerformance!$F:$F,A604,RacePerformance!$J:$J),""))</f>
        <v/>
      </c>
      <c r="M604" s="6" t="str">
        <f>IF(A604="","",IFERROR(AVERAGEIF(RacePerformance!$F:$F,A604,RacePerformance!$K:$K),""))</f>
        <v/>
      </c>
      <c r="N604" s="6" t="str">
        <f>IF(A604="","",COUNTIFS(RacePerformance!$F:$F,A604,RacePerformance!$I:$I,"&lt;=20"))</f>
        <v/>
      </c>
      <c r="O604" s="6" t="str">
        <f>IF(A604="","",COUNTIFS(RacePerformance!$F:$F,A604,RacePerformance!$I:$I,1))</f>
        <v/>
      </c>
      <c r="P604" s="6" t="str">
        <f>IF(A604="","",COUNTIFS(RacePerformance!$F:$F,A604,RacePerformance!$J:$J,"&lt;=3"))</f>
        <v/>
      </c>
    </row>
    <row r="605" spans="5:16" ht="14.25" customHeight="1" x14ac:dyDescent="0.3">
      <c r="E605" s="6"/>
      <c r="I605" s="6"/>
      <c r="J605" s="6" t="str">
        <f>IF(A605="","",COUNTIF(RacePerformance!$F:$F,A605))</f>
        <v/>
      </c>
      <c r="K605" s="6" t="str">
        <f>IF(A605="","",IFERROR(AVERAGEIF(RacePerformance!$F:$F,A605,RacePerformance!$I:$I),""))</f>
        <v/>
      </c>
      <c r="L605" s="6" t="str">
        <f>IF(A605="","",IFERROR(AVERAGEIF(RacePerformance!$F:$F,A605,RacePerformance!$J:$J),""))</f>
        <v/>
      </c>
      <c r="M605" s="6" t="str">
        <f>IF(A605="","",IFERROR(AVERAGEIF(RacePerformance!$F:$F,A605,RacePerformance!$K:$K),""))</f>
        <v/>
      </c>
      <c r="N605" s="6" t="str">
        <f>IF(A605="","",COUNTIFS(RacePerformance!$F:$F,A605,RacePerformance!$I:$I,"&lt;=20"))</f>
        <v/>
      </c>
      <c r="O605" s="6" t="str">
        <f>IF(A605="","",COUNTIFS(RacePerformance!$F:$F,A605,RacePerformance!$I:$I,1))</f>
        <v/>
      </c>
      <c r="P605" s="6" t="str">
        <f>IF(A605="","",COUNTIFS(RacePerformance!$F:$F,A605,RacePerformance!$J:$J,"&lt;=3"))</f>
        <v/>
      </c>
    </row>
    <row r="606" spans="5:16" ht="14.25" customHeight="1" x14ac:dyDescent="0.3">
      <c r="E606" s="6"/>
      <c r="I606" s="6"/>
      <c r="J606" s="6" t="str">
        <f>IF(A606="","",COUNTIF(RacePerformance!$F:$F,A606))</f>
        <v/>
      </c>
      <c r="K606" s="6" t="str">
        <f>IF(A606="","",IFERROR(AVERAGEIF(RacePerformance!$F:$F,A606,RacePerformance!$I:$I),""))</f>
        <v/>
      </c>
      <c r="L606" s="6" t="str">
        <f>IF(A606="","",IFERROR(AVERAGEIF(RacePerformance!$F:$F,A606,RacePerformance!$J:$J),""))</f>
        <v/>
      </c>
      <c r="M606" s="6" t="str">
        <f>IF(A606="","",IFERROR(AVERAGEIF(RacePerformance!$F:$F,A606,RacePerformance!$K:$K),""))</f>
        <v/>
      </c>
      <c r="N606" s="6" t="str">
        <f>IF(A606="","",COUNTIFS(RacePerformance!$F:$F,A606,RacePerformance!$I:$I,"&lt;=20"))</f>
        <v/>
      </c>
      <c r="O606" s="6" t="str">
        <f>IF(A606="","",COUNTIFS(RacePerformance!$F:$F,A606,RacePerformance!$I:$I,1))</f>
        <v/>
      </c>
      <c r="P606" s="6" t="str">
        <f>IF(A606="","",COUNTIFS(RacePerformance!$F:$F,A606,RacePerformance!$J:$J,"&lt;=3"))</f>
        <v/>
      </c>
    </row>
    <row r="607" spans="5:16" ht="14.25" customHeight="1" x14ac:dyDescent="0.3">
      <c r="E607" s="6"/>
      <c r="I607" s="6"/>
      <c r="J607" s="6" t="str">
        <f>IF(A607="","",COUNTIF(RacePerformance!$F:$F,A607))</f>
        <v/>
      </c>
      <c r="K607" s="6" t="str">
        <f>IF(A607="","",IFERROR(AVERAGEIF(RacePerformance!$F:$F,A607,RacePerformance!$I:$I),""))</f>
        <v/>
      </c>
      <c r="L607" s="6" t="str">
        <f>IF(A607="","",IFERROR(AVERAGEIF(RacePerformance!$F:$F,A607,RacePerformance!$J:$J),""))</f>
        <v/>
      </c>
      <c r="M607" s="6" t="str">
        <f>IF(A607="","",IFERROR(AVERAGEIF(RacePerformance!$F:$F,A607,RacePerformance!$K:$K),""))</f>
        <v/>
      </c>
      <c r="N607" s="6" t="str">
        <f>IF(A607="","",COUNTIFS(RacePerformance!$F:$F,A607,RacePerformance!$I:$I,"&lt;=20"))</f>
        <v/>
      </c>
      <c r="O607" s="6" t="str">
        <f>IF(A607="","",COUNTIFS(RacePerformance!$F:$F,A607,RacePerformance!$I:$I,1))</f>
        <v/>
      </c>
      <c r="P607" s="6" t="str">
        <f>IF(A607="","",COUNTIFS(RacePerformance!$F:$F,A607,RacePerformance!$J:$J,"&lt;=3"))</f>
        <v/>
      </c>
    </row>
    <row r="608" spans="5:16" ht="14.25" customHeight="1" x14ac:dyDescent="0.3">
      <c r="E608" s="6"/>
      <c r="I608" s="6"/>
      <c r="J608" s="6" t="str">
        <f>IF(A608="","",COUNTIF(RacePerformance!$F:$F,A608))</f>
        <v/>
      </c>
      <c r="K608" s="6" t="str">
        <f>IF(A608="","",IFERROR(AVERAGEIF(RacePerformance!$F:$F,A608,RacePerformance!$I:$I),""))</f>
        <v/>
      </c>
      <c r="L608" s="6" t="str">
        <f>IF(A608="","",IFERROR(AVERAGEIF(RacePerformance!$F:$F,A608,RacePerformance!$J:$J),""))</f>
        <v/>
      </c>
      <c r="M608" s="6" t="str">
        <f>IF(A608="","",IFERROR(AVERAGEIF(RacePerformance!$F:$F,A608,RacePerformance!$K:$K),""))</f>
        <v/>
      </c>
      <c r="N608" s="6" t="str">
        <f>IF(A608="","",COUNTIFS(RacePerformance!$F:$F,A608,RacePerformance!$I:$I,"&lt;=20"))</f>
        <v/>
      </c>
      <c r="O608" s="6" t="str">
        <f>IF(A608="","",COUNTIFS(RacePerformance!$F:$F,A608,RacePerformance!$I:$I,1))</f>
        <v/>
      </c>
      <c r="P608" s="6" t="str">
        <f>IF(A608="","",COUNTIFS(RacePerformance!$F:$F,A608,RacePerformance!$J:$J,"&lt;=3"))</f>
        <v/>
      </c>
    </row>
    <row r="609" spans="5:16" ht="14.25" customHeight="1" x14ac:dyDescent="0.3">
      <c r="E609" s="6"/>
      <c r="I609" s="6"/>
      <c r="J609" s="6" t="str">
        <f>IF(A609="","",COUNTIF(RacePerformance!$F:$F,A609))</f>
        <v/>
      </c>
      <c r="K609" s="6" t="str">
        <f>IF(A609="","",IFERROR(AVERAGEIF(RacePerformance!$F:$F,A609,RacePerformance!$I:$I),""))</f>
        <v/>
      </c>
      <c r="L609" s="6" t="str">
        <f>IF(A609="","",IFERROR(AVERAGEIF(RacePerformance!$F:$F,A609,RacePerformance!$J:$J),""))</f>
        <v/>
      </c>
      <c r="M609" s="6" t="str">
        <f>IF(A609="","",IFERROR(AVERAGEIF(RacePerformance!$F:$F,A609,RacePerformance!$K:$K),""))</f>
        <v/>
      </c>
      <c r="N609" s="6" t="str">
        <f>IF(A609="","",COUNTIFS(RacePerformance!$F:$F,A609,RacePerformance!$I:$I,"&lt;=20"))</f>
        <v/>
      </c>
      <c r="O609" s="6" t="str">
        <f>IF(A609="","",COUNTIFS(RacePerformance!$F:$F,A609,RacePerformance!$I:$I,1))</f>
        <v/>
      </c>
      <c r="P609" s="6" t="str">
        <f>IF(A609="","",COUNTIFS(RacePerformance!$F:$F,A609,RacePerformance!$J:$J,"&lt;=3"))</f>
        <v/>
      </c>
    </row>
    <row r="610" spans="5:16" ht="14.25" customHeight="1" x14ac:dyDescent="0.3">
      <c r="E610" s="6"/>
      <c r="I610" s="6"/>
      <c r="J610" s="6" t="str">
        <f>IF(A610="","",COUNTIF(RacePerformance!$F:$F,A610))</f>
        <v/>
      </c>
      <c r="K610" s="6" t="str">
        <f>IF(A610="","",IFERROR(AVERAGEIF(RacePerformance!$F:$F,A610,RacePerformance!$I:$I),""))</f>
        <v/>
      </c>
      <c r="L610" s="6" t="str">
        <f>IF(A610="","",IFERROR(AVERAGEIF(RacePerformance!$F:$F,A610,RacePerformance!$J:$J),""))</f>
        <v/>
      </c>
      <c r="M610" s="6" t="str">
        <f>IF(A610="","",IFERROR(AVERAGEIF(RacePerformance!$F:$F,A610,RacePerformance!$K:$K),""))</f>
        <v/>
      </c>
      <c r="N610" s="6" t="str">
        <f>IF(A610="","",COUNTIFS(RacePerformance!$F:$F,A610,RacePerformance!$I:$I,"&lt;=20"))</f>
        <v/>
      </c>
      <c r="O610" s="6" t="str">
        <f>IF(A610="","",COUNTIFS(RacePerformance!$F:$F,A610,RacePerformance!$I:$I,1))</f>
        <v/>
      </c>
      <c r="P610" s="6" t="str">
        <f>IF(A610="","",COUNTIFS(RacePerformance!$F:$F,A610,RacePerformance!$J:$J,"&lt;=3"))</f>
        <v/>
      </c>
    </row>
    <row r="611" spans="5:16" ht="14.25" customHeight="1" x14ac:dyDescent="0.3">
      <c r="E611" s="6"/>
      <c r="I611" s="6"/>
      <c r="J611" s="6" t="str">
        <f>IF(A611="","",COUNTIF(RacePerformance!$F:$F,A611))</f>
        <v/>
      </c>
      <c r="K611" s="6" t="str">
        <f>IF(A611="","",IFERROR(AVERAGEIF(RacePerformance!$F:$F,A611,RacePerformance!$I:$I),""))</f>
        <v/>
      </c>
      <c r="L611" s="6" t="str">
        <f>IF(A611="","",IFERROR(AVERAGEIF(RacePerformance!$F:$F,A611,RacePerformance!$J:$J),""))</f>
        <v/>
      </c>
      <c r="M611" s="6" t="str">
        <f>IF(A611="","",IFERROR(AVERAGEIF(RacePerformance!$F:$F,A611,RacePerformance!$K:$K),""))</f>
        <v/>
      </c>
      <c r="N611" s="6" t="str">
        <f>IF(A611="","",COUNTIFS(RacePerformance!$F:$F,A611,RacePerformance!$I:$I,"&lt;=20"))</f>
        <v/>
      </c>
      <c r="O611" s="6" t="str">
        <f>IF(A611="","",COUNTIFS(RacePerformance!$F:$F,A611,RacePerformance!$I:$I,1))</f>
        <v/>
      </c>
      <c r="P611" s="6" t="str">
        <f>IF(A611="","",COUNTIFS(RacePerformance!$F:$F,A611,RacePerformance!$J:$J,"&lt;=3"))</f>
        <v/>
      </c>
    </row>
    <row r="612" spans="5:16" ht="14.25" customHeight="1" x14ac:dyDescent="0.3">
      <c r="E612" s="6"/>
      <c r="I612" s="6"/>
      <c r="J612" s="6" t="str">
        <f>IF(A612="","",COUNTIF(RacePerformance!$F:$F,A612))</f>
        <v/>
      </c>
      <c r="K612" s="6" t="str">
        <f>IF(A612="","",IFERROR(AVERAGEIF(RacePerformance!$F:$F,A612,RacePerformance!$I:$I),""))</f>
        <v/>
      </c>
      <c r="L612" s="6" t="str">
        <f>IF(A612="","",IFERROR(AVERAGEIF(RacePerformance!$F:$F,A612,RacePerformance!$J:$J),""))</f>
        <v/>
      </c>
      <c r="M612" s="6" t="str">
        <f>IF(A612="","",IFERROR(AVERAGEIF(RacePerformance!$F:$F,A612,RacePerformance!$K:$K),""))</f>
        <v/>
      </c>
      <c r="N612" s="6" t="str">
        <f>IF(A612="","",COUNTIFS(RacePerformance!$F:$F,A612,RacePerformance!$I:$I,"&lt;=20"))</f>
        <v/>
      </c>
      <c r="O612" s="6" t="str">
        <f>IF(A612="","",COUNTIFS(RacePerformance!$F:$F,A612,RacePerformance!$I:$I,1))</f>
        <v/>
      </c>
      <c r="P612" s="6" t="str">
        <f>IF(A612="","",COUNTIFS(RacePerformance!$F:$F,A612,RacePerformance!$J:$J,"&lt;=3"))</f>
        <v/>
      </c>
    </row>
    <row r="613" spans="5:16" ht="14.25" customHeight="1" x14ac:dyDescent="0.3">
      <c r="E613" s="6"/>
      <c r="I613" s="6"/>
      <c r="J613" s="6" t="str">
        <f>IF(A613="","",COUNTIF(RacePerformance!$F:$F,A613))</f>
        <v/>
      </c>
      <c r="K613" s="6" t="str">
        <f>IF(A613="","",IFERROR(AVERAGEIF(RacePerformance!$F:$F,A613,RacePerformance!$I:$I),""))</f>
        <v/>
      </c>
      <c r="L613" s="6" t="str">
        <f>IF(A613="","",IFERROR(AVERAGEIF(RacePerformance!$F:$F,A613,RacePerformance!$J:$J),""))</f>
        <v/>
      </c>
      <c r="M613" s="6" t="str">
        <f>IF(A613="","",IFERROR(AVERAGEIF(RacePerformance!$F:$F,A613,RacePerformance!$K:$K),""))</f>
        <v/>
      </c>
      <c r="N613" s="6" t="str">
        <f>IF(A613="","",COUNTIFS(RacePerformance!$F:$F,A613,RacePerformance!$I:$I,"&lt;=20"))</f>
        <v/>
      </c>
      <c r="O613" s="6" t="str">
        <f>IF(A613="","",COUNTIFS(RacePerformance!$F:$F,A613,RacePerformance!$I:$I,1))</f>
        <v/>
      </c>
      <c r="P613" s="6" t="str">
        <f>IF(A613="","",COUNTIFS(RacePerformance!$F:$F,A613,RacePerformance!$J:$J,"&lt;=3"))</f>
        <v/>
      </c>
    </row>
    <row r="614" spans="5:16" ht="14.25" customHeight="1" x14ac:dyDescent="0.3">
      <c r="E614" s="6"/>
      <c r="I614" s="6"/>
      <c r="J614" s="6" t="str">
        <f>IF(A614="","",COUNTIF(RacePerformance!$F:$F,A614))</f>
        <v/>
      </c>
      <c r="K614" s="6" t="str">
        <f>IF(A614="","",IFERROR(AVERAGEIF(RacePerformance!$F:$F,A614,RacePerformance!$I:$I),""))</f>
        <v/>
      </c>
      <c r="L614" s="6" t="str">
        <f>IF(A614="","",IFERROR(AVERAGEIF(RacePerformance!$F:$F,A614,RacePerformance!$J:$J),""))</f>
        <v/>
      </c>
      <c r="M614" s="6" t="str">
        <f>IF(A614="","",IFERROR(AVERAGEIF(RacePerformance!$F:$F,A614,RacePerformance!$K:$K),""))</f>
        <v/>
      </c>
      <c r="N614" s="6" t="str">
        <f>IF(A614="","",COUNTIFS(RacePerformance!$F:$F,A614,RacePerformance!$I:$I,"&lt;=20"))</f>
        <v/>
      </c>
      <c r="O614" s="6" t="str">
        <f>IF(A614="","",COUNTIFS(RacePerformance!$F:$F,A614,RacePerformance!$I:$I,1))</f>
        <v/>
      </c>
      <c r="P614" s="6" t="str">
        <f>IF(A614="","",COUNTIFS(RacePerformance!$F:$F,A614,RacePerformance!$J:$J,"&lt;=3"))</f>
        <v/>
      </c>
    </row>
    <row r="615" spans="5:16" ht="14.25" customHeight="1" x14ac:dyDescent="0.3">
      <c r="E615" s="6"/>
      <c r="I615" s="6"/>
      <c r="J615" s="6" t="str">
        <f>IF(A615="","",COUNTIF(RacePerformance!$F:$F,A615))</f>
        <v/>
      </c>
      <c r="K615" s="6" t="str">
        <f>IF(A615="","",IFERROR(AVERAGEIF(RacePerformance!$F:$F,A615,RacePerformance!$I:$I),""))</f>
        <v/>
      </c>
      <c r="L615" s="6" t="str">
        <f>IF(A615="","",IFERROR(AVERAGEIF(RacePerformance!$F:$F,A615,RacePerformance!$J:$J),""))</f>
        <v/>
      </c>
      <c r="M615" s="6" t="str">
        <f>IF(A615="","",IFERROR(AVERAGEIF(RacePerformance!$F:$F,A615,RacePerformance!$K:$K),""))</f>
        <v/>
      </c>
      <c r="N615" s="6" t="str">
        <f>IF(A615="","",COUNTIFS(RacePerformance!$F:$F,A615,RacePerformance!$I:$I,"&lt;=20"))</f>
        <v/>
      </c>
      <c r="O615" s="6" t="str">
        <f>IF(A615="","",COUNTIFS(RacePerformance!$F:$F,A615,RacePerformance!$I:$I,1))</f>
        <v/>
      </c>
      <c r="P615" s="6" t="str">
        <f>IF(A615="","",COUNTIFS(RacePerformance!$F:$F,A615,RacePerformance!$J:$J,"&lt;=3"))</f>
        <v/>
      </c>
    </row>
    <row r="616" spans="5:16" ht="14.25" customHeight="1" x14ac:dyDescent="0.3">
      <c r="E616" s="6"/>
      <c r="I616" s="6"/>
      <c r="J616" s="6" t="str">
        <f>IF(A616="","",COUNTIF(RacePerformance!$F:$F,A616))</f>
        <v/>
      </c>
      <c r="K616" s="6" t="str">
        <f>IF(A616="","",IFERROR(AVERAGEIF(RacePerformance!$F:$F,A616,RacePerformance!$I:$I),""))</f>
        <v/>
      </c>
      <c r="L616" s="6" t="str">
        <f>IF(A616="","",IFERROR(AVERAGEIF(RacePerformance!$F:$F,A616,RacePerformance!$J:$J),""))</f>
        <v/>
      </c>
      <c r="M616" s="6" t="str">
        <f>IF(A616="","",IFERROR(AVERAGEIF(RacePerformance!$F:$F,A616,RacePerformance!$K:$K),""))</f>
        <v/>
      </c>
      <c r="N616" s="6" t="str">
        <f>IF(A616="","",COUNTIFS(RacePerformance!$F:$F,A616,RacePerformance!$I:$I,"&lt;=20"))</f>
        <v/>
      </c>
      <c r="O616" s="6" t="str">
        <f>IF(A616="","",COUNTIFS(RacePerformance!$F:$F,A616,RacePerformance!$I:$I,1))</f>
        <v/>
      </c>
      <c r="P616" s="6" t="str">
        <f>IF(A616="","",COUNTIFS(RacePerformance!$F:$F,A616,RacePerformance!$J:$J,"&lt;=3"))</f>
        <v/>
      </c>
    </row>
    <row r="617" spans="5:16" ht="14.25" customHeight="1" x14ac:dyDescent="0.3">
      <c r="E617" s="6"/>
      <c r="I617" s="6"/>
      <c r="J617" s="6" t="str">
        <f>IF(A617="","",COUNTIF(RacePerformance!$F:$F,A617))</f>
        <v/>
      </c>
      <c r="K617" s="6" t="str">
        <f>IF(A617="","",IFERROR(AVERAGEIF(RacePerformance!$F:$F,A617,RacePerformance!$I:$I),""))</f>
        <v/>
      </c>
      <c r="L617" s="6" t="str">
        <f>IF(A617="","",IFERROR(AVERAGEIF(RacePerformance!$F:$F,A617,RacePerformance!$J:$J),""))</f>
        <v/>
      </c>
      <c r="M617" s="6" t="str">
        <f>IF(A617="","",IFERROR(AVERAGEIF(RacePerformance!$F:$F,A617,RacePerformance!$K:$K),""))</f>
        <v/>
      </c>
      <c r="N617" s="6" t="str">
        <f>IF(A617="","",COUNTIFS(RacePerformance!$F:$F,A617,RacePerformance!$I:$I,"&lt;=20"))</f>
        <v/>
      </c>
      <c r="O617" s="6" t="str">
        <f>IF(A617="","",COUNTIFS(RacePerformance!$F:$F,A617,RacePerformance!$I:$I,1))</f>
        <v/>
      </c>
      <c r="P617" s="6" t="str">
        <f>IF(A617="","",COUNTIFS(RacePerformance!$F:$F,A617,RacePerformance!$J:$J,"&lt;=3"))</f>
        <v/>
      </c>
    </row>
    <row r="618" spans="5:16" ht="14.25" customHeight="1" x14ac:dyDescent="0.3">
      <c r="E618" s="6"/>
      <c r="I618" s="6"/>
      <c r="J618" s="6" t="str">
        <f>IF(A618="","",COUNTIF(RacePerformance!$F:$F,A618))</f>
        <v/>
      </c>
      <c r="K618" s="6" t="str">
        <f>IF(A618="","",IFERROR(AVERAGEIF(RacePerformance!$F:$F,A618,RacePerformance!$I:$I),""))</f>
        <v/>
      </c>
      <c r="L618" s="6" t="str">
        <f>IF(A618="","",IFERROR(AVERAGEIF(RacePerformance!$F:$F,A618,RacePerformance!$J:$J),""))</f>
        <v/>
      </c>
      <c r="M618" s="6" t="str">
        <f>IF(A618="","",IFERROR(AVERAGEIF(RacePerformance!$F:$F,A618,RacePerformance!$K:$K),""))</f>
        <v/>
      </c>
      <c r="N618" s="6" t="str">
        <f>IF(A618="","",COUNTIFS(RacePerformance!$F:$F,A618,RacePerformance!$I:$I,"&lt;=20"))</f>
        <v/>
      </c>
      <c r="O618" s="6" t="str">
        <f>IF(A618="","",COUNTIFS(RacePerformance!$F:$F,A618,RacePerformance!$I:$I,1))</f>
        <v/>
      </c>
      <c r="P618" s="6" t="str">
        <f>IF(A618="","",COUNTIFS(RacePerformance!$F:$F,A618,RacePerformance!$J:$J,"&lt;=3"))</f>
        <v/>
      </c>
    </row>
    <row r="619" spans="5:16" ht="14.25" customHeight="1" x14ac:dyDescent="0.3">
      <c r="E619" s="6"/>
      <c r="I619" s="6"/>
      <c r="J619" s="6" t="str">
        <f>IF(A619="","",COUNTIF(RacePerformance!$F:$F,A619))</f>
        <v/>
      </c>
      <c r="K619" s="6" t="str">
        <f>IF(A619="","",IFERROR(AVERAGEIF(RacePerformance!$F:$F,A619,RacePerformance!$I:$I),""))</f>
        <v/>
      </c>
      <c r="L619" s="6" t="str">
        <f>IF(A619="","",IFERROR(AVERAGEIF(RacePerformance!$F:$F,A619,RacePerformance!$J:$J),""))</f>
        <v/>
      </c>
      <c r="M619" s="6" t="str">
        <f>IF(A619="","",IFERROR(AVERAGEIF(RacePerformance!$F:$F,A619,RacePerformance!$K:$K),""))</f>
        <v/>
      </c>
      <c r="N619" s="6" t="str">
        <f>IF(A619="","",COUNTIFS(RacePerformance!$F:$F,A619,RacePerformance!$I:$I,"&lt;=20"))</f>
        <v/>
      </c>
      <c r="O619" s="6" t="str">
        <f>IF(A619="","",COUNTIFS(RacePerformance!$F:$F,A619,RacePerformance!$I:$I,1))</f>
        <v/>
      </c>
      <c r="P619" s="6" t="str">
        <f>IF(A619="","",COUNTIFS(RacePerformance!$F:$F,A619,RacePerformance!$J:$J,"&lt;=3"))</f>
        <v/>
      </c>
    </row>
    <row r="620" spans="5:16" ht="14.25" customHeight="1" x14ac:dyDescent="0.3">
      <c r="E620" s="6"/>
      <c r="I620" s="6"/>
      <c r="J620" s="6" t="str">
        <f>IF(A620="","",COUNTIF(RacePerformance!$F:$F,A620))</f>
        <v/>
      </c>
      <c r="K620" s="6" t="str">
        <f>IF(A620="","",IFERROR(AVERAGEIF(RacePerformance!$F:$F,A620,RacePerformance!$I:$I),""))</f>
        <v/>
      </c>
      <c r="L620" s="6" t="str">
        <f>IF(A620="","",IFERROR(AVERAGEIF(RacePerformance!$F:$F,A620,RacePerformance!$J:$J),""))</f>
        <v/>
      </c>
      <c r="M620" s="6" t="str">
        <f>IF(A620="","",IFERROR(AVERAGEIF(RacePerformance!$F:$F,A620,RacePerformance!$K:$K),""))</f>
        <v/>
      </c>
      <c r="N620" s="6" t="str">
        <f>IF(A620="","",COUNTIFS(RacePerformance!$F:$F,A620,RacePerformance!$I:$I,"&lt;=20"))</f>
        <v/>
      </c>
      <c r="O620" s="6" t="str">
        <f>IF(A620="","",COUNTIFS(RacePerformance!$F:$F,A620,RacePerformance!$I:$I,1))</f>
        <v/>
      </c>
      <c r="P620" s="6" t="str">
        <f>IF(A620="","",COUNTIFS(RacePerformance!$F:$F,A620,RacePerformance!$J:$J,"&lt;=3"))</f>
        <v/>
      </c>
    </row>
    <row r="621" spans="5:16" ht="14.25" customHeight="1" x14ac:dyDescent="0.3">
      <c r="E621" s="6"/>
      <c r="I621" s="6"/>
      <c r="J621" s="6" t="str">
        <f>IF(A621="","",COUNTIF(RacePerformance!$F:$F,A621))</f>
        <v/>
      </c>
      <c r="K621" s="6" t="str">
        <f>IF(A621="","",IFERROR(AVERAGEIF(RacePerformance!$F:$F,A621,RacePerformance!$I:$I),""))</f>
        <v/>
      </c>
      <c r="L621" s="6" t="str">
        <f>IF(A621="","",IFERROR(AVERAGEIF(RacePerformance!$F:$F,A621,RacePerformance!$J:$J),""))</f>
        <v/>
      </c>
      <c r="M621" s="6" t="str">
        <f>IF(A621="","",IFERROR(AVERAGEIF(RacePerformance!$F:$F,A621,RacePerformance!$K:$K),""))</f>
        <v/>
      </c>
      <c r="N621" s="6" t="str">
        <f>IF(A621="","",COUNTIFS(RacePerformance!$F:$F,A621,RacePerformance!$I:$I,"&lt;=20"))</f>
        <v/>
      </c>
      <c r="O621" s="6" t="str">
        <f>IF(A621="","",COUNTIFS(RacePerformance!$F:$F,A621,RacePerformance!$I:$I,1))</f>
        <v/>
      </c>
      <c r="P621" s="6" t="str">
        <f>IF(A621="","",COUNTIFS(RacePerformance!$F:$F,A621,RacePerformance!$J:$J,"&lt;=3"))</f>
        <v/>
      </c>
    </row>
    <row r="622" spans="5:16" ht="14.25" customHeight="1" x14ac:dyDescent="0.3">
      <c r="E622" s="6"/>
      <c r="I622" s="6"/>
      <c r="J622" s="6" t="str">
        <f>IF(A622="","",COUNTIF(RacePerformance!$F:$F,A622))</f>
        <v/>
      </c>
      <c r="K622" s="6" t="str">
        <f>IF(A622="","",IFERROR(AVERAGEIF(RacePerformance!$F:$F,A622,RacePerformance!$I:$I),""))</f>
        <v/>
      </c>
      <c r="L622" s="6" t="str">
        <f>IF(A622="","",IFERROR(AVERAGEIF(RacePerformance!$F:$F,A622,RacePerformance!$J:$J),""))</f>
        <v/>
      </c>
      <c r="M622" s="6" t="str">
        <f>IF(A622="","",IFERROR(AVERAGEIF(RacePerformance!$F:$F,A622,RacePerformance!$K:$K),""))</f>
        <v/>
      </c>
      <c r="N622" s="6" t="str">
        <f>IF(A622="","",COUNTIFS(RacePerformance!$F:$F,A622,RacePerformance!$I:$I,"&lt;=20"))</f>
        <v/>
      </c>
      <c r="O622" s="6" t="str">
        <f>IF(A622="","",COUNTIFS(RacePerformance!$F:$F,A622,RacePerformance!$I:$I,1))</f>
        <v/>
      </c>
      <c r="P622" s="6" t="str">
        <f>IF(A622="","",COUNTIFS(RacePerformance!$F:$F,A622,RacePerformance!$J:$J,"&lt;=3"))</f>
        <v/>
      </c>
    </row>
    <row r="623" spans="5:16" ht="14.25" customHeight="1" x14ac:dyDescent="0.3">
      <c r="E623" s="6"/>
      <c r="I623" s="6"/>
      <c r="J623" s="6" t="str">
        <f>IF(A623="","",COUNTIF(RacePerformance!$F:$F,A623))</f>
        <v/>
      </c>
      <c r="K623" s="6" t="str">
        <f>IF(A623="","",IFERROR(AVERAGEIF(RacePerformance!$F:$F,A623,RacePerformance!$I:$I),""))</f>
        <v/>
      </c>
      <c r="L623" s="6" t="str">
        <f>IF(A623="","",IFERROR(AVERAGEIF(RacePerformance!$F:$F,A623,RacePerformance!$J:$J),""))</f>
        <v/>
      </c>
      <c r="M623" s="6" t="str">
        <f>IF(A623="","",IFERROR(AVERAGEIF(RacePerformance!$F:$F,A623,RacePerformance!$K:$K),""))</f>
        <v/>
      </c>
      <c r="N623" s="6" t="str">
        <f>IF(A623="","",COUNTIFS(RacePerformance!$F:$F,A623,RacePerformance!$I:$I,"&lt;=20"))</f>
        <v/>
      </c>
      <c r="O623" s="6" t="str">
        <f>IF(A623="","",COUNTIFS(RacePerformance!$F:$F,A623,RacePerformance!$I:$I,1))</f>
        <v/>
      </c>
      <c r="P623" s="6" t="str">
        <f>IF(A623="","",COUNTIFS(RacePerformance!$F:$F,A623,RacePerformance!$J:$J,"&lt;=3"))</f>
        <v/>
      </c>
    </row>
    <row r="624" spans="5:16" ht="14.25" customHeight="1" x14ac:dyDescent="0.3">
      <c r="E624" s="6"/>
      <c r="I624" s="6"/>
      <c r="J624" s="6" t="str">
        <f>IF(A624="","",COUNTIF(RacePerformance!$F:$F,A624))</f>
        <v/>
      </c>
      <c r="K624" s="6" t="str">
        <f>IF(A624="","",IFERROR(AVERAGEIF(RacePerformance!$F:$F,A624,RacePerformance!$I:$I),""))</f>
        <v/>
      </c>
      <c r="L624" s="6" t="str">
        <f>IF(A624="","",IFERROR(AVERAGEIF(RacePerformance!$F:$F,A624,RacePerformance!$J:$J),""))</f>
        <v/>
      </c>
      <c r="M624" s="6" t="str">
        <f>IF(A624="","",IFERROR(AVERAGEIF(RacePerformance!$F:$F,A624,RacePerformance!$K:$K),""))</f>
        <v/>
      </c>
      <c r="N624" s="6" t="str">
        <f>IF(A624="","",COUNTIFS(RacePerformance!$F:$F,A624,RacePerformance!$I:$I,"&lt;=20"))</f>
        <v/>
      </c>
      <c r="O624" s="6" t="str">
        <f>IF(A624="","",COUNTIFS(RacePerformance!$F:$F,A624,RacePerformance!$I:$I,1))</f>
        <v/>
      </c>
      <c r="P624" s="6" t="str">
        <f>IF(A624="","",COUNTIFS(RacePerformance!$F:$F,A624,RacePerformance!$J:$J,"&lt;=3"))</f>
        <v/>
      </c>
    </row>
    <row r="625" spans="5:16" ht="14.25" customHeight="1" x14ac:dyDescent="0.3">
      <c r="E625" s="6"/>
      <c r="I625" s="6"/>
      <c r="J625" s="6" t="str">
        <f>IF(A625="","",COUNTIF(RacePerformance!$F:$F,A625))</f>
        <v/>
      </c>
      <c r="K625" s="6" t="str">
        <f>IF(A625="","",IFERROR(AVERAGEIF(RacePerformance!$F:$F,A625,RacePerformance!$I:$I),""))</f>
        <v/>
      </c>
      <c r="L625" s="6" t="str">
        <f>IF(A625="","",IFERROR(AVERAGEIF(RacePerformance!$F:$F,A625,RacePerformance!$J:$J),""))</f>
        <v/>
      </c>
      <c r="M625" s="6" t="str">
        <f>IF(A625="","",IFERROR(AVERAGEIF(RacePerformance!$F:$F,A625,RacePerformance!$K:$K),""))</f>
        <v/>
      </c>
      <c r="N625" s="6" t="str">
        <f>IF(A625="","",COUNTIFS(RacePerformance!$F:$F,A625,RacePerformance!$I:$I,"&lt;=20"))</f>
        <v/>
      </c>
      <c r="O625" s="6" t="str">
        <f>IF(A625="","",COUNTIFS(RacePerformance!$F:$F,A625,RacePerformance!$I:$I,1))</f>
        <v/>
      </c>
      <c r="P625" s="6" t="str">
        <f>IF(A625="","",COUNTIFS(RacePerformance!$F:$F,A625,RacePerformance!$J:$J,"&lt;=3"))</f>
        <v/>
      </c>
    </row>
    <row r="626" spans="5:16" ht="14.25" customHeight="1" x14ac:dyDescent="0.3">
      <c r="E626" s="6"/>
      <c r="I626" s="6"/>
      <c r="J626" s="6" t="str">
        <f>IF(A626="","",COUNTIF(RacePerformance!$F:$F,A626))</f>
        <v/>
      </c>
      <c r="K626" s="6" t="str">
        <f>IF(A626="","",IFERROR(AVERAGEIF(RacePerformance!$F:$F,A626,RacePerformance!$I:$I),""))</f>
        <v/>
      </c>
      <c r="L626" s="6" t="str">
        <f>IF(A626="","",IFERROR(AVERAGEIF(RacePerformance!$F:$F,A626,RacePerformance!$J:$J),""))</f>
        <v/>
      </c>
      <c r="M626" s="6" t="str">
        <f>IF(A626="","",IFERROR(AVERAGEIF(RacePerformance!$F:$F,A626,RacePerformance!$K:$K),""))</f>
        <v/>
      </c>
      <c r="N626" s="6" t="str">
        <f>IF(A626="","",COUNTIFS(RacePerformance!$F:$F,A626,RacePerformance!$I:$I,"&lt;=20"))</f>
        <v/>
      </c>
      <c r="O626" s="6" t="str">
        <f>IF(A626="","",COUNTIFS(RacePerformance!$F:$F,A626,RacePerformance!$I:$I,1))</f>
        <v/>
      </c>
      <c r="P626" s="6" t="str">
        <f>IF(A626="","",COUNTIFS(RacePerformance!$F:$F,A626,RacePerformance!$J:$J,"&lt;=3"))</f>
        <v/>
      </c>
    </row>
    <row r="627" spans="5:16" ht="14.25" customHeight="1" x14ac:dyDescent="0.3">
      <c r="E627" s="6"/>
      <c r="I627" s="6"/>
      <c r="J627" s="6" t="str">
        <f>IF(A627="","",COUNTIF(RacePerformance!$F:$F,A627))</f>
        <v/>
      </c>
      <c r="K627" s="6" t="str">
        <f>IF(A627="","",IFERROR(AVERAGEIF(RacePerformance!$F:$F,A627,RacePerformance!$I:$I),""))</f>
        <v/>
      </c>
      <c r="L627" s="6" t="str">
        <f>IF(A627="","",IFERROR(AVERAGEIF(RacePerformance!$F:$F,A627,RacePerformance!$J:$J),""))</f>
        <v/>
      </c>
      <c r="M627" s="6" t="str">
        <f>IF(A627="","",IFERROR(AVERAGEIF(RacePerformance!$F:$F,A627,RacePerformance!$K:$K),""))</f>
        <v/>
      </c>
      <c r="N627" s="6" t="str">
        <f>IF(A627="","",COUNTIFS(RacePerformance!$F:$F,A627,RacePerformance!$I:$I,"&lt;=20"))</f>
        <v/>
      </c>
      <c r="O627" s="6" t="str">
        <f>IF(A627="","",COUNTIFS(RacePerformance!$F:$F,A627,RacePerformance!$I:$I,1))</f>
        <v/>
      </c>
      <c r="P627" s="6" t="str">
        <f>IF(A627="","",COUNTIFS(RacePerformance!$F:$F,A627,RacePerformance!$J:$J,"&lt;=3"))</f>
        <v/>
      </c>
    </row>
    <row r="628" spans="5:16" ht="14.25" customHeight="1" x14ac:dyDescent="0.3">
      <c r="E628" s="6"/>
      <c r="I628" s="6"/>
      <c r="J628" s="6" t="str">
        <f>IF(A628="","",COUNTIF(RacePerformance!$F:$F,A628))</f>
        <v/>
      </c>
      <c r="K628" s="6" t="str">
        <f>IF(A628="","",IFERROR(AVERAGEIF(RacePerformance!$F:$F,A628,RacePerformance!$I:$I),""))</f>
        <v/>
      </c>
      <c r="L628" s="6" t="str">
        <f>IF(A628="","",IFERROR(AVERAGEIF(RacePerformance!$F:$F,A628,RacePerformance!$J:$J),""))</f>
        <v/>
      </c>
      <c r="M628" s="6" t="str">
        <f>IF(A628="","",IFERROR(AVERAGEIF(RacePerformance!$F:$F,A628,RacePerformance!$K:$K),""))</f>
        <v/>
      </c>
      <c r="N628" s="6" t="str">
        <f>IF(A628="","",COUNTIFS(RacePerformance!$F:$F,A628,RacePerformance!$I:$I,"&lt;=20"))</f>
        <v/>
      </c>
      <c r="O628" s="6" t="str">
        <f>IF(A628="","",COUNTIFS(RacePerformance!$F:$F,A628,RacePerformance!$I:$I,1))</f>
        <v/>
      </c>
      <c r="P628" s="6" t="str">
        <f>IF(A628="","",COUNTIFS(RacePerformance!$F:$F,A628,RacePerformance!$J:$J,"&lt;=3"))</f>
        <v/>
      </c>
    </row>
    <row r="629" spans="5:16" ht="14.25" customHeight="1" x14ac:dyDescent="0.3">
      <c r="E629" s="6"/>
      <c r="I629" s="6"/>
      <c r="J629" s="6" t="str">
        <f>IF(A629="","",COUNTIF(RacePerformance!$F:$F,A629))</f>
        <v/>
      </c>
      <c r="K629" s="6" t="str">
        <f>IF(A629="","",IFERROR(AVERAGEIF(RacePerformance!$F:$F,A629,RacePerformance!$I:$I),""))</f>
        <v/>
      </c>
      <c r="L629" s="6" t="str">
        <f>IF(A629="","",IFERROR(AVERAGEIF(RacePerformance!$F:$F,A629,RacePerformance!$J:$J),""))</f>
        <v/>
      </c>
      <c r="M629" s="6" t="str">
        <f>IF(A629="","",IFERROR(AVERAGEIF(RacePerformance!$F:$F,A629,RacePerformance!$K:$K),""))</f>
        <v/>
      </c>
      <c r="N629" s="6" t="str">
        <f>IF(A629="","",COUNTIFS(RacePerformance!$F:$F,A629,RacePerformance!$I:$I,"&lt;=20"))</f>
        <v/>
      </c>
      <c r="O629" s="6" t="str">
        <f>IF(A629="","",COUNTIFS(RacePerformance!$F:$F,A629,RacePerformance!$I:$I,1))</f>
        <v/>
      </c>
      <c r="P629" s="6" t="str">
        <f>IF(A629="","",COUNTIFS(RacePerformance!$F:$F,A629,RacePerformance!$J:$J,"&lt;=3"))</f>
        <v/>
      </c>
    </row>
    <row r="630" spans="5:16" ht="14.25" customHeight="1" x14ac:dyDescent="0.3">
      <c r="E630" s="6"/>
      <c r="I630" s="6"/>
      <c r="J630" s="6" t="str">
        <f>IF(A630="","",COUNTIF(RacePerformance!$F:$F,A630))</f>
        <v/>
      </c>
      <c r="K630" s="6" t="str">
        <f>IF(A630="","",IFERROR(AVERAGEIF(RacePerformance!$F:$F,A630,RacePerformance!$I:$I),""))</f>
        <v/>
      </c>
      <c r="L630" s="6" t="str">
        <f>IF(A630="","",IFERROR(AVERAGEIF(RacePerformance!$F:$F,A630,RacePerformance!$J:$J),""))</f>
        <v/>
      </c>
      <c r="M630" s="6" t="str">
        <f>IF(A630="","",IFERROR(AVERAGEIF(RacePerformance!$F:$F,A630,RacePerformance!$K:$K),""))</f>
        <v/>
      </c>
      <c r="N630" s="6" t="str">
        <f>IF(A630="","",COUNTIFS(RacePerformance!$F:$F,A630,RacePerformance!$I:$I,"&lt;=20"))</f>
        <v/>
      </c>
      <c r="O630" s="6" t="str">
        <f>IF(A630="","",COUNTIFS(RacePerformance!$F:$F,A630,RacePerformance!$I:$I,1))</f>
        <v/>
      </c>
      <c r="P630" s="6" t="str">
        <f>IF(A630="","",COUNTIFS(RacePerformance!$F:$F,A630,RacePerformance!$J:$J,"&lt;=3"))</f>
        <v/>
      </c>
    </row>
    <row r="631" spans="5:16" ht="14.25" customHeight="1" x14ac:dyDescent="0.3">
      <c r="E631" s="6"/>
      <c r="I631" s="6"/>
      <c r="J631" s="6" t="str">
        <f>IF(A631="","",COUNTIF(RacePerformance!$F:$F,A631))</f>
        <v/>
      </c>
      <c r="K631" s="6" t="str">
        <f>IF(A631="","",IFERROR(AVERAGEIF(RacePerformance!$F:$F,A631,RacePerformance!$I:$I),""))</f>
        <v/>
      </c>
      <c r="L631" s="6" t="str">
        <f>IF(A631="","",IFERROR(AVERAGEIF(RacePerformance!$F:$F,A631,RacePerformance!$J:$J),""))</f>
        <v/>
      </c>
      <c r="M631" s="6" t="str">
        <f>IF(A631="","",IFERROR(AVERAGEIF(RacePerformance!$F:$F,A631,RacePerformance!$K:$K),""))</f>
        <v/>
      </c>
      <c r="N631" s="6" t="str">
        <f>IF(A631="","",COUNTIFS(RacePerformance!$F:$F,A631,RacePerformance!$I:$I,"&lt;=20"))</f>
        <v/>
      </c>
      <c r="O631" s="6" t="str">
        <f>IF(A631="","",COUNTIFS(RacePerformance!$F:$F,A631,RacePerformance!$I:$I,1))</f>
        <v/>
      </c>
      <c r="P631" s="6" t="str">
        <f>IF(A631="","",COUNTIFS(RacePerformance!$F:$F,A631,RacePerformance!$J:$J,"&lt;=3"))</f>
        <v/>
      </c>
    </row>
    <row r="632" spans="5:16" ht="14.25" customHeight="1" x14ac:dyDescent="0.3">
      <c r="E632" s="6"/>
      <c r="I632" s="6"/>
      <c r="J632" s="6" t="str">
        <f>IF(A632="","",COUNTIF(RacePerformance!$F:$F,A632))</f>
        <v/>
      </c>
      <c r="K632" s="6" t="str">
        <f>IF(A632="","",IFERROR(AVERAGEIF(RacePerformance!$F:$F,A632,RacePerformance!$I:$I),""))</f>
        <v/>
      </c>
      <c r="L632" s="6" t="str">
        <f>IF(A632="","",IFERROR(AVERAGEIF(RacePerformance!$F:$F,A632,RacePerformance!$J:$J),""))</f>
        <v/>
      </c>
      <c r="M632" s="6" t="str">
        <f>IF(A632="","",IFERROR(AVERAGEIF(RacePerformance!$F:$F,A632,RacePerformance!$K:$K),""))</f>
        <v/>
      </c>
      <c r="N632" s="6" t="str">
        <f>IF(A632="","",COUNTIFS(RacePerformance!$F:$F,A632,RacePerformance!$I:$I,"&lt;=20"))</f>
        <v/>
      </c>
      <c r="O632" s="6" t="str">
        <f>IF(A632="","",COUNTIFS(RacePerformance!$F:$F,A632,RacePerformance!$I:$I,1))</f>
        <v/>
      </c>
      <c r="P632" s="6" t="str">
        <f>IF(A632="","",COUNTIFS(RacePerformance!$F:$F,A632,RacePerformance!$J:$J,"&lt;=3"))</f>
        <v/>
      </c>
    </row>
    <row r="633" spans="5:16" ht="14.25" customHeight="1" x14ac:dyDescent="0.3">
      <c r="E633" s="6"/>
      <c r="I633" s="6"/>
      <c r="J633" s="6" t="str">
        <f>IF(A633="","",COUNTIF(RacePerformance!$F:$F,A633))</f>
        <v/>
      </c>
      <c r="K633" s="6" t="str">
        <f>IF(A633="","",IFERROR(AVERAGEIF(RacePerformance!$F:$F,A633,RacePerformance!$I:$I),""))</f>
        <v/>
      </c>
      <c r="L633" s="6" t="str">
        <f>IF(A633="","",IFERROR(AVERAGEIF(RacePerformance!$F:$F,A633,RacePerformance!$J:$J),""))</f>
        <v/>
      </c>
      <c r="M633" s="6" t="str">
        <f>IF(A633="","",IFERROR(AVERAGEIF(RacePerformance!$F:$F,A633,RacePerformance!$K:$K),""))</f>
        <v/>
      </c>
      <c r="N633" s="6" t="str">
        <f>IF(A633="","",COUNTIFS(RacePerformance!$F:$F,A633,RacePerformance!$I:$I,"&lt;=20"))</f>
        <v/>
      </c>
      <c r="O633" s="6" t="str">
        <f>IF(A633="","",COUNTIFS(RacePerformance!$F:$F,A633,RacePerformance!$I:$I,1))</f>
        <v/>
      </c>
      <c r="P633" s="6" t="str">
        <f>IF(A633="","",COUNTIFS(RacePerformance!$F:$F,A633,RacePerformance!$J:$J,"&lt;=3"))</f>
        <v/>
      </c>
    </row>
    <row r="634" spans="5:16" ht="14.25" customHeight="1" x14ac:dyDescent="0.3">
      <c r="E634" s="6"/>
      <c r="I634" s="6"/>
      <c r="J634" s="6" t="str">
        <f>IF(A634="","",COUNTIF(RacePerformance!$F:$F,A634))</f>
        <v/>
      </c>
      <c r="K634" s="6" t="str">
        <f>IF(A634="","",IFERROR(AVERAGEIF(RacePerformance!$F:$F,A634,RacePerformance!$I:$I),""))</f>
        <v/>
      </c>
      <c r="L634" s="6" t="str">
        <f>IF(A634="","",IFERROR(AVERAGEIF(RacePerformance!$F:$F,A634,RacePerformance!$J:$J),""))</f>
        <v/>
      </c>
      <c r="M634" s="6" t="str">
        <f>IF(A634="","",IFERROR(AVERAGEIF(RacePerformance!$F:$F,A634,RacePerformance!$K:$K),""))</f>
        <v/>
      </c>
      <c r="N634" s="6" t="str">
        <f>IF(A634="","",COUNTIFS(RacePerformance!$F:$F,A634,RacePerformance!$I:$I,"&lt;=20"))</f>
        <v/>
      </c>
      <c r="O634" s="6" t="str">
        <f>IF(A634="","",COUNTIFS(RacePerformance!$F:$F,A634,RacePerformance!$I:$I,1))</f>
        <v/>
      </c>
      <c r="P634" s="6" t="str">
        <f>IF(A634="","",COUNTIFS(RacePerformance!$F:$F,A634,RacePerformance!$J:$J,"&lt;=3"))</f>
        <v/>
      </c>
    </row>
    <row r="635" spans="5:16" ht="14.25" customHeight="1" x14ac:dyDescent="0.3">
      <c r="E635" s="6"/>
      <c r="I635" s="6"/>
      <c r="J635" s="6" t="str">
        <f>IF(A635="","",COUNTIF(RacePerformance!$F:$F,A635))</f>
        <v/>
      </c>
      <c r="K635" s="6" t="str">
        <f>IF(A635="","",IFERROR(AVERAGEIF(RacePerformance!$F:$F,A635,RacePerformance!$I:$I),""))</f>
        <v/>
      </c>
      <c r="L635" s="6" t="str">
        <f>IF(A635="","",IFERROR(AVERAGEIF(RacePerformance!$F:$F,A635,RacePerformance!$J:$J),""))</f>
        <v/>
      </c>
      <c r="M635" s="6" t="str">
        <f>IF(A635="","",IFERROR(AVERAGEIF(RacePerformance!$F:$F,A635,RacePerformance!$K:$K),""))</f>
        <v/>
      </c>
      <c r="N635" s="6" t="str">
        <f>IF(A635="","",COUNTIFS(RacePerformance!$F:$F,A635,RacePerformance!$I:$I,"&lt;=20"))</f>
        <v/>
      </c>
      <c r="O635" s="6" t="str">
        <f>IF(A635="","",COUNTIFS(RacePerformance!$F:$F,A635,RacePerformance!$I:$I,1))</f>
        <v/>
      </c>
      <c r="P635" s="6" t="str">
        <f>IF(A635="","",COUNTIFS(RacePerformance!$F:$F,A635,RacePerformance!$J:$J,"&lt;=3"))</f>
        <v/>
      </c>
    </row>
    <row r="636" spans="5:16" ht="14.25" customHeight="1" x14ac:dyDescent="0.3">
      <c r="E636" s="6"/>
      <c r="I636" s="6"/>
      <c r="J636" s="6" t="str">
        <f>IF(A636="","",COUNTIF(RacePerformance!$F:$F,A636))</f>
        <v/>
      </c>
      <c r="K636" s="6" t="str">
        <f>IF(A636="","",IFERROR(AVERAGEIF(RacePerformance!$F:$F,A636,RacePerformance!$I:$I),""))</f>
        <v/>
      </c>
      <c r="L636" s="6" t="str">
        <f>IF(A636="","",IFERROR(AVERAGEIF(RacePerformance!$F:$F,A636,RacePerformance!$J:$J),""))</f>
        <v/>
      </c>
      <c r="M636" s="6" t="str">
        <f>IF(A636="","",IFERROR(AVERAGEIF(RacePerformance!$F:$F,A636,RacePerformance!$K:$K),""))</f>
        <v/>
      </c>
      <c r="N636" s="6" t="str">
        <f>IF(A636="","",COUNTIFS(RacePerformance!$F:$F,A636,RacePerformance!$I:$I,"&lt;=20"))</f>
        <v/>
      </c>
      <c r="O636" s="6" t="str">
        <f>IF(A636="","",COUNTIFS(RacePerformance!$F:$F,A636,RacePerformance!$I:$I,1))</f>
        <v/>
      </c>
      <c r="P636" s="6" t="str">
        <f>IF(A636="","",COUNTIFS(RacePerformance!$F:$F,A636,RacePerformance!$J:$J,"&lt;=3"))</f>
        <v/>
      </c>
    </row>
    <row r="637" spans="5:16" ht="14.25" customHeight="1" x14ac:dyDescent="0.3">
      <c r="E637" s="6"/>
      <c r="I637" s="6"/>
      <c r="J637" s="6" t="str">
        <f>IF(A637="","",COUNTIF(RacePerformance!$F:$F,A637))</f>
        <v/>
      </c>
      <c r="K637" s="6" t="str">
        <f>IF(A637="","",IFERROR(AVERAGEIF(RacePerformance!$F:$F,A637,RacePerformance!$I:$I),""))</f>
        <v/>
      </c>
      <c r="L637" s="6" t="str">
        <f>IF(A637="","",IFERROR(AVERAGEIF(RacePerformance!$F:$F,A637,RacePerformance!$J:$J),""))</f>
        <v/>
      </c>
      <c r="M637" s="6" t="str">
        <f>IF(A637="","",IFERROR(AVERAGEIF(RacePerformance!$F:$F,A637,RacePerformance!$K:$K),""))</f>
        <v/>
      </c>
      <c r="N637" s="6" t="str">
        <f>IF(A637="","",COUNTIFS(RacePerformance!$F:$F,A637,RacePerformance!$I:$I,"&lt;=20"))</f>
        <v/>
      </c>
      <c r="O637" s="6" t="str">
        <f>IF(A637="","",COUNTIFS(RacePerformance!$F:$F,A637,RacePerformance!$I:$I,1))</f>
        <v/>
      </c>
      <c r="P637" s="6" t="str">
        <f>IF(A637="","",COUNTIFS(RacePerformance!$F:$F,A637,RacePerformance!$J:$J,"&lt;=3"))</f>
        <v/>
      </c>
    </row>
    <row r="638" spans="5:16" ht="14.25" customHeight="1" x14ac:dyDescent="0.3">
      <c r="E638" s="6"/>
      <c r="I638" s="6"/>
      <c r="J638" s="6" t="str">
        <f>IF(A638="","",COUNTIF(RacePerformance!$F:$F,A638))</f>
        <v/>
      </c>
      <c r="K638" s="6" t="str">
        <f>IF(A638="","",IFERROR(AVERAGEIF(RacePerformance!$F:$F,A638,RacePerformance!$I:$I),""))</f>
        <v/>
      </c>
      <c r="L638" s="6" t="str">
        <f>IF(A638="","",IFERROR(AVERAGEIF(RacePerformance!$F:$F,A638,RacePerformance!$J:$J),""))</f>
        <v/>
      </c>
      <c r="M638" s="6" t="str">
        <f>IF(A638="","",IFERROR(AVERAGEIF(RacePerformance!$F:$F,A638,RacePerformance!$K:$K),""))</f>
        <v/>
      </c>
      <c r="N638" s="6" t="str">
        <f>IF(A638="","",COUNTIFS(RacePerformance!$F:$F,A638,RacePerformance!$I:$I,"&lt;=20"))</f>
        <v/>
      </c>
      <c r="O638" s="6" t="str">
        <f>IF(A638="","",COUNTIFS(RacePerformance!$F:$F,A638,RacePerformance!$I:$I,1))</f>
        <v/>
      </c>
      <c r="P638" s="6" t="str">
        <f>IF(A638="","",COUNTIFS(RacePerformance!$F:$F,A638,RacePerformance!$J:$J,"&lt;=3"))</f>
        <v/>
      </c>
    </row>
    <row r="639" spans="5:16" ht="14.25" customHeight="1" x14ac:dyDescent="0.3">
      <c r="E639" s="6"/>
      <c r="I639" s="6"/>
      <c r="J639" s="6" t="str">
        <f>IF(A639="","",COUNTIF(RacePerformance!$F:$F,A639))</f>
        <v/>
      </c>
      <c r="K639" s="6" t="str">
        <f>IF(A639="","",IFERROR(AVERAGEIF(RacePerformance!$F:$F,A639,RacePerformance!$I:$I),""))</f>
        <v/>
      </c>
      <c r="L639" s="6" t="str">
        <f>IF(A639="","",IFERROR(AVERAGEIF(RacePerformance!$F:$F,A639,RacePerformance!$J:$J),""))</f>
        <v/>
      </c>
      <c r="M639" s="6" t="str">
        <f>IF(A639="","",IFERROR(AVERAGEIF(RacePerformance!$F:$F,A639,RacePerformance!$K:$K),""))</f>
        <v/>
      </c>
      <c r="N639" s="6" t="str">
        <f>IF(A639="","",COUNTIFS(RacePerformance!$F:$F,A639,RacePerformance!$I:$I,"&lt;=20"))</f>
        <v/>
      </c>
      <c r="O639" s="6" t="str">
        <f>IF(A639="","",COUNTIFS(RacePerformance!$F:$F,A639,RacePerformance!$I:$I,1))</f>
        <v/>
      </c>
      <c r="P639" s="6" t="str">
        <f>IF(A639="","",COUNTIFS(RacePerformance!$F:$F,A639,RacePerformance!$J:$J,"&lt;=3"))</f>
        <v/>
      </c>
    </row>
    <row r="640" spans="5:16" ht="14.25" customHeight="1" x14ac:dyDescent="0.3">
      <c r="E640" s="6"/>
      <c r="I640" s="6"/>
      <c r="J640" s="6" t="str">
        <f>IF(A640="","",COUNTIF(RacePerformance!$F:$F,A640))</f>
        <v/>
      </c>
      <c r="K640" s="6" t="str">
        <f>IF(A640="","",IFERROR(AVERAGEIF(RacePerformance!$F:$F,A640,RacePerformance!$I:$I),""))</f>
        <v/>
      </c>
      <c r="L640" s="6" t="str">
        <f>IF(A640="","",IFERROR(AVERAGEIF(RacePerformance!$F:$F,A640,RacePerformance!$J:$J),""))</f>
        <v/>
      </c>
      <c r="M640" s="6" t="str">
        <f>IF(A640="","",IFERROR(AVERAGEIF(RacePerformance!$F:$F,A640,RacePerformance!$K:$K),""))</f>
        <v/>
      </c>
      <c r="N640" s="6" t="str">
        <f>IF(A640="","",COUNTIFS(RacePerformance!$F:$F,A640,RacePerformance!$I:$I,"&lt;=20"))</f>
        <v/>
      </c>
      <c r="O640" s="6" t="str">
        <f>IF(A640="","",COUNTIFS(RacePerformance!$F:$F,A640,RacePerformance!$I:$I,1))</f>
        <v/>
      </c>
      <c r="P640" s="6" t="str">
        <f>IF(A640="","",COUNTIFS(RacePerformance!$F:$F,A640,RacePerformance!$J:$J,"&lt;=3"))</f>
        <v/>
      </c>
    </row>
    <row r="641" spans="5:16" ht="14.25" customHeight="1" x14ac:dyDescent="0.3">
      <c r="E641" s="6"/>
      <c r="I641" s="6"/>
      <c r="J641" s="6" t="str">
        <f>IF(A641="","",COUNTIF(RacePerformance!$F:$F,A641))</f>
        <v/>
      </c>
      <c r="K641" s="6" t="str">
        <f>IF(A641="","",IFERROR(AVERAGEIF(RacePerformance!$F:$F,A641,RacePerformance!$I:$I),""))</f>
        <v/>
      </c>
      <c r="L641" s="6" t="str">
        <f>IF(A641="","",IFERROR(AVERAGEIF(RacePerformance!$F:$F,A641,RacePerformance!$J:$J),""))</f>
        <v/>
      </c>
      <c r="M641" s="6" t="str">
        <f>IF(A641="","",IFERROR(AVERAGEIF(RacePerformance!$F:$F,A641,RacePerformance!$K:$K),""))</f>
        <v/>
      </c>
      <c r="N641" s="6" t="str">
        <f>IF(A641="","",COUNTIFS(RacePerformance!$F:$F,A641,RacePerformance!$I:$I,"&lt;=20"))</f>
        <v/>
      </c>
      <c r="O641" s="6" t="str">
        <f>IF(A641="","",COUNTIFS(RacePerformance!$F:$F,A641,RacePerformance!$I:$I,1))</f>
        <v/>
      </c>
      <c r="P641" s="6" t="str">
        <f>IF(A641="","",COUNTIFS(RacePerformance!$F:$F,A641,RacePerformance!$J:$J,"&lt;=3"))</f>
        <v/>
      </c>
    </row>
    <row r="642" spans="5:16" ht="14.25" customHeight="1" x14ac:dyDescent="0.3">
      <c r="E642" s="6"/>
      <c r="I642" s="6"/>
      <c r="J642" s="6" t="str">
        <f>IF(A642="","",COUNTIF(RacePerformance!$F:$F,A642))</f>
        <v/>
      </c>
      <c r="K642" s="6" t="str">
        <f>IF(A642="","",IFERROR(AVERAGEIF(RacePerformance!$F:$F,A642,RacePerformance!$I:$I),""))</f>
        <v/>
      </c>
      <c r="L642" s="6" t="str">
        <f>IF(A642="","",IFERROR(AVERAGEIF(RacePerformance!$F:$F,A642,RacePerformance!$J:$J),""))</f>
        <v/>
      </c>
      <c r="M642" s="6" t="str">
        <f>IF(A642="","",IFERROR(AVERAGEIF(RacePerformance!$F:$F,A642,RacePerformance!$K:$K),""))</f>
        <v/>
      </c>
      <c r="N642" s="6" t="str">
        <f>IF(A642="","",COUNTIFS(RacePerformance!$F:$F,A642,RacePerformance!$I:$I,"&lt;=20"))</f>
        <v/>
      </c>
      <c r="O642" s="6" t="str">
        <f>IF(A642="","",COUNTIFS(RacePerformance!$F:$F,A642,RacePerformance!$I:$I,1))</f>
        <v/>
      </c>
      <c r="P642" s="6" t="str">
        <f>IF(A642="","",COUNTIFS(RacePerformance!$F:$F,A642,RacePerformance!$J:$J,"&lt;=3"))</f>
        <v/>
      </c>
    </row>
    <row r="643" spans="5:16" ht="14.25" customHeight="1" x14ac:dyDescent="0.3">
      <c r="E643" s="6"/>
      <c r="I643" s="6"/>
      <c r="J643" s="6" t="str">
        <f>IF(A643="","",COUNTIF(RacePerformance!$F:$F,A643))</f>
        <v/>
      </c>
      <c r="K643" s="6" t="str">
        <f>IF(A643="","",IFERROR(AVERAGEIF(RacePerformance!$F:$F,A643,RacePerformance!$I:$I),""))</f>
        <v/>
      </c>
      <c r="L643" s="6" t="str">
        <f>IF(A643="","",IFERROR(AVERAGEIF(RacePerformance!$F:$F,A643,RacePerformance!$J:$J),""))</f>
        <v/>
      </c>
      <c r="M643" s="6" t="str">
        <f>IF(A643="","",IFERROR(AVERAGEIF(RacePerformance!$F:$F,A643,RacePerformance!$K:$K),""))</f>
        <v/>
      </c>
      <c r="N643" s="6" t="str">
        <f>IF(A643="","",COUNTIFS(RacePerformance!$F:$F,A643,RacePerformance!$I:$I,"&lt;=20"))</f>
        <v/>
      </c>
      <c r="O643" s="6" t="str">
        <f>IF(A643="","",COUNTIFS(RacePerformance!$F:$F,A643,RacePerformance!$I:$I,1))</f>
        <v/>
      </c>
      <c r="P643" s="6" t="str">
        <f>IF(A643="","",COUNTIFS(RacePerformance!$F:$F,A643,RacePerformance!$J:$J,"&lt;=3"))</f>
        <v/>
      </c>
    </row>
    <row r="644" spans="5:16" ht="14.25" customHeight="1" x14ac:dyDescent="0.3">
      <c r="E644" s="6"/>
      <c r="I644" s="6"/>
      <c r="J644" s="6" t="str">
        <f>IF(A644="","",COUNTIF(RacePerformance!$F:$F,A644))</f>
        <v/>
      </c>
      <c r="K644" s="6" t="str">
        <f>IF(A644="","",IFERROR(AVERAGEIF(RacePerformance!$F:$F,A644,RacePerformance!$I:$I),""))</f>
        <v/>
      </c>
      <c r="L644" s="6" t="str">
        <f>IF(A644="","",IFERROR(AVERAGEIF(RacePerformance!$F:$F,A644,RacePerformance!$J:$J),""))</f>
        <v/>
      </c>
      <c r="M644" s="6" t="str">
        <f>IF(A644="","",IFERROR(AVERAGEIF(RacePerformance!$F:$F,A644,RacePerformance!$K:$K),""))</f>
        <v/>
      </c>
      <c r="N644" s="6" t="str">
        <f>IF(A644="","",COUNTIFS(RacePerformance!$F:$F,A644,RacePerformance!$I:$I,"&lt;=20"))</f>
        <v/>
      </c>
      <c r="O644" s="6" t="str">
        <f>IF(A644="","",COUNTIFS(RacePerformance!$F:$F,A644,RacePerformance!$I:$I,1))</f>
        <v/>
      </c>
      <c r="P644" s="6" t="str">
        <f>IF(A644="","",COUNTIFS(RacePerformance!$F:$F,A644,RacePerformance!$J:$J,"&lt;=3"))</f>
        <v/>
      </c>
    </row>
    <row r="645" spans="5:16" ht="14.25" customHeight="1" x14ac:dyDescent="0.3">
      <c r="E645" s="6"/>
      <c r="I645" s="6"/>
      <c r="J645" s="6" t="str">
        <f>IF(A645="","",COUNTIF(RacePerformance!$F:$F,A645))</f>
        <v/>
      </c>
      <c r="K645" s="6" t="str">
        <f>IF(A645="","",IFERROR(AVERAGEIF(RacePerformance!$F:$F,A645,RacePerformance!$I:$I),""))</f>
        <v/>
      </c>
      <c r="L645" s="6" t="str">
        <f>IF(A645="","",IFERROR(AVERAGEIF(RacePerformance!$F:$F,A645,RacePerformance!$J:$J),""))</f>
        <v/>
      </c>
      <c r="M645" s="6" t="str">
        <f>IF(A645="","",IFERROR(AVERAGEIF(RacePerformance!$F:$F,A645,RacePerformance!$K:$K),""))</f>
        <v/>
      </c>
      <c r="N645" s="6" t="str">
        <f>IF(A645="","",COUNTIFS(RacePerformance!$F:$F,A645,RacePerformance!$I:$I,"&lt;=20"))</f>
        <v/>
      </c>
      <c r="O645" s="6" t="str">
        <f>IF(A645="","",COUNTIFS(RacePerformance!$F:$F,A645,RacePerformance!$I:$I,1))</f>
        <v/>
      </c>
      <c r="P645" s="6" t="str">
        <f>IF(A645="","",COUNTIFS(RacePerformance!$F:$F,A645,RacePerformance!$J:$J,"&lt;=3"))</f>
        <v/>
      </c>
    </row>
    <row r="646" spans="5:16" ht="14.25" customHeight="1" x14ac:dyDescent="0.3">
      <c r="E646" s="6"/>
      <c r="I646" s="6"/>
      <c r="J646" s="6" t="str">
        <f>IF(A646="","",COUNTIF(RacePerformance!$F:$F,A646))</f>
        <v/>
      </c>
      <c r="K646" s="6" t="str">
        <f>IF(A646="","",IFERROR(AVERAGEIF(RacePerformance!$F:$F,A646,RacePerformance!$I:$I),""))</f>
        <v/>
      </c>
      <c r="L646" s="6" t="str">
        <f>IF(A646="","",IFERROR(AVERAGEIF(RacePerformance!$F:$F,A646,RacePerformance!$J:$J),""))</f>
        <v/>
      </c>
      <c r="M646" s="6" t="str">
        <f>IF(A646="","",IFERROR(AVERAGEIF(RacePerformance!$F:$F,A646,RacePerformance!$K:$K),""))</f>
        <v/>
      </c>
      <c r="N646" s="6" t="str">
        <f>IF(A646="","",COUNTIFS(RacePerformance!$F:$F,A646,RacePerformance!$I:$I,"&lt;=20"))</f>
        <v/>
      </c>
      <c r="O646" s="6" t="str">
        <f>IF(A646="","",COUNTIFS(RacePerformance!$F:$F,A646,RacePerformance!$I:$I,1))</f>
        <v/>
      </c>
      <c r="P646" s="6" t="str">
        <f>IF(A646="","",COUNTIFS(RacePerformance!$F:$F,A646,RacePerformance!$J:$J,"&lt;=3"))</f>
        <v/>
      </c>
    </row>
    <row r="647" spans="5:16" ht="14.25" customHeight="1" x14ac:dyDescent="0.3">
      <c r="E647" s="6"/>
      <c r="I647" s="6"/>
      <c r="J647" s="6" t="str">
        <f>IF(A647="","",COUNTIF(RacePerformance!$F:$F,A647))</f>
        <v/>
      </c>
      <c r="K647" s="6" t="str">
        <f>IF(A647="","",IFERROR(AVERAGEIF(RacePerformance!$F:$F,A647,RacePerformance!$I:$I),""))</f>
        <v/>
      </c>
      <c r="L647" s="6" t="str">
        <f>IF(A647="","",IFERROR(AVERAGEIF(RacePerformance!$F:$F,A647,RacePerformance!$J:$J),""))</f>
        <v/>
      </c>
      <c r="M647" s="6" t="str">
        <f>IF(A647="","",IFERROR(AVERAGEIF(RacePerformance!$F:$F,A647,RacePerformance!$K:$K),""))</f>
        <v/>
      </c>
      <c r="N647" s="6" t="str">
        <f>IF(A647="","",COUNTIFS(RacePerformance!$F:$F,A647,RacePerformance!$I:$I,"&lt;=20"))</f>
        <v/>
      </c>
      <c r="O647" s="6" t="str">
        <f>IF(A647="","",COUNTIFS(RacePerformance!$F:$F,A647,RacePerformance!$I:$I,1))</f>
        <v/>
      </c>
      <c r="P647" s="6" t="str">
        <f>IF(A647="","",COUNTIFS(RacePerformance!$F:$F,A647,RacePerformance!$J:$J,"&lt;=3"))</f>
        <v/>
      </c>
    </row>
    <row r="648" spans="5:16" ht="14.25" customHeight="1" x14ac:dyDescent="0.3">
      <c r="E648" s="6"/>
      <c r="I648" s="6"/>
      <c r="J648" s="6" t="str">
        <f>IF(A648="","",COUNTIF(RacePerformance!$F:$F,A648))</f>
        <v/>
      </c>
      <c r="K648" s="6" t="str">
        <f>IF(A648="","",IFERROR(AVERAGEIF(RacePerformance!$F:$F,A648,RacePerformance!$I:$I),""))</f>
        <v/>
      </c>
      <c r="L648" s="6" t="str">
        <f>IF(A648="","",IFERROR(AVERAGEIF(RacePerformance!$F:$F,A648,RacePerformance!$J:$J),""))</f>
        <v/>
      </c>
      <c r="M648" s="6" t="str">
        <f>IF(A648="","",IFERROR(AVERAGEIF(RacePerformance!$F:$F,A648,RacePerformance!$K:$K),""))</f>
        <v/>
      </c>
      <c r="N648" s="6" t="str">
        <f>IF(A648="","",COUNTIFS(RacePerformance!$F:$F,A648,RacePerformance!$I:$I,"&lt;=20"))</f>
        <v/>
      </c>
      <c r="O648" s="6" t="str">
        <f>IF(A648="","",COUNTIFS(RacePerformance!$F:$F,A648,RacePerformance!$I:$I,1))</f>
        <v/>
      </c>
      <c r="P648" s="6" t="str">
        <f>IF(A648="","",COUNTIFS(RacePerformance!$F:$F,A648,RacePerformance!$J:$J,"&lt;=3"))</f>
        <v/>
      </c>
    </row>
    <row r="649" spans="5:16" ht="14.25" customHeight="1" x14ac:dyDescent="0.3">
      <c r="E649" s="6"/>
      <c r="I649" s="6"/>
      <c r="J649" s="6" t="str">
        <f>IF(A649="","",COUNTIF(RacePerformance!$F:$F,A649))</f>
        <v/>
      </c>
      <c r="K649" s="6" t="str">
        <f>IF(A649="","",IFERROR(AVERAGEIF(RacePerformance!$F:$F,A649,RacePerformance!$I:$I),""))</f>
        <v/>
      </c>
      <c r="L649" s="6" t="str">
        <f>IF(A649="","",IFERROR(AVERAGEIF(RacePerformance!$F:$F,A649,RacePerformance!$J:$J),""))</f>
        <v/>
      </c>
      <c r="M649" s="6" t="str">
        <f>IF(A649="","",IFERROR(AVERAGEIF(RacePerformance!$F:$F,A649,RacePerformance!$K:$K),""))</f>
        <v/>
      </c>
      <c r="N649" s="6" t="str">
        <f>IF(A649="","",COUNTIFS(RacePerformance!$F:$F,A649,RacePerformance!$I:$I,"&lt;=20"))</f>
        <v/>
      </c>
      <c r="O649" s="6" t="str">
        <f>IF(A649="","",COUNTIFS(RacePerformance!$F:$F,A649,RacePerformance!$I:$I,1))</f>
        <v/>
      </c>
      <c r="P649" s="6" t="str">
        <f>IF(A649="","",COUNTIFS(RacePerformance!$F:$F,A649,RacePerformance!$J:$J,"&lt;=3"))</f>
        <v/>
      </c>
    </row>
    <row r="650" spans="5:16" ht="14.25" customHeight="1" x14ac:dyDescent="0.3">
      <c r="E650" s="6"/>
      <c r="I650" s="6"/>
      <c r="J650" s="6" t="str">
        <f>IF(A650="","",COUNTIF(RacePerformance!$F:$F,A650))</f>
        <v/>
      </c>
      <c r="K650" s="6" t="str">
        <f>IF(A650="","",IFERROR(AVERAGEIF(RacePerformance!$F:$F,A650,RacePerformance!$I:$I),""))</f>
        <v/>
      </c>
      <c r="L650" s="6" t="str">
        <f>IF(A650="","",IFERROR(AVERAGEIF(RacePerformance!$F:$F,A650,RacePerformance!$J:$J),""))</f>
        <v/>
      </c>
      <c r="M650" s="6" t="str">
        <f>IF(A650="","",IFERROR(AVERAGEIF(RacePerformance!$F:$F,A650,RacePerformance!$K:$K),""))</f>
        <v/>
      </c>
      <c r="N650" s="6" t="str">
        <f>IF(A650="","",COUNTIFS(RacePerformance!$F:$F,A650,RacePerformance!$I:$I,"&lt;=20"))</f>
        <v/>
      </c>
      <c r="O650" s="6" t="str">
        <f>IF(A650="","",COUNTIFS(RacePerformance!$F:$F,A650,RacePerformance!$I:$I,1))</f>
        <v/>
      </c>
      <c r="P650" s="6" t="str">
        <f>IF(A650="","",COUNTIFS(RacePerformance!$F:$F,A650,RacePerformance!$J:$J,"&lt;=3"))</f>
        <v/>
      </c>
    </row>
    <row r="651" spans="5:16" ht="14.25" customHeight="1" x14ac:dyDescent="0.3">
      <c r="E651" s="6"/>
      <c r="I651" s="6"/>
      <c r="J651" s="6" t="str">
        <f>IF(A651="","",COUNTIF(RacePerformance!$F:$F,A651))</f>
        <v/>
      </c>
      <c r="K651" s="6" t="str">
        <f>IF(A651="","",IFERROR(AVERAGEIF(RacePerformance!$F:$F,A651,RacePerformance!$I:$I),""))</f>
        <v/>
      </c>
      <c r="L651" s="6" t="str">
        <f>IF(A651="","",IFERROR(AVERAGEIF(RacePerformance!$F:$F,A651,RacePerformance!$J:$J),""))</f>
        <v/>
      </c>
      <c r="M651" s="6" t="str">
        <f>IF(A651="","",IFERROR(AVERAGEIF(RacePerformance!$F:$F,A651,RacePerformance!$K:$K),""))</f>
        <v/>
      </c>
      <c r="N651" s="6" t="str">
        <f>IF(A651="","",COUNTIFS(RacePerformance!$F:$F,A651,RacePerformance!$I:$I,"&lt;=20"))</f>
        <v/>
      </c>
      <c r="O651" s="6" t="str">
        <f>IF(A651="","",COUNTIFS(RacePerformance!$F:$F,A651,RacePerformance!$I:$I,1))</f>
        <v/>
      </c>
      <c r="P651" s="6" t="str">
        <f>IF(A651="","",COUNTIFS(RacePerformance!$F:$F,A651,RacePerformance!$J:$J,"&lt;=3"))</f>
        <v/>
      </c>
    </row>
    <row r="652" spans="5:16" ht="14.25" customHeight="1" x14ac:dyDescent="0.3">
      <c r="E652" s="6"/>
      <c r="I652" s="6"/>
      <c r="J652" s="6" t="str">
        <f>IF(A652="","",COUNTIF(RacePerformance!$F:$F,A652))</f>
        <v/>
      </c>
      <c r="K652" s="6" t="str">
        <f>IF(A652="","",IFERROR(AVERAGEIF(RacePerformance!$F:$F,A652,RacePerformance!$I:$I),""))</f>
        <v/>
      </c>
      <c r="L652" s="6" t="str">
        <f>IF(A652="","",IFERROR(AVERAGEIF(RacePerformance!$F:$F,A652,RacePerformance!$J:$J),""))</f>
        <v/>
      </c>
      <c r="M652" s="6" t="str">
        <f>IF(A652="","",IFERROR(AVERAGEIF(RacePerformance!$F:$F,A652,RacePerformance!$K:$K),""))</f>
        <v/>
      </c>
      <c r="N652" s="6" t="str">
        <f>IF(A652="","",COUNTIFS(RacePerformance!$F:$F,A652,RacePerformance!$I:$I,"&lt;=20"))</f>
        <v/>
      </c>
      <c r="O652" s="6" t="str">
        <f>IF(A652="","",COUNTIFS(RacePerformance!$F:$F,A652,RacePerformance!$I:$I,1))</f>
        <v/>
      </c>
      <c r="P652" s="6" t="str">
        <f>IF(A652="","",COUNTIFS(RacePerformance!$F:$F,A652,RacePerformance!$J:$J,"&lt;=3"))</f>
        <v/>
      </c>
    </row>
    <row r="653" spans="5:16" ht="14.25" customHeight="1" x14ac:dyDescent="0.3">
      <c r="E653" s="6"/>
      <c r="I653" s="6"/>
      <c r="J653" s="6" t="str">
        <f>IF(A653="","",COUNTIF(RacePerformance!$F:$F,A653))</f>
        <v/>
      </c>
      <c r="K653" s="6" t="str">
        <f>IF(A653="","",IFERROR(AVERAGEIF(RacePerformance!$F:$F,A653,RacePerformance!$I:$I),""))</f>
        <v/>
      </c>
      <c r="L653" s="6" t="str">
        <f>IF(A653="","",IFERROR(AVERAGEIF(RacePerformance!$F:$F,A653,RacePerformance!$J:$J),""))</f>
        <v/>
      </c>
      <c r="M653" s="6" t="str">
        <f>IF(A653="","",IFERROR(AVERAGEIF(RacePerformance!$F:$F,A653,RacePerformance!$K:$K),""))</f>
        <v/>
      </c>
      <c r="N653" s="6" t="str">
        <f>IF(A653="","",COUNTIFS(RacePerformance!$F:$F,A653,RacePerformance!$I:$I,"&lt;=20"))</f>
        <v/>
      </c>
      <c r="O653" s="6" t="str">
        <f>IF(A653="","",COUNTIFS(RacePerformance!$F:$F,A653,RacePerformance!$I:$I,1))</f>
        <v/>
      </c>
      <c r="P653" s="6" t="str">
        <f>IF(A653="","",COUNTIFS(RacePerformance!$F:$F,A653,RacePerformance!$J:$J,"&lt;=3"))</f>
        <v/>
      </c>
    </row>
    <row r="654" spans="5:16" ht="14.25" customHeight="1" x14ac:dyDescent="0.3">
      <c r="E654" s="6"/>
      <c r="I654" s="6"/>
      <c r="J654" s="6" t="str">
        <f>IF(A654="","",COUNTIF(RacePerformance!$F:$F,A654))</f>
        <v/>
      </c>
      <c r="K654" s="6" t="str">
        <f>IF(A654="","",IFERROR(AVERAGEIF(RacePerformance!$F:$F,A654,RacePerformance!$I:$I),""))</f>
        <v/>
      </c>
      <c r="L654" s="6" t="str">
        <f>IF(A654="","",IFERROR(AVERAGEIF(RacePerformance!$F:$F,A654,RacePerformance!$J:$J),""))</f>
        <v/>
      </c>
      <c r="M654" s="6" t="str">
        <f>IF(A654="","",IFERROR(AVERAGEIF(RacePerformance!$F:$F,A654,RacePerformance!$K:$K),""))</f>
        <v/>
      </c>
      <c r="N654" s="6" t="str">
        <f>IF(A654="","",COUNTIFS(RacePerformance!$F:$F,A654,RacePerformance!$I:$I,"&lt;=20"))</f>
        <v/>
      </c>
      <c r="O654" s="6" t="str">
        <f>IF(A654="","",COUNTIFS(RacePerformance!$F:$F,A654,RacePerformance!$I:$I,1))</f>
        <v/>
      </c>
      <c r="P654" s="6" t="str">
        <f>IF(A654="","",COUNTIFS(RacePerformance!$F:$F,A654,RacePerformance!$J:$J,"&lt;=3"))</f>
        <v/>
      </c>
    </row>
    <row r="655" spans="5:16" ht="14.25" customHeight="1" x14ac:dyDescent="0.3">
      <c r="E655" s="6"/>
      <c r="I655" s="6"/>
      <c r="J655" s="6" t="str">
        <f>IF(A655="","",COUNTIF(RacePerformance!$F:$F,A655))</f>
        <v/>
      </c>
      <c r="K655" s="6" t="str">
        <f>IF(A655="","",IFERROR(AVERAGEIF(RacePerformance!$F:$F,A655,RacePerformance!$I:$I),""))</f>
        <v/>
      </c>
      <c r="L655" s="6" t="str">
        <f>IF(A655="","",IFERROR(AVERAGEIF(RacePerformance!$F:$F,A655,RacePerformance!$J:$J),""))</f>
        <v/>
      </c>
      <c r="M655" s="6" t="str">
        <f>IF(A655="","",IFERROR(AVERAGEIF(RacePerformance!$F:$F,A655,RacePerformance!$K:$K),""))</f>
        <v/>
      </c>
      <c r="N655" s="6" t="str">
        <f>IF(A655="","",COUNTIFS(RacePerformance!$F:$F,A655,RacePerformance!$I:$I,"&lt;=20"))</f>
        <v/>
      </c>
      <c r="O655" s="6" t="str">
        <f>IF(A655="","",COUNTIFS(RacePerformance!$F:$F,A655,RacePerformance!$I:$I,1))</f>
        <v/>
      </c>
      <c r="P655" s="6" t="str">
        <f>IF(A655="","",COUNTIFS(RacePerformance!$F:$F,A655,RacePerformance!$J:$J,"&lt;=3"))</f>
        <v/>
      </c>
    </row>
    <row r="656" spans="5:16" ht="14.25" customHeight="1" x14ac:dyDescent="0.3">
      <c r="E656" s="6"/>
      <c r="I656" s="6"/>
      <c r="J656" s="6" t="str">
        <f>IF(A656="","",COUNTIF(RacePerformance!$F:$F,A656))</f>
        <v/>
      </c>
      <c r="K656" s="6" t="str">
        <f>IF(A656="","",IFERROR(AVERAGEIF(RacePerformance!$F:$F,A656,RacePerformance!$I:$I),""))</f>
        <v/>
      </c>
      <c r="L656" s="6" t="str">
        <f>IF(A656="","",IFERROR(AVERAGEIF(RacePerformance!$F:$F,A656,RacePerformance!$J:$J),""))</f>
        <v/>
      </c>
      <c r="M656" s="6" t="str">
        <f>IF(A656="","",IFERROR(AVERAGEIF(RacePerformance!$F:$F,A656,RacePerformance!$K:$K),""))</f>
        <v/>
      </c>
      <c r="N656" s="6" t="str">
        <f>IF(A656="","",COUNTIFS(RacePerformance!$F:$F,A656,RacePerformance!$I:$I,"&lt;=20"))</f>
        <v/>
      </c>
      <c r="O656" s="6" t="str">
        <f>IF(A656="","",COUNTIFS(RacePerformance!$F:$F,A656,RacePerformance!$I:$I,1))</f>
        <v/>
      </c>
      <c r="P656" s="6" t="str">
        <f>IF(A656="","",COUNTIFS(RacePerformance!$F:$F,A656,RacePerformance!$J:$J,"&lt;=3"))</f>
        <v/>
      </c>
    </row>
    <row r="657" spans="5:16" ht="14.25" customHeight="1" x14ac:dyDescent="0.3">
      <c r="E657" s="6"/>
      <c r="I657" s="6"/>
      <c r="J657" s="6" t="str">
        <f>IF(A657="","",COUNTIF(RacePerformance!$F:$F,A657))</f>
        <v/>
      </c>
      <c r="K657" s="6" t="str">
        <f>IF(A657="","",IFERROR(AVERAGEIF(RacePerformance!$F:$F,A657,RacePerformance!$I:$I),""))</f>
        <v/>
      </c>
      <c r="L657" s="6" t="str">
        <f>IF(A657="","",IFERROR(AVERAGEIF(RacePerformance!$F:$F,A657,RacePerformance!$J:$J),""))</f>
        <v/>
      </c>
      <c r="M657" s="6" t="str">
        <f>IF(A657="","",IFERROR(AVERAGEIF(RacePerformance!$F:$F,A657,RacePerformance!$K:$K),""))</f>
        <v/>
      </c>
      <c r="N657" s="6" t="str">
        <f>IF(A657="","",COUNTIFS(RacePerformance!$F:$F,A657,RacePerformance!$I:$I,"&lt;=20"))</f>
        <v/>
      </c>
      <c r="O657" s="6" t="str">
        <f>IF(A657="","",COUNTIFS(RacePerformance!$F:$F,A657,RacePerformance!$I:$I,1))</f>
        <v/>
      </c>
      <c r="P657" s="6" t="str">
        <f>IF(A657="","",COUNTIFS(RacePerformance!$F:$F,A657,RacePerformance!$J:$J,"&lt;=3"))</f>
        <v/>
      </c>
    </row>
    <row r="658" spans="5:16" ht="14.25" customHeight="1" x14ac:dyDescent="0.3">
      <c r="E658" s="6"/>
      <c r="I658" s="6"/>
      <c r="J658" s="6" t="str">
        <f>IF(A658="","",COUNTIF(RacePerformance!$F:$F,A658))</f>
        <v/>
      </c>
      <c r="K658" s="6" t="str">
        <f>IF(A658="","",IFERROR(AVERAGEIF(RacePerformance!$F:$F,A658,RacePerformance!$I:$I),""))</f>
        <v/>
      </c>
      <c r="L658" s="6" t="str">
        <f>IF(A658="","",IFERROR(AVERAGEIF(RacePerformance!$F:$F,A658,RacePerformance!$J:$J),""))</f>
        <v/>
      </c>
      <c r="M658" s="6" t="str">
        <f>IF(A658="","",IFERROR(AVERAGEIF(RacePerformance!$F:$F,A658,RacePerformance!$K:$K),""))</f>
        <v/>
      </c>
      <c r="N658" s="6" t="str">
        <f>IF(A658="","",COUNTIFS(RacePerformance!$F:$F,A658,RacePerformance!$I:$I,"&lt;=20"))</f>
        <v/>
      </c>
      <c r="O658" s="6" t="str">
        <f>IF(A658="","",COUNTIFS(RacePerformance!$F:$F,A658,RacePerformance!$I:$I,1))</f>
        <v/>
      </c>
      <c r="P658" s="6" t="str">
        <f>IF(A658="","",COUNTIFS(RacePerformance!$F:$F,A658,RacePerformance!$J:$J,"&lt;=3"))</f>
        <v/>
      </c>
    </row>
    <row r="659" spans="5:16" ht="14.25" customHeight="1" x14ac:dyDescent="0.3">
      <c r="E659" s="6"/>
      <c r="I659" s="6"/>
      <c r="J659" s="6" t="str">
        <f>IF(A659="","",COUNTIF(RacePerformance!$F:$F,A659))</f>
        <v/>
      </c>
      <c r="K659" s="6" t="str">
        <f>IF(A659="","",IFERROR(AVERAGEIF(RacePerformance!$F:$F,A659,RacePerformance!$I:$I),""))</f>
        <v/>
      </c>
      <c r="L659" s="6" t="str">
        <f>IF(A659="","",IFERROR(AVERAGEIF(RacePerformance!$F:$F,A659,RacePerformance!$J:$J),""))</f>
        <v/>
      </c>
      <c r="M659" s="6" t="str">
        <f>IF(A659="","",IFERROR(AVERAGEIF(RacePerformance!$F:$F,A659,RacePerformance!$K:$K),""))</f>
        <v/>
      </c>
      <c r="N659" s="6" t="str">
        <f>IF(A659="","",COUNTIFS(RacePerformance!$F:$F,A659,RacePerformance!$I:$I,"&lt;=20"))</f>
        <v/>
      </c>
      <c r="O659" s="6" t="str">
        <f>IF(A659="","",COUNTIFS(RacePerformance!$F:$F,A659,RacePerformance!$I:$I,1))</f>
        <v/>
      </c>
      <c r="P659" s="6" t="str">
        <f>IF(A659="","",COUNTIFS(RacePerformance!$F:$F,A659,RacePerformance!$J:$J,"&lt;=3"))</f>
        <v/>
      </c>
    </row>
    <row r="660" spans="5:16" ht="14.25" customHeight="1" x14ac:dyDescent="0.3">
      <c r="E660" s="6"/>
      <c r="I660" s="6"/>
      <c r="J660" s="6" t="str">
        <f>IF(A660="","",COUNTIF(RacePerformance!$F:$F,A660))</f>
        <v/>
      </c>
      <c r="K660" s="6" t="str">
        <f>IF(A660="","",IFERROR(AVERAGEIF(RacePerformance!$F:$F,A660,RacePerformance!$I:$I),""))</f>
        <v/>
      </c>
      <c r="L660" s="6" t="str">
        <f>IF(A660="","",IFERROR(AVERAGEIF(RacePerformance!$F:$F,A660,RacePerformance!$J:$J),""))</f>
        <v/>
      </c>
      <c r="M660" s="6" t="str">
        <f>IF(A660="","",IFERROR(AVERAGEIF(RacePerformance!$F:$F,A660,RacePerformance!$K:$K),""))</f>
        <v/>
      </c>
      <c r="N660" s="6" t="str">
        <f>IF(A660="","",COUNTIFS(RacePerformance!$F:$F,A660,RacePerformance!$I:$I,"&lt;=20"))</f>
        <v/>
      </c>
      <c r="O660" s="6" t="str">
        <f>IF(A660="","",COUNTIFS(RacePerformance!$F:$F,A660,RacePerformance!$I:$I,1))</f>
        <v/>
      </c>
      <c r="P660" s="6" t="str">
        <f>IF(A660="","",COUNTIFS(RacePerformance!$F:$F,A660,RacePerformance!$J:$J,"&lt;=3"))</f>
        <v/>
      </c>
    </row>
    <row r="661" spans="5:16" ht="14.25" customHeight="1" x14ac:dyDescent="0.3">
      <c r="E661" s="6"/>
      <c r="I661" s="6"/>
      <c r="J661" s="6" t="str">
        <f>IF(A661="","",COUNTIF(RacePerformance!$F:$F,A661))</f>
        <v/>
      </c>
      <c r="K661" s="6" t="str">
        <f>IF(A661="","",IFERROR(AVERAGEIF(RacePerformance!$F:$F,A661,RacePerformance!$I:$I),""))</f>
        <v/>
      </c>
      <c r="L661" s="6" t="str">
        <f>IF(A661="","",IFERROR(AVERAGEIF(RacePerformance!$F:$F,A661,RacePerformance!$J:$J),""))</f>
        <v/>
      </c>
      <c r="M661" s="6" t="str">
        <f>IF(A661="","",IFERROR(AVERAGEIF(RacePerformance!$F:$F,A661,RacePerformance!$K:$K),""))</f>
        <v/>
      </c>
      <c r="N661" s="6" t="str">
        <f>IF(A661="","",COUNTIFS(RacePerformance!$F:$F,A661,RacePerformance!$I:$I,"&lt;=20"))</f>
        <v/>
      </c>
      <c r="O661" s="6" t="str">
        <f>IF(A661="","",COUNTIFS(RacePerformance!$F:$F,A661,RacePerformance!$I:$I,1))</f>
        <v/>
      </c>
      <c r="P661" s="6" t="str">
        <f>IF(A661="","",COUNTIFS(RacePerformance!$F:$F,A661,RacePerformance!$J:$J,"&lt;=3"))</f>
        <v/>
      </c>
    </row>
    <row r="662" spans="5:16" ht="14.25" customHeight="1" x14ac:dyDescent="0.3">
      <c r="E662" s="6"/>
      <c r="I662" s="6"/>
      <c r="J662" s="6" t="str">
        <f>IF(A662="","",COUNTIF(RacePerformance!$F:$F,A662))</f>
        <v/>
      </c>
      <c r="K662" s="6" t="str">
        <f>IF(A662="","",IFERROR(AVERAGEIF(RacePerformance!$F:$F,A662,RacePerformance!$I:$I),""))</f>
        <v/>
      </c>
      <c r="L662" s="6" t="str">
        <f>IF(A662="","",IFERROR(AVERAGEIF(RacePerformance!$F:$F,A662,RacePerformance!$J:$J),""))</f>
        <v/>
      </c>
      <c r="M662" s="6" t="str">
        <f>IF(A662="","",IFERROR(AVERAGEIF(RacePerformance!$F:$F,A662,RacePerformance!$K:$K),""))</f>
        <v/>
      </c>
      <c r="N662" s="6" t="str">
        <f>IF(A662="","",COUNTIFS(RacePerformance!$F:$F,A662,RacePerformance!$I:$I,"&lt;=20"))</f>
        <v/>
      </c>
      <c r="O662" s="6" t="str">
        <f>IF(A662="","",COUNTIFS(RacePerformance!$F:$F,A662,RacePerformance!$I:$I,1))</f>
        <v/>
      </c>
      <c r="P662" s="6" t="str">
        <f>IF(A662="","",COUNTIFS(RacePerformance!$F:$F,A662,RacePerformance!$J:$J,"&lt;=3"))</f>
        <v/>
      </c>
    </row>
    <row r="663" spans="5:16" ht="14.25" customHeight="1" x14ac:dyDescent="0.3">
      <c r="E663" s="6"/>
      <c r="I663" s="6"/>
      <c r="J663" s="6" t="str">
        <f>IF(A663="","",COUNTIF(RacePerformance!$F:$F,A663))</f>
        <v/>
      </c>
      <c r="K663" s="6" t="str">
        <f>IF(A663="","",IFERROR(AVERAGEIF(RacePerformance!$F:$F,A663,RacePerformance!$I:$I),""))</f>
        <v/>
      </c>
      <c r="L663" s="6" t="str">
        <f>IF(A663="","",IFERROR(AVERAGEIF(RacePerformance!$F:$F,A663,RacePerformance!$J:$J),""))</f>
        <v/>
      </c>
      <c r="M663" s="6" t="str">
        <f>IF(A663="","",IFERROR(AVERAGEIF(RacePerformance!$F:$F,A663,RacePerformance!$K:$K),""))</f>
        <v/>
      </c>
      <c r="N663" s="6" t="str">
        <f>IF(A663="","",COUNTIFS(RacePerformance!$F:$F,A663,RacePerformance!$I:$I,"&lt;=20"))</f>
        <v/>
      </c>
      <c r="O663" s="6" t="str">
        <f>IF(A663="","",COUNTIFS(RacePerformance!$F:$F,A663,RacePerformance!$I:$I,1))</f>
        <v/>
      </c>
      <c r="P663" s="6" t="str">
        <f>IF(A663="","",COUNTIFS(RacePerformance!$F:$F,A663,RacePerformance!$J:$J,"&lt;=3"))</f>
        <v/>
      </c>
    </row>
    <row r="664" spans="5:16" ht="14.25" customHeight="1" x14ac:dyDescent="0.3">
      <c r="E664" s="6"/>
      <c r="I664" s="6"/>
      <c r="J664" s="6" t="str">
        <f>IF(A664="","",COUNTIF(RacePerformance!$F:$F,A664))</f>
        <v/>
      </c>
      <c r="K664" s="6" t="str">
        <f>IF(A664="","",IFERROR(AVERAGEIF(RacePerformance!$F:$F,A664,RacePerformance!$I:$I),""))</f>
        <v/>
      </c>
      <c r="L664" s="6" t="str">
        <f>IF(A664="","",IFERROR(AVERAGEIF(RacePerformance!$F:$F,A664,RacePerformance!$J:$J),""))</f>
        <v/>
      </c>
      <c r="M664" s="6" t="str">
        <f>IF(A664="","",IFERROR(AVERAGEIF(RacePerformance!$F:$F,A664,RacePerformance!$K:$K),""))</f>
        <v/>
      </c>
      <c r="N664" s="6" t="str">
        <f>IF(A664="","",COUNTIFS(RacePerformance!$F:$F,A664,RacePerformance!$I:$I,"&lt;=20"))</f>
        <v/>
      </c>
      <c r="O664" s="6" t="str">
        <f>IF(A664="","",COUNTIFS(RacePerformance!$F:$F,A664,RacePerformance!$I:$I,1))</f>
        <v/>
      </c>
      <c r="P664" s="6" t="str">
        <f>IF(A664="","",COUNTIFS(RacePerformance!$F:$F,A664,RacePerformance!$J:$J,"&lt;=3"))</f>
        <v/>
      </c>
    </row>
    <row r="665" spans="5:16" ht="14.25" customHeight="1" x14ac:dyDescent="0.3">
      <c r="E665" s="6"/>
      <c r="I665" s="6"/>
      <c r="J665" s="6" t="str">
        <f>IF(A665="","",COUNTIF(RacePerformance!$F:$F,A665))</f>
        <v/>
      </c>
      <c r="K665" s="6" t="str">
        <f>IF(A665="","",IFERROR(AVERAGEIF(RacePerformance!$F:$F,A665,RacePerformance!$I:$I),""))</f>
        <v/>
      </c>
      <c r="L665" s="6" t="str">
        <f>IF(A665="","",IFERROR(AVERAGEIF(RacePerformance!$F:$F,A665,RacePerformance!$J:$J),""))</f>
        <v/>
      </c>
      <c r="M665" s="6" t="str">
        <f>IF(A665="","",IFERROR(AVERAGEIF(RacePerformance!$F:$F,A665,RacePerformance!$K:$K),""))</f>
        <v/>
      </c>
      <c r="N665" s="6" t="str">
        <f>IF(A665="","",COUNTIFS(RacePerformance!$F:$F,A665,RacePerformance!$I:$I,"&lt;=20"))</f>
        <v/>
      </c>
      <c r="O665" s="6" t="str">
        <f>IF(A665="","",COUNTIFS(RacePerformance!$F:$F,A665,RacePerformance!$I:$I,1))</f>
        <v/>
      </c>
      <c r="P665" s="6" t="str">
        <f>IF(A665="","",COUNTIFS(RacePerformance!$F:$F,A665,RacePerformance!$J:$J,"&lt;=3"))</f>
        <v/>
      </c>
    </row>
    <row r="666" spans="5:16" ht="14.25" customHeight="1" x14ac:dyDescent="0.3">
      <c r="E666" s="6"/>
      <c r="I666" s="6"/>
      <c r="J666" s="6" t="str">
        <f>IF(A666="","",COUNTIF(RacePerformance!$F:$F,A666))</f>
        <v/>
      </c>
      <c r="K666" s="6" t="str">
        <f>IF(A666="","",IFERROR(AVERAGEIF(RacePerformance!$F:$F,A666,RacePerformance!$I:$I),""))</f>
        <v/>
      </c>
      <c r="L666" s="6" t="str">
        <f>IF(A666="","",IFERROR(AVERAGEIF(RacePerformance!$F:$F,A666,RacePerformance!$J:$J),""))</f>
        <v/>
      </c>
      <c r="M666" s="6" t="str">
        <f>IF(A666="","",IFERROR(AVERAGEIF(RacePerformance!$F:$F,A666,RacePerformance!$K:$K),""))</f>
        <v/>
      </c>
      <c r="N666" s="6" t="str">
        <f>IF(A666="","",COUNTIFS(RacePerformance!$F:$F,A666,RacePerformance!$I:$I,"&lt;=20"))</f>
        <v/>
      </c>
      <c r="O666" s="6" t="str">
        <f>IF(A666="","",COUNTIFS(RacePerformance!$F:$F,A666,RacePerformance!$I:$I,1))</f>
        <v/>
      </c>
      <c r="P666" s="6" t="str">
        <f>IF(A666="","",COUNTIFS(RacePerformance!$F:$F,A666,RacePerformance!$J:$J,"&lt;=3"))</f>
        <v/>
      </c>
    </row>
    <row r="667" spans="5:16" ht="14.25" customHeight="1" x14ac:dyDescent="0.3">
      <c r="E667" s="6"/>
      <c r="I667" s="6"/>
      <c r="J667" s="6" t="str">
        <f>IF(A667="","",COUNTIF(RacePerformance!$F:$F,A667))</f>
        <v/>
      </c>
      <c r="K667" s="6" t="str">
        <f>IF(A667="","",IFERROR(AVERAGEIF(RacePerformance!$F:$F,A667,RacePerformance!$I:$I),""))</f>
        <v/>
      </c>
      <c r="L667" s="6" t="str">
        <f>IF(A667="","",IFERROR(AVERAGEIF(RacePerformance!$F:$F,A667,RacePerformance!$J:$J),""))</f>
        <v/>
      </c>
      <c r="M667" s="6" t="str">
        <f>IF(A667="","",IFERROR(AVERAGEIF(RacePerformance!$F:$F,A667,RacePerformance!$K:$K),""))</f>
        <v/>
      </c>
      <c r="N667" s="6" t="str">
        <f>IF(A667="","",COUNTIFS(RacePerformance!$F:$F,A667,RacePerformance!$I:$I,"&lt;=20"))</f>
        <v/>
      </c>
      <c r="O667" s="6" t="str">
        <f>IF(A667="","",COUNTIFS(RacePerformance!$F:$F,A667,RacePerformance!$I:$I,1))</f>
        <v/>
      </c>
      <c r="P667" s="6" t="str">
        <f>IF(A667="","",COUNTIFS(RacePerformance!$F:$F,A667,RacePerformance!$J:$J,"&lt;=3"))</f>
        <v/>
      </c>
    </row>
    <row r="668" spans="5:16" ht="14.25" customHeight="1" x14ac:dyDescent="0.3">
      <c r="E668" s="6"/>
      <c r="I668" s="6"/>
      <c r="J668" s="6" t="str">
        <f>IF(A668="","",COUNTIF(RacePerformance!$F:$F,A668))</f>
        <v/>
      </c>
      <c r="K668" s="6" t="str">
        <f>IF(A668="","",IFERROR(AVERAGEIF(RacePerformance!$F:$F,A668,RacePerformance!$I:$I),""))</f>
        <v/>
      </c>
      <c r="L668" s="6" t="str">
        <f>IF(A668="","",IFERROR(AVERAGEIF(RacePerformance!$F:$F,A668,RacePerformance!$J:$J),""))</f>
        <v/>
      </c>
      <c r="M668" s="6" t="str">
        <f>IF(A668="","",IFERROR(AVERAGEIF(RacePerformance!$F:$F,A668,RacePerformance!$K:$K),""))</f>
        <v/>
      </c>
      <c r="N668" s="6" t="str">
        <f>IF(A668="","",COUNTIFS(RacePerformance!$F:$F,A668,RacePerformance!$I:$I,"&lt;=20"))</f>
        <v/>
      </c>
      <c r="O668" s="6" t="str">
        <f>IF(A668="","",COUNTIFS(RacePerformance!$F:$F,A668,RacePerformance!$I:$I,1))</f>
        <v/>
      </c>
      <c r="P668" s="6" t="str">
        <f>IF(A668="","",COUNTIFS(RacePerformance!$F:$F,A668,RacePerformance!$J:$J,"&lt;=3"))</f>
        <v/>
      </c>
    </row>
    <row r="669" spans="5:16" ht="14.25" customHeight="1" x14ac:dyDescent="0.3">
      <c r="E669" s="6"/>
      <c r="I669" s="6"/>
      <c r="J669" s="6" t="str">
        <f>IF(A669="","",COUNTIF(RacePerformance!$F:$F,A669))</f>
        <v/>
      </c>
      <c r="K669" s="6" t="str">
        <f>IF(A669="","",IFERROR(AVERAGEIF(RacePerformance!$F:$F,A669,RacePerformance!$I:$I),""))</f>
        <v/>
      </c>
      <c r="L669" s="6" t="str">
        <f>IF(A669="","",IFERROR(AVERAGEIF(RacePerformance!$F:$F,A669,RacePerformance!$J:$J),""))</f>
        <v/>
      </c>
      <c r="M669" s="6" t="str">
        <f>IF(A669="","",IFERROR(AVERAGEIF(RacePerformance!$F:$F,A669,RacePerformance!$K:$K),""))</f>
        <v/>
      </c>
      <c r="N669" s="6" t="str">
        <f>IF(A669="","",COUNTIFS(RacePerformance!$F:$F,A669,RacePerformance!$I:$I,"&lt;=20"))</f>
        <v/>
      </c>
      <c r="O669" s="6" t="str">
        <f>IF(A669="","",COUNTIFS(RacePerformance!$F:$F,A669,RacePerformance!$I:$I,1))</f>
        <v/>
      </c>
      <c r="P669" s="6" t="str">
        <f>IF(A669="","",COUNTIFS(RacePerformance!$F:$F,A669,RacePerformance!$J:$J,"&lt;=3"))</f>
        <v/>
      </c>
    </row>
    <row r="670" spans="5:16" ht="14.25" customHeight="1" x14ac:dyDescent="0.3">
      <c r="E670" s="6"/>
      <c r="I670" s="6"/>
      <c r="J670" s="6" t="str">
        <f>IF(A670="","",COUNTIF(RacePerformance!$F:$F,A670))</f>
        <v/>
      </c>
      <c r="K670" s="6" t="str">
        <f>IF(A670="","",IFERROR(AVERAGEIF(RacePerformance!$F:$F,A670,RacePerformance!$I:$I),""))</f>
        <v/>
      </c>
      <c r="L670" s="6" t="str">
        <f>IF(A670="","",IFERROR(AVERAGEIF(RacePerformance!$F:$F,A670,RacePerformance!$J:$J),""))</f>
        <v/>
      </c>
      <c r="M670" s="6" t="str">
        <f>IF(A670="","",IFERROR(AVERAGEIF(RacePerformance!$F:$F,A670,RacePerformance!$K:$K),""))</f>
        <v/>
      </c>
      <c r="N670" s="6" t="str">
        <f>IF(A670="","",COUNTIFS(RacePerformance!$F:$F,A670,RacePerformance!$I:$I,"&lt;=20"))</f>
        <v/>
      </c>
      <c r="O670" s="6" t="str">
        <f>IF(A670="","",COUNTIFS(RacePerformance!$F:$F,A670,RacePerformance!$I:$I,1))</f>
        <v/>
      </c>
      <c r="P670" s="6" t="str">
        <f>IF(A670="","",COUNTIFS(RacePerformance!$F:$F,A670,RacePerformance!$J:$J,"&lt;=3"))</f>
        <v/>
      </c>
    </row>
    <row r="671" spans="5:16" ht="14.25" customHeight="1" x14ac:dyDescent="0.3">
      <c r="E671" s="6"/>
      <c r="I671" s="6"/>
      <c r="J671" s="6" t="str">
        <f>IF(A671="","",COUNTIF(RacePerformance!$F:$F,A671))</f>
        <v/>
      </c>
      <c r="K671" s="6" t="str">
        <f>IF(A671="","",IFERROR(AVERAGEIF(RacePerformance!$F:$F,A671,RacePerformance!$I:$I),""))</f>
        <v/>
      </c>
      <c r="L671" s="6" t="str">
        <f>IF(A671="","",IFERROR(AVERAGEIF(RacePerformance!$F:$F,A671,RacePerformance!$J:$J),""))</f>
        <v/>
      </c>
      <c r="M671" s="6" t="str">
        <f>IF(A671="","",IFERROR(AVERAGEIF(RacePerformance!$F:$F,A671,RacePerformance!$K:$K),""))</f>
        <v/>
      </c>
      <c r="N671" s="6" t="str">
        <f>IF(A671="","",COUNTIFS(RacePerformance!$F:$F,A671,RacePerformance!$I:$I,"&lt;=20"))</f>
        <v/>
      </c>
      <c r="O671" s="6" t="str">
        <f>IF(A671="","",COUNTIFS(RacePerformance!$F:$F,A671,RacePerformance!$I:$I,1))</f>
        <v/>
      </c>
      <c r="P671" s="6" t="str">
        <f>IF(A671="","",COUNTIFS(RacePerformance!$F:$F,A671,RacePerformance!$J:$J,"&lt;=3"))</f>
        <v/>
      </c>
    </row>
    <row r="672" spans="5:16" ht="14.25" customHeight="1" x14ac:dyDescent="0.3">
      <c r="E672" s="6"/>
      <c r="I672" s="6"/>
      <c r="J672" s="6" t="str">
        <f>IF(A672="","",COUNTIF(RacePerformance!$F:$F,A672))</f>
        <v/>
      </c>
      <c r="K672" s="6" t="str">
        <f>IF(A672="","",IFERROR(AVERAGEIF(RacePerformance!$F:$F,A672,RacePerformance!$I:$I),""))</f>
        <v/>
      </c>
      <c r="L672" s="6" t="str">
        <f>IF(A672="","",IFERROR(AVERAGEIF(RacePerformance!$F:$F,A672,RacePerformance!$J:$J),""))</f>
        <v/>
      </c>
      <c r="M672" s="6" t="str">
        <f>IF(A672="","",IFERROR(AVERAGEIF(RacePerformance!$F:$F,A672,RacePerformance!$K:$K),""))</f>
        <v/>
      </c>
      <c r="N672" s="6" t="str">
        <f>IF(A672="","",COUNTIFS(RacePerformance!$F:$F,A672,RacePerformance!$I:$I,"&lt;=20"))</f>
        <v/>
      </c>
      <c r="O672" s="6" t="str">
        <f>IF(A672="","",COUNTIFS(RacePerformance!$F:$F,A672,RacePerformance!$I:$I,1))</f>
        <v/>
      </c>
      <c r="P672" s="6" t="str">
        <f>IF(A672="","",COUNTIFS(RacePerformance!$F:$F,A672,RacePerformance!$J:$J,"&lt;=3"))</f>
        <v/>
      </c>
    </row>
    <row r="673" spans="5:16" ht="14.25" customHeight="1" x14ac:dyDescent="0.3">
      <c r="E673" s="6"/>
      <c r="I673" s="6"/>
      <c r="J673" s="6" t="str">
        <f>IF(A673="","",COUNTIF(RacePerformance!$F:$F,A673))</f>
        <v/>
      </c>
      <c r="K673" s="6" t="str">
        <f>IF(A673="","",IFERROR(AVERAGEIF(RacePerformance!$F:$F,A673,RacePerformance!$I:$I),""))</f>
        <v/>
      </c>
      <c r="L673" s="6" t="str">
        <f>IF(A673="","",IFERROR(AVERAGEIF(RacePerformance!$F:$F,A673,RacePerformance!$J:$J),""))</f>
        <v/>
      </c>
      <c r="M673" s="6" t="str">
        <f>IF(A673="","",IFERROR(AVERAGEIF(RacePerformance!$F:$F,A673,RacePerformance!$K:$K),""))</f>
        <v/>
      </c>
      <c r="N673" s="6" t="str">
        <f>IF(A673="","",COUNTIFS(RacePerformance!$F:$F,A673,RacePerformance!$I:$I,"&lt;=20"))</f>
        <v/>
      </c>
      <c r="O673" s="6" t="str">
        <f>IF(A673="","",COUNTIFS(RacePerformance!$F:$F,A673,RacePerformance!$I:$I,1))</f>
        <v/>
      </c>
      <c r="P673" s="6" t="str">
        <f>IF(A673="","",COUNTIFS(RacePerformance!$F:$F,A673,RacePerformance!$J:$J,"&lt;=3"))</f>
        <v/>
      </c>
    </row>
    <row r="674" spans="5:16" ht="14.25" customHeight="1" x14ac:dyDescent="0.3">
      <c r="E674" s="6"/>
      <c r="I674" s="6"/>
      <c r="J674" s="6" t="str">
        <f>IF(A674="","",COUNTIF(RacePerformance!$F:$F,A674))</f>
        <v/>
      </c>
      <c r="K674" s="6" t="str">
        <f>IF(A674="","",IFERROR(AVERAGEIF(RacePerformance!$F:$F,A674,RacePerformance!$I:$I),""))</f>
        <v/>
      </c>
      <c r="L674" s="6" t="str">
        <f>IF(A674="","",IFERROR(AVERAGEIF(RacePerformance!$F:$F,A674,RacePerformance!$J:$J),""))</f>
        <v/>
      </c>
      <c r="M674" s="6" t="str">
        <f>IF(A674="","",IFERROR(AVERAGEIF(RacePerformance!$F:$F,A674,RacePerformance!$K:$K),""))</f>
        <v/>
      </c>
      <c r="N674" s="6" t="str">
        <f>IF(A674="","",COUNTIFS(RacePerformance!$F:$F,A674,RacePerformance!$I:$I,"&lt;=20"))</f>
        <v/>
      </c>
      <c r="O674" s="6" t="str">
        <f>IF(A674="","",COUNTIFS(RacePerformance!$F:$F,A674,RacePerformance!$I:$I,1))</f>
        <v/>
      </c>
      <c r="P674" s="6" t="str">
        <f>IF(A674="","",COUNTIFS(RacePerformance!$F:$F,A674,RacePerformance!$J:$J,"&lt;=3"))</f>
        <v/>
      </c>
    </row>
    <row r="675" spans="5:16" ht="14.25" customHeight="1" x14ac:dyDescent="0.3">
      <c r="E675" s="6"/>
      <c r="I675" s="6"/>
      <c r="J675" s="6" t="str">
        <f>IF(A675="","",COUNTIF(RacePerformance!$F:$F,A675))</f>
        <v/>
      </c>
      <c r="K675" s="6" t="str">
        <f>IF(A675="","",IFERROR(AVERAGEIF(RacePerformance!$F:$F,A675,RacePerformance!$I:$I),""))</f>
        <v/>
      </c>
      <c r="L675" s="6" t="str">
        <f>IF(A675="","",IFERROR(AVERAGEIF(RacePerformance!$F:$F,A675,RacePerformance!$J:$J),""))</f>
        <v/>
      </c>
      <c r="M675" s="6" t="str">
        <f>IF(A675="","",IFERROR(AVERAGEIF(RacePerformance!$F:$F,A675,RacePerformance!$K:$K),""))</f>
        <v/>
      </c>
      <c r="N675" s="6" t="str">
        <f>IF(A675="","",COUNTIFS(RacePerformance!$F:$F,A675,RacePerformance!$I:$I,"&lt;=20"))</f>
        <v/>
      </c>
      <c r="O675" s="6" t="str">
        <f>IF(A675="","",COUNTIFS(RacePerformance!$F:$F,A675,RacePerformance!$I:$I,1))</f>
        <v/>
      </c>
      <c r="P675" s="6" t="str">
        <f>IF(A675="","",COUNTIFS(RacePerformance!$F:$F,A675,RacePerformance!$J:$J,"&lt;=3"))</f>
        <v/>
      </c>
    </row>
    <row r="676" spans="5:16" ht="14.25" customHeight="1" x14ac:dyDescent="0.3">
      <c r="E676" s="6"/>
      <c r="I676" s="6"/>
      <c r="J676" s="6" t="str">
        <f>IF(A676="","",COUNTIF(RacePerformance!$F:$F,A676))</f>
        <v/>
      </c>
      <c r="K676" s="6" t="str">
        <f>IF(A676="","",IFERROR(AVERAGEIF(RacePerformance!$F:$F,A676,RacePerformance!$I:$I),""))</f>
        <v/>
      </c>
      <c r="L676" s="6" t="str">
        <f>IF(A676="","",IFERROR(AVERAGEIF(RacePerformance!$F:$F,A676,RacePerformance!$J:$J),""))</f>
        <v/>
      </c>
      <c r="M676" s="6" t="str">
        <f>IF(A676="","",IFERROR(AVERAGEIF(RacePerformance!$F:$F,A676,RacePerformance!$K:$K),""))</f>
        <v/>
      </c>
      <c r="N676" s="6" t="str">
        <f>IF(A676="","",COUNTIFS(RacePerformance!$F:$F,A676,RacePerformance!$I:$I,"&lt;=20"))</f>
        <v/>
      </c>
      <c r="O676" s="6" t="str">
        <f>IF(A676="","",COUNTIFS(RacePerformance!$F:$F,A676,RacePerformance!$I:$I,1))</f>
        <v/>
      </c>
      <c r="P676" s="6" t="str">
        <f>IF(A676="","",COUNTIFS(RacePerformance!$F:$F,A676,RacePerformance!$J:$J,"&lt;=3"))</f>
        <v/>
      </c>
    </row>
    <row r="677" spans="5:16" ht="14.25" customHeight="1" x14ac:dyDescent="0.3">
      <c r="E677" s="6"/>
      <c r="I677" s="6"/>
      <c r="J677" s="6" t="str">
        <f>IF(A677="","",COUNTIF(RacePerformance!$F:$F,A677))</f>
        <v/>
      </c>
      <c r="K677" s="6" t="str">
        <f>IF(A677="","",IFERROR(AVERAGEIF(RacePerformance!$F:$F,A677,RacePerformance!$I:$I),""))</f>
        <v/>
      </c>
      <c r="L677" s="6" t="str">
        <f>IF(A677="","",IFERROR(AVERAGEIF(RacePerformance!$F:$F,A677,RacePerformance!$J:$J),""))</f>
        <v/>
      </c>
      <c r="M677" s="6" t="str">
        <f>IF(A677="","",IFERROR(AVERAGEIF(RacePerformance!$F:$F,A677,RacePerformance!$K:$K),""))</f>
        <v/>
      </c>
      <c r="N677" s="6" t="str">
        <f>IF(A677="","",COUNTIFS(RacePerformance!$F:$F,A677,RacePerformance!$I:$I,"&lt;=20"))</f>
        <v/>
      </c>
      <c r="O677" s="6" t="str">
        <f>IF(A677="","",COUNTIFS(RacePerformance!$F:$F,A677,RacePerformance!$I:$I,1))</f>
        <v/>
      </c>
      <c r="P677" s="6" t="str">
        <f>IF(A677="","",COUNTIFS(RacePerformance!$F:$F,A677,RacePerformance!$J:$J,"&lt;=3"))</f>
        <v/>
      </c>
    </row>
    <row r="678" spans="5:16" ht="14.25" customHeight="1" x14ac:dyDescent="0.3">
      <c r="E678" s="6"/>
      <c r="I678" s="6"/>
      <c r="J678" s="6" t="str">
        <f>IF(A678="","",COUNTIF(RacePerformance!$F:$F,A678))</f>
        <v/>
      </c>
      <c r="K678" s="6" t="str">
        <f>IF(A678="","",IFERROR(AVERAGEIF(RacePerformance!$F:$F,A678,RacePerformance!$I:$I),""))</f>
        <v/>
      </c>
      <c r="L678" s="6" t="str">
        <f>IF(A678="","",IFERROR(AVERAGEIF(RacePerformance!$F:$F,A678,RacePerformance!$J:$J),""))</f>
        <v/>
      </c>
      <c r="M678" s="6" t="str">
        <f>IF(A678="","",IFERROR(AVERAGEIF(RacePerformance!$F:$F,A678,RacePerformance!$K:$K),""))</f>
        <v/>
      </c>
      <c r="N678" s="6" t="str">
        <f>IF(A678="","",COUNTIFS(RacePerformance!$F:$F,A678,RacePerformance!$I:$I,"&lt;=20"))</f>
        <v/>
      </c>
      <c r="O678" s="6" t="str">
        <f>IF(A678="","",COUNTIFS(RacePerformance!$F:$F,A678,RacePerformance!$I:$I,1))</f>
        <v/>
      </c>
      <c r="P678" s="6" t="str">
        <f>IF(A678="","",COUNTIFS(RacePerformance!$F:$F,A678,RacePerformance!$J:$J,"&lt;=3"))</f>
        <v/>
      </c>
    </row>
    <row r="679" spans="5:16" ht="14.25" customHeight="1" x14ac:dyDescent="0.3">
      <c r="E679" s="6"/>
      <c r="I679" s="6"/>
      <c r="J679" s="6" t="str">
        <f>IF(A679="","",COUNTIF(RacePerformance!$F:$F,A679))</f>
        <v/>
      </c>
      <c r="K679" s="6" t="str">
        <f>IF(A679="","",IFERROR(AVERAGEIF(RacePerformance!$F:$F,A679,RacePerformance!$I:$I),""))</f>
        <v/>
      </c>
      <c r="L679" s="6" t="str">
        <f>IF(A679="","",IFERROR(AVERAGEIF(RacePerformance!$F:$F,A679,RacePerformance!$J:$J),""))</f>
        <v/>
      </c>
      <c r="M679" s="6" t="str">
        <f>IF(A679="","",IFERROR(AVERAGEIF(RacePerformance!$F:$F,A679,RacePerformance!$K:$K),""))</f>
        <v/>
      </c>
      <c r="N679" s="6" t="str">
        <f>IF(A679="","",COUNTIFS(RacePerformance!$F:$F,A679,RacePerformance!$I:$I,"&lt;=20"))</f>
        <v/>
      </c>
      <c r="O679" s="6" t="str">
        <f>IF(A679="","",COUNTIFS(RacePerformance!$F:$F,A679,RacePerformance!$I:$I,1))</f>
        <v/>
      </c>
      <c r="P679" s="6" t="str">
        <f>IF(A679="","",COUNTIFS(RacePerformance!$F:$F,A679,RacePerformance!$J:$J,"&lt;=3"))</f>
        <v/>
      </c>
    </row>
    <row r="680" spans="5:16" ht="14.25" customHeight="1" x14ac:dyDescent="0.3">
      <c r="E680" s="6"/>
      <c r="I680" s="6"/>
      <c r="J680" s="6" t="str">
        <f>IF(A680="","",COUNTIF(RacePerformance!$F:$F,A680))</f>
        <v/>
      </c>
      <c r="K680" s="6" t="str">
        <f>IF(A680="","",IFERROR(AVERAGEIF(RacePerformance!$F:$F,A680,RacePerformance!$I:$I),""))</f>
        <v/>
      </c>
      <c r="L680" s="6" t="str">
        <f>IF(A680="","",IFERROR(AVERAGEIF(RacePerformance!$F:$F,A680,RacePerformance!$J:$J),""))</f>
        <v/>
      </c>
      <c r="M680" s="6" t="str">
        <f>IF(A680="","",IFERROR(AVERAGEIF(RacePerformance!$F:$F,A680,RacePerformance!$K:$K),""))</f>
        <v/>
      </c>
      <c r="N680" s="6" t="str">
        <f>IF(A680="","",COUNTIFS(RacePerformance!$F:$F,A680,RacePerformance!$I:$I,"&lt;=20"))</f>
        <v/>
      </c>
      <c r="O680" s="6" t="str">
        <f>IF(A680="","",COUNTIFS(RacePerformance!$F:$F,A680,RacePerformance!$I:$I,1))</f>
        <v/>
      </c>
      <c r="P680" s="6" t="str">
        <f>IF(A680="","",COUNTIFS(RacePerformance!$F:$F,A680,RacePerformance!$J:$J,"&lt;=3"))</f>
        <v/>
      </c>
    </row>
    <row r="681" spans="5:16" ht="14.25" customHeight="1" x14ac:dyDescent="0.3">
      <c r="E681" s="6"/>
      <c r="I681" s="6"/>
      <c r="J681" s="6" t="str">
        <f>IF(A681="","",COUNTIF(RacePerformance!$F:$F,A681))</f>
        <v/>
      </c>
      <c r="K681" s="6" t="str">
        <f>IF(A681="","",IFERROR(AVERAGEIF(RacePerformance!$F:$F,A681,RacePerformance!$I:$I),""))</f>
        <v/>
      </c>
      <c r="L681" s="6" t="str">
        <f>IF(A681="","",IFERROR(AVERAGEIF(RacePerformance!$F:$F,A681,RacePerformance!$J:$J),""))</f>
        <v/>
      </c>
      <c r="M681" s="6" t="str">
        <f>IF(A681="","",IFERROR(AVERAGEIF(RacePerformance!$F:$F,A681,RacePerformance!$K:$K),""))</f>
        <v/>
      </c>
      <c r="N681" s="6" t="str">
        <f>IF(A681="","",COUNTIFS(RacePerformance!$F:$F,A681,RacePerformance!$I:$I,"&lt;=20"))</f>
        <v/>
      </c>
      <c r="O681" s="6" t="str">
        <f>IF(A681="","",COUNTIFS(RacePerformance!$F:$F,A681,RacePerformance!$I:$I,1))</f>
        <v/>
      </c>
      <c r="P681" s="6" t="str">
        <f>IF(A681="","",COUNTIFS(RacePerformance!$F:$F,A681,RacePerformance!$J:$J,"&lt;=3"))</f>
        <v/>
      </c>
    </row>
    <row r="682" spans="5:16" ht="14.25" customHeight="1" x14ac:dyDescent="0.3">
      <c r="E682" s="6"/>
      <c r="I682" s="6"/>
      <c r="J682" s="6" t="str">
        <f>IF(A682="","",COUNTIF(RacePerformance!$F:$F,A682))</f>
        <v/>
      </c>
      <c r="K682" s="6" t="str">
        <f>IF(A682="","",IFERROR(AVERAGEIF(RacePerformance!$F:$F,A682,RacePerformance!$I:$I),""))</f>
        <v/>
      </c>
      <c r="L682" s="6" t="str">
        <f>IF(A682="","",IFERROR(AVERAGEIF(RacePerformance!$F:$F,A682,RacePerformance!$J:$J),""))</f>
        <v/>
      </c>
      <c r="M682" s="6" t="str">
        <f>IF(A682="","",IFERROR(AVERAGEIF(RacePerformance!$F:$F,A682,RacePerformance!$K:$K),""))</f>
        <v/>
      </c>
      <c r="N682" s="6" t="str">
        <f>IF(A682="","",COUNTIFS(RacePerformance!$F:$F,A682,RacePerformance!$I:$I,"&lt;=20"))</f>
        <v/>
      </c>
      <c r="O682" s="6" t="str">
        <f>IF(A682="","",COUNTIFS(RacePerformance!$F:$F,A682,RacePerformance!$I:$I,1))</f>
        <v/>
      </c>
      <c r="P682" s="6" t="str">
        <f>IF(A682="","",COUNTIFS(RacePerformance!$F:$F,A682,RacePerformance!$J:$J,"&lt;=3"))</f>
        <v/>
      </c>
    </row>
    <row r="683" spans="5:16" ht="14.25" customHeight="1" x14ac:dyDescent="0.3">
      <c r="E683" s="6"/>
      <c r="I683" s="6"/>
      <c r="J683" s="6" t="str">
        <f>IF(A683="","",COUNTIF(RacePerformance!$F:$F,A683))</f>
        <v/>
      </c>
      <c r="K683" s="6" t="str">
        <f>IF(A683="","",IFERROR(AVERAGEIF(RacePerformance!$F:$F,A683,RacePerformance!$I:$I),""))</f>
        <v/>
      </c>
      <c r="L683" s="6" t="str">
        <f>IF(A683="","",IFERROR(AVERAGEIF(RacePerformance!$F:$F,A683,RacePerformance!$J:$J),""))</f>
        <v/>
      </c>
      <c r="M683" s="6" t="str">
        <f>IF(A683="","",IFERROR(AVERAGEIF(RacePerformance!$F:$F,A683,RacePerformance!$K:$K),""))</f>
        <v/>
      </c>
      <c r="N683" s="6" t="str">
        <f>IF(A683="","",COUNTIFS(RacePerformance!$F:$F,A683,RacePerformance!$I:$I,"&lt;=20"))</f>
        <v/>
      </c>
      <c r="O683" s="6" t="str">
        <f>IF(A683="","",COUNTIFS(RacePerformance!$F:$F,A683,RacePerformance!$I:$I,1))</f>
        <v/>
      </c>
      <c r="P683" s="6" t="str">
        <f>IF(A683="","",COUNTIFS(RacePerformance!$F:$F,A683,RacePerformance!$J:$J,"&lt;=3"))</f>
        <v/>
      </c>
    </row>
    <row r="684" spans="5:16" ht="14.25" customHeight="1" x14ac:dyDescent="0.3">
      <c r="E684" s="6"/>
      <c r="I684" s="6"/>
      <c r="J684" s="6" t="str">
        <f>IF(A684="","",COUNTIF(RacePerformance!$F:$F,A684))</f>
        <v/>
      </c>
      <c r="K684" s="6" t="str">
        <f>IF(A684="","",IFERROR(AVERAGEIF(RacePerformance!$F:$F,A684,RacePerformance!$I:$I),""))</f>
        <v/>
      </c>
      <c r="L684" s="6" t="str">
        <f>IF(A684="","",IFERROR(AVERAGEIF(RacePerformance!$F:$F,A684,RacePerformance!$J:$J),""))</f>
        <v/>
      </c>
      <c r="M684" s="6" t="str">
        <f>IF(A684="","",IFERROR(AVERAGEIF(RacePerformance!$F:$F,A684,RacePerformance!$K:$K),""))</f>
        <v/>
      </c>
      <c r="N684" s="6" t="str">
        <f>IF(A684="","",COUNTIFS(RacePerformance!$F:$F,A684,RacePerformance!$I:$I,"&lt;=20"))</f>
        <v/>
      </c>
      <c r="O684" s="6" t="str">
        <f>IF(A684="","",COUNTIFS(RacePerformance!$F:$F,A684,RacePerformance!$I:$I,1))</f>
        <v/>
      </c>
      <c r="P684" s="6" t="str">
        <f>IF(A684="","",COUNTIFS(RacePerformance!$F:$F,A684,RacePerformance!$J:$J,"&lt;=3"))</f>
        <v/>
      </c>
    </row>
    <row r="685" spans="5:16" ht="14.25" customHeight="1" x14ac:dyDescent="0.3">
      <c r="E685" s="6"/>
      <c r="I685" s="6"/>
      <c r="J685" s="6" t="str">
        <f>IF(A685="","",COUNTIF(RacePerformance!$F:$F,A685))</f>
        <v/>
      </c>
      <c r="K685" s="6" t="str">
        <f>IF(A685="","",IFERROR(AVERAGEIF(RacePerformance!$F:$F,A685,RacePerformance!$I:$I),""))</f>
        <v/>
      </c>
      <c r="L685" s="6" t="str">
        <f>IF(A685="","",IFERROR(AVERAGEIF(RacePerformance!$F:$F,A685,RacePerformance!$J:$J),""))</f>
        <v/>
      </c>
      <c r="M685" s="6" t="str">
        <f>IF(A685="","",IFERROR(AVERAGEIF(RacePerformance!$F:$F,A685,RacePerformance!$K:$K),""))</f>
        <v/>
      </c>
      <c r="N685" s="6" t="str">
        <f>IF(A685="","",COUNTIFS(RacePerformance!$F:$F,A685,RacePerformance!$I:$I,"&lt;=20"))</f>
        <v/>
      </c>
      <c r="O685" s="6" t="str">
        <f>IF(A685="","",COUNTIFS(RacePerformance!$F:$F,A685,RacePerformance!$I:$I,1))</f>
        <v/>
      </c>
      <c r="P685" s="6" t="str">
        <f>IF(A685="","",COUNTIFS(RacePerformance!$F:$F,A685,RacePerformance!$J:$J,"&lt;=3"))</f>
        <v/>
      </c>
    </row>
    <row r="686" spans="5:16" ht="14.25" customHeight="1" x14ac:dyDescent="0.3">
      <c r="E686" s="6"/>
      <c r="I686" s="6"/>
      <c r="J686" s="6" t="str">
        <f>IF(A686="","",COUNTIF(RacePerformance!$F:$F,A686))</f>
        <v/>
      </c>
      <c r="K686" s="6" t="str">
        <f>IF(A686="","",IFERROR(AVERAGEIF(RacePerformance!$F:$F,A686,RacePerformance!$I:$I),""))</f>
        <v/>
      </c>
      <c r="L686" s="6" t="str">
        <f>IF(A686="","",IFERROR(AVERAGEIF(RacePerformance!$F:$F,A686,RacePerformance!$J:$J),""))</f>
        <v/>
      </c>
      <c r="M686" s="6" t="str">
        <f>IF(A686="","",IFERROR(AVERAGEIF(RacePerformance!$F:$F,A686,RacePerformance!$K:$K),""))</f>
        <v/>
      </c>
      <c r="N686" s="6" t="str">
        <f>IF(A686="","",COUNTIFS(RacePerformance!$F:$F,A686,RacePerformance!$I:$I,"&lt;=20"))</f>
        <v/>
      </c>
      <c r="O686" s="6" t="str">
        <f>IF(A686="","",COUNTIFS(RacePerformance!$F:$F,A686,RacePerformance!$I:$I,1))</f>
        <v/>
      </c>
      <c r="P686" s="6" t="str">
        <f>IF(A686="","",COUNTIFS(RacePerformance!$F:$F,A686,RacePerformance!$J:$J,"&lt;=3"))</f>
        <v/>
      </c>
    </row>
    <row r="687" spans="5:16" ht="14.25" customHeight="1" x14ac:dyDescent="0.3">
      <c r="E687" s="6"/>
      <c r="I687" s="6"/>
      <c r="J687" s="6" t="str">
        <f>IF(A687="","",COUNTIF(RacePerformance!$F:$F,A687))</f>
        <v/>
      </c>
      <c r="K687" s="6" t="str">
        <f>IF(A687="","",IFERROR(AVERAGEIF(RacePerformance!$F:$F,A687,RacePerformance!$I:$I),""))</f>
        <v/>
      </c>
      <c r="L687" s="6" t="str">
        <f>IF(A687="","",IFERROR(AVERAGEIF(RacePerformance!$F:$F,A687,RacePerformance!$J:$J),""))</f>
        <v/>
      </c>
      <c r="M687" s="6" t="str">
        <f>IF(A687="","",IFERROR(AVERAGEIF(RacePerformance!$F:$F,A687,RacePerformance!$K:$K),""))</f>
        <v/>
      </c>
      <c r="N687" s="6" t="str">
        <f>IF(A687="","",COUNTIFS(RacePerformance!$F:$F,A687,RacePerformance!$I:$I,"&lt;=20"))</f>
        <v/>
      </c>
      <c r="O687" s="6" t="str">
        <f>IF(A687="","",COUNTIFS(RacePerformance!$F:$F,A687,RacePerformance!$I:$I,1))</f>
        <v/>
      </c>
      <c r="P687" s="6" t="str">
        <f>IF(A687="","",COUNTIFS(RacePerformance!$F:$F,A687,RacePerformance!$J:$J,"&lt;=3"))</f>
        <v/>
      </c>
    </row>
    <row r="688" spans="5:16" ht="14.25" customHeight="1" x14ac:dyDescent="0.3">
      <c r="E688" s="6"/>
      <c r="I688" s="6"/>
      <c r="J688" s="6" t="str">
        <f>IF(A688="","",COUNTIF(RacePerformance!$F:$F,A688))</f>
        <v/>
      </c>
      <c r="K688" s="6" t="str">
        <f>IF(A688="","",IFERROR(AVERAGEIF(RacePerformance!$F:$F,A688,RacePerformance!$I:$I),""))</f>
        <v/>
      </c>
      <c r="L688" s="6" t="str">
        <f>IF(A688="","",IFERROR(AVERAGEIF(RacePerformance!$F:$F,A688,RacePerformance!$J:$J),""))</f>
        <v/>
      </c>
      <c r="M688" s="6" t="str">
        <f>IF(A688="","",IFERROR(AVERAGEIF(RacePerformance!$F:$F,A688,RacePerformance!$K:$K),""))</f>
        <v/>
      </c>
      <c r="N688" s="6" t="str">
        <f>IF(A688="","",COUNTIFS(RacePerformance!$F:$F,A688,RacePerformance!$I:$I,"&lt;=20"))</f>
        <v/>
      </c>
      <c r="O688" s="6" t="str">
        <f>IF(A688="","",COUNTIFS(RacePerformance!$F:$F,A688,RacePerformance!$I:$I,1))</f>
        <v/>
      </c>
      <c r="P688" s="6" t="str">
        <f>IF(A688="","",COUNTIFS(RacePerformance!$F:$F,A688,RacePerformance!$J:$J,"&lt;=3"))</f>
        <v/>
      </c>
    </row>
    <row r="689" spans="5:16" ht="14.25" customHeight="1" x14ac:dyDescent="0.3">
      <c r="E689" s="6"/>
      <c r="I689" s="6"/>
      <c r="J689" s="6" t="str">
        <f>IF(A689="","",COUNTIF(RacePerformance!$F:$F,A689))</f>
        <v/>
      </c>
      <c r="K689" s="6" t="str">
        <f>IF(A689="","",IFERROR(AVERAGEIF(RacePerformance!$F:$F,A689,RacePerformance!$I:$I),""))</f>
        <v/>
      </c>
      <c r="L689" s="6" t="str">
        <f>IF(A689="","",IFERROR(AVERAGEIF(RacePerformance!$F:$F,A689,RacePerformance!$J:$J),""))</f>
        <v/>
      </c>
      <c r="M689" s="6" t="str">
        <f>IF(A689="","",IFERROR(AVERAGEIF(RacePerformance!$F:$F,A689,RacePerformance!$K:$K),""))</f>
        <v/>
      </c>
      <c r="N689" s="6" t="str">
        <f>IF(A689="","",COUNTIFS(RacePerformance!$F:$F,A689,RacePerformance!$I:$I,"&lt;=20"))</f>
        <v/>
      </c>
      <c r="O689" s="6" t="str">
        <f>IF(A689="","",COUNTIFS(RacePerformance!$F:$F,A689,RacePerformance!$I:$I,1))</f>
        <v/>
      </c>
      <c r="P689" s="6" t="str">
        <f>IF(A689="","",COUNTIFS(RacePerformance!$F:$F,A689,RacePerformance!$J:$J,"&lt;=3"))</f>
        <v/>
      </c>
    </row>
    <row r="690" spans="5:16" ht="14.25" customHeight="1" x14ac:dyDescent="0.3">
      <c r="E690" s="6"/>
      <c r="I690" s="6"/>
      <c r="J690" s="6" t="str">
        <f>IF(A690="","",COUNTIF(RacePerformance!$F:$F,A690))</f>
        <v/>
      </c>
      <c r="K690" s="6" t="str">
        <f>IF(A690="","",IFERROR(AVERAGEIF(RacePerformance!$F:$F,A690,RacePerformance!$I:$I),""))</f>
        <v/>
      </c>
      <c r="L690" s="6" t="str">
        <f>IF(A690="","",IFERROR(AVERAGEIF(RacePerformance!$F:$F,A690,RacePerformance!$J:$J),""))</f>
        <v/>
      </c>
      <c r="M690" s="6" t="str">
        <f>IF(A690="","",IFERROR(AVERAGEIF(RacePerformance!$F:$F,A690,RacePerformance!$K:$K),""))</f>
        <v/>
      </c>
      <c r="N690" s="6" t="str">
        <f>IF(A690="","",COUNTIFS(RacePerformance!$F:$F,A690,RacePerformance!$I:$I,"&lt;=20"))</f>
        <v/>
      </c>
      <c r="O690" s="6" t="str">
        <f>IF(A690="","",COUNTIFS(RacePerformance!$F:$F,A690,RacePerformance!$I:$I,1))</f>
        <v/>
      </c>
      <c r="P690" s="6" t="str">
        <f>IF(A690="","",COUNTIFS(RacePerformance!$F:$F,A690,RacePerformance!$J:$J,"&lt;=3"))</f>
        <v/>
      </c>
    </row>
    <row r="691" spans="5:16" ht="14.25" customHeight="1" x14ac:dyDescent="0.3">
      <c r="E691" s="6"/>
      <c r="I691" s="6"/>
      <c r="J691" s="6" t="str">
        <f>IF(A691="","",COUNTIF(RacePerformance!$F:$F,A691))</f>
        <v/>
      </c>
      <c r="K691" s="6" t="str">
        <f>IF(A691="","",IFERROR(AVERAGEIF(RacePerformance!$F:$F,A691,RacePerformance!$I:$I),""))</f>
        <v/>
      </c>
      <c r="L691" s="6" t="str">
        <f>IF(A691="","",IFERROR(AVERAGEIF(RacePerformance!$F:$F,A691,RacePerformance!$J:$J),""))</f>
        <v/>
      </c>
      <c r="M691" s="6" t="str">
        <f>IF(A691="","",IFERROR(AVERAGEIF(RacePerformance!$F:$F,A691,RacePerformance!$K:$K),""))</f>
        <v/>
      </c>
      <c r="N691" s="6" t="str">
        <f>IF(A691="","",COUNTIFS(RacePerformance!$F:$F,A691,RacePerformance!$I:$I,"&lt;=20"))</f>
        <v/>
      </c>
      <c r="O691" s="6" t="str">
        <f>IF(A691="","",COUNTIFS(RacePerformance!$F:$F,A691,RacePerformance!$I:$I,1))</f>
        <v/>
      </c>
      <c r="P691" s="6" t="str">
        <f>IF(A691="","",COUNTIFS(RacePerformance!$F:$F,A691,RacePerformance!$J:$J,"&lt;=3"))</f>
        <v/>
      </c>
    </row>
    <row r="692" spans="5:16" ht="14.25" customHeight="1" x14ac:dyDescent="0.3">
      <c r="E692" s="6"/>
      <c r="I692" s="6"/>
      <c r="J692" s="6" t="str">
        <f>IF(A692="","",COUNTIF(RacePerformance!$F:$F,A692))</f>
        <v/>
      </c>
      <c r="K692" s="6" t="str">
        <f>IF(A692="","",IFERROR(AVERAGEIF(RacePerformance!$F:$F,A692,RacePerformance!$I:$I),""))</f>
        <v/>
      </c>
      <c r="L692" s="6" t="str">
        <f>IF(A692="","",IFERROR(AVERAGEIF(RacePerformance!$F:$F,A692,RacePerformance!$J:$J),""))</f>
        <v/>
      </c>
      <c r="M692" s="6" t="str">
        <f>IF(A692="","",IFERROR(AVERAGEIF(RacePerformance!$F:$F,A692,RacePerformance!$K:$K),""))</f>
        <v/>
      </c>
      <c r="N692" s="6" t="str">
        <f>IF(A692="","",COUNTIFS(RacePerformance!$F:$F,A692,RacePerformance!$I:$I,"&lt;=20"))</f>
        <v/>
      </c>
      <c r="O692" s="6" t="str">
        <f>IF(A692="","",COUNTIFS(RacePerformance!$F:$F,A692,RacePerformance!$I:$I,1))</f>
        <v/>
      </c>
      <c r="P692" s="6" t="str">
        <f>IF(A692="","",COUNTIFS(RacePerformance!$F:$F,A692,RacePerformance!$J:$J,"&lt;=3"))</f>
        <v/>
      </c>
    </row>
    <row r="693" spans="5:16" ht="14.25" customHeight="1" x14ac:dyDescent="0.3">
      <c r="E693" s="6"/>
      <c r="I693" s="6"/>
      <c r="J693" s="6" t="str">
        <f>IF(A693="","",COUNTIF(RacePerformance!$F:$F,A693))</f>
        <v/>
      </c>
      <c r="K693" s="6" t="str">
        <f>IF(A693="","",IFERROR(AVERAGEIF(RacePerformance!$F:$F,A693,RacePerformance!$I:$I),""))</f>
        <v/>
      </c>
      <c r="L693" s="6" t="str">
        <f>IF(A693="","",IFERROR(AVERAGEIF(RacePerformance!$F:$F,A693,RacePerformance!$J:$J),""))</f>
        <v/>
      </c>
      <c r="M693" s="6" t="str">
        <f>IF(A693="","",IFERROR(AVERAGEIF(RacePerformance!$F:$F,A693,RacePerformance!$K:$K),""))</f>
        <v/>
      </c>
      <c r="N693" s="6" t="str">
        <f>IF(A693="","",COUNTIFS(RacePerformance!$F:$F,A693,RacePerformance!$I:$I,"&lt;=20"))</f>
        <v/>
      </c>
      <c r="O693" s="6" t="str">
        <f>IF(A693="","",COUNTIFS(RacePerformance!$F:$F,A693,RacePerformance!$I:$I,1))</f>
        <v/>
      </c>
      <c r="P693" s="6" t="str">
        <f>IF(A693="","",COUNTIFS(RacePerformance!$F:$F,A693,RacePerformance!$J:$J,"&lt;=3"))</f>
        <v/>
      </c>
    </row>
    <row r="694" spans="5:16" ht="14.25" customHeight="1" x14ac:dyDescent="0.3">
      <c r="E694" s="6"/>
      <c r="I694" s="6"/>
      <c r="J694" s="6" t="str">
        <f>IF(A694="","",COUNTIF(RacePerformance!$F:$F,A694))</f>
        <v/>
      </c>
      <c r="K694" s="6" t="str">
        <f>IF(A694="","",IFERROR(AVERAGEIF(RacePerformance!$F:$F,A694,RacePerformance!$I:$I),""))</f>
        <v/>
      </c>
      <c r="L694" s="6" t="str">
        <f>IF(A694="","",IFERROR(AVERAGEIF(RacePerformance!$F:$F,A694,RacePerformance!$J:$J),""))</f>
        <v/>
      </c>
      <c r="M694" s="6" t="str">
        <f>IF(A694="","",IFERROR(AVERAGEIF(RacePerformance!$F:$F,A694,RacePerformance!$K:$K),""))</f>
        <v/>
      </c>
      <c r="N694" s="6" t="str">
        <f>IF(A694="","",COUNTIFS(RacePerformance!$F:$F,A694,RacePerformance!$I:$I,"&lt;=20"))</f>
        <v/>
      </c>
      <c r="O694" s="6" t="str">
        <f>IF(A694="","",COUNTIFS(RacePerformance!$F:$F,A694,RacePerformance!$I:$I,1))</f>
        <v/>
      </c>
      <c r="P694" s="6" t="str">
        <f>IF(A694="","",COUNTIFS(RacePerformance!$F:$F,A694,RacePerformance!$J:$J,"&lt;=3"))</f>
        <v/>
      </c>
    </row>
    <row r="695" spans="5:16" ht="14.25" customHeight="1" x14ac:dyDescent="0.3">
      <c r="E695" s="6"/>
      <c r="I695" s="6"/>
      <c r="J695" s="6" t="str">
        <f>IF(A695="","",COUNTIF(RacePerformance!$F:$F,A695))</f>
        <v/>
      </c>
      <c r="K695" s="6" t="str">
        <f>IF(A695="","",IFERROR(AVERAGEIF(RacePerformance!$F:$F,A695,RacePerformance!$I:$I),""))</f>
        <v/>
      </c>
      <c r="L695" s="6" t="str">
        <f>IF(A695="","",IFERROR(AVERAGEIF(RacePerformance!$F:$F,A695,RacePerformance!$J:$J),""))</f>
        <v/>
      </c>
      <c r="M695" s="6" t="str">
        <f>IF(A695="","",IFERROR(AVERAGEIF(RacePerformance!$F:$F,A695,RacePerformance!$K:$K),""))</f>
        <v/>
      </c>
      <c r="N695" s="6" t="str">
        <f>IF(A695="","",COUNTIFS(RacePerformance!$F:$F,A695,RacePerformance!$I:$I,"&lt;=20"))</f>
        <v/>
      </c>
      <c r="O695" s="6" t="str">
        <f>IF(A695="","",COUNTIFS(RacePerformance!$F:$F,A695,RacePerformance!$I:$I,1))</f>
        <v/>
      </c>
      <c r="P695" s="6" t="str">
        <f>IF(A695="","",COUNTIFS(RacePerformance!$F:$F,A695,RacePerformance!$J:$J,"&lt;=3"))</f>
        <v/>
      </c>
    </row>
    <row r="696" spans="5:16" ht="14.25" customHeight="1" x14ac:dyDescent="0.3">
      <c r="E696" s="6"/>
      <c r="I696" s="6"/>
      <c r="J696" s="6" t="str">
        <f>IF(A696="","",COUNTIF(RacePerformance!$F:$F,A696))</f>
        <v/>
      </c>
      <c r="K696" s="6" t="str">
        <f>IF(A696="","",IFERROR(AVERAGEIF(RacePerformance!$F:$F,A696,RacePerformance!$I:$I),""))</f>
        <v/>
      </c>
      <c r="L696" s="6" t="str">
        <f>IF(A696="","",IFERROR(AVERAGEIF(RacePerformance!$F:$F,A696,RacePerformance!$J:$J),""))</f>
        <v/>
      </c>
      <c r="M696" s="6" t="str">
        <f>IF(A696="","",IFERROR(AVERAGEIF(RacePerformance!$F:$F,A696,RacePerformance!$K:$K),""))</f>
        <v/>
      </c>
      <c r="N696" s="6" t="str">
        <f>IF(A696="","",COUNTIFS(RacePerformance!$F:$F,A696,RacePerformance!$I:$I,"&lt;=20"))</f>
        <v/>
      </c>
      <c r="O696" s="6" t="str">
        <f>IF(A696="","",COUNTIFS(RacePerformance!$F:$F,A696,RacePerformance!$I:$I,1))</f>
        <v/>
      </c>
      <c r="P696" s="6" t="str">
        <f>IF(A696="","",COUNTIFS(RacePerformance!$F:$F,A696,RacePerformance!$J:$J,"&lt;=3"))</f>
        <v/>
      </c>
    </row>
    <row r="697" spans="5:16" ht="14.25" customHeight="1" x14ac:dyDescent="0.3">
      <c r="E697" s="6"/>
      <c r="I697" s="6"/>
      <c r="J697" s="6" t="str">
        <f>IF(A697="","",COUNTIF(RacePerformance!$F:$F,A697))</f>
        <v/>
      </c>
      <c r="K697" s="6" t="str">
        <f>IF(A697="","",IFERROR(AVERAGEIF(RacePerformance!$F:$F,A697,RacePerformance!$I:$I),""))</f>
        <v/>
      </c>
      <c r="L697" s="6" t="str">
        <f>IF(A697="","",IFERROR(AVERAGEIF(RacePerformance!$F:$F,A697,RacePerformance!$J:$J),""))</f>
        <v/>
      </c>
      <c r="M697" s="6" t="str">
        <f>IF(A697="","",IFERROR(AVERAGEIF(RacePerformance!$F:$F,A697,RacePerformance!$K:$K),""))</f>
        <v/>
      </c>
      <c r="N697" s="6" t="str">
        <f>IF(A697="","",COUNTIFS(RacePerformance!$F:$F,A697,RacePerformance!$I:$I,"&lt;=20"))</f>
        <v/>
      </c>
      <c r="O697" s="6" t="str">
        <f>IF(A697="","",COUNTIFS(RacePerformance!$F:$F,A697,RacePerformance!$I:$I,1))</f>
        <v/>
      </c>
      <c r="P697" s="6" t="str">
        <f>IF(A697="","",COUNTIFS(RacePerformance!$F:$F,A697,RacePerformance!$J:$J,"&lt;=3"))</f>
        <v/>
      </c>
    </row>
    <row r="698" spans="5:16" ht="14.25" customHeight="1" x14ac:dyDescent="0.3">
      <c r="E698" s="6"/>
      <c r="I698" s="6"/>
      <c r="J698" s="6" t="str">
        <f>IF(A698="","",COUNTIF(RacePerformance!$F:$F,A698))</f>
        <v/>
      </c>
      <c r="K698" s="6" t="str">
        <f>IF(A698="","",IFERROR(AVERAGEIF(RacePerformance!$F:$F,A698,RacePerformance!$I:$I),""))</f>
        <v/>
      </c>
      <c r="L698" s="6" t="str">
        <f>IF(A698="","",IFERROR(AVERAGEIF(RacePerformance!$F:$F,A698,RacePerformance!$J:$J),""))</f>
        <v/>
      </c>
      <c r="M698" s="6" t="str">
        <f>IF(A698="","",IFERROR(AVERAGEIF(RacePerformance!$F:$F,A698,RacePerformance!$K:$K),""))</f>
        <v/>
      </c>
      <c r="N698" s="6" t="str">
        <f>IF(A698="","",COUNTIFS(RacePerformance!$F:$F,A698,RacePerformance!$I:$I,"&lt;=20"))</f>
        <v/>
      </c>
      <c r="O698" s="6" t="str">
        <f>IF(A698="","",COUNTIFS(RacePerformance!$F:$F,A698,RacePerformance!$I:$I,1))</f>
        <v/>
      </c>
      <c r="P698" s="6" t="str">
        <f>IF(A698="","",COUNTIFS(RacePerformance!$F:$F,A698,RacePerformance!$J:$J,"&lt;=3"))</f>
        <v/>
      </c>
    </row>
    <row r="699" spans="5:16" ht="14.25" customHeight="1" x14ac:dyDescent="0.3">
      <c r="E699" s="6"/>
      <c r="I699" s="6"/>
      <c r="J699" s="6" t="str">
        <f>IF(A699="","",COUNTIF(RacePerformance!$F:$F,A699))</f>
        <v/>
      </c>
      <c r="K699" s="6" t="str">
        <f>IF(A699="","",IFERROR(AVERAGEIF(RacePerformance!$F:$F,A699,RacePerformance!$I:$I),""))</f>
        <v/>
      </c>
      <c r="L699" s="6" t="str">
        <f>IF(A699="","",IFERROR(AVERAGEIF(RacePerformance!$F:$F,A699,RacePerformance!$J:$J),""))</f>
        <v/>
      </c>
      <c r="M699" s="6" t="str">
        <f>IF(A699="","",IFERROR(AVERAGEIF(RacePerformance!$F:$F,A699,RacePerformance!$K:$K),""))</f>
        <v/>
      </c>
      <c r="N699" s="6" t="str">
        <f>IF(A699="","",COUNTIFS(RacePerformance!$F:$F,A699,RacePerformance!$I:$I,"&lt;=20"))</f>
        <v/>
      </c>
      <c r="O699" s="6" t="str">
        <f>IF(A699="","",COUNTIFS(RacePerformance!$F:$F,A699,RacePerformance!$I:$I,1))</f>
        <v/>
      </c>
      <c r="P699" s="6" t="str">
        <f>IF(A699="","",COUNTIFS(RacePerformance!$F:$F,A699,RacePerformance!$J:$J,"&lt;=3"))</f>
        <v/>
      </c>
    </row>
    <row r="700" spans="5:16" ht="14.25" customHeight="1" x14ac:dyDescent="0.3">
      <c r="E700" s="6"/>
      <c r="I700" s="6"/>
      <c r="J700" s="6" t="str">
        <f>IF(A700="","",COUNTIF(RacePerformance!$F:$F,A700))</f>
        <v/>
      </c>
      <c r="K700" s="6" t="str">
        <f>IF(A700="","",IFERROR(AVERAGEIF(RacePerformance!$F:$F,A700,RacePerformance!$I:$I),""))</f>
        <v/>
      </c>
      <c r="L700" s="6" t="str">
        <f>IF(A700="","",IFERROR(AVERAGEIF(RacePerformance!$F:$F,A700,RacePerformance!$J:$J),""))</f>
        <v/>
      </c>
      <c r="M700" s="6" t="str">
        <f>IF(A700="","",IFERROR(AVERAGEIF(RacePerformance!$F:$F,A700,RacePerformance!$K:$K),""))</f>
        <v/>
      </c>
      <c r="N700" s="6" t="str">
        <f>IF(A700="","",COUNTIFS(RacePerformance!$F:$F,A700,RacePerformance!$I:$I,"&lt;=20"))</f>
        <v/>
      </c>
      <c r="O700" s="6" t="str">
        <f>IF(A700="","",COUNTIFS(RacePerformance!$F:$F,A700,RacePerformance!$I:$I,1))</f>
        <v/>
      </c>
      <c r="P700" s="6" t="str">
        <f>IF(A700="","",COUNTIFS(RacePerformance!$F:$F,A700,RacePerformance!$J:$J,"&lt;=3"))</f>
        <v/>
      </c>
    </row>
    <row r="701" spans="5:16" ht="14.25" customHeight="1" x14ac:dyDescent="0.3">
      <c r="E701" s="6"/>
      <c r="I701" s="6"/>
      <c r="J701" s="6" t="str">
        <f>IF(A701="","",COUNTIF(RacePerformance!$F:$F,A701))</f>
        <v/>
      </c>
      <c r="K701" s="6" t="str">
        <f>IF(A701="","",IFERROR(AVERAGEIF(RacePerformance!$F:$F,A701,RacePerformance!$I:$I),""))</f>
        <v/>
      </c>
      <c r="L701" s="6" t="str">
        <f>IF(A701="","",IFERROR(AVERAGEIF(RacePerformance!$F:$F,A701,RacePerformance!$J:$J),""))</f>
        <v/>
      </c>
      <c r="M701" s="6" t="str">
        <f>IF(A701="","",IFERROR(AVERAGEIF(RacePerformance!$F:$F,A701,RacePerformance!$K:$K),""))</f>
        <v/>
      </c>
      <c r="N701" s="6" t="str">
        <f>IF(A701="","",COUNTIFS(RacePerformance!$F:$F,A701,RacePerformance!$I:$I,"&lt;=20"))</f>
        <v/>
      </c>
      <c r="O701" s="6" t="str">
        <f>IF(A701="","",COUNTIFS(RacePerformance!$F:$F,A701,RacePerformance!$I:$I,1))</f>
        <v/>
      </c>
      <c r="P701" s="6" t="str">
        <f>IF(A701="","",COUNTIFS(RacePerformance!$F:$F,A701,RacePerformance!$J:$J,"&lt;=3"))</f>
        <v/>
      </c>
    </row>
    <row r="702" spans="5:16" ht="14.25" customHeight="1" x14ac:dyDescent="0.3">
      <c r="E702" s="6"/>
      <c r="I702" s="6"/>
      <c r="J702" s="6" t="str">
        <f>IF(A702="","",COUNTIF(RacePerformance!$F:$F,A702))</f>
        <v/>
      </c>
      <c r="K702" s="6" t="str">
        <f>IF(A702="","",IFERROR(AVERAGEIF(RacePerformance!$F:$F,A702,RacePerformance!$I:$I),""))</f>
        <v/>
      </c>
      <c r="L702" s="6" t="str">
        <f>IF(A702="","",IFERROR(AVERAGEIF(RacePerformance!$F:$F,A702,RacePerformance!$J:$J),""))</f>
        <v/>
      </c>
      <c r="M702" s="6" t="str">
        <f>IF(A702="","",IFERROR(AVERAGEIF(RacePerformance!$F:$F,A702,RacePerformance!$K:$K),""))</f>
        <v/>
      </c>
      <c r="N702" s="6" t="str">
        <f>IF(A702="","",COUNTIFS(RacePerformance!$F:$F,A702,RacePerformance!$I:$I,"&lt;=20"))</f>
        <v/>
      </c>
      <c r="O702" s="6" t="str">
        <f>IF(A702="","",COUNTIFS(RacePerformance!$F:$F,A702,RacePerformance!$I:$I,1))</f>
        <v/>
      </c>
      <c r="P702" s="6" t="str">
        <f>IF(A702="","",COUNTIFS(RacePerformance!$F:$F,A702,RacePerformance!$J:$J,"&lt;=3"))</f>
        <v/>
      </c>
    </row>
    <row r="703" spans="5:16" ht="14.25" customHeight="1" x14ac:dyDescent="0.3">
      <c r="E703" s="6"/>
      <c r="I703" s="6"/>
      <c r="J703" s="6" t="str">
        <f>IF(A703="","",COUNTIF(RacePerformance!$F:$F,A703))</f>
        <v/>
      </c>
      <c r="K703" s="6" t="str">
        <f>IF(A703="","",IFERROR(AVERAGEIF(RacePerformance!$F:$F,A703,RacePerformance!$I:$I),""))</f>
        <v/>
      </c>
      <c r="L703" s="6" t="str">
        <f>IF(A703="","",IFERROR(AVERAGEIF(RacePerformance!$F:$F,A703,RacePerformance!$J:$J),""))</f>
        <v/>
      </c>
      <c r="M703" s="6" t="str">
        <f>IF(A703="","",IFERROR(AVERAGEIF(RacePerformance!$F:$F,A703,RacePerformance!$K:$K),""))</f>
        <v/>
      </c>
      <c r="N703" s="6" t="str">
        <f>IF(A703="","",COUNTIFS(RacePerformance!$F:$F,A703,RacePerformance!$I:$I,"&lt;=20"))</f>
        <v/>
      </c>
      <c r="O703" s="6" t="str">
        <f>IF(A703="","",COUNTIFS(RacePerformance!$F:$F,A703,RacePerformance!$I:$I,1))</f>
        <v/>
      </c>
      <c r="P703" s="6" t="str">
        <f>IF(A703="","",COUNTIFS(RacePerformance!$F:$F,A703,RacePerformance!$J:$J,"&lt;=3"))</f>
        <v/>
      </c>
    </row>
    <row r="704" spans="5:16" ht="14.25" customHeight="1" x14ac:dyDescent="0.3">
      <c r="E704" s="6"/>
      <c r="I704" s="6"/>
      <c r="J704" s="6" t="str">
        <f>IF(A704="","",COUNTIF(RacePerformance!$F:$F,A704))</f>
        <v/>
      </c>
      <c r="K704" s="6" t="str">
        <f>IF(A704="","",IFERROR(AVERAGEIF(RacePerformance!$F:$F,A704,RacePerformance!$I:$I),""))</f>
        <v/>
      </c>
      <c r="L704" s="6" t="str">
        <f>IF(A704="","",IFERROR(AVERAGEIF(RacePerformance!$F:$F,A704,RacePerformance!$J:$J),""))</f>
        <v/>
      </c>
      <c r="M704" s="6" t="str">
        <f>IF(A704="","",IFERROR(AVERAGEIF(RacePerformance!$F:$F,A704,RacePerformance!$K:$K),""))</f>
        <v/>
      </c>
      <c r="N704" s="6" t="str">
        <f>IF(A704="","",COUNTIFS(RacePerformance!$F:$F,A704,RacePerformance!$I:$I,"&lt;=20"))</f>
        <v/>
      </c>
      <c r="O704" s="6" t="str">
        <f>IF(A704="","",COUNTIFS(RacePerformance!$F:$F,A704,RacePerformance!$I:$I,1))</f>
        <v/>
      </c>
      <c r="P704" s="6" t="str">
        <f>IF(A704="","",COUNTIFS(RacePerformance!$F:$F,A704,RacePerformance!$J:$J,"&lt;=3"))</f>
        <v/>
      </c>
    </row>
    <row r="705" spans="5:16" ht="14.25" customHeight="1" x14ac:dyDescent="0.3">
      <c r="E705" s="6"/>
      <c r="I705" s="6"/>
      <c r="J705" s="6" t="str">
        <f>IF(A705="","",COUNTIF(RacePerformance!$F:$F,A705))</f>
        <v/>
      </c>
      <c r="K705" s="6" t="str">
        <f>IF(A705="","",IFERROR(AVERAGEIF(RacePerformance!$F:$F,A705,RacePerformance!$I:$I),""))</f>
        <v/>
      </c>
      <c r="L705" s="6" t="str">
        <f>IF(A705="","",IFERROR(AVERAGEIF(RacePerformance!$F:$F,A705,RacePerformance!$J:$J),""))</f>
        <v/>
      </c>
      <c r="M705" s="6" t="str">
        <f>IF(A705="","",IFERROR(AVERAGEIF(RacePerformance!$F:$F,A705,RacePerformance!$K:$K),""))</f>
        <v/>
      </c>
      <c r="N705" s="6" t="str">
        <f>IF(A705="","",COUNTIFS(RacePerformance!$F:$F,A705,RacePerformance!$I:$I,"&lt;=20"))</f>
        <v/>
      </c>
      <c r="O705" s="6" t="str">
        <f>IF(A705="","",COUNTIFS(RacePerformance!$F:$F,A705,RacePerformance!$I:$I,1))</f>
        <v/>
      </c>
      <c r="P705" s="6" t="str">
        <f>IF(A705="","",COUNTIFS(RacePerformance!$F:$F,A705,RacePerformance!$J:$J,"&lt;=3"))</f>
        <v/>
      </c>
    </row>
    <row r="706" spans="5:16" ht="14.25" customHeight="1" x14ac:dyDescent="0.3">
      <c r="E706" s="6"/>
      <c r="I706" s="6"/>
      <c r="J706" s="6" t="str">
        <f>IF(A706="","",COUNTIF(RacePerformance!$F:$F,A706))</f>
        <v/>
      </c>
      <c r="K706" s="6" t="str">
        <f>IF(A706="","",IFERROR(AVERAGEIF(RacePerformance!$F:$F,A706,RacePerformance!$I:$I),""))</f>
        <v/>
      </c>
      <c r="L706" s="6" t="str">
        <f>IF(A706="","",IFERROR(AVERAGEIF(RacePerformance!$F:$F,A706,RacePerformance!$J:$J),""))</f>
        <v/>
      </c>
      <c r="M706" s="6" t="str">
        <f>IF(A706="","",IFERROR(AVERAGEIF(RacePerformance!$F:$F,A706,RacePerformance!$K:$K),""))</f>
        <v/>
      </c>
      <c r="N706" s="6" t="str">
        <f>IF(A706="","",COUNTIFS(RacePerformance!$F:$F,A706,RacePerformance!$I:$I,"&lt;=20"))</f>
        <v/>
      </c>
      <c r="O706" s="6" t="str">
        <f>IF(A706="","",COUNTIFS(RacePerformance!$F:$F,A706,RacePerformance!$I:$I,1))</f>
        <v/>
      </c>
      <c r="P706" s="6" t="str">
        <f>IF(A706="","",COUNTIFS(RacePerformance!$F:$F,A706,RacePerformance!$J:$J,"&lt;=3"))</f>
        <v/>
      </c>
    </row>
    <row r="707" spans="5:16" ht="14.25" customHeight="1" x14ac:dyDescent="0.3">
      <c r="E707" s="6"/>
      <c r="I707" s="6"/>
      <c r="J707" s="6" t="str">
        <f>IF(A707="","",COUNTIF(RacePerformance!$F:$F,A707))</f>
        <v/>
      </c>
      <c r="K707" s="6" t="str">
        <f>IF(A707="","",IFERROR(AVERAGEIF(RacePerformance!$F:$F,A707,RacePerformance!$I:$I),""))</f>
        <v/>
      </c>
      <c r="L707" s="6" t="str">
        <f>IF(A707="","",IFERROR(AVERAGEIF(RacePerformance!$F:$F,A707,RacePerformance!$J:$J),""))</f>
        <v/>
      </c>
      <c r="M707" s="6" t="str">
        <f>IF(A707="","",IFERROR(AVERAGEIF(RacePerformance!$F:$F,A707,RacePerformance!$K:$K),""))</f>
        <v/>
      </c>
      <c r="N707" s="6" t="str">
        <f>IF(A707="","",COUNTIFS(RacePerformance!$F:$F,A707,RacePerformance!$I:$I,"&lt;=20"))</f>
        <v/>
      </c>
      <c r="O707" s="6" t="str">
        <f>IF(A707="","",COUNTIFS(RacePerformance!$F:$F,A707,RacePerformance!$I:$I,1))</f>
        <v/>
      </c>
      <c r="P707" s="6" t="str">
        <f>IF(A707="","",COUNTIFS(RacePerformance!$F:$F,A707,RacePerformance!$J:$J,"&lt;=3"))</f>
        <v/>
      </c>
    </row>
    <row r="708" spans="5:16" ht="14.25" customHeight="1" x14ac:dyDescent="0.3">
      <c r="E708" s="6"/>
      <c r="I708" s="6"/>
      <c r="J708" s="6" t="str">
        <f>IF(A708="","",COUNTIF(RacePerformance!$F:$F,A708))</f>
        <v/>
      </c>
      <c r="K708" s="6" t="str">
        <f>IF(A708="","",IFERROR(AVERAGEIF(RacePerformance!$F:$F,A708,RacePerformance!$I:$I),""))</f>
        <v/>
      </c>
      <c r="L708" s="6" t="str">
        <f>IF(A708="","",IFERROR(AVERAGEIF(RacePerformance!$F:$F,A708,RacePerformance!$J:$J),""))</f>
        <v/>
      </c>
      <c r="M708" s="6" t="str">
        <f>IF(A708="","",IFERROR(AVERAGEIF(RacePerformance!$F:$F,A708,RacePerformance!$K:$K),""))</f>
        <v/>
      </c>
      <c r="N708" s="6" t="str">
        <f>IF(A708="","",COUNTIFS(RacePerformance!$F:$F,A708,RacePerformance!$I:$I,"&lt;=20"))</f>
        <v/>
      </c>
      <c r="O708" s="6" t="str">
        <f>IF(A708="","",COUNTIFS(RacePerformance!$F:$F,A708,RacePerformance!$I:$I,1))</f>
        <v/>
      </c>
      <c r="P708" s="6" t="str">
        <f>IF(A708="","",COUNTIFS(RacePerformance!$F:$F,A708,RacePerformance!$J:$J,"&lt;=3"))</f>
        <v/>
      </c>
    </row>
    <row r="709" spans="5:16" ht="14.25" customHeight="1" x14ac:dyDescent="0.3">
      <c r="E709" s="6"/>
      <c r="I709" s="6"/>
      <c r="J709" s="6" t="str">
        <f>IF(A709="","",COUNTIF(RacePerformance!$F:$F,A709))</f>
        <v/>
      </c>
      <c r="K709" s="6" t="str">
        <f>IF(A709="","",IFERROR(AVERAGEIF(RacePerformance!$F:$F,A709,RacePerformance!$I:$I),""))</f>
        <v/>
      </c>
      <c r="L709" s="6" t="str">
        <f>IF(A709="","",IFERROR(AVERAGEIF(RacePerformance!$F:$F,A709,RacePerformance!$J:$J),""))</f>
        <v/>
      </c>
      <c r="M709" s="6" t="str">
        <f>IF(A709="","",IFERROR(AVERAGEIF(RacePerformance!$F:$F,A709,RacePerformance!$K:$K),""))</f>
        <v/>
      </c>
      <c r="N709" s="6" t="str">
        <f>IF(A709="","",COUNTIFS(RacePerformance!$F:$F,A709,RacePerformance!$I:$I,"&lt;=20"))</f>
        <v/>
      </c>
      <c r="O709" s="6" t="str">
        <f>IF(A709="","",COUNTIFS(RacePerformance!$F:$F,A709,RacePerformance!$I:$I,1))</f>
        <v/>
      </c>
      <c r="P709" s="6" t="str">
        <f>IF(A709="","",COUNTIFS(RacePerformance!$F:$F,A709,RacePerformance!$J:$J,"&lt;=3"))</f>
        <v/>
      </c>
    </row>
    <row r="710" spans="5:16" ht="14.25" customHeight="1" x14ac:dyDescent="0.3">
      <c r="E710" s="6"/>
      <c r="I710" s="6"/>
      <c r="J710" s="6" t="str">
        <f>IF(A710="","",COUNTIF(RacePerformance!$F:$F,A710))</f>
        <v/>
      </c>
      <c r="K710" s="6" t="str">
        <f>IF(A710="","",IFERROR(AVERAGEIF(RacePerformance!$F:$F,A710,RacePerformance!$I:$I),""))</f>
        <v/>
      </c>
      <c r="L710" s="6" t="str">
        <f>IF(A710="","",IFERROR(AVERAGEIF(RacePerformance!$F:$F,A710,RacePerformance!$J:$J),""))</f>
        <v/>
      </c>
      <c r="M710" s="6" t="str">
        <f>IF(A710="","",IFERROR(AVERAGEIF(RacePerformance!$F:$F,A710,RacePerformance!$K:$K),""))</f>
        <v/>
      </c>
      <c r="N710" s="6" t="str">
        <f>IF(A710="","",COUNTIFS(RacePerformance!$F:$F,A710,RacePerformance!$I:$I,"&lt;=20"))</f>
        <v/>
      </c>
      <c r="O710" s="6" t="str">
        <f>IF(A710="","",COUNTIFS(RacePerformance!$F:$F,A710,RacePerformance!$I:$I,1))</f>
        <v/>
      </c>
      <c r="P710" s="6" t="str">
        <f>IF(A710="","",COUNTIFS(RacePerformance!$F:$F,A710,RacePerformance!$J:$J,"&lt;=3"))</f>
        <v/>
      </c>
    </row>
    <row r="711" spans="5:16" ht="14.25" customHeight="1" x14ac:dyDescent="0.3">
      <c r="E711" s="6"/>
      <c r="I711" s="6"/>
      <c r="J711" s="6" t="str">
        <f>IF(A711="","",COUNTIF(RacePerformance!$F:$F,A711))</f>
        <v/>
      </c>
      <c r="K711" s="6" t="str">
        <f>IF(A711="","",IFERROR(AVERAGEIF(RacePerformance!$F:$F,A711,RacePerformance!$I:$I),""))</f>
        <v/>
      </c>
      <c r="L711" s="6" t="str">
        <f>IF(A711="","",IFERROR(AVERAGEIF(RacePerformance!$F:$F,A711,RacePerformance!$J:$J),""))</f>
        <v/>
      </c>
      <c r="M711" s="6" t="str">
        <f>IF(A711="","",IFERROR(AVERAGEIF(RacePerformance!$F:$F,A711,RacePerformance!$K:$K),""))</f>
        <v/>
      </c>
      <c r="N711" s="6" t="str">
        <f>IF(A711="","",COUNTIFS(RacePerformance!$F:$F,A711,RacePerformance!$I:$I,"&lt;=20"))</f>
        <v/>
      </c>
      <c r="O711" s="6" t="str">
        <f>IF(A711="","",COUNTIFS(RacePerformance!$F:$F,A711,RacePerformance!$I:$I,1))</f>
        <v/>
      </c>
      <c r="P711" s="6" t="str">
        <f>IF(A711="","",COUNTIFS(RacePerformance!$F:$F,A711,RacePerformance!$J:$J,"&lt;=3"))</f>
        <v/>
      </c>
    </row>
    <row r="712" spans="5:16" ht="14.25" customHeight="1" x14ac:dyDescent="0.3">
      <c r="E712" s="6"/>
      <c r="I712" s="6"/>
      <c r="J712" s="6" t="str">
        <f>IF(A712="","",COUNTIF(RacePerformance!$F:$F,A712))</f>
        <v/>
      </c>
      <c r="K712" s="6" t="str">
        <f>IF(A712="","",IFERROR(AVERAGEIF(RacePerformance!$F:$F,A712,RacePerformance!$I:$I),""))</f>
        <v/>
      </c>
      <c r="L712" s="6" t="str">
        <f>IF(A712="","",IFERROR(AVERAGEIF(RacePerformance!$F:$F,A712,RacePerformance!$J:$J),""))</f>
        <v/>
      </c>
      <c r="M712" s="6" t="str">
        <f>IF(A712="","",IFERROR(AVERAGEIF(RacePerformance!$F:$F,A712,RacePerformance!$K:$K),""))</f>
        <v/>
      </c>
      <c r="N712" s="6" t="str">
        <f>IF(A712="","",COUNTIFS(RacePerformance!$F:$F,A712,RacePerformance!$I:$I,"&lt;=20"))</f>
        <v/>
      </c>
      <c r="O712" s="6" t="str">
        <f>IF(A712="","",COUNTIFS(RacePerformance!$F:$F,A712,RacePerformance!$I:$I,1))</f>
        <v/>
      </c>
      <c r="P712" s="6" t="str">
        <f>IF(A712="","",COUNTIFS(RacePerformance!$F:$F,A712,RacePerformance!$J:$J,"&lt;=3"))</f>
        <v/>
      </c>
    </row>
    <row r="713" spans="5:16" ht="14.25" customHeight="1" x14ac:dyDescent="0.3">
      <c r="E713" s="6"/>
      <c r="I713" s="6"/>
      <c r="J713" s="6" t="str">
        <f>IF(A713="","",COUNTIF(RacePerformance!$F:$F,A713))</f>
        <v/>
      </c>
      <c r="K713" s="6" t="str">
        <f>IF(A713="","",IFERROR(AVERAGEIF(RacePerformance!$F:$F,A713,RacePerformance!$I:$I),""))</f>
        <v/>
      </c>
      <c r="L713" s="6" t="str">
        <f>IF(A713="","",IFERROR(AVERAGEIF(RacePerformance!$F:$F,A713,RacePerformance!$J:$J),""))</f>
        <v/>
      </c>
      <c r="M713" s="6" t="str">
        <f>IF(A713="","",IFERROR(AVERAGEIF(RacePerformance!$F:$F,A713,RacePerformance!$K:$K),""))</f>
        <v/>
      </c>
      <c r="N713" s="6" t="str">
        <f>IF(A713="","",COUNTIFS(RacePerformance!$F:$F,A713,RacePerformance!$I:$I,"&lt;=20"))</f>
        <v/>
      </c>
      <c r="O713" s="6" t="str">
        <f>IF(A713="","",COUNTIFS(RacePerformance!$F:$F,A713,RacePerformance!$I:$I,1))</f>
        <v/>
      </c>
      <c r="P713" s="6" t="str">
        <f>IF(A713="","",COUNTIFS(RacePerformance!$F:$F,A713,RacePerformance!$J:$J,"&lt;=3"))</f>
        <v/>
      </c>
    </row>
    <row r="714" spans="5:16" ht="14.25" customHeight="1" x14ac:dyDescent="0.3">
      <c r="E714" s="6"/>
      <c r="I714" s="6"/>
      <c r="J714" s="6" t="str">
        <f>IF(A714="","",COUNTIF(RacePerformance!$F:$F,A714))</f>
        <v/>
      </c>
      <c r="K714" s="6" t="str">
        <f>IF(A714="","",IFERROR(AVERAGEIF(RacePerformance!$F:$F,A714,RacePerformance!$I:$I),""))</f>
        <v/>
      </c>
      <c r="L714" s="6" t="str">
        <f>IF(A714="","",IFERROR(AVERAGEIF(RacePerformance!$F:$F,A714,RacePerformance!$J:$J),""))</f>
        <v/>
      </c>
      <c r="M714" s="6" t="str">
        <f>IF(A714="","",IFERROR(AVERAGEIF(RacePerformance!$F:$F,A714,RacePerformance!$K:$K),""))</f>
        <v/>
      </c>
      <c r="N714" s="6" t="str">
        <f>IF(A714="","",COUNTIFS(RacePerformance!$F:$F,A714,RacePerformance!$I:$I,"&lt;=20"))</f>
        <v/>
      </c>
      <c r="O714" s="6" t="str">
        <f>IF(A714="","",COUNTIFS(RacePerformance!$F:$F,A714,RacePerformance!$I:$I,1))</f>
        <v/>
      </c>
      <c r="P714" s="6" t="str">
        <f>IF(A714="","",COUNTIFS(RacePerformance!$F:$F,A714,RacePerformance!$J:$J,"&lt;=3"))</f>
        <v/>
      </c>
    </row>
    <row r="715" spans="5:16" ht="14.25" customHeight="1" x14ac:dyDescent="0.3">
      <c r="E715" s="6"/>
      <c r="I715" s="6"/>
      <c r="J715" s="6" t="str">
        <f>IF(A715="","",COUNTIF(RacePerformance!$F:$F,A715))</f>
        <v/>
      </c>
      <c r="K715" s="6" t="str">
        <f>IF(A715="","",IFERROR(AVERAGEIF(RacePerformance!$F:$F,A715,RacePerformance!$I:$I),""))</f>
        <v/>
      </c>
      <c r="L715" s="6" t="str">
        <f>IF(A715="","",IFERROR(AVERAGEIF(RacePerformance!$F:$F,A715,RacePerformance!$J:$J),""))</f>
        <v/>
      </c>
      <c r="M715" s="6" t="str">
        <f>IF(A715="","",IFERROR(AVERAGEIF(RacePerformance!$F:$F,A715,RacePerformance!$K:$K),""))</f>
        <v/>
      </c>
      <c r="N715" s="6" t="str">
        <f>IF(A715="","",COUNTIFS(RacePerformance!$F:$F,A715,RacePerformance!$I:$I,"&lt;=20"))</f>
        <v/>
      </c>
      <c r="O715" s="6" t="str">
        <f>IF(A715="","",COUNTIFS(RacePerformance!$F:$F,A715,RacePerformance!$I:$I,1))</f>
        <v/>
      </c>
      <c r="P715" s="6" t="str">
        <f>IF(A715="","",COUNTIFS(RacePerformance!$F:$F,A715,RacePerformance!$J:$J,"&lt;=3"))</f>
        <v/>
      </c>
    </row>
    <row r="716" spans="5:16" ht="14.25" customHeight="1" x14ac:dyDescent="0.3">
      <c r="E716" s="6"/>
      <c r="I716" s="6"/>
      <c r="J716" s="6" t="str">
        <f>IF(A716="","",COUNTIF(RacePerformance!$F:$F,A716))</f>
        <v/>
      </c>
      <c r="K716" s="6" t="str">
        <f>IF(A716="","",IFERROR(AVERAGEIF(RacePerformance!$F:$F,A716,RacePerformance!$I:$I),""))</f>
        <v/>
      </c>
      <c r="L716" s="6" t="str">
        <f>IF(A716="","",IFERROR(AVERAGEIF(RacePerformance!$F:$F,A716,RacePerformance!$J:$J),""))</f>
        <v/>
      </c>
      <c r="M716" s="6" t="str">
        <f>IF(A716="","",IFERROR(AVERAGEIF(RacePerformance!$F:$F,A716,RacePerformance!$K:$K),""))</f>
        <v/>
      </c>
      <c r="N716" s="6" t="str">
        <f>IF(A716="","",COUNTIFS(RacePerformance!$F:$F,A716,RacePerformance!$I:$I,"&lt;=20"))</f>
        <v/>
      </c>
      <c r="O716" s="6" t="str">
        <f>IF(A716="","",COUNTIFS(RacePerformance!$F:$F,A716,RacePerformance!$I:$I,1))</f>
        <v/>
      </c>
      <c r="P716" s="6" t="str">
        <f>IF(A716="","",COUNTIFS(RacePerformance!$F:$F,A716,RacePerformance!$J:$J,"&lt;=3"))</f>
        <v/>
      </c>
    </row>
    <row r="717" spans="5:16" ht="14.25" customHeight="1" x14ac:dyDescent="0.3">
      <c r="E717" s="6"/>
      <c r="I717" s="6"/>
      <c r="J717" s="6" t="str">
        <f>IF(A717="","",COUNTIF(RacePerformance!$F:$F,A717))</f>
        <v/>
      </c>
      <c r="K717" s="6" t="str">
        <f>IF(A717="","",IFERROR(AVERAGEIF(RacePerformance!$F:$F,A717,RacePerformance!$I:$I),""))</f>
        <v/>
      </c>
      <c r="L717" s="6" t="str">
        <f>IF(A717="","",IFERROR(AVERAGEIF(RacePerformance!$F:$F,A717,RacePerformance!$J:$J),""))</f>
        <v/>
      </c>
      <c r="M717" s="6" t="str">
        <f>IF(A717="","",IFERROR(AVERAGEIF(RacePerformance!$F:$F,A717,RacePerformance!$K:$K),""))</f>
        <v/>
      </c>
      <c r="N717" s="6" t="str">
        <f>IF(A717="","",COUNTIFS(RacePerformance!$F:$F,A717,RacePerformance!$I:$I,"&lt;=20"))</f>
        <v/>
      </c>
      <c r="O717" s="6" t="str">
        <f>IF(A717="","",COUNTIFS(RacePerformance!$F:$F,A717,RacePerformance!$I:$I,1))</f>
        <v/>
      </c>
      <c r="P717" s="6" t="str">
        <f>IF(A717="","",COUNTIFS(RacePerformance!$F:$F,A717,RacePerformance!$J:$J,"&lt;=3"))</f>
        <v/>
      </c>
    </row>
    <row r="718" spans="5:16" ht="14.25" customHeight="1" x14ac:dyDescent="0.3">
      <c r="E718" s="6"/>
      <c r="I718" s="6"/>
      <c r="J718" s="6" t="str">
        <f>IF(A718="","",COUNTIF(RacePerformance!$F:$F,A718))</f>
        <v/>
      </c>
      <c r="K718" s="6" t="str">
        <f>IF(A718="","",IFERROR(AVERAGEIF(RacePerformance!$F:$F,A718,RacePerformance!$I:$I),""))</f>
        <v/>
      </c>
      <c r="L718" s="6" t="str">
        <f>IF(A718="","",IFERROR(AVERAGEIF(RacePerformance!$F:$F,A718,RacePerformance!$J:$J),""))</f>
        <v/>
      </c>
      <c r="M718" s="6" t="str">
        <f>IF(A718="","",IFERROR(AVERAGEIF(RacePerformance!$F:$F,A718,RacePerformance!$K:$K),""))</f>
        <v/>
      </c>
      <c r="N718" s="6" t="str">
        <f>IF(A718="","",COUNTIFS(RacePerformance!$F:$F,A718,RacePerformance!$I:$I,"&lt;=20"))</f>
        <v/>
      </c>
      <c r="O718" s="6" t="str">
        <f>IF(A718="","",COUNTIFS(RacePerformance!$F:$F,A718,RacePerformance!$I:$I,1))</f>
        <v/>
      </c>
      <c r="P718" s="6" t="str">
        <f>IF(A718="","",COUNTIFS(RacePerformance!$F:$F,A718,RacePerformance!$J:$J,"&lt;=3"))</f>
        <v/>
      </c>
    </row>
    <row r="719" spans="5:16" ht="14.25" customHeight="1" x14ac:dyDescent="0.3">
      <c r="E719" s="6"/>
      <c r="I719" s="6"/>
      <c r="J719" s="6" t="str">
        <f>IF(A719="","",COUNTIF(RacePerformance!$F:$F,A719))</f>
        <v/>
      </c>
      <c r="K719" s="6" t="str">
        <f>IF(A719="","",IFERROR(AVERAGEIF(RacePerformance!$F:$F,A719,RacePerformance!$I:$I),""))</f>
        <v/>
      </c>
      <c r="L719" s="6" t="str">
        <f>IF(A719="","",IFERROR(AVERAGEIF(RacePerformance!$F:$F,A719,RacePerformance!$J:$J),""))</f>
        <v/>
      </c>
      <c r="M719" s="6" t="str">
        <f>IF(A719="","",IFERROR(AVERAGEIF(RacePerformance!$F:$F,A719,RacePerformance!$K:$K),""))</f>
        <v/>
      </c>
      <c r="N719" s="6" t="str">
        <f>IF(A719="","",COUNTIFS(RacePerformance!$F:$F,A719,RacePerformance!$I:$I,"&lt;=20"))</f>
        <v/>
      </c>
      <c r="O719" s="6" t="str">
        <f>IF(A719="","",COUNTIFS(RacePerformance!$F:$F,A719,RacePerformance!$I:$I,1))</f>
        <v/>
      </c>
      <c r="P719" s="6" t="str">
        <f>IF(A719="","",COUNTIFS(RacePerformance!$F:$F,A719,RacePerformance!$J:$J,"&lt;=3"))</f>
        <v/>
      </c>
    </row>
    <row r="720" spans="5:16" ht="14.25" customHeight="1" x14ac:dyDescent="0.3">
      <c r="E720" s="6"/>
      <c r="I720" s="6"/>
      <c r="J720" s="6" t="str">
        <f>IF(A720="","",COUNTIF(RacePerformance!$F:$F,A720))</f>
        <v/>
      </c>
      <c r="K720" s="6" t="str">
        <f>IF(A720="","",IFERROR(AVERAGEIF(RacePerformance!$F:$F,A720,RacePerformance!$I:$I),""))</f>
        <v/>
      </c>
      <c r="L720" s="6" t="str">
        <f>IF(A720="","",IFERROR(AVERAGEIF(RacePerformance!$F:$F,A720,RacePerformance!$J:$J),""))</f>
        <v/>
      </c>
      <c r="M720" s="6" t="str">
        <f>IF(A720="","",IFERROR(AVERAGEIF(RacePerformance!$F:$F,A720,RacePerformance!$K:$K),""))</f>
        <v/>
      </c>
      <c r="N720" s="6" t="str">
        <f>IF(A720="","",COUNTIFS(RacePerformance!$F:$F,A720,RacePerformance!$I:$I,"&lt;=20"))</f>
        <v/>
      </c>
      <c r="O720" s="6" t="str">
        <f>IF(A720="","",COUNTIFS(RacePerformance!$F:$F,A720,RacePerformance!$I:$I,1))</f>
        <v/>
      </c>
      <c r="P720" s="6" t="str">
        <f>IF(A720="","",COUNTIFS(RacePerformance!$F:$F,A720,RacePerformance!$J:$J,"&lt;=3"))</f>
        <v/>
      </c>
    </row>
    <row r="721" spans="5:16" ht="14.25" customHeight="1" x14ac:dyDescent="0.3">
      <c r="E721" s="6"/>
      <c r="I721" s="6"/>
      <c r="J721" s="6" t="str">
        <f>IF(A721="","",COUNTIF(RacePerformance!$F:$F,A721))</f>
        <v/>
      </c>
      <c r="K721" s="6" t="str">
        <f>IF(A721="","",IFERROR(AVERAGEIF(RacePerformance!$F:$F,A721,RacePerformance!$I:$I),""))</f>
        <v/>
      </c>
      <c r="L721" s="6" t="str">
        <f>IF(A721="","",IFERROR(AVERAGEIF(RacePerformance!$F:$F,A721,RacePerformance!$J:$J),""))</f>
        <v/>
      </c>
      <c r="M721" s="6" t="str">
        <f>IF(A721="","",IFERROR(AVERAGEIF(RacePerformance!$F:$F,A721,RacePerformance!$K:$K),""))</f>
        <v/>
      </c>
      <c r="N721" s="6" t="str">
        <f>IF(A721="","",COUNTIFS(RacePerformance!$F:$F,A721,RacePerformance!$I:$I,"&lt;=20"))</f>
        <v/>
      </c>
      <c r="O721" s="6" t="str">
        <f>IF(A721="","",COUNTIFS(RacePerformance!$F:$F,A721,RacePerformance!$I:$I,1))</f>
        <v/>
      </c>
      <c r="P721" s="6" t="str">
        <f>IF(A721="","",COUNTIFS(RacePerformance!$F:$F,A721,RacePerformance!$J:$J,"&lt;=3"))</f>
        <v/>
      </c>
    </row>
    <row r="722" spans="5:16" ht="14.25" customHeight="1" x14ac:dyDescent="0.3">
      <c r="E722" s="6"/>
      <c r="I722" s="6"/>
      <c r="J722" s="6" t="str">
        <f>IF(A722="","",COUNTIF(RacePerformance!$F:$F,A722))</f>
        <v/>
      </c>
      <c r="K722" s="6" t="str">
        <f>IF(A722="","",IFERROR(AVERAGEIF(RacePerformance!$F:$F,A722,RacePerformance!$I:$I),""))</f>
        <v/>
      </c>
      <c r="L722" s="6" t="str">
        <f>IF(A722="","",IFERROR(AVERAGEIF(RacePerformance!$F:$F,A722,RacePerformance!$J:$J),""))</f>
        <v/>
      </c>
      <c r="M722" s="6" t="str">
        <f>IF(A722="","",IFERROR(AVERAGEIF(RacePerformance!$F:$F,A722,RacePerformance!$K:$K),""))</f>
        <v/>
      </c>
      <c r="N722" s="6" t="str">
        <f>IF(A722="","",COUNTIFS(RacePerformance!$F:$F,A722,RacePerformance!$I:$I,"&lt;=20"))</f>
        <v/>
      </c>
      <c r="O722" s="6" t="str">
        <f>IF(A722="","",COUNTIFS(RacePerformance!$F:$F,A722,RacePerformance!$I:$I,1))</f>
        <v/>
      </c>
      <c r="P722" s="6" t="str">
        <f>IF(A722="","",COUNTIFS(RacePerformance!$F:$F,A722,RacePerformance!$J:$J,"&lt;=3"))</f>
        <v/>
      </c>
    </row>
    <row r="723" spans="5:16" ht="14.25" customHeight="1" x14ac:dyDescent="0.3">
      <c r="E723" s="6"/>
      <c r="I723" s="6"/>
      <c r="J723" s="6" t="str">
        <f>IF(A723="","",COUNTIF(RacePerformance!$F:$F,A723))</f>
        <v/>
      </c>
      <c r="K723" s="6" t="str">
        <f>IF(A723="","",IFERROR(AVERAGEIF(RacePerformance!$F:$F,A723,RacePerformance!$I:$I),""))</f>
        <v/>
      </c>
      <c r="L723" s="6" t="str">
        <f>IF(A723="","",IFERROR(AVERAGEIF(RacePerformance!$F:$F,A723,RacePerformance!$J:$J),""))</f>
        <v/>
      </c>
      <c r="M723" s="6" t="str">
        <f>IF(A723="","",IFERROR(AVERAGEIF(RacePerformance!$F:$F,A723,RacePerformance!$K:$K),""))</f>
        <v/>
      </c>
      <c r="N723" s="6" t="str">
        <f>IF(A723="","",COUNTIFS(RacePerformance!$F:$F,A723,RacePerformance!$I:$I,"&lt;=20"))</f>
        <v/>
      </c>
      <c r="O723" s="6" t="str">
        <f>IF(A723="","",COUNTIFS(RacePerformance!$F:$F,A723,RacePerformance!$I:$I,1))</f>
        <v/>
      </c>
      <c r="P723" s="6" t="str">
        <f>IF(A723="","",COUNTIFS(RacePerformance!$F:$F,A723,RacePerformance!$J:$J,"&lt;=3"))</f>
        <v/>
      </c>
    </row>
    <row r="724" spans="5:16" ht="14.25" customHeight="1" x14ac:dyDescent="0.3">
      <c r="E724" s="6"/>
      <c r="I724" s="6"/>
      <c r="J724" s="6" t="str">
        <f>IF(A724="","",COUNTIF(RacePerformance!$F:$F,A724))</f>
        <v/>
      </c>
      <c r="K724" s="6" t="str">
        <f>IF(A724="","",IFERROR(AVERAGEIF(RacePerformance!$F:$F,A724,RacePerformance!$I:$I),""))</f>
        <v/>
      </c>
      <c r="L724" s="6" t="str">
        <f>IF(A724="","",IFERROR(AVERAGEIF(RacePerformance!$F:$F,A724,RacePerformance!$J:$J),""))</f>
        <v/>
      </c>
      <c r="M724" s="6" t="str">
        <f>IF(A724="","",IFERROR(AVERAGEIF(RacePerformance!$F:$F,A724,RacePerformance!$K:$K),""))</f>
        <v/>
      </c>
      <c r="N724" s="6" t="str">
        <f>IF(A724="","",COUNTIFS(RacePerformance!$F:$F,A724,RacePerformance!$I:$I,"&lt;=20"))</f>
        <v/>
      </c>
      <c r="O724" s="6" t="str">
        <f>IF(A724="","",COUNTIFS(RacePerformance!$F:$F,A724,RacePerformance!$I:$I,1))</f>
        <v/>
      </c>
      <c r="P724" s="6" t="str">
        <f>IF(A724="","",COUNTIFS(RacePerformance!$F:$F,A724,RacePerformance!$J:$J,"&lt;=3"))</f>
        <v/>
      </c>
    </row>
    <row r="725" spans="5:16" ht="14.25" customHeight="1" x14ac:dyDescent="0.3">
      <c r="E725" s="6"/>
      <c r="I725" s="6"/>
      <c r="J725" s="6" t="str">
        <f>IF(A725="","",COUNTIF(RacePerformance!$F:$F,A725))</f>
        <v/>
      </c>
      <c r="K725" s="6" t="str">
        <f>IF(A725="","",IFERROR(AVERAGEIF(RacePerformance!$F:$F,A725,RacePerformance!$I:$I),""))</f>
        <v/>
      </c>
      <c r="L725" s="6" t="str">
        <f>IF(A725="","",IFERROR(AVERAGEIF(RacePerformance!$F:$F,A725,RacePerformance!$J:$J),""))</f>
        <v/>
      </c>
      <c r="M725" s="6" t="str">
        <f>IF(A725="","",IFERROR(AVERAGEIF(RacePerformance!$F:$F,A725,RacePerformance!$K:$K),""))</f>
        <v/>
      </c>
      <c r="N725" s="6" t="str">
        <f>IF(A725="","",COUNTIFS(RacePerformance!$F:$F,A725,RacePerformance!$I:$I,"&lt;=20"))</f>
        <v/>
      </c>
      <c r="O725" s="6" t="str">
        <f>IF(A725="","",COUNTIFS(RacePerformance!$F:$F,A725,RacePerformance!$I:$I,1))</f>
        <v/>
      </c>
      <c r="P725" s="6" t="str">
        <f>IF(A725="","",COUNTIFS(RacePerformance!$F:$F,A725,RacePerformance!$J:$J,"&lt;=3"))</f>
        <v/>
      </c>
    </row>
    <row r="726" spans="5:16" ht="14.25" customHeight="1" x14ac:dyDescent="0.3">
      <c r="E726" s="6"/>
      <c r="I726" s="6"/>
      <c r="J726" s="6" t="str">
        <f>IF(A726="","",COUNTIF(RacePerformance!$F:$F,A726))</f>
        <v/>
      </c>
      <c r="K726" s="6" t="str">
        <f>IF(A726="","",IFERROR(AVERAGEIF(RacePerformance!$F:$F,A726,RacePerformance!$I:$I),""))</f>
        <v/>
      </c>
      <c r="L726" s="6" t="str">
        <f>IF(A726="","",IFERROR(AVERAGEIF(RacePerformance!$F:$F,A726,RacePerformance!$J:$J),""))</f>
        <v/>
      </c>
      <c r="M726" s="6" t="str">
        <f>IF(A726="","",IFERROR(AVERAGEIF(RacePerformance!$F:$F,A726,RacePerformance!$K:$K),""))</f>
        <v/>
      </c>
      <c r="N726" s="6" t="str">
        <f>IF(A726="","",COUNTIFS(RacePerformance!$F:$F,A726,RacePerformance!$I:$I,"&lt;=20"))</f>
        <v/>
      </c>
      <c r="O726" s="6" t="str">
        <f>IF(A726="","",COUNTIFS(RacePerformance!$F:$F,A726,RacePerformance!$I:$I,1))</f>
        <v/>
      </c>
      <c r="P726" s="6" t="str">
        <f>IF(A726="","",COUNTIFS(RacePerformance!$F:$F,A726,RacePerformance!$J:$J,"&lt;=3"))</f>
        <v/>
      </c>
    </row>
    <row r="727" spans="5:16" ht="14.25" customHeight="1" x14ac:dyDescent="0.3">
      <c r="E727" s="6"/>
      <c r="I727" s="6"/>
      <c r="J727" s="6" t="str">
        <f>IF(A727="","",COUNTIF(RacePerformance!$F:$F,A727))</f>
        <v/>
      </c>
      <c r="K727" s="6" t="str">
        <f>IF(A727="","",IFERROR(AVERAGEIF(RacePerformance!$F:$F,A727,RacePerformance!$I:$I),""))</f>
        <v/>
      </c>
      <c r="L727" s="6" t="str">
        <f>IF(A727="","",IFERROR(AVERAGEIF(RacePerformance!$F:$F,A727,RacePerformance!$J:$J),""))</f>
        <v/>
      </c>
      <c r="M727" s="6" t="str">
        <f>IF(A727="","",IFERROR(AVERAGEIF(RacePerformance!$F:$F,A727,RacePerformance!$K:$K),""))</f>
        <v/>
      </c>
      <c r="N727" s="6" t="str">
        <f>IF(A727="","",COUNTIFS(RacePerformance!$F:$F,A727,RacePerformance!$I:$I,"&lt;=20"))</f>
        <v/>
      </c>
      <c r="O727" s="6" t="str">
        <f>IF(A727="","",COUNTIFS(RacePerformance!$F:$F,A727,RacePerformance!$I:$I,1))</f>
        <v/>
      </c>
      <c r="P727" s="6" t="str">
        <f>IF(A727="","",COUNTIFS(RacePerformance!$F:$F,A727,RacePerformance!$J:$J,"&lt;=3"))</f>
        <v/>
      </c>
    </row>
    <row r="728" spans="5:16" ht="14.25" customHeight="1" x14ac:dyDescent="0.3">
      <c r="E728" s="6"/>
      <c r="I728" s="6"/>
      <c r="J728" s="6" t="str">
        <f>IF(A728="","",COUNTIF(RacePerformance!$F:$F,A728))</f>
        <v/>
      </c>
      <c r="K728" s="6" t="str">
        <f>IF(A728="","",IFERROR(AVERAGEIF(RacePerformance!$F:$F,A728,RacePerformance!$I:$I),""))</f>
        <v/>
      </c>
      <c r="L728" s="6" t="str">
        <f>IF(A728="","",IFERROR(AVERAGEIF(RacePerformance!$F:$F,A728,RacePerformance!$J:$J),""))</f>
        <v/>
      </c>
      <c r="M728" s="6" t="str">
        <f>IF(A728="","",IFERROR(AVERAGEIF(RacePerformance!$F:$F,A728,RacePerformance!$K:$K),""))</f>
        <v/>
      </c>
      <c r="N728" s="6" t="str">
        <f>IF(A728="","",COUNTIFS(RacePerformance!$F:$F,A728,RacePerformance!$I:$I,"&lt;=20"))</f>
        <v/>
      </c>
      <c r="O728" s="6" t="str">
        <f>IF(A728="","",COUNTIFS(RacePerformance!$F:$F,A728,RacePerformance!$I:$I,1))</f>
        <v/>
      </c>
      <c r="P728" s="6" t="str">
        <f>IF(A728="","",COUNTIFS(RacePerformance!$F:$F,A728,RacePerformance!$J:$J,"&lt;=3"))</f>
        <v/>
      </c>
    </row>
    <row r="729" spans="5:16" ht="14.25" customHeight="1" x14ac:dyDescent="0.3">
      <c r="E729" s="6"/>
      <c r="I729" s="6"/>
      <c r="J729" s="6" t="str">
        <f>IF(A729="","",COUNTIF(RacePerformance!$F:$F,A729))</f>
        <v/>
      </c>
      <c r="K729" s="6" t="str">
        <f>IF(A729="","",IFERROR(AVERAGEIF(RacePerformance!$F:$F,A729,RacePerformance!$I:$I),""))</f>
        <v/>
      </c>
      <c r="L729" s="6" t="str">
        <f>IF(A729="","",IFERROR(AVERAGEIF(RacePerformance!$F:$F,A729,RacePerformance!$J:$J),""))</f>
        <v/>
      </c>
      <c r="M729" s="6" t="str">
        <f>IF(A729="","",IFERROR(AVERAGEIF(RacePerformance!$F:$F,A729,RacePerformance!$K:$K),""))</f>
        <v/>
      </c>
      <c r="N729" s="6" t="str">
        <f>IF(A729="","",COUNTIFS(RacePerformance!$F:$F,A729,RacePerformance!$I:$I,"&lt;=20"))</f>
        <v/>
      </c>
      <c r="O729" s="6" t="str">
        <f>IF(A729="","",COUNTIFS(RacePerformance!$F:$F,A729,RacePerformance!$I:$I,1))</f>
        <v/>
      </c>
      <c r="P729" s="6" t="str">
        <f>IF(A729="","",COUNTIFS(RacePerformance!$F:$F,A729,RacePerformance!$J:$J,"&lt;=3"))</f>
        <v/>
      </c>
    </row>
    <row r="730" spans="5:16" ht="14.25" customHeight="1" x14ac:dyDescent="0.3">
      <c r="E730" s="6"/>
      <c r="I730" s="6"/>
      <c r="J730" s="6" t="str">
        <f>IF(A730="","",COUNTIF(RacePerformance!$F:$F,A730))</f>
        <v/>
      </c>
      <c r="K730" s="6" t="str">
        <f>IF(A730="","",IFERROR(AVERAGEIF(RacePerformance!$F:$F,A730,RacePerformance!$I:$I),""))</f>
        <v/>
      </c>
      <c r="L730" s="6" t="str">
        <f>IF(A730="","",IFERROR(AVERAGEIF(RacePerformance!$F:$F,A730,RacePerformance!$J:$J),""))</f>
        <v/>
      </c>
      <c r="M730" s="6" t="str">
        <f>IF(A730="","",IFERROR(AVERAGEIF(RacePerformance!$F:$F,A730,RacePerformance!$K:$K),""))</f>
        <v/>
      </c>
      <c r="N730" s="6" t="str">
        <f>IF(A730="","",COUNTIFS(RacePerformance!$F:$F,A730,RacePerformance!$I:$I,"&lt;=20"))</f>
        <v/>
      </c>
      <c r="O730" s="6" t="str">
        <f>IF(A730="","",COUNTIFS(RacePerformance!$F:$F,A730,RacePerformance!$I:$I,1))</f>
        <v/>
      </c>
      <c r="P730" s="6" t="str">
        <f>IF(A730="","",COUNTIFS(RacePerformance!$F:$F,A730,RacePerformance!$J:$J,"&lt;=3"))</f>
        <v/>
      </c>
    </row>
    <row r="731" spans="5:16" ht="14.25" customHeight="1" x14ac:dyDescent="0.3">
      <c r="E731" s="6"/>
      <c r="I731" s="6"/>
      <c r="J731" s="6" t="str">
        <f>IF(A731="","",COUNTIF(RacePerformance!$F:$F,A731))</f>
        <v/>
      </c>
      <c r="K731" s="6" t="str">
        <f>IF(A731="","",IFERROR(AVERAGEIF(RacePerformance!$F:$F,A731,RacePerformance!$I:$I),""))</f>
        <v/>
      </c>
      <c r="L731" s="6" t="str">
        <f>IF(A731="","",IFERROR(AVERAGEIF(RacePerformance!$F:$F,A731,RacePerformance!$J:$J),""))</f>
        <v/>
      </c>
      <c r="M731" s="6" t="str">
        <f>IF(A731="","",IFERROR(AVERAGEIF(RacePerformance!$F:$F,A731,RacePerformance!$K:$K),""))</f>
        <v/>
      </c>
      <c r="N731" s="6" t="str">
        <f>IF(A731="","",COUNTIFS(RacePerformance!$F:$F,A731,RacePerformance!$I:$I,"&lt;=20"))</f>
        <v/>
      </c>
      <c r="O731" s="6" t="str">
        <f>IF(A731="","",COUNTIFS(RacePerformance!$F:$F,A731,RacePerformance!$I:$I,1))</f>
        <v/>
      </c>
      <c r="P731" s="6" t="str">
        <f>IF(A731="","",COUNTIFS(RacePerformance!$F:$F,A731,RacePerformance!$J:$J,"&lt;=3"))</f>
        <v/>
      </c>
    </row>
    <row r="732" spans="5:16" ht="14.25" customHeight="1" x14ac:dyDescent="0.3">
      <c r="E732" s="6"/>
      <c r="I732" s="6"/>
      <c r="J732" s="6" t="str">
        <f>IF(A732="","",COUNTIF(RacePerformance!$F:$F,A732))</f>
        <v/>
      </c>
      <c r="K732" s="6" t="str">
        <f>IF(A732="","",IFERROR(AVERAGEIF(RacePerformance!$F:$F,A732,RacePerformance!$I:$I),""))</f>
        <v/>
      </c>
      <c r="L732" s="6" t="str">
        <f>IF(A732="","",IFERROR(AVERAGEIF(RacePerformance!$F:$F,A732,RacePerformance!$J:$J),""))</f>
        <v/>
      </c>
      <c r="M732" s="6" t="str">
        <f>IF(A732="","",IFERROR(AVERAGEIF(RacePerformance!$F:$F,A732,RacePerformance!$K:$K),""))</f>
        <v/>
      </c>
      <c r="N732" s="6" t="str">
        <f>IF(A732="","",COUNTIFS(RacePerformance!$F:$F,A732,RacePerformance!$I:$I,"&lt;=20"))</f>
        <v/>
      </c>
      <c r="O732" s="6" t="str">
        <f>IF(A732="","",COUNTIFS(RacePerformance!$F:$F,A732,RacePerformance!$I:$I,1))</f>
        <v/>
      </c>
      <c r="P732" s="6" t="str">
        <f>IF(A732="","",COUNTIFS(RacePerformance!$F:$F,A732,RacePerformance!$J:$J,"&lt;=3"))</f>
        <v/>
      </c>
    </row>
    <row r="733" spans="5:16" ht="14.25" customHeight="1" x14ac:dyDescent="0.3">
      <c r="E733" s="6"/>
      <c r="I733" s="6"/>
      <c r="J733" s="6" t="str">
        <f>IF(A733="","",COUNTIF(RacePerformance!$F:$F,A733))</f>
        <v/>
      </c>
      <c r="K733" s="6" t="str">
        <f>IF(A733="","",IFERROR(AVERAGEIF(RacePerformance!$F:$F,A733,RacePerformance!$I:$I),""))</f>
        <v/>
      </c>
      <c r="L733" s="6" t="str">
        <f>IF(A733="","",IFERROR(AVERAGEIF(RacePerformance!$F:$F,A733,RacePerformance!$J:$J),""))</f>
        <v/>
      </c>
      <c r="M733" s="6" t="str">
        <f>IF(A733="","",IFERROR(AVERAGEIF(RacePerformance!$F:$F,A733,RacePerformance!$K:$K),""))</f>
        <v/>
      </c>
      <c r="N733" s="6" t="str">
        <f>IF(A733="","",COUNTIFS(RacePerformance!$F:$F,A733,RacePerformance!$I:$I,"&lt;=20"))</f>
        <v/>
      </c>
      <c r="O733" s="6" t="str">
        <f>IF(A733="","",COUNTIFS(RacePerformance!$F:$F,A733,RacePerformance!$I:$I,1))</f>
        <v/>
      </c>
      <c r="P733" s="6" t="str">
        <f>IF(A733="","",COUNTIFS(RacePerformance!$F:$F,A733,RacePerformance!$J:$J,"&lt;=3"))</f>
        <v/>
      </c>
    </row>
    <row r="734" spans="5:16" ht="14.25" customHeight="1" x14ac:dyDescent="0.3">
      <c r="E734" s="6"/>
      <c r="I734" s="6"/>
      <c r="J734" s="6" t="str">
        <f>IF(A734="","",COUNTIF(RacePerformance!$F:$F,A734))</f>
        <v/>
      </c>
      <c r="K734" s="6" t="str">
        <f>IF(A734="","",IFERROR(AVERAGEIF(RacePerformance!$F:$F,A734,RacePerformance!$I:$I),""))</f>
        <v/>
      </c>
      <c r="L734" s="6" t="str">
        <f>IF(A734="","",IFERROR(AVERAGEIF(RacePerformance!$F:$F,A734,RacePerformance!$J:$J),""))</f>
        <v/>
      </c>
      <c r="M734" s="6" t="str">
        <f>IF(A734="","",IFERROR(AVERAGEIF(RacePerformance!$F:$F,A734,RacePerformance!$K:$K),""))</f>
        <v/>
      </c>
      <c r="N734" s="6" t="str">
        <f>IF(A734="","",COUNTIFS(RacePerformance!$F:$F,A734,RacePerformance!$I:$I,"&lt;=20"))</f>
        <v/>
      </c>
      <c r="O734" s="6" t="str">
        <f>IF(A734="","",COUNTIFS(RacePerformance!$F:$F,A734,RacePerformance!$I:$I,1))</f>
        <v/>
      </c>
      <c r="P734" s="6" t="str">
        <f>IF(A734="","",COUNTIFS(RacePerformance!$F:$F,A734,RacePerformance!$J:$J,"&lt;=3"))</f>
        <v/>
      </c>
    </row>
    <row r="735" spans="5:16" ht="14.25" customHeight="1" x14ac:dyDescent="0.3">
      <c r="E735" s="6"/>
      <c r="I735" s="6"/>
      <c r="J735" s="6" t="str">
        <f>IF(A735="","",COUNTIF(RacePerformance!$F:$F,A735))</f>
        <v/>
      </c>
      <c r="K735" s="6" t="str">
        <f>IF(A735="","",IFERROR(AVERAGEIF(RacePerformance!$F:$F,A735,RacePerformance!$I:$I),""))</f>
        <v/>
      </c>
      <c r="L735" s="6" t="str">
        <f>IF(A735="","",IFERROR(AVERAGEIF(RacePerformance!$F:$F,A735,RacePerformance!$J:$J),""))</f>
        <v/>
      </c>
      <c r="M735" s="6" t="str">
        <f>IF(A735="","",IFERROR(AVERAGEIF(RacePerformance!$F:$F,A735,RacePerformance!$K:$K),""))</f>
        <v/>
      </c>
      <c r="N735" s="6" t="str">
        <f>IF(A735="","",COUNTIFS(RacePerformance!$F:$F,A735,RacePerformance!$I:$I,"&lt;=20"))</f>
        <v/>
      </c>
      <c r="O735" s="6" t="str">
        <f>IF(A735="","",COUNTIFS(RacePerformance!$F:$F,A735,RacePerformance!$I:$I,1))</f>
        <v/>
      </c>
      <c r="P735" s="6" t="str">
        <f>IF(A735="","",COUNTIFS(RacePerformance!$F:$F,A735,RacePerformance!$J:$J,"&lt;=3"))</f>
        <v/>
      </c>
    </row>
    <row r="736" spans="5:16" ht="14.25" customHeight="1" x14ac:dyDescent="0.3">
      <c r="E736" s="6"/>
      <c r="I736" s="6"/>
      <c r="J736" s="6" t="str">
        <f>IF(A736="","",COUNTIF(RacePerformance!$F:$F,A736))</f>
        <v/>
      </c>
      <c r="K736" s="6" t="str">
        <f>IF(A736="","",IFERROR(AVERAGEIF(RacePerformance!$F:$F,A736,RacePerformance!$I:$I),""))</f>
        <v/>
      </c>
      <c r="L736" s="6" t="str">
        <f>IF(A736="","",IFERROR(AVERAGEIF(RacePerformance!$F:$F,A736,RacePerformance!$J:$J),""))</f>
        <v/>
      </c>
      <c r="M736" s="6" t="str">
        <f>IF(A736="","",IFERROR(AVERAGEIF(RacePerformance!$F:$F,A736,RacePerformance!$K:$K),""))</f>
        <v/>
      </c>
      <c r="N736" s="6" t="str">
        <f>IF(A736="","",COUNTIFS(RacePerformance!$F:$F,A736,RacePerformance!$I:$I,"&lt;=20"))</f>
        <v/>
      </c>
      <c r="O736" s="6" t="str">
        <f>IF(A736="","",COUNTIFS(RacePerformance!$F:$F,A736,RacePerformance!$I:$I,1))</f>
        <v/>
      </c>
      <c r="P736" s="6" t="str">
        <f>IF(A736="","",COUNTIFS(RacePerformance!$F:$F,A736,RacePerformance!$J:$J,"&lt;=3"))</f>
        <v/>
      </c>
    </row>
    <row r="737" spans="5:16" ht="14.25" customHeight="1" x14ac:dyDescent="0.3">
      <c r="E737" s="6"/>
      <c r="I737" s="6"/>
      <c r="J737" s="6" t="str">
        <f>IF(A737="","",COUNTIF(RacePerformance!$F:$F,A737))</f>
        <v/>
      </c>
      <c r="K737" s="6" t="str">
        <f>IF(A737="","",IFERROR(AVERAGEIF(RacePerformance!$F:$F,A737,RacePerformance!$I:$I),""))</f>
        <v/>
      </c>
      <c r="L737" s="6" t="str">
        <f>IF(A737="","",IFERROR(AVERAGEIF(RacePerformance!$F:$F,A737,RacePerformance!$J:$J),""))</f>
        <v/>
      </c>
      <c r="M737" s="6" t="str">
        <f>IF(A737="","",IFERROR(AVERAGEIF(RacePerformance!$F:$F,A737,RacePerformance!$K:$K),""))</f>
        <v/>
      </c>
      <c r="N737" s="6" t="str">
        <f>IF(A737="","",COUNTIFS(RacePerformance!$F:$F,A737,RacePerformance!$I:$I,"&lt;=20"))</f>
        <v/>
      </c>
      <c r="O737" s="6" t="str">
        <f>IF(A737="","",COUNTIFS(RacePerformance!$F:$F,A737,RacePerformance!$I:$I,1))</f>
        <v/>
      </c>
      <c r="P737" s="6" t="str">
        <f>IF(A737="","",COUNTIFS(RacePerformance!$F:$F,A737,RacePerformance!$J:$J,"&lt;=3"))</f>
        <v/>
      </c>
    </row>
    <row r="738" spans="5:16" ht="14.25" customHeight="1" x14ac:dyDescent="0.3">
      <c r="E738" s="6"/>
      <c r="I738" s="6"/>
      <c r="J738" s="6" t="str">
        <f>IF(A738="","",COUNTIF(RacePerformance!$F:$F,A738))</f>
        <v/>
      </c>
      <c r="K738" s="6" t="str">
        <f>IF(A738="","",IFERROR(AVERAGEIF(RacePerformance!$F:$F,A738,RacePerformance!$I:$I),""))</f>
        <v/>
      </c>
      <c r="L738" s="6" t="str">
        <f>IF(A738="","",IFERROR(AVERAGEIF(RacePerformance!$F:$F,A738,RacePerformance!$J:$J),""))</f>
        <v/>
      </c>
      <c r="M738" s="6" t="str">
        <f>IF(A738="","",IFERROR(AVERAGEIF(RacePerformance!$F:$F,A738,RacePerformance!$K:$K),""))</f>
        <v/>
      </c>
      <c r="N738" s="6" t="str">
        <f>IF(A738="","",COUNTIFS(RacePerformance!$F:$F,A738,RacePerformance!$I:$I,"&lt;=20"))</f>
        <v/>
      </c>
      <c r="O738" s="6" t="str">
        <f>IF(A738="","",COUNTIFS(RacePerformance!$F:$F,A738,RacePerformance!$I:$I,1))</f>
        <v/>
      </c>
      <c r="P738" s="6" t="str">
        <f>IF(A738="","",COUNTIFS(RacePerformance!$F:$F,A738,RacePerformance!$J:$J,"&lt;=3"))</f>
        <v/>
      </c>
    </row>
    <row r="739" spans="5:16" ht="14.25" customHeight="1" x14ac:dyDescent="0.3">
      <c r="E739" s="6"/>
      <c r="I739" s="6"/>
      <c r="J739" s="6" t="str">
        <f>IF(A739="","",COUNTIF(RacePerformance!$F:$F,A739))</f>
        <v/>
      </c>
      <c r="K739" s="6" t="str">
        <f>IF(A739="","",IFERROR(AVERAGEIF(RacePerformance!$F:$F,A739,RacePerformance!$I:$I),""))</f>
        <v/>
      </c>
      <c r="L739" s="6" t="str">
        <f>IF(A739="","",IFERROR(AVERAGEIF(RacePerformance!$F:$F,A739,RacePerformance!$J:$J),""))</f>
        <v/>
      </c>
      <c r="M739" s="6" t="str">
        <f>IF(A739="","",IFERROR(AVERAGEIF(RacePerformance!$F:$F,A739,RacePerformance!$K:$K),""))</f>
        <v/>
      </c>
      <c r="N739" s="6" t="str">
        <f>IF(A739="","",COUNTIFS(RacePerformance!$F:$F,A739,RacePerformance!$I:$I,"&lt;=20"))</f>
        <v/>
      </c>
      <c r="O739" s="6" t="str">
        <f>IF(A739="","",COUNTIFS(RacePerformance!$F:$F,A739,RacePerformance!$I:$I,1))</f>
        <v/>
      </c>
      <c r="P739" s="6" t="str">
        <f>IF(A739="","",COUNTIFS(RacePerformance!$F:$F,A739,RacePerformance!$J:$J,"&lt;=3"))</f>
        <v/>
      </c>
    </row>
    <row r="740" spans="5:16" ht="14.25" customHeight="1" x14ac:dyDescent="0.3">
      <c r="E740" s="6"/>
      <c r="I740" s="6"/>
      <c r="J740" s="6" t="str">
        <f>IF(A740="","",COUNTIF(RacePerformance!$F:$F,A740))</f>
        <v/>
      </c>
      <c r="K740" s="6" t="str">
        <f>IF(A740="","",IFERROR(AVERAGEIF(RacePerformance!$F:$F,A740,RacePerformance!$I:$I),""))</f>
        <v/>
      </c>
      <c r="L740" s="6" t="str">
        <f>IF(A740="","",IFERROR(AVERAGEIF(RacePerformance!$F:$F,A740,RacePerformance!$J:$J),""))</f>
        <v/>
      </c>
      <c r="M740" s="6" t="str">
        <f>IF(A740="","",IFERROR(AVERAGEIF(RacePerformance!$F:$F,A740,RacePerformance!$K:$K),""))</f>
        <v/>
      </c>
      <c r="N740" s="6" t="str">
        <f>IF(A740="","",COUNTIFS(RacePerformance!$F:$F,A740,RacePerformance!$I:$I,"&lt;=20"))</f>
        <v/>
      </c>
      <c r="O740" s="6" t="str">
        <f>IF(A740="","",COUNTIFS(RacePerformance!$F:$F,A740,RacePerformance!$I:$I,1))</f>
        <v/>
      </c>
      <c r="P740" s="6" t="str">
        <f>IF(A740="","",COUNTIFS(RacePerformance!$F:$F,A740,RacePerformance!$J:$J,"&lt;=3"))</f>
        <v/>
      </c>
    </row>
    <row r="741" spans="5:16" ht="14.25" customHeight="1" x14ac:dyDescent="0.3">
      <c r="E741" s="6"/>
      <c r="I741" s="6"/>
      <c r="J741" s="6" t="str">
        <f>IF(A741="","",COUNTIF(RacePerformance!$F:$F,A741))</f>
        <v/>
      </c>
      <c r="K741" s="6" t="str">
        <f>IF(A741="","",IFERROR(AVERAGEIF(RacePerformance!$F:$F,A741,RacePerformance!$I:$I),""))</f>
        <v/>
      </c>
      <c r="L741" s="6" t="str">
        <f>IF(A741="","",IFERROR(AVERAGEIF(RacePerformance!$F:$F,A741,RacePerformance!$J:$J),""))</f>
        <v/>
      </c>
      <c r="M741" s="6" t="str">
        <f>IF(A741="","",IFERROR(AVERAGEIF(RacePerformance!$F:$F,A741,RacePerformance!$K:$K),""))</f>
        <v/>
      </c>
      <c r="N741" s="6" t="str">
        <f>IF(A741="","",COUNTIFS(RacePerformance!$F:$F,A741,RacePerformance!$I:$I,"&lt;=20"))</f>
        <v/>
      </c>
      <c r="O741" s="6" t="str">
        <f>IF(A741="","",COUNTIFS(RacePerformance!$F:$F,A741,RacePerformance!$I:$I,1))</f>
        <v/>
      </c>
      <c r="P741" s="6" t="str">
        <f>IF(A741="","",COUNTIFS(RacePerformance!$F:$F,A741,RacePerformance!$J:$J,"&lt;=3"))</f>
        <v/>
      </c>
    </row>
    <row r="742" spans="5:16" ht="14.25" customHeight="1" x14ac:dyDescent="0.3">
      <c r="E742" s="6"/>
      <c r="I742" s="6"/>
      <c r="J742" s="6" t="str">
        <f>IF(A742="","",COUNTIF(RacePerformance!$F:$F,A742))</f>
        <v/>
      </c>
      <c r="K742" s="6" t="str">
        <f>IF(A742="","",IFERROR(AVERAGEIF(RacePerformance!$F:$F,A742,RacePerformance!$I:$I),""))</f>
        <v/>
      </c>
      <c r="L742" s="6" t="str">
        <f>IF(A742="","",IFERROR(AVERAGEIF(RacePerformance!$F:$F,A742,RacePerformance!$J:$J),""))</f>
        <v/>
      </c>
      <c r="M742" s="6" t="str">
        <f>IF(A742="","",IFERROR(AVERAGEIF(RacePerformance!$F:$F,A742,RacePerformance!$K:$K),""))</f>
        <v/>
      </c>
      <c r="N742" s="6" t="str">
        <f>IF(A742="","",COUNTIFS(RacePerformance!$F:$F,A742,RacePerformance!$I:$I,"&lt;=20"))</f>
        <v/>
      </c>
      <c r="O742" s="6" t="str">
        <f>IF(A742="","",COUNTIFS(RacePerformance!$F:$F,A742,RacePerformance!$I:$I,1))</f>
        <v/>
      </c>
      <c r="P742" s="6" t="str">
        <f>IF(A742="","",COUNTIFS(RacePerformance!$F:$F,A742,RacePerformance!$J:$J,"&lt;=3"))</f>
        <v/>
      </c>
    </row>
    <row r="743" spans="5:16" ht="14.25" customHeight="1" x14ac:dyDescent="0.3">
      <c r="E743" s="6"/>
      <c r="I743" s="6"/>
      <c r="J743" s="6" t="str">
        <f>IF(A743="","",COUNTIF(RacePerformance!$F:$F,A743))</f>
        <v/>
      </c>
      <c r="K743" s="6" t="str">
        <f>IF(A743="","",IFERROR(AVERAGEIF(RacePerformance!$F:$F,A743,RacePerformance!$I:$I),""))</f>
        <v/>
      </c>
      <c r="L743" s="6" t="str">
        <f>IF(A743="","",IFERROR(AVERAGEIF(RacePerformance!$F:$F,A743,RacePerformance!$J:$J),""))</f>
        <v/>
      </c>
      <c r="M743" s="6" t="str">
        <f>IF(A743="","",IFERROR(AVERAGEIF(RacePerformance!$F:$F,A743,RacePerformance!$K:$K),""))</f>
        <v/>
      </c>
      <c r="N743" s="6" t="str">
        <f>IF(A743="","",COUNTIFS(RacePerformance!$F:$F,A743,RacePerformance!$I:$I,"&lt;=20"))</f>
        <v/>
      </c>
      <c r="O743" s="6" t="str">
        <f>IF(A743="","",COUNTIFS(RacePerformance!$F:$F,A743,RacePerformance!$I:$I,1))</f>
        <v/>
      </c>
      <c r="P743" s="6" t="str">
        <f>IF(A743="","",COUNTIFS(RacePerformance!$F:$F,A743,RacePerformance!$J:$J,"&lt;=3"))</f>
        <v/>
      </c>
    </row>
    <row r="744" spans="5:16" ht="14.25" customHeight="1" x14ac:dyDescent="0.3">
      <c r="E744" s="6"/>
      <c r="I744" s="6"/>
      <c r="J744" s="6" t="str">
        <f>IF(A744="","",COUNTIF(RacePerformance!$F:$F,A744))</f>
        <v/>
      </c>
      <c r="K744" s="6" t="str">
        <f>IF(A744="","",IFERROR(AVERAGEIF(RacePerformance!$F:$F,A744,RacePerformance!$I:$I),""))</f>
        <v/>
      </c>
      <c r="L744" s="6" t="str">
        <f>IF(A744="","",IFERROR(AVERAGEIF(RacePerformance!$F:$F,A744,RacePerformance!$J:$J),""))</f>
        <v/>
      </c>
      <c r="M744" s="6" t="str">
        <f>IF(A744="","",IFERROR(AVERAGEIF(RacePerformance!$F:$F,A744,RacePerformance!$K:$K),""))</f>
        <v/>
      </c>
      <c r="N744" s="6" t="str">
        <f>IF(A744="","",COUNTIFS(RacePerformance!$F:$F,A744,RacePerformance!$I:$I,"&lt;=20"))</f>
        <v/>
      </c>
      <c r="O744" s="6" t="str">
        <f>IF(A744="","",COUNTIFS(RacePerformance!$F:$F,A744,RacePerformance!$I:$I,1))</f>
        <v/>
      </c>
      <c r="P744" s="6" t="str">
        <f>IF(A744="","",COUNTIFS(RacePerformance!$F:$F,A744,RacePerformance!$J:$J,"&lt;=3"))</f>
        <v/>
      </c>
    </row>
    <row r="745" spans="5:16" ht="14.25" customHeight="1" x14ac:dyDescent="0.3">
      <c r="E745" s="6"/>
      <c r="I745" s="6"/>
      <c r="J745" s="6" t="str">
        <f>IF(A745="","",COUNTIF(RacePerformance!$F:$F,A745))</f>
        <v/>
      </c>
      <c r="K745" s="6" t="str">
        <f>IF(A745="","",IFERROR(AVERAGEIF(RacePerformance!$F:$F,A745,RacePerformance!$I:$I),""))</f>
        <v/>
      </c>
      <c r="L745" s="6" t="str">
        <f>IF(A745="","",IFERROR(AVERAGEIF(RacePerformance!$F:$F,A745,RacePerformance!$J:$J),""))</f>
        <v/>
      </c>
      <c r="M745" s="6" t="str">
        <f>IF(A745="","",IFERROR(AVERAGEIF(RacePerformance!$F:$F,A745,RacePerformance!$K:$K),""))</f>
        <v/>
      </c>
      <c r="N745" s="6" t="str">
        <f>IF(A745="","",COUNTIFS(RacePerformance!$F:$F,A745,RacePerformance!$I:$I,"&lt;=20"))</f>
        <v/>
      </c>
      <c r="O745" s="6" t="str">
        <f>IF(A745="","",COUNTIFS(RacePerformance!$F:$F,A745,RacePerformance!$I:$I,1))</f>
        <v/>
      </c>
      <c r="P745" s="6" t="str">
        <f>IF(A745="","",COUNTIFS(RacePerformance!$F:$F,A745,RacePerformance!$J:$J,"&lt;=3"))</f>
        <v/>
      </c>
    </row>
    <row r="746" spans="5:16" ht="14.25" customHeight="1" x14ac:dyDescent="0.3">
      <c r="E746" s="6"/>
      <c r="I746" s="6"/>
      <c r="J746" s="6" t="str">
        <f>IF(A746="","",COUNTIF(RacePerformance!$F:$F,A746))</f>
        <v/>
      </c>
      <c r="K746" s="6" t="str">
        <f>IF(A746="","",IFERROR(AVERAGEIF(RacePerformance!$F:$F,A746,RacePerformance!$I:$I),""))</f>
        <v/>
      </c>
      <c r="L746" s="6" t="str">
        <f>IF(A746="","",IFERROR(AVERAGEIF(RacePerformance!$F:$F,A746,RacePerformance!$J:$J),""))</f>
        <v/>
      </c>
      <c r="M746" s="6" t="str">
        <f>IF(A746="","",IFERROR(AVERAGEIF(RacePerformance!$F:$F,A746,RacePerformance!$K:$K),""))</f>
        <v/>
      </c>
      <c r="N746" s="6" t="str">
        <f>IF(A746="","",COUNTIFS(RacePerformance!$F:$F,A746,RacePerformance!$I:$I,"&lt;=20"))</f>
        <v/>
      </c>
      <c r="O746" s="6" t="str">
        <f>IF(A746="","",COUNTIFS(RacePerformance!$F:$F,A746,RacePerformance!$I:$I,1))</f>
        <v/>
      </c>
      <c r="P746" s="6" t="str">
        <f>IF(A746="","",COUNTIFS(RacePerformance!$F:$F,A746,RacePerformance!$J:$J,"&lt;=3"))</f>
        <v/>
      </c>
    </row>
    <row r="747" spans="5:16" ht="14.25" customHeight="1" x14ac:dyDescent="0.3">
      <c r="E747" s="6"/>
      <c r="I747" s="6"/>
      <c r="J747" s="6" t="str">
        <f>IF(A747="","",COUNTIF(RacePerformance!$F:$F,A747))</f>
        <v/>
      </c>
      <c r="K747" s="6" t="str">
        <f>IF(A747="","",IFERROR(AVERAGEIF(RacePerformance!$F:$F,A747,RacePerformance!$I:$I),""))</f>
        <v/>
      </c>
      <c r="L747" s="6" t="str">
        <f>IF(A747="","",IFERROR(AVERAGEIF(RacePerformance!$F:$F,A747,RacePerformance!$J:$J),""))</f>
        <v/>
      </c>
      <c r="M747" s="6" t="str">
        <f>IF(A747="","",IFERROR(AVERAGEIF(RacePerformance!$F:$F,A747,RacePerformance!$K:$K),""))</f>
        <v/>
      </c>
      <c r="N747" s="6" t="str">
        <f>IF(A747="","",COUNTIFS(RacePerformance!$F:$F,A747,RacePerformance!$I:$I,"&lt;=20"))</f>
        <v/>
      </c>
      <c r="O747" s="6" t="str">
        <f>IF(A747="","",COUNTIFS(RacePerformance!$F:$F,A747,RacePerformance!$I:$I,1))</f>
        <v/>
      </c>
      <c r="P747" s="6" t="str">
        <f>IF(A747="","",COUNTIFS(RacePerformance!$F:$F,A747,RacePerformance!$J:$J,"&lt;=3"))</f>
        <v/>
      </c>
    </row>
    <row r="748" spans="5:16" ht="14.25" customHeight="1" x14ac:dyDescent="0.3">
      <c r="E748" s="6"/>
      <c r="I748" s="6"/>
      <c r="J748" s="6" t="str">
        <f>IF(A748="","",COUNTIF(RacePerformance!$F:$F,A748))</f>
        <v/>
      </c>
      <c r="K748" s="6" t="str">
        <f>IF(A748="","",IFERROR(AVERAGEIF(RacePerformance!$F:$F,A748,RacePerformance!$I:$I),""))</f>
        <v/>
      </c>
      <c r="L748" s="6" t="str">
        <f>IF(A748="","",IFERROR(AVERAGEIF(RacePerformance!$F:$F,A748,RacePerformance!$J:$J),""))</f>
        <v/>
      </c>
      <c r="M748" s="6" t="str">
        <f>IF(A748="","",IFERROR(AVERAGEIF(RacePerformance!$F:$F,A748,RacePerformance!$K:$K),""))</f>
        <v/>
      </c>
      <c r="N748" s="6" t="str">
        <f>IF(A748="","",COUNTIFS(RacePerformance!$F:$F,A748,RacePerformance!$I:$I,"&lt;=20"))</f>
        <v/>
      </c>
      <c r="O748" s="6" t="str">
        <f>IF(A748="","",COUNTIFS(RacePerformance!$F:$F,A748,RacePerformance!$I:$I,1))</f>
        <v/>
      </c>
      <c r="P748" s="6" t="str">
        <f>IF(A748="","",COUNTIFS(RacePerformance!$F:$F,A748,RacePerformance!$J:$J,"&lt;=3"))</f>
        <v/>
      </c>
    </row>
    <row r="749" spans="5:16" ht="14.25" customHeight="1" x14ac:dyDescent="0.3">
      <c r="E749" s="6"/>
      <c r="I749" s="6"/>
      <c r="J749" s="6" t="str">
        <f>IF(A749="","",COUNTIF(RacePerformance!$F:$F,A749))</f>
        <v/>
      </c>
      <c r="K749" s="6" t="str">
        <f>IF(A749="","",IFERROR(AVERAGEIF(RacePerformance!$F:$F,A749,RacePerformance!$I:$I),""))</f>
        <v/>
      </c>
      <c r="L749" s="6" t="str">
        <f>IF(A749="","",IFERROR(AVERAGEIF(RacePerformance!$F:$F,A749,RacePerformance!$J:$J),""))</f>
        <v/>
      </c>
      <c r="M749" s="6" t="str">
        <f>IF(A749="","",IFERROR(AVERAGEIF(RacePerformance!$F:$F,A749,RacePerformance!$K:$K),""))</f>
        <v/>
      </c>
      <c r="N749" s="6" t="str">
        <f>IF(A749="","",COUNTIFS(RacePerformance!$F:$F,A749,RacePerformance!$I:$I,"&lt;=20"))</f>
        <v/>
      </c>
      <c r="O749" s="6" t="str">
        <f>IF(A749="","",COUNTIFS(RacePerformance!$F:$F,A749,RacePerformance!$I:$I,1))</f>
        <v/>
      </c>
      <c r="P749" s="6" t="str">
        <f>IF(A749="","",COUNTIFS(RacePerformance!$F:$F,A749,RacePerformance!$J:$J,"&lt;=3"))</f>
        <v/>
      </c>
    </row>
    <row r="750" spans="5:16" ht="14.25" customHeight="1" x14ac:dyDescent="0.3">
      <c r="E750" s="6"/>
      <c r="I750" s="6"/>
      <c r="J750" s="6" t="str">
        <f>IF(A750="","",COUNTIF(RacePerformance!$F:$F,A750))</f>
        <v/>
      </c>
      <c r="K750" s="6" t="str">
        <f>IF(A750="","",IFERROR(AVERAGEIF(RacePerformance!$F:$F,A750,RacePerformance!$I:$I),""))</f>
        <v/>
      </c>
      <c r="L750" s="6" t="str">
        <f>IF(A750="","",IFERROR(AVERAGEIF(RacePerformance!$F:$F,A750,RacePerformance!$J:$J),""))</f>
        <v/>
      </c>
      <c r="M750" s="6" t="str">
        <f>IF(A750="","",IFERROR(AVERAGEIF(RacePerformance!$F:$F,A750,RacePerformance!$K:$K),""))</f>
        <v/>
      </c>
      <c r="N750" s="6" t="str">
        <f>IF(A750="","",COUNTIFS(RacePerformance!$F:$F,A750,RacePerformance!$I:$I,"&lt;=20"))</f>
        <v/>
      </c>
      <c r="O750" s="6" t="str">
        <f>IF(A750="","",COUNTIFS(RacePerformance!$F:$F,A750,RacePerformance!$I:$I,1))</f>
        <v/>
      </c>
      <c r="P750" s="6" t="str">
        <f>IF(A750="","",COUNTIFS(RacePerformance!$F:$F,A750,RacePerformance!$J:$J,"&lt;=3"))</f>
        <v/>
      </c>
    </row>
    <row r="751" spans="5:16" ht="14.25" customHeight="1" x14ac:dyDescent="0.3">
      <c r="E751" s="6"/>
      <c r="I751" s="6"/>
      <c r="J751" s="6" t="str">
        <f>IF(A751="","",COUNTIF(RacePerformance!$F:$F,A751))</f>
        <v/>
      </c>
      <c r="K751" s="6" t="str">
        <f>IF(A751="","",IFERROR(AVERAGEIF(RacePerformance!$F:$F,A751,RacePerformance!$I:$I),""))</f>
        <v/>
      </c>
      <c r="L751" s="6" t="str">
        <f>IF(A751="","",IFERROR(AVERAGEIF(RacePerformance!$F:$F,A751,RacePerformance!$J:$J),""))</f>
        <v/>
      </c>
      <c r="M751" s="6" t="str">
        <f>IF(A751="","",IFERROR(AVERAGEIF(RacePerformance!$F:$F,A751,RacePerformance!$K:$K),""))</f>
        <v/>
      </c>
      <c r="N751" s="6" t="str">
        <f>IF(A751="","",COUNTIFS(RacePerformance!$F:$F,A751,RacePerformance!$I:$I,"&lt;=20"))</f>
        <v/>
      </c>
      <c r="O751" s="6" t="str">
        <f>IF(A751="","",COUNTIFS(RacePerformance!$F:$F,A751,RacePerformance!$I:$I,1))</f>
        <v/>
      </c>
      <c r="P751" s="6" t="str">
        <f>IF(A751="","",COUNTIFS(RacePerformance!$F:$F,A751,RacePerformance!$J:$J,"&lt;=3"))</f>
        <v/>
      </c>
    </row>
    <row r="752" spans="5:16" ht="14.25" customHeight="1" x14ac:dyDescent="0.3">
      <c r="E752" s="6"/>
      <c r="I752" s="6"/>
      <c r="J752" s="6" t="str">
        <f>IF(A752="","",COUNTIF(RacePerformance!$F:$F,A752))</f>
        <v/>
      </c>
      <c r="K752" s="6" t="str">
        <f>IF(A752="","",IFERROR(AVERAGEIF(RacePerformance!$F:$F,A752,RacePerformance!$I:$I),""))</f>
        <v/>
      </c>
      <c r="L752" s="6" t="str">
        <f>IF(A752="","",IFERROR(AVERAGEIF(RacePerformance!$F:$F,A752,RacePerformance!$J:$J),""))</f>
        <v/>
      </c>
      <c r="M752" s="6" t="str">
        <f>IF(A752="","",IFERROR(AVERAGEIF(RacePerformance!$F:$F,A752,RacePerformance!$K:$K),""))</f>
        <v/>
      </c>
      <c r="N752" s="6" t="str">
        <f>IF(A752="","",COUNTIFS(RacePerformance!$F:$F,A752,RacePerformance!$I:$I,"&lt;=20"))</f>
        <v/>
      </c>
      <c r="O752" s="6" t="str">
        <f>IF(A752="","",COUNTIFS(RacePerformance!$F:$F,A752,RacePerformance!$I:$I,1))</f>
        <v/>
      </c>
      <c r="P752" s="6" t="str">
        <f>IF(A752="","",COUNTIFS(RacePerformance!$F:$F,A752,RacePerformance!$J:$J,"&lt;=3"))</f>
        <v/>
      </c>
    </row>
    <row r="753" spans="5:16" ht="14.25" customHeight="1" x14ac:dyDescent="0.3">
      <c r="E753" s="6"/>
      <c r="I753" s="6"/>
      <c r="J753" s="6" t="str">
        <f>IF(A753="","",COUNTIF(RacePerformance!$F:$F,A753))</f>
        <v/>
      </c>
      <c r="K753" s="6" t="str">
        <f>IF(A753="","",IFERROR(AVERAGEIF(RacePerformance!$F:$F,A753,RacePerformance!$I:$I),""))</f>
        <v/>
      </c>
      <c r="L753" s="6" t="str">
        <f>IF(A753="","",IFERROR(AVERAGEIF(RacePerformance!$F:$F,A753,RacePerformance!$J:$J),""))</f>
        <v/>
      </c>
      <c r="M753" s="6" t="str">
        <f>IF(A753="","",IFERROR(AVERAGEIF(RacePerformance!$F:$F,A753,RacePerformance!$K:$K),""))</f>
        <v/>
      </c>
      <c r="N753" s="6" t="str">
        <f>IF(A753="","",COUNTIFS(RacePerformance!$F:$F,A753,RacePerformance!$I:$I,"&lt;=20"))</f>
        <v/>
      </c>
      <c r="O753" s="6" t="str">
        <f>IF(A753="","",COUNTIFS(RacePerformance!$F:$F,A753,RacePerformance!$I:$I,1))</f>
        <v/>
      </c>
      <c r="P753" s="6" t="str">
        <f>IF(A753="","",COUNTIFS(RacePerformance!$F:$F,A753,RacePerformance!$J:$J,"&lt;=3"))</f>
        <v/>
      </c>
    </row>
    <row r="754" spans="5:16" ht="14.25" customHeight="1" x14ac:dyDescent="0.3">
      <c r="E754" s="6"/>
      <c r="I754" s="6"/>
      <c r="J754" s="6" t="str">
        <f>IF(A754="","",COUNTIF(RacePerformance!$F:$F,A754))</f>
        <v/>
      </c>
      <c r="K754" s="6" t="str">
        <f>IF(A754="","",IFERROR(AVERAGEIF(RacePerformance!$F:$F,A754,RacePerformance!$I:$I),""))</f>
        <v/>
      </c>
      <c r="L754" s="6" t="str">
        <f>IF(A754="","",IFERROR(AVERAGEIF(RacePerformance!$F:$F,A754,RacePerformance!$J:$J),""))</f>
        <v/>
      </c>
      <c r="M754" s="6" t="str">
        <f>IF(A754="","",IFERROR(AVERAGEIF(RacePerformance!$F:$F,A754,RacePerformance!$K:$K),""))</f>
        <v/>
      </c>
      <c r="N754" s="6" t="str">
        <f>IF(A754="","",COUNTIFS(RacePerformance!$F:$F,A754,RacePerformance!$I:$I,"&lt;=20"))</f>
        <v/>
      </c>
      <c r="O754" s="6" t="str">
        <f>IF(A754="","",COUNTIFS(RacePerformance!$F:$F,A754,RacePerformance!$I:$I,1))</f>
        <v/>
      </c>
      <c r="P754" s="6" t="str">
        <f>IF(A754="","",COUNTIFS(RacePerformance!$F:$F,A754,RacePerformance!$J:$J,"&lt;=3"))</f>
        <v/>
      </c>
    </row>
    <row r="755" spans="5:16" ht="14.25" customHeight="1" x14ac:dyDescent="0.3">
      <c r="E755" s="6"/>
      <c r="I755" s="6"/>
      <c r="J755" s="6" t="str">
        <f>IF(A755="","",COUNTIF(RacePerformance!$F:$F,A755))</f>
        <v/>
      </c>
      <c r="K755" s="6" t="str">
        <f>IF(A755="","",IFERROR(AVERAGEIF(RacePerformance!$F:$F,A755,RacePerformance!$I:$I),""))</f>
        <v/>
      </c>
      <c r="L755" s="6" t="str">
        <f>IF(A755="","",IFERROR(AVERAGEIF(RacePerformance!$F:$F,A755,RacePerformance!$J:$J),""))</f>
        <v/>
      </c>
      <c r="M755" s="6" t="str">
        <f>IF(A755="","",IFERROR(AVERAGEIF(RacePerformance!$F:$F,A755,RacePerformance!$K:$K),""))</f>
        <v/>
      </c>
      <c r="N755" s="6" t="str">
        <f>IF(A755="","",COUNTIFS(RacePerformance!$F:$F,A755,RacePerformance!$I:$I,"&lt;=20"))</f>
        <v/>
      </c>
      <c r="O755" s="6" t="str">
        <f>IF(A755="","",COUNTIFS(RacePerformance!$F:$F,A755,RacePerformance!$I:$I,1))</f>
        <v/>
      </c>
      <c r="P755" s="6" t="str">
        <f>IF(A755="","",COUNTIFS(RacePerformance!$F:$F,A755,RacePerformance!$J:$J,"&lt;=3"))</f>
        <v/>
      </c>
    </row>
    <row r="756" spans="5:16" ht="14.25" customHeight="1" x14ac:dyDescent="0.3">
      <c r="E756" s="6"/>
      <c r="I756" s="6"/>
      <c r="J756" s="6" t="str">
        <f>IF(A756="","",COUNTIF(RacePerformance!$F:$F,A756))</f>
        <v/>
      </c>
      <c r="K756" s="6" t="str">
        <f>IF(A756="","",IFERROR(AVERAGEIF(RacePerformance!$F:$F,A756,RacePerformance!$I:$I),""))</f>
        <v/>
      </c>
      <c r="L756" s="6" t="str">
        <f>IF(A756="","",IFERROR(AVERAGEIF(RacePerformance!$F:$F,A756,RacePerformance!$J:$J),""))</f>
        <v/>
      </c>
      <c r="M756" s="6" t="str">
        <f>IF(A756="","",IFERROR(AVERAGEIF(RacePerformance!$F:$F,A756,RacePerformance!$K:$K),""))</f>
        <v/>
      </c>
      <c r="N756" s="6" t="str">
        <f>IF(A756="","",COUNTIFS(RacePerformance!$F:$F,A756,RacePerformance!$I:$I,"&lt;=20"))</f>
        <v/>
      </c>
      <c r="O756" s="6" t="str">
        <f>IF(A756="","",COUNTIFS(RacePerformance!$F:$F,A756,RacePerformance!$I:$I,1))</f>
        <v/>
      </c>
      <c r="P756" s="6" t="str">
        <f>IF(A756="","",COUNTIFS(RacePerformance!$F:$F,A756,RacePerformance!$J:$J,"&lt;=3"))</f>
        <v/>
      </c>
    </row>
    <row r="757" spans="5:16" ht="14.25" customHeight="1" x14ac:dyDescent="0.3">
      <c r="E757" s="6"/>
      <c r="I757" s="6"/>
      <c r="J757" s="6" t="str">
        <f>IF(A757="","",COUNTIF(RacePerformance!$F:$F,A757))</f>
        <v/>
      </c>
      <c r="K757" s="6" t="str">
        <f>IF(A757="","",IFERROR(AVERAGEIF(RacePerformance!$F:$F,A757,RacePerformance!$I:$I),""))</f>
        <v/>
      </c>
      <c r="L757" s="6" t="str">
        <f>IF(A757="","",IFERROR(AVERAGEIF(RacePerformance!$F:$F,A757,RacePerformance!$J:$J),""))</f>
        <v/>
      </c>
      <c r="M757" s="6" t="str">
        <f>IF(A757="","",IFERROR(AVERAGEIF(RacePerformance!$F:$F,A757,RacePerformance!$K:$K),""))</f>
        <v/>
      </c>
      <c r="N757" s="6" t="str">
        <f>IF(A757="","",COUNTIFS(RacePerformance!$F:$F,A757,RacePerformance!$I:$I,"&lt;=20"))</f>
        <v/>
      </c>
      <c r="O757" s="6" t="str">
        <f>IF(A757="","",COUNTIFS(RacePerformance!$F:$F,A757,RacePerformance!$I:$I,1))</f>
        <v/>
      </c>
      <c r="P757" s="6" t="str">
        <f>IF(A757="","",COUNTIFS(RacePerformance!$F:$F,A757,RacePerformance!$J:$J,"&lt;=3"))</f>
        <v/>
      </c>
    </row>
    <row r="758" spans="5:16" ht="14.25" customHeight="1" x14ac:dyDescent="0.3">
      <c r="E758" s="6"/>
      <c r="I758" s="6"/>
      <c r="J758" s="6" t="str">
        <f>IF(A758="","",COUNTIF(RacePerformance!$F:$F,A758))</f>
        <v/>
      </c>
      <c r="K758" s="6" t="str">
        <f>IF(A758="","",IFERROR(AVERAGEIF(RacePerformance!$F:$F,A758,RacePerformance!$I:$I),""))</f>
        <v/>
      </c>
      <c r="L758" s="6" t="str">
        <f>IF(A758="","",IFERROR(AVERAGEIF(RacePerformance!$F:$F,A758,RacePerformance!$J:$J),""))</f>
        <v/>
      </c>
      <c r="M758" s="6" t="str">
        <f>IF(A758="","",IFERROR(AVERAGEIF(RacePerformance!$F:$F,A758,RacePerformance!$K:$K),""))</f>
        <v/>
      </c>
      <c r="N758" s="6" t="str">
        <f>IF(A758="","",COUNTIFS(RacePerformance!$F:$F,A758,RacePerformance!$I:$I,"&lt;=20"))</f>
        <v/>
      </c>
      <c r="O758" s="6" t="str">
        <f>IF(A758="","",COUNTIFS(RacePerformance!$F:$F,A758,RacePerformance!$I:$I,1))</f>
        <v/>
      </c>
      <c r="P758" s="6" t="str">
        <f>IF(A758="","",COUNTIFS(RacePerformance!$F:$F,A758,RacePerformance!$J:$J,"&lt;=3"))</f>
        <v/>
      </c>
    </row>
    <row r="759" spans="5:16" ht="14.25" customHeight="1" x14ac:dyDescent="0.3">
      <c r="E759" s="6"/>
      <c r="I759" s="6"/>
      <c r="J759" s="6" t="str">
        <f>IF(A759="","",COUNTIF(RacePerformance!$F:$F,A759))</f>
        <v/>
      </c>
      <c r="K759" s="6" t="str">
        <f>IF(A759="","",IFERROR(AVERAGEIF(RacePerformance!$F:$F,A759,RacePerformance!$I:$I),""))</f>
        <v/>
      </c>
      <c r="L759" s="6" t="str">
        <f>IF(A759="","",IFERROR(AVERAGEIF(RacePerformance!$F:$F,A759,RacePerformance!$J:$J),""))</f>
        <v/>
      </c>
      <c r="M759" s="6" t="str">
        <f>IF(A759="","",IFERROR(AVERAGEIF(RacePerformance!$F:$F,A759,RacePerformance!$K:$K),""))</f>
        <v/>
      </c>
      <c r="N759" s="6" t="str">
        <f>IF(A759="","",COUNTIFS(RacePerformance!$F:$F,A759,RacePerformance!$I:$I,"&lt;=20"))</f>
        <v/>
      </c>
      <c r="O759" s="6" t="str">
        <f>IF(A759="","",COUNTIFS(RacePerformance!$F:$F,A759,RacePerformance!$I:$I,1))</f>
        <v/>
      </c>
      <c r="P759" s="6" t="str">
        <f>IF(A759="","",COUNTIFS(RacePerformance!$F:$F,A759,RacePerformance!$J:$J,"&lt;=3"))</f>
        <v/>
      </c>
    </row>
    <row r="760" spans="5:16" ht="14.25" customHeight="1" x14ac:dyDescent="0.3">
      <c r="E760" s="6"/>
      <c r="I760" s="6"/>
      <c r="J760" s="6" t="str">
        <f>IF(A760="","",COUNTIF(RacePerformance!$F:$F,A760))</f>
        <v/>
      </c>
      <c r="K760" s="6" t="str">
        <f>IF(A760="","",IFERROR(AVERAGEIF(RacePerformance!$F:$F,A760,RacePerformance!$I:$I),""))</f>
        <v/>
      </c>
      <c r="L760" s="6" t="str">
        <f>IF(A760="","",IFERROR(AVERAGEIF(RacePerformance!$F:$F,A760,RacePerformance!$J:$J),""))</f>
        <v/>
      </c>
      <c r="M760" s="6" t="str">
        <f>IF(A760="","",IFERROR(AVERAGEIF(RacePerformance!$F:$F,A760,RacePerformance!$K:$K),""))</f>
        <v/>
      </c>
      <c r="N760" s="6" t="str">
        <f>IF(A760="","",COUNTIFS(RacePerformance!$F:$F,A760,RacePerformance!$I:$I,"&lt;=20"))</f>
        <v/>
      </c>
      <c r="O760" s="6" t="str">
        <f>IF(A760="","",COUNTIFS(RacePerformance!$F:$F,A760,RacePerformance!$I:$I,1))</f>
        <v/>
      </c>
      <c r="P760" s="6" t="str">
        <f>IF(A760="","",COUNTIFS(RacePerformance!$F:$F,A760,RacePerformance!$J:$J,"&lt;=3"))</f>
        <v/>
      </c>
    </row>
    <row r="761" spans="5:16" ht="14.25" customHeight="1" x14ac:dyDescent="0.3">
      <c r="E761" s="6"/>
      <c r="I761" s="6"/>
      <c r="J761" s="6" t="str">
        <f>IF(A761="","",COUNTIF(RacePerformance!$F:$F,A761))</f>
        <v/>
      </c>
      <c r="K761" s="6" t="str">
        <f>IF(A761="","",IFERROR(AVERAGEIF(RacePerformance!$F:$F,A761,RacePerformance!$I:$I),""))</f>
        <v/>
      </c>
      <c r="L761" s="6" t="str">
        <f>IF(A761="","",IFERROR(AVERAGEIF(RacePerformance!$F:$F,A761,RacePerformance!$J:$J),""))</f>
        <v/>
      </c>
      <c r="M761" s="6" t="str">
        <f>IF(A761="","",IFERROR(AVERAGEIF(RacePerformance!$F:$F,A761,RacePerformance!$K:$K),""))</f>
        <v/>
      </c>
      <c r="N761" s="6" t="str">
        <f>IF(A761="","",COUNTIFS(RacePerformance!$F:$F,A761,RacePerformance!$I:$I,"&lt;=20"))</f>
        <v/>
      </c>
      <c r="O761" s="6" t="str">
        <f>IF(A761="","",COUNTIFS(RacePerformance!$F:$F,A761,RacePerformance!$I:$I,1))</f>
        <v/>
      </c>
      <c r="P761" s="6" t="str">
        <f>IF(A761="","",COUNTIFS(RacePerformance!$F:$F,A761,RacePerformance!$J:$J,"&lt;=3"))</f>
        <v/>
      </c>
    </row>
    <row r="762" spans="5:16" ht="14.25" customHeight="1" x14ac:dyDescent="0.3">
      <c r="E762" s="6"/>
      <c r="I762" s="6"/>
      <c r="J762" s="6" t="str">
        <f>IF(A762="","",COUNTIF(RacePerformance!$F:$F,A762))</f>
        <v/>
      </c>
      <c r="K762" s="6" t="str">
        <f>IF(A762="","",IFERROR(AVERAGEIF(RacePerformance!$F:$F,A762,RacePerformance!$I:$I),""))</f>
        <v/>
      </c>
      <c r="L762" s="6" t="str">
        <f>IF(A762="","",IFERROR(AVERAGEIF(RacePerformance!$F:$F,A762,RacePerformance!$J:$J),""))</f>
        <v/>
      </c>
      <c r="M762" s="6" t="str">
        <f>IF(A762="","",IFERROR(AVERAGEIF(RacePerformance!$F:$F,A762,RacePerformance!$K:$K),""))</f>
        <v/>
      </c>
      <c r="N762" s="6" t="str">
        <f>IF(A762="","",COUNTIFS(RacePerformance!$F:$F,A762,RacePerformance!$I:$I,"&lt;=20"))</f>
        <v/>
      </c>
      <c r="O762" s="6" t="str">
        <f>IF(A762="","",COUNTIFS(RacePerformance!$F:$F,A762,RacePerformance!$I:$I,1))</f>
        <v/>
      </c>
      <c r="P762" s="6" t="str">
        <f>IF(A762="","",COUNTIFS(RacePerformance!$F:$F,A762,RacePerformance!$J:$J,"&lt;=3"))</f>
        <v/>
      </c>
    </row>
    <row r="763" spans="5:16" ht="14.25" customHeight="1" x14ac:dyDescent="0.3">
      <c r="E763" s="6"/>
      <c r="I763" s="6"/>
      <c r="J763" s="6" t="str">
        <f>IF(A763="","",COUNTIF(RacePerformance!$F:$F,A763))</f>
        <v/>
      </c>
      <c r="K763" s="6" t="str">
        <f>IF(A763="","",IFERROR(AVERAGEIF(RacePerformance!$F:$F,A763,RacePerformance!$I:$I),""))</f>
        <v/>
      </c>
      <c r="L763" s="6" t="str">
        <f>IF(A763="","",IFERROR(AVERAGEIF(RacePerformance!$F:$F,A763,RacePerformance!$J:$J),""))</f>
        <v/>
      </c>
      <c r="M763" s="6" t="str">
        <f>IF(A763="","",IFERROR(AVERAGEIF(RacePerformance!$F:$F,A763,RacePerformance!$K:$K),""))</f>
        <v/>
      </c>
      <c r="N763" s="6" t="str">
        <f>IF(A763="","",COUNTIFS(RacePerformance!$F:$F,A763,RacePerformance!$I:$I,"&lt;=20"))</f>
        <v/>
      </c>
      <c r="O763" s="6" t="str">
        <f>IF(A763="","",COUNTIFS(RacePerformance!$F:$F,A763,RacePerformance!$I:$I,1))</f>
        <v/>
      </c>
      <c r="P763" s="6" t="str">
        <f>IF(A763="","",COUNTIFS(RacePerformance!$F:$F,A763,RacePerformance!$J:$J,"&lt;=3"))</f>
        <v/>
      </c>
    </row>
    <row r="764" spans="5:16" ht="14.25" customHeight="1" x14ac:dyDescent="0.3">
      <c r="E764" s="6"/>
      <c r="I764" s="6"/>
      <c r="J764" s="6" t="str">
        <f>IF(A764="","",COUNTIF(RacePerformance!$F:$F,A764))</f>
        <v/>
      </c>
      <c r="K764" s="6" t="str">
        <f>IF(A764="","",IFERROR(AVERAGEIF(RacePerformance!$F:$F,A764,RacePerformance!$I:$I),""))</f>
        <v/>
      </c>
      <c r="L764" s="6" t="str">
        <f>IF(A764="","",IFERROR(AVERAGEIF(RacePerformance!$F:$F,A764,RacePerformance!$J:$J),""))</f>
        <v/>
      </c>
      <c r="M764" s="6" t="str">
        <f>IF(A764="","",IFERROR(AVERAGEIF(RacePerformance!$F:$F,A764,RacePerformance!$K:$K),""))</f>
        <v/>
      </c>
      <c r="N764" s="6" t="str">
        <f>IF(A764="","",COUNTIFS(RacePerformance!$F:$F,A764,RacePerformance!$I:$I,"&lt;=20"))</f>
        <v/>
      </c>
      <c r="O764" s="6" t="str">
        <f>IF(A764="","",COUNTIFS(RacePerformance!$F:$F,A764,RacePerformance!$I:$I,1))</f>
        <v/>
      </c>
      <c r="P764" s="6" t="str">
        <f>IF(A764="","",COUNTIFS(RacePerformance!$F:$F,A764,RacePerformance!$J:$J,"&lt;=3"))</f>
        <v/>
      </c>
    </row>
    <row r="765" spans="5:16" ht="14.25" customHeight="1" x14ac:dyDescent="0.3">
      <c r="E765" s="6"/>
      <c r="I765" s="6"/>
      <c r="J765" s="6" t="str">
        <f>IF(A765="","",COUNTIF(RacePerformance!$F:$F,A765))</f>
        <v/>
      </c>
      <c r="K765" s="6" t="str">
        <f>IF(A765="","",IFERROR(AVERAGEIF(RacePerformance!$F:$F,A765,RacePerformance!$I:$I),""))</f>
        <v/>
      </c>
      <c r="L765" s="6" t="str">
        <f>IF(A765="","",IFERROR(AVERAGEIF(RacePerformance!$F:$F,A765,RacePerformance!$J:$J),""))</f>
        <v/>
      </c>
      <c r="M765" s="6" t="str">
        <f>IF(A765="","",IFERROR(AVERAGEIF(RacePerformance!$F:$F,A765,RacePerformance!$K:$K),""))</f>
        <v/>
      </c>
      <c r="N765" s="6" t="str">
        <f>IF(A765="","",COUNTIFS(RacePerformance!$F:$F,A765,RacePerformance!$I:$I,"&lt;=20"))</f>
        <v/>
      </c>
      <c r="O765" s="6" t="str">
        <f>IF(A765="","",COUNTIFS(RacePerformance!$F:$F,A765,RacePerformance!$I:$I,1))</f>
        <v/>
      </c>
      <c r="P765" s="6" t="str">
        <f>IF(A765="","",COUNTIFS(RacePerformance!$F:$F,A765,RacePerformance!$J:$J,"&lt;=3"))</f>
        <v/>
      </c>
    </row>
    <row r="766" spans="5:16" ht="14.25" customHeight="1" x14ac:dyDescent="0.3">
      <c r="E766" s="6"/>
      <c r="I766" s="6"/>
      <c r="J766" s="6" t="str">
        <f>IF(A766="","",COUNTIF(RacePerformance!$F:$F,A766))</f>
        <v/>
      </c>
      <c r="K766" s="6" t="str">
        <f>IF(A766="","",IFERROR(AVERAGEIF(RacePerformance!$F:$F,A766,RacePerformance!$I:$I),""))</f>
        <v/>
      </c>
      <c r="L766" s="6" t="str">
        <f>IF(A766="","",IFERROR(AVERAGEIF(RacePerformance!$F:$F,A766,RacePerformance!$J:$J),""))</f>
        <v/>
      </c>
      <c r="M766" s="6" t="str">
        <f>IF(A766="","",IFERROR(AVERAGEIF(RacePerformance!$F:$F,A766,RacePerformance!$K:$K),""))</f>
        <v/>
      </c>
      <c r="N766" s="6" t="str">
        <f>IF(A766="","",COUNTIFS(RacePerformance!$F:$F,A766,RacePerformance!$I:$I,"&lt;=20"))</f>
        <v/>
      </c>
      <c r="O766" s="6" t="str">
        <f>IF(A766="","",COUNTIFS(RacePerformance!$F:$F,A766,RacePerformance!$I:$I,1))</f>
        <v/>
      </c>
      <c r="P766" s="6" t="str">
        <f>IF(A766="","",COUNTIFS(RacePerformance!$F:$F,A766,RacePerformance!$J:$J,"&lt;=3"))</f>
        <v/>
      </c>
    </row>
    <row r="767" spans="5:16" ht="14.25" customHeight="1" x14ac:dyDescent="0.3">
      <c r="E767" s="6"/>
      <c r="I767" s="6"/>
      <c r="J767" s="6" t="str">
        <f>IF(A767="","",COUNTIF(RacePerformance!$F:$F,A767))</f>
        <v/>
      </c>
      <c r="K767" s="6" t="str">
        <f>IF(A767="","",IFERROR(AVERAGEIF(RacePerformance!$F:$F,A767,RacePerformance!$I:$I),""))</f>
        <v/>
      </c>
      <c r="L767" s="6" t="str">
        <f>IF(A767="","",IFERROR(AVERAGEIF(RacePerformance!$F:$F,A767,RacePerformance!$J:$J),""))</f>
        <v/>
      </c>
      <c r="M767" s="6" t="str">
        <f>IF(A767="","",IFERROR(AVERAGEIF(RacePerformance!$F:$F,A767,RacePerformance!$K:$K),""))</f>
        <v/>
      </c>
      <c r="N767" s="6" t="str">
        <f>IF(A767="","",COUNTIFS(RacePerformance!$F:$F,A767,RacePerformance!$I:$I,"&lt;=20"))</f>
        <v/>
      </c>
      <c r="O767" s="6" t="str">
        <f>IF(A767="","",COUNTIFS(RacePerformance!$F:$F,A767,RacePerformance!$I:$I,1))</f>
        <v/>
      </c>
      <c r="P767" s="6" t="str">
        <f>IF(A767="","",COUNTIFS(RacePerformance!$F:$F,A767,RacePerformance!$J:$J,"&lt;=3"))</f>
        <v/>
      </c>
    </row>
    <row r="768" spans="5:16" ht="14.25" customHeight="1" x14ac:dyDescent="0.3">
      <c r="E768" s="6"/>
      <c r="I768" s="6"/>
      <c r="J768" s="6" t="str">
        <f>IF(A768="","",COUNTIF(RacePerformance!$F:$F,A768))</f>
        <v/>
      </c>
      <c r="K768" s="6" t="str">
        <f>IF(A768="","",IFERROR(AVERAGEIF(RacePerformance!$F:$F,A768,RacePerformance!$I:$I),""))</f>
        <v/>
      </c>
      <c r="L768" s="6" t="str">
        <f>IF(A768="","",IFERROR(AVERAGEIF(RacePerformance!$F:$F,A768,RacePerformance!$J:$J),""))</f>
        <v/>
      </c>
      <c r="M768" s="6" t="str">
        <f>IF(A768="","",IFERROR(AVERAGEIF(RacePerformance!$F:$F,A768,RacePerformance!$K:$K),""))</f>
        <v/>
      </c>
      <c r="N768" s="6" t="str">
        <f>IF(A768="","",COUNTIFS(RacePerformance!$F:$F,A768,RacePerformance!$I:$I,"&lt;=20"))</f>
        <v/>
      </c>
      <c r="O768" s="6" t="str">
        <f>IF(A768="","",COUNTIFS(RacePerformance!$F:$F,A768,RacePerformance!$I:$I,1))</f>
        <v/>
      </c>
      <c r="P768" s="6" t="str">
        <f>IF(A768="","",COUNTIFS(RacePerformance!$F:$F,A768,RacePerformance!$J:$J,"&lt;=3"))</f>
        <v/>
      </c>
    </row>
    <row r="769" spans="5:16" ht="14.25" customHeight="1" x14ac:dyDescent="0.3">
      <c r="E769" s="6"/>
      <c r="I769" s="6"/>
      <c r="J769" s="6" t="str">
        <f>IF(A769="","",COUNTIF(RacePerformance!$F:$F,A769))</f>
        <v/>
      </c>
      <c r="K769" s="6" t="str">
        <f>IF(A769="","",IFERROR(AVERAGEIF(RacePerformance!$F:$F,A769,RacePerformance!$I:$I),""))</f>
        <v/>
      </c>
      <c r="L769" s="6" t="str">
        <f>IF(A769="","",IFERROR(AVERAGEIF(RacePerformance!$F:$F,A769,RacePerformance!$J:$J),""))</f>
        <v/>
      </c>
      <c r="M769" s="6" t="str">
        <f>IF(A769="","",IFERROR(AVERAGEIF(RacePerformance!$F:$F,A769,RacePerformance!$K:$K),""))</f>
        <v/>
      </c>
      <c r="N769" s="6" t="str">
        <f>IF(A769="","",COUNTIFS(RacePerformance!$F:$F,A769,RacePerformance!$I:$I,"&lt;=20"))</f>
        <v/>
      </c>
      <c r="O769" s="6" t="str">
        <f>IF(A769="","",COUNTIFS(RacePerformance!$F:$F,A769,RacePerformance!$I:$I,1))</f>
        <v/>
      </c>
      <c r="P769" s="6" t="str">
        <f>IF(A769="","",COUNTIFS(RacePerformance!$F:$F,A769,RacePerformance!$J:$J,"&lt;=3"))</f>
        <v/>
      </c>
    </row>
    <row r="770" spans="5:16" ht="14.25" customHeight="1" x14ac:dyDescent="0.3">
      <c r="E770" s="6"/>
      <c r="I770" s="6"/>
      <c r="J770" s="6" t="str">
        <f>IF(A770="","",COUNTIF(RacePerformance!$F:$F,A770))</f>
        <v/>
      </c>
      <c r="K770" s="6" t="str">
        <f>IF(A770="","",IFERROR(AVERAGEIF(RacePerformance!$F:$F,A770,RacePerformance!$I:$I),""))</f>
        <v/>
      </c>
      <c r="L770" s="6" t="str">
        <f>IF(A770="","",IFERROR(AVERAGEIF(RacePerformance!$F:$F,A770,RacePerformance!$J:$J),""))</f>
        <v/>
      </c>
      <c r="M770" s="6" t="str">
        <f>IF(A770="","",IFERROR(AVERAGEIF(RacePerformance!$F:$F,A770,RacePerformance!$K:$K),""))</f>
        <v/>
      </c>
      <c r="N770" s="6" t="str">
        <f>IF(A770="","",COUNTIFS(RacePerformance!$F:$F,A770,RacePerformance!$I:$I,"&lt;=20"))</f>
        <v/>
      </c>
      <c r="O770" s="6" t="str">
        <f>IF(A770="","",COUNTIFS(RacePerformance!$F:$F,A770,RacePerformance!$I:$I,1))</f>
        <v/>
      </c>
      <c r="P770" s="6" t="str">
        <f>IF(A770="","",COUNTIFS(RacePerformance!$F:$F,A770,RacePerformance!$J:$J,"&lt;=3"))</f>
        <v/>
      </c>
    </row>
    <row r="771" spans="5:16" ht="14.25" customHeight="1" x14ac:dyDescent="0.3">
      <c r="E771" s="6"/>
      <c r="I771" s="6"/>
      <c r="J771" s="6" t="str">
        <f>IF(A771="","",COUNTIF(RacePerformance!$F:$F,A771))</f>
        <v/>
      </c>
      <c r="K771" s="6" t="str">
        <f>IF(A771="","",IFERROR(AVERAGEIF(RacePerformance!$F:$F,A771,RacePerformance!$I:$I),""))</f>
        <v/>
      </c>
      <c r="L771" s="6" t="str">
        <f>IF(A771="","",IFERROR(AVERAGEIF(RacePerformance!$F:$F,A771,RacePerformance!$J:$J),""))</f>
        <v/>
      </c>
      <c r="M771" s="6" t="str">
        <f>IF(A771="","",IFERROR(AVERAGEIF(RacePerformance!$F:$F,A771,RacePerformance!$K:$K),""))</f>
        <v/>
      </c>
      <c r="N771" s="6" t="str">
        <f>IF(A771="","",COUNTIFS(RacePerformance!$F:$F,A771,RacePerformance!$I:$I,"&lt;=20"))</f>
        <v/>
      </c>
      <c r="O771" s="6" t="str">
        <f>IF(A771="","",COUNTIFS(RacePerformance!$F:$F,A771,RacePerformance!$I:$I,1))</f>
        <v/>
      </c>
      <c r="P771" s="6" t="str">
        <f>IF(A771="","",COUNTIFS(RacePerformance!$F:$F,A771,RacePerformance!$J:$J,"&lt;=3"))</f>
        <v/>
      </c>
    </row>
    <row r="772" spans="5:16" ht="14.25" customHeight="1" x14ac:dyDescent="0.3">
      <c r="E772" s="6"/>
      <c r="I772" s="6"/>
      <c r="J772" s="6" t="str">
        <f>IF(A772="","",COUNTIF(RacePerformance!$F:$F,A772))</f>
        <v/>
      </c>
      <c r="K772" s="6" t="str">
        <f>IF(A772="","",IFERROR(AVERAGEIF(RacePerformance!$F:$F,A772,RacePerformance!$I:$I),""))</f>
        <v/>
      </c>
      <c r="L772" s="6" t="str">
        <f>IF(A772="","",IFERROR(AVERAGEIF(RacePerformance!$F:$F,A772,RacePerformance!$J:$J),""))</f>
        <v/>
      </c>
      <c r="M772" s="6" t="str">
        <f>IF(A772="","",IFERROR(AVERAGEIF(RacePerformance!$F:$F,A772,RacePerformance!$K:$K),""))</f>
        <v/>
      </c>
      <c r="N772" s="6" t="str">
        <f>IF(A772="","",COUNTIFS(RacePerformance!$F:$F,A772,RacePerformance!$I:$I,"&lt;=20"))</f>
        <v/>
      </c>
      <c r="O772" s="6" t="str">
        <f>IF(A772="","",COUNTIFS(RacePerformance!$F:$F,A772,RacePerformance!$I:$I,1))</f>
        <v/>
      </c>
      <c r="P772" s="6" t="str">
        <f>IF(A772="","",COUNTIFS(RacePerformance!$F:$F,A772,RacePerformance!$J:$J,"&lt;=3"))</f>
        <v/>
      </c>
    </row>
    <row r="773" spans="5:16" ht="14.25" customHeight="1" x14ac:dyDescent="0.3">
      <c r="E773" s="6"/>
      <c r="I773" s="6"/>
      <c r="J773" s="6" t="str">
        <f>IF(A773="","",COUNTIF(RacePerformance!$F:$F,A773))</f>
        <v/>
      </c>
      <c r="K773" s="6" t="str">
        <f>IF(A773="","",IFERROR(AVERAGEIF(RacePerformance!$F:$F,A773,RacePerformance!$I:$I),""))</f>
        <v/>
      </c>
      <c r="L773" s="6" t="str">
        <f>IF(A773="","",IFERROR(AVERAGEIF(RacePerformance!$F:$F,A773,RacePerformance!$J:$J),""))</f>
        <v/>
      </c>
      <c r="M773" s="6" t="str">
        <f>IF(A773="","",IFERROR(AVERAGEIF(RacePerformance!$F:$F,A773,RacePerformance!$K:$K),""))</f>
        <v/>
      </c>
      <c r="N773" s="6" t="str">
        <f>IF(A773="","",COUNTIFS(RacePerformance!$F:$F,A773,RacePerformance!$I:$I,"&lt;=20"))</f>
        <v/>
      </c>
      <c r="O773" s="6" t="str">
        <f>IF(A773="","",COUNTIFS(RacePerformance!$F:$F,A773,RacePerformance!$I:$I,1))</f>
        <v/>
      </c>
      <c r="P773" s="6" t="str">
        <f>IF(A773="","",COUNTIFS(RacePerformance!$F:$F,A773,RacePerformance!$J:$J,"&lt;=3"))</f>
        <v/>
      </c>
    </row>
    <row r="774" spans="5:16" ht="14.25" customHeight="1" x14ac:dyDescent="0.3">
      <c r="E774" s="6"/>
      <c r="I774" s="6"/>
      <c r="J774" s="6" t="str">
        <f>IF(A774="","",COUNTIF(RacePerformance!$F:$F,A774))</f>
        <v/>
      </c>
      <c r="K774" s="6" t="str">
        <f>IF(A774="","",IFERROR(AVERAGEIF(RacePerformance!$F:$F,A774,RacePerformance!$I:$I),""))</f>
        <v/>
      </c>
      <c r="L774" s="6" t="str">
        <f>IF(A774="","",IFERROR(AVERAGEIF(RacePerformance!$F:$F,A774,RacePerformance!$J:$J),""))</f>
        <v/>
      </c>
      <c r="M774" s="6" t="str">
        <f>IF(A774="","",IFERROR(AVERAGEIF(RacePerformance!$F:$F,A774,RacePerformance!$K:$K),""))</f>
        <v/>
      </c>
      <c r="N774" s="6" t="str">
        <f>IF(A774="","",COUNTIFS(RacePerformance!$F:$F,A774,RacePerformance!$I:$I,"&lt;=20"))</f>
        <v/>
      </c>
      <c r="O774" s="6" t="str">
        <f>IF(A774="","",COUNTIFS(RacePerformance!$F:$F,A774,RacePerformance!$I:$I,1))</f>
        <v/>
      </c>
      <c r="P774" s="6" t="str">
        <f>IF(A774="","",COUNTIFS(RacePerformance!$F:$F,A774,RacePerformance!$J:$J,"&lt;=3"))</f>
        <v/>
      </c>
    </row>
    <row r="775" spans="5:16" ht="14.25" customHeight="1" x14ac:dyDescent="0.3">
      <c r="E775" s="6"/>
      <c r="I775" s="6"/>
      <c r="J775" s="6" t="str">
        <f>IF(A775="","",COUNTIF(RacePerformance!$F:$F,A775))</f>
        <v/>
      </c>
      <c r="K775" s="6" t="str">
        <f>IF(A775="","",IFERROR(AVERAGEIF(RacePerformance!$F:$F,A775,RacePerformance!$I:$I),""))</f>
        <v/>
      </c>
      <c r="L775" s="6" t="str">
        <f>IF(A775="","",IFERROR(AVERAGEIF(RacePerformance!$F:$F,A775,RacePerformance!$J:$J),""))</f>
        <v/>
      </c>
      <c r="M775" s="6" t="str">
        <f>IF(A775="","",IFERROR(AVERAGEIF(RacePerformance!$F:$F,A775,RacePerformance!$K:$K),""))</f>
        <v/>
      </c>
      <c r="N775" s="6" t="str">
        <f>IF(A775="","",COUNTIFS(RacePerformance!$F:$F,A775,RacePerformance!$I:$I,"&lt;=20"))</f>
        <v/>
      </c>
      <c r="O775" s="6" t="str">
        <f>IF(A775="","",COUNTIFS(RacePerformance!$F:$F,A775,RacePerformance!$I:$I,1))</f>
        <v/>
      </c>
      <c r="P775" s="6" t="str">
        <f>IF(A775="","",COUNTIFS(RacePerformance!$F:$F,A775,RacePerformance!$J:$J,"&lt;=3"))</f>
        <v/>
      </c>
    </row>
    <row r="776" spans="5:16" ht="14.25" customHeight="1" x14ac:dyDescent="0.3">
      <c r="E776" s="6"/>
      <c r="I776" s="6"/>
      <c r="J776" s="6" t="str">
        <f>IF(A776="","",COUNTIF(RacePerformance!$F:$F,A776))</f>
        <v/>
      </c>
      <c r="K776" s="6" t="str">
        <f>IF(A776="","",IFERROR(AVERAGEIF(RacePerformance!$F:$F,A776,RacePerformance!$I:$I),""))</f>
        <v/>
      </c>
      <c r="L776" s="6" t="str">
        <f>IF(A776="","",IFERROR(AVERAGEIF(RacePerformance!$F:$F,A776,RacePerformance!$J:$J),""))</f>
        <v/>
      </c>
      <c r="M776" s="6" t="str">
        <f>IF(A776="","",IFERROR(AVERAGEIF(RacePerformance!$F:$F,A776,RacePerformance!$K:$K),""))</f>
        <v/>
      </c>
      <c r="N776" s="6" t="str">
        <f>IF(A776="","",COUNTIFS(RacePerformance!$F:$F,A776,RacePerformance!$I:$I,"&lt;=20"))</f>
        <v/>
      </c>
      <c r="O776" s="6" t="str">
        <f>IF(A776="","",COUNTIFS(RacePerformance!$F:$F,A776,RacePerformance!$I:$I,1))</f>
        <v/>
      </c>
      <c r="P776" s="6" t="str">
        <f>IF(A776="","",COUNTIFS(RacePerformance!$F:$F,A776,RacePerformance!$J:$J,"&lt;=3"))</f>
        <v/>
      </c>
    </row>
    <row r="777" spans="5:16" ht="14.25" customHeight="1" x14ac:dyDescent="0.3">
      <c r="E777" s="6"/>
      <c r="I777" s="6"/>
      <c r="J777" s="6" t="str">
        <f>IF(A777="","",COUNTIF(RacePerformance!$F:$F,A777))</f>
        <v/>
      </c>
      <c r="K777" s="6" t="str">
        <f>IF(A777="","",IFERROR(AVERAGEIF(RacePerformance!$F:$F,A777,RacePerformance!$I:$I),""))</f>
        <v/>
      </c>
      <c r="L777" s="6" t="str">
        <f>IF(A777="","",IFERROR(AVERAGEIF(RacePerformance!$F:$F,A777,RacePerformance!$J:$J),""))</f>
        <v/>
      </c>
      <c r="M777" s="6" t="str">
        <f>IF(A777="","",IFERROR(AVERAGEIF(RacePerformance!$F:$F,A777,RacePerformance!$K:$K),""))</f>
        <v/>
      </c>
      <c r="N777" s="6" t="str">
        <f>IF(A777="","",COUNTIFS(RacePerformance!$F:$F,A777,RacePerformance!$I:$I,"&lt;=20"))</f>
        <v/>
      </c>
      <c r="O777" s="6" t="str">
        <f>IF(A777="","",COUNTIFS(RacePerformance!$F:$F,A777,RacePerformance!$I:$I,1))</f>
        <v/>
      </c>
      <c r="P777" s="6" t="str">
        <f>IF(A777="","",COUNTIFS(RacePerformance!$F:$F,A777,RacePerformance!$J:$J,"&lt;=3"))</f>
        <v/>
      </c>
    </row>
    <row r="778" spans="5:16" ht="14.25" customHeight="1" x14ac:dyDescent="0.3">
      <c r="E778" s="6"/>
      <c r="I778" s="6"/>
      <c r="J778" s="6" t="str">
        <f>IF(A778="","",COUNTIF(RacePerformance!$F:$F,A778))</f>
        <v/>
      </c>
      <c r="K778" s="6" t="str">
        <f>IF(A778="","",IFERROR(AVERAGEIF(RacePerformance!$F:$F,A778,RacePerformance!$I:$I),""))</f>
        <v/>
      </c>
      <c r="L778" s="6" t="str">
        <f>IF(A778="","",IFERROR(AVERAGEIF(RacePerformance!$F:$F,A778,RacePerformance!$J:$J),""))</f>
        <v/>
      </c>
      <c r="M778" s="6" t="str">
        <f>IF(A778="","",IFERROR(AVERAGEIF(RacePerformance!$F:$F,A778,RacePerformance!$K:$K),""))</f>
        <v/>
      </c>
      <c r="N778" s="6" t="str">
        <f>IF(A778="","",COUNTIFS(RacePerformance!$F:$F,A778,RacePerformance!$I:$I,"&lt;=20"))</f>
        <v/>
      </c>
      <c r="O778" s="6" t="str">
        <f>IF(A778="","",COUNTIFS(RacePerformance!$F:$F,A778,RacePerformance!$I:$I,1))</f>
        <v/>
      </c>
      <c r="P778" s="6" t="str">
        <f>IF(A778="","",COUNTIFS(RacePerformance!$F:$F,A778,RacePerformance!$J:$J,"&lt;=3"))</f>
        <v/>
      </c>
    </row>
    <row r="779" spans="5:16" ht="14.25" customHeight="1" x14ac:dyDescent="0.3">
      <c r="E779" s="6"/>
      <c r="I779" s="6"/>
      <c r="J779" s="6" t="str">
        <f>IF(A779="","",COUNTIF(RacePerformance!$F:$F,A779))</f>
        <v/>
      </c>
      <c r="K779" s="6" t="str">
        <f>IF(A779="","",IFERROR(AVERAGEIF(RacePerformance!$F:$F,A779,RacePerformance!$I:$I),""))</f>
        <v/>
      </c>
      <c r="L779" s="6" t="str">
        <f>IF(A779="","",IFERROR(AVERAGEIF(RacePerformance!$F:$F,A779,RacePerformance!$J:$J),""))</f>
        <v/>
      </c>
      <c r="M779" s="6" t="str">
        <f>IF(A779="","",IFERROR(AVERAGEIF(RacePerformance!$F:$F,A779,RacePerformance!$K:$K),""))</f>
        <v/>
      </c>
      <c r="N779" s="6" t="str">
        <f>IF(A779="","",COUNTIFS(RacePerformance!$F:$F,A779,RacePerformance!$I:$I,"&lt;=20"))</f>
        <v/>
      </c>
      <c r="O779" s="6" t="str">
        <f>IF(A779="","",COUNTIFS(RacePerformance!$F:$F,A779,RacePerformance!$I:$I,1))</f>
        <v/>
      </c>
      <c r="P779" s="6" t="str">
        <f>IF(A779="","",COUNTIFS(RacePerformance!$F:$F,A779,RacePerformance!$J:$J,"&lt;=3"))</f>
        <v/>
      </c>
    </row>
    <row r="780" spans="5:16" ht="14.25" customHeight="1" x14ac:dyDescent="0.3">
      <c r="E780" s="6"/>
      <c r="I780" s="6"/>
      <c r="J780" s="6" t="str">
        <f>IF(A780="","",COUNTIF(RacePerformance!$F:$F,A780))</f>
        <v/>
      </c>
      <c r="K780" s="6" t="str">
        <f>IF(A780="","",IFERROR(AVERAGEIF(RacePerformance!$F:$F,A780,RacePerformance!$I:$I),""))</f>
        <v/>
      </c>
      <c r="L780" s="6" t="str">
        <f>IF(A780="","",IFERROR(AVERAGEIF(RacePerformance!$F:$F,A780,RacePerformance!$J:$J),""))</f>
        <v/>
      </c>
      <c r="M780" s="6" t="str">
        <f>IF(A780="","",IFERROR(AVERAGEIF(RacePerformance!$F:$F,A780,RacePerformance!$K:$K),""))</f>
        <v/>
      </c>
      <c r="N780" s="6" t="str">
        <f>IF(A780="","",COUNTIFS(RacePerformance!$F:$F,A780,RacePerformance!$I:$I,"&lt;=20"))</f>
        <v/>
      </c>
      <c r="O780" s="6" t="str">
        <f>IF(A780="","",COUNTIFS(RacePerformance!$F:$F,A780,RacePerformance!$I:$I,1))</f>
        <v/>
      </c>
      <c r="P780" s="6" t="str">
        <f>IF(A780="","",COUNTIFS(RacePerformance!$F:$F,A780,RacePerformance!$J:$J,"&lt;=3"))</f>
        <v/>
      </c>
    </row>
    <row r="781" spans="5:16" ht="14.25" customHeight="1" x14ac:dyDescent="0.3">
      <c r="E781" s="6"/>
      <c r="I781" s="6"/>
      <c r="J781" s="6" t="str">
        <f>IF(A781="","",COUNTIF(RacePerformance!$F:$F,A781))</f>
        <v/>
      </c>
      <c r="K781" s="6" t="str">
        <f>IF(A781="","",IFERROR(AVERAGEIF(RacePerformance!$F:$F,A781,RacePerformance!$I:$I),""))</f>
        <v/>
      </c>
      <c r="L781" s="6" t="str">
        <f>IF(A781="","",IFERROR(AVERAGEIF(RacePerformance!$F:$F,A781,RacePerformance!$J:$J),""))</f>
        <v/>
      </c>
      <c r="M781" s="6" t="str">
        <f>IF(A781="","",IFERROR(AVERAGEIF(RacePerformance!$F:$F,A781,RacePerformance!$K:$K),""))</f>
        <v/>
      </c>
      <c r="N781" s="6" t="str">
        <f>IF(A781="","",COUNTIFS(RacePerformance!$F:$F,A781,RacePerformance!$I:$I,"&lt;=20"))</f>
        <v/>
      </c>
      <c r="O781" s="6" t="str">
        <f>IF(A781="","",COUNTIFS(RacePerformance!$F:$F,A781,RacePerformance!$I:$I,1))</f>
        <v/>
      </c>
      <c r="P781" s="6" t="str">
        <f>IF(A781="","",COUNTIFS(RacePerformance!$F:$F,A781,RacePerformance!$J:$J,"&lt;=3"))</f>
        <v/>
      </c>
    </row>
    <row r="782" spans="5:16" ht="14.25" customHeight="1" x14ac:dyDescent="0.3">
      <c r="E782" s="6"/>
      <c r="I782" s="6"/>
      <c r="J782" s="6" t="str">
        <f>IF(A782="","",COUNTIF(RacePerformance!$F:$F,A782))</f>
        <v/>
      </c>
      <c r="K782" s="6" t="str">
        <f>IF(A782="","",IFERROR(AVERAGEIF(RacePerformance!$F:$F,A782,RacePerformance!$I:$I),""))</f>
        <v/>
      </c>
      <c r="L782" s="6" t="str">
        <f>IF(A782="","",IFERROR(AVERAGEIF(RacePerformance!$F:$F,A782,RacePerformance!$J:$J),""))</f>
        <v/>
      </c>
      <c r="M782" s="6" t="str">
        <f>IF(A782="","",IFERROR(AVERAGEIF(RacePerformance!$F:$F,A782,RacePerformance!$K:$K),""))</f>
        <v/>
      </c>
      <c r="N782" s="6" t="str">
        <f>IF(A782="","",COUNTIFS(RacePerformance!$F:$F,A782,RacePerformance!$I:$I,"&lt;=20"))</f>
        <v/>
      </c>
      <c r="O782" s="6" t="str">
        <f>IF(A782="","",COUNTIFS(RacePerformance!$F:$F,A782,RacePerformance!$I:$I,1))</f>
        <v/>
      </c>
      <c r="P782" s="6" t="str">
        <f>IF(A782="","",COUNTIFS(RacePerformance!$F:$F,A782,RacePerformance!$J:$J,"&lt;=3"))</f>
        <v/>
      </c>
    </row>
    <row r="783" spans="5:16" ht="14.25" customHeight="1" x14ac:dyDescent="0.3">
      <c r="E783" s="6"/>
      <c r="I783" s="6"/>
      <c r="J783" s="6" t="str">
        <f>IF(A783="","",COUNTIF(RacePerformance!$F:$F,A783))</f>
        <v/>
      </c>
      <c r="K783" s="6" t="str">
        <f>IF(A783="","",IFERROR(AVERAGEIF(RacePerformance!$F:$F,A783,RacePerformance!$I:$I),""))</f>
        <v/>
      </c>
      <c r="L783" s="6" t="str">
        <f>IF(A783="","",IFERROR(AVERAGEIF(RacePerformance!$F:$F,A783,RacePerformance!$J:$J),""))</f>
        <v/>
      </c>
      <c r="M783" s="6" t="str">
        <f>IF(A783="","",IFERROR(AVERAGEIF(RacePerformance!$F:$F,A783,RacePerformance!$K:$K),""))</f>
        <v/>
      </c>
      <c r="N783" s="6" t="str">
        <f>IF(A783="","",COUNTIFS(RacePerformance!$F:$F,A783,RacePerformance!$I:$I,"&lt;=20"))</f>
        <v/>
      </c>
      <c r="O783" s="6" t="str">
        <f>IF(A783="","",COUNTIFS(RacePerformance!$F:$F,A783,RacePerformance!$I:$I,1))</f>
        <v/>
      </c>
      <c r="P783" s="6" t="str">
        <f>IF(A783="","",COUNTIFS(RacePerformance!$F:$F,A783,RacePerformance!$J:$J,"&lt;=3"))</f>
        <v/>
      </c>
    </row>
    <row r="784" spans="5:16" ht="14.25" customHeight="1" x14ac:dyDescent="0.3">
      <c r="E784" s="6"/>
      <c r="I784" s="6"/>
      <c r="J784" s="6" t="str">
        <f>IF(A784="","",COUNTIF(RacePerformance!$F:$F,A784))</f>
        <v/>
      </c>
      <c r="K784" s="6" t="str">
        <f>IF(A784="","",IFERROR(AVERAGEIF(RacePerformance!$F:$F,A784,RacePerformance!$I:$I),""))</f>
        <v/>
      </c>
      <c r="L784" s="6" t="str">
        <f>IF(A784="","",IFERROR(AVERAGEIF(RacePerformance!$F:$F,A784,RacePerformance!$J:$J),""))</f>
        <v/>
      </c>
      <c r="M784" s="6" t="str">
        <f>IF(A784="","",IFERROR(AVERAGEIF(RacePerformance!$F:$F,A784,RacePerformance!$K:$K),""))</f>
        <v/>
      </c>
      <c r="N784" s="6" t="str">
        <f>IF(A784="","",COUNTIFS(RacePerformance!$F:$F,A784,RacePerformance!$I:$I,"&lt;=20"))</f>
        <v/>
      </c>
      <c r="O784" s="6" t="str">
        <f>IF(A784="","",COUNTIFS(RacePerformance!$F:$F,A784,RacePerformance!$I:$I,1))</f>
        <v/>
      </c>
      <c r="P784" s="6" t="str">
        <f>IF(A784="","",COUNTIFS(RacePerformance!$F:$F,A784,RacePerformance!$J:$J,"&lt;=3"))</f>
        <v/>
      </c>
    </row>
    <row r="785" spans="5:16" ht="14.25" customHeight="1" x14ac:dyDescent="0.3">
      <c r="E785" s="6"/>
      <c r="I785" s="6"/>
      <c r="J785" s="6" t="str">
        <f>IF(A785="","",COUNTIF(RacePerformance!$F:$F,A785))</f>
        <v/>
      </c>
      <c r="K785" s="6" t="str">
        <f>IF(A785="","",IFERROR(AVERAGEIF(RacePerformance!$F:$F,A785,RacePerformance!$I:$I),""))</f>
        <v/>
      </c>
      <c r="L785" s="6" t="str">
        <f>IF(A785="","",IFERROR(AVERAGEIF(RacePerformance!$F:$F,A785,RacePerformance!$J:$J),""))</f>
        <v/>
      </c>
      <c r="M785" s="6" t="str">
        <f>IF(A785="","",IFERROR(AVERAGEIF(RacePerformance!$F:$F,A785,RacePerformance!$K:$K),""))</f>
        <v/>
      </c>
      <c r="N785" s="6" t="str">
        <f>IF(A785="","",COUNTIFS(RacePerformance!$F:$F,A785,RacePerformance!$I:$I,"&lt;=20"))</f>
        <v/>
      </c>
      <c r="O785" s="6" t="str">
        <f>IF(A785="","",COUNTIFS(RacePerformance!$F:$F,A785,RacePerformance!$I:$I,1))</f>
        <v/>
      </c>
      <c r="P785" s="6" t="str">
        <f>IF(A785="","",COUNTIFS(RacePerformance!$F:$F,A785,RacePerformance!$J:$J,"&lt;=3"))</f>
        <v/>
      </c>
    </row>
    <row r="786" spans="5:16" ht="14.25" customHeight="1" x14ac:dyDescent="0.3">
      <c r="E786" s="6"/>
      <c r="I786" s="6"/>
      <c r="J786" s="6" t="str">
        <f>IF(A786="","",COUNTIF(RacePerformance!$F:$F,A786))</f>
        <v/>
      </c>
      <c r="K786" s="6" t="str">
        <f>IF(A786="","",IFERROR(AVERAGEIF(RacePerformance!$F:$F,A786,RacePerformance!$I:$I),""))</f>
        <v/>
      </c>
      <c r="L786" s="6" t="str">
        <f>IF(A786="","",IFERROR(AVERAGEIF(RacePerformance!$F:$F,A786,RacePerformance!$J:$J),""))</f>
        <v/>
      </c>
      <c r="M786" s="6" t="str">
        <f>IF(A786="","",IFERROR(AVERAGEIF(RacePerformance!$F:$F,A786,RacePerformance!$K:$K),""))</f>
        <v/>
      </c>
      <c r="N786" s="6" t="str">
        <f>IF(A786="","",COUNTIFS(RacePerformance!$F:$F,A786,RacePerformance!$I:$I,"&lt;=20"))</f>
        <v/>
      </c>
      <c r="O786" s="6" t="str">
        <f>IF(A786="","",COUNTIFS(RacePerformance!$F:$F,A786,RacePerformance!$I:$I,1))</f>
        <v/>
      </c>
      <c r="P786" s="6" t="str">
        <f>IF(A786="","",COUNTIFS(RacePerformance!$F:$F,A786,RacePerformance!$J:$J,"&lt;=3"))</f>
        <v/>
      </c>
    </row>
    <row r="787" spans="5:16" ht="14.25" customHeight="1" x14ac:dyDescent="0.3">
      <c r="E787" s="6"/>
      <c r="I787" s="6"/>
      <c r="J787" s="6" t="str">
        <f>IF(A787="","",COUNTIF(RacePerformance!$F:$F,A787))</f>
        <v/>
      </c>
      <c r="K787" s="6" t="str">
        <f>IF(A787="","",IFERROR(AVERAGEIF(RacePerformance!$F:$F,A787,RacePerformance!$I:$I),""))</f>
        <v/>
      </c>
      <c r="L787" s="6" t="str">
        <f>IF(A787="","",IFERROR(AVERAGEIF(RacePerformance!$F:$F,A787,RacePerformance!$J:$J),""))</f>
        <v/>
      </c>
      <c r="M787" s="6" t="str">
        <f>IF(A787="","",IFERROR(AVERAGEIF(RacePerformance!$F:$F,A787,RacePerformance!$K:$K),""))</f>
        <v/>
      </c>
      <c r="N787" s="6" t="str">
        <f>IF(A787="","",COUNTIFS(RacePerformance!$F:$F,A787,RacePerformance!$I:$I,"&lt;=20"))</f>
        <v/>
      </c>
      <c r="O787" s="6" t="str">
        <f>IF(A787="","",COUNTIFS(RacePerformance!$F:$F,A787,RacePerformance!$I:$I,1))</f>
        <v/>
      </c>
      <c r="P787" s="6" t="str">
        <f>IF(A787="","",COUNTIFS(RacePerformance!$F:$F,A787,RacePerformance!$J:$J,"&lt;=3"))</f>
        <v/>
      </c>
    </row>
    <row r="788" spans="5:16" ht="14.25" customHeight="1" x14ac:dyDescent="0.3">
      <c r="E788" s="6"/>
      <c r="I788" s="6"/>
      <c r="J788" s="6" t="str">
        <f>IF(A788="","",COUNTIF(RacePerformance!$F:$F,A788))</f>
        <v/>
      </c>
      <c r="K788" s="6" t="str">
        <f>IF(A788="","",IFERROR(AVERAGEIF(RacePerformance!$F:$F,A788,RacePerformance!$I:$I),""))</f>
        <v/>
      </c>
      <c r="L788" s="6" t="str">
        <f>IF(A788="","",IFERROR(AVERAGEIF(RacePerformance!$F:$F,A788,RacePerformance!$J:$J),""))</f>
        <v/>
      </c>
      <c r="M788" s="6" t="str">
        <f>IF(A788="","",IFERROR(AVERAGEIF(RacePerformance!$F:$F,A788,RacePerformance!$K:$K),""))</f>
        <v/>
      </c>
      <c r="N788" s="6" t="str">
        <f>IF(A788="","",COUNTIFS(RacePerformance!$F:$F,A788,RacePerformance!$I:$I,"&lt;=20"))</f>
        <v/>
      </c>
      <c r="O788" s="6" t="str">
        <f>IF(A788="","",COUNTIFS(RacePerformance!$F:$F,A788,RacePerformance!$I:$I,1))</f>
        <v/>
      </c>
      <c r="P788" s="6" t="str">
        <f>IF(A788="","",COUNTIFS(RacePerformance!$F:$F,A788,RacePerformance!$J:$J,"&lt;=3"))</f>
        <v/>
      </c>
    </row>
    <row r="789" spans="5:16" ht="14.25" customHeight="1" x14ac:dyDescent="0.3">
      <c r="E789" s="6"/>
      <c r="I789" s="6"/>
      <c r="J789" s="6" t="str">
        <f>IF(A789="","",COUNTIF(RacePerformance!$F:$F,A789))</f>
        <v/>
      </c>
      <c r="K789" s="6" t="str">
        <f>IF(A789="","",IFERROR(AVERAGEIF(RacePerformance!$F:$F,A789,RacePerformance!$I:$I),""))</f>
        <v/>
      </c>
      <c r="L789" s="6" t="str">
        <f>IF(A789="","",IFERROR(AVERAGEIF(RacePerformance!$F:$F,A789,RacePerformance!$J:$J),""))</f>
        <v/>
      </c>
      <c r="M789" s="6" t="str">
        <f>IF(A789="","",IFERROR(AVERAGEIF(RacePerformance!$F:$F,A789,RacePerformance!$K:$K),""))</f>
        <v/>
      </c>
      <c r="N789" s="6" t="str">
        <f>IF(A789="","",COUNTIFS(RacePerformance!$F:$F,A789,RacePerformance!$I:$I,"&lt;=20"))</f>
        <v/>
      </c>
      <c r="O789" s="6" t="str">
        <f>IF(A789="","",COUNTIFS(RacePerformance!$F:$F,A789,RacePerformance!$I:$I,1))</f>
        <v/>
      </c>
      <c r="P789" s="6" t="str">
        <f>IF(A789="","",COUNTIFS(RacePerformance!$F:$F,A789,RacePerformance!$J:$J,"&lt;=3"))</f>
        <v/>
      </c>
    </row>
    <row r="790" spans="5:16" ht="14.25" customHeight="1" x14ac:dyDescent="0.3">
      <c r="E790" s="6"/>
      <c r="I790" s="6"/>
      <c r="J790" s="6" t="str">
        <f>IF(A790="","",COUNTIF(RacePerformance!$F:$F,A790))</f>
        <v/>
      </c>
      <c r="K790" s="6" t="str">
        <f>IF(A790="","",IFERROR(AVERAGEIF(RacePerformance!$F:$F,A790,RacePerformance!$I:$I),""))</f>
        <v/>
      </c>
      <c r="L790" s="6" t="str">
        <f>IF(A790="","",IFERROR(AVERAGEIF(RacePerformance!$F:$F,A790,RacePerformance!$J:$J),""))</f>
        <v/>
      </c>
      <c r="M790" s="6" t="str">
        <f>IF(A790="","",IFERROR(AVERAGEIF(RacePerformance!$F:$F,A790,RacePerformance!$K:$K),""))</f>
        <v/>
      </c>
      <c r="N790" s="6" t="str">
        <f>IF(A790="","",COUNTIFS(RacePerformance!$F:$F,A790,RacePerformance!$I:$I,"&lt;=20"))</f>
        <v/>
      </c>
      <c r="O790" s="6" t="str">
        <f>IF(A790="","",COUNTIFS(RacePerformance!$F:$F,A790,RacePerformance!$I:$I,1))</f>
        <v/>
      </c>
      <c r="P790" s="6" t="str">
        <f>IF(A790="","",COUNTIFS(RacePerformance!$F:$F,A790,RacePerformance!$J:$J,"&lt;=3"))</f>
        <v/>
      </c>
    </row>
    <row r="791" spans="5:16" ht="14.25" customHeight="1" x14ac:dyDescent="0.3">
      <c r="E791" s="6"/>
      <c r="I791" s="6"/>
      <c r="J791" s="6" t="str">
        <f>IF(A791="","",COUNTIF(RacePerformance!$F:$F,A791))</f>
        <v/>
      </c>
      <c r="K791" s="6" t="str">
        <f>IF(A791="","",IFERROR(AVERAGEIF(RacePerformance!$F:$F,A791,RacePerformance!$I:$I),""))</f>
        <v/>
      </c>
      <c r="L791" s="6" t="str">
        <f>IF(A791="","",IFERROR(AVERAGEIF(RacePerformance!$F:$F,A791,RacePerformance!$J:$J),""))</f>
        <v/>
      </c>
      <c r="M791" s="6" t="str">
        <f>IF(A791="","",IFERROR(AVERAGEIF(RacePerformance!$F:$F,A791,RacePerformance!$K:$K),""))</f>
        <v/>
      </c>
      <c r="N791" s="6" t="str">
        <f>IF(A791="","",COUNTIFS(RacePerformance!$F:$F,A791,RacePerformance!$I:$I,"&lt;=20"))</f>
        <v/>
      </c>
      <c r="O791" s="6" t="str">
        <f>IF(A791="","",COUNTIFS(RacePerformance!$F:$F,A791,RacePerformance!$I:$I,1))</f>
        <v/>
      </c>
      <c r="P791" s="6" t="str">
        <f>IF(A791="","",COUNTIFS(RacePerformance!$F:$F,A791,RacePerformance!$J:$J,"&lt;=3"))</f>
        <v/>
      </c>
    </row>
    <row r="792" spans="5:16" ht="14.25" customHeight="1" x14ac:dyDescent="0.3">
      <c r="E792" s="6"/>
      <c r="I792" s="6"/>
      <c r="J792" s="6" t="str">
        <f>IF(A792="","",COUNTIF(RacePerformance!$F:$F,A792))</f>
        <v/>
      </c>
      <c r="K792" s="6" t="str">
        <f>IF(A792="","",IFERROR(AVERAGEIF(RacePerformance!$F:$F,A792,RacePerformance!$I:$I),""))</f>
        <v/>
      </c>
      <c r="L792" s="6" t="str">
        <f>IF(A792="","",IFERROR(AVERAGEIF(RacePerformance!$F:$F,A792,RacePerformance!$J:$J),""))</f>
        <v/>
      </c>
      <c r="M792" s="6" t="str">
        <f>IF(A792="","",IFERROR(AVERAGEIF(RacePerformance!$F:$F,A792,RacePerformance!$K:$K),""))</f>
        <v/>
      </c>
      <c r="N792" s="6" t="str">
        <f>IF(A792="","",COUNTIFS(RacePerformance!$F:$F,A792,RacePerformance!$I:$I,"&lt;=20"))</f>
        <v/>
      </c>
      <c r="O792" s="6" t="str">
        <f>IF(A792="","",COUNTIFS(RacePerformance!$F:$F,A792,RacePerformance!$I:$I,1))</f>
        <v/>
      </c>
      <c r="P792" s="6" t="str">
        <f>IF(A792="","",COUNTIFS(RacePerformance!$F:$F,A792,RacePerformance!$J:$J,"&lt;=3"))</f>
        <v/>
      </c>
    </row>
    <row r="793" spans="5:16" ht="14.25" customHeight="1" x14ac:dyDescent="0.3">
      <c r="E793" s="6"/>
      <c r="I793" s="6"/>
      <c r="J793" s="6" t="str">
        <f>IF(A793="","",COUNTIF(RacePerformance!$F:$F,A793))</f>
        <v/>
      </c>
      <c r="K793" s="6" t="str">
        <f>IF(A793="","",IFERROR(AVERAGEIF(RacePerformance!$F:$F,A793,RacePerformance!$I:$I),""))</f>
        <v/>
      </c>
      <c r="L793" s="6" t="str">
        <f>IF(A793="","",IFERROR(AVERAGEIF(RacePerformance!$F:$F,A793,RacePerformance!$J:$J),""))</f>
        <v/>
      </c>
      <c r="M793" s="6" t="str">
        <f>IF(A793="","",IFERROR(AVERAGEIF(RacePerformance!$F:$F,A793,RacePerformance!$K:$K),""))</f>
        <v/>
      </c>
      <c r="N793" s="6" t="str">
        <f>IF(A793="","",COUNTIFS(RacePerformance!$F:$F,A793,RacePerformance!$I:$I,"&lt;=20"))</f>
        <v/>
      </c>
      <c r="O793" s="6" t="str">
        <f>IF(A793="","",COUNTIFS(RacePerformance!$F:$F,A793,RacePerformance!$I:$I,1))</f>
        <v/>
      </c>
      <c r="P793" s="6" t="str">
        <f>IF(A793="","",COUNTIFS(RacePerformance!$F:$F,A793,RacePerformance!$J:$J,"&lt;=3"))</f>
        <v/>
      </c>
    </row>
    <row r="794" spans="5:16" ht="14.25" customHeight="1" x14ac:dyDescent="0.3">
      <c r="E794" s="6"/>
      <c r="I794" s="6"/>
      <c r="J794" s="6" t="str">
        <f>IF(A794="","",COUNTIF(RacePerformance!$F:$F,A794))</f>
        <v/>
      </c>
      <c r="K794" s="6" t="str">
        <f>IF(A794="","",IFERROR(AVERAGEIF(RacePerformance!$F:$F,A794,RacePerformance!$I:$I),""))</f>
        <v/>
      </c>
      <c r="L794" s="6" t="str">
        <f>IF(A794="","",IFERROR(AVERAGEIF(RacePerformance!$F:$F,A794,RacePerformance!$J:$J),""))</f>
        <v/>
      </c>
      <c r="M794" s="6" t="str">
        <f>IF(A794="","",IFERROR(AVERAGEIF(RacePerformance!$F:$F,A794,RacePerformance!$K:$K),""))</f>
        <v/>
      </c>
      <c r="N794" s="6" t="str">
        <f>IF(A794="","",COUNTIFS(RacePerformance!$F:$F,A794,RacePerformance!$I:$I,"&lt;=20"))</f>
        <v/>
      </c>
      <c r="O794" s="6" t="str">
        <f>IF(A794="","",COUNTIFS(RacePerformance!$F:$F,A794,RacePerformance!$I:$I,1))</f>
        <v/>
      </c>
      <c r="P794" s="6" t="str">
        <f>IF(A794="","",COUNTIFS(RacePerformance!$F:$F,A794,RacePerformance!$J:$J,"&lt;=3"))</f>
        <v/>
      </c>
    </row>
    <row r="795" spans="5:16" ht="14.25" customHeight="1" x14ac:dyDescent="0.3">
      <c r="E795" s="6"/>
      <c r="I795" s="6"/>
      <c r="J795" s="6" t="str">
        <f>IF(A795="","",COUNTIF(RacePerformance!$F:$F,A795))</f>
        <v/>
      </c>
      <c r="K795" s="6" t="str">
        <f>IF(A795="","",IFERROR(AVERAGEIF(RacePerformance!$F:$F,A795,RacePerformance!$I:$I),""))</f>
        <v/>
      </c>
      <c r="L795" s="6" t="str">
        <f>IF(A795="","",IFERROR(AVERAGEIF(RacePerformance!$F:$F,A795,RacePerformance!$J:$J),""))</f>
        <v/>
      </c>
      <c r="M795" s="6" t="str">
        <f>IF(A795="","",IFERROR(AVERAGEIF(RacePerformance!$F:$F,A795,RacePerformance!$K:$K),""))</f>
        <v/>
      </c>
      <c r="N795" s="6" t="str">
        <f>IF(A795="","",COUNTIFS(RacePerformance!$F:$F,A795,RacePerformance!$I:$I,"&lt;=20"))</f>
        <v/>
      </c>
      <c r="O795" s="6" t="str">
        <f>IF(A795="","",COUNTIFS(RacePerformance!$F:$F,A795,RacePerformance!$I:$I,1))</f>
        <v/>
      </c>
      <c r="P795" s="6" t="str">
        <f>IF(A795="","",COUNTIFS(RacePerformance!$F:$F,A795,RacePerformance!$J:$J,"&lt;=3"))</f>
        <v/>
      </c>
    </row>
    <row r="796" spans="5:16" ht="14.25" customHeight="1" x14ac:dyDescent="0.3">
      <c r="E796" s="6"/>
      <c r="I796" s="6"/>
      <c r="J796" s="6" t="str">
        <f>IF(A796="","",COUNTIF(RacePerformance!$F:$F,A796))</f>
        <v/>
      </c>
      <c r="K796" s="6" t="str">
        <f>IF(A796="","",IFERROR(AVERAGEIF(RacePerformance!$F:$F,A796,RacePerformance!$I:$I),""))</f>
        <v/>
      </c>
      <c r="L796" s="6" t="str">
        <f>IF(A796="","",IFERROR(AVERAGEIF(RacePerformance!$F:$F,A796,RacePerformance!$J:$J),""))</f>
        <v/>
      </c>
      <c r="M796" s="6" t="str">
        <f>IF(A796="","",IFERROR(AVERAGEIF(RacePerformance!$F:$F,A796,RacePerformance!$K:$K),""))</f>
        <v/>
      </c>
      <c r="N796" s="6" t="str">
        <f>IF(A796="","",COUNTIFS(RacePerformance!$F:$F,A796,RacePerformance!$I:$I,"&lt;=20"))</f>
        <v/>
      </c>
      <c r="O796" s="6" t="str">
        <f>IF(A796="","",COUNTIFS(RacePerformance!$F:$F,A796,RacePerformance!$I:$I,1))</f>
        <v/>
      </c>
      <c r="P796" s="6" t="str">
        <f>IF(A796="","",COUNTIFS(RacePerformance!$F:$F,A796,RacePerformance!$J:$J,"&lt;=3"))</f>
        <v/>
      </c>
    </row>
    <row r="797" spans="5:16" ht="14.25" customHeight="1" x14ac:dyDescent="0.3">
      <c r="E797" s="6"/>
      <c r="I797" s="6"/>
      <c r="J797" s="6" t="str">
        <f>IF(A797="","",COUNTIF(RacePerformance!$F:$F,A797))</f>
        <v/>
      </c>
      <c r="K797" s="6" t="str">
        <f>IF(A797="","",IFERROR(AVERAGEIF(RacePerformance!$F:$F,A797,RacePerformance!$I:$I),""))</f>
        <v/>
      </c>
      <c r="L797" s="6" t="str">
        <f>IF(A797="","",IFERROR(AVERAGEIF(RacePerformance!$F:$F,A797,RacePerformance!$J:$J),""))</f>
        <v/>
      </c>
      <c r="M797" s="6" t="str">
        <f>IF(A797="","",IFERROR(AVERAGEIF(RacePerformance!$F:$F,A797,RacePerformance!$K:$K),""))</f>
        <v/>
      </c>
      <c r="N797" s="6" t="str">
        <f>IF(A797="","",COUNTIFS(RacePerformance!$F:$F,A797,RacePerformance!$I:$I,"&lt;=20"))</f>
        <v/>
      </c>
      <c r="O797" s="6" t="str">
        <f>IF(A797="","",COUNTIFS(RacePerformance!$F:$F,A797,RacePerformance!$I:$I,1))</f>
        <v/>
      </c>
      <c r="P797" s="6" t="str">
        <f>IF(A797="","",COUNTIFS(RacePerformance!$F:$F,A797,RacePerformance!$J:$J,"&lt;=3"))</f>
        <v/>
      </c>
    </row>
    <row r="798" spans="5:16" ht="14.25" customHeight="1" x14ac:dyDescent="0.3">
      <c r="E798" s="6"/>
      <c r="I798" s="6"/>
      <c r="J798" s="6" t="str">
        <f>IF(A798="","",COUNTIF(RacePerformance!$F:$F,A798))</f>
        <v/>
      </c>
      <c r="K798" s="6" t="str">
        <f>IF(A798="","",IFERROR(AVERAGEIF(RacePerformance!$F:$F,A798,RacePerformance!$I:$I),""))</f>
        <v/>
      </c>
      <c r="L798" s="6" t="str">
        <f>IF(A798="","",IFERROR(AVERAGEIF(RacePerformance!$F:$F,A798,RacePerformance!$J:$J),""))</f>
        <v/>
      </c>
      <c r="M798" s="6" t="str">
        <f>IF(A798="","",IFERROR(AVERAGEIF(RacePerformance!$F:$F,A798,RacePerformance!$K:$K),""))</f>
        <v/>
      </c>
      <c r="N798" s="6" t="str">
        <f>IF(A798="","",COUNTIFS(RacePerformance!$F:$F,A798,RacePerformance!$I:$I,"&lt;=20"))</f>
        <v/>
      </c>
      <c r="O798" s="6" t="str">
        <f>IF(A798="","",COUNTIFS(RacePerformance!$F:$F,A798,RacePerformance!$I:$I,1))</f>
        <v/>
      </c>
      <c r="P798" s="6" t="str">
        <f>IF(A798="","",COUNTIFS(RacePerformance!$F:$F,A798,RacePerformance!$J:$J,"&lt;=3"))</f>
        <v/>
      </c>
    </row>
    <row r="799" spans="5:16" ht="14.25" customHeight="1" x14ac:dyDescent="0.3">
      <c r="E799" s="6"/>
      <c r="I799" s="6"/>
      <c r="J799" s="6" t="str">
        <f>IF(A799="","",COUNTIF(RacePerformance!$F:$F,A799))</f>
        <v/>
      </c>
      <c r="K799" s="6" t="str">
        <f>IF(A799="","",IFERROR(AVERAGEIF(RacePerformance!$F:$F,A799,RacePerformance!$I:$I),""))</f>
        <v/>
      </c>
      <c r="L799" s="6" t="str">
        <f>IF(A799="","",IFERROR(AVERAGEIF(RacePerformance!$F:$F,A799,RacePerformance!$J:$J),""))</f>
        <v/>
      </c>
      <c r="M799" s="6" t="str">
        <f>IF(A799="","",IFERROR(AVERAGEIF(RacePerformance!$F:$F,A799,RacePerformance!$K:$K),""))</f>
        <v/>
      </c>
      <c r="N799" s="6" t="str">
        <f>IF(A799="","",COUNTIFS(RacePerformance!$F:$F,A799,RacePerformance!$I:$I,"&lt;=20"))</f>
        <v/>
      </c>
      <c r="O799" s="6" t="str">
        <f>IF(A799="","",COUNTIFS(RacePerformance!$F:$F,A799,RacePerformance!$I:$I,1))</f>
        <v/>
      </c>
      <c r="P799" s="6" t="str">
        <f>IF(A799="","",COUNTIFS(RacePerformance!$F:$F,A799,RacePerformance!$J:$J,"&lt;=3"))</f>
        <v/>
      </c>
    </row>
    <row r="800" spans="5:16" ht="14.25" customHeight="1" x14ac:dyDescent="0.3">
      <c r="E800" s="6"/>
      <c r="I800" s="6"/>
      <c r="J800" s="6" t="str">
        <f>IF(A800="","",COUNTIF(RacePerformance!$F:$F,A800))</f>
        <v/>
      </c>
      <c r="K800" s="6" t="str">
        <f>IF(A800="","",IFERROR(AVERAGEIF(RacePerformance!$F:$F,A800,RacePerformance!$I:$I),""))</f>
        <v/>
      </c>
      <c r="L800" s="6" t="str">
        <f>IF(A800="","",IFERROR(AVERAGEIF(RacePerformance!$F:$F,A800,RacePerformance!$J:$J),""))</f>
        <v/>
      </c>
      <c r="M800" s="6" t="str">
        <f>IF(A800="","",IFERROR(AVERAGEIF(RacePerformance!$F:$F,A800,RacePerformance!$K:$K),""))</f>
        <v/>
      </c>
      <c r="N800" s="6" t="str">
        <f>IF(A800="","",COUNTIFS(RacePerformance!$F:$F,A800,RacePerformance!$I:$I,"&lt;=20"))</f>
        <v/>
      </c>
      <c r="O800" s="6" t="str">
        <f>IF(A800="","",COUNTIFS(RacePerformance!$F:$F,A800,RacePerformance!$I:$I,1))</f>
        <v/>
      </c>
      <c r="P800" s="6" t="str">
        <f>IF(A800="","",COUNTIFS(RacePerformance!$F:$F,A800,RacePerformance!$J:$J,"&lt;=3"))</f>
        <v/>
      </c>
    </row>
    <row r="801" spans="5:16" ht="14.25" customHeight="1" x14ac:dyDescent="0.3">
      <c r="E801" s="6"/>
      <c r="I801" s="6"/>
      <c r="J801" s="6" t="str">
        <f>IF(A801="","",COUNTIF(RacePerformance!$F:$F,A801))</f>
        <v/>
      </c>
      <c r="K801" s="6" t="str">
        <f>IF(A801="","",IFERROR(AVERAGEIF(RacePerformance!$F:$F,A801,RacePerformance!$I:$I),""))</f>
        <v/>
      </c>
      <c r="L801" s="6" t="str">
        <f>IF(A801="","",IFERROR(AVERAGEIF(RacePerformance!$F:$F,A801,RacePerformance!$J:$J),""))</f>
        <v/>
      </c>
      <c r="M801" s="6" t="str">
        <f>IF(A801="","",IFERROR(AVERAGEIF(RacePerformance!$F:$F,A801,RacePerformance!$K:$K),""))</f>
        <v/>
      </c>
      <c r="N801" s="6" t="str">
        <f>IF(A801="","",COUNTIFS(RacePerformance!$F:$F,A801,RacePerformance!$I:$I,"&lt;=20"))</f>
        <v/>
      </c>
      <c r="O801" s="6" t="str">
        <f>IF(A801="","",COUNTIFS(RacePerformance!$F:$F,A801,RacePerformance!$I:$I,1))</f>
        <v/>
      </c>
      <c r="P801" s="6" t="str">
        <f>IF(A801="","",COUNTIFS(RacePerformance!$F:$F,A801,RacePerformance!$J:$J,"&lt;=3"))</f>
        <v/>
      </c>
    </row>
    <row r="802" spans="5:16" ht="14.25" customHeight="1" x14ac:dyDescent="0.3">
      <c r="E802" s="6"/>
      <c r="I802" s="6"/>
      <c r="J802" s="6" t="str">
        <f>IF(A802="","",COUNTIF(RacePerformance!$F:$F,A802))</f>
        <v/>
      </c>
      <c r="K802" s="6" t="str">
        <f>IF(A802="","",IFERROR(AVERAGEIF(RacePerformance!$F:$F,A802,RacePerformance!$I:$I),""))</f>
        <v/>
      </c>
      <c r="L802" s="6" t="str">
        <f>IF(A802="","",IFERROR(AVERAGEIF(RacePerformance!$F:$F,A802,RacePerformance!$J:$J),""))</f>
        <v/>
      </c>
      <c r="M802" s="6" t="str">
        <f>IF(A802="","",IFERROR(AVERAGEIF(RacePerformance!$F:$F,A802,RacePerformance!$K:$K),""))</f>
        <v/>
      </c>
      <c r="N802" s="6" t="str">
        <f>IF(A802="","",COUNTIFS(RacePerformance!$F:$F,A802,RacePerformance!$I:$I,"&lt;=20"))</f>
        <v/>
      </c>
      <c r="O802" s="6" t="str">
        <f>IF(A802="","",COUNTIFS(RacePerformance!$F:$F,A802,RacePerformance!$I:$I,1))</f>
        <v/>
      </c>
      <c r="P802" s="6" t="str">
        <f>IF(A802="","",COUNTIFS(RacePerformance!$F:$F,A802,RacePerformance!$J:$J,"&lt;=3"))</f>
        <v/>
      </c>
    </row>
    <row r="803" spans="5:16" ht="14.25" customHeight="1" x14ac:dyDescent="0.3">
      <c r="E803" s="6"/>
      <c r="I803" s="6"/>
      <c r="J803" s="6" t="str">
        <f>IF(A803="","",COUNTIF(RacePerformance!$F:$F,A803))</f>
        <v/>
      </c>
      <c r="K803" s="6" t="str">
        <f>IF(A803="","",IFERROR(AVERAGEIF(RacePerformance!$F:$F,A803,RacePerformance!$I:$I),""))</f>
        <v/>
      </c>
      <c r="L803" s="6" t="str">
        <f>IF(A803="","",IFERROR(AVERAGEIF(RacePerformance!$F:$F,A803,RacePerformance!$J:$J),""))</f>
        <v/>
      </c>
      <c r="M803" s="6" t="str">
        <f>IF(A803="","",IFERROR(AVERAGEIF(RacePerformance!$F:$F,A803,RacePerformance!$K:$K),""))</f>
        <v/>
      </c>
      <c r="N803" s="6" t="str">
        <f>IF(A803="","",COUNTIFS(RacePerformance!$F:$F,A803,RacePerformance!$I:$I,"&lt;=20"))</f>
        <v/>
      </c>
      <c r="O803" s="6" t="str">
        <f>IF(A803="","",COUNTIFS(RacePerformance!$F:$F,A803,RacePerformance!$I:$I,1))</f>
        <v/>
      </c>
      <c r="P803" s="6" t="str">
        <f>IF(A803="","",COUNTIFS(RacePerformance!$F:$F,A803,RacePerformance!$J:$J,"&lt;=3"))</f>
        <v/>
      </c>
    </row>
    <row r="804" spans="5:16" ht="14.25" customHeight="1" x14ac:dyDescent="0.3">
      <c r="E804" s="6"/>
      <c r="I804" s="6"/>
      <c r="J804" s="6" t="str">
        <f>IF(A804="","",COUNTIF(RacePerformance!$F:$F,A804))</f>
        <v/>
      </c>
      <c r="K804" s="6" t="str">
        <f>IF(A804="","",IFERROR(AVERAGEIF(RacePerformance!$F:$F,A804,RacePerformance!$I:$I),""))</f>
        <v/>
      </c>
      <c r="L804" s="6" t="str">
        <f>IF(A804="","",IFERROR(AVERAGEIF(RacePerformance!$F:$F,A804,RacePerformance!$J:$J),""))</f>
        <v/>
      </c>
      <c r="M804" s="6" t="str">
        <f>IF(A804="","",IFERROR(AVERAGEIF(RacePerformance!$F:$F,A804,RacePerformance!$K:$K),""))</f>
        <v/>
      </c>
      <c r="N804" s="6" t="str">
        <f>IF(A804="","",COUNTIFS(RacePerformance!$F:$F,A804,RacePerformance!$I:$I,"&lt;=20"))</f>
        <v/>
      </c>
      <c r="O804" s="6" t="str">
        <f>IF(A804="","",COUNTIFS(RacePerformance!$F:$F,A804,RacePerformance!$I:$I,1))</f>
        <v/>
      </c>
      <c r="P804" s="6" t="str">
        <f>IF(A804="","",COUNTIFS(RacePerformance!$F:$F,A804,RacePerformance!$J:$J,"&lt;=3"))</f>
        <v/>
      </c>
    </row>
    <row r="805" spans="5:16" ht="14.25" customHeight="1" x14ac:dyDescent="0.3">
      <c r="E805" s="6"/>
      <c r="I805" s="6"/>
      <c r="J805" s="6" t="str">
        <f>IF(A805="","",COUNTIF(RacePerformance!$F:$F,A805))</f>
        <v/>
      </c>
      <c r="K805" s="6" t="str">
        <f>IF(A805="","",IFERROR(AVERAGEIF(RacePerformance!$F:$F,A805,RacePerformance!$I:$I),""))</f>
        <v/>
      </c>
      <c r="L805" s="6" t="str">
        <f>IF(A805="","",IFERROR(AVERAGEIF(RacePerformance!$F:$F,A805,RacePerformance!$J:$J),""))</f>
        <v/>
      </c>
      <c r="M805" s="6" t="str">
        <f>IF(A805="","",IFERROR(AVERAGEIF(RacePerformance!$F:$F,A805,RacePerformance!$K:$K),""))</f>
        <v/>
      </c>
      <c r="N805" s="6" t="str">
        <f>IF(A805="","",COUNTIFS(RacePerformance!$F:$F,A805,RacePerformance!$I:$I,"&lt;=20"))</f>
        <v/>
      </c>
      <c r="O805" s="6" t="str">
        <f>IF(A805="","",COUNTIFS(RacePerformance!$F:$F,A805,RacePerformance!$I:$I,1))</f>
        <v/>
      </c>
      <c r="P805" s="6" t="str">
        <f>IF(A805="","",COUNTIFS(RacePerformance!$F:$F,A805,RacePerformance!$J:$J,"&lt;=3"))</f>
        <v/>
      </c>
    </row>
    <row r="806" spans="5:16" ht="14.25" customHeight="1" x14ac:dyDescent="0.3">
      <c r="E806" s="6"/>
      <c r="I806" s="6"/>
      <c r="J806" s="6" t="str">
        <f>IF(A806="","",COUNTIF(RacePerformance!$F:$F,A806))</f>
        <v/>
      </c>
      <c r="K806" s="6" t="str">
        <f>IF(A806="","",IFERROR(AVERAGEIF(RacePerformance!$F:$F,A806,RacePerformance!$I:$I),""))</f>
        <v/>
      </c>
      <c r="L806" s="6" t="str">
        <f>IF(A806="","",IFERROR(AVERAGEIF(RacePerformance!$F:$F,A806,RacePerformance!$J:$J),""))</f>
        <v/>
      </c>
      <c r="M806" s="6" t="str">
        <f>IF(A806="","",IFERROR(AVERAGEIF(RacePerformance!$F:$F,A806,RacePerformance!$K:$K),""))</f>
        <v/>
      </c>
      <c r="N806" s="6" t="str">
        <f>IF(A806="","",COUNTIFS(RacePerformance!$F:$F,A806,RacePerformance!$I:$I,"&lt;=20"))</f>
        <v/>
      </c>
      <c r="O806" s="6" t="str">
        <f>IF(A806="","",COUNTIFS(RacePerformance!$F:$F,A806,RacePerformance!$I:$I,1))</f>
        <v/>
      </c>
      <c r="P806" s="6" t="str">
        <f>IF(A806="","",COUNTIFS(RacePerformance!$F:$F,A806,RacePerformance!$J:$J,"&lt;=3"))</f>
        <v/>
      </c>
    </row>
    <row r="807" spans="5:16" ht="14.25" customHeight="1" x14ac:dyDescent="0.3">
      <c r="E807" s="6"/>
      <c r="I807" s="6"/>
      <c r="J807" s="6" t="str">
        <f>IF(A807="","",COUNTIF(RacePerformance!$F:$F,A807))</f>
        <v/>
      </c>
      <c r="K807" s="6" t="str">
        <f>IF(A807="","",IFERROR(AVERAGEIF(RacePerformance!$F:$F,A807,RacePerformance!$I:$I),""))</f>
        <v/>
      </c>
      <c r="L807" s="6" t="str">
        <f>IF(A807="","",IFERROR(AVERAGEIF(RacePerformance!$F:$F,A807,RacePerformance!$J:$J),""))</f>
        <v/>
      </c>
      <c r="M807" s="6" t="str">
        <f>IF(A807="","",IFERROR(AVERAGEIF(RacePerformance!$F:$F,A807,RacePerformance!$K:$K),""))</f>
        <v/>
      </c>
      <c r="N807" s="6" t="str">
        <f>IF(A807="","",COUNTIFS(RacePerformance!$F:$F,A807,RacePerformance!$I:$I,"&lt;=20"))</f>
        <v/>
      </c>
      <c r="O807" s="6" t="str">
        <f>IF(A807="","",COUNTIFS(RacePerformance!$F:$F,A807,RacePerformance!$I:$I,1))</f>
        <v/>
      </c>
      <c r="P807" s="6" t="str">
        <f>IF(A807="","",COUNTIFS(RacePerformance!$F:$F,A807,RacePerformance!$J:$J,"&lt;=3"))</f>
        <v/>
      </c>
    </row>
    <row r="808" spans="5:16" ht="14.25" customHeight="1" x14ac:dyDescent="0.3">
      <c r="E808" s="6"/>
      <c r="I808" s="6"/>
      <c r="J808" s="6" t="str">
        <f>IF(A808="","",COUNTIF(RacePerformance!$F:$F,A808))</f>
        <v/>
      </c>
      <c r="K808" s="6" t="str">
        <f>IF(A808="","",IFERROR(AVERAGEIF(RacePerformance!$F:$F,A808,RacePerformance!$I:$I),""))</f>
        <v/>
      </c>
      <c r="L808" s="6" t="str">
        <f>IF(A808="","",IFERROR(AVERAGEIF(RacePerformance!$F:$F,A808,RacePerformance!$J:$J),""))</f>
        <v/>
      </c>
      <c r="M808" s="6" t="str">
        <f>IF(A808="","",IFERROR(AVERAGEIF(RacePerformance!$F:$F,A808,RacePerformance!$K:$K),""))</f>
        <v/>
      </c>
      <c r="N808" s="6" t="str">
        <f>IF(A808="","",COUNTIFS(RacePerformance!$F:$F,A808,RacePerformance!$I:$I,"&lt;=20"))</f>
        <v/>
      </c>
      <c r="O808" s="6" t="str">
        <f>IF(A808="","",COUNTIFS(RacePerformance!$F:$F,A808,RacePerformance!$I:$I,1))</f>
        <v/>
      </c>
      <c r="P808" s="6" t="str">
        <f>IF(A808="","",COUNTIFS(RacePerformance!$F:$F,A808,RacePerformance!$J:$J,"&lt;=3"))</f>
        <v/>
      </c>
    </row>
    <row r="809" spans="5:16" ht="14.25" customHeight="1" x14ac:dyDescent="0.3">
      <c r="E809" s="6"/>
      <c r="I809" s="6"/>
      <c r="J809" s="6" t="str">
        <f>IF(A809="","",COUNTIF(RacePerformance!$F:$F,A809))</f>
        <v/>
      </c>
      <c r="K809" s="6" t="str">
        <f>IF(A809="","",IFERROR(AVERAGEIF(RacePerformance!$F:$F,A809,RacePerformance!$I:$I),""))</f>
        <v/>
      </c>
      <c r="L809" s="6" t="str">
        <f>IF(A809="","",IFERROR(AVERAGEIF(RacePerformance!$F:$F,A809,RacePerformance!$J:$J),""))</f>
        <v/>
      </c>
      <c r="M809" s="6" t="str">
        <f>IF(A809="","",IFERROR(AVERAGEIF(RacePerformance!$F:$F,A809,RacePerformance!$K:$K),""))</f>
        <v/>
      </c>
      <c r="N809" s="6" t="str">
        <f>IF(A809="","",COUNTIFS(RacePerformance!$F:$F,A809,RacePerformance!$I:$I,"&lt;=20"))</f>
        <v/>
      </c>
      <c r="O809" s="6" t="str">
        <f>IF(A809="","",COUNTIFS(RacePerformance!$F:$F,A809,RacePerformance!$I:$I,1))</f>
        <v/>
      </c>
      <c r="P809" s="6" t="str">
        <f>IF(A809="","",COUNTIFS(RacePerformance!$F:$F,A809,RacePerformance!$J:$J,"&lt;=3"))</f>
        <v/>
      </c>
    </row>
    <row r="810" spans="5:16" ht="14.25" customHeight="1" x14ac:dyDescent="0.3">
      <c r="E810" s="6"/>
      <c r="I810" s="6"/>
      <c r="J810" s="6" t="str">
        <f>IF(A810="","",COUNTIF(RacePerformance!$F:$F,A810))</f>
        <v/>
      </c>
      <c r="K810" s="6" t="str">
        <f>IF(A810="","",IFERROR(AVERAGEIF(RacePerformance!$F:$F,A810,RacePerformance!$I:$I),""))</f>
        <v/>
      </c>
      <c r="L810" s="6" t="str">
        <f>IF(A810="","",IFERROR(AVERAGEIF(RacePerformance!$F:$F,A810,RacePerformance!$J:$J),""))</f>
        <v/>
      </c>
      <c r="M810" s="6" t="str">
        <f>IF(A810="","",IFERROR(AVERAGEIF(RacePerformance!$F:$F,A810,RacePerformance!$K:$K),""))</f>
        <v/>
      </c>
      <c r="N810" s="6" t="str">
        <f>IF(A810="","",COUNTIFS(RacePerformance!$F:$F,A810,RacePerformance!$I:$I,"&lt;=20"))</f>
        <v/>
      </c>
      <c r="O810" s="6" t="str">
        <f>IF(A810="","",COUNTIFS(RacePerformance!$F:$F,A810,RacePerformance!$I:$I,1))</f>
        <v/>
      </c>
      <c r="P810" s="6" t="str">
        <f>IF(A810="","",COUNTIFS(RacePerformance!$F:$F,A810,RacePerformance!$J:$J,"&lt;=3"))</f>
        <v/>
      </c>
    </row>
    <row r="811" spans="5:16" ht="14.25" customHeight="1" x14ac:dyDescent="0.3">
      <c r="E811" s="6"/>
      <c r="I811" s="6"/>
      <c r="J811" s="6" t="str">
        <f>IF(A811="","",COUNTIF(RacePerformance!$F:$F,A811))</f>
        <v/>
      </c>
      <c r="K811" s="6" t="str">
        <f>IF(A811="","",IFERROR(AVERAGEIF(RacePerformance!$F:$F,A811,RacePerformance!$I:$I),""))</f>
        <v/>
      </c>
      <c r="L811" s="6" t="str">
        <f>IF(A811="","",IFERROR(AVERAGEIF(RacePerformance!$F:$F,A811,RacePerformance!$J:$J),""))</f>
        <v/>
      </c>
      <c r="M811" s="6" t="str">
        <f>IF(A811="","",IFERROR(AVERAGEIF(RacePerformance!$F:$F,A811,RacePerformance!$K:$K),""))</f>
        <v/>
      </c>
      <c r="N811" s="6" t="str">
        <f>IF(A811="","",COUNTIFS(RacePerformance!$F:$F,A811,RacePerformance!$I:$I,"&lt;=20"))</f>
        <v/>
      </c>
      <c r="O811" s="6" t="str">
        <f>IF(A811="","",COUNTIFS(RacePerformance!$F:$F,A811,RacePerformance!$I:$I,1))</f>
        <v/>
      </c>
      <c r="P811" s="6" t="str">
        <f>IF(A811="","",COUNTIFS(RacePerformance!$F:$F,A811,RacePerformance!$J:$J,"&lt;=3"))</f>
        <v/>
      </c>
    </row>
    <row r="812" spans="5:16" ht="14.25" customHeight="1" x14ac:dyDescent="0.3">
      <c r="E812" s="6"/>
      <c r="I812" s="6"/>
      <c r="J812" s="6" t="str">
        <f>IF(A812="","",COUNTIF(RacePerformance!$F:$F,A812))</f>
        <v/>
      </c>
      <c r="K812" s="6" t="str">
        <f>IF(A812="","",IFERROR(AVERAGEIF(RacePerformance!$F:$F,A812,RacePerformance!$I:$I),""))</f>
        <v/>
      </c>
      <c r="L812" s="6" t="str">
        <f>IF(A812="","",IFERROR(AVERAGEIF(RacePerformance!$F:$F,A812,RacePerformance!$J:$J),""))</f>
        <v/>
      </c>
      <c r="M812" s="6" t="str">
        <f>IF(A812="","",IFERROR(AVERAGEIF(RacePerformance!$F:$F,A812,RacePerformance!$K:$K),""))</f>
        <v/>
      </c>
      <c r="N812" s="6" t="str">
        <f>IF(A812="","",COUNTIFS(RacePerformance!$F:$F,A812,RacePerformance!$I:$I,"&lt;=20"))</f>
        <v/>
      </c>
      <c r="O812" s="6" t="str">
        <f>IF(A812="","",COUNTIFS(RacePerformance!$F:$F,A812,RacePerformance!$I:$I,1))</f>
        <v/>
      </c>
      <c r="P812" s="6" t="str">
        <f>IF(A812="","",COUNTIFS(RacePerformance!$F:$F,A812,RacePerformance!$J:$J,"&lt;=3"))</f>
        <v/>
      </c>
    </row>
    <row r="813" spans="5:16" ht="14.25" customHeight="1" x14ac:dyDescent="0.3">
      <c r="E813" s="6"/>
      <c r="I813" s="6"/>
      <c r="J813" s="6" t="str">
        <f>IF(A813="","",COUNTIF(RacePerformance!$F:$F,A813))</f>
        <v/>
      </c>
      <c r="K813" s="6" t="str">
        <f>IF(A813="","",IFERROR(AVERAGEIF(RacePerformance!$F:$F,A813,RacePerformance!$I:$I),""))</f>
        <v/>
      </c>
      <c r="L813" s="6" t="str">
        <f>IF(A813="","",IFERROR(AVERAGEIF(RacePerformance!$F:$F,A813,RacePerformance!$J:$J),""))</f>
        <v/>
      </c>
      <c r="M813" s="6" t="str">
        <f>IF(A813="","",IFERROR(AVERAGEIF(RacePerformance!$F:$F,A813,RacePerformance!$K:$K),""))</f>
        <v/>
      </c>
      <c r="N813" s="6" t="str">
        <f>IF(A813="","",COUNTIFS(RacePerformance!$F:$F,A813,RacePerformance!$I:$I,"&lt;=20"))</f>
        <v/>
      </c>
      <c r="O813" s="6" t="str">
        <f>IF(A813="","",COUNTIFS(RacePerformance!$F:$F,A813,RacePerformance!$I:$I,1))</f>
        <v/>
      </c>
      <c r="P813" s="6" t="str">
        <f>IF(A813="","",COUNTIFS(RacePerformance!$F:$F,A813,RacePerformance!$J:$J,"&lt;=3"))</f>
        <v/>
      </c>
    </row>
    <row r="814" spans="5:16" ht="14.25" customHeight="1" x14ac:dyDescent="0.3">
      <c r="E814" s="6"/>
      <c r="I814" s="6"/>
      <c r="J814" s="6" t="str">
        <f>IF(A814="","",COUNTIF(RacePerformance!$F:$F,A814))</f>
        <v/>
      </c>
      <c r="K814" s="6" t="str">
        <f>IF(A814="","",IFERROR(AVERAGEIF(RacePerformance!$F:$F,A814,RacePerformance!$I:$I),""))</f>
        <v/>
      </c>
      <c r="L814" s="6" t="str">
        <f>IF(A814="","",IFERROR(AVERAGEIF(RacePerformance!$F:$F,A814,RacePerformance!$J:$J),""))</f>
        <v/>
      </c>
      <c r="M814" s="6" t="str">
        <f>IF(A814="","",IFERROR(AVERAGEIF(RacePerformance!$F:$F,A814,RacePerformance!$K:$K),""))</f>
        <v/>
      </c>
      <c r="N814" s="6" t="str">
        <f>IF(A814="","",COUNTIFS(RacePerformance!$F:$F,A814,RacePerformance!$I:$I,"&lt;=20"))</f>
        <v/>
      </c>
      <c r="O814" s="6" t="str">
        <f>IF(A814="","",COUNTIFS(RacePerformance!$F:$F,A814,RacePerformance!$I:$I,1))</f>
        <v/>
      </c>
      <c r="P814" s="6" t="str">
        <f>IF(A814="","",COUNTIFS(RacePerformance!$F:$F,A814,RacePerformance!$J:$J,"&lt;=3"))</f>
        <v/>
      </c>
    </row>
    <row r="815" spans="5:16" ht="14.25" customHeight="1" x14ac:dyDescent="0.3">
      <c r="E815" s="6"/>
      <c r="I815" s="6"/>
      <c r="J815" s="6" t="str">
        <f>IF(A815="","",COUNTIF(RacePerformance!$F:$F,A815))</f>
        <v/>
      </c>
      <c r="K815" s="6" t="str">
        <f>IF(A815="","",IFERROR(AVERAGEIF(RacePerformance!$F:$F,A815,RacePerformance!$I:$I),""))</f>
        <v/>
      </c>
      <c r="L815" s="6" t="str">
        <f>IF(A815="","",IFERROR(AVERAGEIF(RacePerformance!$F:$F,A815,RacePerformance!$J:$J),""))</f>
        <v/>
      </c>
      <c r="M815" s="6" t="str">
        <f>IF(A815="","",IFERROR(AVERAGEIF(RacePerformance!$F:$F,A815,RacePerformance!$K:$K),""))</f>
        <v/>
      </c>
      <c r="N815" s="6" t="str">
        <f>IF(A815="","",COUNTIFS(RacePerformance!$F:$F,A815,RacePerformance!$I:$I,"&lt;=20"))</f>
        <v/>
      </c>
      <c r="O815" s="6" t="str">
        <f>IF(A815="","",COUNTIFS(RacePerformance!$F:$F,A815,RacePerformance!$I:$I,1))</f>
        <v/>
      </c>
      <c r="P815" s="6" t="str">
        <f>IF(A815="","",COUNTIFS(RacePerformance!$F:$F,A815,RacePerformance!$J:$J,"&lt;=3"))</f>
        <v/>
      </c>
    </row>
    <row r="816" spans="5:16" ht="14.25" customHeight="1" x14ac:dyDescent="0.3">
      <c r="E816" s="6"/>
      <c r="I816" s="6"/>
      <c r="J816" s="6" t="str">
        <f>IF(A816="","",COUNTIF(RacePerformance!$F:$F,A816))</f>
        <v/>
      </c>
      <c r="K816" s="6" t="str">
        <f>IF(A816="","",IFERROR(AVERAGEIF(RacePerformance!$F:$F,A816,RacePerformance!$I:$I),""))</f>
        <v/>
      </c>
      <c r="L816" s="6" t="str">
        <f>IF(A816="","",IFERROR(AVERAGEIF(RacePerformance!$F:$F,A816,RacePerformance!$J:$J),""))</f>
        <v/>
      </c>
      <c r="M816" s="6" t="str">
        <f>IF(A816="","",IFERROR(AVERAGEIF(RacePerformance!$F:$F,A816,RacePerformance!$K:$K),""))</f>
        <v/>
      </c>
      <c r="N816" s="6" t="str">
        <f>IF(A816="","",COUNTIFS(RacePerformance!$F:$F,A816,RacePerformance!$I:$I,"&lt;=20"))</f>
        <v/>
      </c>
      <c r="O816" s="6" t="str">
        <f>IF(A816="","",COUNTIFS(RacePerformance!$F:$F,A816,RacePerformance!$I:$I,1))</f>
        <v/>
      </c>
      <c r="P816" s="6" t="str">
        <f>IF(A816="","",COUNTIFS(RacePerformance!$F:$F,A816,RacePerformance!$J:$J,"&lt;=3"))</f>
        <v/>
      </c>
    </row>
    <row r="817" spans="5:16" ht="14.25" customHeight="1" x14ac:dyDescent="0.3">
      <c r="E817" s="6"/>
      <c r="I817" s="6"/>
      <c r="J817" s="6" t="str">
        <f>IF(A817="","",COUNTIF(RacePerformance!$F:$F,A817))</f>
        <v/>
      </c>
      <c r="K817" s="6" t="str">
        <f>IF(A817="","",IFERROR(AVERAGEIF(RacePerformance!$F:$F,A817,RacePerformance!$I:$I),""))</f>
        <v/>
      </c>
      <c r="L817" s="6" t="str">
        <f>IF(A817="","",IFERROR(AVERAGEIF(RacePerformance!$F:$F,A817,RacePerformance!$J:$J),""))</f>
        <v/>
      </c>
      <c r="M817" s="6" t="str">
        <f>IF(A817="","",IFERROR(AVERAGEIF(RacePerformance!$F:$F,A817,RacePerformance!$K:$K),""))</f>
        <v/>
      </c>
      <c r="N817" s="6" t="str">
        <f>IF(A817="","",COUNTIFS(RacePerformance!$F:$F,A817,RacePerformance!$I:$I,"&lt;=20"))</f>
        <v/>
      </c>
      <c r="O817" s="6" t="str">
        <f>IF(A817="","",COUNTIFS(RacePerformance!$F:$F,A817,RacePerformance!$I:$I,1))</f>
        <v/>
      </c>
      <c r="P817" s="6" t="str">
        <f>IF(A817="","",COUNTIFS(RacePerformance!$F:$F,A817,RacePerformance!$J:$J,"&lt;=3"))</f>
        <v/>
      </c>
    </row>
    <row r="818" spans="5:16" ht="14.25" customHeight="1" x14ac:dyDescent="0.3">
      <c r="E818" s="6"/>
      <c r="I818" s="6"/>
      <c r="J818" s="6" t="str">
        <f>IF(A818="","",COUNTIF(RacePerformance!$F:$F,A818))</f>
        <v/>
      </c>
      <c r="K818" s="6" t="str">
        <f>IF(A818="","",IFERROR(AVERAGEIF(RacePerformance!$F:$F,A818,RacePerformance!$I:$I),""))</f>
        <v/>
      </c>
      <c r="L818" s="6" t="str">
        <f>IF(A818="","",IFERROR(AVERAGEIF(RacePerformance!$F:$F,A818,RacePerformance!$J:$J),""))</f>
        <v/>
      </c>
      <c r="M818" s="6" t="str">
        <f>IF(A818="","",IFERROR(AVERAGEIF(RacePerformance!$F:$F,A818,RacePerformance!$K:$K),""))</f>
        <v/>
      </c>
      <c r="N818" s="6" t="str">
        <f>IF(A818="","",COUNTIFS(RacePerformance!$F:$F,A818,RacePerformance!$I:$I,"&lt;=20"))</f>
        <v/>
      </c>
      <c r="O818" s="6" t="str">
        <f>IF(A818="","",COUNTIFS(RacePerformance!$F:$F,A818,RacePerformance!$I:$I,1))</f>
        <v/>
      </c>
      <c r="P818" s="6" t="str">
        <f>IF(A818="","",COUNTIFS(RacePerformance!$F:$F,A818,RacePerformance!$J:$J,"&lt;=3"))</f>
        <v/>
      </c>
    </row>
    <row r="819" spans="5:16" ht="14.25" customHeight="1" x14ac:dyDescent="0.3">
      <c r="E819" s="6"/>
      <c r="I819" s="6"/>
      <c r="J819" s="6" t="str">
        <f>IF(A819="","",COUNTIF(RacePerformance!$F:$F,A819))</f>
        <v/>
      </c>
      <c r="K819" s="6" t="str">
        <f>IF(A819="","",IFERROR(AVERAGEIF(RacePerformance!$F:$F,A819,RacePerformance!$I:$I),""))</f>
        <v/>
      </c>
      <c r="L819" s="6" t="str">
        <f>IF(A819="","",IFERROR(AVERAGEIF(RacePerformance!$F:$F,A819,RacePerformance!$J:$J),""))</f>
        <v/>
      </c>
      <c r="M819" s="6" t="str">
        <f>IF(A819="","",IFERROR(AVERAGEIF(RacePerformance!$F:$F,A819,RacePerformance!$K:$K),""))</f>
        <v/>
      </c>
      <c r="N819" s="6" t="str">
        <f>IF(A819="","",COUNTIFS(RacePerformance!$F:$F,A819,RacePerformance!$I:$I,"&lt;=20"))</f>
        <v/>
      </c>
      <c r="O819" s="6" t="str">
        <f>IF(A819="","",COUNTIFS(RacePerformance!$F:$F,A819,RacePerformance!$I:$I,1))</f>
        <v/>
      </c>
      <c r="P819" s="6" t="str">
        <f>IF(A819="","",COUNTIFS(RacePerformance!$F:$F,A819,RacePerformance!$J:$J,"&lt;=3"))</f>
        <v/>
      </c>
    </row>
    <row r="820" spans="5:16" ht="14.25" customHeight="1" x14ac:dyDescent="0.3">
      <c r="E820" s="6"/>
      <c r="I820" s="6"/>
      <c r="J820" s="6" t="str">
        <f>IF(A820="","",COUNTIF(RacePerformance!$F:$F,A820))</f>
        <v/>
      </c>
      <c r="K820" s="6" t="str">
        <f>IF(A820="","",IFERROR(AVERAGEIF(RacePerformance!$F:$F,A820,RacePerformance!$I:$I),""))</f>
        <v/>
      </c>
      <c r="L820" s="6" t="str">
        <f>IF(A820="","",IFERROR(AVERAGEIF(RacePerformance!$F:$F,A820,RacePerformance!$J:$J),""))</f>
        <v/>
      </c>
      <c r="M820" s="6" t="str">
        <f>IF(A820="","",IFERROR(AVERAGEIF(RacePerformance!$F:$F,A820,RacePerformance!$K:$K),""))</f>
        <v/>
      </c>
      <c r="N820" s="6" t="str">
        <f>IF(A820="","",COUNTIFS(RacePerformance!$F:$F,A820,RacePerformance!$I:$I,"&lt;=20"))</f>
        <v/>
      </c>
      <c r="O820" s="6" t="str">
        <f>IF(A820="","",COUNTIFS(RacePerformance!$F:$F,A820,RacePerformance!$I:$I,1))</f>
        <v/>
      </c>
      <c r="P820" s="6" t="str">
        <f>IF(A820="","",COUNTIFS(RacePerformance!$F:$F,A820,RacePerformance!$J:$J,"&lt;=3"))</f>
        <v/>
      </c>
    </row>
    <row r="821" spans="5:16" ht="14.25" customHeight="1" x14ac:dyDescent="0.3">
      <c r="E821" s="6"/>
      <c r="I821" s="6"/>
      <c r="J821" s="6" t="str">
        <f>IF(A821="","",COUNTIF(RacePerformance!$F:$F,A821))</f>
        <v/>
      </c>
      <c r="K821" s="6" t="str">
        <f>IF(A821="","",IFERROR(AVERAGEIF(RacePerformance!$F:$F,A821,RacePerformance!$I:$I),""))</f>
        <v/>
      </c>
      <c r="L821" s="6" t="str">
        <f>IF(A821="","",IFERROR(AVERAGEIF(RacePerformance!$F:$F,A821,RacePerformance!$J:$J),""))</f>
        <v/>
      </c>
      <c r="M821" s="6" t="str">
        <f>IF(A821="","",IFERROR(AVERAGEIF(RacePerformance!$F:$F,A821,RacePerformance!$K:$K),""))</f>
        <v/>
      </c>
      <c r="N821" s="6" t="str">
        <f>IF(A821="","",COUNTIFS(RacePerformance!$F:$F,A821,RacePerformance!$I:$I,"&lt;=20"))</f>
        <v/>
      </c>
      <c r="O821" s="6" t="str">
        <f>IF(A821="","",COUNTIFS(RacePerformance!$F:$F,A821,RacePerformance!$I:$I,1))</f>
        <v/>
      </c>
      <c r="P821" s="6" t="str">
        <f>IF(A821="","",COUNTIFS(RacePerformance!$F:$F,A821,RacePerformance!$J:$J,"&lt;=3"))</f>
        <v/>
      </c>
    </row>
    <row r="822" spans="5:16" ht="14.25" customHeight="1" x14ac:dyDescent="0.3">
      <c r="E822" s="6"/>
      <c r="I822" s="6"/>
      <c r="J822" s="6" t="str">
        <f>IF(A822="","",COUNTIF(RacePerformance!$F:$F,A822))</f>
        <v/>
      </c>
      <c r="K822" s="6" t="str">
        <f>IF(A822="","",IFERROR(AVERAGEIF(RacePerformance!$F:$F,A822,RacePerformance!$I:$I),""))</f>
        <v/>
      </c>
      <c r="L822" s="6" t="str">
        <f>IF(A822="","",IFERROR(AVERAGEIF(RacePerformance!$F:$F,A822,RacePerformance!$J:$J),""))</f>
        <v/>
      </c>
      <c r="M822" s="6" t="str">
        <f>IF(A822="","",IFERROR(AVERAGEIF(RacePerformance!$F:$F,A822,RacePerformance!$K:$K),""))</f>
        <v/>
      </c>
      <c r="N822" s="6" t="str">
        <f>IF(A822="","",COUNTIFS(RacePerformance!$F:$F,A822,RacePerformance!$I:$I,"&lt;=20"))</f>
        <v/>
      </c>
      <c r="O822" s="6" t="str">
        <f>IF(A822="","",COUNTIFS(RacePerformance!$F:$F,A822,RacePerformance!$I:$I,1))</f>
        <v/>
      </c>
      <c r="P822" s="6" t="str">
        <f>IF(A822="","",COUNTIFS(RacePerformance!$F:$F,A822,RacePerformance!$J:$J,"&lt;=3"))</f>
        <v/>
      </c>
    </row>
    <row r="823" spans="5:16" ht="14.25" customHeight="1" x14ac:dyDescent="0.3">
      <c r="E823" s="6"/>
      <c r="I823" s="6"/>
      <c r="J823" s="6" t="str">
        <f>IF(A823="","",COUNTIF(RacePerformance!$F:$F,A823))</f>
        <v/>
      </c>
      <c r="K823" s="6" t="str">
        <f>IF(A823="","",IFERROR(AVERAGEIF(RacePerformance!$F:$F,A823,RacePerformance!$I:$I),""))</f>
        <v/>
      </c>
      <c r="L823" s="6" t="str">
        <f>IF(A823="","",IFERROR(AVERAGEIF(RacePerformance!$F:$F,A823,RacePerformance!$J:$J),""))</f>
        <v/>
      </c>
      <c r="M823" s="6" t="str">
        <f>IF(A823="","",IFERROR(AVERAGEIF(RacePerformance!$F:$F,A823,RacePerformance!$K:$K),""))</f>
        <v/>
      </c>
      <c r="N823" s="6" t="str">
        <f>IF(A823="","",COUNTIFS(RacePerformance!$F:$F,A823,RacePerformance!$I:$I,"&lt;=20"))</f>
        <v/>
      </c>
      <c r="O823" s="6" t="str">
        <f>IF(A823="","",COUNTIFS(RacePerformance!$F:$F,A823,RacePerformance!$I:$I,1))</f>
        <v/>
      </c>
      <c r="P823" s="6" t="str">
        <f>IF(A823="","",COUNTIFS(RacePerformance!$F:$F,A823,RacePerformance!$J:$J,"&lt;=3"))</f>
        <v/>
      </c>
    </row>
    <row r="824" spans="5:16" ht="14.25" customHeight="1" x14ac:dyDescent="0.3">
      <c r="E824" s="6"/>
      <c r="I824" s="6"/>
      <c r="J824" s="6" t="str">
        <f>IF(A824="","",COUNTIF(RacePerformance!$F:$F,A824))</f>
        <v/>
      </c>
      <c r="K824" s="6" t="str">
        <f>IF(A824="","",IFERROR(AVERAGEIF(RacePerformance!$F:$F,A824,RacePerformance!$I:$I),""))</f>
        <v/>
      </c>
      <c r="L824" s="6" t="str">
        <f>IF(A824="","",IFERROR(AVERAGEIF(RacePerformance!$F:$F,A824,RacePerformance!$J:$J),""))</f>
        <v/>
      </c>
      <c r="M824" s="6" t="str">
        <f>IF(A824="","",IFERROR(AVERAGEIF(RacePerformance!$F:$F,A824,RacePerformance!$K:$K),""))</f>
        <v/>
      </c>
      <c r="N824" s="6" t="str">
        <f>IF(A824="","",COUNTIFS(RacePerformance!$F:$F,A824,RacePerformance!$I:$I,"&lt;=20"))</f>
        <v/>
      </c>
      <c r="O824" s="6" t="str">
        <f>IF(A824="","",COUNTIFS(RacePerformance!$F:$F,A824,RacePerformance!$I:$I,1))</f>
        <v/>
      </c>
      <c r="P824" s="6" t="str">
        <f>IF(A824="","",COUNTIFS(RacePerformance!$F:$F,A824,RacePerformance!$J:$J,"&lt;=3"))</f>
        <v/>
      </c>
    </row>
    <row r="825" spans="5:16" ht="14.25" customHeight="1" x14ac:dyDescent="0.3">
      <c r="E825" s="6"/>
      <c r="I825" s="6"/>
      <c r="J825" s="6" t="str">
        <f>IF(A825="","",COUNTIF(RacePerformance!$F:$F,A825))</f>
        <v/>
      </c>
      <c r="K825" s="6" t="str">
        <f>IF(A825="","",IFERROR(AVERAGEIF(RacePerformance!$F:$F,A825,RacePerformance!$I:$I),""))</f>
        <v/>
      </c>
      <c r="L825" s="6" t="str">
        <f>IF(A825="","",IFERROR(AVERAGEIF(RacePerformance!$F:$F,A825,RacePerformance!$J:$J),""))</f>
        <v/>
      </c>
      <c r="M825" s="6" t="str">
        <f>IF(A825="","",IFERROR(AVERAGEIF(RacePerformance!$F:$F,A825,RacePerformance!$K:$K),""))</f>
        <v/>
      </c>
      <c r="N825" s="6" t="str">
        <f>IF(A825="","",COUNTIFS(RacePerformance!$F:$F,A825,RacePerformance!$I:$I,"&lt;=20"))</f>
        <v/>
      </c>
      <c r="O825" s="6" t="str">
        <f>IF(A825="","",COUNTIFS(RacePerformance!$F:$F,A825,RacePerformance!$I:$I,1))</f>
        <v/>
      </c>
      <c r="P825" s="6" t="str">
        <f>IF(A825="","",COUNTIFS(RacePerformance!$F:$F,A825,RacePerformance!$J:$J,"&lt;=3"))</f>
        <v/>
      </c>
    </row>
    <row r="826" spans="5:16" ht="14.25" customHeight="1" x14ac:dyDescent="0.3">
      <c r="E826" s="6"/>
      <c r="I826" s="6"/>
      <c r="J826" s="6" t="str">
        <f>IF(A826="","",COUNTIF(RacePerformance!$F:$F,A826))</f>
        <v/>
      </c>
      <c r="K826" s="6" t="str">
        <f>IF(A826="","",IFERROR(AVERAGEIF(RacePerformance!$F:$F,A826,RacePerformance!$I:$I),""))</f>
        <v/>
      </c>
      <c r="L826" s="6" t="str">
        <f>IF(A826="","",IFERROR(AVERAGEIF(RacePerformance!$F:$F,A826,RacePerformance!$J:$J),""))</f>
        <v/>
      </c>
      <c r="M826" s="6" t="str">
        <f>IF(A826="","",IFERROR(AVERAGEIF(RacePerformance!$F:$F,A826,RacePerformance!$K:$K),""))</f>
        <v/>
      </c>
      <c r="N826" s="6" t="str">
        <f>IF(A826="","",COUNTIFS(RacePerformance!$F:$F,A826,RacePerformance!$I:$I,"&lt;=20"))</f>
        <v/>
      </c>
      <c r="O826" s="6" t="str">
        <f>IF(A826="","",COUNTIFS(RacePerformance!$F:$F,A826,RacePerformance!$I:$I,1))</f>
        <v/>
      </c>
      <c r="P826" s="6" t="str">
        <f>IF(A826="","",COUNTIFS(RacePerformance!$F:$F,A826,RacePerformance!$J:$J,"&lt;=3"))</f>
        <v/>
      </c>
    </row>
    <row r="827" spans="5:16" ht="14.25" customHeight="1" x14ac:dyDescent="0.3">
      <c r="E827" s="6"/>
      <c r="I827" s="6"/>
      <c r="J827" s="6" t="str">
        <f>IF(A827="","",COUNTIF(RacePerformance!$F:$F,A827))</f>
        <v/>
      </c>
      <c r="K827" s="6" t="str">
        <f>IF(A827="","",IFERROR(AVERAGEIF(RacePerformance!$F:$F,A827,RacePerformance!$I:$I),""))</f>
        <v/>
      </c>
      <c r="L827" s="6" t="str">
        <f>IF(A827="","",IFERROR(AVERAGEIF(RacePerformance!$F:$F,A827,RacePerformance!$J:$J),""))</f>
        <v/>
      </c>
      <c r="M827" s="6" t="str">
        <f>IF(A827="","",IFERROR(AVERAGEIF(RacePerformance!$F:$F,A827,RacePerformance!$K:$K),""))</f>
        <v/>
      </c>
      <c r="N827" s="6" t="str">
        <f>IF(A827="","",COUNTIFS(RacePerformance!$F:$F,A827,RacePerformance!$I:$I,"&lt;=20"))</f>
        <v/>
      </c>
      <c r="O827" s="6" t="str">
        <f>IF(A827="","",COUNTIFS(RacePerformance!$F:$F,A827,RacePerformance!$I:$I,1))</f>
        <v/>
      </c>
      <c r="P827" s="6" t="str">
        <f>IF(A827="","",COUNTIFS(RacePerformance!$F:$F,A827,RacePerformance!$J:$J,"&lt;=3"))</f>
        <v/>
      </c>
    </row>
    <row r="828" spans="5:16" ht="14.25" customHeight="1" x14ac:dyDescent="0.3">
      <c r="E828" s="6"/>
      <c r="I828" s="6"/>
      <c r="J828" s="6" t="str">
        <f>IF(A828="","",COUNTIF(RacePerformance!$F:$F,A828))</f>
        <v/>
      </c>
      <c r="K828" s="6" t="str">
        <f>IF(A828="","",IFERROR(AVERAGEIF(RacePerformance!$F:$F,A828,RacePerformance!$I:$I),""))</f>
        <v/>
      </c>
      <c r="L828" s="6" t="str">
        <f>IF(A828="","",IFERROR(AVERAGEIF(RacePerformance!$F:$F,A828,RacePerformance!$J:$J),""))</f>
        <v/>
      </c>
      <c r="M828" s="6" t="str">
        <f>IF(A828="","",IFERROR(AVERAGEIF(RacePerformance!$F:$F,A828,RacePerformance!$K:$K),""))</f>
        <v/>
      </c>
      <c r="N828" s="6" t="str">
        <f>IF(A828="","",COUNTIFS(RacePerformance!$F:$F,A828,RacePerformance!$I:$I,"&lt;=20"))</f>
        <v/>
      </c>
      <c r="O828" s="6" t="str">
        <f>IF(A828="","",COUNTIFS(RacePerformance!$F:$F,A828,RacePerformance!$I:$I,1))</f>
        <v/>
      </c>
      <c r="P828" s="6" t="str">
        <f>IF(A828="","",COUNTIFS(RacePerformance!$F:$F,A828,RacePerformance!$J:$J,"&lt;=3"))</f>
        <v/>
      </c>
    </row>
    <row r="829" spans="5:16" ht="14.25" customHeight="1" x14ac:dyDescent="0.3">
      <c r="E829" s="6"/>
      <c r="I829" s="6"/>
      <c r="J829" s="6" t="str">
        <f>IF(A829="","",COUNTIF(RacePerformance!$F:$F,A829))</f>
        <v/>
      </c>
      <c r="K829" s="6" t="str">
        <f>IF(A829="","",IFERROR(AVERAGEIF(RacePerformance!$F:$F,A829,RacePerformance!$I:$I),""))</f>
        <v/>
      </c>
      <c r="L829" s="6" t="str">
        <f>IF(A829="","",IFERROR(AVERAGEIF(RacePerformance!$F:$F,A829,RacePerformance!$J:$J),""))</f>
        <v/>
      </c>
      <c r="M829" s="6" t="str">
        <f>IF(A829="","",IFERROR(AVERAGEIF(RacePerformance!$F:$F,A829,RacePerformance!$K:$K),""))</f>
        <v/>
      </c>
      <c r="N829" s="6" t="str">
        <f>IF(A829="","",COUNTIFS(RacePerformance!$F:$F,A829,RacePerformance!$I:$I,"&lt;=20"))</f>
        <v/>
      </c>
      <c r="O829" s="6" t="str">
        <f>IF(A829="","",COUNTIFS(RacePerformance!$F:$F,A829,RacePerformance!$I:$I,1))</f>
        <v/>
      </c>
      <c r="P829" s="6" t="str">
        <f>IF(A829="","",COUNTIFS(RacePerformance!$F:$F,A829,RacePerformance!$J:$J,"&lt;=3"))</f>
        <v/>
      </c>
    </row>
    <row r="830" spans="5:16" ht="14.25" customHeight="1" x14ac:dyDescent="0.3">
      <c r="E830" s="6"/>
      <c r="I830" s="6"/>
      <c r="J830" s="6" t="str">
        <f>IF(A830="","",COUNTIF(RacePerformance!$F:$F,A830))</f>
        <v/>
      </c>
      <c r="K830" s="6" t="str">
        <f>IF(A830="","",IFERROR(AVERAGEIF(RacePerformance!$F:$F,A830,RacePerformance!$I:$I),""))</f>
        <v/>
      </c>
      <c r="L830" s="6" t="str">
        <f>IF(A830="","",IFERROR(AVERAGEIF(RacePerformance!$F:$F,A830,RacePerformance!$J:$J),""))</f>
        <v/>
      </c>
      <c r="M830" s="6" t="str">
        <f>IF(A830="","",IFERROR(AVERAGEIF(RacePerformance!$F:$F,A830,RacePerformance!$K:$K),""))</f>
        <v/>
      </c>
      <c r="N830" s="6" t="str">
        <f>IF(A830="","",COUNTIFS(RacePerformance!$F:$F,A830,RacePerformance!$I:$I,"&lt;=20"))</f>
        <v/>
      </c>
      <c r="O830" s="6" t="str">
        <f>IF(A830="","",COUNTIFS(RacePerformance!$F:$F,A830,RacePerformance!$I:$I,1))</f>
        <v/>
      </c>
      <c r="P830" s="6" t="str">
        <f>IF(A830="","",COUNTIFS(RacePerformance!$F:$F,A830,RacePerformance!$J:$J,"&lt;=3"))</f>
        <v/>
      </c>
    </row>
    <row r="831" spans="5:16" ht="14.25" customHeight="1" x14ac:dyDescent="0.3">
      <c r="E831" s="6"/>
      <c r="I831" s="6"/>
      <c r="J831" s="6" t="str">
        <f>IF(A831="","",COUNTIF(RacePerformance!$F:$F,A831))</f>
        <v/>
      </c>
      <c r="K831" s="6" t="str">
        <f>IF(A831="","",IFERROR(AVERAGEIF(RacePerformance!$F:$F,A831,RacePerformance!$I:$I),""))</f>
        <v/>
      </c>
      <c r="L831" s="6" t="str">
        <f>IF(A831="","",IFERROR(AVERAGEIF(RacePerformance!$F:$F,A831,RacePerformance!$J:$J),""))</f>
        <v/>
      </c>
      <c r="M831" s="6" t="str">
        <f>IF(A831="","",IFERROR(AVERAGEIF(RacePerformance!$F:$F,A831,RacePerformance!$K:$K),""))</f>
        <v/>
      </c>
      <c r="N831" s="6" t="str">
        <f>IF(A831="","",COUNTIFS(RacePerformance!$F:$F,A831,RacePerformance!$I:$I,"&lt;=20"))</f>
        <v/>
      </c>
      <c r="O831" s="6" t="str">
        <f>IF(A831="","",COUNTIFS(RacePerformance!$F:$F,A831,RacePerformance!$I:$I,1))</f>
        <v/>
      </c>
      <c r="P831" s="6" t="str">
        <f>IF(A831="","",COUNTIFS(RacePerformance!$F:$F,A831,RacePerformance!$J:$J,"&lt;=3"))</f>
        <v/>
      </c>
    </row>
    <row r="832" spans="5:16" ht="14.25" customHeight="1" x14ac:dyDescent="0.3">
      <c r="E832" s="6"/>
      <c r="I832" s="6"/>
      <c r="J832" s="6" t="str">
        <f>IF(A832="","",COUNTIF(RacePerformance!$F:$F,A832))</f>
        <v/>
      </c>
      <c r="K832" s="6" t="str">
        <f>IF(A832="","",IFERROR(AVERAGEIF(RacePerformance!$F:$F,A832,RacePerformance!$I:$I),""))</f>
        <v/>
      </c>
      <c r="L832" s="6" t="str">
        <f>IF(A832="","",IFERROR(AVERAGEIF(RacePerformance!$F:$F,A832,RacePerformance!$J:$J),""))</f>
        <v/>
      </c>
      <c r="M832" s="6" t="str">
        <f>IF(A832="","",IFERROR(AVERAGEIF(RacePerformance!$F:$F,A832,RacePerformance!$K:$K),""))</f>
        <v/>
      </c>
      <c r="N832" s="6" t="str">
        <f>IF(A832="","",COUNTIFS(RacePerformance!$F:$F,A832,RacePerformance!$I:$I,"&lt;=20"))</f>
        <v/>
      </c>
      <c r="O832" s="6" t="str">
        <f>IF(A832="","",COUNTIFS(RacePerformance!$F:$F,A832,RacePerformance!$I:$I,1))</f>
        <v/>
      </c>
      <c r="P832" s="6" t="str">
        <f>IF(A832="","",COUNTIFS(RacePerformance!$F:$F,A832,RacePerformance!$J:$J,"&lt;=3"))</f>
        <v/>
      </c>
    </row>
    <row r="833" spans="5:16" ht="14.25" customHeight="1" x14ac:dyDescent="0.3">
      <c r="E833" s="6"/>
      <c r="I833" s="6"/>
      <c r="J833" s="6" t="str">
        <f>IF(A833="","",COUNTIF(RacePerformance!$F:$F,A833))</f>
        <v/>
      </c>
      <c r="K833" s="6" t="str">
        <f>IF(A833="","",IFERROR(AVERAGEIF(RacePerformance!$F:$F,A833,RacePerformance!$I:$I),""))</f>
        <v/>
      </c>
      <c r="L833" s="6" t="str">
        <f>IF(A833="","",IFERROR(AVERAGEIF(RacePerformance!$F:$F,A833,RacePerformance!$J:$J),""))</f>
        <v/>
      </c>
      <c r="M833" s="6" t="str">
        <f>IF(A833="","",IFERROR(AVERAGEIF(RacePerformance!$F:$F,A833,RacePerformance!$K:$K),""))</f>
        <v/>
      </c>
      <c r="N833" s="6" t="str">
        <f>IF(A833="","",COUNTIFS(RacePerformance!$F:$F,A833,RacePerformance!$I:$I,"&lt;=20"))</f>
        <v/>
      </c>
      <c r="O833" s="6" t="str">
        <f>IF(A833="","",COUNTIFS(RacePerformance!$F:$F,A833,RacePerformance!$I:$I,1))</f>
        <v/>
      </c>
      <c r="P833" s="6" t="str">
        <f>IF(A833="","",COUNTIFS(RacePerformance!$F:$F,A833,RacePerformance!$J:$J,"&lt;=3"))</f>
        <v/>
      </c>
    </row>
    <row r="834" spans="5:16" ht="14.25" customHeight="1" x14ac:dyDescent="0.3">
      <c r="E834" s="6"/>
      <c r="I834" s="6"/>
      <c r="J834" s="6" t="str">
        <f>IF(A834="","",COUNTIF(RacePerformance!$F:$F,A834))</f>
        <v/>
      </c>
      <c r="K834" s="6" t="str">
        <f>IF(A834="","",IFERROR(AVERAGEIF(RacePerformance!$F:$F,A834,RacePerformance!$I:$I),""))</f>
        <v/>
      </c>
      <c r="L834" s="6" t="str">
        <f>IF(A834="","",IFERROR(AVERAGEIF(RacePerformance!$F:$F,A834,RacePerformance!$J:$J),""))</f>
        <v/>
      </c>
      <c r="M834" s="6" t="str">
        <f>IF(A834="","",IFERROR(AVERAGEIF(RacePerformance!$F:$F,A834,RacePerformance!$K:$K),""))</f>
        <v/>
      </c>
      <c r="N834" s="6" t="str">
        <f>IF(A834="","",COUNTIFS(RacePerformance!$F:$F,A834,RacePerformance!$I:$I,"&lt;=20"))</f>
        <v/>
      </c>
      <c r="O834" s="6" t="str">
        <f>IF(A834="","",COUNTIFS(RacePerformance!$F:$F,A834,RacePerformance!$I:$I,1))</f>
        <v/>
      </c>
      <c r="P834" s="6" t="str">
        <f>IF(A834="","",COUNTIFS(RacePerformance!$F:$F,A834,RacePerformance!$J:$J,"&lt;=3"))</f>
        <v/>
      </c>
    </row>
    <row r="835" spans="5:16" ht="14.25" customHeight="1" x14ac:dyDescent="0.3">
      <c r="E835" s="6"/>
      <c r="I835" s="6"/>
      <c r="J835" s="6" t="str">
        <f>IF(A835="","",COUNTIF(RacePerformance!$F:$F,A835))</f>
        <v/>
      </c>
      <c r="K835" s="6" t="str">
        <f>IF(A835="","",IFERROR(AVERAGEIF(RacePerformance!$F:$F,A835,RacePerformance!$I:$I),""))</f>
        <v/>
      </c>
      <c r="L835" s="6" t="str">
        <f>IF(A835="","",IFERROR(AVERAGEIF(RacePerformance!$F:$F,A835,RacePerformance!$J:$J),""))</f>
        <v/>
      </c>
      <c r="M835" s="6" t="str">
        <f>IF(A835="","",IFERROR(AVERAGEIF(RacePerformance!$F:$F,A835,RacePerformance!$K:$K),""))</f>
        <v/>
      </c>
      <c r="N835" s="6" t="str">
        <f>IF(A835="","",COUNTIFS(RacePerformance!$F:$F,A835,RacePerformance!$I:$I,"&lt;=20"))</f>
        <v/>
      </c>
      <c r="O835" s="6" t="str">
        <f>IF(A835="","",COUNTIFS(RacePerformance!$F:$F,A835,RacePerformance!$I:$I,1))</f>
        <v/>
      </c>
      <c r="P835" s="6" t="str">
        <f>IF(A835="","",COUNTIFS(RacePerformance!$F:$F,A835,RacePerformance!$J:$J,"&lt;=3"))</f>
        <v/>
      </c>
    </row>
    <row r="836" spans="5:16" ht="14.25" customHeight="1" x14ac:dyDescent="0.3">
      <c r="E836" s="6"/>
      <c r="I836" s="6"/>
      <c r="J836" s="6" t="str">
        <f>IF(A836="","",COUNTIF(RacePerformance!$F:$F,A836))</f>
        <v/>
      </c>
      <c r="K836" s="6" t="str">
        <f>IF(A836="","",IFERROR(AVERAGEIF(RacePerformance!$F:$F,A836,RacePerformance!$I:$I),""))</f>
        <v/>
      </c>
      <c r="L836" s="6" t="str">
        <f>IF(A836="","",IFERROR(AVERAGEIF(RacePerformance!$F:$F,A836,RacePerformance!$J:$J),""))</f>
        <v/>
      </c>
      <c r="M836" s="6" t="str">
        <f>IF(A836="","",IFERROR(AVERAGEIF(RacePerformance!$F:$F,A836,RacePerformance!$K:$K),""))</f>
        <v/>
      </c>
      <c r="N836" s="6" t="str">
        <f>IF(A836="","",COUNTIFS(RacePerformance!$F:$F,A836,RacePerformance!$I:$I,"&lt;=20"))</f>
        <v/>
      </c>
      <c r="O836" s="6" t="str">
        <f>IF(A836="","",COUNTIFS(RacePerformance!$F:$F,A836,RacePerformance!$I:$I,1))</f>
        <v/>
      </c>
      <c r="P836" s="6" t="str">
        <f>IF(A836="","",COUNTIFS(RacePerformance!$F:$F,A836,RacePerformance!$J:$J,"&lt;=3"))</f>
        <v/>
      </c>
    </row>
    <row r="837" spans="5:16" ht="14.25" customHeight="1" x14ac:dyDescent="0.3">
      <c r="E837" s="6"/>
      <c r="I837" s="6"/>
      <c r="J837" s="6" t="str">
        <f>IF(A837="","",COUNTIF(RacePerformance!$F:$F,A837))</f>
        <v/>
      </c>
      <c r="K837" s="6" t="str">
        <f>IF(A837="","",IFERROR(AVERAGEIF(RacePerformance!$F:$F,A837,RacePerformance!$I:$I),""))</f>
        <v/>
      </c>
      <c r="L837" s="6" t="str">
        <f>IF(A837="","",IFERROR(AVERAGEIF(RacePerformance!$F:$F,A837,RacePerformance!$J:$J),""))</f>
        <v/>
      </c>
      <c r="M837" s="6" t="str">
        <f>IF(A837="","",IFERROR(AVERAGEIF(RacePerformance!$F:$F,A837,RacePerformance!$K:$K),""))</f>
        <v/>
      </c>
      <c r="N837" s="6" t="str">
        <f>IF(A837="","",COUNTIFS(RacePerformance!$F:$F,A837,RacePerformance!$I:$I,"&lt;=20"))</f>
        <v/>
      </c>
      <c r="O837" s="6" t="str">
        <f>IF(A837="","",COUNTIFS(RacePerformance!$F:$F,A837,RacePerformance!$I:$I,1))</f>
        <v/>
      </c>
      <c r="P837" s="6" t="str">
        <f>IF(A837="","",COUNTIFS(RacePerformance!$F:$F,A837,RacePerformance!$J:$J,"&lt;=3"))</f>
        <v/>
      </c>
    </row>
    <row r="838" spans="5:16" ht="14.25" customHeight="1" x14ac:dyDescent="0.3">
      <c r="E838" s="6"/>
      <c r="I838" s="6"/>
      <c r="J838" s="6" t="str">
        <f>IF(A838="","",COUNTIF(RacePerformance!$F:$F,A838))</f>
        <v/>
      </c>
      <c r="K838" s="6" t="str">
        <f>IF(A838="","",IFERROR(AVERAGEIF(RacePerformance!$F:$F,A838,RacePerformance!$I:$I),""))</f>
        <v/>
      </c>
      <c r="L838" s="6" t="str">
        <f>IF(A838="","",IFERROR(AVERAGEIF(RacePerformance!$F:$F,A838,RacePerformance!$J:$J),""))</f>
        <v/>
      </c>
      <c r="M838" s="6" t="str">
        <f>IF(A838="","",IFERROR(AVERAGEIF(RacePerformance!$F:$F,A838,RacePerformance!$K:$K),""))</f>
        <v/>
      </c>
      <c r="N838" s="6" t="str">
        <f>IF(A838="","",COUNTIFS(RacePerformance!$F:$F,A838,RacePerformance!$I:$I,"&lt;=20"))</f>
        <v/>
      </c>
      <c r="O838" s="6" t="str">
        <f>IF(A838="","",COUNTIFS(RacePerformance!$F:$F,A838,RacePerformance!$I:$I,1))</f>
        <v/>
      </c>
      <c r="P838" s="6" t="str">
        <f>IF(A838="","",COUNTIFS(RacePerformance!$F:$F,A838,RacePerformance!$J:$J,"&lt;=3"))</f>
        <v/>
      </c>
    </row>
    <row r="839" spans="5:16" ht="14.25" customHeight="1" x14ac:dyDescent="0.3">
      <c r="E839" s="6"/>
      <c r="I839" s="6"/>
      <c r="J839" s="6" t="str">
        <f>IF(A839="","",COUNTIF(RacePerformance!$F:$F,A839))</f>
        <v/>
      </c>
      <c r="K839" s="6" t="str">
        <f>IF(A839="","",IFERROR(AVERAGEIF(RacePerformance!$F:$F,A839,RacePerformance!$I:$I),""))</f>
        <v/>
      </c>
      <c r="L839" s="6" t="str">
        <f>IF(A839="","",IFERROR(AVERAGEIF(RacePerformance!$F:$F,A839,RacePerformance!$J:$J),""))</f>
        <v/>
      </c>
      <c r="M839" s="6" t="str">
        <f>IF(A839="","",IFERROR(AVERAGEIF(RacePerformance!$F:$F,A839,RacePerformance!$K:$K),""))</f>
        <v/>
      </c>
      <c r="N839" s="6" t="str">
        <f>IF(A839="","",COUNTIFS(RacePerformance!$F:$F,A839,RacePerformance!$I:$I,"&lt;=20"))</f>
        <v/>
      </c>
      <c r="O839" s="6" t="str">
        <f>IF(A839="","",COUNTIFS(RacePerformance!$F:$F,A839,RacePerformance!$I:$I,1))</f>
        <v/>
      </c>
      <c r="P839" s="6" t="str">
        <f>IF(A839="","",COUNTIFS(RacePerformance!$F:$F,A839,RacePerformance!$J:$J,"&lt;=3"))</f>
        <v/>
      </c>
    </row>
    <row r="840" spans="5:16" ht="14.25" customHeight="1" x14ac:dyDescent="0.3">
      <c r="E840" s="6"/>
      <c r="I840" s="6"/>
      <c r="J840" s="6" t="str">
        <f>IF(A840="","",COUNTIF(RacePerformance!$F:$F,A840))</f>
        <v/>
      </c>
      <c r="K840" s="6" t="str">
        <f>IF(A840="","",IFERROR(AVERAGEIF(RacePerformance!$F:$F,A840,RacePerformance!$I:$I),""))</f>
        <v/>
      </c>
      <c r="L840" s="6" t="str">
        <f>IF(A840="","",IFERROR(AVERAGEIF(RacePerformance!$F:$F,A840,RacePerformance!$J:$J),""))</f>
        <v/>
      </c>
      <c r="M840" s="6" t="str">
        <f>IF(A840="","",IFERROR(AVERAGEIF(RacePerformance!$F:$F,A840,RacePerformance!$K:$K),""))</f>
        <v/>
      </c>
      <c r="N840" s="6" t="str">
        <f>IF(A840="","",COUNTIFS(RacePerformance!$F:$F,A840,RacePerformance!$I:$I,"&lt;=20"))</f>
        <v/>
      </c>
      <c r="O840" s="6" t="str">
        <f>IF(A840="","",COUNTIFS(RacePerformance!$F:$F,A840,RacePerformance!$I:$I,1))</f>
        <v/>
      </c>
      <c r="P840" s="6" t="str">
        <f>IF(A840="","",COUNTIFS(RacePerformance!$F:$F,A840,RacePerformance!$J:$J,"&lt;=3"))</f>
        <v/>
      </c>
    </row>
    <row r="841" spans="5:16" ht="14.25" customHeight="1" x14ac:dyDescent="0.3">
      <c r="E841" s="6"/>
      <c r="I841" s="6"/>
      <c r="J841" s="6" t="str">
        <f>IF(A841="","",COUNTIF(RacePerformance!$F:$F,A841))</f>
        <v/>
      </c>
      <c r="K841" s="6" t="str">
        <f>IF(A841="","",IFERROR(AVERAGEIF(RacePerformance!$F:$F,A841,RacePerformance!$I:$I),""))</f>
        <v/>
      </c>
      <c r="L841" s="6" t="str">
        <f>IF(A841="","",IFERROR(AVERAGEIF(RacePerformance!$F:$F,A841,RacePerformance!$J:$J),""))</f>
        <v/>
      </c>
      <c r="M841" s="6" t="str">
        <f>IF(A841="","",IFERROR(AVERAGEIF(RacePerformance!$F:$F,A841,RacePerformance!$K:$K),""))</f>
        <v/>
      </c>
      <c r="N841" s="6" t="str">
        <f>IF(A841="","",COUNTIFS(RacePerformance!$F:$F,A841,RacePerformance!$I:$I,"&lt;=20"))</f>
        <v/>
      </c>
      <c r="O841" s="6" t="str">
        <f>IF(A841="","",COUNTIFS(RacePerformance!$F:$F,A841,RacePerformance!$I:$I,1))</f>
        <v/>
      </c>
      <c r="P841" s="6" t="str">
        <f>IF(A841="","",COUNTIFS(RacePerformance!$F:$F,A841,RacePerformance!$J:$J,"&lt;=3"))</f>
        <v/>
      </c>
    </row>
    <row r="842" spans="5:16" ht="14.25" customHeight="1" x14ac:dyDescent="0.3">
      <c r="E842" s="6"/>
      <c r="I842" s="6"/>
      <c r="J842" s="6" t="str">
        <f>IF(A842="","",COUNTIF(RacePerformance!$F:$F,A842))</f>
        <v/>
      </c>
      <c r="K842" s="6" t="str">
        <f>IF(A842="","",IFERROR(AVERAGEIF(RacePerformance!$F:$F,A842,RacePerformance!$I:$I),""))</f>
        <v/>
      </c>
      <c r="L842" s="6" t="str">
        <f>IF(A842="","",IFERROR(AVERAGEIF(RacePerformance!$F:$F,A842,RacePerformance!$J:$J),""))</f>
        <v/>
      </c>
      <c r="M842" s="6" t="str">
        <f>IF(A842="","",IFERROR(AVERAGEIF(RacePerformance!$F:$F,A842,RacePerformance!$K:$K),""))</f>
        <v/>
      </c>
      <c r="N842" s="6" t="str">
        <f>IF(A842="","",COUNTIFS(RacePerformance!$F:$F,A842,RacePerformance!$I:$I,"&lt;=20"))</f>
        <v/>
      </c>
      <c r="O842" s="6" t="str">
        <f>IF(A842="","",COUNTIFS(RacePerformance!$F:$F,A842,RacePerformance!$I:$I,1))</f>
        <v/>
      </c>
      <c r="P842" s="6" t="str">
        <f>IF(A842="","",COUNTIFS(RacePerformance!$F:$F,A842,RacePerformance!$J:$J,"&lt;=3"))</f>
        <v/>
      </c>
    </row>
    <row r="843" spans="5:16" ht="14.25" customHeight="1" x14ac:dyDescent="0.3">
      <c r="E843" s="6"/>
      <c r="I843" s="6"/>
      <c r="J843" s="6" t="str">
        <f>IF(A843="","",COUNTIF(RacePerformance!$F:$F,A843))</f>
        <v/>
      </c>
      <c r="K843" s="6" t="str">
        <f>IF(A843="","",IFERROR(AVERAGEIF(RacePerformance!$F:$F,A843,RacePerformance!$I:$I),""))</f>
        <v/>
      </c>
      <c r="L843" s="6" t="str">
        <f>IF(A843="","",IFERROR(AVERAGEIF(RacePerformance!$F:$F,A843,RacePerformance!$J:$J),""))</f>
        <v/>
      </c>
      <c r="M843" s="6" t="str">
        <f>IF(A843="","",IFERROR(AVERAGEIF(RacePerformance!$F:$F,A843,RacePerformance!$K:$K),""))</f>
        <v/>
      </c>
      <c r="N843" s="6" t="str">
        <f>IF(A843="","",COUNTIFS(RacePerformance!$F:$F,A843,RacePerformance!$I:$I,"&lt;=20"))</f>
        <v/>
      </c>
      <c r="O843" s="6" t="str">
        <f>IF(A843="","",COUNTIFS(RacePerformance!$F:$F,A843,RacePerformance!$I:$I,1))</f>
        <v/>
      </c>
      <c r="P843" s="6" t="str">
        <f>IF(A843="","",COUNTIFS(RacePerformance!$F:$F,A843,RacePerformance!$J:$J,"&lt;=3"))</f>
        <v/>
      </c>
    </row>
    <row r="844" spans="5:16" ht="14.25" customHeight="1" x14ac:dyDescent="0.3">
      <c r="E844" s="6"/>
      <c r="I844" s="6"/>
      <c r="J844" s="6" t="str">
        <f>IF(A844="","",COUNTIF(RacePerformance!$F:$F,A844))</f>
        <v/>
      </c>
      <c r="K844" s="6" t="str">
        <f>IF(A844="","",IFERROR(AVERAGEIF(RacePerformance!$F:$F,A844,RacePerformance!$I:$I),""))</f>
        <v/>
      </c>
      <c r="L844" s="6" t="str">
        <f>IF(A844="","",IFERROR(AVERAGEIF(RacePerformance!$F:$F,A844,RacePerformance!$J:$J),""))</f>
        <v/>
      </c>
      <c r="M844" s="6" t="str">
        <f>IF(A844="","",IFERROR(AVERAGEIF(RacePerformance!$F:$F,A844,RacePerformance!$K:$K),""))</f>
        <v/>
      </c>
      <c r="N844" s="6" t="str">
        <f>IF(A844="","",COUNTIFS(RacePerformance!$F:$F,A844,RacePerformance!$I:$I,"&lt;=20"))</f>
        <v/>
      </c>
      <c r="O844" s="6" t="str">
        <f>IF(A844="","",COUNTIFS(RacePerformance!$F:$F,A844,RacePerformance!$I:$I,1))</f>
        <v/>
      </c>
      <c r="P844" s="6" t="str">
        <f>IF(A844="","",COUNTIFS(RacePerformance!$F:$F,A844,RacePerformance!$J:$J,"&lt;=3"))</f>
        <v/>
      </c>
    </row>
    <row r="845" spans="5:16" ht="14.25" customHeight="1" x14ac:dyDescent="0.3">
      <c r="E845" s="6"/>
      <c r="I845" s="6"/>
      <c r="J845" s="6" t="str">
        <f>IF(A845="","",COUNTIF(RacePerformance!$F:$F,A845))</f>
        <v/>
      </c>
      <c r="K845" s="6" t="str">
        <f>IF(A845="","",IFERROR(AVERAGEIF(RacePerformance!$F:$F,A845,RacePerformance!$I:$I),""))</f>
        <v/>
      </c>
      <c r="L845" s="6" t="str">
        <f>IF(A845="","",IFERROR(AVERAGEIF(RacePerformance!$F:$F,A845,RacePerformance!$J:$J),""))</f>
        <v/>
      </c>
      <c r="M845" s="6" t="str">
        <f>IF(A845="","",IFERROR(AVERAGEIF(RacePerformance!$F:$F,A845,RacePerformance!$K:$K),""))</f>
        <v/>
      </c>
      <c r="N845" s="6" t="str">
        <f>IF(A845="","",COUNTIFS(RacePerformance!$F:$F,A845,RacePerformance!$I:$I,"&lt;=20"))</f>
        <v/>
      </c>
      <c r="O845" s="6" t="str">
        <f>IF(A845="","",COUNTIFS(RacePerformance!$F:$F,A845,RacePerformance!$I:$I,1))</f>
        <v/>
      </c>
      <c r="P845" s="6" t="str">
        <f>IF(A845="","",COUNTIFS(RacePerformance!$F:$F,A845,RacePerformance!$J:$J,"&lt;=3"))</f>
        <v/>
      </c>
    </row>
    <row r="846" spans="5:16" ht="14.25" customHeight="1" x14ac:dyDescent="0.3">
      <c r="E846" s="6"/>
      <c r="I846" s="6"/>
      <c r="J846" s="6" t="str">
        <f>IF(A846="","",COUNTIF(RacePerformance!$F:$F,A846))</f>
        <v/>
      </c>
      <c r="K846" s="6" t="str">
        <f>IF(A846="","",IFERROR(AVERAGEIF(RacePerformance!$F:$F,A846,RacePerformance!$I:$I),""))</f>
        <v/>
      </c>
      <c r="L846" s="6" t="str">
        <f>IF(A846="","",IFERROR(AVERAGEIF(RacePerformance!$F:$F,A846,RacePerformance!$J:$J),""))</f>
        <v/>
      </c>
      <c r="M846" s="6" t="str">
        <f>IF(A846="","",IFERROR(AVERAGEIF(RacePerformance!$F:$F,A846,RacePerformance!$K:$K),""))</f>
        <v/>
      </c>
      <c r="N846" s="6" t="str">
        <f>IF(A846="","",COUNTIFS(RacePerformance!$F:$F,A846,RacePerformance!$I:$I,"&lt;=20"))</f>
        <v/>
      </c>
      <c r="O846" s="6" t="str">
        <f>IF(A846="","",COUNTIFS(RacePerformance!$F:$F,A846,RacePerformance!$I:$I,1))</f>
        <v/>
      </c>
      <c r="P846" s="6" t="str">
        <f>IF(A846="","",COUNTIFS(RacePerformance!$F:$F,A846,RacePerformance!$J:$J,"&lt;=3"))</f>
        <v/>
      </c>
    </row>
    <row r="847" spans="5:16" ht="14.25" customHeight="1" x14ac:dyDescent="0.3">
      <c r="E847" s="6"/>
      <c r="I847" s="6"/>
      <c r="J847" s="6" t="str">
        <f>IF(A847="","",COUNTIF(RacePerformance!$F:$F,A847))</f>
        <v/>
      </c>
      <c r="K847" s="6" t="str">
        <f>IF(A847="","",IFERROR(AVERAGEIF(RacePerformance!$F:$F,A847,RacePerformance!$I:$I),""))</f>
        <v/>
      </c>
      <c r="L847" s="6" t="str">
        <f>IF(A847="","",IFERROR(AVERAGEIF(RacePerformance!$F:$F,A847,RacePerformance!$J:$J),""))</f>
        <v/>
      </c>
      <c r="M847" s="6" t="str">
        <f>IF(A847="","",IFERROR(AVERAGEIF(RacePerformance!$F:$F,A847,RacePerformance!$K:$K),""))</f>
        <v/>
      </c>
      <c r="N847" s="6" t="str">
        <f>IF(A847="","",COUNTIFS(RacePerformance!$F:$F,A847,RacePerformance!$I:$I,"&lt;=20"))</f>
        <v/>
      </c>
      <c r="O847" s="6" t="str">
        <f>IF(A847="","",COUNTIFS(RacePerformance!$F:$F,A847,RacePerformance!$I:$I,1))</f>
        <v/>
      </c>
      <c r="P847" s="6" t="str">
        <f>IF(A847="","",COUNTIFS(RacePerformance!$F:$F,A847,RacePerformance!$J:$J,"&lt;=3"))</f>
        <v/>
      </c>
    </row>
    <row r="848" spans="5:16" ht="14.25" customHeight="1" x14ac:dyDescent="0.3">
      <c r="E848" s="6"/>
      <c r="I848" s="6"/>
      <c r="J848" s="6" t="str">
        <f>IF(A848="","",COUNTIF(RacePerformance!$F:$F,A848))</f>
        <v/>
      </c>
      <c r="K848" s="6" t="str">
        <f>IF(A848="","",IFERROR(AVERAGEIF(RacePerformance!$F:$F,A848,RacePerformance!$I:$I),""))</f>
        <v/>
      </c>
      <c r="L848" s="6" t="str">
        <f>IF(A848="","",IFERROR(AVERAGEIF(RacePerformance!$F:$F,A848,RacePerformance!$J:$J),""))</f>
        <v/>
      </c>
      <c r="M848" s="6" t="str">
        <f>IF(A848="","",IFERROR(AVERAGEIF(RacePerformance!$F:$F,A848,RacePerformance!$K:$K),""))</f>
        <v/>
      </c>
      <c r="N848" s="6" t="str">
        <f>IF(A848="","",COUNTIFS(RacePerformance!$F:$F,A848,RacePerformance!$I:$I,"&lt;=20"))</f>
        <v/>
      </c>
      <c r="O848" s="6" t="str">
        <f>IF(A848="","",COUNTIFS(RacePerformance!$F:$F,A848,RacePerformance!$I:$I,1))</f>
        <v/>
      </c>
      <c r="P848" s="6" t="str">
        <f>IF(A848="","",COUNTIFS(RacePerformance!$F:$F,A848,RacePerformance!$J:$J,"&lt;=3"))</f>
        <v/>
      </c>
    </row>
    <row r="849" spans="5:16" ht="14.25" customHeight="1" x14ac:dyDescent="0.3">
      <c r="E849" s="6"/>
      <c r="I849" s="6"/>
      <c r="J849" s="6" t="str">
        <f>IF(A849="","",COUNTIF(RacePerformance!$F:$F,A849))</f>
        <v/>
      </c>
      <c r="K849" s="6" t="str">
        <f>IF(A849="","",IFERROR(AVERAGEIF(RacePerformance!$F:$F,A849,RacePerformance!$I:$I),""))</f>
        <v/>
      </c>
      <c r="L849" s="6" t="str">
        <f>IF(A849="","",IFERROR(AVERAGEIF(RacePerformance!$F:$F,A849,RacePerformance!$J:$J),""))</f>
        <v/>
      </c>
      <c r="M849" s="6" t="str">
        <f>IF(A849="","",IFERROR(AVERAGEIF(RacePerformance!$F:$F,A849,RacePerformance!$K:$K),""))</f>
        <v/>
      </c>
      <c r="N849" s="6" t="str">
        <f>IF(A849="","",COUNTIFS(RacePerformance!$F:$F,A849,RacePerformance!$I:$I,"&lt;=20"))</f>
        <v/>
      </c>
      <c r="O849" s="6" t="str">
        <f>IF(A849="","",COUNTIFS(RacePerformance!$F:$F,A849,RacePerformance!$I:$I,1))</f>
        <v/>
      </c>
      <c r="P849" s="6" t="str">
        <f>IF(A849="","",COUNTIFS(RacePerformance!$F:$F,A849,RacePerformance!$J:$J,"&lt;=3"))</f>
        <v/>
      </c>
    </row>
    <row r="850" spans="5:16" ht="14.25" customHeight="1" x14ac:dyDescent="0.3">
      <c r="E850" s="6"/>
      <c r="I850" s="6"/>
      <c r="J850" s="6" t="str">
        <f>IF(A850="","",COUNTIF(RacePerformance!$F:$F,A850))</f>
        <v/>
      </c>
      <c r="K850" s="6" t="str">
        <f>IF(A850="","",IFERROR(AVERAGEIF(RacePerformance!$F:$F,A850,RacePerformance!$I:$I),""))</f>
        <v/>
      </c>
      <c r="L850" s="6" t="str">
        <f>IF(A850="","",IFERROR(AVERAGEIF(RacePerformance!$F:$F,A850,RacePerformance!$J:$J),""))</f>
        <v/>
      </c>
      <c r="M850" s="6" t="str">
        <f>IF(A850="","",IFERROR(AVERAGEIF(RacePerformance!$F:$F,A850,RacePerformance!$K:$K),""))</f>
        <v/>
      </c>
      <c r="N850" s="6" t="str">
        <f>IF(A850="","",COUNTIFS(RacePerformance!$F:$F,A850,RacePerformance!$I:$I,"&lt;=20"))</f>
        <v/>
      </c>
      <c r="O850" s="6" t="str">
        <f>IF(A850="","",COUNTIFS(RacePerformance!$F:$F,A850,RacePerformance!$I:$I,1))</f>
        <v/>
      </c>
      <c r="P850" s="6" t="str">
        <f>IF(A850="","",COUNTIFS(RacePerformance!$F:$F,A850,RacePerformance!$J:$J,"&lt;=3"))</f>
        <v/>
      </c>
    </row>
    <row r="851" spans="5:16" ht="14.25" customHeight="1" x14ac:dyDescent="0.3">
      <c r="E851" s="6"/>
      <c r="I851" s="6"/>
      <c r="J851" s="6" t="str">
        <f>IF(A851="","",COUNTIF(RacePerformance!$F:$F,A851))</f>
        <v/>
      </c>
      <c r="K851" s="6" t="str">
        <f>IF(A851="","",IFERROR(AVERAGEIF(RacePerformance!$F:$F,A851,RacePerformance!$I:$I),""))</f>
        <v/>
      </c>
      <c r="L851" s="6" t="str">
        <f>IF(A851="","",IFERROR(AVERAGEIF(RacePerformance!$F:$F,A851,RacePerformance!$J:$J),""))</f>
        <v/>
      </c>
      <c r="M851" s="6" t="str">
        <f>IF(A851="","",IFERROR(AVERAGEIF(RacePerformance!$F:$F,A851,RacePerformance!$K:$K),""))</f>
        <v/>
      </c>
      <c r="N851" s="6" t="str">
        <f>IF(A851="","",COUNTIFS(RacePerformance!$F:$F,A851,RacePerformance!$I:$I,"&lt;=20"))</f>
        <v/>
      </c>
      <c r="O851" s="6" t="str">
        <f>IF(A851="","",COUNTIFS(RacePerformance!$F:$F,A851,RacePerformance!$I:$I,1))</f>
        <v/>
      </c>
      <c r="P851" s="6" t="str">
        <f>IF(A851="","",COUNTIFS(RacePerformance!$F:$F,A851,RacePerformance!$J:$J,"&lt;=3"))</f>
        <v/>
      </c>
    </row>
    <row r="852" spans="5:16" ht="14.25" customHeight="1" x14ac:dyDescent="0.3">
      <c r="E852" s="6"/>
      <c r="I852" s="6"/>
      <c r="J852" s="6" t="str">
        <f>IF(A852="","",COUNTIF(RacePerformance!$F:$F,A852))</f>
        <v/>
      </c>
      <c r="K852" s="6" t="str">
        <f>IF(A852="","",IFERROR(AVERAGEIF(RacePerformance!$F:$F,A852,RacePerformance!$I:$I),""))</f>
        <v/>
      </c>
      <c r="L852" s="6" t="str">
        <f>IF(A852="","",IFERROR(AVERAGEIF(RacePerformance!$F:$F,A852,RacePerformance!$J:$J),""))</f>
        <v/>
      </c>
      <c r="M852" s="6" t="str">
        <f>IF(A852="","",IFERROR(AVERAGEIF(RacePerformance!$F:$F,A852,RacePerformance!$K:$K),""))</f>
        <v/>
      </c>
      <c r="N852" s="6" t="str">
        <f>IF(A852="","",COUNTIFS(RacePerformance!$F:$F,A852,RacePerformance!$I:$I,"&lt;=20"))</f>
        <v/>
      </c>
      <c r="O852" s="6" t="str">
        <f>IF(A852="","",COUNTIFS(RacePerformance!$F:$F,A852,RacePerformance!$I:$I,1))</f>
        <v/>
      </c>
      <c r="P852" s="6" t="str">
        <f>IF(A852="","",COUNTIFS(RacePerformance!$F:$F,A852,RacePerformance!$J:$J,"&lt;=3"))</f>
        <v/>
      </c>
    </row>
    <row r="853" spans="5:16" ht="14.25" customHeight="1" x14ac:dyDescent="0.3">
      <c r="E853" s="6"/>
      <c r="I853" s="6"/>
      <c r="J853" s="6" t="str">
        <f>IF(A853="","",COUNTIF(RacePerformance!$F:$F,A853))</f>
        <v/>
      </c>
      <c r="K853" s="6" t="str">
        <f>IF(A853="","",IFERROR(AVERAGEIF(RacePerformance!$F:$F,A853,RacePerformance!$I:$I),""))</f>
        <v/>
      </c>
      <c r="L853" s="6" t="str">
        <f>IF(A853="","",IFERROR(AVERAGEIF(RacePerformance!$F:$F,A853,RacePerformance!$J:$J),""))</f>
        <v/>
      </c>
      <c r="M853" s="6" t="str">
        <f>IF(A853="","",IFERROR(AVERAGEIF(RacePerformance!$F:$F,A853,RacePerformance!$K:$K),""))</f>
        <v/>
      </c>
      <c r="N853" s="6" t="str">
        <f>IF(A853="","",COUNTIFS(RacePerformance!$F:$F,A853,RacePerformance!$I:$I,"&lt;=20"))</f>
        <v/>
      </c>
      <c r="O853" s="6" t="str">
        <f>IF(A853="","",COUNTIFS(RacePerformance!$F:$F,A853,RacePerformance!$I:$I,1))</f>
        <v/>
      </c>
      <c r="P853" s="6" t="str">
        <f>IF(A853="","",COUNTIFS(RacePerformance!$F:$F,A853,RacePerformance!$J:$J,"&lt;=3"))</f>
        <v/>
      </c>
    </row>
    <row r="854" spans="5:16" ht="14.25" customHeight="1" x14ac:dyDescent="0.3">
      <c r="E854" s="6"/>
      <c r="I854" s="6"/>
      <c r="J854" s="6" t="str">
        <f>IF(A854="","",COUNTIF(RacePerformance!$F:$F,A854))</f>
        <v/>
      </c>
      <c r="K854" s="6" t="str">
        <f>IF(A854="","",IFERROR(AVERAGEIF(RacePerformance!$F:$F,A854,RacePerformance!$I:$I),""))</f>
        <v/>
      </c>
      <c r="L854" s="6" t="str">
        <f>IF(A854="","",IFERROR(AVERAGEIF(RacePerformance!$F:$F,A854,RacePerformance!$J:$J),""))</f>
        <v/>
      </c>
      <c r="M854" s="6" t="str">
        <f>IF(A854="","",IFERROR(AVERAGEIF(RacePerformance!$F:$F,A854,RacePerformance!$K:$K),""))</f>
        <v/>
      </c>
      <c r="N854" s="6" t="str">
        <f>IF(A854="","",COUNTIFS(RacePerformance!$F:$F,A854,RacePerformance!$I:$I,"&lt;=20"))</f>
        <v/>
      </c>
      <c r="O854" s="6" t="str">
        <f>IF(A854="","",COUNTIFS(RacePerformance!$F:$F,A854,RacePerformance!$I:$I,1))</f>
        <v/>
      </c>
      <c r="P854" s="6" t="str">
        <f>IF(A854="","",COUNTIFS(RacePerformance!$F:$F,A854,RacePerformance!$J:$J,"&lt;=3"))</f>
        <v/>
      </c>
    </row>
    <row r="855" spans="5:16" ht="14.25" customHeight="1" x14ac:dyDescent="0.3">
      <c r="E855" s="6"/>
      <c r="I855" s="6"/>
      <c r="J855" s="6" t="str">
        <f>IF(A855="","",COUNTIF(RacePerformance!$F:$F,A855))</f>
        <v/>
      </c>
      <c r="K855" s="6" t="str">
        <f>IF(A855="","",IFERROR(AVERAGEIF(RacePerformance!$F:$F,A855,RacePerformance!$I:$I),""))</f>
        <v/>
      </c>
      <c r="L855" s="6" t="str">
        <f>IF(A855="","",IFERROR(AVERAGEIF(RacePerformance!$F:$F,A855,RacePerformance!$J:$J),""))</f>
        <v/>
      </c>
      <c r="M855" s="6" t="str">
        <f>IF(A855="","",IFERROR(AVERAGEIF(RacePerformance!$F:$F,A855,RacePerformance!$K:$K),""))</f>
        <v/>
      </c>
      <c r="N855" s="6" t="str">
        <f>IF(A855="","",COUNTIFS(RacePerformance!$F:$F,A855,RacePerformance!$I:$I,"&lt;=20"))</f>
        <v/>
      </c>
      <c r="O855" s="6" t="str">
        <f>IF(A855="","",COUNTIFS(RacePerformance!$F:$F,A855,RacePerformance!$I:$I,1))</f>
        <v/>
      </c>
      <c r="P855" s="6" t="str">
        <f>IF(A855="","",COUNTIFS(RacePerformance!$F:$F,A855,RacePerformance!$J:$J,"&lt;=3"))</f>
        <v/>
      </c>
    </row>
    <row r="856" spans="5:16" ht="14.25" customHeight="1" x14ac:dyDescent="0.3">
      <c r="E856" s="6"/>
      <c r="I856" s="6"/>
      <c r="J856" s="6" t="str">
        <f>IF(A856="","",COUNTIF(RacePerformance!$F:$F,A856))</f>
        <v/>
      </c>
      <c r="K856" s="6" t="str">
        <f>IF(A856="","",IFERROR(AVERAGEIF(RacePerformance!$F:$F,A856,RacePerformance!$I:$I),""))</f>
        <v/>
      </c>
      <c r="L856" s="6" t="str">
        <f>IF(A856="","",IFERROR(AVERAGEIF(RacePerformance!$F:$F,A856,RacePerformance!$J:$J),""))</f>
        <v/>
      </c>
      <c r="M856" s="6" t="str">
        <f>IF(A856="","",IFERROR(AVERAGEIF(RacePerformance!$F:$F,A856,RacePerformance!$K:$K),""))</f>
        <v/>
      </c>
      <c r="N856" s="6" t="str">
        <f>IF(A856="","",COUNTIFS(RacePerformance!$F:$F,A856,RacePerformance!$I:$I,"&lt;=20"))</f>
        <v/>
      </c>
      <c r="O856" s="6" t="str">
        <f>IF(A856="","",COUNTIFS(RacePerformance!$F:$F,A856,RacePerformance!$I:$I,1))</f>
        <v/>
      </c>
      <c r="P856" s="6" t="str">
        <f>IF(A856="","",COUNTIFS(RacePerformance!$F:$F,A856,RacePerformance!$J:$J,"&lt;=3"))</f>
        <v/>
      </c>
    </row>
    <row r="857" spans="5:16" ht="14.25" customHeight="1" x14ac:dyDescent="0.3">
      <c r="E857" s="6"/>
      <c r="I857" s="6"/>
      <c r="J857" s="6" t="str">
        <f>IF(A857="","",COUNTIF(RacePerformance!$F:$F,A857))</f>
        <v/>
      </c>
      <c r="K857" s="6" t="str">
        <f>IF(A857="","",IFERROR(AVERAGEIF(RacePerformance!$F:$F,A857,RacePerformance!$I:$I),""))</f>
        <v/>
      </c>
      <c r="L857" s="6" t="str">
        <f>IF(A857="","",IFERROR(AVERAGEIF(RacePerformance!$F:$F,A857,RacePerformance!$J:$J),""))</f>
        <v/>
      </c>
      <c r="M857" s="6" t="str">
        <f>IF(A857="","",IFERROR(AVERAGEIF(RacePerformance!$F:$F,A857,RacePerformance!$K:$K),""))</f>
        <v/>
      </c>
      <c r="N857" s="6" t="str">
        <f>IF(A857="","",COUNTIFS(RacePerformance!$F:$F,A857,RacePerformance!$I:$I,"&lt;=20"))</f>
        <v/>
      </c>
      <c r="O857" s="6" t="str">
        <f>IF(A857="","",COUNTIFS(RacePerformance!$F:$F,A857,RacePerformance!$I:$I,1))</f>
        <v/>
      </c>
      <c r="P857" s="6" t="str">
        <f>IF(A857="","",COUNTIFS(RacePerformance!$F:$F,A857,RacePerformance!$J:$J,"&lt;=3"))</f>
        <v/>
      </c>
    </row>
    <row r="858" spans="5:16" ht="14.25" customHeight="1" x14ac:dyDescent="0.3">
      <c r="E858" s="6"/>
      <c r="I858" s="6"/>
      <c r="J858" s="6" t="str">
        <f>IF(A858="","",COUNTIF(RacePerformance!$F:$F,A858))</f>
        <v/>
      </c>
      <c r="K858" s="6" t="str">
        <f>IF(A858="","",IFERROR(AVERAGEIF(RacePerformance!$F:$F,A858,RacePerformance!$I:$I),""))</f>
        <v/>
      </c>
      <c r="L858" s="6" t="str">
        <f>IF(A858="","",IFERROR(AVERAGEIF(RacePerformance!$F:$F,A858,RacePerformance!$J:$J),""))</f>
        <v/>
      </c>
      <c r="M858" s="6" t="str">
        <f>IF(A858="","",IFERROR(AVERAGEIF(RacePerformance!$F:$F,A858,RacePerformance!$K:$K),""))</f>
        <v/>
      </c>
      <c r="N858" s="6" t="str">
        <f>IF(A858="","",COUNTIFS(RacePerformance!$F:$F,A858,RacePerformance!$I:$I,"&lt;=20"))</f>
        <v/>
      </c>
      <c r="O858" s="6" t="str">
        <f>IF(A858="","",COUNTIFS(RacePerformance!$F:$F,A858,RacePerformance!$I:$I,1))</f>
        <v/>
      </c>
      <c r="P858" s="6" t="str">
        <f>IF(A858="","",COUNTIFS(RacePerformance!$F:$F,A858,RacePerformance!$J:$J,"&lt;=3"))</f>
        <v/>
      </c>
    </row>
    <row r="859" spans="5:16" ht="14.25" customHeight="1" x14ac:dyDescent="0.3">
      <c r="E859" s="6"/>
      <c r="I859" s="6"/>
      <c r="J859" s="6" t="str">
        <f>IF(A859="","",COUNTIF(RacePerformance!$F:$F,A859))</f>
        <v/>
      </c>
      <c r="K859" s="6" t="str">
        <f>IF(A859="","",IFERROR(AVERAGEIF(RacePerformance!$F:$F,A859,RacePerformance!$I:$I),""))</f>
        <v/>
      </c>
      <c r="L859" s="6" t="str">
        <f>IF(A859="","",IFERROR(AVERAGEIF(RacePerformance!$F:$F,A859,RacePerformance!$J:$J),""))</f>
        <v/>
      </c>
      <c r="M859" s="6" t="str">
        <f>IF(A859="","",IFERROR(AVERAGEIF(RacePerformance!$F:$F,A859,RacePerformance!$K:$K),""))</f>
        <v/>
      </c>
      <c r="N859" s="6" t="str">
        <f>IF(A859="","",COUNTIFS(RacePerformance!$F:$F,A859,RacePerformance!$I:$I,"&lt;=20"))</f>
        <v/>
      </c>
      <c r="O859" s="6" t="str">
        <f>IF(A859="","",COUNTIFS(RacePerformance!$F:$F,A859,RacePerformance!$I:$I,1))</f>
        <v/>
      </c>
      <c r="P859" s="6" t="str">
        <f>IF(A859="","",COUNTIFS(RacePerformance!$F:$F,A859,RacePerformance!$J:$J,"&lt;=3"))</f>
        <v/>
      </c>
    </row>
    <row r="860" spans="5:16" ht="14.25" customHeight="1" x14ac:dyDescent="0.3">
      <c r="E860" s="6"/>
      <c r="I860" s="6"/>
      <c r="J860" s="6" t="str">
        <f>IF(A860="","",COUNTIF(RacePerformance!$F:$F,A860))</f>
        <v/>
      </c>
      <c r="K860" s="6" t="str">
        <f>IF(A860="","",IFERROR(AVERAGEIF(RacePerformance!$F:$F,A860,RacePerformance!$I:$I),""))</f>
        <v/>
      </c>
      <c r="L860" s="6" t="str">
        <f>IF(A860="","",IFERROR(AVERAGEIF(RacePerformance!$F:$F,A860,RacePerformance!$J:$J),""))</f>
        <v/>
      </c>
      <c r="M860" s="6" t="str">
        <f>IF(A860="","",IFERROR(AVERAGEIF(RacePerformance!$F:$F,A860,RacePerformance!$K:$K),""))</f>
        <v/>
      </c>
      <c r="N860" s="6" t="str">
        <f>IF(A860="","",COUNTIFS(RacePerformance!$F:$F,A860,RacePerformance!$I:$I,"&lt;=20"))</f>
        <v/>
      </c>
      <c r="O860" s="6" t="str">
        <f>IF(A860="","",COUNTIFS(RacePerformance!$F:$F,A860,RacePerformance!$I:$I,1))</f>
        <v/>
      </c>
      <c r="P860" s="6" t="str">
        <f>IF(A860="","",COUNTIFS(RacePerformance!$F:$F,A860,RacePerformance!$J:$J,"&lt;=3"))</f>
        <v/>
      </c>
    </row>
    <row r="861" spans="5:16" ht="14.25" customHeight="1" x14ac:dyDescent="0.3">
      <c r="E861" s="6"/>
      <c r="I861" s="6"/>
      <c r="J861" s="6" t="str">
        <f>IF(A861="","",COUNTIF(RacePerformance!$F:$F,A861))</f>
        <v/>
      </c>
      <c r="K861" s="6" t="str">
        <f>IF(A861="","",IFERROR(AVERAGEIF(RacePerformance!$F:$F,A861,RacePerformance!$I:$I),""))</f>
        <v/>
      </c>
      <c r="L861" s="6" t="str">
        <f>IF(A861="","",IFERROR(AVERAGEIF(RacePerformance!$F:$F,A861,RacePerformance!$J:$J),""))</f>
        <v/>
      </c>
      <c r="M861" s="6" t="str">
        <f>IF(A861="","",IFERROR(AVERAGEIF(RacePerformance!$F:$F,A861,RacePerformance!$K:$K),""))</f>
        <v/>
      </c>
      <c r="N861" s="6" t="str">
        <f>IF(A861="","",COUNTIFS(RacePerformance!$F:$F,A861,RacePerformance!$I:$I,"&lt;=20"))</f>
        <v/>
      </c>
      <c r="O861" s="6" t="str">
        <f>IF(A861="","",COUNTIFS(RacePerformance!$F:$F,A861,RacePerformance!$I:$I,1))</f>
        <v/>
      </c>
      <c r="P861" s="6" t="str">
        <f>IF(A861="","",COUNTIFS(RacePerformance!$F:$F,A861,RacePerformance!$J:$J,"&lt;=3"))</f>
        <v/>
      </c>
    </row>
    <row r="862" spans="5:16" ht="14.25" customHeight="1" x14ac:dyDescent="0.3">
      <c r="E862" s="6"/>
      <c r="I862" s="6"/>
      <c r="J862" s="6" t="str">
        <f>IF(A862="","",COUNTIF(RacePerformance!$F:$F,A862))</f>
        <v/>
      </c>
      <c r="K862" s="6" t="str">
        <f>IF(A862="","",IFERROR(AVERAGEIF(RacePerformance!$F:$F,A862,RacePerformance!$I:$I),""))</f>
        <v/>
      </c>
      <c r="L862" s="6" t="str">
        <f>IF(A862="","",IFERROR(AVERAGEIF(RacePerformance!$F:$F,A862,RacePerformance!$J:$J),""))</f>
        <v/>
      </c>
      <c r="M862" s="6" t="str">
        <f>IF(A862="","",IFERROR(AVERAGEIF(RacePerformance!$F:$F,A862,RacePerformance!$K:$K),""))</f>
        <v/>
      </c>
      <c r="N862" s="6" t="str">
        <f>IF(A862="","",COUNTIFS(RacePerformance!$F:$F,A862,RacePerformance!$I:$I,"&lt;=20"))</f>
        <v/>
      </c>
      <c r="O862" s="6" t="str">
        <f>IF(A862="","",COUNTIFS(RacePerformance!$F:$F,A862,RacePerformance!$I:$I,1))</f>
        <v/>
      </c>
      <c r="P862" s="6" t="str">
        <f>IF(A862="","",COUNTIFS(RacePerformance!$F:$F,A862,RacePerformance!$J:$J,"&lt;=3"))</f>
        <v/>
      </c>
    </row>
    <row r="863" spans="5:16" ht="14.25" customHeight="1" x14ac:dyDescent="0.3">
      <c r="E863" s="6"/>
      <c r="I863" s="6"/>
      <c r="J863" s="6" t="str">
        <f>IF(A863="","",COUNTIF(RacePerformance!$F:$F,A863))</f>
        <v/>
      </c>
      <c r="K863" s="6" t="str">
        <f>IF(A863="","",IFERROR(AVERAGEIF(RacePerformance!$F:$F,A863,RacePerformance!$I:$I),""))</f>
        <v/>
      </c>
      <c r="L863" s="6" t="str">
        <f>IF(A863="","",IFERROR(AVERAGEIF(RacePerformance!$F:$F,A863,RacePerformance!$J:$J),""))</f>
        <v/>
      </c>
      <c r="M863" s="6" t="str">
        <f>IF(A863="","",IFERROR(AVERAGEIF(RacePerformance!$F:$F,A863,RacePerformance!$K:$K),""))</f>
        <v/>
      </c>
      <c r="N863" s="6" t="str">
        <f>IF(A863="","",COUNTIFS(RacePerformance!$F:$F,A863,RacePerformance!$I:$I,"&lt;=20"))</f>
        <v/>
      </c>
      <c r="O863" s="6" t="str">
        <f>IF(A863="","",COUNTIFS(RacePerformance!$F:$F,A863,RacePerformance!$I:$I,1))</f>
        <v/>
      </c>
      <c r="P863" s="6" t="str">
        <f>IF(A863="","",COUNTIFS(RacePerformance!$F:$F,A863,RacePerformance!$J:$J,"&lt;=3"))</f>
        <v/>
      </c>
    </row>
    <row r="864" spans="5:16" ht="14.25" customHeight="1" x14ac:dyDescent="0.3">
      <c r="E864" s="6"/>
      <c r="I864" s="6"/>
      <c r="J864" s="6" t="str">
        <f>IF(A864="","",COUNTIF(RacePerformance!$F:$F,A864))</f>
        <v/>
      </c>
      <c r="K864" s="6" t="str">
        <f>IF(A864="","",IFERROR(AVERAGEIF(RacePerformance!$F:$F,A864,RacePerformance!$I:$I),""))</f>
        <v/>
      </c>
      <c r="L864" s="6" t="str">
        <f>IF(A864="","",IFERROR(AVERAGEIF(RacePerformance!$F:$F,A864,RacePerformance!$J:$J),""))</f>
        <v/>
      </c>
      <c r="M864" s="6" t="str">
        <f>IF(A864="","",IFERROR(AVERAGEIF(RacePerformance!$F:$F,A864,RacePerformance!$K:$K),""))</f>
        <v/>
      </c>
      <c r="N864" s="6" t="str">
        <f>IF(A864="","",COUNTIFS(RacePerformance!$F:$F,A864,RacePerformance!$I:$I,"&lt;=20"))</f>
        <v/>
      </c>
      <c r="O864" s="6" t="str">
        <f>IF(A864="","",COUNTIFS(RacePerformance!$F:$F,A864,RacePerformance!$I:$I,1))</f>
        <v/>
      </c>
      <c r="P864" s="6" t="str">
        <f>IF(A864="","",COUNTIFS(RacePerformance!$F:$F,A864,RacePerformance!$J:$J,"&lt;=3"))</f>
        <v/>
      </c>
    </row>
    <row r="865" spans="5:16" ht="14.25" customHeight="1" x14ac:dyDescent="0.3">
      <c r="E865" s="6"/>
      <c r="I865" s="6"/>
      <c r="J865" s="6" t="str">
        <f>IF(A865="","",COUNTIF(RacePerformance!$F:$F,A865))</f>
        <v/>
      </c>
      <c r="K865" s="6" t="str">
        <f>IF(A865="","",IFERROR(AVERAGEIF(RacePerformance!$F:$F,A865,RacePerformance!$I:$I),""))</f>
        <v/>
      </c>
      <c r="L865" s="6" t="str">
        <f>IF(A865="","",IFERROR(AVERAGEIF(RacePerformance!$F:$F,A865,RacePerformance!$J:$J),""))</f>
        <v/>
      </c>
      <c r="M865" s="6" t="str">
        <f>IF(A865="","",IFERROR(AVERAGEIF(RacePerformance!$F:$F,A865,RacePerformance!$K:$K),""))</f>
        <v/>
      </c>
      <c r="N865" s="6" t="str">
        <f>IF(A865="","",COUNTIFS(RacePerformance!$F:$F,A865,RacePerformance!$I:$I,"&lt;=20"))</f>
        <v/>
      </c>
      <c r="O865" s="6" t="str">
        <f>IF(A865="","",COUNTIFS(RacePerformance!$F:$F,A865,RacePerformance!$I:$I,1))</f>
        <v/>
      </c>
      <c r="P865" s="6" t="str">
        <f>IF(A865="","",COUNTIFS(RacePerformance!$F:$F,A865,RacePerformance!$J:$J,"&lt;=3"))</f>
        <v/>
      </c>
    </row>
    <row r="866" spans="5:16" ht="14.25" customHeight="1" x14ac:dyDescent="0.3">
      <c r="E866" s="6"/>
      <c r="I866" s="6"/>
      <c r="J866" s="6" t="str">
        <f>IF(A866="","",COUNTIF(RacePerformance!$F:$F,A866))</f>
        <v/>
      </c>
      <c r="K866" s="6" t="str">
        <f>IF(A866="","",IFERROR(AVERAGEIF(RacePerformance!$F:$F,A866,RacePerformance!$I:$I),""))</f>
        <v/>
      </c>
      <c r="L866" s="6" t="str">
        <f>IF(A866="","",IFERROR(AVERAGEIF(RacePerformance!$F:$F,A866,RacePerformance!$J:$J),""))</f>
        <v/>
      </c>
      <c r="M866" s="6" t="str">
        <f>IF(A866="","",IFERROR(AVERAGEIF(RacePerformance!$F:$F,A866,RacePerformance!$K:$K),""))</f>
        <v/>
      </c>
      <c r="N866" s="6" t="str">
        <f>IF(A866="","",COUNTIFS(RacePerformance!$F:$F,A866,RacePerformance!$I:$I,"&lt;=20"))</f>
        <v/>
      </c>
      <c r="O866" s="6" t="str">
        <f>IF(A866="","",COUNTIFS(RacePerformance!$F:$F,A866,RacePerformance!$I:$I,1))</f>
        <v/>
      </c>
      <c r="P866" s="6" t="str">
        <f>IF(A866="","",COUNTIFS(RacePerformance!$F:$F,A866,RacePerformance!$J:$J,"&lt;=3"))</f>
        <v/>
      </c>
    </row>
    <row r="867" spans="5:16" ht="14.25" customHeight="1" x14ac:dyDescent="0.3">
      <c r="E867" s="6"/>
      <c r="I867" s="6"/>
      <c r="J867" s="6" t="str">
        <f>IF(A867="","",COUNTIF(RacePerformance!$F:$F,A867))</f>
        <v/>
      </c>
      <c r="K867" s="6" t="str">
        <f>IF(A867="","",IFERROR(AVERAGEIF(RacePerformance!$F:$F,A867,RacePerformance!$I:$I),""))</f>
        <v/>
      </c>
      <c r="L867" s="6" t="str">
        <f>IF(A867="","",IFERROR(AVERAGEIF(RacePerformance!$F:$F,A867,RacePerformance!$J:$J),""))</f>
        <v/>
      </c>
      <c r="M867" s="6" t="str">
        <f>IF(A867="","",IFERROR(AVERAGEIF(RacePerformance!$F:$F,A867,RacePerformance!$K:$K),""))</f>
        <v/>
      </c>
      <c r="N867" s="6" t="str">
        <f>IF(A867="","",COUNTIFS(RacePerformance!$F:$F,A867,RacePerformance!$I:$I,"&lt;=20"))</f>
        <v/>
      </c>
      <c r="O867" s="6" t="str">
        <f>IF(A867="","",COUNTIFS(RacePerformance!$F:$F,A867,RacePerformance!$I:$I,1))</f>
        <v/>
      </c>
      <c r="P867" s="6" t="str">
        <f>IF(A867="","",COUNTIFS(RacePerformance!$F:$F,A867,RacePerformance!$J:$J,"&lt;=3"))</f>
        <v/>
      </c>
    </row>
    <row r="868" spans="5:16" ht="14.25" customHeight="1" x14ac:dyDescent="0.3">
      <c r="E868" s="6"/>
      <c r="I868" s="6"/>
      <c r="J868" s="6" t="str">
        <f>IF(A868="","",COUNTIF(RacePerformance!$F:$F,A868))</f>
        <v/>
      </c>
      <c r="K868" s="6" t="str">
        <f>IF(A868="","",IFERROR(AVERAGEIF(RacePerformance!$F:$F,A868,RacePerformance!$I:$I),""))</f>
        <v/>
      </c>
      <c r="L868" s="6" t="str">
        <f>IF(A868="","",IFERROR(AVERAGEIF(RacePerformance!$F:$F,A868,RacePerformance!$J:$J),""))</f>
        <v/>
      </c>
      <c r="M868" s="6" t="str">
        <f>IF(A868="","",IFERROR(AVERAGEIF(RacePerformance!$F:$F,A868,RacePerformance!$K:$K),""))</f>
        <v/>
      </c>
      <c r="N868" s="6" t="str">
        <f>IF(A868="","",COUNTIFS(RacePerformance!$F:$F,A868,RacePerformance!$I:$I,"&lt;=20"))</f>
        <v/>
      </c>
      <c r="O868" s="6" t="str">
        <f>IF(A868="","",COUNTIFS(RacePerformance!$F:$F,A868,RacePerformance!$I:$I,1))</f>
        <v/>
      </c>
      <c r="P868" s="6" t="str">
        <f>IF(A868="","",COUNTIFS(RacePerformance!$F:$F,A868,RacePerformance!$J:$J,"&lt;=3"))</f>
        <v/>
      </c>
    </row>
    <row r="869" spans="5:16" ht="14.25" customHeight="1" x14ac:dyDescent="0.3">
      <c r="E869" s="6"/>
      <c r="I869" s="6"/>
      <c r="J869" s="6" t="str">
        <f>IF(A869="","",COUNTIF(RacePerformance!$F:$F,A869))</f>
        <v/>
      </c>
      <c r="K869" s="6" t="str">
        <f>IF(A869="","",IFERROR(AVERAGEIF(RacePerformance!$F:$F,A869,RacePerformance!$I:$I),""))</f>
        <v/>
      </c>
      <c r="L869" s="6" t="str">
        <f>IF(A869="","",IFERROR(AVERAGEIF(RacePerformance!$F:$F,A869,RacePerformance!$J:$J),""))</f>
        <v/>
      </c>
      <c r="M869" s="6" t="str">
        <f>IF(A869="","",IFERROR(AVERAGEIF(RacePerformance!$F:$F,A869,RacePerformance!$K:$K),""))</f>
        <v/>
      </c>
      <c r="N869" s="6" t="str">
        <f>IF(A869="","",COUNTIFS(RacePerformance!$F:$F,A869,RacePerformance!$I:$I,"&lt;=20"))</f>
        <v/>
      </c>
      <c r="O869" s="6" t="str">
        <f>IF(A869="","",COUNTIFS(RacePerformance!$F:$F,A869,RacePerformance!$I:$I,1))</f>
        <v/>
      </c>
      <c r="P869" s="6" t="str">
        <f>IF(A869="","",COUNTIFS(RacePerformance!$F:$F,A869,RacePerformance!$J:$J,"&lt;=3"))</f>
        <v/>
      </c>
    </row>
    <row r="870" spans="5:16" ht="14.25" customHeight="1" x14ac:dyDescent="0.3">
      <c r="E870" s="6"/>
      <c r="I870" s="6"/>
      <c r="J870" s="6" t="str">
        <f>IF(A870="","",COUNTIF(RacePerformance!$F:$F,A870))</f>
        <v/>
      </c>
      <c r="K870" s="6" t="str">
        <f>IF(A870="","",IFERROR(AVERAGEIF(RacePerformance!$F:$F,A870,RacePerformance!$I:$I),""))</f>
        <v/>
      </c>
      <c r="L870" s="6" t="str">
        <f>IF(A870="","",IFERROR(AVERAGEIF(RacePerformance!$F:$F,A870,RacePerformance!$J:$J),""))</f>
        <v/>
      </c>
      <c r="M870" s="6" t="str">
        <f>IF(A870="","",IFERROR(AVERAGEIF(RacePerformance!$F:$F,A870,RacePerformance!$K:$K),""))</f>
        <v/>
      </c>
      <c r="N870" s="6" t="str">
        <f>IF(A870="","",COUNTIFS(RacePerformance!$F:$F,A870,RacePerformance!$I:$I,"&lt;=20"))</f>
        <v/>
      </c>
      <c r="O870" s="6" t="str">
        <f>IF(A870="","",COUNTIFS(RacePerformance!$F:$F,A870,RacePerformance!$I:$I,1))</f>
        <v/>
      </c>
      <c r="P870" s="6" t="str">
        <f>IF(A870="","",COUNTIFS(RacePerformance!$F:$F,A870,RacePerformance!$J:$J,"&lt;=3"))</f>
        <v/>
      </c>
    </row>
    <row r="871" spans="5:16" ht="14.25" customHeight="1" x14ac:dyDescent="0.3">
      <c r="E871" s="6"/>
      <c r="I871" s="6"/>
      <c r="J871" s="6" t="str">
        <f>IF(A871="","",COUNTIF(RacePerformance!$F:$F,A871))</f>
        <v/>
      </c>
      <c r="K871" s="6" t="str">
        <f>IF(A871="","",IFERROR(AVERAGEIF(RacePerformance!$F:$F,A871,RacePerformance!$I:$I),""))</f>
        <v/>
      </c>
      <c r="L871" s="6" t="str">
        <f>IF(A871="","",IFERROR(AVERAGEIF(RacePerformance!$F:$F,A871,RacePerformance!$J:$J),""))</f>
        <v/>
      </c>
      <c r="M871" s="6" t="str">
        <f>IF(A871="","",IFERROR(AVERAGEIF(RacePerformance!$F:$F,A871,RacePerformance!$K:$K),""))</f>
        <v/>
      </c>
      <c r="N871" s="6" t="str">
        <f>IF(A871="","",COUNTIFS(RacePerformance!$F:$F,A871,RacePerformance!$I:$I,"&lt;=20"))</f>
        <v/>
      </c>
      <c r="O871" s="6" t="str">
        <f>IF(A871="","",COUNTIFS(RacePerformance!$F:$F,A871,RacePerformance!$I:$I,1))</f>
        <v/>
      </c>
      <c r="P871" s="6" t="str">
        <f>IF(A871="","",COUNTIFS(RacePerformance!$F:$F,A871,RacePerformance!$J:$J,"&lt;=3"))</f>
        <v/>
      </c>
    </row>
    <row r="872" spans="5:16" ht="14.25" customHeight="1" x14ac:dyDescent="0.3">
      <c r="E872" s="6"/>
      <c r="I872" s="6"/>
      <c r="J872" s="6" t="str">
        <f>IF(A872="","",COUNTIF(RacePerformance!$F:$F,A872))</f>
        <v/>
      </c>
      <c r="K872" s="6" t="str">
        <f>IF(A872="","",IFERROR(AVERAGEIF(RacePerformance!$F:$F,A872,RacePerformance!$I:$I),""))</f>
        <v/>
      </c>
      <c r="L872" s="6" t="str">
        <f>IF(A872="","",IFERROR(AVERAGEIF(RacePerformance!$F:$F,A872,RacePerformance!$J:$J),""))</f>
        <v/>
      </c>
      <c r="M872" s="6" t="str">
        <f>IF(A872="","",IFERROR(AVERAGEIF(RacePerformance!$F:$F,A872,RacePerformance!$K:$K),""))</f>
        <v/>
      </c>
      <c r="N872" s="6" t="str">
        <f>IF(A872="","",COUNTIFS(RacePerformance!$F:$F,A872,RacePerformance!$I:$I,"&lt;=20"))</f>
        <v/>
      </c>
      <c r="O872" s="6" t="str">
        <f>IF(A872="","",COUNTIFS(RacePerformance!$F:$F,A872,RacePerformance!$I:$I,1))</f>
        <v/>
      </c>
      <c r="P872" s="6" t="str">
        <f>IF(A872="","",COUNTIFS(RacePerformance!$F:$F,A872,RacePerformance!$J:$J,"&lt;=3"))</f>
        <v/>
      </c>
    </row>
    <row r="873" spans="5:16" ht="14.25" customHeight="1" x14ac:dyDescent="0.3">
      <c r="E873" s="6"/>
      <c r="I873" s="6"/>
      <c r="J873" s="6" t="str">
        <f>IF(A873="","",COUNTIF(RacePerformance!$F:$F,A873))</f>
        <v/>
      </c>
      <c r="K873" s="6" t="str">
        <f>IF(A873="","",IFERROR(AVERAGEIF(RacePerformance!$F:$F,A873,RacePerformance!$I:$I),""))</f>
        <v/>
      </c>
      <c r="L873" s="6" t="str">
        <f>IF(A873="","",IFERROR(AVERAGEIF(RacePerformance!$F:$F,A873,RacePerformance!$J:$J),""))</f>
        <v/>
      </c>
      <c r="M873" s="6" t="str">
        <f>IF(A873="","",IFERROR(AVERAGEIF(RacePerformance!$F:$F,A873,RacePerformance!$K:$K),""))</f>
        <v/>
      </c>
      <c r="N873" s="6" t="str">
        <f>IF(A873="","",COUNTIFS(RacePerformance!$F:$F,A873,RacePerformance!$I:$I,"&lt;=20"))</f>
        <v/>
      </c>
      <c r="O873" s="6" t="str">
        <f>IF(A873="","",COUNTIFS(RacePerformance!$F:$F,A873,RacePerformance!$I:$I,1))</f>
        <v/>
      </c>
      <c r="P873" s="6" t="str">
        <f>IF(A873="","",COUNTIFS(RacePerformance!$F:$F,A873,RacePerformance!$J:$J,"&lt;=3"))</f>
        <v/>
      </c>
    </row>
    <row r="874" spans="5:16" ht="14.25" customHeight="1" x14ac:dyDescent="0.3">
      <c r="E874" s="6"/>
      <c r="I874" s="6"/>
      <c r="J874" s="6" t="str">
        <f>IF(A874="","",COUNTIF(RacePerformance!$F:$F,A874))</f>
        <v/>
      </c>
      <c r="K874" s="6" t="str">
        <f>IF(A874="","",IFERROR(AVERAGEIF(RacePerformance!$F:$F,A874,RacePerformance!$I:$I),""))</f>
        <v/>
      </c>
      <c r="L874" s="6" t="str">
        <f>IF(A874="","",IFERROR(AVERAGEIF(RacePerformance!$F:$F,A874,RacePerformance!$J:$J),""))</f>
        <v/>
      </c>
      <c r="M874" s="6" t="str">
        <f>IF(A874="","",IFERROR(AVERAGEIF(RacePerformance!$F:$F,A874,RacePerformance!$K:$K),""))</f>
        <v/>
      </c>
      <c r="N874" s="6" t="str">
        <f>IF(A874="","",COUNTIFS(RacePerformance!$F:$F,A874,RacePerformance!$I:$I,"&lt;=20"))</f>
        <v/>
      </c>
      <c r="O874" s="6" t="str">
        <f>IF(A874="","",COUNTIFS(RacePerformance!$F:$F,A874,RacePerformance!$I:$I,1))</f>
        <v/>
      </c>
      <c r="P874" s="6" t="str">
        <f>IF(A874="","",COUNTIFS(RacePerformance!$F:$F,A874,RacePerformance!$J:$J,"&lt;=3"))</f>
        <v/>
      </c>
    </row>
    <row r="875" spans="5:16" ht="14.25" customHeight="1" x14ac:dyDescent="0.3">
      <c r="E875" s="6"/>
      <c r="I875" s="6"/>
      <c r="J875" s="6" t="str">
        <f>IF(A875="","",COUNTIF(RacePerformance!$F:$F,A875))</f>
        <v/>
      </c>
      <c r="K875" s="6" t="str">
        <f>IF(A875="","",IFERROR(AVERAGEIF(RacePerformance!$F:$F,A875,RacePerformance!$I:$I),""))</f>
        <v/>
      </c>
      <c r="L875" s="6" t="str">
        <f>IF(A875="","",IFERROR(AVERAGEIF(RacePerformance!$F:$F,A875,RacePerformance!$J:$J),""))</f>
        <v/>
      </c>
      <c r="M875" s="6" t="str">
        <f>IF(A875="","",IFERROR(AVERAGEIF(RacePerformance!$F:$F,A875,RacePerformance!$K:$K),""))</f>
        <v/>
      </c>
      <c r="N875" s="6" t="str">
        <f>IF(A875="","",COUNTIFS(RacePerformance!$F:$F,A875,RacePerformance!$I:$I,"&lt;=20"))</f>
        <v/>
      </c>
      <c r="O875" s="6" t="str">
        <f>IF(A875="","",COUNTIFS(RacePerformance!$F:$F,A875,RacePerformance!$I:$I,1))</f>
        <v/>
      </c>
      <c r="P875" s="6" t="str">
        <f>IF(A875="","",COUNTIFS(RacePerformance!$F:$F,A875,RacePerformance!$J:$J,"&lt;=3"))</f>
        <v/>
      </c>
    </row>
    <row r="876" spans="5:16" ht="14.25" customHeight="1" x14ac:dyDescent="0.3">
      <c r="E876" s="6"/>
      <c r="I876" s="6"/>
      <c r="J876" s="6" t="str">
        <f>IF(A876="","",COUNTIF(RacePerformance!$F:$F,A876))</f>
        <v/>
      </c>
      <c r="K876" s="6" t="str">
        <f>IF(A876="","",IFERROR(AVERAGEIF(RacePerformance!$F:$F,A876,RacePerformance!$I:$I),""))</f>
        <v/>
      </c>
      <c r="L876" s="6" t="str">
        <f>IF(A876="","",IFERROR(AVERAGEIF(RacePerformance!$F:$F,A876,RacePerformance!$J:$J),""))</f>
        <v/>
      </c>
      <c r="M876" s="6" t="str">
        <f>IF(A876="","",IFERROR(AVERAGEIF(RacePerformance!$F:$F,A876,RacePerformance!$K:$K),""))</f>
        <v/>
      </c>
      <c r="N876" s="6" t="str">
        <f>IF(A876="","",COUNTIFS(RacePerformance!$F:$F,A876,RacePerformance!$I:$I,"&lt;=20"))</f>
        <v/>
      </c>
      <c r="O876" s="6" t="str">
        <f>IF(A876="","",COUNTIFS(RacePerformance!$F:$F,A876,RacePerformance!$I:$I,1))</f>
        <v/>
      </c>
      <c r="P876" s="6" t="str">
        <f>IF(A876="","",COUNTIFS(RacePerformance!$F:$F,A876,RacePerformance!$J:$J,"&lt;=3"))</f>
        <v/>
      </c>
    </row>
    <row r="877" spans="5:16" ht="14.25" customHeight="1" x14ac:dyDescent="0.3">
      <c r="E877" s="6"/>
      <c r="I877" s="6"/>
      <c r="J877" s="6" t="str">
        <f>IF(A877="","",COUNTIF(RacePerformance!$F:$F,A877))</f>
        <v/>
      </c>
      <c r="K877" s="6" t="str">
        <f>IF(A877="","",IFERROR(AVERAGEIF(RacePerformance!$F:$F,A877,RacePerformance!$I:$I),""))</f>
        <v/>
      </c>
      <c r="L877" s="6" t="str">
        <f>IF(A877="","",IFERROR(AVERAGEIF(RacePerformance!$F:$F,A877,RacePerformance!$J:$J),""))</f>
        <v/>
      </c>
      <c r="M877" s="6" t="str">
        <f>IF(A877="","",IFERROR(AVERAGEIF(RacePerformance!$F:$F,A877,RacePerformance!$K:$K),""))</f>
        <v/>
      </c>
      <c r="N877" s="6" t="str">
        <f>IF(A877="","",COUNTIFS(RacePerformance!$F:$F,A877,RacePerformance!$I:$I,"&lt;=20"))</f>
        <v/>
      </c>
      <c r="O877" s="6" t="str">
        <f>IF(A877="","",COUNTIFS(RacePerformance!$F:$F,A877,RacePerformance!$I:$I,1))</f>
        <v/>
      </c>
      <c r="P877" s="6" t="str">
        <f>IF(A877="","",COUNTIFS(RacePerformance!$F:$F,A877,RacePerformance!$J:$J,"&lt;=3"))</f>
        <v/>
      </c>
    </row>
    <row r="878" spans="5:16" ht="14.25" customHeight="1" x14ac:dyDescent="0.3">
      <c r="E878" s="6"/>
      <c r="I878" s="6"/>
      <c r="J878" s="6" t="str">
        <f>IF(A878="","",COUNTIF(RacePerformance!$F:$F,A878))</f>
        <v/>
      </c>
      <c r="K878" s="6" t="str">
        <f>IF(A878="","",IFERROR(AVERAGEIF(RacePerformance!$F:$F,A878,RacePerformance!$I:$I),""))</f>
        <v/>
      </c>
      <c r="L878" s="6" t="str">
        <f>IF(A878="","",IFERROR(AVERAGEIF(RacePerformance!$F:$F,A878,RacePerformance!$J:$J),""))</f>
        <v/>
      </c>
      <c r="M878" s="6" t="str">
        <f>IF(A878="","",IFERROR(AVERAGEIF(RacePerformance!$F:$F,A878,RacePerformance!$K:$K),""))</f>
        <v/>
      </c>
      <c r="N878" s="6" t="str">
        <f>IF(A878="","",COUNTIFS(RacePerformance!$F:$F,A878,RacePerformance!$I:$I,"&lt;=20"))</f>
        <v/>
      </c>
      <c r="O878" s="6" t="str">
        <f>IF(A878="","",COUNTIFS(RacePerformance!$F:$F,A878,RacePerformance!$I:$I,1))</f>
        <v/>
      </c>
      <c r="P878" s="6" t="str">
        <f>IF(A878="","",COUNTIFS(RacePerformance!$F:$F,A878,RacePerformance!$J:$J,"&lt;=3"))</f>
        <v/>
      </c>
    </row>
    <row r="879" spans="5:16" ht="14.25" customHeight="1" x14ac:dyDescent="0.3">
      <c r="E879" s="6"/>
      <c r="I879" s="6"/>
      <c r="J879" s="6" t="str">
        <f>IF(A879="","",COUNTIF(RacePerformance!$F:$F,A879))</f>
        <v/>
      </c>
      <c r="K879" s="6" t="str">
        <f>IF(A879="","",IFERROR(AVERAGEIF(RacePerformance!$F:$F,A879,RacePerformance!$I:$I),""))</f>
        <v/>
      </c>
      <c r="L879" s="6" t="str">
        <f>IF(A879="","",IFERROR(AVERAGEIF(RacePerformance!$F:$F,A879,RacePerformance!$J:$J),""))</f>
        <v/>
      </c>
      <c r="M879" s="6" t="str">
        <f>IF(A879="","",IFERROR(AVERAGEIF(RacePerformance!$F:$F,A879,RacePerformance!$K:$K),""))</f>
        <v/>
      </c>
      <c r="N879" s="6" t="str">
        <f>IF(A879="","",COUNTIFS(RacePerformance!$F:$F,A879,RacePerformance!$I:$I,"&lt;=20"))</f>
        <v/>
      </c>
      <c r="O879" s="6" t="str">
        <f>IF(A879="","",COUNTIFS(RacePerformance!$F:$F,A879,RacePerformance!$I:$I,1))</f>
        <v/>
      </c>
      <c r="P879" s="6" t="str">
        <f>IF(A879="","",COUNTIFS(RacePerformance!$F:$F,A879,RacePerformance!$J:$J,"&lt;=3"))</f>
        <v/>
      </c>
    </row>
    <row r="880" spans="5:16" ht="14.25" customHeight="1" x14ac:dyDescent="0.3">
      <c r="E880" s="6"/>
      <c r="I880" s="6"/>
      <c r="J880" s="6" t="str">
        <f>IF(A880="","",COUNTIF(RacePerformance!$F:$F,A880))</f>
        <v/>
      </c>
      <c r="K880" s="6" t="str">
        <f>IF(A880="","",IFERROR(AVERAGEIF(RacePerformance!$F:$F,A880,RacePerformance!$I:$I),""))</f>
        <v/>
      </c>
      <c r="L880" s="6" t="str">
        <f>IF(A880="","",IFERROR(AVERAGEIF(RacePerformance!$F:$F,A880,RacePerformance!$J:$J),""))</f>
        <v/>
      </c>
      <c r="M880" s="6" t="str">
        <f>IF(A880="","",IFERROR(AVERAGEIF(RacePerformance!$F:$F,A880,RacePerformance!$K:$K),""))</f>
        <v/>
      </c>
      <c r="N880" s="6" t="str">
        <f>IF(A880="","",COUNTIFS(RacePerformance!$F:$F,A880,RacePerformance!$I:$I,"&lt;=20"))</f>
        <v/>
      </c>
      <c r="O880" s="6" t="str">
        <f>IF(A880="","",COUNTIFS(RacePerformance!$F:$F,A880,RacePerformance!$I:$I,1))</f>
        <v/>
      </c>
      <c r="P880" s="6" t="str">
        <f>IF(A880="","",COUNTIFS(RacePerformance!$F:$F,A880,RacePerformance!$J:$J,"&lt;=3"))</f>
        <v/>
      </c>
    </row>
    <row r="881" spans="5:16" ht="14.25" customHeight="1" x14ac:dyDescent="0.3">
      <c r="E881" s="6"/>
      <c r="I881" s="6"/>
      <c r="J881" s="6" t="str">
        <f>IF(A881="","",COUNTIF(RacePerformance!$F:$F,A881))</f>
        <v/>
      </c>
      <c r="K881" s="6" t="str">
        <f>IF(A881="","",IFERROR(AVERAGEIF(RacePerformance!$F:$F,A881,RacePerformance!$I:$I),""))</f>
        <v/>
      </c>
      <c r="L881" s="6" t="str">
        <f>IF(A881="","",IFERROR(AVERAGEIF(RacePerformance!$F:$F,A881,RacePerformance!$J:$J),""))</f>
        <v/>
      </c>
      <c r="M881" s="6" t="str">
        <f>IF(A881="","",IFERROR(AVERAGEIF(RacePerformance!$F:$F,A881,RacePerformance!$K:$K),""))</f>
        <v/>
      </c>
      <c r="N881" s="6" t="str">
        <f>IF(A881="","",COUNTIFS(RacePerformance!$F:$F,A881,RacePerformance!$I:$I,"&lt;=20"))</f>
        <v/>
      </c>
      <c r="O881" s="6" t="str">
        <f>IF(A881="","",COUNTIFS(RacePerformance!$F:$F,A881,RacePerformance!$I:$I,1))</f>
        <v/>
      </c>
      <c r="P881" s="6" t="str">
        <f>IF(A881="","",COUNTIFS(RacePerformance!$F:$F,A881,RacePerformance!$J:$J,"&lt;=3"))</f>
        <v/>
      </c>
    </row>
    <row r="882" spans="5:16" ht="14.25" customHeight="1" x14ac:dyDescent="0.3">
      <c r="E882" s="6"/>
      <c r="I882" s="6"/>
      <c r="J882" s="6" t="str">
        <f>IF(A882="","",COUNTIF(RacePerformance!$F:$F,A882))</f>
        <v/>
      </c>
      <c r="K882" s="6" t="str">
        <f>IF(A882="","",IFERROR(AVERAGEIF(RacePerformance!$F:$F,A882,RacePerformance!$I:$I),""))</f>
        <v/>
      </c>
      <c r="L882" s="6" t="str">
        <f>IF(A882="","",IFERROR(AVERAGEIF(RacePerformance!$F:$F,A882,RacePerformance!$J:$J),""))</f>
        <v/>
      </c>
      <c r="M882" s="6" t="str">
        <f>IF(A882="","",IFERROR(AVERAGEIF(RacePerformance!$F:$F,A882,RacePerformance!$K:$K),""))</f>
        <v/>
      </c>
      <c r="N882" s="6" t="str">
        <f>IF(A882="","",COUNTIFS(RacePerformance!$F:$F,A882,RacePerformance!$I:$I,"&lt;=20"))</f>
        <v/>
      </c>
      <c r="O882" s="6" t="str">
        <f>IF(A882="","",COUNTIFS(RacePerformance!$F:$F,A882,RacePerformance!$I:$I,1))</f>
        <v/>
      </c>
      <c r="P882" s="6" t="str">
        <f>IF(A882="","",COUNTIFS(RacePerformance!$F:$F,A882,RacePerformance!$J:$J,"&lt;=3"))</f>
        <v/>
      </c>
    </row>
    <row r="883" spans="5:16" ht="14.25" customHeight="1" x14ac:dyDescent="0.3">
      <c r="E883" s="6"/>
      <c r="I883" s="6"/>
      <c r="J883" s="6" t="str">
        <f>IF(A883="","",COUNTIF(RacePerformance!$F:$F,A883))</f>
        <v/>
      </c>
      <c r="K883" s="6" t="str">
        <f>IF(A883="","",IFERROR(AVERAGEIF(RacePerformance!$F:$F,A883,RacePerformance!$I:$I),""))</f>
        <v/>
      </c>
      <c r="L883" s="6" t="str">
        <f>IF(A883="","",IFERROR(AVERAGEIF(RacePerformance!$F:$F,A883,RacePerformance!$J:$J),""))</f>
        <v/>
      </c>
      <c r="M883" s="6" t="str">
        <f>IF(A883="","",IFERROR(AVERAGEIF(RacePerformance!$F:$F,A883,RacePerformance!$K:$K),""))</f>
        <v/>
      </c>
      <c r="N883" s="6" t="str">
        <f>IF(A883="","",COUNTIFS(RacePerformance!$F:$F,A883,RacePerformance!$I:$I,"&lt;=20"))</f>
        <v/>
      </c>
      <c r="O883" s="6" t="str">
        <f>IF(A883="","",COUNTIFS(RacePerformance!$F:$F,A883,RacePerformance!$I:$I,1))</f>
        <v/>
      </c>
      <c r="P883" s="6" t="str">
        <f>IF(A883="","",COUNTIFS(RacePerformance!$F:$F,A883,RacePerformance!$J:$J,"&lt;=3"))</f>
        <v/>
      </c>
    </row>
    <row r="884" spans="5:16" ht="14.25" customHeight="1" x14ac:dyDescent="0.3">
      <c r="E884" s="6"/>
      <c r="I884" s="6"/>
      <c r="J884" s="6" t="str">
        <f>IF(A884="","",COUNTIF(RacePerformance!$F:$F,A884))</f>
        <v/>
      </c>
      <c r="K884" s="6" t="str">
        <f>IF(A884="","",IFERROR(AVERAGEIF(RacePerformance!$F:$F,A884,RacePerformance!$I:$I),""))</f>
        <v/>
      </c>
      <c r="L884" s="6" t="str">
        <f>IF(A884="","",IFERROR(AVERAGEIF(RacePerformance!$F:$F,A884,RacePerformance!$J:$J),""))</f>
        <v/>
      </c>
      <c r="M884" s="6" t="str">
        <f>IF(A884="","",IFERROR(AVERAGEIF(RacePerformance!$F:$F,A884,RacePerformance!$K:$K),""))</f>
        <v/>
      </c>
      <c r="N884" s="6" t="str">
        <f>IF(A884="","",COUNTIFS(RacePerformance!$F:$F,A884,RacePerformance!$I:$I,"&lt;=20"))</f>
        <v/>
      </c>
      <c r="O884" s="6" t="str">
        <f>IF(A884="","",COUNTIFS(RacePerformance!$F:$F,A884,RacePerformance!$I:$I,1))</f>
        <v/>
      </c>
      <c r="P884" s="6" t="str">
        <f>IF(A884="","",COUNTIFS(RacePerformance!$F:$F,A884,RacePerformance!$J:$J,"&lt;=3"))</f>
        <v/>
      </c>
    </row>
    <row r="885" spans="5:16" ht="14.25" customHeight="1" x14ac:dyDescent="0.3">
      <c r="E885" s="6"/>
      <c r="I885" s="6"/>
      <c r="J885" s="6" t="str">
        <f>IF(A885="","",COUNTIF(RacePerformance!$F:$F,A885))</f>
        <v/>
      </c>
      <c r="K885" s="6" t="str">
        <f>IF(A885="","",IFERROR(AVERAGEIF(RacePerformance!$F:$F,A885,RacePerformance!$I:$I),""))</f>
        <v/>
      </c>
      <c r="L885" s="6" t="str">
        <f>IF(A885="","",IFERROR(AVERAGEIF(RacePerformance!$F:$F,A885,RacePerformance!$J:$J),""))</f>
        <v/>
      </c>
      <c r="M885" s="6" t="str">
        <f>IF(A885="","",IFERROR(AVERAGEIF(RacePerformance!$F:$F,A885,RacePerformance!$K:$K),""))</f>
        <v/>
      </c>
      <c r="N885" s="6" t="str">
        <f>IF(A885="","",COUNTIFS(RacePerformance!$F:$F,A885,RacePerformance!$I:$I,"&lt;=20"))</f>
        <v/>
      </c>
      <c r="O885" s="6" t="str">
        <f>IF(A885="","",COUNTIFS(RacePerformance!$F:$F,A885,RacePerformance!$I:$I,1))</f>
        <v/>
      </c>
      <c r="P885" s="6" t="str">
        <f>IF(A885="","",COUNTIFS(RacePerformance!$F:$F,A885,RacePerformance!$J:$J,"&lt;=3"))</f>
        <v/>
      </c>
    </row>
    <row r="886" spans="5:16" ht="14.25" customHeight="1" x14ac:dyDescent="0.3">
      <c r="E886" s="6"/>
      <c r="I886" s="6"/>
      <c r="J886" s="6" t="str">
        <f>IF(A886="","",COUNTIF(RacePerformance!$F:$F,A886))</f>
        <v/>
      </c>
      <c r="K886" s="6" t="str">
        <f>IF(A886="","",IFERROR(AVERAGEIF(RacePerformance!$F:$F,A886,RacePerformance!$I:$I),""))</f>
        <v/>
      </c>
      <c r="L886" s="6" t="str">
        <f>IF(A886="","",IFERROR(AVERAGEIF(RacePerformance!$F:$F,A886,RacePerformance!$J:$J),""))</f>
        <v/>
      </c>
      <c r="M886" s="6" t="str">
        <f>IF(A886="","",IFERROR(AVERAGEIF(RacePerformance!$F:$F,A886,RacePerformance!$K:$K),""))</f>
        <v/>
      </c>
      <c r="N886" s="6" t="str">
        <f>IF(A886="","",COUNTIFS(RacePerformance!$F:$F,A886,RacePerformance!$I:$I,"&lt;=20"))</f>
        <v/>
      </c>
      <c r="O886" s="6" t="str">
        <f>IF(A886="","",COUNTIFS(RacePerformance!$F:$F,A886,RacePerformance!$I:$I,1))</f>
        <v/>
      </c>
      <c r="P886" s="6" t="str">
        <f>IF(A886="","",COUNTIFS(RacePerformance!$F:$F,A886,RacePerformance!$J:$J,"&lt;=3"))</f>
        <v/>
      </c>
    </row>
    <row r="887" spans="5:16" ht="14.25" customHeight="1" x14ac:dyDescent="0.3">
      <c r="E887" s="6"/>
      <c r="I887" s="6"/>
      <c r="J887" s="6" t="str">
        <f>IF(A887="","",COUNTIF(RacePerformance!$F:$F,A887))</f>
        <v/>
      </c>
      <c r="K887" s="6" t="str">
        <f>IF(A887="","",IFERROR(AVERAGEIF(RacePerformance!$F:$F,A887,RacePerformance!$I:$I),""))</f>
        <v/>
      </c>
      <c r="L887" s="6" t="str">
        <f>IF(A887="","",IFERROR(AVERAGEIF(RacePerformance!$F:$F,A887,RacePerformance!$J:$J),""))</f>
        <v/>
      </c>
      <c r="M887" s="6" t="str">
        <f>IF(A887="","",IFERROR(AVERAGEIF(RacePerformance!$F:$F,A887,RacePerformance!$K:$K),""))</f>
        <v/>
      </c>
      <c r="N887" s="6" t="str">
        <f>IF(A887="","",COUNTIFS(RacePerformance!$F:$F,A887,RacePerformance!$I:$I,"&lt;=20"))</f>
        <v/>
      </c>
      <c r="O887" s="6" t="str">
        <f>IF(A887="","",COUNTIFS(RacePerformance!$F:$F,A887,RacePerformance!$I:$I,1))</f>
        <v/>
      </c>
      <c r="P887" s="6" t="str">
        <f>IF(A887="","",COUNTIFS(RacePerformance!$F:$F,A887,RacePerformance!$J:$J,"&lt;=3"))</f>
        <v/>
      </c>
    </row>
    <row r="888" spans="5:16" ht="14.25" customHeight="1" x14ac:dyDescent="0.3">
      <c r="E888" s="6"/>
      <c r="I888" s="6"/>
      <c r="J888" s="6" t="str">
        <f>IF(A888="","",COUNTIF(RacePerformance!$F:$F,A888))</f>
        <v/>
      </c>
      <c r="K888" s="6" t="str">
        <f>IF(A888="","",IFERROR(AVERAGEIF(RacePerformance!$F:$F,A888,RacePerformance!$I:$I),""))</f>
        <v/>
      </c>
      <c r="L888" s="6" t="str">
        <f>IF(A888="","",IFERROR(AVERAGEIF(RacePerformance!$F:$F,A888,RacePerformance!$J:$J),""))</f>
        <v/>
      </c>
      <c r="M888" s="6" t="str">
        <f>IF(A888="","",IFERROR(AVERAGEIF(RacePerformance!$F:$F,A888,RacePerformance!$K:$K),""))</f>
        <v/>
      </c>
      <c r="N888" s="6" t="str">
        <f>IF(A888="","",COUNTIFS(RacePerformance!$F:$F,A888,RacePerformance!$I:$I,"&lt;=20"))</f>
        <v/>
      </c>
      <c r="O888" s="6" t="str">
        <f>IF(A888="","",COUNTIFS(RacePerformance!$F:$F,A888,RacePerformance!$I:$I,1))</f>
        <v/>
      </c>
      <c r="P888" s="6" t="str">
        <f>IF(A888="","",COUNTIFS(RacePerformance!$F:$F,A888,RacePerformance!$J:$J,"&lt;=3"))</f>
        <v/>
      </c>
    </row>
    <row r="889" spans="5:16" ht="14.25" customHeight="1" x14ac:dyDescent="0.3">
      <c r="E889" s="6"/>
      <c r="I889" s="6"/>
      <c r="J889" s="6" t="str">
        <f>IF(A889="","",COUNTIF(RacePerformance!$F:$F,A889))</f>
        <v/>
      </c>
      <c r="K889" s="6" t="str">
        <f>IF(A889="","",IFERROR(AVERAGEIF(RacePerformance!$F:$F,A889,RacePerformance!$I:$I),""))</f>
        <v/>
      </c>
      <c r="L889" s="6" t="str">
        <f>IF(A889="","",IFERROR(AVERAGEIF(RacePerformance!$F:$F,A889,RacePerformance!$J:$J),""))</f>
        <v/>
      </c>
      <c r="M889" s="6" t="str">
        <f>IF(A889="","",IFERROR(AVERAGEIF(RacePerformance!$F:$F,A889,RacePerformance!$K:$K),""))</f>
        <v/>
      </c>
      <c r="N889" s="6" t="str">
        <f>IF(A889="","",COUNTIFS(RacePerformance!$F:$F,A889,RacePerformance!$I:$I,"&lt;=20"))</f>
        <v/>
      </c>
      <c r="O889" s="6" t="str">
        <f>IF(A889="","",COUNTIFS(RacePerformance!$F:$F,A889,RacePerformance!$I:$I,1))</f>
        <v/>
      </c>
      <c r="P889" s="6" t="str">
        <f>IF(A889="","",COUNTIFS(RacePerformance!$F:$F,A889,RacePerformance!$J:$J,"&lt;=3"))</f>
        <v/>
      </c>
    </row>
    <row r="890" spans="5:16" ht="14.25" customHeight="1" x14ac:dyDescent="0.3">
      <c r="E890" s="6"/>
      <c r="I890" s="6"/>
      <c r="J890" s="6" t="str">
        <f>IF(A890="","",COUNTIF(RacePerformance!$F:$F,A890))</f>
        <v/>
      </c>
      <c r="K890" s="6" t="str">
        <f>IF(A890="","",IFERROR(AVERAGEIF(RacePerformance!$F:$F,A890,RacePerformance!$I:$I),""))</f>
        <v/>
      </c>
      <c r="L890" s="6" t="str">
        <f>IF(A890="","",IFERROR(AVERAGEIF(RacePerformance!$F:$F,A890,RacePerformance!$J:$J),""))</f>
        <v/>
      </c>
      <c r="M890" s="6" t="str">
        <f>IF(A890="","",IFERROR(AVERAGEIF(RacePerformance!$F:$F,A890,RacePerformance!$K:$K),""))</f>
        <v/>
      </c>
      <c r="N890" s="6" t="str">
        <f>IF(A890="","",COUNTIFS(RacePerformance!$F:$F,A890,RacePerformance!$I:$I,"&lt;=20"))</f>
        <v/>
      </c>
      <c r="O890" s="6" t="str">
        <f>IF(A890="","",COUNTIFS(RacePerformance!$F:$F,A890,RacePerformance!$I:$I,1))</f>
        <v/>
      </c>
      <c r="P890" s="6" t="str">
        <f>IF(A890="","",COUNTIFS(RacePerformance!$F:$F,A890,RacePerformance!$J:$J,"&lt;=3"))</f>
        <v/>
      </c>
    </row>
    <row r="891" spans="5:16" ht="14.25" customHeight="1" x14ac:dyDescent="0.3">
      <c r="E891" s="6"/>
      <c r="I891" s="6"/>
      <c r="J891" s="6" t="str">
        <f>IF(A891="","",COUNTIF(RacePerformance!$F:$F,A891))</f>
        <v/>
      </c>
      <c r="K891" s="6" t="str">
        <f>IF(A891="","",IFERROR(AVERAGEIF(RacePerformance!$F:$F,A891,RacePerformance!$I:$I),""))</f>
        <v/>
      </c>
      <c r="L891" s="6" t="str">
        <f>IF(A891="","",IFERROR(AVERAGEIF(RacePerformance!$F:$F,A891,RacePerformance!$J:$J),""))</f>
        <v/>
      </c>
      <c r="M891" s="6" t="str">
        <f>IF(A891="","",IFERROR(AVERAGEIF(RacePerformance!$F:$F,A891,RacePerformance!$K:$K),""))</f>
        <v/>
      </c>
      <c r="N891" s="6" t="str">
        <f>IF(A891="","",COUNTIFS(RacePerformance!$F:$F,A891,RacePerformance!$I:$I,"&lt;=20"))</f>
        <v/>
      </c>
      <c r="O891" s="6" t="str">
        <f>IF(A891="","",COUNTIFS(RacePerformance!$F:$F,A891,RacePerformance!$I:$I,1))</f>
        <v/>
      </c>
      <c r="P891" s="6" t="str">
        <f>IF(A891="","",COUNTIFS(RacePerformance!$F:$F,A891,RacePerformance!$J:$J,"&lt;=3"))</f>
        <v/>
      </c>
    </row>
    <row r="892" spans="5:16" ht="14.25" customHeight="1" x14ac:dyDescent="0.3">
      <c r="E892" s="6"/>
      <c r="I892" s="6"/>
      <c r="J892" s="6" t="str">
        <f>IF(A892="","",COUNTIF(RacePerformance!$F:$F,A892))</f>
        <v/>
      </c>
      <c r="K892" s="6" t="str">
        <f>IF(A892="","",IFERROR(AVERAGEIF(RacePerformance!$F:$F,A892,RacePerformance!$I:$I),""))</f>
        <v/>
      </c>
      <c r="L892" s="6" t="str">
        <f>IF(A892="","",IFERROR(AVERAGEIF(RacePerformance!$F:$F,A892,RacePerformance!$J:$J),""))</f>
        <v/>
      </c>
      <c r="M892" s="6" t="str">
        <f>IF(A892="","",IFERROR(AVERAGEIF(RacePerformance!$F:$F,A892,RacePerformance!$K:$K),""))</f>
        <v/>
      </c>
      <c r="N892" s="6" t="str">
        <f>IF(A892="","",COUNTIFS(RacePerformance!$F:$F,A892,RacePerformance!$I:$I,"&lt;=20"))</f>
        <v/>
      </c>
      <c r="O892" s="6" t="str">
        <f>IF(A892="","",COUNTIFS(RacePerformance!$F:$F,A892,RacePerformance!$I:$I,1))</f>
        <v/>
      </c>
      <c r="P892" s="6" t="str">
        <f>IF(A892="","",COUNTIFS(RacePerformance!$F:$F,A892,RacePerformance!$J:$J,"&lt;=3"))</f>
        <v/>
      </c>
    </row>
    <row r="893" spans="5:16" ht="14.25" customHeight="1" x14ac:dyDescent="0.3">
      <c r="E893" s="6"/>
      <c r="I893" s="6"/>
      <c r="J893" s="6" t="str">
        <f>IF(A893="","",COUNTIF(RacePerformance!$F:$F,A893))</f>
        <v/>
      </c>
      <c r="K893" s="6" t="str">
        <f>IF(A893="","",IFERROR(AVERAGEIF(RacePerformance!$F:$F,A893,RacePerformance!$I:$I),""))</f>
        <v/>
      </c>
      <c r="L893" s="6" t="str">
        <f>IF(A893="","",IFERROR(AVERAGEIF(RacePerformance!$F:$F,A893,RacePerformance!$J:$J),""))</f>
        <v/>
      </c>
      <c r="M893" s="6" t="str">
        <f>IF(A893="","",IFERROR(AVERAGEIF(RacePerformance!$F:$F,A893,RacePerformance!$K:$K),""))</f>
        <v/>
      </c>
      <c r="N893" s="6" t="str">
        <f>IF(A893="","",COUNTIFS(RacePerformance!$F:$F,A893,RacePerformance!$I:$I,"&lt;=20"))</f>
        <v/>
      </c>
      <c r="O893" s="6" t="str">
        <f>IF(A893="","",COUNTIFS(RacePerformance!$F:$F,A893,RacePerformance!$I:$I,1))</f>
        <v/>
      </c>
      <c r="P893" s="6" t="str">
        <f>IF(A893="","",COUNTIFS(RacePerformance!$F:$F,A893,RacePerformance!$J:$J,"&lt;=3"))</f>
        <v/>
      </c>
    </row>
    <row r="894" spans="5:16" ht="14.25" customHeight="1" x14ac:dyDescent="0.3">
      <c r="E894" s="6"/>
      <c r="I894" s="6"/>
      <c r="J894" s="6" t="str">
        <f>IF(A894="","",COUNTIF(RacePerformance!$F:$F,A894))</f>
        <v/>
      </c>
      <c r="K894" s="6" t="str">
        <f>IF(A894="","",IFERROR(AVERAGEIF(RacePerformance!$F:$F,A894,RacePerformance!$I:$I),""))</f>
        <v/>
      </c>
      <c r="L894" s="6" t="str">
        <f>IF(A894="","",IFERROR(AVERAGEIF(RacePerformance!$F:$F,A894,RacePerformance!$J:$J),""))</f>
        <v/>
      </c>
      <c r="M894" s="6" t="str">
        <f>IF(A894="","",IFERROR(AVERAGEIF(RacePerformance!$F:$F,A894,RacePerformance!$K:$K),""))</f>
        <v/>
      </c>
      <c r="N894" s="6" t="str">
        <f>IF(A894="","",COUNTIFS(RacePerformance!$F:$F,A894,RacePerformance!$I:$I,"&lt;=20"))</f>
        <v/>
      </c>
      <c r="O894" s="6" t="str">
        <f>IF(A894="","",COUNTIFS(RacePerformance!$F:$F,A894,RacePerformance!$I:$I,1))</f>
        <v/>
      </c>
      <c r="P894" s="6" t="str">
        <f>IF(A894="","",COUNTIFS(RacePerformance!$F:$F,A894,RacePerformance!$J:$J,"&lt;=3"))</f>
        <v/>
      </c>
    </row>
    <row r="895" spans="5:16" ht="14.25" customHeight="1" x14ac:dyDescent="0.3">
      <c r="E895" s="6"/>
      <c r="I895" s="6"/>
      <c r="J895" s="6" t="str">
        <f>IF(A895="","",COUNTIF(RacePerformance!$F:$F,A895))</f>
        <v/>
      </c>
      <c r="K895" s="6" t="str">
        <f>IF(A895="","",IFERROR(AVERAGEIF(RacePerformance!$F:$F,A895,RacePerformance!$I:$I),""))</f>
        <v/>
      </c>
      <c r="L895" s="6" t="str">
        <f>IF(A895="","",IFERROR(AVERAGEIF(RacePerformance!$F:$F,A895,RacePerformance!$J:$J),""))</f>
        <v/>
      </c>
      <c r="M895" s="6" t="str">
        <f>IF(A895="","",IFERROR(AVERAGEIF(RacePerformance!$F:$F,A895,RacePerformance!$K:$K),""))</f>
        <v/>
      </c>
      <c r="N895" s="6" t="str">
        <f>IF(A895="","",COUNTIFS(RacePerformance!$F:$F,A895,RacePerformance!$I:$I,"&lt;=20"))</f>
        <v/>
      </c>
      <c r="O895" s="6" t="str">
        <f>IF(A895="","",COUNTIFS(RacePerformance!$F:$F,A895,RacePerformance!$I:$I,1))</f>
        <v/>
      </c>
      <c r="P895" s="6" t="str">
        <f>IF(A895="","",COUNTIFS(RacePerformance!$F:$F,A895,RacePerformance!$J:$J,"&lt;=3"))</f>
        <v/>
      </c>
    </row>
    <row r="896" spans="5:16" ht="14.25" customHeight="1" x14ac:dyDescent="0.3">
      <c r="E896" s="6"/>
      <c r="I896" s="6"/>
      <c r="J896" s="6" t="str">
        <f>IF(A896="","",COUNTIF(RacePerformance!$F:$F,A896))</f>
        <v/>
      </c>
      <c r="K896" s="6" t="str">
        <f>IF(A896="","",IFERROR(AVERAGEIF(RacePerformance!$F:$F,A896,RacePerformance!$I:$I),""))</f>
        <v/>
      </c>
      <c r="L896" s="6" t="str">
        <f>IF(A896="","",IFERROR(AVERAGEIF(RacePerformance!$F:$F,A896,RacePerformance!$J:$J),""))</f>
        <v/>
      </c>
      <c r="M896" s="6" t="str">
        <f>IF(A896="","",IFERROR(AVERAGEIF(RacePerformance!$F:$F,A896,RacePerformance!$K:$K),""))</f>
        <v/>
      </c>
      <c r="N896" s="6" t="str">
        <f>IF(A896="","",COUNTIFS(RacePerformance!$F:$F,A896,RacePerformance!$I:$I,"&lt;=20"))</f>
        <v/>
      </c>
      <c r="O896" s="6" t="str">
        <f>IF(A896="","",COUNTIFS(RacePerformance!$F:$F,A896,RacePerformance!$I:$I,1))</f>
        <v/>
      </c>
      <c r="P896" s="6" t="str">
        <f>IF(A896="","",COUNTIFS(RacePerformance!$F:$F,A896,RacePerformance!$J:$J,"&lt;=3"))</f>
        <v/>
      </c>
    </row>
    <row r="897" spans="5:16" ht="14.25" customHeight="1" x14ac:dyDescent="0.3">
      <c r="E897" s="6"/>
      <c r="I897" s="6"/>
      <c r="J897" s="6" t="str">
        <f>IF(A897="","",COUNTIF(RacePerformance!$F:$F,A897))</f>
        <v/>
      </c>
      <c r="K897" s="6" t="str">
        <f>IF(A897="","",IFERROR(AVERAGEIF(RacePerformance!$F:$F,A897,RacePerformance!$I:$I),""))</f>
        <v/>
      </c>
      <c r="L897" s="6" t="str">
        <f>IF(A897="","",IFERROR(AVERAGEIF(RacePerformance!$F:$F,A897,RacePerformance!$J:$J),""))</f>
        <v/>
      </c>
      <c r="M897" s="6" t="str">
        <f>IF(A897="","",IFERROR(AVERAGEIF(RacePerformance!$F:$F,A897,RacePerformance!$K:$K),""))</f>
        <v/>
      </c>
      <c r="N897" s="6" t="str">
        <f>IF(A897="","",COUNTIFS(RacePerformance!$F:$F,A897,RacePerformance!$I:$I,"&lt;=20"))</f>
        <v/>
      </c>
      <c r="O897" s="6" t="str">
        <f>IF(A897="","",COUNTIFS(RacePerformance!$F:$F,A897,RacePerformance!$I:$I,1))</f>
        <v/>
      </c>
      <c r="P897" s="6" t="str">
        <f>IF(A897="","",COUNTIFS(RacePerformance!$F:$F,A897,RacePerformance!$J:$J,"&lt;=3"))</f>
        <v/>
      </c>
    </row>
    <row r="898" spans="5:16" ht="14.25" customHeight="1" x14ac:dyDescent="0.3">
      <c r="E898" s="6"/>
      <c r="I898" s="6"/>
      <c r="J898" s="6" t="str">
        <f>IF(A898="","",COUNTIF(RacePerformance!$F:$F,A898))</f>
        <v/>
      </c>
      <c r="K898" s="6" t="str">
        <f>IF(A898="","",IFERROR(AVERAGEIF(RacePerformance!$F:$F,A898,RacePerformance!$I:$I),""))</f>
        <v/>
      </c>
      <c r="L898" s="6" t="str">
        <f>IF(A898="","",IFERROR(AVERAGEIF(RacePerformance!$F:$F,A898,RacePerformance!$J:$J),""))</f>
        <v/>
      </c>
      <c r="M898" s="6" t="str">
        <f>IF(A898="","",IFERROR(AVERAGEIF(RacePerformance!$F:$F,A898,RacePerformance!$K:$K),""))</f>
        <v/>
      </c>
      <c r="N898" s="6" t="str">
        <f>IF(A898="","",COUNTIFS(RacePerformance!$F:$F,A898,RacePerformance!$I:$I,"&lt;=20"))</f>
        <v/>
      </c>
      <c r="O898" s="6" t="str">
        <f>IF(A898="","",COUNTIFS(RacePerformance!$F:$F,A898,RacePerformance!$I:$I,1))</f>
        <v/>
      </c>
      <c r="P898" s="6" t="str">
        <f>IF(A898="","",COUNTIFS(RacePerformance!$F:$F,A898,RacePerformance!$J:$J,"&lt;=3"))</f>
        <v/>
      </c>
    </row>
    <row r="899" spans="5:16" ht="14.25" customHeight="1" x14ac:dyDescent="0.3">
      <c r="E899" s="6"/>
      <c r="I899" s="6"/>
      <c r="J899" s="6" t="str">
        <f>IF(A899="","",COUNTIF(RacePerformance!$F:$F,A899))</f>
        <v/>
      </c>
      <c r="K899" s="6" t="str">
        <f>IF(A899="","",IFERROR(AVERAGEIF(RacePerformance!$F:$F,A899,RacePerformance!$I:$I),""))</f>
        <v/>
      </c>
      <c r="L899" s="6" t="str">
        <f>IF(A899="","",IFERROR(AVERAGEIF(RacePerformance!$F:$F,A899,RacePerformance!$J:$J),""))</f>
        <v/>
      </c>
      <c r="M899" s="6" t="str">
        <f>IF(A899="","",IFERROR(AVERAGEIF(RacePerformance!$F:$F,A899,RacePerformance!$K:$K),""))</f>
        <v/>
      </c>
      <c r="N899" s="6" t="str">
        <f>IF(A899="","",COUNTIFS(RacePerformance!$F:$F,A899,RacePerformance!$I:$I,"&lt;=20"))</f>
        <v/>
      </c>
      <c r="O899" s="6" t="str">
        <f>IF(A899="","",COUNTIFS(RacePerformance!$F:$F,A899,RacePerformance!$I:$I,1))</f>
        <v/>
      </c>
      <c r="P899" s="6" t="str">
        <f>IF(A899="","",COUNTIFS(RacePerformance!$F:$F,A899,RacePerformance!$J:$J,"&lt;=3"))</f>
        <v/>
      </c>
    </row>
    <row r="900" spans="5:16" ht="14.25" customHeight="1" x14ac:dyDescent="0.3">
      <c r="E900" s="6"/>
      <c r="I900" s="6"/>
      <c r="J900" s="6" t="str">
        <f>IF(A900="","",COUNTIF(RacePerformance!$F:$F,A900))</f>
        <v/>
      </c>
      <c r="K900" s="6" t="str">
        <f>IF(A900="","",IFERROR(AVERAGEIF(RacePerformance!$F:$F,A900,RacePerformance!$I:$I),""))</f>
        <v/>
      </c>
      <c r="L900" s="6" t="str">
        <f>IF(A900="","",IFERROR(AVERAGEIF(RacePerformance!$F:$F,A900,RacePerformance!$J:$J),""))</f>
        <v/>
      </c>
      <c r="M900" s="6" t="str">
        <f>IF(A900="","",IFERROR(AVERAGEIF(RacePerformance!$F:$F,A900,RacePerformance!$K:$K),""))</f>
        <v/>
      </c>
      <c r="N900" s="6" t="str">
        <f>IF(A900="","",COUNTIFS(RacePerformance!$F:$F,A900,RacePerformance!$I:$I,"&lt;=20"))</f>
        <v/>
      </c>
      <c r="O900" s="6" t="str">
        <f>IF(A900="","",COUNTIFS(RacePerformance!$F:$F,A900,RacePerformance!$I:$I,1))</f>
        <v/>
      </c>
      <c r="P900" s="6" t="str">
        <f>IF(A900="","",COUNTIFS(RacePerformance!$F:$F,A900,RacePerformance!$J:$J,"&lt;=3"))</f>
        <v/>
      </c>
    </row>
    <row r="901" spans="5:16" ht="14.25" customHeight="1" x14ac:dyDescent="0.3">
      <c r="E901" s="6"/>
      <c r="I901" s="6"/>
      <c r="J901" s="6" t="str">
        <f>IF(A901="","",COUNTIF(RacePerformance!$F:$F,A901))</f>
        <v/>
      </c>
      <c r="K901" s="6" t="str">
        <f>IF(A901="","",IFERROR(AVERAGEIF(RacePerformance!$F:$F,A901,RacePerformance!$I:$I),""))</f>
        <v/>
      </c>
      <c r="L901" s="6" t="str">
        <f>IF(A901="","",IFERROR(AVERAGEIF(RacePerformance!$F:$F,A901,RacePerformance!$J:$J),""))</f>
        <v/>
      </c>
      <c r="M901" s="6" t="str">
        <f>IF(A901="","",IFERROR(AVERAGEIF(RacePerformance!$F:$F,A901,RacePerformance!$K:$K),""))</f>
        <v/>
      </c>
      <c r="N901" s="6" t="str">
        <f>IF(A901="","",COUNTIFS(RacePerformance!$F:$F,A901,RacePerformance!$I:$I,"&lt;=20"))</f>
        <v/>
      </c>
      <c r="O901" s="6" t="str">
        <f>IF(A901="","",COUNTIFS(RacePerformance!$F:$F,A901,RacePerformance!$I:$I,1))</f>
        <v/>
      </c>
      <c r="P901" s="6" t="str">
        <f>IF(A901="","",COUNTIFS(RacePerformance!$F:$F,A901,RacePerformance!$J:$J,"&lt;=3"))</f>
        <v/>
      </c>
    </row>
    <row r="902" spans="5:16" ht="14.25" customHeight="1" x14ac:dyDescent="0.3">
      <c r="E902" s="6"/>
      <c r="I902" s="6"/>
      <c r="J902" s="6" t="str">
        <f>IF(A902="","",COUNTIF(RacePerformance!$F:$F,A902))</f>
        <v/>
      </c>
      <c r="K902" s="6" t="str">
        <f>IF(A902="","",IFERROR(AVERAGEIF(RacePerformance!$F:$F,A902,RacePerformance!$I:$I),""))</f>
        <v/>
      </c>
      <c r="L902" s="6" t="str">
        <f>IF(A902="","",IFERROR(AVERAGEIF(RacePerformance!$F:$F,A902,RacePerformance!$J:$J),""))</f>
        <v/>
      </c>
      <c r="M902" s="6" t="str">
        <f>IF(A902="","",IFERROR(AVERAGEIF(RacePerformance!$F:$F,A902,RacePerformance!$K:$K),""))</f>
        <v/>
      </c>
      <c r="N902" s="6" t="str">
        <f>IF(A902="","",COUNTIFS(RacePerformance!$F:$F,A902,RacePerformance!$I:$I,"&lt;=20"))</f>
        <v/>
      </c>
      <c r="O902" s="6" t="str">
        <f>IF(A902="","",COUNTIFS(RacePerformance!$F:$F,A902,RacePerformance!$I:$I,1))</f>
        <v/>
      </c>
      <c r="P902" s="6" t="str">
        <f>IF(A902="","",COUNTIFS(RacePerformance!$F:$F,A902,RacePerformance!$J:$J,"&lt;=3"))</f>
        <v/>
      </c>
    </row>
    <row r="903" spans="5:16" ht="14.25" customHeight="1" x14ac:dyDescent="0.3">
      <c r="E903" s="6"/>
      <c r="I903" s="6"/>
      <c r="J903" s="6" t="str">
        <f>IF(A903="","",COUNTIF(RacePerformance!$F:$F,A903))</f>
        <v/>
      </c>
      <c r="K903" s="6" t="str">
        <f>IF(A903="","",IFERROR(AVERAGEIF(RacePerformance!$F:$F,A903,RacePerformance!$I:$I),""))</f>
        <v/>
      </c>
      <c r="L903" s="6" t="str">
        <f>IF(A903="","",IFERROR(AVERAGEIF(RacePerformance!$F:$F,A903,RacePerformance!$J:$J),""))</f>
        <v/>
      </c>
      <c r="M903" s="6" t="str">
        <f>IF(A903="","",IFERROR(AVERAGEIF(RacePerformance!$F:$F,A903,RacePerformance!$K:$K),""))</f>
        <v/>
      </c>
      <c r="N903" s="6" t="str">
        <f>IF(A903="","",COUNTIFS(RacePerformance!$F:$F,A903,RacePerformance!$I:$I,"&lt;=20"))</f>
        <v/>
      </c>
      <c r="O903" s="6" t="str">
        <f>IF(A903="","",COUNTIFS(RacePerformance!$F:$F,A903,RacePerformance!$I:$I,1))</f>
        <v/>
      </c>
      <c r="P903" s="6" t="str">
        <f>IF(A903="","",COUNTIFS(RacePerformance!$F:$F,A903,RacePerformance!$J:$J,"&lt;=3"))</f>
        <v/>
      </c>
    </row>
    <row r="904" spans="5:16" ht="14.25" customHeight="1" x14ac:dyDescent="0.3">
      <c r="E904" s="6"/>
      <c r="I904" s="6"/>
      <c r="J904" s="6" t="str">
        <f>IF(A904="","",COUNTIF(RacePerformance!$F:$F,A904))</f>
        <v/>
      </c>
      <c r="K904" s="6" t="str">
        <f>IF(A904="","",IFERROR(AVERAGEIF(RacePerformance!$F:$F,A904,RacePerformance!$I:$I),""))</f>
        <v/>
      </c>
      <c r="L904" s="6" t="str">
        <f>IF(A904="","",IFERROR(AVERAGEIF(RacePerformance!$F:$F,A904,RacePerformance!$J:$J),""))</f>
        <v/>
      </c>
      <c r="M904" s="6" t="str">
        <f>IF(A904="","",IFERROR(AVERAGEIF(RacePerformance!$F:$F,A904,RacePerformance!$K:$K),""))</f>
        <v/>
      </c>
      <c r="N904" s="6" t="str">
        <f>IF(A904="","",COUNTIFS(RacePerformance!$F:$F,A904,RacePerformance!$I:$I,"&lt;=20"))</f>
        <v/>
      </c>
      <c r="O904" s="6" t="str">
        <f>IF(A904="","",COUNTIFS(RacePerformance!$F:$F,A904,RacePerformance!$I:$I,1))</f>
        <v/>
      </c>
      <c r="P904" s="6" t="str">
        <f>IF(A904="","",COUNTIFS(RacePerformance!$F:$F,A904,RacePerformance!$J:$J,"&lt;=3"))</f>
        <v/>
      </c>
    </row>
    <row r="905" spans="5:16" ht="14.25" customHeight="1" x14ac:dyDescent="0.3">
      <c r="E905" s="6"/>
      <c r="I905" s="6"/>
      <c r="J905" s="6" t="str">
        <f>IF(A905="","",COUNTIF(RacePerformance!$F:$F,A905))</f>
        <v/>
      </c>
      <c r="K905" s="6" t="str">
        <f>IF(A905="","",IFERROR(AVERAGEIF(RacePerformance!$F:$F,A905,RacePerformance!$I:$I),""))</f>
        <v/>
      </c>
      <c r="L905" s="6" t="str">
        <f>IF(A905="","",IFERROR(AVERAGEIF(RacePerformance!$F:$F,A905,RacePerformance!$J:$J),""))</f>
        <v/>
      </c>
      <c r="M905" s="6" t="str">
        <f>IF(A905="","",IFERROR(AVERAGEIF(RacePerformance!$F:$F,A905,RacePerformance!$K:$K),""))</f>
        <v/>
      </c>
      <c r="N905" s="6" t="str">
        <f>IF(A905="","",COUNTIFS(RacePerformance!$F:$F,A905,RacePerformance!$I:$I,"&lt;=20"))</f>
        <v/>
      </c>
      <c r="O905" s="6" t="str">
        <f>IF(A905="","",COUNTIFS(RacePerformance!$F:$F,A905,RacePerformance!$I:$I,1))</f>
        <v/>
      </c>
      <c r="P905" s="6" t="str">
        <f>IF(A905="","",COUNTIFS(RacePerformance!$F:$F,A905,RacePerformance!$J:$J,"&lt;=3"))</f>
        <v/>
      </c>
    </row>
    <row r="906" spans="5:16" ht="14.25" customHeight="1" x14ac:dyDescent="0.3">
      <c r="E906" s="6"/>
      <c r="I906" s="6"/>
      <c r="J906" s="6" t="str">
        <f>IF(A906="","",COUNTIF(RacePerformance!$F:$F,A906))</f>
        <v/>
      </c>
      <c r="K906" s="6" t="str">
        <f>IF(A906="","",IFERROR(AVERAGEIF(RacePerformance!$F:$F,A906,RacePerformance!$I:$I),""))</f>
        <v/>
      </c>
      <c r="L906" s="6" t="str">
        <f>IF(A906="","",IFERROR(AVERAGEIF(RacePerformance!$F:$F,A906,RacePerformance!$J:$J),""))</f>
        <v/>
      </c>
      <c r="M906" s="6" t="str">
        <f>IF(A906="","",IFERROR(AVERAGEIF(RacePerformance!$F:$F,A906,RacePerformance!$K:$K),""))</f>
        <v/>
      </c>
      <c r="N906" s="6" t="str">
        <f>IF(A906="","",COUNTIFS(RacePerformance!$F:$F,A906,RacePerformance!$I:$I,"&lt;=20"))</f>
        <v/>
      </c>
      <c r="O906" s="6" t="str">
        <f>IF(A906="","",COUNTIFS(RacePerformance!$F:$F,A906,RacePerformance!$I:$I,1))</f>
        <v/>
      </c>
      <c r="P906" s="6" t="str">
        <f>IF(A906="","",COUNTIFS(RacePerformance!$F:$F,A906,RacePerformance!$J:$J,"&lt;=3"))</f>
        <v/>
      </c>
    </row>
    <row r="907" spans="5:16" ht="14.25" customHeight="1" x14ac:dyDescent="0.3">
      <c r="E907" s="6"/>
      <c r="I907" s="6"/>
      <c r="J907" s="6" t="str">
        <f>IF(A907="","",COUNTIF(RacePerformance!$F:$F,A907))</f>
        <v/>
      </c>
      <c r="K907" s="6" t="str">
        <f>IF(A907="","",IFERROR(AVERAGEIF(RacePerformance!$F:$F,A907,RacePerformance!$I:$I),""))</f>
        <v/>
      </c>
      <c r="L907" s="6" t="str">
        <f>IF(A907="","",IFERROR(AVERAGEIF(RacePerformance!$F:$F,A907,RacePerformance!$J:$J),""))</f>
        <v/>
      </c>
      <c r="M907" s="6" t="str">
        <f>IF(A907="","",IFERROR(AVERAGEIF(RacePerformance!$F:$F,A907,RacePerformance!$K:$K),""))</f>
        <v/>
      </c>
      <c r="N907" s="6" t="str">
        <f>IF(A907="","",COUNTIFS(RacePerformance!$F:$F,A907,RacePerformance!$I:$I,"&lt;=20"))</f>
        <v/>
      </c>
      <c r="O907" s="6" t="str">
        <f>IF(A907="","",COUNTIFS(RacePerformance!$F:$F,A907,RacePerformance!$I:$I,1))</f>
        <v/>
      </c>
      <c r="P907" s="6" t="str">
        <f>IF(A907="","",COUNTIFS(RacePerformance!$F:$F,A907,RacePerformance!$J:$J,"&lt;=3"))</f>
        <v/>
      </c>
    </row>
    <row r="908" spans="5:16" ht="14.25" customHeight="1" x14ac:dyDescent="0.3">
      <c r="E908" s="6"/>
      <c r="I908" s="6"/>
      <c r="J908" s="6" t="str">
        <f>IF(A908="","",COUNTIF(RacePerformance!$F:$F,A908))</f>
        <v/>
      </c>
      <c r="K908" s="6" t="str">
        <f>IF(A908="","",IFERROR(AVERAGEIF(RacePerformance!$F:$F,A908,RacePerformance!$I:$I),""))</f>
        <v/>
      </c>
      <c r="L908" s="6" t="str">
        <f>IF(A908="","",IFERROR(AVERAGEIF(RacePerformance!$F:$F,A908,RacePerformance!$J:$J),""))</f>
        <v/>
      </c>
      <c r="M908" s="6" t="str">
        <f>IF(A908="","",IFERROR(AVERAGEIF(RacePerformance!$F:$F,A908,RacePerformance!$K:$K),""))</f>
        <v/>
      </c>
      <c r="N908" s="6" t="str">
        <f>IF(A908="","",COUNTIFS(RacePerformance!$F:$F,A908,RacePerformance!$I:$I,"&lt;=20"))</f>
        <v/>
      </c>
      <c r="O908" s="6" t="str">
        <f>IF(A908="","",COUNTIFS(RacePerformance!$F:$F,A908,RacePerformance!$I:$I,1))</f>
        <v/>
      </c>
      <c r="P908" s="6" t="str">
        <f>IF(A908="","",COUNTIFS(RacePerformance!$F:$F,A908,RacePerformance!$J:$J,"&lt;=3"))</f>
        <v/>
      </c>
    </row>
    <row r="909" spans="5:16" ht="14.25" customHeight="1" x14ac:dyDescent="0.3">
      <c r="E909" s="6"/>
      <c r="I909" s="6"/>
      <c r="J909" s="6" t="str">
        <f>IF(A909="","",COUNTIF(RacePerformance!$F:$F,A909))</f>
        <v/>
      </c>
      <c r="K909" s="6" t="str">
        <f>IF(A909="","",IFERROR(AVERAGEIF(RacePerformance!$F:$F,A909,RacePerformance!$I:$I),""))</f>
        <v/>
      </c>
      <c r="L909" s="6" t="str">
        <f>IF(A909="","",IFERROR(AVERAGEIF(RacePerformance!$F:$F,A909,RacePerformance!$J:$J),""))</f>
        <v/>
      </c>
      <c r="M909" s="6" t="str">
        <f>IF(A909="","",IFERROR(AVERAGEIF(RacePerformance!$F:$F,A909,RacePerformance!$K:$K),""))</f>
        <v/>
      </c>
      <c r="N909" s="6" t="str">
        <f>IF(A909="","",COUNTIFS(RacePerformance!$F:$F,A909,RacePerformance!$I:$I,"&lt;=20"))</f>
        <v/>
      </c>
      <c r="O909" s="6" t="str">
        <f>IF(A909="","",COUNTIFS(RacePerformance!$F:$F,A909,RacePerformance!$I:$I,1))</f>
        <v/>
      </c>
      <c r="P909" s="6" t="str">
        <f>IF(A909="","",COUNTIFS(RacePerformance!$F:$F,A909,RacePerformance!$J:$J,"&lt;=3"))</f>
        <v/>
      </c>
    </row>
    <row r="910" spans="5:16" ht="14.25" customHeight="1" x14ac:dyDescent="0.3">
      <c r="E910" s="6"/>
      <c r="I910" s="6"/>
      <c r="J910" s="6" t="str">
        <f>IF(A910="","",COUNTIF(RacePerformance!$F:$F,A910))</f>
        <v/>
      </c>
      <c r="K910" s="6" t="str">
        <f>IF(A910="","",IFERROR(AVERAGEIF(RacePerformance!$F:$F,A910,RacePerformance!$I:$I),""))</f>
        <v/>
      </c>
      <c r="L910" s="6" t="str">
        <f>IF(A910="","",IFERROR(AVERAGEIF(RacePerformance!$F:$F,A910,RacePerformance!$J:$J),""))</f>
        <v/>
      </c>
      <c r="M910" s="6" t="str">
        <f>IF(A910="","",IFERROR(AVERAGEIF(RacePerformance!$F:$F,A910,RacePerformance!$K:$K),""))</f>
        <v/>
      </c>
      <c r="N910" s="6" t="str">
        <f>IF(A910="","",COUNTIFS(RacePerformance!$F:$F,A910,RacePerformance!$I:$I,"&lt;=20"))</f>
        <v/>
      </c>
      <c r="O910" s="6" t="str">
        <f>IF(A910="","",COUNTIFS(RacePerformance!$F:$F,A910,RacePerformance!$I:$I,1))</f>
        <v/>
      </c>
      <c r="P910" s="6" t="str">
        <f>IF(A910="","",COUNTIFS(RacePerformance!$F:$F,A910,RacePerformance!$J:$J,"&lt;=3"))</f>
        <v/>
      </c>
    </row>
    <row r="911" spans="5:16" ht="14.25" customHeight="1" x14ac:dyDescent="0.3">
      <c r="E911" s="6"/>
      <c r="I911" s="6"/>
      <c r="J911" s="6" t="str">
        <f>IF(A911="","",COUNTIF(RacePerformance!$F:$F,A911))</f>
        <v/>
      </c>
      <c r="K911" s="6" t="str">
        <f>IF(A911="","",IFERROR(AVERAGEIF(RacePerformance!$F:$F,A911,RacePerformance!$I:$I),""))</f>
        <v/>
      </c>
      <c r="L911" s="6" t="str">
        <f>IF(A911="","",IFERROR(AVERAGEIF(RacePerformance!$F:$F,A911,RacePerformance!$J:$J),""))</f>
        <v/>
      </c>
      <c r="M911" s="6" t="str">
        <f>IF(A911="","",IFERROR(AVERAGEIF(RacePerformance!$F:$F,A911,RacePerformance!$K:$K),""))</f>
        <v/>
      </c>
      <c r="N911" s="6" t="str">
        <f>IF(A911="","",COUNTIFS(RacePerformance!$F:$F,A911,RacePerformance!$I:$I,"&lt;=20"))</f>
        <v/>
      </c>
      <c r="O911" s="6" t="str">
        <f>IF(A911="","",COUNTIFS(RacePerformance!$F:$F,A911,RacePerformance!$I:$I,1))</f>
        <v/>
      </c>
      <c r="P911" s="6" t="str">
        <f>IF(A911="","",COUNTIFS(RacePerformance!$F:$F,A911,RacePerformance!$J:$J,"&lt;=3"))</f>
        <v/>
      </c>
    </row>
    <row r="912" spans="5:16" ht="14.25" customHeight="1" x14ac:dyDescent="0.3">
      <c r="E912" s="6"/>
      <c r="I912" s="6"/>
      <c r="J912" s="6" t="str">
        <f>IF(A912="","",COUNTIF(RacePerformance!$F:$F,A912))</f>
        <v/>
      </c>
      <c r="K912" s="6" t="str">
        <f>IF(A912="","",IFERROR(AVERAGEIF(RacePerformance!$F:$F,A912,RacePerformance!$I:$I),""))</f>
        <v/>
      </c>
      <c r="L912" s="6" t="str">
        <f>IF(A912="","",IFERROR(AVERAGEIF(RacePerformance!$F:$F,A912,RacePerformance!$J:$J),""))</f>
        <v/>
      </c>
      <c r="M912" s="6" t="str">
        <f>IF(A912="","",IFERROR(AVERAGEIF(RacePerformance!$F:$F,A912,RacePerformance!$K:$K),""))</f>
        <v/>
      </c>
      <c r="N912" s="6" t="str">
        <f>IF(A912="","",COUNTIFS(RacePerformance!$F:$F,A912,RacePerformance!$I:$I,"&lt;=20"))</f>
        <v/>
      </c>
      <c r="O912" s="6" t="str">
        <f>IF(A912="","",COUNTIFS(RacePerformance!$F:$F,A912,RacePerformance!$I:$I,1))</f>
        <v/>
      </c>
      <c r="P912" s="6" t="str">
        <f>IF(A912="","",COUNTIFS(RacePerformance!$F:$F,A912,RacePerformance!$J:$J,"&lt;=3"))</f>
        <v/>
      </c>
    </row>
    <row r="913" spans="5:16" ht="14.25" customHeight="1" x14ac:dyDescent="0.3">
      <c r="E913" s="6"/>
      <c r="I913" s="6"/>
      <c r="J913" s="6" t="str">
        <f>IF(A913="","",COUNTIF(RacePerformance!$F:$F,A913))</f>
        <v/>
      </c>
      <c r="K913" s="6" t="str">
        <f>IF(A913="","",IFERROR(AVERAGEIF(RacePerformance!$F:$F,A913,RacePerformance!$I:$I),""))</f>
        <v/>
      </c>
      <c r="L913" s="6" t="str">
        <f>IF(A913="","",IFERROR(AVERAGEIF(RacePerformance!$F:$F,A913,RacePerformance!$J:$J),""))</f>
        <v/>
      </c>
      <c r="M913" s="6" t="str">
        <f>IF(A913="","",IFERROR(AVERAGEIF(RacePerformance!$F:$F,A913,RacePerformance!$K:$K),""))</f>
        <v/>
      </c>
      <c r="N913" s="6" t="str">
        <f>IF(A913="","",COUNTIFS(RacePerformance!$F:$F,A913,RacePerformance!$I:$I,"&lt;=20"))</f>
        <v/>
      </c>
      <c r="O913" s="6" t="str">
        <f>IF(A913="","",COUNTIFS(RacePerformance!$F:$F,A913,RacePerformance!$I:$I,1))</f>
        <v/>
      </c>
      <c r="P913" s="6" t="str">
        <f>IF(A913="","",COUNTIFS(RacePerformance!$F:$F,A913,RacePerformance!$J:$J,"&lt;=3"))</f>
        <v/>
      </c>
    </row>
    <row r="914" spans="5:16" ht="14.25" customHeight="1" x14ac:dyDescent="0.3">
      <c r="E914" s="6"/>
      <c r="I914" s="6"/>
      <c r="J914" s="6" t="str">
        <f>IF(A914="","",COUNTIF(RacePerformance!$F:$F,A914))</f>
        <v/>
      </c>
      <c r="K914" s="6" t="str">
        <f>IF(A914="","",IFERROR(AVERAGEIF(RacePerformance!$F:$F,A914,RacePerformance!$I:$I),""))</f>
        <v/>
      </c>
      <c r="L914" s="6" t="str">
        <f>IF(A914="","",IFERROR(AVERAGEIF(RacePerformance!$F:$F,A914,RacePerformance!$J:$J),""))</f>
        <v/>
      </c>
      <c r="M914" s="6" t="str">
        <f>IF(A914="","",IFERROR(AVERAGEIF(RacePerformance!$F:$F,A914,RacePerformance!$K:$K),""))</f>
        <v/>
      </c>
      <c r="N914" s="6" t="str">
        <f>IF(A914="","",COUNTIFS(RacePerformance!$F:$F,A914,RacePerformance!$I:$I,"&lt;=20"))</f>
        <v/>
      </c>
      <c r="O914" s="6" t="str">
        <f>IF(A914="","",COUNTIFS(RacePerformance!$F:$F,A914,RacePerformance!$I:$I,1))</f>
        <v/>
      </c>
      <c r="P914" s="6" t="str">
        <f>IF(A914="","",COUNTIFS(RacePerformance!$F:$F,A914,RacePerformance!$J:$J,"&lt;=3"))</f>
        <v/>
      </c>
    </row>
    <row r="915" spans="5:16" ht="14.25" customHeight="1" x14ac:dyDescent="0.3">
      <c r="E915" s="6"/>
      <c r="I915" s="6"/>
      <c r="J915" s="6" t="str">
        <f>IF(A915="","",COUNTIF(RacePerformance!$F:$F,A915))</f>
        <v/>
      </c>
      <c r="K915" s="6" t="str">
        <f>IF(A915="","",IFERROR(AVERAGEIF(RacePerformance!$F:$F,A915,RacePerformance!$I:$I),""))</f>
        <v/>
      </c>
      <c r="L915" s="6" t="str">
        <f>IF(A915="","",IFERROR(AVERAGEIF(RacePerformance!$F:$F,A915,RacePerformance!$J:$J),""))</f>
        <v/>
      </c>
      <c r="M915" s="6" t="str">
        <f>IF(A915="","",IFERROR(AVERAGEIF(RacePerformance!$F:$F,A915,RacePerformance!$K:$K),""))</f>
        <v/>
      </c>
      <c r="N915" s="6" t="str">
        <f>IF(A915="","",COUNTIFS(RacePerformance!$F:$F,A915,RacePerformance!$I:$I,"&lt;=20"))</f>
        <v/>
      </c>
      <c r="O915" s="6" t="str">
        <f>IF(A915="","",COUNTIFS(RacePerformance!$F:$F,A915,RacePerformance!$I:$I,1))</f>
        <v/>
      </c>
      <c r="P915" s="6" t="str">
        <f>IF(A915="","",COUNTIFS(RacePerformance!$F:$F,A915,RacePerformance!$J:$J,"&lt;=3"))</f>
        <v/>
      </c>
    </row>
    <row r="916" spans="5:16" ht="14.25" customHeight="1" x14ac:dyDescent="0.3">
      <c r="E916" s="6"/>
      <c r="I916" s="6"/>
      <c r="J916" s="6" t="str">
        <f>IF(A916="","",COUNTIF(RacePerformance!$F:$F,A916))</f>
        <v/>
      </c>
      <c r="K916" s="6" t="str">
        <f>IF(A916="","",IFERROR(AVERAGEIF(RacePerformance!$F:$F,A916,RacePerformance!$I:$I),""))</f>
        <v/>
      </c>
      <c r="L916" s="6" t="str">
        <f>IF(A916="","",IFERROR(AVERAGEIF(RacePerformance!$F:$F,A916,RacePerformance!$J:$J),""))</f>
        <v/>
      </c>
      <c r="M916" s="6" t="str">
        <f>IF(A916="","",IFERROR(AVERAGEIF(RacePerformance!$F:$F,A916,RacePerformance!$K:$K),""))</f>
        <v/>
      </c>
      <c r="N916" s="6" t="str">
        <f>IF(A916="","",COUNTIFS(RacePerformance!$F:$F,A916,RacePerformance!$I:$I,"&lt;=20"))</f>
        <v/>
      </c>
      <c r="O916" s="6" t="str">
        <f>IF(A916="","",COUNTIFS(RacePerformance!$F:$F,A916,RacePerformance!$I:$I,1))</f>
        <v/>
      </c>
      <c r="P916" s="6" t="str">
        <f>IF(A916="","",COUNTIFS(RacePerformance!$F:$F,A916,RacePerformance!$J:$J,"&lt;=3"))</f>
        <v/>
      </c>
    </row>
    <row r="917" spans="5:16" ht="14.25" customHeight="1" x14ac:dyDescent="0.3">
      <c r="E917" s="6"/>
      <c r="I917" s="6"/>
      <c r="J917" s="6" t="str">
        <f>IF(A917="","",COUNTIF(RacePerformance!$F:$F,A917))</f>
        <v/>
      </c>
      <c r="K917" s="6" t="str">
        <f>IF(A917="","",IFERROR(AVERAGEIF(RacePerformance!$F:$F,A917,RacePerformance!$I:$I),""))</f>
        <v/>
      </c>
      <c r="L917" s="6" t="str">
        <f>IF(A917="","",IFERROR(AVERAGEIF(RacePerformance!$F:$F,A917,RacePerformance!$J:$J),""))</f>
        <v/>
      </c>
      <c r="M917" s="6" t="str">
        <f>IF(A917="","",IFERROR(AVERAGEIF(RacePerformance!$F:$F,A917,RacePerformance!$K:$K),""))</f>
        <v/>
      </c>
      <c r="N917" s="6" t="str">
        <f>IF(A917="","",COUNTIFS(RacePerformance!$F:$F,A917,RacePerformance!$I:$I,"&lt;=20"))</f>
        <v/>
      </c>
      <c r="O917" s="6" t="str">
        <f>IF(A917="","",COUNTIFS(RacePerformance!$F:$F,A917,RacePerformance!$I:$I,1))</f>
        <v/>
      </c>
      <c r="P917" s="6" t="str">
        <f>IF(A917="","",COUNTIFS(RacePerformance!$F:$F,A917,RacePerformance!$J:$J,"&lt;=3"))</f>
        <v/>
      </c>
    </row>
    <row r="918" spans="5:16" ht="14.25" customHeight="1" x14ac:dyDescent="0.3">
      <c r="E918" s="6"/>
      <c r="I918" s="6"/>
      <c r="J918" s="6" t="str">
        <f>IF(A918="","",COUNTIF(RacePerformance!$F:$F,A918))</f>
        <v/>
      </c>
      <c r="K918" s="6" t="str">
        <f>IF(A918="","",IFERROR(AVERAGEIF(RacePerformance!$F:$F,A918,RacePerformance!$I:$I),""))</f>
        <v/>
      </c>
      <c r="L918" s="6" t="str">
        <f>IF(A918="","",IFERROR(AVERAGEIF(RacePerformance!$F:$F,A918,RacePerformance!$J:$J),""))</f>
        <v/>
      </c>
      <c r="M918" s="6" t="str">
        <f>IF(A918="","",IFERROR(AVERAGEIF(RacePerformance!$F:$F,A918,RacePerformance!$K:$K),""))</f>
        <v/>
      </c>
      <c r="N918" s="6" t="str">
        <f>IF(A918="","",COUNTIFS(RacePerformance!$F:$F,A918,RacePerformance!$I:$I,"&lt;=20"))</f>
        <v/>
      </c>
      <c r="O918" s="6" t="str">
        <f>IF(A918="","",COUNTIFS(RacePerformance!$F:$F,A918,RacePerformance!$I:$I,1))</f>
        <v/>
      </c>
      <c r="P918" s="6" t="str">
        <f>IF(A918="","",COUNTIFS(RacePerformance!$F:$F,A918,RacePerformance!$J:$J,"&lt;=3"))</f>
        <v/>
      </c>
    </row>
    <row r="919" spans="5:16" ht="14.25" customHeight="1" x14ac:dyDescent="0.3">
      <c r="E919" s="6"/>
      <c r="I919" s="6"/>
      <c r="J919" s="6" t="str">
        <f>IF(A919="","",COUNTIF(RacePerformance!$F:$F,A919))</f>
        <v/>
      </c>
      <c r="K919" s="6" t="str">
        <f>IF(A919="","",IFERROR(AVERAGEIF(RacePerformance!$F:$F,A919,RacePerformance!$I:$I),""))</f>
        <v/>
      </c>
      <c r="L919" s="6" t="str">
        <f>IF(A919="","",IFERROR(AVERAGEIF(RacePerformance!$F:$F,A919,RacePerformance!$J:$J),""))</f>
        <v/>
      </c>
      <c r="M919" s="6" t="str">
        <f>IF(A919="","",IFERROR(AVERAGEIF(RacePerformance!$F:$F,A919,RacePerformance!$K:$K),""))</f>
        <v/>
      </c>
      <c r="N919" s="6" t="str">
        <f>IF(A919="","",COUNTIFS(RacePerformance!$F:$F,A919,RacePerformance!$I:$I,"&lt;=20"))</f>
        <v/>
      </c>
      <c r="O919" s="6" t="str">
        <f>IF(A919="","",COUNTIFS(RacePerformance!$F:$F,A919,RacePerformance!$I:$I,1))</f>
        <v/>
      </c>
      <c r="P919" s="6" t="str">
        <f>IF(A919="","",COUNTIFS(RacePerformance!$F:$F,A919,RacePerformance!$J:$J,"&lt;=3"))</f>
        <v/>
      </c>
    </row>
    <row r="920" spans="5:16" ht="14.25" customHeight="1" x14ac:dyDescent="0.3">
      <c r="E920" s="6"/>
      <c r="I920" s="6"/>
      <c r="J920" s="6" t="str">
        <f>IF(A920="","",COUNTIF(RacePerformance!$F:$F,A920))</f>
        <v/>
      </c>
      <c r="K920" s="6" t="str">
        <f>IF(A920="","",IFERROR(AVERAGEIF(RacePerformance!$F:$F,A920,RacePerformance!$I:$I),""))</f>
        <v/>
      </c>
      <c r="L920" s="6" t="str">
        <f>IF(A920="","",IFERROR(AVERAGEIF(RacePerformance!$F:$F,A920,RacePerformance!$J:$J),""))</f>
        <v/>
      </c>
      <c r="M920" s="6" t="str">
        <f>IF(A920="","",IFERROR(AVERAGEIF(RacePerformance!$F:$F,A920,RacePerformance!$K:$K),""))</f>
        <v/>
      </c>
      <c r="N920" s="6" t="str">
        <f>IF(A920="","",COUNTIFS(RacePerformance!$F:$F,A920,RacePerformance!$I:$I,"&lt;=20"))</f>
        <v/>
      </c>
      <c r="O920" s="6" t="str">
        <f>IF(A920="","",COUNTIFS(RacePerformance!$F:$F,A920,RacePerformance!$I:$I,1))</f>
        <v/>
      </c>
      <c r="P920" s="6" t="str">
        <f>IF(A920="","",COUNTIFS(RacePerformance!$F:$F,A920,RacePerformance!$J:$J,"&lt;=3"))</f>
        <v/>
      </c>
    </row>
    <row r="921" spans="5:16" ht="14.25" customHeight="1" x14ac:dyDescent="0.3">
      <c r="E921" s="6"/>
      <c r="I921" s="6"/>
      <c r="J921" s="6" t="str">
        <f>IF(A921="","",COUNTIF(RacePerformance!$F:$F,A921))</f>
        <v/>
      </c>
      <c r="K921" s="6" t="str">
        <f>IF(A921="","",IFERROR(AVERAGEIF(RacePerformance!$F:$F,A921,RacePerformance!$I:$I),""))</f>
        <v/>
      </c>
      <c r="L921" s="6" t="str">
        <f>IF(A921="","",IFERROR(AVERAGEIF(RacePerformance!$F:$F,A921,RacePerformance!$J:$J),""))</f>
        <v/>
      </c>
      <c r="M921" s="6" t="str">
        <f>IF(A921="","",IFERROR(AVERAGEIF(RacePerformance!$F:$F,A921,RacePerformance!$K:$K),""))</f>
        <v/>
      </c>
      <c r="N921" s="6" t="str">
        <f>IF(A921="","",COUNTIFS(RacePerformance!$F:$F,A921,RacePerformance!$I:$I,"&lt;=20"))</f>
        <v/>
      </c>
      <c r="O921" s="6" t="str">
        <f>IF(A921="","",COUNTIFS(RacePerformance!$F:$F,A921,RacePerformance!$I:$I,1))</f>
        <v/>
      </c>
      <c r="P921" s="6" t="str">
        <f>IF(A921="","",COUNTIFS(RacePerformance!$F:$F,A921,RacePerformance!$J:$J,"&lt;=3"))</f>
        <v/>
      </c>
    </row>
    <row r="922" spans="5:16" ht="14.25" customHeight="1" x14ac:dyDescent="0.3">
      <c r="E922" s="6"/>
      <c r="I922" s="6"/>
      <c r="J922" s="6" t="str">
        <f>IF(A922="","",COUNTIF(RacePerformance!$F:$F,A922))</f>
        <v/>
      </c>
      <c r="K922" s="6" t="str">
        <f>IF(A922="","",IFERROR(AVERAGEIF(RacePerformance!$F:$F,A922,RacePerformance!$I:$I),""))</f>
        <v/>
      </c>
      <c r="L922" s="6" t="str">
        <f>IF(A922="","",IFERROR(AVERAGEIF(RacePerformance!$F:$F,A922,RacePerformance!$J:$J),""))</f>
        <v/>
      </c>
      <c r="M922" s="6" t="str">
        <f>IF(A922="","",IFERROR(AVERAGEIF(RacePerformance!$F:$F,A922,RacePerformance!$K:$K),""))</f>
        <v/>
      </c>
      <c r="N922" s="6" t="str">
        <f>IF(A922="","",COUNTIFS(RacePerformance!$F:$F,A922,RacePerformance!$I:$I,"&lt;=20"))</f>
        <v/>
      </c>
      <c r="O922" s="6" t="str">
        <f>IF(A922="","",COUNTIFS(RacePerformance!$F:$F,A922,RacePerformance!$I:$I,1))</f>
        <v/>
      </c>
      <c r="P922" s="6" t="str">
        <f>IF(A922="","",COUNTIFS(RacePerformance!$F:$F,A922,RacePerformance!$J:$J,"&lt;=3"))</f>
        <v/>
      </c>
    </row>
    <row r="923" spans="5:16" ht="14.25" customHeight="1" x14ac:dyDescent="0.3">
      <c r="E923" s="6"/>
      <c r="I923" s="6"/>
      <c r="J923" s="6" t="str">
        <f>IF(A923="","",COUNTIF(RacePerformance!$F:$F,A923))</f>
        <v/>
      </c>
      <c r="K923" s="6" t="str">
        <f>IF(A923="","",IFERROR(AVERAGEIF(RacePerformance!$F:$F,A923,RacePerformance!$I:$I),""))</f>
        <v/>
      </c>
      <c r="L923" s="6" t="str">
        <f>IF(A923="","",IFERROR(AVERAGEIF(RacePerformance!$F:$F,A923,RacePerformance!$J:$J),""))</f>
        <v/>
      </c>
      <c r="M923" s="6" t="str">
        <f>IF(A923="","",IFERROR(AVERAGEIF(RacePerformance!$F:$F,A923,RacePerformance!$K:$K),""))</f>
        <v/>
      </c>
      <c r="N923" s="6" t="str">
        <f>IF(A923="","",COUNTIFS(RacePerformance!$F:$F,A923,RacePerformance!$I:$I,"&lt;=20"))</f>
        <v/>
      </c>
      <c r="O923" s="6" t="str">
        <f>IF(A923="","",COUNTIFS(RacePerformance!$F:$F,A923,RacePerformance!$I:$I,1))</f>
        <v/>
      </c>
      <c r="P923" s="6" t="str">
        <f>IF(A923="","",COUNTIFS(RacePerformance!$F:$F,A923,RacePerformance!$J:$J,"&lt;=3"))</f>
        <v/>
      </c>
    </row>
    <row r="924" spans="5:16" ht="14.25" customHeight="1" x14ac:dyDescent="0.3">
      <c r="E924" s="6"/>
      <c r="I924" s="6"/>
      <c r="J924" s="6" t="str">
        <f>IF(A924="","",COUNTIF(RacePerformance!$F:$F,A924))</f>
        <v/>
      </c>
      <c r="K924" s="6" t="str">
        <f>IF(A924="","",IFERROR(AVERAGEIF(RacePerformance!$F:$F,A924,RacePerformance!$I:$I),""))</f>
        <v/>
      </c>
      <c r="L924" s="6" t="str">
        <f>IF(A924="","",IFERROR(AVERAGEIF(RacePerformance!$F:$F,A924,RacePerformance!$J:$J),""))</f>
        <v/>
      </c>
      <c r="M924" s="6" t="str">
        <f>IF(A924="","",IFERROR(AVERAGEIF(RacePerformance!$F:$F,A924,RacePerformance!$K:$K),""))</f>
        <v/>
      </c>
      <c r="N924" s="6" t="str">
        <f>IF(A924="","",COUNTIFS(RacePerformance!$F:$F,A924,RacePerformance!$I:$I,"&lt;=20"))</f>
        <v/>
      </c>
      <c r="O924" s="6" t="str">
        <f>IF(A924="","",COUNTIFS(RacePerformance!$F:$F,A924,RacePerformance!$I:$I,1))</f>
        <v/>
      </c>
      <c r="P924" s="6" t="str">
        <f>IF(A924="","",COUNTIFS(RacePerformance!$F:$F,A924,RacePerformance!$J:$J,"&lt;=3"))</f>
        <v/>
      </c>
    </row>
    <row r="925" spans="5:16" ht="14.25" customHeight="1" x14ac:dyDescent="0.3">
      <c r="E925" s="6"/>
      <c r="I925" s="6"/>
      <c r="J925" s="6" t="str">
        <f>IF(A925="","",COUNTIF(RacePerformance!$F:$F,A925))</f>
        <v/>
      </c>
      <c r="K925" s="6" t="str">
        <f>IF(A925="","",IFERROR(AVERAGEIF(RacePerformance!$F:$F,A925,RacePerformance!$I:$I),""))</f>
        <v/>
      </c>
      <c r="L925" s="6" t="str">
        <f>IF(A925="","",IFERROR(AVERAGEIF(RacePerformance!$F:$F,A925,RacePerformance!$J:$J),""))</f>
        <v/>
      </c>
      <c r="M925" s="6" t="str">
        <f>IF(A925="","",IFERROR(AVERAGEIF(RacePerformance!$F:$F,A925,RacePerformance!$K:$K),""))</f>
        <v/>
      </c>
      <c r="N925" s="6" t="str">
        <f>IF(A925="","",COUNTIFS(RacePerformance!$F:$F,A925,RacePerformance!$I:$I,"&lt;=20"))</f>
        <v/>
      </c>
      <c r="O925" s="6" t="str">
        <f>IF(A925="","",COUNTIFS(RacePerformance!$F:$F,A925,RacePerformance!$I:$I,1))</f>
        <v/>
      </c>
      <c r="P925" s="6" t="str">
        <f>IF(A925="","",COUNTIFS(RacePerformance!$F:$F,A925,RacePerformance!$J:$J,"&lt;=3"))</f>
        <v/>
      </c>
    </row>
    <row r="926" spans="5:16" ht="14.25" customHeight="1" x14ac:dyDescent="0.3">
      <c r="E926" s="6"/>
      <c r="I926" s="6"/>
      <c r="J926" s="6" t="str">
        <f>IF(A926="","",COUNTIF(RacePerformance!$F:$F,A926))</f>
        <v/>
      </c>
      <c r="K926" s="6" t="str">
        <f>IF(A926="","",IFERROR(AVERAGEIF(RacePerformance!$F:$F,A926,RacePerformance!$I:$I),""))</f>
        <v/>
      </c>
      <c r="L926" s="6" t="str">
        <f>IF(A926="","",IFERROR(AVERAGEIF(RacePerformance!$F:$F,A926,RacePerformance!$J:$J),""))</f>
        <v/>
      </c>
      <c r="M926" s="6" t="str">
        <f>IF(A926="","",IFERROR(AVERAGEIF(RacePerformance!$F:$F,A926,RacePerformance!$K:$K),""))</f>
        <v/>
      </c>
      <c r="N926" s="6" t="str">
        <f>IF(A926="","",COUNTIFS(RacePerformance!$F:$F,A926,RacePerformance!$I:$I,"&lt;=20"))</f>
        <v/>
      </c>
      <c r="O926" s="6" t="str">
        <f>IF(A926="","",COUNTIFS(RacePerformance!$F:$F,A926,RacePerformance!$I:$I,1))</f>
        <v/>
      </c>
      <c r="P926" s="6" t="str">
        <f>IF(A926="","",COUNTIFS(RacePerformance!$F:$F,A926,RacePerformance!$J:$J,"&lt;=3"))</f>
        <v/>
      </c>
    </row>
    <row r="927" spans="5:16" ht="14.25" customHeight="1" x14ac:dyDescent="0.3">
      <c r="E927" s="6"/>
      <c r="I927" s="6"/>
      <c r="J927" s="6" t="str">
        <f>IF(A927="","",COUNTIF(RacePerformance!$F:$F,A927))</f>
        <v/>
      </c>
      <c r="K927" s="6" t="str">
        <f>IF(A927="","",IFERROR(AVERAGEIF(RacePerformance!$F:$F,A927,RacePerformance!$I:$I),""))</f>
        <v/>
      </c>
      <c r="L927" s="6" t="str">
        <f>IF(A927="","",IFERROR(AVERAGEIF(RacePerformance!$F:$F,A927,RacePerformance!$J:$J),""))</f>
        <v/>
      </c>
      <c r="M927" s="6" t="str">
        <f>IF(A927="","",IFERROR(AVERAGEIF(RacePerformance!$F:$F,A927,RacePerformance!$K:$K),""))</f>
        <v/>
      </c>
      <c r="N927" s="6" t="str">
        <f>IF(A927="","",COUNTIFS(RacePerformance!$F:$F,A927,RacePerformance!$I:$I,"&lt;=20"))</f>
        <v/>
      </c>
      <c r="O927" s="6" t="str">
        <f>IF(A927="","",COUNTIFS(RacePerformance!$F:$F,A927,RacePerformance!$I:$I,1))</f>
        <v/>
      </c>
      <c r="P927" s="6" t="str">
        <f>IF(A927="","",COUNTIFS(RacePerformance!$F:$F,A927,RacePerformance!$J:$J,"&lt;=3"))</f>
        <v/>
      </c>
    </row>
    <row r="928" spans="5:16" ht="14.25" customHeight="1" x14ac:dyDescent="0.3">
      <c r="E928" s="6"/>
      <c r="I928" s="6"/>
      <c r="J928" s="6" t="str">
        <f>IF(A928="","",COUNTIF(RacePerformance!$F:$F,A928))</f>
        <v/>
      </c>
      <c r="K928" s="6" t="str">
        <f>IF(A928="","",IFERROR(AVERAGEIF(RacePerformance!$F:$F,A928,RacePerformance!$I:$I),""))</f>
        <v/>
      </c>
      <c r="L928" s="6" t="str">
        <f>IF(A928="","",IFERROR(AVERAGEIF(RacePerformance!$F:$F,A928,RacePerformance!$J:$J),""))</f>
        <v/>
      </c>
      <c r="M928" s="6" t="str">
        <f>IF(A928="","",IFERROR(AVERAGEIF(RacePerformance!$F:$F,A928,RacePerformance!$K:$K),""))</f>
        <v/>
      </c>
      <c r="N928" s="6" t="str">
        <f>IF(A928="","",COUNTIFS(RacePerformance!$F:$F,A928,RacePerformance!$I:$I,"&lt;=20"))</f>
        <v/>
      </c>
      <c r="O928" s="6" t="str">
        <f>IF(A928="","",COUNTIFS(RacePerformance!$F:$F,A928,RacePerformance!$I:$I,1))</f>
        <v/>
      </c>
      <c r="P928" s="6" t="str">
        <f>IF(A928="","",COUNTIFS(RacePerformance!$F:$F,A928,RacePerformance!$J:$J,"&lt;=3"))</f>
        <v/>
      </c>
    </row>
    <row r="929" spans="5:16" ht="14.25" customHeight="1" x14ac:dyDescent="0.3">
      <c r="E929" s="6"/>
      <c r="I929" s="6"/>
      <c r="J929" s="6" t="str">
        <f>IF(A929="","",COUNTIF(RacePerformance!$F:$F,A929))</f>
        <v/>
      </c>
      <c r="K929" s="6" t="str">
        <f>IF(A929="","",IFERROR(AVERAGEIF(RacePerformance!$F:$F,A929,RacePerformance!$I:$I),""))</f>
        <v/>
      </c>
      <c r="L929" s="6" t="str">
        <f>IF(A929="","",IFERROR(AVERAGEIF(RacePerformance!$F:$F,A929,RacePerformance!$J:$J),""))</f>
        <v/>
      </c>
      <c r="M929" s="6" t="str">
        <f>IF(A929="","",IFERROR(AVERAGEIF(RacePerformance!$F:$F,A929,RacePerformance!$K:$K),""))</f>
        <v/>
      </c>
      <c r="N929" s="6" t="str">
        <f>IF(A929="","",COUNTIFS(RacePerformance!$F:$F,A929,RacePerformance!$I:$I,"&lt;=20"))</f>
        <v/>
      </c>
      <c r="O929" s="6" t="str">
        <f>IF(A929="","",COUNTIFS(RacePerformance!$F:$F,A929,RacePerformance!$I:$I,1))</f>
        <v/>
      </c>
      <c r="P929" s="6" t="str">
        <f>IF(A929="","",COUNTIFS(RacePerformance!$F:$F,A929,RacePerformance!$J:$J,"&lt;=3"))</f>
        <v/>
      </c>
    </row>
    <row r="930" spans="5:16" ht="14.25" customHeight="1" x14ac:dyDescent="0.3">
      <c r="E930" s="6"/>
      <c r="I930" s="6"/>
      <c r="J930" s="6" t="str">
        <f>IF(A930="","",COUNTIF(RacePerformance!$F:$F,A930))</f>
        <v/>
      </c>
      <c r="K930" s="6" t="str">
        <f>IF(A930="","",IFERROR(AVERAGEIF(RacePerformance!$F:$F,A930,RacePerformance!$I:$I),""))</f>
        <v/>
      </c>
      <c r="L930" s="6" t="str">
        <f>IF(A930="","",IFERROR(AVERAGEIF(RacePerformance!$F:$F,A930,RacePerformance!$J:$J),""))</f>
        <v/>
      </c>
      <c r="M930" s="6" t="str">
        <f>IF(A930="","",IFERROR(AVERAGEIF(RacePerformance!$F:$F,A930,RacePerformance!$K:$K),""))</f>
        <v/>
      </c>
      <c r="N930" s="6" t="str">
        <f>IF(A930="","",COUNTIFS(RacePerformance!$F:$F,A930,RacePerformance!$I:$I,"&lt;=20"))</f>
        <v/>
      </c>
      <c r="O930" s="6" t="str">
        <f>IF(A930="","",COUNTIFS(RacePerformance!$F:$F,A930,RacePerformance!$I:$I,1))</f>
        <v/>
      </c>
      <c r="P930" s="6" t="str">
        <f>IF(A930="","",COUNTIFS(RacePerformance!$F:$F,A930,RacePerformance!$J:$J,"&lt;=3"))</f>
        <v/>
      </c>
    </row>
    <row r="931" spans="5:16" ht="14.25" customHeight="1" x14ac:dyDescent="0.3">
      <c r="E931" s="6"/>
      <c r="I931" s="6"/>
      <c r="J931" s="6" t="str">
        <f>IF(A931="","",COUNTIF(RacePerformance!$F:$F,A931))</f>
        <v/>
      </c>
      <c r="K931" s="6" t="str">
        <f>IF(A931="","",IFERROR(AVERAGEIF(RacePerformance!$F:$F,A931,RacePerformance!$I:$I),""))</f>
        <v/>
      </c>
      <c r="L931" s="6" t="str">
        <f>IF(A931="","",IFERROR(AVERAGEIF(RacePerformance!$F:$F,A931,RacePerformance!$J:$J),""))</f>
        <v/>
      </c>
      <c r="M931" s="6" t="str">
        <f>IF(A931="","",IFERROR(AVERAGEIF(RacePerformance!$F:$F,A931,RacePerformance!$K:$K),""))</f>
        <v/>
      </c>
      <c r="N931" s="6" t="str">
        <f>IF(A931="","",COUNTIFS(RacePerformance!$F:$F,A931,RacePerformance!$I:$I,"&lt;=20"))</f>
        <v/>
      </c>
      <c r="O931" s="6" t="str">
        <f>IF(A931="","",COUNTIFS(RacePerformance!$F:$F,A931,RacePerformance!$I:$I,1))</f>
        <v/>
      </c>
      <c r="P931" s="6" t="str">
        <f>IF(A931="","",COUNTIFS(RacePerformance!$F:$F,A931,RacePerformance!$J:$J,"&lt;=3"))</f>
        <v/>
      </c>
    </row>
    <row r="932" spans="5:16" ht="14.25" customHeight="1" x14ac:dyDescent="0.3">
      <c r="E932" s="6"/>
      <c r="I932" s="6"/>
      <c r="J932" s="6" t="str">
        <f>IF(A932="","",COUNTIF(RacePerformance!$F:$F,A932))</f>
        <v/>
      </c>
      <c r="K932" s="6" t="str">
        <f>IF(A932="","",IFERROR(AVERAGEIF(RacePerformance!$F:$F,A932,RacePerformance!$I:$I),""))</f>
        <v/>
      </c>
      <c r="L932" s="6" t="str">
        <f>IF(A932="","",IFERROR(AVERAGEIF(RacePerformance!$F:$F,A932,RacePerformance!$J:$J),""))</f>
        <v/>
      </c>
      <c r="M932" s="6" t="str">
        <f>IF(A932="","",IFERROR(AVERAGEIF(RacePerformance!$F:$F,A932,RacePerformance!$K:$K),""))</f>
        <v/>
      </c>
      <c r="N932" s="6" t="str">
        <f>IF(A932="","",COUNTIFS(RacePerformance!$F:$F,A932,RacePerformance!$I:$I,"&lt;=20"))</f>
        <v/>
      </c>
      <c r="O932" s="6" t="str">
        <f>IF(A932="","",COUNTIFS(RacePerformance!$F:$F,A932,RacePerformance!$I:$I,1))</f>
        <v/>
      </c>
      <c r="P932" s="6" t="str">
        <f>IF(A932="","",COUNTIFS(RacePerformance!$F:$F,A932,RacePerformance!$J:$J,"&lt;=3"))</f>
        <v/>
      </c>
    </row>
    <row r="933" spans="5:16" ht="14.25" customHeight="1" x14ac:dyDescent="0.3">
      <c r="E933" s="6"/>
      <c r="I933" s="6"/>
      <c r="J933" s="6" t="str">
        <f>IF(A933="","",COUNTIF(RacePerformance!$F:$F,A933))</f>
        <v/>
      </c>
      <c r="K933" s="6" t="str">
        <f>IF(A933="","",IFERROR(AVERAGEIF(RacePerformance!$F:$F,A933,RacePerformance!$I:$I),""))</f>
        <v/>
      </c>
      <c r="L933" s="6" t="str">
        <f>IF(A933="","",IFERROR(AVERAGEIF(RacePerformance!$F:$F,A933,RacePerformance!$J:$J),""))</f>
        <v/>
      </c>
      <c r="M933" s="6" t="str">
        <f>IF(A933="","",IFERROR(AVERAGEIF(RacePerformance!$F:$F,A933,RacePerformance!$K:$K),""))</f>
        <v/>
      </c>
      <c r="N933" s="6" t="str">
        <f>IF(A933="","",COUNTIFS(RacePerformance!$F:$F,A933,RacePerformance!$I:$I,"&lt;=20"))</f>
        <v/>
      </c>
      <c r="O933" s="6" t="str">
        <f>IF(A933="","",COUNTIFS(RacePerformance!$F:$F,A933,RacePerformance!$I:$I,1))</f>
        <v/>
      </c>
      <c r="P933" s="6" t="str">
        <f>IF(A933="","",COUNTIFS(RacePerformance!$F:$F,A933,RacePerformance!$J:$J,"&lt;=3"))</f>
        <v/>
      </c>
    </row>
    <row r="934" spans="5:16" ht="14.25" customHeight="1" x14ac:dyDescent="0.3">
      <c r="E934" s="6"/>
      <c r="I934" s="6"/>
      <c r="J934" s="6" t="str">
        <f>IF(A934="","",COUNTIF(RacePerformance!$F:$F,A934))</f>
        <v/>
      </c>
      <c r="K934" s="6" t="str">
        <f>IF(A934="","",IFERROR(AVERAGEIF(RacePerformance!$F:$F,A934,RacePerformance!$I:$I),""))</f>
        <v/>
      </c>
      <c r="L934" s="6" t="str">
        <f>IF(A934="","",IFERROR(AVERAGEIF(RacePerformance!$F:$F,A934,RacePerformance!$J:$J),""))</f>
        <v/>
      </c>
      <c r="M934" s="6" t="str">
        <f>IF(A934="","",IFERROR(AVERAGEIF(RacePerformance!$F:$F,A934,RacePerformance!$K:$K),""))</f>
        <v/>
      </c>
      <c r="N934" s="6" t="str">
        <f>IF(A934="","",COUNTIFS(RacePerformance!$F:$F,A934,RacePerformance!$I:$I,"&lt;=20"))</f>
        <v/>
      </c>
      <c r="O934" s="6" t="str">
        <f>IF(A934="","",COUNTIFS(RacePerformance!$F:$F,A934,RacePerformance!$I:$I,1))</f>
        <v/>
      </c>
      <c r="P934" s="6" t="str">
        <f>IF(A934="","",COUNTIFS(RacePerformance!$F:$F,A934,RacePerformance!$J:$J,"&lt;=3"))</f>
        <v/>
      </c>
    </row>
    <row r="935" spans="5:16" ht="14.25" customHeight="1" x14ac:dyDescent="0.3">
      <c r="E935" s="6"/>
      <c r="I935" s="6"/>
      <c r="J935" s="6" t="str">
        <f>IF(A935="","",COUNTIF(RacePerformance!$F:$F,A935))</f>
        <v/>
      </c>
      <c r="K935" s="6" t="str">
        <f>IF(A935="","",IFERROR(AVERAGEIF(RacePerformance!$F:$F,A935,RacePerformance!$I:$I),""))</f>
        <v/>
      </c>
      <c r="L935" s="6" t="str">
        <f>IF(A935="","",IFERROR(AVERAGEIF(RacePerformance!$F:$F,A935,RacePerformance!$J:$J),""))</f>
        <v/>
      </c>
      <c r="M935" s="6" t="str">
        <f>IF(A935="","",IFERROR(AVERAGEIF(RacePerformance!$F:$F,A935,RacePerformance!$K:$K),""))</f>
        <v/>
      </c>
      <c r="N935" s="6" t="str">
        <f>IF(A935="","",COUNTIFS(RacePerformance!$F:$F,A935,RacePerformance!$I:$I,"&lt;=20"))</f>
        <v/>
      </c>
      <c r="O935" s="6" t="str">
        <f>IF(A935="","",COUNTIFS(RacePerformance!$F:$F,A935,RacePerformance!$I:$I,1))</f>
        <v/>
      </c>
      <c r="P935" s="6" t="str">
        <f>IF(A935="","",COUNTIFS(RacePerformance!$F:$F,A935,RacePerformance!$J:$J,"&lt;=3"))</f>
        <v/>
      </c>
    </row>
    <row r="936" spans="5:16" ht="14.25" customHeight="1" x14ac:dyDescent="0.3">
      <c r="E936" s="6"/>
      <c r="I936" s="6"/>
      <c r="J936" s="6" t="str">
        <f>IF(A936="","",COUNTIF(RacePerformance!$F:$F,A936))</f>
        <v/>
      </c>
      <c r="K936" s="6" t="str">
        <f>IF(A936="","",IFERROR(AVERAGEIF(RacePerformance!$F:$F,A936,RacePerformance!$I:$I),""))</f>
        <v/>
      </c>
      <c r="L936" s="6" t="str">
        <f>IF(A936="","",IFERROR(AVERAGEIF(RacePerformance!$F:$F,A936,RacePerformance!$J:$J),""))</f>
        <v/>
      </c>
      <c r="M936" s="6" t="str">
        <f>IF(A936="","",IFERROR(AVERAGEIF(RacePerformance!$F:$F,A936,RacePerformance!$K:$K),""))</f>
        <v/>
      </c>
      <c r="N936" s="6" t="str">
        <f>IF(A936="","",COUNTIFS(RacePerformance!$F:$F,A936,RacePerformance!$I:$I,"&lt;=20"))</f>
        <v/>
      </c>
      <c r="O936" s="6" t="str">
        <f>IF(A936="","",COUNTIFS(RacePerformance!$F:$F,A936,RacePerformance!$I:$I,1))</f>
        <v/>
      </c>
      <c r="P936" s="6" t="str">
        <f>IF(A936="","",COUNTIFS(RacePerformance!$F:$F,A936,RacePerformance!$J:$J,"&lt;=3"))</f>
        <v/>
      </c>
    </row>
    <row r="937" spans="5:16" ht="14.25" customHeight="1" x14ac:dyDescent="0.3">
      <c r="E937" s="6"/>
      <c r="I937" s="6"/>
      <c r="J937" s="6" t="str">
        <f>IF(A937="","",COUNTIF(RacePerformance!$F:$F,A937))</f>
        <v/>
      </c>
      <c r="K937" s="6" t="str">
        <f>IF(A937="","",IFERROR(AVERAGEIF(RacePerformance!$F:$F,A937,RacePerformance!$I:$I),""))</f>
        <v/>
      </c>
      <c r="L937" s="6" t="str">
        <f>IF(A937="","",IFERROR(AVERAGEIF(RacePerformance!$F:$F,A937,RacePerformance!$J:$J),""))</f>
        <v/>
      </c>
      <c r="M937" s="6" t="str">
        <f>IF(A937="","",IFERROR(AVERAGEIF(RacePerformance!$F:$F,A937,RacePerformance!$K:$K),""))</f>
        <v/>
      </c>
      <c r="N937" s="6" t="str">
        <f>IF(A937="","",COUNTIFS(RacePerformance!$F:$F,A937,RacePerformance!$I:$I,"&lt;=20"))</f>
        <v/>
      </c>
      <c r="O937" s="6" t="str">
        <f>IF(A937="","",COUNTIFS(RacePerformance!$F:$F,A937,RacePerformance!$I:$I,1))</f>
        <v/>
      </c>
      <c r="P937" s="6" t="str">
        <f>IF(A937="","",COUNTIFS(RacePerformance!$F:$F,A937,RacePerformance!$J:$J,"&lt;=3"))</f>
        <v/>
      </c>
    </row>
    <row r="938" spans="5:16" ht="14.25" customHeight="1" x14ac:dyDescent="0.3">
      <c r="E938" s="6"/>
      <c r="I938" s="6"/>
      <c r="J938" s="6" t="str">
        <f>IF(A938="","",COUNTIF(RacePerformance!$F:$F,A938))</f>
        <v/>
      </c>
      <c r="K938" s="6" t="str">
        <f>IF(A938="","",IFERROR(AVERAGEIF(RacePerformance!$F:$F,A938,RacePerformance!$I:$I),""))</f>
        <v/>
      </c>
      <c r="L938" s="6" t="str">
        <f>IF(A938="","",IFERROR(AVERAGEIF(RacePerformance!$F:$F,A938,RacePerformance!$J:$J),""))</f>
        <v/>
      </c>
      <c r="M938" s="6" t="str">
        <f>IF(A938="","",IFERROR(AVERAGEIF(RacePerformance!$F:$F,A938,RacePerformance!$K:$K),""))</f>
        <v/>
      </c>
      <c r="N938" s="6" t="str">
        <f>IF(A938="","",COUNTIFS(RacePerformance!$F:$F,A938,RacePerformance!$I:$I,"&lt;=20"))</f>
        <v/>
      </c>
      <c r="O938" s="6" t="str">
        <f>IF(A938="","",COUNTIFS(RacePerformance!$F:$F,A938,RacePerformance!$I:$I,1))</f>
        <v/>
      </c>
      <c r="P938" s="6" t="str">
        <f>IF(A938="","",COUNTIFS(RacePerformance!$F:$F,A938,RacePerformance!$J:$J,"&lt;=3"))</f>
        <v/>
      </c>
    </row>
    <row r="939" spans="5:16" ht="14.25" customHeight="1" x14ac:dyDescent="0.3">
      <c r="E939" s="6"/>
      <c r="I939" s="6"/>
      <c r="J939" s="6" t="str">
        <f>IF(A939="","",COUNTIF(RacePerformance!$F:$F,A939))</f>
        <v/>
      </c>
      <c r="K939" s="6" t="str">
        <f>IF(A939="","",IFERROR(AVERAGEIF(RacePerformance!$F:$F,A939,RacePerformance!$I:$I),""))</f>
        <v/>
      </c>
      <c r="L939" s="6" t="str">
        <f>IF(A939="","",IFERROR(AVERAGEIF(RacePerformance!$F:$F,A939,RacePerformance!$J:$J),""))</f>
        <v/>
      </c>
      <c r="M939" s="6" t="str">
        <f>IF(A939="","",IFERROR(AVERAGEIF(RacePerformance!$F:$F,A939,RacePerformance!$K:$K),""))</f>
        <v/>
      </c>
      <c r="N939" s="6" t="str">
        <f>IF(A939="","",COUNTIFS(RacePerformance!$F:$F,A939,RacePerformance!$I:$I,"&lt;=20"))</f>
        <v/>
      </c>
      <c r="O939" s="6" t="str">
        <f>IF(A939="","",COUNTIFS(RacePerformance!$F:$F,A939,RacePerformance!$I:$I,1))</f>
        <v/>
      </c>
      <c r="P939" s="6" t="str">
        <f>IF(A939="","",COUNTIFS(RacePerformance!$F:$F,A939,RacePerformance!$J:$J,"&lt;=3"))</f>
        <v/>
      </c>
    </row>
    <row r="940" spans="5:16" ht="14.25" customHeight="1" x14ac:dyDescent="0.3">
      <c r="E940" s="6"/>
      <c r="I940" s="6"/>
      <c r="J940" s="6" t="str">
        <f>IF(A940="","",COUNTIF(RacePerformance!$F:$F,A940))</f>
        <v/>
      </c>
      <c r="K940" s="6" t="str">
        <f>IF(A940="","",IFERROR(AVERAGEIF(RacePerformance!$F:$F,A940,RacePerformance!$I:$I),""))</f>
        <v/>
      </c>
      <c r="L940" s="6" t="str">
        <f>IF(A940="","",IFERROR(AVERAGEIF(RacePerformance!$F:$F,A940,RacePerformance!$J:$J),""))</f>
        <v/>
      </c>
      <c r="M940" s="6" t="str">
        <f>IF(A940="","",IFERROR(AVERAGEIF(RacePerformance!$F:$F,A940,RacePerformance!$K:$K),""))</f>
        <v/>
      </c>
      <c r="N940" s="6" t="str">
        <f>IF(A940="","",COUNTIFS(RacePerformance!$F:$F,A940,RacePerformance!$I:$I,"&lt;=20"))</f>
        <v/>
      </c>
      <c r="O940" s="6" t="str">
        <f>IF(A940="","",COUNTIFS(RacePerformance!$F:$F,A940,RacePerformance!$I:$I,1))</f>
        <v/>
      </c>
      <c r="P940" s="6" t="str">
        <f>IF(A940="","",COUNTIFS(RacePerformance!$F:$F,A940,RacePerformance!$J:$J,"&lt;=3"))</f>
        <v/>
      </c>
    </row>
    <row r="941" spans="5:16" ht="14.25" customHeight="1" x14ac:dyDescent="0.3">
      <c r="E941" s="6"/>
      <c r="I941" s="6"/>
      <c r="J941" s="6" t="str">
        <f>IF(A941="","",COUNTIF(RacePerformance!$F:$F,A941))</f>
        <v/>
      </c>
      <c r="K941" s="6" t="str">
        <f>IF(A941="","",IFERROR(AVERAGEIF(RacePerformance!$F:$F,A941,RacePerformance!$I:$I),""))</f>
        <v/>
      </c>
      <c r="L941" s="6" t="str">
        <f>IF(A941="","",IFERROR(AVERAGEIF(RacePerformance!$F:$F,A941,RacePerformance!$J:$J),""))</f>
        <v/>
      </c>
      <c r="M941" s="6" t="str">
        <f>IF(A941="","",IFERROR(AVERAGEIF(RacePerformance!$F:$F,A941,RacePerformance!$K:$K),""))</f>
        <v/>
      </c>
      <c r="N941" s="6" t="str">
        <f>IF(A941="","",COUNTIFS(RacePerformance!$F:$F,A941,RacePerformance!$I:$I,"&lt;=20"))</f>
        <v/>
      </c>
      <c r="O941" s="6" t="str">
        <f>IF(A941="","",COUNTIFS(RacePerformance!$F:$F,A941,RacePerformance!$I:$I,1))</f>
        <v/>
      </c>
      <c r="P941" s="6" t="str">
        <f>IF(A941="","",COUNTIFS(RacePerformance!$F:$F,A941,RacePerformance!$J:$J,"&lt;=3"))</f>
        <v/>
      </c>
    </row>
    <row r="942" spans="5:16" ht="14.25" customHeight="1" x14ac:dyDescent="0.3">
      <c r="E942" s="6"/>
      <c r="I942" s="6"/>
      <c r="J942" s="6" t="str">
        <f>IF(A942="","",COUNTIF(RacePerformance!$F:$F,A942))</f>
        <v/>
      </c>
      <c r="K942" s="6" t="str">
        <f>IF(A942="","",IFERROR(AVERAGEIF(RacePerformance!$F:$F,A942,RacePerformance!$I:$I),""))</f>
        <v/>
      </c>
      <c r="L942" s="6" t="str">
        <f>IF(A942="","",IFERROR(AVERAGEIF(RacePerformance!$F:$F,A942,RacePerformance!$J:$J),""))</f>
        <v/>
      </c>
      <c r="M942" s="6" t="str">
        <f>IF(A942="","",IFERROR(AVERAGEIF(RacePerformance!$F:$F,A942,RacePerformance!$K:$K),""))</f>
        <v/>
      </c>
      <c r="N942" s="6" t="str">
        <f>IF(A942="","",COUNTIFS(RacePerformance!$F:$F,A942,RacePerformance!$I:$I,"&lt;=20"))</f>
        <v/>
      </c>
      <c r="O942" s="6" t="str">
        <f>IF(A942="","",COUNTIFS(RacePerformance!$F:$F,A942,RacePerformance!$I:$I,1))</f>
        <v/>
      </c>
      <c r="P942" s="6" t="str">
        <f>IF(A942="","",COUNTIFS(RacePerformance!$F:$F,A942,RacePerformance!$J:$J,"&lt;=3"))</f>
        <v/>
      </c>
    </row>
    <row r="943" spans="5:16" ht="14.25" customHeight="1" x14ac:dyDescent="0.3">
      <c r="E943" s="6"/>
      <c r="I943" s="6"/>
      <c r="J943" s="6" t="str">
        <f>IF(A943="","",COUNTIF(RacePerformance!$F:$F,A943))</f>
        <v/>
      </c>
      <c r="K943" s="6" t="str">
        <f>IF(A943="","",IFERROR(AVERAGEIF(RacePerformance!$F:$F,A943,RacePerformance!$I:$I),""))</f>
        <v/>
      </c>
      <c r="L943" s="6" t="str">
        <f>IF(A943="","",IFERROR(AVERAGEIF(RacePerformance!$F:$F,A943,RacePerformance!$J:$J),""))</f>
        <v/>
      </c>
      <c r="M943" s="6" t="str">
        <f>IF(A943="","",IFERROR(AVERAGEIF(RacePerformance!$F:$F,A943,RacePerformance!$K:$K),""))</f>
        <v/>
      </c>
      <c r="N943" s="6" t="str">
        <f>IF(A943="","",COUNTIFS(RacePerformance!$F:$F,A943,RacePerformance!$I:$I,"&lt;=20"))</f>
        <v/>
      </c>
      <c r="O943" s="6" t="str">
        <f>IF(A943="","",COUNTIFS(RacePerformance!$F:$F,A943,RacePerformance!$I:$I,1))</f>
        <v/>
      </c>
      <c r="P943" s="6" t="str">
        <f>IF(A943="","",COUNTIFS(RacePerformance!$F:$F,A943,RacePerformance!$J:$J,"&lt;=3"))</f>
        <v/>
      </c>
    </row>
    <row r="944" spans="5:16" ht="14.25" customHeight="1" x14ac:dyDescent="0.3">
      <c r="E944" s="6"/>
      <c r="I944" s="6"/>
      <c r="J944" s="6" t="str">
        <f>IF(A944="","",COUNTIF(RacePerformance!$F:$F,A944))</f>
        <v/>
      </c>
      <c r="K944" s="6" t="str">
        <f>IF(A944="","",IFERROR(AVERAGEIF(RacePerformance!$F:$F,A944,RacePerformance!$I:$I),""))</f>
        <v/>
      </c>
      <c r="L944" s="6" t="str">
        <f>IF(A944="","",IFERROR(AVERAGEIF(RacePerformance!$F:$F,A944,RacePerformance!$J:$J),""))</f>
        <v/>
      </c>
      <c r="M944" s="6" t="str">
        <f>IF(A944="","",IFERROR(AVERAGEIF(RacePerformance!$F:$F,A944,RacePerformance!$K:$K),""))</f>
        <v/>
      </c>
      <c r="N944" s="6" t="str">
        <f>IF(A944="","",COUNTIFS(RacePerformance!$F:$F,A944,RacePerformance!$I:$I,"&lt;=20"))</f>
        <v/>
      </c>
      <c r="O944" s="6" t="str">
        <f>IF(A944="","",COUNTIFS(RacePerformance!$F:$F,A944,RacePerformance!$I:$I,1))</f>
        <v/>
      </c>
      <c r="P944" s="6" t="str">
        <f>IF(A944="","",COUNTIFS(RacePerformance!$F:$F,A944,RacePerformance!$J:$J,"&lt;=3"))</f>
        <v/>
      </c>
    </row>
    <row r="945" spans="5:16" ht="14.25" customHeight="1" x14ac:dyDescent="0.3">
      <c r="E945" s="6"/>
      <c r="I945" s="6"/>
      <c r="J945" s="6" t="str">
        <f>IF(A945="","",COUNTIF(RacePerformance!$F:$F,A945))</f>
        <v/>
      </c>
      <c r="K945" s="6" t="str">
        <f>IF(A945="","",IFERROR(AVERAGEIF(RacePerformance!$F:$F,A945,RacePerformance!$I:$I),""))</f>
        <v/>
      </c>
      <c r="L945" s="6" t="str">
        <f>IF(A945="","",IFERROR(AVERAGEIF(RacePerformance!$F:$F,A945,RacePerformance!$J:$J),""))</f>
        <v/>
      </c>
      <c r="M945" s="6" t="str">
        <f>IF(A945="","",IFERROR(AVERAGEIF(RacePerformance!$F:$F,A945,RacePerformance!$K:$K),""))</f>
        <v/>
      </c>
      <c r="N945" s="6" t="str">
        <f>IF(A945="","",COUNTIFS(RacePerformance!$F:$F,A945,RacePerformance!$I:$I,"&lt;=20"))</f>
        <v/>
      </c>
      <c r="O945" s="6" t="str">
        <f>IF(A945="","",COUNTIFS(RacePerformance!$F:$F,A945,RacePerformance!$I:$I,1))</f>
        <v/>
      </c>
      <c r="P945" s="6" t="str">
        <f>IF(A945="","",COUNTIFS(RacePerformance!$F:$F,A945,RacePerformance!$J:$J,"&lt;=3"))</f>
        <v/>
      </c>
    </row>
    <row r="946" spans="5:16" ht="14.25" customHeight="1" x14ac:dyDescent="0.3">
      <c r="E946" s="6"/>
      <c r="I946" s="6"/>
      <c r="J946" s="6" t="str">
        <f>IF(A946="","",COUNTIF(RacePerformance!$F:$F,A946))</f>
        <v/>
      </c>
      <c r="K946" s="6" t="str">
        <f>IF(A946="","",IFERROR(AVERAGEIF(RacePerformance!$F:$F,A946,RacePerformance!$I:$I),""))</f>
        <v/>
      </c>
      <c r="L946" s="6" t="str">
        <f>IF(A946="","",IFERROR(AVERAGEIF(RacePerformance!$F:$F,A946,RacePerformance!$J:$J),""))</f>
        <v/>
      </c>
      <c r="M946" s="6" t="str">
        <f>IF(A946="","",IFERROR(AVERAGEIF(RacePerformance!$F:$F,A946,RacePerformance!$K:$K),""))</f>
        <v/>
      </c>
      <c r="N946" s="6" t="str">
        <f>IF(A946="","",COUNTIFS(RacePerformance!$F:$F,A946,RacePerformance!$I:$I,"&lt;=20"))</f>
        <v/>
      </c>
      <c r="O946" s="6" t="str">
        <f>IF(A946="","",COUNTIFS(RacePerformance!$F:$F,A946,RacePerformance!$I:$I,1))</f>
        <v/>
      </c>
      <c r="P946" s="6" t="str">
        <f>IF(A946="","",COUNTIFS(RacePerformance!$F:$F,A946,RacePerformance!$J:$J,"&lt;=3"))</f>
        <v/>
      </c>
    </row>
    <row r="947" spans="5:16" ht="14.25" customHeight="1" x14ac:dyDescent="0.3">
      <c r="E947" s="6"/>
      <c r="I947" s="6"/>
      <c r="J947" s="6" t="str">
        <f>IF(A947="","",COUNTIF(RacePerformance!$F:$F,A947))</f>
        <v/>
      </c>
      <c r="K947" s="6" t="str">
        <f>IF(A947="","",IFERROR(AVERAGEIF(RacePerformance!$F:$F,A947,RacePerformance!$I:$I),""))</f>
        <v/>
      </c>
      <c r="L947" s="6" t="str">
        <f>IF(A947="","",IFERROR(AVERAGEIF(RacePerformance!$F:$F,A947,RacePerformance!$J:$J),""))</f>
        <v/>
      </c>
      <c r="M947" s="6" t="str">
        <f>IF(A947="","",IFERROR(AVERAGEIF(RacePerformance!$F:$F,A947,RacePerformance!$K:$K),""))</f>
        <v/>
      </c>
      <c r="N947" s="6" t="str">
        <f>IF(A947="","",COUNTIFS(RacePerformance!$F:$F,A947,RacePerformance!$I:$I,"&lt;=20"))</f>
        <v/>
      </c>
      <c r="O947" s="6" t="str">
        <f>IF(A947="","",COUNTIFS(RacePerformance!$F:$F,A947,RacePerformance!$I:$I,1))</f>
        <v/>
      </c>
      <c r="P947" s="6" t="str">
        <f>IF(A947="","",COUNTIFS(RacePerformance!$F:$F,A947,RacePerformance!$J:$J,"&lt;=3"))</f>
        <v/>
      </c>
    </row>
    <row r="948" spans="5:16" ht="14.25" customHeight="1" x14ac:dyDescent="0.3">
      <c r="E948" s="6"/>
      <c r="I948" s="6"/>
      <c r="J948" s="6" t="str">
        <f>IF(A948="","",COUNTIF(RacePerformance!$F:$F,A948))</f>
        <v/>
      </c>
      <c r="K948" s="6" t="str">
        <f>IF(A948="","",IFERROR(AVERAGEIF(RacePerformance!$F:$F,A948,RacePerformance!$I:$I),""))</f>
        <v/>
      </c>
      <c r="L948" s="6" t="str">
        <f>IF(A948="","",IFERROR(AVERAGEIF(RacePerformance!$F:$F,A948,RacePerformance!$J:$J),""))</f>
        <v/>
      </c>
      <c r="M948" s="6" t="str">
        <f>IF(A948="","",IFERROR(AVERAGEIF(RacePerformance!$F:$F,A948,RacePerformance!$K:$K),""))</f>
        <v/>
      </c>
      <c r="N948" s="6" t="str">
        <f>IF(A948="","",COUNTIFS(RacePerformance!$F:$F,A948,RacePerformance!$I:$I,"&lt;=20"))</f>
        <v/>
      </c>
      <c r="O948" s="6" t="str">
        <f>IF(A948="","",COUNTIFS(RacePerformance!$F:$F,A948,RacePerformance!$I:$I,1))</f>
        <v/>
      </c>
      <c r="P948" s="6" t="str">
        <f>IF(A948="","",COUNTIFS(RacePerformance!$F:$F,A948,RacePerformance!$J:$J,"&lt;=3"))</f>
        <v/>
      </c>
    </row>
    <row r="949" spans="5:16" ht="14.25" customHeight="1" x14ac:dyDescent="0.3">
      <c r="E949" s="6"/>
      <c r="I949" s="6"/>
      <c r="J949" s="6" t="str">
        <f>IF(A949="","",COUNTIF(RacePerformance!$F:$F,A949))</f>
        <v/>
      </c>
      <c r="K949" s="6" t="str">
        <f>IF(A949="","",IFERROR(AVERAGEIF(RacePerformance!$F:$F,A949,RacePerformance!$I:$I),""))</f>
        <v/>
      </c>
      <c r="L949" s="6" t="str">
        <f>IF(A949="","",IFERROR(AVERAGEIF(RacePerformance!$F:$F,A949,RacePerformance!$J:$J),""))</f>
        <v/>
      </c>
      <c r="M949" s="6" t="str">
        <f>IF(A949="","",IFERROR(AVERAGEIF(RacePerformance!$F:$F,A949,RacePerformance!$K:$K),""))</f>
        <v/>
      </c>
      <c r="N949" s="6" t="str">
        <f>IF(A949="","",COUNTIFS(RacePerformance!$F:$F,A949,RacePerformance!$I:$I,"&lt;=20"))</f>
        <v/>
      </c>
      <c r="O949" s="6" t="str">
        <f>IF(A949="","",COUNTIFS(RacePerformance!$F:$F,A949,RacePerformance!$I:$I,1))</f>
        <v/>
      </c>
      <c r="P949" s="6" t="str">
        <f>IF(A949="","",COUNTIFS(RacePerformance!$F:$F,A949,RacePerformance!$J:$J,"&lt;=3"))</f>
        <v/>
      </c>
    </row>
    <row r="950" spans="5:16" ht="14.25" customHeight="1" x14ac:dyDescent="0.3">
      <c r="E950" s="6"/>
      <c r="I950" s="6"/>
      <c r="J950" s="6" t="str">
        <f>IF(A950="","",COUNTIF(RacePerformance!$F:$F,A950))</f>
        <v/>
      </c>
      <c r="K950" s="6" t="str">
        <f>IF(A950="","",IFERROR(AVERAGEIF(RacePerformance!$F:$F,A950,RacePerformance!$I:$I),""))</f>
        <v/>
      </c>
      <c r="L950" s="6" t="str">
        <f>IF(A950="","",IFERROR(AVERAGEIF(RacePerformance!$F:$F,A950,RacePerformance!$J:$J),""))</f>
        <v/>
      </c>
      <c r="M950" s="6" t="str">
        <f>IF(A950="","",IFERROR(AVERAGEIF(RacePerformance!$F:$F,A950,RacePerformance!$K:$K),""))</f>
        <v/>
      </c>
      <c r="N950" s="6" t="str">
        <f>IF(A950="","",COUNTIFS(RacePerformance!$F:$F,A950,RacePerformance!$I:$I,"&lt;=20"))</f>
        <v/>
      </c>
      <c r="O950" s="6" t="str">
        <f>IF(A950="","",COUNTIFS(RacePerformance!$F:$F,A950,RacePerformance!$I:$I,1))</f>
        <v/>
      </c>
      <c r="P950" s="6" t="str">
        <f>IF(A950="","",COUNTIFS(RacePerformance!$F:$F,A950,RacePerformance!$J:$J,"&lt;=3"))</f>
        <v/>
      </c>
    </row>
    <row r="951" spans="5:16" ht="14.25" customHeight="1" x14ac:dyDescent="0.3">
      <c r="E951" s="6"/>
      <c r="I951" s="6"/>
      <c r="J951" s="6" t="str">
        <f>IF(A951="","",COUNTIF(RacePerformance!$F:$F,A951))</f>
        <v/>
      </c>
      <c r="K951" s="6" t="str">
        <f>IF(A951="","",IFERROR(AVERAGEIF(RacePerformance!$F:$F,A951,RacePerformance!$I:$I),""))</f>
        <v/>
      </c>
      <c r="L951" s="6" t="str">
        <f>IF(A951="","",IFERROR(AVERAGEIF(RacePerformance!$F:$F,A951,RacePerformance!$J:$J),""))</f>
        <v/>
      </c>
      <c r="M951" s="6" t="str">
        <f>IF(A951="","",IFERROR(AVERAGEIF(RacePerformance!$F:$F,A951,RacePerformance!$K:$K),""))</f>
        <v/>
      </c>
      <c r="N951" s="6" t="str">
        <f>IF(A951="","",COUNTIFS(RacePerformance!$F:$F,A951,RacePerformance!$I:$I,"&lt;=20"))</f>
        <v/>
      </c>
      <c r="O951" s="6" t="str">
        <f>IF(A951="","",COUNTIFS(RacePerformance!$F:$F,A951,RacePerformance!$I:$I,1))</f>
        <v/>
      </c>
      <c r="P951" s="6" t="str">
        <f>IF(A951="","",COUNTIFS(RacePerformance!$F:$F,A951,RacePerformance!$J:$J,"&lt;=3"))</f>
        <v/>
      </c>
    </row>
    <row r="952" spans="5:16" ht="14.25" customHeight="1" x14ac:dyDescent="0.3">
      <c r="E952" s="6"/>
      <c r="I952" s="6"/>
      <c r="J952" s="6" t="str">
        <f>IF(A952="","",COUNTIF(RacePerformance!$F:$F,A952))</f>
        <v/>
      </c>
      <c r="K952" s="6" t="str">
        <f>IF(A952="","",IFERROR(AVERAGEIF(RacePerformance!$F:$F,A952,RacePerformance!$I:$I),""))</f>
        <v/>
      </c>
      <c r="L952" s="6" t="str">
        <f>IF(A952="","",IFERROR(AVERAGEIF(RacePerformance!$F:$F,A952,RacePerformance!$J:$J),""))</f>
        <v/>
      </c>
      <c r="M952" s="6" t="str">
        <f>IF(A952="","",IFERROR(AVERAGEIF(RacePerformance!$F:$F,A952,RacePerformance!$K:$K),""))</f>
        <v/>
      </c>
      <c r="N952" s="6" t="str">
        <f>IF(A952="","",COUNTIFS(RacePerformance!$F:$F,A952,RacePerformance!$I:$I,"&lt;=20"))</f>
        <v/>
      </c>
      <c r="O952" s="6" t="str">
        <f>IF(A952="","",COUNTIFS(RacePerformance!$F:$F,A952,RacePerformance!$I:$I,1))</f>
        <v/>
      </c>
      <c r="P952" s="6" t="str">
        <f>IF(A952="","",COUNTIFS(RacePerformance!$F:$F,A952,RacePerformance!$J:$J,"&lt;=3"))</f>
        <v/>
      </c>
    </row>
    <row r="953" spans="5:16" ht="14.25" customHeight="1" x14ac:dyDescent="0.3">
      <c r="E953" s="6"/>
      <c r="I953" s="6"/>
      <c r="J953" s="6" t="str">
        <f>IF(A953="","",COUNTIF(RacePerformance!$F:$F,A953))</f>
        <v/>
      </c>
      <c r="K953" s="6" t="str">
        <f>IF(A953="","",IFERROR(AVERAGEIF(RacePerformance!$F:$F,A953,RacePerformance!$I:$I),""))</f>
        <v/>
      </c>
      <c r="L953" s="6" t="str">
        <f>IF(A953="","",IFERROR(AVERAGEIF(RacePerformance!$F:$F,A953,RacePerformance!$J:$J),""))</f>
        <v/>
      </c>
      <c r="M953" s="6" t="str">
        <f>IF(A953="","",IFERROR(AVERAGEIF(RacePerformance!$F:$F,A953,RacePerformance!$K:$K),""))</f>
        <v/>
      </c>
      <c r="N953" s="6" t="str">
        <f>IF(A953="","",COUNTIFS(RacePerformance!$F:$F,A953,RacePerformance!$I:$I,"&lt;=20"))</f>
        <v/>
      </c>
      <c r="O953" s="6" t="str">
        <f>IF(A953="","",COUNTIFS(RacePerformance!$F:$F,A953,RacePerformance!$I:$I,1))</f>
        <v/>
      </c>
      <c r="P953" s="6" t="str">
        <f>IF(A953="","",COUNTIFS(RacePerformance!$F:$F,A953,RacePerformance!$J:$J,"&lt;=3"))</f>
        <v/>
      </c>
    </row>
    <row r="954" spans="5:16" ht="14.25" customHeight="1" x14ac:dyDescent="0.3">
      <c r="E954" s="6"/>
      <c r="I954" s="6"/>
      <c r="J954" s="6" t="str">
        <f>IF(A954="","",COUNTIF(RacePerformance!$F:$F,A954))</f>
        <v/>
      </c>
      <c r="K954" s="6" t="str">
        <f>IF(A954="","",IFERROR(AVERAGEIF(RacePerformance!$F:$F,A954,RacePerformance!$I:$I),""))</f>
        <v/>
      </c>
      <c r="L954" s="6" t="str">
        <f>IF(A954="","",IFERROR(AVERAGEIF(RacePerformance!$F:$F,A954,RacePerformance!$J:$J),""))</f>
        <v/>
      </c>
      <c r="M954" s="6" t="str">
        <f>IF(A954="","",IFERROR(AVERAGEIF(RacePerformance!$F:$F,A954,RacePerformance!$K:$K),""))</f>
        <v/>
      </c>
      <c r="N954" s="6" t="str">
        <f>IF(A954="","",COUNTIFS(RacePerformance!$F:$F,A954,RacePerformance!$I:$I,"&lt;=20"))</f>
        <v/>
      </c>
      <c r="O954" s="6" t="str">
        <f>IF(A954="","",COUNTIFS(RacePerformance!$F:$F,A954,RacePerformance!$I:$I,1))</f>
        <v/>
      </c>
      <c r="P954" s="6" t="str">
        <f>IF(A954="","",COUNTIFS(RacePerformance!$F:$F,A954,RacePerformance!$J:$J,"&lt;=3"))</f>
        <v/>
      </c>
    </row>
    <row r="955" spans="5:16" ht="14.25" customHeight="1" x14ac:dyDescent="0.3">
      <c r="E955" s="6"/>
      <c r="I955" s="6"/>
      <c r="J955" s="6" t="str">
        <f>IF(A955="","",COUNTIF(RacePerformance!$F:$F,A955))</f>
        <v/>
      </c>
      <c r="K955" s="6" t="str">
        <f>IF(A955="","",IFERROR(AVERAGEIF(RacePerformance!$F:$F,A955,RacePerformance!$I:$I),""))</f>
        <v/>
      </c>
      <c r="L955" s="6" t="str">
        <f>IF(A955="","",IFERROR(AVERAGEIF(RacePerformance!$F:$F,A955,RacePerformance!$J:$J),""))</f>
        <v/>
      </c>
      <c r="M955" s="6" t="str">
        <f>IF(A955="","",IFERROR(AVERAGEIF(RacePerformance!$F:$F,A955,RacePerformance!$K:$K),""))</f>
        <v/>
      </c>
      <c r="N955" s="6" t="str">
        <f>IF(A955="","",COUNTIFS(RacePerformance!$F:$F,A955,RacePerformance!$I:$I,"&lt;=20"))</f>
        <v/>
      </c>
      <c r="O955" s="6" t="str">
        <f>IF(A955="","",COUNTIFS(RacePerformance!$F:$F,A955,RacePerformance!$I:$I,1))</f>
        <v/>
      </c>
      <c r="P955" s="6" t="str">
        <f>IF(A955="","",COUNTIFS(RacePerformance!$F:$F,A955,RacePerformance!$J:$J,"&lt;=3"))</f>
        <v/>
      </c>
    </row>
    <row r="956" spans="5:16" ht="14.25" customHeight="1" x14ac:dyDescent="0.3">
      <c r="E956" s="6"/>
      <c r="I956" s="6"/>
      <c r="J956" s="6" t="str">
        <f>IF(A956="","",COUNTIF(RacePerformance!$F:$F,A956))</f>
        <v/>
      </c>
      <c r="K956" s="6" t="str">
        <f>IF(A956="","",IFERROR(AVERAGEIF(RacePerformance!$F:$F,A956,RacePerformance!$I:$I),""))</f>
        <v/>
      </c>
      <c r="L956" s="6" t="str">
        <f>IF(A956="","",IFERROR(AVERAGEIF(RacePerformance!$F:$F,A956,RacePerformance!$J:$J),""))</f>
        <v/>
      </c>
      <c r="M956" s="6" t="str">
        <f>IF(A956="","",IFERROR(AVERAGEIF(RacePerformance!$F:$F,A956,RacePerformance!$K:$K),""))</f>
        <v/>
      </c>
      <c r="N956" s="6" t="str">
        <f>IF(A956="","",COUNTIFS(RacePerformance!$F:$F,A956,RacePerformance!$I:$I,"&lt;=20"))</f>
        <v/>
      </c>
      <c r="O956" s="6" t="str">
        <f>IF(A956="","",COUNTIFS(RacePerformance!$F:$F,A956,RacePerformance!$I:$I,1))</f>
        <v/>
      </c>
      <c r="P956" s="6" t="str">
        <f>IF(A956="","",COUNTIFS(RacePerformance!$F:$F,A956,RacePerformance!$J:$J,"&lt;=3"))</f>
        <v/>
      </c>
    </row>
    <row r="957" spans="5:16" ht="14.25" customHeight="1" x14ac:dyDescent="0.3">
      <c r="E957" s="6"/>
      <c r="I957" s="6"/>
      <c r="J957" s="6" t="str">
        <f>IF(A957="","",COUNTIF(RacePerformance!$F:$F,A957))</f>
        <v/>
      </c>
      <c r="K957" s="6" t="str">
        <f>IF(A957="","",IFERROR(AVERAGEIF(RacePerformance!$F:$F,A957,RacePerformance!$I:$I),""))</f>
        <v/>
      </c>
      <c r="L957" s="6" t="str">
        <f>IF(A957="","",IFERROR(AVERAGEIF(RacePerformance!$F:$F,A957,RacePerformance!$J:$J),""))</f>
        <v/>
      </c>
      <c r="M957" s="6" t="str">
        <f>IF(A957="","",IFERROR(AVERAGEIF(RacePerformance!$F:$F,A957,RacePerformance!$K:$K),""))</f>
        <v/>
      </c>
      <c r="N957" s="6" t="str">
        <f>IF(A957="","",COUNTIFS(RacePerformance!$F:$F,A957,RacePerformance!$I:$I,"&lt;=20"))</f>
        <v/>
      </c>
      <c r="O957" s="6" t="str">
        <f>IF(A957="","",COUNTIFS(RacePerformance!$F:$F,A957,RacePerformance!$I:$I,1))</f>
        <v/>
      </c>
      <c r="P957" s="6" t="str">
        <f>IF(A957="","",COUNTIFS(RacePerformance!$F:$F,A957,RacePerformance!$J:$J,"&lt;=3"))</f>
        <v/>
      </c>
    </row>
    <row r="958" spans="5:16" ht="14.25" customHeight="1" x14ac:dyDescent="0.3">
      <c r="E958" s="6"/>
      <c r="I958" s="6"/>
      <c r="J958" s="6" t="str">
        <f>IF(A958="","",COUNTIF(RacePerformance!$F:$F,A958))</f>
        <v/>
      </c>
      <c r="K958" s="6" t="str">
        <f>IF(A958="","",IFERROR(AVERAGEIF(RacePerformance!$F:$F,A958,RacePerformance!$I:$I),""))</f>
        <v/>
      </c>
      <c r="L958" s="6" t="str">
        <f>IF(A958="","",IFERROR(AVERAGEIF(RacePerformance!$F:$F,A958,RacePerformance!$J:$J),""))</f>
        <v/>
      </c>
      <c r="M958" s="6" t="str">
        <f>IF(A958="","",IFERROR(AVERAGEIF(RacePerformance!$F:$F,A958,RacePerformance!$K:$K),""))</f>
        <v/>
      </c>
      <c r="N958" s="6" t="str">
        <f>IF(A958="","",COUNTIFS(RacePerformance!$F:$F,A958,RacePerformance!$I:$I,"&lt;=20"))</f>
        <v/>
      </c>
      <c r="O958" s="6" t="str">
        <f>IF(A958="","",COUNTIFS(RacePerformance!$F:$F,A958,RacePerformance!$I:$I,1))</f>
        <v/>
      </c>
      <c r="P958" s="6" t="str">
        <f>IF(A958="","",COUNTIFS(RacePerformance!$F:$F,A958,RacePerformance!$J:$J,"&lt;=3"))</f>
        <v/>
      </c>
    </row>
    <row r="959" spans="5:16" ht="14.25" customHeight="1" x14ac:dyDescent="0.3">
      <c r="E959" s="6"/>
      <c r="I959" s="6"/>
      <c r="J959" s="6" t="str">
        <f>IF(A959="","",COUNTIF(RacePerformance!$F:$F,A959))</f>
        <v/>
      </c>
      <c r="K959" s="6" t="str">
        <f>IF(A959="","",IFERROR(AVERAGEIF(RacePerformance!$F:$F,A959,RacePerformance!$I:$I),""))</f>
        <v/>
      </c>
      <c r="L959" s="6" t="str">
        <f>IF(A959="","",IFERROR(AVERAGEIF(RacePerformance!$F:$F,A959,RacePerformance!$J:$J),""))</f>
        <v/>
      </c>
      <c r="M959" s="6" t="str">
        <f>IF(A959="","",IFERROR(AVERAGEIF(RacePerformance!$F:$F,A959,RacePerformance!$K:$K),""))</f>
        <v/>
      </c>
      <c r="N959" s="6" t="str">
        <f>IF(A959="","",COUNTIFS(RacePerformance!$F:$F,A959,RacePerformance!$I:$I,"&lt;=20"))</f>
        <v/>
      </c>
      <c r="O959" s="6" t="str">
        <f>IF(A959="","",COUNTIFS(RacePerformance!$F:$F,A959,RacePerformance!$I:$I,1))</f>
        <v/>
      </c>
      <c r="P959" s="6" t="str">
        <f>IF(A959="","",COUNTIFS(RacePerformance!$F:$F,A959,RacePerformance!$J:$J,"&lt;=3"))</f>
        <v/>
      </c>
    </row>
    <row r="960" spans="5:16" ht="14.25" customHeight="1" x14ac:dyDescent="0.3">
      <c r="E960" s="6"/>
      <c r="I960" s="6"/>
      <c r="J960" s="6" t="str">
        <f>IF(A960="","",COUNTIF(RacePerformance!$F:$F,A960))</f>
        <v/>
      </c>
      <c r="K960" s="6" t="str">
        <f>IF(A960="","",IFERROR(AVERAGEIF(RacePerformance!$F:$F,A960,RacePerformance!$I:$I),""))</f>
        <v/>
      </c>
      <c r="L960" s="6" t="str">
        <f>IF(A960="","",IFERROR(AVERAGEIF(RacePerformance!$F:$F,A960,RacePerformance!$J:$J),""))</f>
        <v/>
      </c>
      <c r="M960" s="6" t="str">
        <f>IF(A960="","",IFERROR(AVERAGEIF(RacePerformance!$F:$F,A960,RacePerformance!$K:$K),""))</f>
        <v/>
      </c>
      <c r="N960" s="6" t="str">
        <f>IF(A960="","",COUNTIFS(RacePerformance!$F:$F,A960,RacePerformance!$I:$I,"&lt;=20"))</f>
        <v/>
      </c>
      <c r="O960" s="6" t="str">
        <f>IF(A960="","",COUNTIFS(RacePerformance!$F:$F,A960,RacePerformance!$I:$I,1))</f>
        <v/>
      </c>
      <c r="P960" s="6" t="str">
        <f>IF(A960="","",COUNTIFS(RacePerformance!$F:$F,A960,RacePerformance!$J:$J,"&lt;=3"))</f>
        <v/>
      </c>
    </row>
    <row r="961" spans="5:16" ht="14.25" customHeight="1" x14ac:dyDescent="0.3">
      <c r="E961" s="6"/>
      <c r="I961" s="6"/>
      <c r="J961" s="6" t="str">
        <f>IF(A961="","",COUNTIF(RacePerformance!$F:$F,A961))</f>
        <v/>
      </c>
      <c r="K961" s="6" t="str">
        <f>IF(A961="","",IFERROR(AVERAGEIF(RacePerformance!$F:$F,A961,RacePerformance!$I:$I),""))</f>
        <v/>
      </c>
      <c r="L961" s="6" t="str">
        <f>IF(A961="","",IFERROR(AVERAGEIF(RacePerformance!$F:$F,A961,RacePerformance!$J:$J),""))</f>
        <v/>
      </c>
      <c r="M961" s="6" t="str">
        <f>IF(A961="","",IFERROR(AVERAGEIF(RacePerformance!$F:$F,A961,RacePerformance!$K:$K),""))</f>
        <v/>
      </c>
      <c r="N961" s="6" t="str">
        <f>IF(A961="","",COUNTIFS(RacePerformance!$F:$F,A961,RacePerformance!$I:$I,"&lt;=20"))</f>
        <v/>
      </c>
      <c r="O961" s="6" t="str">
        <f>IF(A961="","",COUNTIFS(RacePerformance!$F:$F,A961,RacePerformance!$I:$I,1))</f>
        <v/>
      </c>
      <c r="P961" s="6" t="str">
        <f>IF(A961="","",COUNTIFS(RacePerformance!$F:$F,A961,RacePerformance!$J:$J,"&lt;=3"))</f>
        <v/>
      </c>
    </row>
    <row r="962" spans="5:16" ht="14.25" customHeight="1" x14ac:dyDescent="0.3">
      <c r="E962" s="6"/>
      <c r="I962" s="6"/>
      <c r="J962" s="6" t="str">
        <f>IF(A962="","",COUNTIF(RacePerformance!$F:$F,A962))</f>
        <v/>
      </c>
      <c r="K962" s="6" t="str">
        <f>IF(A962="","",IFERROR(AVERAGEIF(RacePerformance!$F:$F,A962,RacePerformance!$I:$I),""))</f>
        <v/>
      </c>
      <c r="L962" s="6" t="str">
        <f>IF(A962="","",IFERROR(AVERAGEIF(RacePerformance!$F:$F,A962,RacePerformance!$J:$J),""))</f>
        <v/>
      </c>
      <c r="M962" s="6" t="str">
        <f>IF(A962="","",IFERROR(AVERAGEIF(RacePerformance!$F:$F,A962,RacePerformance!$K:$K),""))</f>
        <v/>
      </c>
      <c r="N962" s="6" t="str">
        <f>IF(A962="","",COUNTIFS(RacePerformance!$F:$F,A962,RacePerformance!$I:$I,"&lt;=20"))</f>
        <v/>
      </c>
      <c r="O962" s="6" t="str">
        <f>IF(A962="","",COUNTIFS(RacePerformance!$F:$F,A962,RacePerformance!$I:$I,1))</f>
        <v/>
      </c>
      <c r="P962" s="6" t="str">
        <f>IF(A962="","",COUNTIFS(RacePerformance!$F:$F,A962,RacePerformance!$J:$J,"&lt;=3"))</f>
        <v/>
      </c>
    </row>
    <row r="963" spans="5:16" ht="14.25" customHeight="1" x14ac:dyDescent="0.3">
      <c r="E963" s="6"/>
      <c r="I963" s="6"/>
      <c r="J963" s="6" t="str">
        <f>IF(A963="","",COUNTIF(RacePerformance!$F:$F,A963))</f>
        <v/>
      </c>
      <c r="K963" s="6" t="str">
        <f>IF(A963="","",IFERROR(AVERAGEIF(RacePerformance!$F:$F,A963,RacePerformance!$I:$I),""))</f>
        <v/>
      </c>
      <c r="L963" s="6" t="str">
        <f>IF(A963="","",IFERROR(AVERAGEIF(RacePerformance!$F:$F,A963,RacePerformance!$J:$J),""))</f>
        <v/>
      </c>
      <c r="M963" s="6" t="str">
        <f>IF(A963="","",IFERROR(AVERAGEIF(RacePerformance!$F:$F,A963,RacePerformance!$K:$K),""))</f>
        <v/>
      </c>
      <c r="N963" s="6" t="str">
        <f>IF(A963="","",COUNTIFS(RacePerformance!$F:$F,A963,RacePerformance!$I:$I,"&lt;=20"))</f>
        <v/>
      </c>
      <c r="O963" s="6" t="str">
        <f>IF(A963="","",COUNTIFS(RacePerformance!$F:$F,A963,RacePerformance!$I:$I,1))</f>
        <v/>
      </c>
      <c r="P963" s="6" t="str">
        <f>IF(A963="","",COUNTIFS(RacePerformance!$F:$F,A963,RacePerformance!$J:$J,"&lt;=3"))</f>
        <v/>
      </c>
    </row>
    <row r="964" spans="5:16" ht="14.25" customHeight="1" x14ac:dyDescent="0.3">
      <c r="E964" s="6"/>
      <c r="I964" s="6"/>
      <c r="J964" s="6" t="str">
        <f>IF(A964="","",COUNTIF(RacePerformance!$F:$F,A964))</f>
        <v/>
      </c>
      <c r="K964" s="6" t="str">
        <f>IF(A964="","",IFERROR(AVERAGEIF(RacePerformance!$F:$F,A964,RacePerformance!$I:$I),""))</f>
        <v/>
      </c>
      <c r="L964" s="6" t="str">
        <f>IF(A964="","",IFERROR(AVERAGEIF(RacePerformance!$F:$F,A964,RacePerformance!$J:$J),""))</f>
        <v/>
      </c>
      <c r="M964" s="6" t="str">
        <f>IF(A964="","",IFERROR(AVERAGEIF(RacePerformance!$F:$F,A964,RacePerformance!$K:$K),""))</f>
        <v/>
      </c>
      <c r="N964" s="6" t="str">
        <f>IF(A964="","",COUNTIFS(RacePerformance!$F:$F,A964,RacePerformance!$I:$I,"&lt;=20"))</f>
        <v/>
      </c>
      <c r="O964" s="6" t="str">
        <f>IF(A964="","",COUNTIFS(RacePerformance!$F:$F,A964,RacePerformance!$I:$I,1))</f>
        <v/>
      </c>
      <c r="P964" s="6" t="str">
        <f>IF(A964="","",COUNTIFS(RacePerformance!$F:$F,A964,RacePerformance!$J:$J,"&lt;=3"))</f>
        <v/>
      </c>
    </row>
    <row r="965" spans="5:16" ht="14.25" customHeight="1" x14ac:dyDescent="0.3">
      <c r="E965" s="6"/>
      <c r="I965" s="6"/>
      <c r="J965" s="6" t="str">
        <f>IF(A965="","",COUNTIF(RacePerformance!$F:$F,A965))</f>
        <v/>
      </c>
      <c r="K965" s="6" t="str">
        <f>IF(A965="","",IFERROR(AVERAGEIF(RacePerformance!$F:$F,A965,RacePerformance!$I:$I),""))</f>
        <v/>
      </c>
      <c r="L965" s="6" t="str">
        <f>IF(A965="","",IFERROR(AVERAGEIF(RacePerformance!$F:$F,A965,RacePerformance!$J:$J),""))</f>
        <v/>
      </c>
      <c r="M965" s="6" t="str">
        <f>IF(A965="","",IFERROR(AVERAGEIF(RacePerformance!$F:$F,A965,RacePerformance!$K:$K),""))</f>
        <v/>
      </c>
      <c r="N965" s="6" t="str">
        <f>IF(A965="","",COUNTIFS(RacePerformance!$F:$F,A965,RacePerformance!$I:$I,"&lt;=20"))</f>
        <v/>
      </c>
      <c r="O965" s="6" t="str">
        <f>IF(A965="","",COUNTIFS(RacePerformance!$F:$F,A965,RacePerformance!$I:$I,1))</f>
        <v/>
      </c>
      <c r="P965" s="6" t="str">
        <f>IF(A965="","",COUNTIFS(RacePerformance!$F:$F,A965,RacePerformance!$J:$J,"&lt;=3"))</f>
        <v/>
      </c>
    </row>
    <row r="966" spans="5:16" ht="14.25" customHeight="1" x14ac:dyDescent="0.3">
      <c r="E966" s="6"/>
      <c r="I966" s="6"/>
      <c r="J966" s="6" t="str">
        <f>IF(A966="","",COUNTIF(RacePerformance!$F:$F,A966))</f>
        <v/>
      </c>
      <c r="K966" s="6" t="str">
        <f>IF(A966="","",IFERROR(AVERAGEIF(RacePerformance!$F:$F,A966,RacePerformance!$I:$I),""))</f>
        <v/>
      </c>
      <c r="L966" s="6" t="str">
        <f>IF(A966="","",IFERROR(AVERAGEIF(RacePerformance!$F:$F,A966,RacePerformance!$J:$J),""))</f>
        <v/>
      </c>
      <c r="M966" s="6" t="str">
        <f>IF(A966="","",IFERROR(AVERAGEIF(RacePerformance!$F:$F,A966,RacePerformance!$K:$K),""))</f>
        <v/>
      </c>
      <c r="N966" s="6" t="str">
        <f>IF(A966="","",COUNTIFS(RacePerformance!$F:$F,A966,RacePerformance!$I:$I,"&lt;=20"))</f>
        <v/>
      </c>
      <c r="O966" s="6" t="str">
        <f>IF(A966="","",COUNTIFS(RacePerformance!$F:$F,A966,RacePerformance!$I:$I,1))</f>
        <v/>
      </c>
      <c r="P966" s="6" t="str">
        <f>IF(A966="","",COUNTIFS(RacePerformance!$F:$F,A966,RacePerformance!$J:$J,"&lt;=3"))</f>
        <v/>
      </c>
    </row>
    <row r="967" spans="5:16" ht="14.25" customHeight="1" x14ac:dyDescent="0.3">
      <c r="E967" s="6"/>
      <c r="I967" s="6"/>
      <c r="J967" s="6" t="str">
        <f>IF(A967="","",COUNTIF(RacePerformance!$F:$F,A967))</f>
        <v/>
      </c>
      <c r="K967" s="6" t="str">
        <f>IF(A967="","",IFERROR(AVERAGEIF(RacePerformance!$F:$F,A967,RacePerformance!$I:$I),""))</f>
        <v/>
      </c>
      <c r="L967" s="6" t="str">
        <f>IF(A967="","",IFERROR(AVERAGEIF(RacePerformance!$F:$F,A967,RacePerformance!$J:$J),""))</f>
        <v/>
      </c>
      <c r="M967" s="6" t="str">
        <f>IF(A967="","",IFERROR(AVERAGEIF(RacePerformance!$F:$F,A967,RacePerformance!$K:$K),""))</f>
        <v/>
      </c>
      <c r="N967" s="6" t="str">
        <f>IF(A967="","",COUNTIFS(RacePerformance!$F:$F,A967,RacePerformance!$I:$I,"&lt;=20"))</f>
        <v/>
      </c>
      <c r="O967" s="6" t="str">
        <f>IF(A967="","",COUNTIFS(RacePerformance!$F:$F,A967,RacePerformance!$I:$I,1))</f>
        <v/>
      </c>
      <c r="P967" s="6" t="str">
        <f>IF(A967="","",COUNTIFS(RacePerformance!$F:$F,A967,RacePerformance!$J:$J,"&lt;=3"))</f>
        <v/>
      </c>
    </row>
    <row r="968" spans="5:16" ht="14.25" customHeight="1" x14ac:dyDescent="0.3">
      <c r="E968" s="6"/>
      <c r="I968" s="6"/>
      <c r="J968" s="6" t="str">
        <f>IF(A968="","",COUNTIF(RacePerformance!$F:$F,A968))</f>
        <v/>
      </c>
      <c r="K968" s="6" t="str">
        <f>IF(A968="","",IFERROR(AVERAGEIF(RacePerformance!$F:$F,A968,RacePerformance!$I:$I),""))</f>
        <v/>
      </c>
      <c r="L968" s="6" t="str">
        <f>IF(A968="","",IFERROR(AVERAGEIF(RacePerformance!$F:$F,A968,RacePerformance!$J:$J),""))</f>
        <v/>
      </c>
      <c r="M968" s="6" t="str">
        <f>IF(A968="","",IFERROR(AVERAGEIF(RacePerformance!$F:$F,A968,RacePerformance!$K:$K),""))</f>
        <v/>
      </c>
      <c r="N968" s="6" t="str">
        <f>IF(A968="","",COUNTIFS(RacePerformance!$F:$F,A968,RacePerformance!$I:$I,"&lt;=20"))</f>
        <v/>
      </c>
      <c r="O968" s="6" t="str">
        <f>IF(A968="","",COUNTIFS(RacePerformance!$F:$F,A968,RacePerformance!$I:$I,1))</f>
        <v/>
      </c>
      <c r="P968" s="6" t="str">
        <f>IF(A968="","",COUNTIFS(RacePerformance!$F:$F,A968,RacePerformance!$J:$J,"&lt;=3"))</f>
        <v/>
      </c>
    </row>
    <row r="969" spans="5:16" ht="14.25" customHeight="1" x14ac:dyDescent="0.3">
      <c r="E969" s="6"/>
      <c r="I969" s="6"/>
      <c r="J969" s="6" t="str">
        <f>IF(A969="","",COUNTIF(RacePerformance!$F:$F,A969))</f>
        <v/>
      </c>
      <c r="K969" s="6" t="str">
        <f>IF(A969="","",IFERROR(AVERAGEIF(RacePerformance!$F:$F,A969,RacePerformance!$I:$I),""))</f>
        <v/>
      </c>
      <c r="L969" s="6" t="str">
        <f>IF(A969="","",IFERROR(AVERAGEIF(RacePerformance!$F:$F,A969,RacePerformance!$J:$J),""))</f>
        <v/>
      </c>
      <c r="M969" s="6" t="str">
        <f>IF(A969="","",IFERROR(AVERAGEIF(RacePerformance!$F:$F,A969,RacePerformance!$K:$K),""))</f>
        <v/>
      </c>
      <c r="N969" s="6" t="str">
        <f>IF(A969="","",COUNTIFS(RacePerformance!$F:$F,A969,RacePerformance!$I:$I,"&lt;=20"))</f>
        <v/>
      </c>
      <c r="O969" s="6" t="str">
        <f>IF(A969="","",COUNTIFS(RacePerformance!$F:$F,A969,RacePerformance!$I:$I,1))</f>
        <v/>
      </c>
      <c r="P969" s="6" t="str">
        <f>IF(A969="","",COUNTIFS(RacePerformance!$F:$F,A969,RacePerformance!$J:$J,"&lt;=3"))</f>
        <v/>
      </c>
    </row>
    <row r="970" spans="5:16" ht="14.25" customHeight="1" x14ac:dyDescent="0.3">
      <c r="E970" s="6"/>
      <c r="I970" s="6"/>
      <c r="J970" s="6" t="str">
        <f>IF(A970="","",COUNTIF(RacePerformance!$F:$F,A970))</f>
        <v/>
      </c>
      <c r="K970" s="6" t="str">
        <f>IF(A970="","",IFERROR(AVERAGEIF(RacePerformance!$F:$F,A970,RacePerformance!$I:$I),""))</f>
        <v/>
      </c>
      <c r="L970" s="6" t="str">
        <f>IF(A970="","",IFERROR(AVERAGEIF(RacePerformance!$F:$F,A970,RacePerformance!$J:$J),""))</f>
        <v/>
      </c>
      <c r="M970" s="6" t="str">
        <f>IF(A970="","",IFERROR(AVERAGEIF(RacePerformance!$F:$F,A970,RacePerformance!$K:$K),""))</f>
        <v/>
      </c>
      <c r="N970" s="6" t="str">
        <f>IF(A970="","",COUNTIFS(RacePerformance!$F:$F,A970,RacePerformance!$I:$I,"&lt;=20"))</f>
        <v/>
      </c>
      <c r="O970" s="6" t="str">
        <f>IF(A970="","",COUNTIFS(RacePerformance!$F:$F,A970,RacePerformance!$I:$I,1))</f>
        <v/>
      </c>
      <c r="P970" s="6" t="str">
        <f>IF(A970="","",COUNTIFS(RacePerformance!$F:$F,A970,RacePerformance!$J:$J,"&lt;=3"))</f>
        <v/>
      </c>
    </row>
    <row r="971" spans="5:16" ht="14.25" customHeight="1" x14ac:dyDescent="0.3">
      <c r="E971" s="6"/>
      <c r="I971" s="6"/>
      <c r="J971" s="6" t="str">
        <f>IF(A971="","",COUNTIF(RacePerformance!$F:$F,A971))</f>
        <v/>
      </c>
      <c r="K971" s="6" t="str">
        <f>IF(A971="","",IFERROR(AVERAGEIF(RacePerformance!$F:$F,A971,RacePerformance!$I:$I),""))</f>
        <v/>
      </c>
      <c r="L971" s="6" t="str">
        <f>IF(A971="","",IFERROR(AVERAGEIF(RacePerformance!$F:$F,A971,RacePerformance!$J:$J),""))</f>
        <v/>
      </c>
      <c r="M971" s="6" t="str">
        <f>IF(A971="","",IFERROR(AVERAGEIF(RacePerformance!$F:$F,A971,RacePerformance!$K:$K),""))</f>
        <v/>
      </c>
      <c r="N971" s="6" t="str">
        <f>IF(A971="","",COUNTIFS(RacePerformance!$F:$F,A971,RacePerformance!$I:$I,"&lt;=20"))</f>
        <v/>
      </c>
      <c r="O971" s="6" t="str">
        <f>IF(A971="","",COUNTIFS(RacePerformance!$F:$F,A971,RacePerformance!$I:$I,1))</f>
        <v/>
      </c>
      <c r="P971" s="6" t="str">
        <f>IF(A971="","",COUNTIFS(RacePerformance!$F:$F,A971,RacePerformance!$J:$J,"&lt;=3"))</f>
        <v/>
      </c>
    </row>
    <row r="972" spans="5:16" ht="14.25" customHeight="1" x14ac:dyDescent="0.3">
      <c r="E972" s="6"/>
      <c r="I972" s="6"/>
      <c r="J972" s="6" t="str">
        <f>IF(A972="","",COUNTIF(RacePerformance!$F:$F,A972))</f>
        <v/>
      </c>
      <c r="K972" s="6" t="str">
        <f>IF(A972="","",IFERROR(AVERAGEIF(RacePerformance!$F:$F,A972,RacePerformance!$I:$I),""))</f>
        <v/>
      </c>
      <c r="L972" s="6" t="str">
        <f>IF(A972="","",IFERROR(AVERAGEIF(RacePerformance!$F:$F,A972,RacePerformance!$J:$J),""))</f>
        <v/>
      </c>
      <c r="M972" s="6" t="str">
        <f>IF(A972="","",IFERROR(AVERAGEIF(RacePerformance!$F:$F,A972,RacePerformance!$K:$K),""))</f>
        <v/>
      </c>
      <c r="N972" s="6" t="str">
        <f>IF(A972="","",COUNTIFS(RacePerformance!$F:$F,A972,RacePerformance!$I:$I,"&lt;=20"))</f>
        <v/>
      </c>
      <c r="O972" s="6" t="str">
        <f>IF(A972="","",COUNTIFS(RacePerformance!$F:$F,A972,RacePerformance!$I:$I,1))</f>
        <v/>
      </c>
      <c r="P972" s="6" t="str">
        <f>IF(A972="","",COUNTIFS(RacePerformance!$F:$F,A972,RacePerformance!$J:$J,"&lt;=3"))</f>
        <v/>
      </c>
    </row>
    <row r="973" spans="5:16" ht="14.25" customHeight="1" x14ac:dyDescent="0.3">
      <c r="E973" s="6"/>
      <c r="I973" s="6"/>
      <c r="J973" s="6" t="str">
        <f>IF(A973="","",COUNTIF(RacePerformance!$F:$F,A973))</f>
        <v/>
      </c>
      <c r="K973" s="6" t="str">
        <f>IF(A973="","",IFERROR(AVERAGEIF(RacePerformance!$F:$F,A973,RacePerformance!$I:$I),""))</f>
        <v/>
      </c>
      <c r="L973" s="6" t="str">
        <f>IF(A973="","",IFERROR(AVERAGEIF(RacePerformance!$F:$F,A973,RacePerformance!$J:$J),""))</f>
        <v/>
      </c>
      <c r="M973" s="6" t="str">
        <f>IF(A973="","",IFERROR(AVERAGEIF(RacePerformance!$F:$F,A973,RacePerformance!$K:$K),""))</f>
        <v/>
      </c>
      <c r="N973" s="6" t="str">
        <f>IF(A973="","",COUNTIFS(RacePerformance!$F:$F,A973,RacePerformance!$I:$I,"&lt;=20"))</f>
        <v/>
      </c>
      <c r="O973" s="6" t="str">
        <f>IF(A973="","",COUNTIFS(RacePerformance!$F:$F,A973,RacePerformance!$I:$I,1))</f>
        <v/>
      </c>
      <c r="P973" s="6" t="str">
        <f>IF(A973="","",COUNTIFS(RacePerformance!$F:$F,A973,RacePerformance!$J:$J,"&lt;=3"))</f>
        <v/>
      </c>
    </row>
    <row r="974" spans="5:16" ht="14.25" customHeight="1" x14ac:dyDescent="0.3">
      <c r="E974" s="6"/>
      <c r="I974" s="6"/>
      <c r="J974" s="6" t="str">
        <f>IF(A974="","",COUNTIF(RacePerformance!$F:$F,A974))</f>
        <v/>
      </c>
      <c r="K974" s="6" t="str">
        <f>IF(A974="","",IFERROR(AVERAGEIF(RacePerformance!$F:$F,A974,RacePerformance!$I:$I),""))</f>
        <v/>
      </c>
      <c r="L974" s="6" t="str">
        <f>IF(A974="","",IFERROR(AVERAGEIF(RacePerformance!$F:$F,A974,RacePerformance!$J:$J),""))</f>
        <v/>
      </c>
      <c r="M974" s="6" t="str">
        <f>IF(A974="","",IFERROR(AVERAGEIF(RacePerformance!$F:$F,A974,RacePerformance!$K:$K),""))</f>
        <v/>
      </c>
      <c r="N974" s="6" t="str">
        <f>IF(A974="","",COUNTIFS(RacePerformance!$F:$F,A974,RacePerformance!$I:$I,"&lt;=20"))</f>
        <v/>
      </c>
      <c r="O974" s="6" t="str">
        <f>IF(A974="","",COUNTIFS(RacePerformance!$F:$F,A974,RacePerformance!$I:$I,1))</f>
        <v/>
      </c>
      <c r="P974" s="6" t="str">
        <f>IF(A974="","",COUNTIFS(RacePerformance!$F:$F,A974,RacePerformance!$J:$J,"&lt;=3"))</f>
        <v/>
      </c>
    </row>
    <row r="975" spans="5:16" ht="14.25" customHeight="1" x14ac:dyDescent="0.3">
      <c r="E975" s="6"/>
      <c r="I975" s="6"/>
      <c r="J975" s="6" t="str">
        <f>IF(A975="","",COUNTIF(RacePerformance!$F:$F,A975))</f>
        <v/>
      </c>
      <c r="K975" s="6" t="str">
        <f>IF(A975="","",IFERROR(AVERAGEIF(RacePerformance!$F:$F,A975,RacePerformance!$I:$I),""))</f>
        <v/>
      </c>
      <c r="L975" s="6" t="str">
        <f>IF(A975="","",IFERROR(AVERAGEIF(RacePerformance!$F:$F,A975,RacePerformance!$J:$J),""))</f>
        <v/>
      </c>
      <c r="M975" s="6" t="str">
        <f>IF(A975="","",IFERROR(AVERAGEIF(RacePerformance!$F:$F,A975,RacePerformance!$K:$K),""))</f>
        <v/>
      </c>
      <c r="N975" s="6" t="str">
        <f>IF(A975="","",COUNTIFS(RacePerformance!$F:$F,A975,RacePerformance!$I:$I,"&lt;=20"))</f>
        <v/>
      </c>
      <c r="O975" s="6" t="str">
        <f>IF(A975="","",COUNTIFS(RacePerformance!$F:$F,A975,RacePerformance!$I:$I,1))</f>
        <v/>
      </c>
      <c r="P975" s="6" t="str">
        <f>IF(A975="","",COUNTIFS(RacePerformance!$F:$F,A975,RacePerformance!$J:$J,"&lt;=3"))</f>
        <v/>
      </c>
    </row>
    <row r="976" spans="5:16" ht="14.25" customHeight="1" x14ac:dyDescent="0.3">
      <c r="E976" s="6"/>
      <c r="I976" s="6"/>
      <c r="J976" s="6" t="str">
        <f>IF(A976="","",COUNTIF(RacePerformance!$F:$F,A976))</f>
        <v/>
      </c>
      <c r="K976" s="6" t="str">
        <f>IF(A976="","",IFERROR(AVERAGEIF(RacePerformance!$F:$F,A976,RacePerformance!$I:$I),""))</f>
        <v/>
      </c>
      <c r="L976" s="6" t="str">
        <f>IF(A976="","",IFERROR(AVERAGEIF(RacePerformance!$F:$F,A976,RacePerformance!$J:$J),""))</f>
        <v/>
      </c>
      <c r="M976" s="6" t="str">
        <f>IF(A976="","",IFERROR(AVERAGEIF(RacePerformance!$F:$F,A976,RacePerformance!$K:$K),""))</f>
        <v/>
      </c>
      <c r="N976" s="6" t="str">
        <f>IF(A976="","",COUNTIFS(RacePerformance!$F:$F,A976,RacePerformance!$I:$I,"&lt;=20"))</f>
        <v/>
      </c>
      <c r="O976" s="6" t="str">
        <f>IF(A976="","",COUNTIFS(RacePerformance!$F:$F,A976,RacePerformance!$I:$I,1))</f>
        <v/>
      </c>
      <c r="P976" s="6" t="str">
        <f>IF(A976="","",COUNTIFS(RacePerformance!$F:$F,A976,RacePerformance!$J:$J,"&lt;=3"))</f>
        <v/>
      </c>
    </row>
    <row r="977" spans="5:16" ht="14.25" customHeight="1" x14ac:dyDescent="0.3">
      <c r="E977" s="6"/>
      <c r="I977" s="6"/>
      <c r="J977" s="6" t="str">
        <f>IF(A977="","",COUNTIF(RacePerformance!$F:$F,A977))</f>
        <v/>
      </c>
      <c r="K977" s="6" t="str">
        <f>IF(A977="","",IFERROR(AVERAGEIF(RacePerformance!$F:$F,A977,RacePerformance!$I:$I),""))</f>
        <v/>
      </c>
      <c r="L977" s="6" t="str">
        <f>IF(A977="","",IFERROR(AVERAGEIF(RacePerformance!$F:$F,A977,RacePerformance!$J:$J),""))</f>
        <v/>
      </c>
      <c r="M977" s="6" t="str">
        <f>IF(A977="","",IFERROR(AVERAGEIF(RacePerformance!$F:$F,A977,RacePerformance!$K:$K),""))</f>
        <v/>
      </c>
      <c r="N977" s="6" t="str">
        <f>IF(A977="","",COUNTIFS(RacePerformance!$F:$F,A977,RacePerformance!$I:$I,"&lt;=20"))</f>
        <v/>
      </c>
      <c r="O977" s="6" t="str">
        <f>IF(A977="","",COUNTIFS(RacePerformance!$F:$F,A977,RacePerformance!$I:$I,1))</f>
        <v/>
      </c>
      <c r="P977" s="6" t="str">
        <f>IF(A977="","",COUNTIFS(RacePerformance!$F:$F,A977,RacePerformance!$J:$J,"&lt;=3"))</f>
        <v/>
      </c>
    </row>
    <row r="978" spans="5:16" ht="14.25" customHeight="1" x14ac:dyDescent="0.3">
      <c r="E978" s="6"/>
      <c r="I978" s="6"/>
      <c r="J978" s="6" t="str">
        <f>IF(A978="","",COUNTIF(RacePerformance!$F:$F,A978))</f>
        <v/>
      </c>
      <c r="K978" s="6" t="str">
        <f>IF(A978="","",IFERROR(AVERAGEIF(RacePerformance!$F:$F,A978,RacePerformance!$I:$I),""))</f>
        <v/>
      </c>
      <c r="L978" s="6" t="str">
        <f>IF(A978="","",IFERROR(AVERAGEIF(RacePerformance!$F:$F,A978,RacePerformance!$J:$J),""))</f>
        <v/>
      </c>
      <c r="M978" s="6" t="str">
        <f>IF(A978="","",IFERROR(AVERAGEIF(RacePerformance!$F:$F,A978,RacePerformance!$K:$K),""))</f>
        <v/>
      </c>
      <c r="N978" s="6" t="str">
        <f>IF(A978="","",COUNTIFS(RacePerformance!$F:$F,A978,RacePerformance!$I:$I,"&lt;=20"))</f>
        <v/>
      </c>
      <c r="O978" s="6" t="str">
        <f>IF(A978="","",COUNTIFS(RacePerformance!$F:$F,A978,RacePerformance!$I:$I,1))</f>
        <v/>
      </c>
      <c r="P978" s="6" t="str">
        <f>IF(A978="","",COUNTIFS(RacePerformance!$F:$F,A978,RacePerformance!$J:$J,"&lt;=3"))</f>
        <v/>
      </c>
    </row>
    <row r="979" spans="5:16" ht="14.25" customHeight="1" x14ac:dyDescent="0.3">
      <c r="E979" s="6"/>
      <c r="I979" s="6"/>
      <c r="J979" s="6" t="str">
        <f>IF(A979="","",COUNTIF(RacePerformance!$F:$F,A979))</f>
        <v/>
      </c>
      <c r="K979" s="6" t="str">
        <f>IF(A979="","",IFERROR(AVERAGEIF(RacePerformance!$F:$F,A979,RacePerformance!$I:$I),""))</f>
        <v/>
      </c>
      <c r="L979" s="6" t="str">
        <f>IF(A979="","",IFERROR(AVERAGEIF(RacePerformance!$F:$F,A979,RacePerformance!$J:$J),""))</f>
        <v/>
      </c>
      <c r="M979" s="6" t="str">
        <f>IF(A979="","",IFERROR(AVERAGEIF(RacePerformance!$F:$F,A979,RacePerformance!$K:$K),""))</f>
        <v/>
      </c>
      <c r="N979" s="6" t="str">
        <f>IF(A979="","",COUNTIFS(RacePerformance!$F:$F,A979,RacePerformance!$I:$I,"&lt;=20"))</f>
        <v/>
      </c>
      <c r="O979" s="6" t="str">
        <f>IF(A979="","",COUNTIFS(RacePerformance!$F:$F,A979,RacePerformance!$I:$I,1))</f>
        <v/>
      </c>
      <c r="P979" s="6" t="str">
        <f>IF(A979="","",COUNTIFS(RacePerformance!$F:$F,A979,RacePerformance!$J:$J,"&lt;=3"))</f>
        <v/>
      </c>
    </row>
    <row r="980" spans="5:16" ht="14.25" customHeight="1" x14ac:dyDescent="0.3">
      <c r="E980" s="6"/>
      <c r="I980" s="6"/>
      <c r="J980" s="6" t="str">
        <f>IF(A980="","",COUNTIF(RacePerformance!$F:$F,A980))</f>
        <v/>
      </c>
      <c r="K980" s="6" t="str">
        <f>IF(A980="","",IFERROR(AVERAGEIF(RacePerformance!$F:$F,A980,RacePerformance!$I:$I),""))</f>
        <v/>
      </c>
      <c r="L980" s="6" t="str">
        <f>IF(A980="","",IFERROR(AVERAGEIF(RacePerformance!$F:$F,A980,RacePerformance!$J:$J),""))</f>
        <v/>
      </c>
      <c r="M980" s="6" t="str">
        <f>IF(A980="","",IFERROR(AVERAGEIF(RacePerformance!$F:$F,A980,RacePerformance!$K:$K),""))</f>
        <v/>
      </c>
      <c r="N980" s="6" t="str">
        <f>IF(A980="","",COUNTIFS(RacePerformance!$F:$F,A980,RacePerformance!$I:$I,"&lt;=20"))</f>
        <v/>
      </c>
      <c r="O980" s="6" t="str">
        <f>IF(A980="","",COUNTIFS(RacePerformance!$F:$F,A980,RacePerformance!$I:$I,1))</f>
        <v/>
      </c>
      <c r="P980" s="6" t="str">
        <f>IF(A980="","",COUNTIFS(RacePerformance!$F:$F,A980,RacePerformance!$J:$J,"&lt;=3"))</f>
        <v/>
      </c>
    </row>
    <row r="981" spans="5:16" ht="14.25" customHeight="1" x14ac:dyDescent="0.3">
      <c r="E981" s="6"/>
      <c r="I981" s="6"/>
      <c r="J981" s="6" t="str">
        <f>IF(A981="","",COUNTIF(RacePerformance!$F:$F,A981))</f>
        <v/>
      </c>
      <c r="K981" s="6" t="str">
        <f>IF(A981="","",IFERROR(AVERAGEIF(RacePerformance!$F:$F,A981,RacePerformance!$I:$I),""))</f>
        <v/>
      </c>
      <c r="L981" s="6" t="str">
        <f>IF(A981="","",IFERROR(AVERAGEIF(RacePerformance!$F:$F,A981,RacePerformance!$J:$J),""))</f>
        <v/>
      </c>
      <c r="M981" s="6" t="str">
        <f>IF(A981="","",IFERROR(AVERAGEIF(RacePerformance!$F:$F,A981,RacePerformance!$K:$K),""))</f>
        <v/>
      </c>
      <c r="N981" s="6" t="str">
        <f>IF(A981="","",COUNTIFS(RacePerformance!$F:$F,A981,RacePerformance!$I:$I,"&lt;=20"))</f>
        <v/>
      </c>
      <c r="O981" s="6" t="str">
        <f>IF(A981="","",COUNTIFS(RacePerformance!$F:$F,A981,RacePerformance!$I:$I,1))</f>
        <v/>
      </c>
      <c r="P981" s="6" t="str">
        <f>IF(A981="","",COUNTIFS(RacePerformance!$F:$F,A981,RacePerformance!$J:$J,"&lt;=3"))</f>
        <v/>
      </c>
    </row>
    <row r="982" spans="5:16" ht="14.25" customHeight="1" x14ac:dyDescent="0.3">
      <c r="E982" s="6"/>
      <c r="I982" s="6"/>
      <c r="J982" s="6" t="str">
        <f>IF(A982="","",COUNTIF(RacePerformance!$F:$F,A982))</f>
        <v/>
      </c>
      <c r="K982" s="6" t="str">
        <f>IF(A982="","",IFERROR(AVERAGEIF(RacePerformance!$F:$F,A982,RacePerformance!$I:$I),""))</f>
        <v/>
      </c>
      <c r="L982" s="6" t="str">
        <f>IF(A982="","",IFERROR(AVERAGEIF(RacePerformance!$F:$F,A982,RacePerformance!$J:$J),""))</f>
        <v/>
      </c>
      <c r="M982" s="6" t="str">
        <f>IF(A982="","",IFERROR(AVERAGEIF(RacePerformance!$F:$F,A982,RacePerformance!$K:$K),""))</f>
        <v/>
      </c>
      <c r="N982" s="6" t="str">
        <f>IF(A982="","",COUNTIFS(RacePerformance!$F:$F,A982,RacePerformance!$I:$I,"&lt;=20"))</f>
        <v/>
      </c>
      <c r="O982" s="6" t="str">
        <f>IF(A982="","",COUNTIFS(RacePerformance!$F:$F,A982,RacePerformance!$I:$I,1))</f>
        <v/>
      </c>
      <c r="P982" s="6" t="str">
        <f>IF(A982="","",COUNTIFS(RacePerformance!$F:$F,A982,RacePerformance!$J:$J,"&lt;=3"))</f>
        <v/>
      </c>
    </row>
    <row r="983" spans="5:16" ht="14.25" customHeight="1" x14ac:dyDescent="0.3">
      <c r="E983" s="6"/>
      <c r="I983" s="6"/>
      <c r="J983" s="6" t="str">
        <f>IF(A983="","",COUNTIF(RacePerformance!$F:$F,A983))</f>
        <v/>
      </c>
      <c r="K983" s="6" t="str">
        <f>IF(A983="","",IFERROR(AVERAGEIF(RacePerformance!$F:$F,A983,RacePerformance!$I:$I),""))</f>
        <v/>
      </c>
      <c r="L983" s="6" t="str">
        <f>IF(A983="","",IFERROR(AVERAGEIF(RacePerformance!$F:$F,A983,RacePerformance!$J:$J),""))</f>
        <v/>
      </c>
      <c r="M983" s="6" t="str">
        <f>IF(A983="","",IFERROR(AVERAGEIF(RacePerformance!$F:$F,A983,RacePerformance!$K:$K),""))</f>
        <v/>
      </c>
      <c r="N983" s="6" t="str">
        <f>IF(A983="","",COUNTIFS(RacePerformance!$F:$F,A983,RacePerformance!$I:$I,"&lt;=20"))</f>
        <v/>
      </c>
      <c r="O983" s="6" t="str">
        <f>IF(A983="","",COUNTIFS(RacePerformance!$F:$F,A983,RacePerformance!$I:$I,1))</f>
        <v/>
      </c>
      <c r="P983" s="6" t="str">
        <f>IF(A983="","",COUNTIFS(RacePerformance!$F:$F,A983,RacePerformance!$J:$J,"&lt;=3"))</f>
        <v/>
      </c>
    </row>
    <row r="984" spans="5:16" ht="14.25" customHeight="1" x14ac:dyDescent="0.3">
      <c r="E984" s="6"/>
      <c r="I984" s="6"/>
      <c r="J984" s="6" t="str">
        <f>IF(A984="","",COUNTIF(RacePerformance!$F:$F,A984))</f>
        <v/>
      </c>
      <c r="K984" s="6" t="str">
        <f>IF(A984="","",IFERROR(AVERAGEIF(RacePerformance!$F:$F,A984,RacePerformance!$I:$I),""))</f>
        <v/>
      </c>
      <c r="L984" s="6" t="str">
        <f>IF(A984="","",IFERROR(AVERAGEIF(RacePerformance!$F:$F,A984,RacePerformance!$J:$J),""))</f>
        <v/>
      </c>
      <c r="M984" s="6" t="str">
        <f>IF(A984="","",IFERROR(AVERAGEIF(RacePerformance!$F:$F,A984,RacePerformance!$K:$K),""))</f>
        <v/>
      </c>
      <c r="N984" s="6" t="str">
        <f>IF(A984="","",COUNTIFS(RacePerformance!$F:$F,A984,RacePerformance!$I:$I,"&lt;=20"))</f>
        <v/>
      </c>
      <c r="O984" s="6" t="str">
        <f>IF(A984="","",COUNTIFS(RacePerformance!$F:$F,A984,RacePerformance!$I:$I,1))</f>
        <v/>
      </c>
      <c r="P984" s="6" t="str">
        <f>IF(A984="","",COUNTIFS(RacePerformance!$F:$F,A984,RacePerformance!$J:$J,"&lt;=3"))</f>
        <v/>
      </c>
    </row>
    <row r="985" spans="5:16" ht="14.25" customHeight="1" x14ac:dyDescent="0.3">
      <c r="E985" s="6"/>
      <c r="I985" s="6"/>
      <c r="J985" s="6" t="str">
        <f>IF(A985="","",COUNTIF(RacePerformance!$F:$F,A985))</f>
        <v/>
      </c>
      <c r="K985" s="6" t="str">
        <f>IF(A985="","",IFERROR(AVERAGEIF(RacePerformance!$F:$F,A985,RacePerformance!$I:$I),""))</f>
        <v/>
      </c>
      <c r="L985" s="6" t="str">
        <f>IF(A985="","",IFERROR(AVERAGEIF(RacePerformance!$F:$F,A985,RacePerformance!$J:$J),""))</f>
        <v/>
      </c>
      <c r="M985" s="6" t="str">
        <f>IF(A985="","",IFERROR(AVERAGEIF(RacePerformance!$F:$F,A985,RacePerformance!$K:$K),""))</f>
        <v/>
      </c>
      <c r="N985" s="6" t="str">
        <f>IF(A985="","",COUNTIFS(RacePerformance!$F:$F,A985,RacePerformance!$I:$I,"&lt;=20"))</f>
        <v/>
      </c>
      <c r="O985" s="6" t="str">
        <f>IF(A985="","",COUNTIFS(RacePerformance!$F:$F,A985,RacePerformance!$I:$I,1))</f>
        <v/>
      </c>
      <c r="P985" s="6" t="str">
        <f>IF(A985="","",COUNTIFS(RacePerformance!$F:$F,A985,RacePerformance!$J:$J,"&lt;=3"))</f>
        <v/>
      </c>
    </row>
    <row r="986" spans="5:16" ht="14.25" customHeight="1" x14ac:dyDescent="0.3">
      <c r="E986" s="6"/>
      <c r="I986" s="6"/>
      <c r="J986" s="6" t="str">
        <f>IF(A986="","",COUNTIF(RacePerformance!$F:$F,A986))</f>
        <v/>
      </c>
      <c r="K986" s="6" t="str">
        <f>IF(A986="","",IFERROR(AVERAGEIF(RacePerformance!$F:$F,A986,RacePerformance!$I:$I),""))</f>
        <v/>
      </c>
      <c r="L986" s="6" t="str">
        <f>IF(A986="","",IFERROR(AVERAGEIF(RacePerformance!$F:$F,A986,RacePerformance!$J:$J),""))</f>
        <v/>
      </c>
      <c r="M986" s="6" t="str">
        <f>IF(A986="","",IFERROR(AVERAGEIF(RacePerformance!$F:$F,A986,RacePerformance!$K:$K),""))</f>
        <v/>
      </c>
      <c r="N986" s="6" t="str">
        <f>IF(A986="","",COUNTIFS(RacePerformance!$F:$F,A986,RacePerformance!$I:$I,"&lt;=20"))</f>
        <v/>
      </c>
      <c r="O986" s="6" t="str">
        <f>IF(A986="","",COUNTIFS(RacePerformance!$F:$F,A986,RacePerformance!$I:$I,1))</f>
        <v/>
      </c>
      <c r="P986" s="6" t="str">
        <f>IF(A986="","",COUNTIFS(RacePerformance!$F:$F,A986,RacePerformance!$J:$J,"&lt;=3"))</f>
        <v/>
      </c>
    </row>
    <row r="987" spans="5:16" ht="14.25" customHeight="1" x14ac:dyDescent="0.3">
      <c r="E987" s="6"/>
      <c r="I987" s="6"/>
      <c r="J987" s="6" t="str">
        <f>IF(A987="","",COUNTIF(RacePerformance!$F:$F,A987))</f>
        <v/>
      </c>
      <c r="K987" s="6" t="str">
        <f>IF(A987="","",IFERROR(AVERAGEIF(RacePerformance!$F:$F,A987,RacePerformance!$I:$I),""))</f>
        <v/>
      </c>
      <c r="L987" s="6" t="str">
        <f>IF(A987="","",IFERROR(AVERAGEIF(RacePerformance!$F:$F,A987,RacePerformance!$J:$J),""))</f>
        <v/>
      </c>
      <c r="M987" s="6" t="str">
        <f>IF(A987="","",IFERROR(AVERAGEIF(RacePerformance!$F:$F,A987,RacePerformance!$K:$K),""))</f>
        <v/>
      </c>
      <c r="N987" s="6" t="str">
        <f>IF(A987="","",COUNTIFS(RacePerformance!$F:$F,A987,RacePerformance!$I:$I,"&lt;=20"))</f>
        <v/>
      </c>
      <c r="O987" s="6" t="str">
        <f>IF(A987="","",COUNTIFS(RacePerformance!$F:$F,A987,RacePerformance!$I:$I,1))</f>
        <v/>
      </c>
      <c r="P987" s="6" t="str">
        <f>IF(A987="","",COUNTIFS(RacePerformance!$F:$F,A987,RacePerformance!$J:$J,"&lt;=3"))</f>
        <v/>
      </c>
    </row>
    <row r="988" spans="5:16" ht="14.25" customHeight="1" x14ac:dyDescent="0.3">
      <c r="E988" s="6"/>
      <c r="I988" s="6"/>
      <c r="J988" s="6" t="str">
        <f>IF(A988="","",COUNTIF(RacePerformance!$F:$F,A988))</f>
        <v/>
      </c>
      <c r="K988" s="6" t="str">
        <f>IF(A988="","",IFERROR(AVERAGEIF(RacePerformance!$F:$F,A988,RacePerformance!$I:$I),""))</f>
        <v/>
      </c>
      <c r="L988" s="6" t="str">
        <f>IF(A988="","",IFERROR(AVERAGEIF(RacePerformance!$F:$F,A988,RacePerformance!$J:$J),""))</f>
        <v/>
      </c>
      <c r="M988" s="6" t="str">
        <f>IF(A988="","",IFERROR(AVERAGEIF(RacePerformance!$F:$F,A988,RacePerformance!$K:$K),""))</f>
        <v/>
      </c>
      <c r="N988" s="6" t="str">
        <f>IF(A988="","",COUNTIFS(RacePerformance!$F:$F,A988,RacePerformance!$I:$I,"&lt;=20"))</f>
        <v/>
      </c>
      <c r="O988" s="6" t="str">
        <f>IF(A988="","",COUNTIFS(RacePerformance!$F:$F,A988,RacePerformance!$I:$I,1))</f>
        <v/>
      </c>
      <c r="P988" s="6" t="str">
        <f>IF(A988="","",COUNTIFS(RacePerformance!$F:$F,A988,RacePerformance!$J:$J,"&lt;=3"))</f>
        <v/>
      </c>
    </row>
    <row r="989" spans="5:16" ht="14.25" customHeight="1" x14ac:dyDescent="0.3">
      <c r="E989" s="6"/>
      <c r="I989" s="6"/>
      <c r="J989" s="6" t="str">
        <f>IF(A989="","",COUNTIF(RacePerformance!$F:$F,A989))</f>
        <v/>
      </c>
      <c r="K989" s="6" t="str">
        <f>IF(A989="","",IFERROR(AVERAGEIF(RacePerformance!$F:$F,A989,RacePerformance!$I:$I),""))</f>
        <v/>
      </c>
      <c r="L989" s="6" t="str">
        <f>IF(A989="","",IFERROR(AVERAGEIF(RacePerformance!$F:$F,A989,RacePerformance!$J:$J),""))</f>
        <v/>
      </c>
      <c r="M989" s="6" t="str">
        <f>IF(A989="","",IFERROR(AVERAGEIF(RacePerformance!$F:$F,A989,RacePerformance!$K:$K),""))</f>
        <v/>
      </c>
      <c r="N989" s="6" t="str">
        <f>IF(A989="","",COUNTIFS(RacePerformance!$F:$F,A989,RacePerformance!$I:$I,"&lt;=20"))</f>
        <v/>
      </c>
      <c r="O989" s="6" t="str">
        <f>IF(A989="","",COUNTIFS(RacePerformance!$F:$F,A989,RacePerformance!$I:$I,1))</f>
        <v/>
      </c>
      <c r="P989" s="6" t="str">
        <f>IF(A989="","",COUNTIFS(RacePerformance!$F:$F,A989,RacePerformance!$J:$J,"&lt;=3"))</f>
        <v/>
      </c>
    </row>
    <row r="990" spans="5:16" ht="14.25" customHeight="1" x14ac:dyDescent="0.3">
      <c r="E990" s="6"/>
      <c r="I990" s="6"/>
      <c r="J990" s="6" t="str">
        <f>IF(A990="","",COUNTIF(RacePerformance!$F:$F,A990))</f>
        <v/>
      </c>
      <c r="K990" s="6" t="str">
        <f>IF(A990="","",IFERROR(AVERAGEIF(RacePerformance!$F:$F,A990,RacePerformance!$I:$I),""))</f>
        <v/>
      </c>
      <c r="L990" s="6" t="str">
        <f>IF(A990="","",IFERROR(AVERAGEIF(RacePerformance!$F:$F,A990,RacePerformance!$J:$J),""))</f>
        <v/>
      </c>
      <c r="M990" s="6" t="str">
        <f>IF(A990="","",IFERROR(AVERAGEIF(RacePerformance!$F:$F,A990,RacePerformance!$K:$K),""))</f>
        <v/>
      </c>
      <c r="N990" s="6" t="str">
        <f>IF(A990="","",COUNTIFS(RacePerformance!$F:$F,A990,RacePerformance!$I:$I,"&lt;=20"))</f>
        <v/>
      </c>
      <c r="O990" s="6" t="str">
        <f>IF(A990="","",COUNTIFS(RacePerformance!$F:$F,A990,RacePerformance!$I:$I,1))</f>
        <v/>
      </c>
      <c r="P990" s="6" t="str">
        <f>IF(A990="","",COUNTIFS(RacePerformance!$F:$F,A990,RacePerformance!$J:$J,"&lt;=3"))</f>
        <v/>
      </c>
    </row>
    <row r="991" spans="5:16" ht="14.25" customHeight="1" x14ac:dyDescent="0.3">
      <c r="E991" s="6"/>
      <c r="I991" s="6"/>
      <c r="J991" s="6" t="str">
        <f>IF(A991="","",COUNTIF(RacePerformance!$F:$F,A991))</f>
        <v/>
      </c>
      <c r="K991" s="6" t="str">
        <f>IF(A991="","",IFERROR(AVERAGEIF(RacePerformance!$F:$F,A991,RacePerformance!$I:$I),""))</f>
        <v/>
      </c>
      <c r="L991" s="6" t="str">
        <f>IF(A991="","",IFERROR(AVERAGEIF(RacePerformance!$F:$F,A991,RacePerformance!$J:$J),""))</f>
        <v/>
      </c>
      <c r="M991" s="6" t="str">
        <f>IF(A991="","",IFERROR(AVERAGEIF(RacePerformance!$F:$F,A991,RacePerformance!$K:$K),""))</f>
        <v/>
      </c>
      <c r="N991" s="6" t="str">
        <f>IF(A991="","",COUNTIFS(RacePerformance!$F:$F,A991,RacePerformance!$I:$I,"&lt;=20"))</f>
        <v/>
      </c>
      <c r="O991" s="6" t="str">
        <f>IF(A991="","",COUNTIFS(RacePerformance!$F:$F,A991,RacePerformance!$I:$I,1))</f>
        <v/>
      </c>
      <c r="P991" s="6" t="str">
        <f>IF(A991="","",COUNTIFS(RacePerformance!$F:$F,A991,RacePerformance!$J:$J,"&lt;=3"))</f>
        <v/>
      </c>
    </row>
    <row r="992" spans="5:16" ht="14.25" customHeight="1" x14ac:dyDescent="0.3">
      <c r="E992" s="6"/>
      <c r="I992" s="6"/>
      <c r="J992" s="6" t="str">
        <f>IF(A992="","",COUNTIF(RacePerformance!$F:$F,A992))</f>
        <v/>
      </c>
      <c r="K992" s="6" t="str">
        <f>IF(A992="","",IFERROR(AVERAGEIF(RacePerformance!$F:$F,A992,RacePerformance!$I:$I),""))</f>
        <v/>
      </c>
      <c r="L992" s="6" t="str">
        <f>IF(A992="","",IFERROR(AVERAGEIF(RacePerformance!$F:$F,A992,RacePerformance!$J:$J),""))</f>
        <v/>
      </c>
      <c r="M992" s="6" t="str">
        <f>IF(A992="","",IFERROR(AVERAGEIF(RacePerformance!$F:$F,A992,RacePerformance!$K:$K),""))</f>
        <v/>
      </c>
      <c r="N992" s="6" t="str">
        <f>IF(A992="","",COUNTIFS(RacePerformance!$F:$F,A992,RacePerformance!$I:$I,"&lt;=20"))</f>
        <v/>
      </c>
      <c r="O992" s="6" t="str">
        <f>IF(A992="","",COUNTIFS(RacePerformance!$F:$F,A992,RacePerformance!$I:$I,1))</f>
        <v/>
      </c>
      <c r="P992" s="6" t="str">
        <f>IF(A992="","",COUNTIFS(RacePerformance!$F:$F,A992,RacePerformance!$J:$J,"&lt;=3"))</f>
        <v/>
      </c>
    </row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P992" xr:uid="{00000000-0009-0000-0000-000001000000}"/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Lists!$B$2:$B$3</xm:f>
          </x14:formula1>
          <xm:sqref>E2:E992 I2:I992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O1000"/>
  <sheetViews>
    <sheetView workbookViewId="0"/>
  </sheetViews>
  <sheetFormatPr defaultColWidth="14.44140625" defaultRowHeight="15" customHeight="1" x14ac:dyDescent="0.3"/>
  <cols>
    <col min="1" max="1" width="21.6640625" customWidth="1"/>
    <col min="2" max="2" width="18" customWidth="1"/>
    <col min="3" max="3" width="12" customWidth="1"/>
    <col min="4" max="5" width="15.33203125" customWidth="1"/>
    <col min="6" max="6" width="19.33203125" customWidth="1"/>
    <col min="7" max="7" width="14.109375" customWidth="1"/>
    <col min="8" max="8" width="16" customWidth="1"/>
    <col min="9" max="10" width="14" customWidth="1"/>
    <col min="11" max="11" width="15.88671875" customWidth="1"/>
    <col min="12" max="12" width="8.109375" customWidth="1"/>
    <col min="13" max="13" width="9.109375" customWidth="1"/>
    <col min="14" max="26" width="8.6640625" customWidth="1"/>
  </cols>
  <sheetData>
    <row r="1" spans="1:15" ht="14.25" customHeight="1" x14ac:dyDescent="0.3">
      <c r="A1" s="11" t="s">
        <v>94</v>
      </c>
      <c r="B1" s="11" t="s">
        <v>95</v>
      </c>
      <c r="C1" s="11" t="s">
        <v>96</v>
      </c>
      <c r="D1" s="11" t="s">
        <v>97</v>
      </c>
      <c r="E1" s="11" t="s">
        <v>98</v>
      </c>
      <c r="F1" s="11" t="s">
        <v>99</v>
      </c>
      <c r="G1" s="11" t="s">
        <v>41</v>
      </c>
      <c r="H1" s="11" t="s">
        <v>100</v>
      </c>
      <c r="I1" s="11" t="s">
        <v>101</v>
      </c>
      <c r="J1" s="11" t="s">
        <v>102</v>
      </c>
      <c r="K1" s="11" t="s">
        <v>46</v>
      </c>
      <c r="L1" s="11" t="s">
        <v>47</v>
      </c>
      <c r="M1" s="11" t="s">
        <v>48</v>
      </c>
      <c r="N1" s="11" t="s">
        <v>103</v>
      </c>
      <c r="O1" s="11" t="s">
        <v>41</v>
      </c>
    </row>
    <row r="2" spans="1:15" ht="14.25" hidden="1" customHeight="1" x14ac:dyDescent="0.3">
      <c r="A2" s="4">
        <v>28732</v>
      </c>
      <c r="B2" s="4"/>
      <c r="C2" s="4"/>
      <c r="D2" s="4" t="str">
        <f>IFERROR(AVERAGEIF(Chicks!$F:$F, $A2, Chicks!$H:$H), "")</f>
        <v/>
      </c>
      <c r="E2" s="4"/>
      <c r="F2" s="6">
        <f>IF(A2="","",COUNTIF(Chicks!$F:$F,A2))</f>
        <v>0</v>
      </c>
      <c r="G2" s="6">
        <f>IF(A2="","",COUNTIFS(Chicks!$F:$F,A2,Chicks!$I:$I,"Yes"))</f>
        <v>0</v>
      </c>
      <c r="H2" s="6">
        <f>IF(A2="","",SUMIFS(Chicks!$J:$J,Chicks!$F:$F,A2))</f>
        <v>0</v>
      </c>
      <c r="I2" s="6">
        <f>IF(A2="","",COUNTIFS(Chicks!$F:$F,A2,Chicks!$I:$I,"No"))</f>
        <v>0</v>
      </c>
      <c r="J2" s="6" t="str">
        <f>IF(A2="","",IFERROR(AVERAGEIF(Chicks!$F:$F,A2,Chicks!$M:$M),""))</f>
        <v/>
      </c>
      <c r="K2" s="6">
        <f>IF(A2="","",SUMIFS(Chicks!$N:$N,Chicks!$F:$F,A2))</f>
        <v>0</v>
      </c>
      <c r="L2" s="6">
        <f>IF(A2="","",SUMIFS(Chicks!$O:$O,Chicks!$F:$F,A2))</f>
        <v>0</v>
      </c>
      <c r="M2" s="6">
        <f>IF(A2="","",SUMIFS(Chicks!$P:$P,Chicks!$F:$F,A2))</f>
        <v>0</v>
      </c>
      <c r="N2" s="6" t="str">
        <f t="shared" ref="N2:N256" si="0">IF($J2="","",RANK($J2,$J$2:$J$997,0))</f>
        <v/>
      </c>
    </row>
    <row r="3" spans="1:15" ht="14.25" hidden="1" customHeight="1" x14ac:dyDescent="0.3">
      <c r="A3" s="4">
        <v>129</v>
      </c>
      <c r="B3" s="4"/>
      <c r="C3" s="4"/>
      <c r="D3" s="4" t="str">
        <f>IFERROR(AVERAGEIF(Chicks!$F:$F, $A3, Chicks!$H:$H), "")</f>
        <v/>
      </c>
      <c r="E3" s="4"/>
      <c r="F3" s="6">
        <f>IF(A3="","",COUNTIF(Chicks!$F:$F,A3))</f>
        <v>0</v>
      </c>
      <c r="G3" s="6">
        <f>IF(A3="","",COUNTIFS(Chicks!$F:$F,A3,Chicks!$I:$I,"Yes"))</f>
        <v>0</v>
      </c>
      <c r="H3" s="6">
        <f>IF(A3="","",SUMIFS(Chicks!$J:$J,Chicks!$F:$F,A3))</f>
        <v>0</v>
      </c>
      <c r="I3" s="6">
        <f>IF(A3="","",COUNTIFS(Chicks!$F:$F,A3,Chicks!$I:$I,"No"))</f>
        <v>0</v>
      </c>
      <c r="J3" s="6" t="str">
        <f>IF(A3="","",IFERROR(AVERAGEIF(Chicks!$F:$F,A3,Chicks!$M:$M),""))</f>
        <v/>
      </c>
      <c r="K3" s="6">
        <f>IF(A3="","",SUMIFS(Chicks!$N:$N,Chicks!$F:$F,A3))</f>
        <v>0</v>
      </c>
      <c r="L3" s="6">
        <f>IF(A3="","",SUMIFS(Chicks!$O:$O,Chicks!$F:$F,A3))</f>
        <v>0</v>
      </c>
      <c r="M3" s="6">
        <f>IF(A3="","",SUMIFS(Chicks!$P:$P,Chicks!$F:$F,A3))</f>
        <v>0</v>
      </c>
      <c r="N3" s="6" t="str">
        <f t="shared" si="0"/>
        <v/>
      </c>
    </row>
    <row r="4" spans="1:15" ht="14.25" hidden="1" customHeight="1" x14ac:dyDescent="0.3">
      <c r="A4" s="4">
        <v>304</v>
      </c>
      <c r="B4" s="4"/>
      <c r="C4" s="4"/>
      <c r="D4" s="4" t="str">
        <f>IFERROR(AVERAGEIF(Chicks!$F:$F, $A4, Chicks!$H:$H), "")</f>
        <v/>
      </c>
      <c r="E4" s="4"/>
      <c r="F4" s="6">
        <f>IF(A4="","",COUNTIF(Chicks!$F:$F,A4))</f>
        <v>0</v>
      </c>
      <c r="G4" s="6">
        <f>IF(A4="","",COUNTIFS(Chicks!$F:$F,A4,Chicks!$I:$I,"Yes"))</f>
        <v>0</v>
      </c>
      <c r="H4" s="6">
        <f>IF(A4="","",SUMIFS(Chicks!$J:$J,Chicks!$F:$F,A4))</f>
        <v>0</v>
      </c>
      <c r="I4" s="6">
        <f>IF(A4="","",COUNTIFS(Chicks!$F:$F,A4,Chicks!$I:$I,"No"))</f>
        <v>0</v>
      </c>
      <c r="J4" s="6" t="str">
        <f>IF(A4="","",IFERROR(AVERAGEIF(Chicks!$F:$F,A4,Chicks!$M:$M),""))</f>
        <v/>
      </c>
      <c r="K4" s="6">
        <f>IF(A4="","",SUMIFS(Chicks!$N:$N,Chicks!$F:$F,A4))</f>
        <v>0</v>
      </c>
      <c r="L4" s="6">
        <f>IF(A4="","",SUMIFS(Chicks!$O:$O,Chicks!$F:$F,A4))</f>
        <v>0</v>
      </c>
      <c r="M4" s="6">
        <f>IF(A4="","",SUMIFS(Chicks!$P:$P,Chicks!$F:$F,A4))</f>
        <v>0</v>
      </c>
      <c r="N4" s="6" t="str">
        <f t="shared" si="0"/>
        <v/>
      </c>
    </row>
    <row r="5" spans="1:15" ht="14.25" hidden="1" customHeight="1" x14ac:dyDescent="0.3">
      <c r="A5" s="4">
        <v>58</v>
      </c>
      <c r="B5" s="4"/>
      <c r="C5" s="4"/>
      <c r="D5" s="4" t="str">
        <f>IFERROR(AVERAGEIF(Chicks!$F:$F, $A5, Chicks!$H:$H), "")</f>
        <v/>
      </c>
      <c r="E5" s="4"/>
      <c r="F5" s="6">
        <f>IF(A5="","",COUNTIF(Chicks!$F:$F,A5))</f>
        <v>0</v>
      </c>
      <c r="G5" s="6">
        <f>IF(A5="","",COUNTIFS(Chicks!$F:$F,A5,Chicks!$I:$I,"Yes"))</f>
        <v>0</v>
      </c>
      <c r="H5" s="6">
        <f>IF(A5="","",SUMIFS(Chicks!$J:$J,Chicks!$F:$F,A5))</f>
        <v>0</v>
      </c>
      <c r="I5" s="6">
        <f>IF(A5="","",COUNTIFS(Chicks!$F:$F,A5,Chicks!$I:$I,"No"))</f>
        <v>0</v>
      </c>
      <c r="J5" s="6" t="str">
        <f>IF(A5="","",IFERROR(AVERAGEIF(Chicks!$F:$F,A5,Chicks!$M:$M),""))</f>
        <v/>
      </c>
      <c r="K5" s="6">
        <f>IF(A5="","",SUMIFS(Chicks!$N:$N,Chicks!$F:$F,A5))</f>
        <v>0</v>
      </c>
      <c r="L5" s="6">
        <f>IF(A5="","",SUMIFS(Chicks!$O:$O,Chicks!$F:$F,A5))</f>
        <v>0</v>
      </c>
      <c r="M5" s="6">
        <f>IF(A5="","",SUMIFS(Chicks!$P:$P,Chicks!$F:$F,A5))</f>
        <v>0</v>
      </c>
      <c r="N5" s="6" t="str">
        <f t="shared" si="0"/>
        <v/>
      </c>
    </row>
    <row r="6" spans="1:15" ht="14.25" customHeight="1" x14ac:dyDescent="0.3">
      <c r="A6" s="4" t="s">
        <v>74</v>
      </c>
      <c r="B6" s="4">
        <v>241</v>
      </c>
      <c r="C6" s="4" t="s">
        <v>104</v>
      </c>
      <c r="D6" s="4">
        <f>IFERROR(AVERAGEIF(Chicks!$F:$F, $A6, Chicks!$H:$H), "")</f>
        <v>84.166666666666671</v>
      </c>
      <c r="E6" s="4" t="s">
        <v>105</v>
      </c>
      <c r="F6" s="6">
        <f>IF(A6="","",COUNTIF(Chicks!$F:$F,A6))</f>
        <v>6</v>
      </c>
      <c r="G6" s="6">
        <f>IF(A6="","",COUNTIFS(Chicks!$F:$F,A6,Chicks!$I:$I,"Yes"))</f>
        <v>5</v>
      </c>
      <c r="H6" s="6">
        <f>IF(A6="","",SUMIFS(Chicks!$J:$J,Chicks!$F:$F,A6))</f>
        <v>2</v>
      </c>
      <c r="I6" s="6">
        <f>IF(A6="","",COUNTIFS(Chicks!$F:$F,A6,Chicks!$I:$I,"No"))</f>
        <v>1</v>
      </c>
      <c r="J6" s="7">
        <f>IF(A6="","",IFERROR(AVERAGEIF(Chicks!$F:$F,A6,Chicks!$M:$M),""))</f>
        <v>0.39982020268061458</v>
      </c>
      <c r="K6" s="6">
        <f>IF(A6="","",SUMIFS(Chicks!$N:$N,Chicks!$F:$F,A6))</f>
        <v>0</v>
      </c>
      <c r="L6" s="6">
        <f>IF(A6="","",SUMIFS(Chicks!$O:$O,Chicks!$F:$F,A6))</f>
        <v>0</v>
      </c>
      <c r="M6" s="6">
        <f>IF(A6="","",SUMIFS(Chicks!$P:$P,Chicks!$F:$F,A6))</f>
        <v>0</v>
      </c>
      <c r="N6" s="6">
        <f t="shared" si="0"/>
        <v>5</v>
      </c>
      <c r="O6" s="7">
        <f t="shared" ref="O6:O14" si="1">SUM(G6/F6)</f>
        <v>0.83333333333333337</v>
      </c>
    </row>
    <row r="7" spans="1:15" ht="14.25" customHeight="1" x14ac:dyDescent="0.3">
      <c r="A7" s="4" t="s">
        <v>81</v>
      </c>
      <c r="B7" s="4">
        <v>302</v>
      </c>
      <c r="C7" s="4" t="s">
        <v>104</v>
      </c>
      <c r="D7" s="4">
        <f>IFERROR(AVERAGEIF(Chicks!$F:$F, $A7, Chicks!$H:$H), "")</f>
        <v>83.75</v>
      </c>
      <c r="E7" s="4" t="s">
        <v>105</v>
      </c>
      <c r="F7" s="6">
        <f>IF(A7="","",COUNTIF(Chicks!$F:$F,A7))</f>
        <v>8</v>
      </c>
      <c r="G7" s="6">
        <f>IF(A7="","",COUNTIFS(Chicks!$F:$F,A7,Chicks!$I:$I,"Yes"))</f>
        <v>5</v>
      </c>
      <c r="H7" s="6">
        <f>IF(A7="","",SUMIFS(Chicks!$J:$J,Chicks!$F:$F,A7))</f>
        <v>4</v>
      </c>
      <c r="I7" s="6">
        <f>IF(A7="","",COUNTIFS(Chicks!$F:$F,A7,Chicks!$I:$I,"No"))</f>
        <v>3</v>
      </c>
      <c r="J7" s="7">
        <f>IF(A7="","",IFERROR(AVERAGEIF(Chicks!$F:$F,A7,Chicks!$M:$M),""))</f>
        <v>0.50066833751044282</v>
      </c>
      <c r="K7" s="6">
        <f>IF(A7="","",SUMIFS(Chicks!$N:$N,Chicks!$F:$F,A7))</f>
        <v>0</v>
      </c>
      <c r="L7" s="6">
        <f>IF(A7="","",SUMIFS(Chicks!$O:$O,Chicks!$F:$F,A7))</f>
        <v>0</v>
      </c>
      <c r="M7" s="6">
        <f>IF(A7="","",SUMIFS(Chicks!$P:$P,Chicks!$F:$F,A7))</f>
        <v>0</v>
      </c>
      <c r="N7" s="6">
        <f t="shared" si="0"/>
        <v>4</v>
      </c>
      <c r="O7" s="7">
        <f t="shared" si="1"/>
        <v>0.625</v>
      </c>
    </row>
    <row r="8" spans="1:15" ht="14.25" customHeight="1" x14ac:dyDescent="0.3">
      <c r="A8" s="4" t="s">
        <v>69</v>
      </c>
      <c r="B8" s="4">
        <v>240</v>
      </c>
      <c r="C8" s="4" t="s">
        <v>104</v>
      </c>
      <c r="D8" s="4">
        <f>IFERROR(AVERAGEIF(Chicks!$F:$F, $A8, Chicks!$H:$H), "")</f>
        <v>82.5</v>
      </c>
      <c r="E8" s="4" t="s">
        <v>105</v>
      </c>
      <c r="F8" s="6">
        <f>IF(A8="","",COUNTIF(Chicks!$F:$F,A8))</f>
        <v>3</v>
      </c>
      <c r="G8" s="6">
        <f>IF(A8="","",COUNTIFS(Chicks!$F:$F,A8,Chicks!$I:$I,"Yes"))</f>
        <v>1</v>
      </c>
      <c r="H8" s="6">
        <f>IF(A8="","",SUMIFS(Chicks!$J:$J,Chicks!$F:$F,A8))</f>
        <v>0</v>
      </c>
      <c r="I8" s="6">
        <f>IF(A8="","",COUNTIFS(Chicks!$F:$F,A8,Chicks!$I:$I,"No"))</f>
        <v>2</v>
      </c>
      <c r="J8" s="7" t="str">
        <f>IF(A8="","",IFERROR(AVERAGEIF(Chicks!$F:$F,A8,Chicks!$M:$M),""))</f>
        <v/>
      </c>
      <c r="K8" s="6">
        <f>IF(A8="","",SUMIFS(Chicks!$N:$N,Chicks!$F:$F,A8))</f>
        <v>0</v>
      </c>
      <c r="L8" s="6">
        <f>IF(A8="","",SUMIFS(Chicks!$O:$O,Chicks!$F:$F,A8))</f>
        <v>0</v>
      </c>
      <c r="M8" s="6">
        <f>IF(A8="","",SUMIFS(Chicks!$P:$P,Chicks!$F:$F,A8))</f>
        <v>0</v>
      </c>
      <c r="N8" s="6" t="str">
        <f t="shared" si="0"/>
        <v/>
      </c>
      <c r="O8" s="7">
        <f t="shared" si="1"/>
        <v>0.33333333333333331</v>
      </c>
    </row>
    <row r="9" spans="1:15" ht="14.25" customHeight="1" x14ac:dyDescent="0.3">
      <c r="A9" s="4" t="s">
        <v>54</v>
      </c>
      <c r="B9" s="4">
        <v>251</v>
      </c>
      <c r="C9" s="4" t="s">
        <v>104</v>
      </c>
      <c r="D9" s="4">
        <f>IFERROR(AVERAGEIF(Chicks!$F:$F, $A9, Chicks!$H:$H), "")</f>
        <v>81</v>
      </c>
      <c r="E9" s="4" t="s">
        <v>105</v>
      </c>
      <c r="F9" s="6">
        <f>IF(A9="","",COUNTIF(Chicks!$F:$F,A9))</f>
        <v>6</v>
      </c>
      <c r="G9" s="6">
        <f>IF(A9="","",COUNTIFS(Chicks!$F:$F,A9,Chicks!$I:$I,"Yes"))</f>
        <v>3</v>
      </c>
      <c r="H9" s="6">
        <f>IF(A9="","",SUMIFS(Chicks!$J:$J,Chicks!$F:$F,A9))</f>
        <v>3</v>
      </c>
      <c r="I9" s="6">
        <f>IF(A9="","",COUNTIFS(Chicks!$F:$F,A9,Chicks!$I:$I,"No"))</f>
        <v>3</v>
      </c>
      <c r="J9" s="7">
        <f>IF(A9="","",IFERROR(AVERAGEIF(Chicks!$F:$F,A9,Chicks!$M:$M),""))</f>
        <v>0.63230392557480664</v>
      </c>
      <c r="K9" s="6">
        <f>IF(A9="","",SUMIFS(Chicks!$N:$N,Chicks!$F:$F,A9))</f>
        <v>0</v>
      </c>
      <c r="L9" s="6">
        <f>IF(A9="","",SUMIFS(Chicks!$O:$O,Chicks!$F:$F,A9))</f>
        <v>0</v>
      </c>
      <c r="M9" s="6">
        <f>IF(A9="","",SUMIFS(Chicks!$P:$P,Chicks!$F:$F,A9))</f>
        <v>1</v>
      </c>
      <c r="N9" s="6">
        <f t="shared" si="0"/>
        <v>2</v>
      </c>
      <c r="O9" s="7">
        <f t="shared" si="1"/>
        <v>0.5</v>
      </c>
    </row>
    <row r="10" spans="1:15" ht="14.25" customHeight="1" x14ac:dyDescent="0.3">
      <c r="A10" s="4" t="s">
        <v>61</v>
      </c>
      <c r="B10" s="4">
        <v>19773</v>
      </c>
      <c r="C10" s="4" t="s">
        <v>104</v>
      </c>
      <c r="D10" s="4">
        <f>IFERROR(AVERAGEIF(Chicks!$F:$F, $A10, Chicks!$H:$H), "")</f>
        <v>80.714285714285708</v>
      </c>
      <c r="E10" s="4" t="s">
        <v>105</v>
      </c>
      <c r="F10" s="6">
        <f>IF(A10="","",COUNTIF(Chicks!$F:$F,A10))</f>
        <v>7</v>
      </c>
      <c r="G10" s="6">
        <f>IF(A10="","",COUNTIFS(Chicks!$F:$F,A10,Chicks!$I:$I,"Yes"))</f>
        <v>1</v>
      </c>
      <c r="H10" s="6">
        <f>IF(A10="","",SUMIFS(Chicks!$J:$J,Chicks!$F:$F,A10))</f>
        <v>2</v>
      </c>
      <c r="I10" s="6">
        <f>IF(A10="","",COUNTIFS(Chicks!$F:$F,A10,Chicks!$I:$I,"No"))</f>
        <v>6</v>
      </c>
      <c r="J10" s="7">
        <f>IF(A10="","",IFERROR(AVERAGEIF(Chicks!$F:$F,A10,Chicks!$M:$M),""))</f>
        <v>0.65702929197994986</v>
      </c>
      <c r="K10" s="6">
        <f>IF(A10="","",SUMIFS(Chicks!$N:$N,Chicks!$F:$F,A10))</f>
        <v>1</v>
      </c>
      <c r="L10" s="6">
        <f>IF(A10="","",SUMIFS(Chicks!$O:$O,Chicks!$F:$F,A10))</f>
        <v>0</v>
      </c>
      <c r="M10" s="6">
        <f>IF(A10="","",SUMIFS(Chicks!$P:$P,Chicks!$F:$F,A10))</f>
        <v>1</v>
      </c>
      <c r="N10" s="6">
        <f t="shared" si="0"/>
        <v>1</v>
      </c>
      <c r="O10" s="7">
        <f t="shared" si="1"/>
        <v>0.14285714285714285</v>
      </c>
    </row>
    <row r="11" spans="1:15" ht="14.25" customHeight="1" x14ac:dyDescent="0.3">
      <c r="A11" s="4" t="s">
        <v>91</v>
      </c>
      <c r="B11" s="4">
        <v>233</v>
      </c>
      <c r="C11" s="4" t="s">
        <v>104</v>
      </c>
      <c r="D11" s="4">
        <f>IFERROR(AVERAGEIF(Chicks!$F:$F, $A11, Chicks!$H:$H), "")</f>
        <v>78.333333333333329</v>
      </c>
      <c r="E11" s="4" t="s">
        <v>105</v>
      </c>
      <c r="F11" s="6">
        <f>IF(A11="","",COUNTIF(Chicks!$F:$F,A11))</f>
        <v>3</v>
      </c>
      <c r="G11" s="6">
        <f>IF(A11="","",COUNTIFS(Chicks!$F:$F,A11,Chicks!$I:$I,"Yes"))</f>
        <v>1</v>
      </c>
      <c r="H11" s="6">
        <f>IF(A11="","",SUMIFS(Chicks!$J:$J,Chicks!$F:$F,A11))</f>
        <v>0</v>
      </c>
      <c r="I11" s="6">
        <f>IF(A11="","",COUNTIFS(Chicks!$F:$F,A11,Chicks!$I:$I,"No"))</f>
        <v>2</v>
      </c>
      <c r="J11" s="7" t="str">
        <f>IF(A11="","",IFERROR(AVERAGEIF(Chicks!$F:$F,A11,Chicks!$M:$M),""))</f>
        <v/>
      </c>
      <c r="K11" s="6">
        <f>IF(A11="","",SUMIFS(Chicks!$N:$N,Chicks!$F:$F,A11))</f>
        <v>0</v>
      </c>
      <c r="L11" s="6">
        <f>IF(A11="","",SUMIFS(Chicks!$O:$O,Chicks!$F:$F,A11))</f>
        <v>0</v>
      </c>
      <c r="M11" s="6">
        <f>IF(A11="","",SUMIFS(Chicks!$P:$P,Chicks!$F:$F,A11))</f>
        <v>0</v>
      </c>
      <c r="N11" s="6" t="str">
        <f t="shared" si="0"/>
        <v/>
      </c>
      <c r="O11" s="7">
        <f t="shared" si="1"/>
        <v>0.33333333333333331</v>
      </c>
    </row>
    <row r="12" spans="1:15" ht="14.25" customHeight="1" x14ac:dyDescent="0.3">
      <c r="A12" s="4" t="s">
        <v>89</v>
      </c>
      <c r="B12" s="4">
        <v>425</v>
      </c>
      <c r="C12" s="4" t="s">
        <v>104</v>
      </c>
      <c r="D12" s="4">
        <f>IFERROR(AVERAGEIF(Chicks!$F:$F, $A12, Chicks!$H:$H), "")</f>
        <v>77.5</v>
      </c>
      <c r="E12" s="4" t="s">
        <v>105</v>
      </c>
      <c r="F12" s="6">
        <f>IF(A12="","",COUNTIF(Chicks!$F:$F,A12))</f>
        <v>2</v>
      </c>
      <c r="G12" s="6">
        <f>IF(A12="","",COUNTIFS(Chicks!$F:$F,A12,Chicks!$I:$I,"Yes"))</f>
        <v>2</v>
      </c>
      <c r="H12" s="6">
        <f>IF(A12="","",SUMIFS(Chicks!$J:$J,Chicks!$F:$F,A12))</f>
        <v>3</v>
      </c>
      <c r="I12" s="6">
        <f>IF(A12="","",COUNTIFS(Chicks!$F:$F,A12,Chicks!$I:$I,"No"))</f>
        <v>0</v>
      </c>
      <c r="J12" s="7">
        <f>IF(A12="","",IFERROR(AVERAGEIF(Chicks!$F:$F,A12,Chicks!$M:$M),""))</f>
        <v>0.29976299444262833</v>
      </c>
      <c r="K12" s="6">
        <f>IF(A12="","",SUMIFS(Chicks!$N:$N,Chicks!$F:$F,A12))</f>
        <v>0</v>
      </c>
      <c r="L12" s="6">
        <f>IF(A12="","",SUMIFS(Chicks!$O:$O,Chicks!$F:$F,A12))</f>
        <v>0</v>
      </c>
      <c r="M12" s="6">
        <f>IF(A12="","",SUMIFS(Chicks!$P:$P,Chicks!$F:$F,A12))</f>
        <v>0</v>
      </c>
      <c r="N12" s="6">
        <f t="shared" si="0"/>
        <v>6</v>
      </c>
      <c r="O12" s="7">
        <f t="shared" si="1"/>
        <v>1</v>
      </c>
    </row>
    <row r="13" spans="1:15" ht="14.25" customHeight="1" x14ac:dyDescent="0.3">
      <c r="A13" s="4" t="s">
        <v>50</v>
      </c>
      <c r="B13" s="4">
        <v>7903</v>
      </c>
      <c r="C13" s="4" t="s">
        <v>104</v>
      </c>
      <c r="D13" s="4">
        <f>IFERROR(AVERAGEIF(Chicks!$F:$F, $A13, Chicks!$H:$H), "")</f>
        <v>77.5</v>
      </c>
      <c r="E13" s="4" t="s">
        <v>106</v>
      </c>
      <c r="F13" s="6">
        <f>IF(A13="","",COUNTIF(Chicks!$F:$F,A13))</f>
        <v>2</v>
      </c>
      <c r="G13" s="6">
        <f>IF(A13="","",COUNTIFS(Chicks!$F:$F,A13,Chicks!$I:$I,"Yes"))</f>
        <v>2</v>
      </c>
      <c r="H13" s="6">
        <f>IF(A13="","",SUMIFS(Chicks!$J:$J,Chicks!$F:$F,A13))</f>
        <v>2</v>
      </c>
      <c r="I13" s="6">
        <f>IF(A13="","",COUNTIFS(Chicks!$F:$F,A13,Chicks!$I:$I,"No"))</f>
        <v>0</v>
      </c>
      <c r="J13" s="7">
        <f>IF(A13="","",IFERROR(AVERAGEIF(Chicks!$F:$F,A13,Chicks!$M:$M),""))</f>
        <v>0.5794976571864443</v>
      </c>
      <c r="K13" s="6">
        <f>IF(A13="","",SUMIFS(Chicks!$N:$N,Chicks!$F:$F,A13))</f>
        <v>0</v>
      </c>
      <c r="L13" s="6">
        <f>IF(A13="","",SUMIFS(Chicks!$O:$O,Chicks!$F:$F,A13))</f>
        <v>0</v>
      </c>
      <c r="M13" s="6">
        <f>IF(A13="","",SUMIFS(Chicks!$P:$P,Chicks!$F:$F,A13))</f>
        <v>0</v>
      </c>
      <c r="N13" s="6">
        <f t="shared" si="0"/>
        <v>3</v>
      </c>
      <c r="O13" s="7">
        <f t="shared" si="1"/>
        <v>1</v>
      </c>
    </row>
    <row r="14" spans="1:15" ht="14.25" customHeight="1" x14ac:dyDescent="0.3">
      <c r="A14" s="4" t="s">
        <v>88</v>
      </c>
      <c r="B14" s="4">
        <v>29</v>
      </c>
      <c r="C14" s="4" t="s">
        <v>104</v>
      </c>
      <c r="D14" s="4">
        <f>IFERROR(AVERAGEIF(Chicks!$F:$F, $A14, Chicks!$H:$H), "")</f>
        <v>75</v>
      </c>
      <c r="E14" s="4" t="s">
        <v>105</v>
      </c>
      <c r="F14" s="6">
        <f>IF(A14="","",COUNTIF(Chicks!$F:$F,A14))</f>
        <v>1</v>
      </c>
      <c r="G14" s="6">
        <f>IF(A14="","",COUNTIFS(Chicks!$F:$F,A14,Chicks!$I:$I,"Yes"))</f>
        <v>1</v>
      </c>
      <c r="H14" s="6">
        <f>IF(A14="","",SUMIFS(Chicks!$J:$J,Chicks!$F:$F,A14))</f>
        <v>0</v>
      </c>
      <c r="I14" s="6">
        <f>IF(A14="","",COUNTIFS(Chicks!$F:$F,A14,Chicks!$I:$I,"No"))</f>
        <v>0</v>
      </c>
      <c r="J14" s="7" t="str">
        <f>IF(A14="","",IFERROR(AVERAGEIF(Chicks!$F:$F,A14,Chicks!$M:$M),""))</f>
        <v/>
      </c>
      <c r="K14" s="6">
        <f>IF(A14="","",SUMIFS(Chicks!$N:$N,Chicks!$F:$F,A14))</f>
        <v>0</v>
      </c>
      <c r="L14" s="6">
        <f>IF(A14="","",SUMIFS(Chicks!$O:$O,Chicks!$F:$F,A14))</f>
        <v>0</v>
      </c>
      <c r="M14" s="6">
        <f>IF(A14="","",SUMIFS(Chicks!$P:$P,Chicks!$F:$F,A14))</f>
        <v>0</v>
      </c>
      <c r="N14" s="6" t="str">
        <f t="shared" si="0"/>
        <v/>
      </c>
      <c r="O14" s="7">
        <f t="shared" si="1"/>
        <v>1</v>
      </c>
    </row>
    <row r="15" spans="1:15" ht="14.25" customHeight="1" x14ac:dyDescent="0.3">
      <c r="A15" s="4"/>
      <c r="B15" s="4"/>
      <c r="C15" s="4"/>
      <c r="D15" s="4"/>
      <c r="E15" s="4"/>
      <c r="F15" s="6" t="str">
        <f>IF(A15="","",COUNTIF(Chicks!$F:$F,A15))</f>
        <v/>
      </c>
      <c r="G15" s="6" t="str">
        <f>IF(A15="","",COUNTIFS(Chicks!$F:$F,A15,Chicks!$I:$I,"Yes"))</f>
        <v/>
      </c>
      <c r="H15" s="6" t="str">
        <f>IF(A15="","",SUMIFS(Chicks!$J:$J,Chicks!$F:$F,A15))</f>
        <v/>
      </c>
      <c r="I15" s="6" t="str">
        <f>IF(A15="","",COUNTIFS(Chicks!$F:$F,A15,Chicks!$I:$I,"No"))</f>
        <v/>
      </c>
      <c r="J15" s="6" t="str">
        <f>IF(A15="","",IFERROR(AVERAGEIF(Chicks!$F:$F,A15,Chicks!$M:$M),""))</f>
        <v/>
      </c>
      <c r="K15" s="6" t="str">
        <f>IF(A15="","",SUMIFS(Chicks!$N:$N,Chicks!$F:$F,A15))</f>
        <v/>
      </c>
      <c r="L15" s="6" t="str">
        <f>IF(A15="","",SUMIFS(Chicks!$O:$O,Chicks!$F:$F,A15))</f>
        <v/>
      </c>
      <c r="M15" s="6" t="str">
        <f>IF(A15="","",SUMIFS(Chicks!$P:$P,Chicks!$F:$F,A15))</f>
        <v/>
      </c>
      <c r="N15" s="6" t="str">
        <f t="shared" si="0"/>
        <v/>
      </c>
    </row>
    <row r="16" spans="1:15" ht="14.25" customHeight="1" x14ac:dyDescent="0.3">
      <c r="A16" s="4"/>
      <c r="B16" s="4"/>
      <c r="C16" s="4"/>
      <c r="D16" s="4"/>
      <c r="E16" s="4"/>
      <c r="F16" s="6" t="str">
        <f>IF(A16="","",COUNTIF(Chicks!$F:$F,A16))</f>
        <v/>
      </c>
      <c r="G16" s="6" t="str">
        <f>IF(A16="","",COUNTIFS(Chicks!$F:$F,A16,Chicks!$I:$I,"Yes"))</f>
        <v/>
      </c>
      <c r="H16" s="6" t="str">
        <f>IF(A16="","",SUMIFS(Chicks!$J:$J,Chicks!$F:$F,A16))</f>
        <v/>
      </c>
      <c r="I16" s="6" t="str">
        <f>IF(A16="","",COUNTIFS(Chicks!$F:$F,A16,Chicks!$I:$I,"No"))</f>
        <v/>
      </c>
      <c r="J16" s="6" t="str">
        <f>IF(A16="","",IFERROR(AVERAGEIF(Chicks!$F:$F,A16,Chicks!$M:$M),""))</f>
        <v/>
      </c>
      <c r="K16" s="6" t="str">
        <f>IF(A16="","",SUMIFS(Chicks!$N:$N,Chicks!$F:$F,A16))</f>
        <v/>
      </c>
      <c r="L16" s="6" t="str">
        <f>IF(A16="","",SUMIFS(Chicks!$O:$O,Chicks!$F:$F,A16))</f>
        <v/>
      </c>
      <c r="M16" s="6" t="str">
        <f>IF(A16="","",SUMIFS(Chicks!$P:$P,Chicks!$F:$F,A16))</f>
        <v/>
      </c>
      <c r="N16" s="6" t="str">
        <f t="shared" si="0"/>
        <v/>
      </c>
    </row>
    <row r="17" spans="1:14" ht="14.25" customHeight="1" x14ac:dyDescent="0.3">
      <c r="A17" s="4"/>
      <c r="B17" s="4"/>
      <c r="C17" s="4"/>
      <c r="D17" s="4"/>
      <c r="E17" s="4"/>
      <c r="F17" s="6" t="str">
        <f>IF(A17="","",COUNTIF(Chicks!$F:$F,A17))</f>
        <v/>
      </c>
      <c r="G17" s="6" t="str">
        <f>IF(A17="","",COUNTIFS(Chicks!$F:$F,A17,Chicks!$I:$I,"Yes"))</f>
        <v/>
      </c>
      <c r="H17" s="6" t="str">
        <f>IF(A17="","",SUMIFS(Chicks!$J:$J,Chicks!$F:$F,A17))</f>
        <v/>
      </c>
      <c r="I17" s="6" t="str">
        <f>IF(A17="","",COUNTIFS(Chicks!$F:$F,A17,Chicks!$I:$I,"No"))</f>
        <v/>
      </c>
      <c r="J17" s="6" t="str">
        <f>IF(A17="","",IFERROR(AVERAGEIF(Chicks!$F:$F,A17,Chicks!$M:$M),""))</f>
        <v/>
      </c>
      <c r="K17" s="6" t="str">
        <f>IF(A17="","",SUMIFS(Chicks!$N:$N,Chicks!$F:$F,A17))</f>
        <v/>
      </c>
      <c r="L17" s="6" t="str">
        <f>IF(A17="","",SUMIFS(Chicks!$O:$O,Chicks!$F:$F,A17))</f>
        <v/>
      </c>
      <c r="M17" s="6" t="str">
        <f>IF(A17="","",SUMIFS(Chicks!$P:$P,Chicks!$F:$F,A17))</f>
        <v/>
      </c>
      <c r="N17" s="6" t="str">
        <f t="shared" si="0"/>
        <v/>
      </c>
    </row>
    <row r="18" spans="1:14" ht="14.25" customHeight="1" x14ac:dyDescent="0.3">
      <c r="A18" s="4"/>
      <c r="B18" s="4"/>
      <c r="C18" s="4"/>
      <c r="D18" s="4"/>
      <c r="E18" s="4"/>
      <c r="F18" s="6" t="str">
        <f>IF(A18="","",COUNTIF(Chicks!$F:$F,A18))</f>
        <v/>
      </c>
      <c r="G18" s="6" t="str">
        <f>IF(A18="","",COUNTIFS(Chicks!$F:$F,A18,Chicks!$I:$I,"Yes"))</f>
        <v/>
      </c>
      <c r="H18" s="6" t="str">
        <f>IF(A18="","",SUMIFS(Chicks!$J:$J,Chicks!$F:$F,A18))</f>
        <v/>
      </c>
      <c r="I18" s="6" t="str">
        <f>IF(A18="","",COUNTIFS(Chicks!$F:$F,A18,Chicks!$I:$I,"No"))</f>
        <v/>
      </c>
      <c r="J18" s="6" t="str">
        <f>IF(A18="","",IFERROR(AVERAGEIF(Chicks!$F:$F,A18,Chicks!$M:$M),""))</f>
        <v/>
      </c>
      <c r="K18" s="6" t="str">
        <f>IF(A18="","",SUMIFS(Chicks!$N:$N,Chicks!$F:$F,A18))</f>
        <v/>
      </c>
      <c r="L18" s="6" t="str">
        <f>IF(A18="","",SUMIFS(Chicks!$O:$O,Chicks!$F:$F,A18))</f>
        <v/>
      </c>
      <c r="M18" s="6" t="str">
        <f>IF(A18="","",SUMIFS(Chicks!$P:$P,Chicks!$F:$F,A18))</f>
        <v/>
      </c>
      <c r="N18" s="6" t="str">
        <f t="shared" si="0"/>
        <v/>
      </c>
    </row>
    <row r="19" spans="1:14" ht="14.25" customHeight="1" x14ac:dyDescent="0.3">
      <c r="A19" s="4"/>
      <c r="B19" s="4"/>
      <c r="C19" s="4"/>
      <c r="D19" s="4"/>
      <c r="E19" s="4"/>
      <c r="F19" s="6" t="str">
        <f>IF(A19="","",COUNTIF(Chicks!$F:$F,A19))</f>
        <v/>
      </c>
      <c r="G19" s="6" t="str">
        <f>IF(A19="","",COUNTIFS(Chicks!$F:$F,A19,Chicks!$I:$I,"Yes"))</f>
        <v/>
      </c>
      <c r="H19" s="6" t="str">
        <f>IF(A19="","",SUMIFS(Chicks!$J:$J,Chicks!$F:$F,A19))</f>
        <v/>
      </c>
      <c r="I19" s="6" t="str">
        <f>IF(A19="","",COUNTIFS(Chicks!$F:$F,A19,Chicks!$I:$I,"No"))</f>
        <v/>
      </c>
      <c r="J19" s="6" t="str">
        <f>IF(A19="","",IFERROR(AVERAGEIF(Chicks!$F:$F,A19,Chicks!$M:$M),""))</f>
        <v/>
      </c>
      <c r="K19" s="6" t="str">
        <f>IF(A19="","",SUMIFS(Chicks!$N:$N,Chicks!$F:$F,A19))</f>
        <v/>
      </c>
      <c r="L19" s="6" t="str">
        <f>IF(A19="","",SUMIFS(Chicks!$O:$O,Chicks!$F:$F,A19))</f>
        <v/>
      </c>
      <c r="M19" s="6" t="str">
        <f>IF(A19="","",SUMIFS(Chicks!$P:$P,Chicks!$F:$F,A19))</f>
        <v/>
      </c>
      <c r="N19" s="6" t="str">
        <f t="shared" si="0"/>
        <v/>
      </c>
    </row>
    <row r="20" spans="1:14" ht="14.25" customHeight="1" x14ac:dyDescent="0.3">
      <c r="A20" s="4"/>
      <c r="B20" s="4"/>
      <c r="C20" s="4"/>
      <c r="D20" s="4"/>
      <c r="E20" s="4"/>
      <c r="F20" s="6" t="str">
        <f>IF(A20="","",COUNTIF(Chicks!$F:$F,A20))</f>
        <v/>
      </c>
      <c r="G20" s="6" t="str">
        <f>IF(A20="","",COUNTIFS(Chicks!$F:$F,A20,Chicks!$I:$I,"Yes"))</f>
        <v/>
      </c>
      <c r="H20" s="6" t="str">
        <f>IF(A20="","",SUMIFS(Chicks!$J:$J,Chicks!$F:$F,A20))</f>
        <v/>
      </c>
      <c r="I20" s="6" t="str">
        <f>IF(A20="","",COUNTIFS(Chicks!$F:$F,A20,Chicks!$I:$I,"No"))</f>
        <v/>
      </c>
      <c r="J20" s="6" t="str">
        <f>IF(A20="","",IFERROR(AVERAGEIF(Chicks!$F:$F,A20,Chicks!$M:$M),""))</f>
        <v/>
      </c>
      <c r="K20" s="6" t="str">
        <f>IF(A20="","",SUMIFS(Chicks!$N:$N,Chicks!$F:$F,A20))</f>
        <v/>
      </c>
      <c r="L20" s="6" t="str">
        <f>IF(A20="","",SUMIFS(Chicks!$O:$O,Chicks!$F:$F,A20))</f>
        <v/>
      </c>
      <c r="M20" s="6" t="str">
        <f>IF(A20="","",SUMIFS(Chicks!$P:$P,Chicks!$F:$F,A20))</f>
        <v/>
      </c>
      <c r="N20" s="6" t="str">
        <f t="shared" si="0"/>
        <v/>
      </c>
    </row>
    <row r="21" spans="1:14" ht="14.25" customHeight="1" x14ac:dyDescent="0.3">
      <c r="A21" s="4"/>
      <c r="B21" s="4"/>
      <c r="C21" s="4"/>
      <c r="D21" s="4"/>
      <c r="E21" s="4"/>
      <c r="F21" s="6" t="str">
        <f>IF(A21="","",COUNTIF(Chicks!$F:$F,A21))</f>
        <v/>
      </c>
      <c r="G21" s="6" t="str">
        <f>IF(A21="","",COUNTIFS(Chicks!$F:$F,A21,Chicks!$I:$I,"Yes"))</f>
        <v/>
      </c>
      <c r="H21" s="6" t="str">
        <f>IF(A21="","",SUMIFS(Chicks!$J:$J,Chicks!$F:$F,A21))</f>
        <v/>
      </c>
      <c r="I21" s="6" t="str">
        <f>IF(A21="","",COUNTIFS(Chicks!$F:$F,A21,Chicks!$I:$I,"No"))</f>
        <v/>
      </c>
      <c r="J21" s="6" t="str">
        <f>IF(A21="","",IFERROR(AVERAGEIF(Chicks!$F:$F,A21,Chicks!$M:$M),""))</f>
        <v/>
      </c>
      <c r="K21" s="6" t="str">
        <f>IF(A21="","",SUMIFS(Chicks!$N:$N,Chicks!$F:$F,A21))</f>
        <v/>
      </c>
      <c r="L21" s="6" t="str">
        <f>IF(A21="","",SUMIFS(Chicks!$O:$O,Chicks!$F:$F,A21))</f>
        <v/>
      </c>
      <c r="M21" s="6" t="str">
        <f>IF(A21="","",SUMIFS(Chicks!$P:$P,Chicks!$F:$F,A21))</f>
        <v/>
      </c>
      <c r="N21" s="6" t="str">
        <f t="shared" si="0"/>
        <v/>
      </c>
    </row>
    <row r="22" spans="1:14" ht="14.25" customHeight="1" x14ac:dyDescent="0.3">
      <c r="A22" s="4"/>
      <c r="B22" s="4"/>
      <c r="C22" s="4"/>
      <c r="D22" s="4"/>
      <c r="E22" s="4"/>
      <c r="F22" s="6" t="str">
        <f>IF(A22="","",COUNTIF(Chicks!$F:$F,A22))</f>
        <v/>
      </c>
      <c r="G22" s="6" t="str">
        <f>IF(A22="","",COUNTIFS(Chicks!$F:$F,A22,Chicks!$I:$I,"Yes"))</f>
        <v/>
      </c>
      <c r="H22" s="6" t="str">
        <f>IF(A22="","",SUMIFS(Chicks!$J:$J,Chicks!$F:$F,A22))</f>
        <v/>
      </c>
      <c r="I22" s="6" t="str">
        <f>IF(A22="","",COUNTIFS(Chicks!$F:$F,A22,Chicks!$I:$I,"No"))</f>
        <v/>
      </c>
      <c r="J22" s="6" t="str">
        <f>IF(A22="","",IFERROR(AVERAGEIF(Chicks!$F:$F,A22,Chicks!$M:$M),""))</f>
        <v/>
      </c>
      <c r="K22" s="6" t="str">
        <f>IF(A22="","",SUMIFS(Chicks!$N:$N,Chicks!$F:$F,A22))</f>
        <v/>
      </c>
      <c r="L22" s="6" t="str">
        <f>IF(A22="","",SUMIFS(Chicks!$O:$O,Chicks!$F:$F,A22))</f>
        <v/>
      </c>
      <c r="M22" s="6" t="str">
        <f>IF(A22="","",SUMIFS(Chicks!$P:$P,Chicks!$F:$F,A22))</f>
        <v/>
      </c>
      <c r="N22" s="6" t="str">
        <f t="shared" si="0"/>
        <v/>
      </c>
    </row>
    <row r="23" spans="1:14" ht="14.25" customHeight="1" x14ac:dyDescent="0.3">
      <c r="A23" s="4"/>
      <c r="B23" s="4"/>
      <c r="C23" s="4"/>
      <c r="D23" s="4"/>
      <c r="E23" s="4"/>
      <c r="F23" s="6" t="str">
        <f>IF(A23="","",COUNTIF(Chicks!$F:$F,A23))</f>
        <v/>
      </c>
      <c r="G23" s="6" t="str">
        <f>IF(A23="","",COUNTIFS(Chicks!$F:$F,A23,Chicks!$I:$I,"Yes"))</f>
        <v/>
      </c>
      <c r="H23" s="6" t="str">
        <f>IF(A23="","",SUMIFS(Chicks!$J:$J,Chicks!$F:$F,A23))</f>
        <v/>
      </c>
      <c r="I23" s="6" t="str">
        <f>IF(A23="","",COUNTIFS(Chicks!$F:$F,A23,Chicks!$I:$I,"No"))</f>
        <v/>
      </c>
      <c r="J23" s="6" t="str">
        <f>IF(A23="","",IFERROR(AVERAGEIF(Chicks!$F:$F,A23,Chicks!$M:$M),""))</f>
        <v/>
      </c>
      <c r="K23" s="6" t="str">
        <f>IF(A23="","",SUMIFS(Chicks!$N:$N,Chicks!$F:$F,A23))</f>
        <v/>
      </c>
      <c r="L23" s="6" t="str">
        <f>IF(A23="","",SUMIFS(Chicks!$O:$O,Chicks!$F:$F,A23))</f>
        <v/>
      </c>
      <c r="M23" s="6" t="str">
        <f>IF(A23="","",SUMIFS(Chicks!$P:$P,Chicks!$F:$F,A23))</f>
        <v/>
      </c>
      <c r="N23" s="6" t="str">
        <f t="shared" si="0"/>
        <v/>
      </c>
    </row>
    <row r="24" spans="1:14" ht="14.25" customHeight="1" x14ac:dyDescent="0.3">
      <c r="A24" s="4"/>
      <c r="B24" s="4"/>
      <c r="C24" s="4"/>
      <c r="D24" s="4"/>
      <c r="E24" s="4"/>
      <c r="F24" s="6" t="str">
        <f>IF(A24="","",COUNTIF(Chicks!$F:$F,A24))</f>
        <v/>
      </c>
      <c r="G24" s="6" t="str">
        <f>IF(A24="","",COUNTIFS(Chicks!$F:$F,A24,Chicks!$I:$I,"Yes"))</f>
        <v/>
      </c>
      <c r="H24" s="6" t="str">
        <f>IF(A24="","",SUMIFS(Chicks!$J:$J,Chicks!$F:$F,A24))</f>
        <v/>
      </c>
      <c r="I24" s="6" t="str">
        <f>IF(A24="","",COUNTIFS(Chicks!$F:$F,A24,Chicks!$I:$I,"No"))</f>
        <v/>
      </c>
      <c r="J24" s="6" t="str">
        <f>IF(A24="","",IFERROR(AVERAGEIF(Chicks!$F:$F,A24,Chicks!$M:$M),""))</f>
        <v/>
      </c>
      <c r="K24" s="6" t="str">
        <f>IF(A24="","",SUMIFS(Chicks!$N:$N,Chicks!$F:$F,A24))</f>
        <v/>
      </c>
      <c r="L24" s="6" t="str">
        <f>IF(A24="","",SUMIFS(Chicks!$O:$O,Chicks!$F:$F,A24))</f>
        <v/>
      </c>
      <c r="M24" s="6" t="str">
        <f>IF(A24="","",SUMIFS(Chicks!$P:$P,Chicks!$F:$F,A24))</f>
        <v/>
      </c>
      <c r="N24" s="6" t="str">
        <f t="shared" si="0"/>
        <v/>
      </c>
    </row>
    <row r="25" spans="1:14" ht="14.25" customHeight="1" x14ac:dyDescent="0.3">
      <c r="A25" s="4"/>
      <c r="B25" s="4"/>
      <c r="C25" s="4"/>
      <c r="D25" s="4"/>
      <c r="E25" s="4"/>
      <c r="F25" s="6" t="str">
        <f>IF(A25="","",COUNTIF(Chicks!$F:$F,A25))</f>
        <v/>
      </c>
      <c r="G25" s="6" t="str">
        <f>IF(A25="","",COUNTIFS(Chicks!$F:$F,A25,Chicks!$I:$I,"Yes"))</f>
        <v/>
      </c>
      <c r="H25" s="6" t="str">
        <f>IF(A25="","",SUMIFS(Chicks!$J:$J,Chicks!$F:$F,A25))</f>
        <v/>
      </c>
      <c r="I25" s="6" t="str">
        <f>IF(A25="","",COUNTIFS(Chicks!$F:$F,A25,Chicks!$I:$I,"No"))</f>
        <v/>
      </c>
      <c r="J25" s="6" t="str">
        <f>IF(A25="","",IFERROR(AVERAGEIF(Chicks!$F:$F,A25,Chicks!$M:$M),""))</f>
        <v/>
      </c>
      <c r="K25" s="6" t="str">
        <f>IF(A25="","",SUMIFS(Chicks!$N:$N,Chicks!$F:$F,A25))</f>
        <v/>
      </c>
      <c r="L25" s="6" t="str">
        <f>IF(A25="","",SUMIFS(Chicks!$O:$O,Chicks!$F:$F,A25))</f>
        <v/>
      </c>
      <c r="M25" s="6" t="str">
        <f>IF(A25="","",SUMIFS(Chicks!$P:$P,Chicks!$F:$F,A25))</f>
        <v/>
      </c>
      <c r="N25" s="6" t="str">
        <f t="shared" si="0"/>
        <v/>
      </c>
    </row>
    <row r="26" spans="1:14" ht="14.25" customHeight="1" x14ac:dyDescent="0.3">
      <c r="A26" s="4"/>
      <c r="B26" s="4"/>
      <c r="C26" s="4"/>
      <c r="D26" s="4"/>
      <c r="E26" s="4"/>
      <c r="F26" s="6" t="str">
        <f>IF(A26="","",COUNTIF(Chicks!$F:$F,A26))</f>
        <v/>
      </c>
      <c r="G26" s="6" t="str">
        <f>IF(A26="","",COUNTIFS(Chicks!$F:$F,A26,Chicks!$I:$I,"Yes"))</f>
        <v/>
      </c>
      <c r="H26" s="6" t="str">
        <f>IF(A26="","",SUMIFS(Chicks!$J:$J,Chicks!$F:$F,A26))</f>
        <v/>
      </c>
      <c r="I26" s="6" t="str">
        <f>IF(A26="","",COUNTIFS(Chicks!$F:$F,A26,Chicks!$I:$I,"No"))</f>
        <v/>
      </c>
      <c r="J26" s="6" t="str">
        <f>IF(A26="","",IFERROR(AVERAGEIF(Chicks!$F:$F,A26,Chicks!$M:$M),""))</f>
        <v/>
      </c>
      <c r="K26" s="6" t="str">
        <f>IF(A26="","",SUMIFS(Chicks!$N:$N,Chicks!$F:$F,A26))</f>
        <v/>
      </c>
      <c r="L26" s="6" t="str">
        <f>IF(A26="","",SUMIFS(Chicks!$O:$O,Chicks!$F:$F,A26))</f>
        <v/>
      </c>
      <c r="M26" s="6" t="str">
        <f>IF(A26="","",SUMIFS(Chicks!$P:$P,Chicks!$F:$F,A26))</f>
        <v/>
      </c>
      <c r="N26" s="6" t="str">
        <f t="shared" si="0"/>
        <v/>
      </c>
    </row>
    <row r="27" spans="1:14" ht="14.25" customHeight="1" x14ac:dyDescent="0.3">
      <c r="A27" s="4"/>
      <c r="B27" s="4"/>
      <c r="C27" s="4"/>
      <c r="D27" s="4"/>
      <c r="E27" s="4"/>
      <c r="F27" s="6" t="str">
        <f>IF(A27="","",COUNTIF(Chicks!$F:$F,A27))</f>
        <v/>
      </c>
      <c r="G27" s="6" t="str">
        <f>IF(A27="","",COUNTIFS(Chicks!$F:$F,A27,Chicks!$I:$I,"Yes"))</f>
        <v/>
      </c>
      <c r="H27" s="6" t="str">
        <f>IF(A27="","",SUMIFS(Chicks!$J:$J,Chicks!$F:$F,A27))</f>
        <v/>
      </c>
      <c r="I27" s="6" t="str">
        <f>IF(A27="","",COUNTIFS(Chicks!$F:$F,A27,Chicks!$I:$I,"No"))</f>
        <v/>
      </c>
      <c r="J27" s="6" t="str">
        <f>IF(A27="","",IFERROR(AVERAGEIF(Chicks!$F:$F,A27,Chicks!$M:$M),""))</f>
        <v/>
      </c>
      <c r="K27" s="6" t="str">
        <f>IF(A27="","",SUMIFS(Chicks!$N:$N,Chicks!$F:$F,A27))</f>
        <v/>
      </c>
      <c r="L27" s="6" t="str">
        <f>IF(A27="","",SUMIFS(Chicks!$O:$O,Chicks!$F:$F,A27))</f>
        <v/>
      </c>
      <c r="M27" s="6" t="str">
        <f>IF(A27="","",SUMIFS(Chicks!$P:$P,Chicks!$F:$F,A27))</f>
        <v/>
      </c>
      <c r="N27" s="6" t="str">
        <f t="shared" si="0"/>
        <v/>
      </c>
    </row>
    <row r="28" spans="1:14" ht="14.25" customHeight="1" x14ac:dyDescent="0.3">
      <c r="A28" s="4"/>
      <c r="B28" s="4"/>
      <c r="C28" s="4"/>
      <c r="D28" s="4"/>
      <c r="E28" s="4"/>
      <c r="F28" s="6" t="str">
        <f>IF(A28="","",COUNTIF(Chicks!$F:$F,A28))</f>
        <v/>
      </c>
      <c r="G28" s="6" t="str">
        <f>IF(A28="","",COUNTIFS(Chicks!$F:$F,A28,Chicks!$I:$I,"Yes"))</f>
        <v/>
      </c>
      <c r="H28" s="6" t="str">
        <f>IF(A28="","",SUMIFS(Chicks!$J:$J,Chicks!$F:$F,A28))</f>
        <v/>
      </c>
      <c r="I28" s="6" t="str">
        <f>IF(A28="","",COUNTIFS(Chicks!$F:$F,A28,Chicks!$I:$I,"No"))</f>
        <v/>
      </c>
      <c r="J28" s="6" t="str">
        <f>IF(A28="","",IFERROR(AVERAGEIF(Chicks!$F:$F,A28,Chicks!$M:$M),""))</f>
        <v/>
      </c>
      <c r="K28" s="6" t="str">
        <f>IF(A28="","",SUMIFS(Chicks!$N:$N,Chicks!$F:$F,A28))</f>
        <v/>
      </c>
      <c r="L28" s="6" t="str">
        <f>IF(A28="","",SUMIFS(Chicks!$O:$O,Chicks!$F:$F,A28))</f>
        <v/>
      </c>
      <c r="M28" s="6" t="str">
        <f>IF(A28="","",SUMIFS(Chicks!$P:$P,Chicks!$F:$F,A28))</f>
        <v/>
      </c>
      <c r="N28" s="6" t="str">
        <f t="shared" si="0"/>
        <v/>
      </c>
    </row>
    <row r="29" spans="1:14" ht="14.25" customHeight="1" x14ac:dyDescent="0.3">
      <c r="A29" s="4"/>
      <c r="B29" s="4"/>
      <c r="C29" s="4"/>
      <c r="D29" s="4"/>
      <c r="E29" s="4"/>
      <c r="F29" s="6" t="str">
        <f>IF(A29="","",COUNTIF(Chicks!$F:$F,A29))</f>
        <v/>
      </c>
      <c r="G29" s="6" t="str">
        <f>IF(A29="","",COUNTIFS(Chicks!$F:$F,A29,Chicks!$I:$I,"Yes"))</f>
        <v/>
      </c>
      <c r="H29" s="6" t="str">
        <f>IF(A29="","",SUMIFS(Chicks!$J:$J,Chicks!$F:$F,A29))</f>
        <v/>
      </c>
      <c r="I29" s="6" t="str">
        <f>IF(A29="","",COUNTIFS(Chicks!$F:$F,A29,Chicks!$I:$I,"No"))</f>
        <v/>
      </c>
      <c r="J29" s="6" t="str">
        <f>IF(A29="","",IFERROR(AVERAGEIF(Chicks!$F:$F,A29,Chicks!$M:$M),""))</f>
        <v/>
      </c>
      <c r="K29" s="6" t="str">
        <f>IF(A29="","",SUMIFS(Chicks!$N:$N,Chicks!$F:$F,A29))</f>
        <v/>
      </c>
      <c r="L29" s="6" t="str">
        <f>IF(A29="","",SUMIFS(Chicks!$O:$O,Chicks!$F:$F,A29))</f>
        <v/>
      </c>
      <c r="M29" s="6" t="str">
        <f>IF(A29="","",SUMIFS(Chicks!$P:$P,Chicks!$F:$F,A29))</f>
        <v/>
      </c>
      <c r="N29" s="6" t="str">
        <f t="shared" si="0"/>
        <v/>
      </c>
    </row>
    <row r="30" spans="1:14" ht="14.25" customHeight="1" x14ac:dyDescent="0.3">
      <c r="A30" s="4"/>
      <c r="B30" s="4"/>
      <c r="C30" s="4"/>
      <c r="D30" s="4"/>
      <c r="E30" s="4"/>
      <c r="F30" s="6" t="str">
        <f>IF(A30="","",COUNTIF(Chicks!$F:$F,A30))</f>
        <v/>
      </c>
      <c r="G30" s="6" t="str">
        <f>IF(A30="","",COUNTIFS(Chicks!$F:$F,A30,Chicks!$I:$I,"Yes"))</f>
        <v/>
      </c>
      <c r="H30" s="6" t="str">
        <f>IF(A30="","",SUMIFS(Chicks!$J:$J,Chicks!$F:$F,A30))</f>
        <v/>
      </c>
      <c r="I30" s="6" t="str">
        <f>IF(A30="","",COUNTIFS(Chicks!$F:$F,A30,Chicks!$I:$I,"No"))</f>
        <v/>
      </c>
      <c r="J30" s="6" t="str">
        <f>IF(A30="","",IFERROR(AVERAGEIF(Chicks!$F:$F,A30,Chicks!$M:$M),""))</f>
        <v/>
      </c>
      <c r="K30" s="6" t="str">
        <f>IF(A30="","",SUMIFS(Chicks!$N:$N,Chicks!$F:$F,A30))</f>
        <v/>
      </c>
      <c r="L30" s="6" t="str">
        <f>IF(A30="","",SUMIFS(Chicks!$O:$O,Chicks!$F:$F,A30))</f>
        <v/>
      </c>
      <c r="M30" s="6" t="str">
        <f>IF(A30="","",SUMIFS(Chicks!$P:$P,Chicks!$F:$F,A30))</f>
        <v/>
      </c>
      <c r="N30" s="6" t="str">
        <f t="shared" si="0"/>
        <v/>
      </c>
    </row>
    <row r="31" spans="1:14" ht="14.25" customHeight="1" x14ac:dyDescent="0.3">
      <c r="A31" s="4"/>
      <c r="B31" s="4"/>
      <c r="C31" s="4"/>
      <c r="D31" s="4"/>
      <c r="E31" s="4"/>
      <c r="F31" s="6" t="str">
        <f>IF(A31="","",COUNTIF(Chicks!$F:$F,A31))</f>
        <v/>
      </c>
      <c r="G31" s="6" t="str">
        <f>IF(A31="","",COUNTIFS(Chicks!$F:$F,A31,Chicks!$I:$I,"Yes"))</f>
        <v/>
      </c>
      <c r="H31" s="6" t="str">
        <f>IF(A31="","",SUMIFS(Chicks!$J:$J,Chicks!$F:$F,A31))</f>
        <v/>
      </c>
      <c r="I31" s="6" t="str">
        <f>IF(A31="","",COUNTIFS(Chicks!$F:$F,A31,Chicks!$I:$I,"No"))</f>
        <v/>
      </c>
      <c r="J31" s="6" t="str">
        <f>IF(A31="","",IFERROR(AVERAGEIF(Chicks!$F:$F,A31,Chicks!$M:$M),""))</f>
        <v/>
      </c>
      <c r="K31" s="6" t="str">
        <f>IF(A31="","",SUMIFS(Chicks!$N:$N,Chicks!$F:$F,A31))</f>
        <v/>
      </c>
      <c r="L31" s="6" t="str">
        <f>IF(A31="","",SUMIFS(Chicks!$O:$O,Chicks!$F:$F,A31))</f>
        <v/>
      </c>
      <c r="M31" s="6" t="str">
        <f>IF(A31="","",SUMIFS(Chicks!$P:$P,Chicks!$F:$F,A31))</f>
        <v/>
      </c>
      <c r="N31" s="6" t="str">
        <f t="shared" si="0"/>
        <v/>
      </c>
    </row>
    <row r="32" spans="1:14" ht="14.25" customHeight="1" x14ac:dyDescent="0.3">
      <c r="A32" s="4"/>
      <c r="B32" s="4"/>
      <c r="C32" s="4"/>
      <c r="D32" s="4"/>
      <c r="E32" s="4"/>
      <c r="F32" s="6" t="str">
        <f>IF(A32="","",COUNTIF(Chicks!$F:$F,A32))</f>
        <v/>
      </c>
      <c r="G32" s="6" t="str">
        <f>IF(A32="","",COUNTIFS(Chicks!$F:$F,A32,Chicks!$I:$I,"Yes"))</f>
        <v/>
      </c>
      <c r="H32" s="6" t="str">
        <f>IF(A32="","",SUMIFS(Chicks!$J:$J,Chicks!$F:$F,A32))</f>
        <v/>
      </c>
      <c r="I32" s="6" t="str">
        <f>IF(A32="","",COUNTIFS(Chicks!$F:$F,A32,Chicks!$I:$I,"No"))</f>
        <v/>
      </c>
      <c r="J32" s="6" t="str">
        <f>IF(A32="","",IFERROR(AVERAGEIF(Chicks!$F:$F,A32,Chicks!$M:$M),""))</f>
        <v/>
      </c>
      <c r="K32" s="6" t="str">
        <f>IF(A32="","",SUMIFS(Chicks!$N:$N,Chicks!$F:$F,A32))</f>
        <v/>
      </c>
      <c r="L32" s="6" t="str">
        <f>IF(A32="","",SUMIFS(Chicks!$O:$O,Chicks!$F:$F,A32))</f>
        <v/>
      </c>
      <c r="M32" s="6" t="str">
        <f>IF(A32="","",SUMIFS(Chicks!$P:$P,Chicks!$F:$F,A32))</f>
        <v/>
      </c>
      <c r="N32" s="6" t="str">
        <f t="shared" si="0"/>
        <v/>
      </c>
    </row>
    <row r="33" spans="1:14" ht="14.25" customHeight="1" x14ac:dyDescent="0.3">
      <c r="A33" s="4"/>
      <c r="B33" s="4"/>
      <c r="C33" s="4"/>
      <c r="D33" s="4"/>
      <c r="E33" s="4"/>
      <c r="F33" s="6" t="str">
        <f>IF(A33="","",COUNTIF(Chicks!$F:$F,A33))</f>
        <v/>
      </c>
      <c r="G33" s="6" t="str">
        <f>IF(A33="","",COUNTIFS(Chicks!$F:$F,A33,Chicks!$I:$I,"Yes"))</f>
        <v/>
      </c>
      <c r="H33" s="6" t="str">
        <f>IF(A33="","",SUMIFS(Chicks!$J:$J,Chicks!$F:$F,A33))</f>
        <v/>
      </c>
      <c r="I33" s="6" t="str">
        <f>IF(A33="","",COUNTIFS(Chicks!$F:$F,A33,Chicks!$I:$I,"No"))</f>
        <v/>
      </c>
      <c r="J33" s="6" t="str">
        <f>IF(A33="","",IFERROR(AVERAGEIF(Chicks!$F:$F,A33,Chicks!$M:$M),""))</f>
        <v/>
      </c>
      <c r="K33" s="6" t="str">
        <f>IF(A33="","",SUMIFS(Chicks!$N:$N,Chicks!$F:$F,A33))</f>
        <v/>
      </c>
      <c r="L33" s="6" t="str">
        <f>IF(A33="","",SUMIFS(Chicks!$O:$O,Chicks!$F:$F,A33))</f>
        <v/>
      </c>
      <c r="M33" s="6" t="str">
        <f>IF(A33="","",SUMIFS(Chicks!$P:$P,Chicks!$F:$F,A33))</f>
        <v/>
      </c>
      <c r="N33" s="6" t="str">
        <f t="shared" si="0"/>
        <v/>
      </c>
    </row>
    <row r="34" spans="1:14" ht="14.25" customHeight="1" x14ac:dyDescent="0.3">
      <c r="A34" s="4"/>
      <c r="B34" s="4"/>
      <c r="C34" s="4"/>
      <c r="D34" s="4"/>
      <c r="E34" s="4"/>
      <c r="F34" s="6" t="str">
        <f>IF(A34="","",COUNTIF(Chicks!$F:$F,A34))</f>
        <v/>
      </c>
      <c r="G34" s="6" t="str">
        <f>IF(A34="","",COUNTIFS(Chicks!$F:$F,A34,Chicks!$I:$I,"Yes"))</f>
        <v/>
      </c>
      <c r="H34" s="6" t="str">
        <f>IF(A34="","",SUMIFS(Chicks!$J:$J,Chicks!$F:$F,A34))</f>
        <v/>
      </c>
      <c r="I34" s="6" t="str">
        <f>IF(A34="","",COUNTIFS(Chicks!$F:$F,A34,Chicks!$I:$I,"No"))</f>
        <v/>
      </c>
      <c r="J34" s="6" t="str">
        <f>IF(A34="","",IFERROR(AVERAGEIF(Chicks!$F:$F,A34,Chicks!$M:$M),""))</f>
        <v/>
      </c>
      <c r="K34" s="6" t="str">
        <f>IF(A34="","",SUMIFS(Chicks!$N:$N,Chicks!$F:$F,A34))</f>
        <v/>
      </c>
      <c r="L34" s="6" t="str">
        <f>IF(A34="","",SUMIFS(Chicks!$O:$O,Chicks!$F:$F,A34))</f>
        <v/>
      </c>
      <c r="M34" s="6" t="str">
        <f>IF(A34="","",SUMIFS(Chicks!$P:$P,Chicks!$F:$F,A34))</f>
        <v/>
      </c>
      <c r="N34" s="6" t="str">
        <f t="shared" si="0"/>
        <v/>
      </c>
    </row>
    <row r="35" spans="1:14" ht="14.25" customHeight="1" x14ac:dyDescent="0.3">
      <c r="A35" s="4"/>
      <c r="B35" s="4"/>
      <c r="C35" s="4"/>
      <c r="D35" s="4"/>
      <c r="E35" s="4"/>
      <c r="F35" s="6" t="str">
        <f>IF(A35="","",COUNTIF(Chicks!$F:$F,A35))</f>
        <v/>
      </c>
      <c r="G35" s="6" t="str">
        <f>IF(A35="","",COUNTIFS(Chicks!$F:$F,A35,Chicks!$I:$I,"Yes"))</f>
        <v/>
      </c>
      <c r="H35" s="6" t="str">
        <f>IF(A35="","",SUMIFS(Chicks!$J:$J,Chicks!$F:$F,A35))</f>
        <v/>
      </c>
      <c r="I35" s="6" t="str">
        <f>IF(A35="","",COUNTIFS(Chicks!$F:$F,A35,Chicks!$I:$I,"No"))</f>
        <v/>
      </c>
      <c r="J35" s="6" t="str">
        <f>IF(A35="","",IFERROR(AVERAGEIF(Chicks!$F:$F,A35,Chicks!$M:$M),""))</f>
        <v/>
      </c>
      <c r="K35" s="6" t="str">
        <f>IF(A35="","",SUMIFS(Chicks!$N:$N,Chicks!$F:$F,A35))</f>
        <v/>
      </c>
      <c r="L35" s="6" t="str">
        <f>IF(A35="","",SUMIFS(Chicks!$O:$O,Chicks!$F:$F,A35))</f>
        <v/>
      </c>
      <c r="M35" s="6" t="str">
        <f>IF(A35="","",SUMIFS(Chicks!$P:$P,Chicks!$F:$F,A35))</f>
        <v/>
      </c>
      <c r="N35" s="6" t="str">
        <f t="shared" si="0"/>
        <v/>
      </c>
    </row>
    <row r="36" spans="1:14" ht="14.25" customHeight="1" x14ac:dyDescent="0.3">
      <c r="A36" s="4"/>
      <c r="B36" s="4"/>
      <c r="C36" s="4"/>
      <c r="D36" s="4"/>
      <c r="E36" s="4"/>
      <c r="F36" s="6" t="str">
        <f>IF(A36="","",COUNTIF(Chicks!$F:$F,A36))</f>
        <v/>
      </c>
      <c r="G36" s="6" t="str">
        <f>IF(A36="","",COUNTIFS(Chicks!$F:$F,A36,Chicks!$I:$I,"Yes"))</f>
        <v/>
      </c>
      <c r="H36" s="6" t="str">
        <f>IF(A36="","",SUMIFS(Chicks!$J:$J,Chicks!$F:$F,A36))</f>
        <v/>
      </c>
      <c r="I36" s="6" t="str">
        <f>IF(A36="","",COUNTIFS(Chicks!$F:$F,A36,Chicks!$I:$I,"No"))</f>
        <v/>
      </c>
      <c r="J36" s="6" t="str">
        <f>IF(A36="","",IFERROR(AVERAGEIF(Chicks!$F:$F,A36,Chicks!$M:$M),""))</f>
        <v/>
      </c>
      <c r="K36" s="6" t="str">
        <f>IF(A36="","",SUMIFS(Chicks!$N:$N,Chicks!$F:$F,A36))</f>
        <v/>
      </c>
      <c r="L36" s="6" t="str">
        <f>IF(A36="","",SUMIFS(Chicks!$O:$O,Chicks!$F:$F,A36))</f>
        <v/>
      </c>
      <c r="M36" s="6" t="str">
        <f>IF(A36="","",SUMIFS(Chicks!$P:$P,Chicks!$F:$F,A36))</f>
        <v/>
      </c>
      <c r="N36" s="6" t="str">
        <f t="shared" si="0"/>
        <v/>
      </c>
    </row>
    <row r="37" spans="1:14" ht="14.25" customHeight="1" x14ac:dyDescent="0.3">
      <c r="A37" s="4"/>
      <c r="B37" s="4"/>
      <c r="C37" s="4"/>
      <c r="D37" s="4"/>
      <c r="E37" s="4"/>
      <c r="F37" s="6" t="str">
        <f>IF(A37="","",COUNTIF(Chicks!$F:$F,A37))</f>
        <v/>
      </c>
      <c r="G37" s="6" t="str">
        <f>IF(A37="","",COUNTIFS(Chicks!$F:$F,A37,Chicks!$I:$I,"Yes"))</f>
        <v/>
      </c>
      <c r="H37" s="6" t="str">
        <f>IF(A37="","",SUMIFS(Chicks!$J:$J,Chicks!$F:$F,A37))</f>
        <v/>
      </c>
      <c r="I37" s="6" t="str">
        <f>IF(A37="","",COUNTIFS(Chicks!$F:$F,A37,Chicks!$I:$I,"No"))</f>
        <v/>
      </c>
      <c r="J37" s="6" t="str">
        <f>IF(A37="","",IFERROR(AVERAGEIF(Chicks!$F:$F,A37,Chicks!$M:$M),""))</f>
        <v/>
      </c>
      <c r="K37" s="6" t="str">
        <f>IF(A37="","",SUMIFS(Chicks!$N:$N,Chicks!$F:$F,A37))</f>
        <v/>
      </c>
      <c r="L37" s="6" t="str">
        <f>IF(A37="","",SUMIFS(Chicks!$O:$O,Chicks!$F:$F,A37))</f>
        <v/>
      </c>
      <c r="M37" s="6" t="str">
        <f>IF(A37="","",SUMIFS(Chicks!$P:$P,Chicks!$F:$F,A37))</f>
        <v/>
      </c>
      <c r="N37" s="6" t="str">
        <f t="shared" si="0"/>
        <v/>
      </c>
    </row>
    <row r="38" spans="1:14" ht="14.25" customHeight="1" x14ac:dyDescent="0.3">
      <c r="A38" s="4"/>
      <c r="B38" s="4"/>
      <c r="C38" s="4"/>
      <c r="D38" s="4"/>
      <c r="E38" s="4"/>
      <c r="F38" s="6" t="str">
        <f>IF(A38="","",COUNTIF(Chicks!$F:$F,A38))</f>
        <v/>
      </c>
      <c r="G38" s="6" t="str">
        <f>IF(A38="","",COUNTIFS(Chicks!$F:$F,A38,Chicks!$I:$I,"Yes"))</f>
        <v/>
      </c>
      <c r="H38" s="6" t="str">
        <f>IF(A38="","",SUMIFS(Chicks!$J:$J,Chicks!$F:$F,A38))</f>
        <v/>
      </c>
      <c r="I38" s="6" t="str">
        <f>IF(A38="","",COUNTIFS(Chicks!$F:$F,A38,Chicks!$I:$I,"No"))</f>
        <v/>
      </c>
      <c r="J38" s="6" t="str">
        <f>IF(A38="","",IFERROR(AVERAGEIF(Chicks!$F:$F,A38,Chicks!$M:$M),""))</f>
        <v/>
      </c>
      <c r="K38" s="6" t="str">
        <f>IF(A38="","",SUMIFS(Chicks!$N:$N,Chicks!$F:$F,A38))</f>
        <v/>
      </c>
      <c r="L38" s="6" t="str">
        <f>IF(A38="","",SUMIFS(Chicks!$O:$O,Chicks!$F:$F,A38))</f>
        <v/>
      </c>
      <c r="M38" s="6" t="str">
        <f>IF(A38="","",SUMIFS(Chicks!$P:$P,Chicks!$F:$F,A38))</f>
        <v/>
      </c>
      <c r="N38" s="6" t="str">
        <f t="shared" si="0"/>
        <v/>
      </c>
    </row>
    <row r="39" spans="1:14" ht="14.25" customHeight="1" x14ac:dyDescent="0.3">
      <c r="A39" s="4"/>
      <c r="B39" s="4"/>
      <c r="C39" s="4"/>
      <c r="D39" s="4"/>
      <c r="E39" s="4"/>
      <c r="F39" s="6" t="str">
        <f>IF(A39="","",COUNTIF(Chicks!$F:$F,A39))</f>
        <v/>
      </c>
      <c r="G39" s="6" t="str">
        <f>IF(A39="","",COUNTIFS(Chicks!$F:$F,A39,Chicks!$I:$I,"Yes"))</f>
        <v/>
      </c>
      <c r="H39" s="6" t="str">
        <f>IF(A39="","",SUMIFS(Chicks!$J:$J,Chicks!$F:$F,A39))</f>
        <v/>
      </c>
      <c r="I39" s="6" t="str">
        <f>IF(A39="","",COUNTIFS(Chicks!$F:$F,A39,Chicks!$I:$I,"No"))</f>
        <v/>
      </c>
      <c r="J39" s="6" t="str">
        <f>IF(A39="","",IFERROR(AVERAGEIF(Chicks!$F:$F,A39,Chicks!$M:$M),""))</f>
        <v/>
      </c>
      <c r="K39" s="6" t="str">
        <f>IF(A39="","",SUMIFS(Chicks!$N:$N,Chicks!$F:$F,A39))</f>
        <v/>
      </c>
      <c r="L39" s="6" t="str">
        <f>IF(A39="","",SUMIFS(Chicks!$O:$O,Chicks!$F:$F,A39))</f>
        <v/>
      </c>
      <c r="M39" s="6" t="str">
        <f>IF(A39="","",SUMIFS(Chicks!$P:$P,Chicks!$F:$F,A39))</f>
        <v/>
      </c>
      <c r="N39" s="6" t="str">
        <f t="shared" si="0"/>
        <v/>
      </c>
    </row>
    <row r="40" spans="1:14" ht="14.25" customHeight="1" x14ac:dyDescent="0.3">
      <c r="A40" s="4"/>
      <c r="B40" s="4"/>
      <c r="C40" s="4"/>
      <c r="D40" s="4"/>
      <c r="E40" s="4"/>
      <c r="F40" s="6" t="str">
        <f>IF(A40="","",COUNTIF(Chicks!$F:$F,A40))</f>
        <v/>
      </c>
      <c r="G40" s="6" t="str">
        <f>IF(A40="","",COUNTIFS(Chicks!$F:$F,A40,Chicks!$I:$I,"Yes"))</f>
        <v/>
      </c>
      <c r="H40" s="6" t="str">
        <f>IF(A40="","",SUMIFS(Chicks!$J:$J,Chicks!$F:$F,A40))</f>
        <v/>
      </c>
      <c r="I40" s="6" t="str">
        <f>IF(A40="","",COUNTIFS(Chicks!$F:$F,A40,Chicks!$I:$I,"No"))</f>
        <v/>
      </c>
      <c r="J40" s="6" t="str">
        <f>IF(A40="","",IFERROR(AVERAGEIF(Chicks!$F:$F,A40,Chicks!$M:$M),""))</f>
        <v/>
      </c>
      <c r="K40" s="6" t="str">
        <f>IF(A40="","",SUMIFS(Chicks!$N:$N,Chicks!$F:$F,A40))</f>
        <v/>
      </c>
      <c r="L40" s="6" t="str">
        <f>IF(A40="","",SUMIFS(Chicks!$O:$O,Chicks!$F:$F,A40))</f>
        <v/>
      </c>
      <c r="M40" s="6" t="str">
        <f>IF(A40="","",SUMIFS(Chicks!$P:$P,Chicks!$F:$F,A40))</f>
        <v/>
      </c>
      <c r="N40" s="6" t="str">
        <f t="shared" si="0"/>
        <v/>
      </c>
    </row>
    <row r="41" spans="1:14" ht="14.25" customHeight="1" x14ac:dyDescent="0.3">
      <c r="A41" s="4"/>
      <c r="B41" s="4"/>
      <c r="C41" s="4"/>
      <c r="D41" s="4"/>
      <c r="E41" s="4"/>
      <c r="F41" s="6" t="str">
        <f>IF(A41="","",COUNTIF(Chicks!$F:$F,A41))</f>
        <v/>
      </c>
      <c r="G41" s="6" t="str">
        <f>IF(A41="","",COUNTIFS(Chicks!$F:$F,A41,Chicks!$I:$I,"Yes"))</f>
        <v/>
      </c>
      <c r="H41" s="6" t="str">
        <f>IF(A41="","",SUMIFS(Chicks!$J:$J,Chicks!$F:$F,A41))</f>
        <v/>
      </c>
      <c r="I41" s="6" t="str">
        <f>IF(A41="","",COUNTIFS(Chicks!$F:$F,A41,Chicks!$I:$I,"No"))</f>
        <v/>
      </c>
      <c r="J41" s="6" t="str">
        <f>IF(A41="","",IFERROR(AVERAGEIF(Chicks!$F:$F,A41,Chicks!$M:$M),""))</f>
        <v/>
      </c>
      <c r="K41" s="6" t="str">
        <f>IF(A41="","",SUMIFS(Chicks!$N:$N,Chicks!$F:$F,A41))</f>
        <v/>
      </c>
      <c r="L41" s="6" t="str">
        <f>IF(A41="","",SUMIFS(Chicks!$O:$O,Chicks!$F:$F,A41))</f>
        <v/>
      </c>
      <c r="M41" s="6" t="str">
        <f>IF(A41="","",SUMIFS(Chicks!$P:$P,Chicks!$F:$F,A41))</f>
        <v/>
      </c>
      <c r="N41" s="6" t="str">
        <f t="shared" si="0"/>
        <v/>
      </c>
    </row>
    <row r="42" spans="1:14" ht="14.25" customHeight="1" x14ac:dyDescent="0.3">
      <c r="A42" s="4"/>
      <c r="B42" s="4"/>
      <c r="C42" s="4"/>
      <c r="D42" s="4"/>
      <c r="E42" s="4"/>
      <c r="F42" s="6" t="str">
        <f>IF(A42="","",COUNTIF(Chicks!$F:$F,A42))</f>
        <v/>
      </c>
      <c r="G42" s="6" t="str">
        <f>IF(A42="","",COUNTIFS(Chicks!$F:$F,A42,Chicks!$I:$I,"Yes"))</f>
        <v/>
      </c>
      <c r="H42" s="6" t="str">
        <f>IF(A42="","",SUMIFS(Chicks!$J:$J,Chicks!$F:$F,A42))</f>
        <v/>
      </c>
      <c r="I42" s="6" t="str">
        <f>IF(A42="","",COUNTIFS(Chicks!$F:$F,A42,Chicks!$I:$I,"No"))</f>
        <v/>
      </c>
      <c r="J42" s="6" t="str">
        <f>IF(A42="","",IFERROR(AVERAGEIF(Chicks!$F:$F,A42,Chicks!$M:$M),""))</f>
        <v/>
      </c>
      <c r="K42" s="6" t="str">
        <f>IF(A42="","",SUMIFS(Chicks!$N:$N,Chicks!$F:$F,A42))</f>
        <v/>
      </c>
      <c r="L42" s="6" t="str">
        <f>IF(A42="","",SUMIFS(Chicks!$O:$O,Chicks!$F:$F,A42))</f>
        <v/>
      </c>
      <c r="M42" s="6" t="str">
        <f>IF(A42="","",SUMIFS(Chicks!$P:$P,Chicks!$F:$F,A42))</f>
        <v/>
      </c>
      <c r="N42" s="6" t="str">
        <f t="shared" si="0"/>
        <v/>
      </c>
    </row>
    <row r="43" spans="1:14" ht="14.25" customHeight="1" x14ac:dyDescent="0.3">
      <c r="A43" s="4"/>
      <c r="B43" s="4"/>
      <c r="C43" s="4"/>
      <c r="D43" s="4"/>
      <c r="E43" s="4"/>
      <c r="F43" s="6" t="str">
        <f>IF(A43="","",COUNTIF(Chicks!$F:$F,A43))</f>
        <v/>
      </c>
      <c r="G43" s="6" t="str">
        <f>IF(A43="","",COUNTIFS(Chicks!$F:$F,A43,Chicks!$I:$I,"Yes"))</f>
        <v/>
      </c>
      <c r="H43" s="6" t="str">
        <f>IF(A43="","",SUMIFS(Chicks!$J:$J,Chicks!$F:$F,A43))</f>
        <v/>
      </c>
      <c r="I43" s="6" t="str">
        <f>IF(A43="","",COUNTIFS(Chicks!$F:$F,A43,Chicks!$I:$I,"No"))</f>
        <v/>
      </c>
      <c r="J43" s="6" t="str">
        <f>IF(A43="","",IFERROR(AVERAGEIF(Chicks!$F:$F,A43,Chicks!$M:$M),""))</f>
        <v/>
      </c>
      <c r="K43" s="6" t="str">
        <f>IF(A43="","",SUMIFS(Chicks!$N:$N,Chicks!$F:$F,A43))</f>
        <v/>
      </c>
      <c r="L43" s="6" t="str">
        <f>IF(A43="","",SUMIFS(Chicks!$O:$O,Chicks!$F:$F,A43))</f>
        <v/>
      </c>
      <c r="M43" s="6" t="str">
        <f>IF(A43="","",SUMIFS(Chicks!$P:$P,Chicks!$F:$F,A43))</f>
        <v/>
      </c>
      <c r="N43" s="6" t="str">
        <f t="shared" si="0"/>
        <v/>
      </c>
    </row>
    <row r="44" spans="1:14" ht="14.25" customHeight="1" x14ac:dyDescent="0.3">
      <c r="A44" s="4"/>
      <c r="B44" s="4"/>
      <c r="C44" s="4"/>
      <c r="D44" s="4"/>
      <c r="E44" s="4"/>
      <c r="F44" s="6" t="str">
        <f>IF(A44="","",COUNTIF(Chicks!$F:$F,A44))</f>
        <v/>
      </c>
      <c r="G44" s="6" t="str">
        <f>IF(A44="","",COUNTIFS(Chicks!$F:$F,A44,Chicks!$I:$I,"Yes"))</f>
        <v/>
      </c>
      <c r="H44" s="6" t="str">
        <f>IF(A44="","",SUMIFS(Chicks!$J:$J,Chicks!$F:$F,A44))</f>
        <v/>
      </c>
      <c r="I44" s="6" t="str">
        <f>IF(A44="","",COUNTIFS(Chicks!$F:$F,A44,Chicks!$I:$I,"No"))</f>
        <v/>
      </c>
      <c r="J44" s="6" t="str">
        <f>IF(A44="","",IFERROR(AVERAGEIF(Chicks!$F:$F,A44,Chicks!$M:$M),""))</f>
        <v/>
      </c>
      <c r="K44" s="6" t="str">
        <f>IF(A44="","",SUMIFS(Chicks!$N:$N,Chicks!$F:$F,A44))</f>
        <v/>
      </c>
      <c r="L44" s="6" t="str">
        <f>IF(A44="","",SUMIFS(Chicks!$O:$O,Chicks!$F:$F,A44))</f>
        <v/>
      </c>
      <c r="M44" s="6" t="str">
        <f>IF(A44="","",SUMIFS(Chicks!$P:$P,Chicks!$F:$F,A44))</f>
        <v/>
      </c>
      <c r="N44" s="6" t="str">
        <f t="shared" si="0"/>
        <v/>
      </c>
    </row>
    <row r="45" spans="1:14" ht="14.25" customHeight="1" x14ac:dyDescent="0.3">
      <c r="A45" s="4"/>
      <c r="B45" s="4"/>
      <c r="C45" s="4"/>
      <c r="D45" s="4"/>
      <c r="E45" s="4"/>
      <c r="F45" s="6" t="str">
        <f>IF(A45="","",COUNTIF(Chicks!$F:$F,A45))</f>
        <v/>
      </c>
      <c r="G45" s="6" t="str">
        <f>IF(A45="","",COUNTIFS(Chicks!$F:$F,A45,Chicks!$I:$I,"Yes"))</f>
        <v/>
      </c>
      <c r="H45" s="6" t="str">
        <f>IF(A45="","",SUMIFS(Chicks!$J:$J,Chicks!$F:$F,A45))</f>
        <v/>
      </c>
      <c r="I45" s="6" t="str">
        <f>IF(A45="","",COUNTIFS(Chicks!$F:$F,A45,Chicks!$I:$I,"No"))</f>
        <v/>
      </c>
      <c r="J45" s="6" t="str">
        <f>IF(A45="","",IFERROR(AVERAGEIF(Chicks!$F:$F,A45,Chicks!$M:$M),""))</f>
        <v/>
      </c>
      <c r="K45" s="6" t="str">
        <f>IF(A45="","",SUMIFS(Chicks!$N:$N,Chicks!$F:$F,A45))</f>
        <v/>
      </c>
      <c r="L45" s="6" t="str">
        <f>IF(A45="","",SUMIFS(Chicks!$O:$O,Chicks!$F:$F,A45))</f>
        <v/>
      </c>
      <c r="M45" s="6" t="str">
        <f>IF(A45="","",SUMIFS(Chicks!$P:$P,Chicks!$F:$F,A45))</f>
        <v/>
      </c>
      <c r="N45" s="6" t="str">
        <f t="shared" si="0"/>
        <v/>
      </c>
    </row>
    <row r="46" spans="1:14" ht="14.25" customHeight="1" x14ac:dyDescent="0.3">
      <c r="A46" s="4"/>
      <c r="B46" s="4"/>
      <c r="C46" s="4"/>
      <c r="D46" s="4"/>
      <c r="E46" s="4"/>
      <c r="F46" s="6" t="str">
        <f>IF(A46="","",COUNTIF(Chicks!$F:$F,A46))</f>
        <v/>
      </c>
      <c r="G46" s="6" t="str">
        <f>IF(A46="","",COUNTIFS(Chicks!$F:$F,A46,Chicks!$I:$I,"Yes"))</f>
        <v/>
      </c>
      <c r="H46" s="6" t="str">
        <f>IF(A46="","",SUMIFS(Chicks!$J:$J,Chicks!$F:$F,A46))</f>
        <v/>
      </c>
      <c r="I46" s="6" t="str">
        <f>IF(A46="","",COUNTIFS(Chicks!$F:$F,A46,Chicks!$I:$I,"No"))</f>
        <v/>
      </c>
      <c r="J46" s="6" t="str">
        <f>IF(A46="","",IFERROR(AVERAGEIF(Chicks!$F:$F,A46,Chicks!$M:$M),""))</f>
        <v/>
      </c>
      <c r="K46" s="6" t="str">
        <f>IF(A46="","",SUMIFS(Chicks!$N:$N,Chicks!$F:$F,A46))</f>
        <v/>
      </c>
      <c r="L46" s="6" t="str">
        <f>IF(A46="","",SUMIFS(Chicks!$O:$O,Chicks!$F:$F,A46))</f>
        <v/>
      </c>
      <c r="M46" s="6" t="str">
        <f>IF(A46="","",SUMIFS(Chicks!$P:$P,Chicks!$F:$F,A46))</f>
        <v/>
      </c>
      <c r="N46" s="6" t="str">
        <f t="shared" si="0"/>
        <v/>
      </c>
    </row>
    <row r="47" spans="1:14" ht="14.25" customHeight="1" x14ac:dyDescent="0.3">
      <c r="A47" s="4"/>
      <c r="B47" s="4"/>
      <c r="C47" s="4"/>
      <c r="D47" s="4"/>
      <c r="E47" s="4"/>
      <c r="F47" s="6" t="str">
        <f>IF(A47="","",COUNTIF(Chicks!$F:$F,A47))</f>
        <v/>
      </c>
      <c r="G47" s="6" t="str">
        <f>IF(A47="","",COUNTIFS(Chicks!$F:$F,A47,Chicks!$I:$I,"Yes"))</f>
        <v/>
      </c>
      <c r="H47" s="6" t="str">
        <f>IF(A47="","",SUMIFS(Chicks!$J:$J,Chicks!$F:$F,A47))</f>
        <v/>
      </c>
      <c r="I47" s="6" t="str">
        <f>IF(A47="","",COUNTIFS(Chicks!$F:$F,A47,Chicks!$I:$I,"No"))</f>
        <v/>
      </c>
      <c r="J47" s="6" t="str">
        <f>IF(A47="","",IFERROR(AVERAGEIF(Chicks!$F:$F,A47,Chicks!$M:$M),""))</f>
        <v/>
      </c>
      <c r="K47" s="6" t="str">
        <f>IF(A47="","",SUMIFS(Chicks!$N:$N,Chicks!$F:$F,A47))</f>
        <v/>
      </c>
      <c r="L47" s="6" t="str">
        <f>IF(A47="","",SUMIFS(Chicks!$O:$O,Chicks!$F:$F,A47))</f>
        <v/>
      </c>
      <c r="M47" s="6" t="str">
        <f>IF(A47="","",SUMIFS(Chicks!$P:$P,Chicks!$F:$F,A47))</f>
        <v/>
      </c>
      <c r="N47" s="6" t="str">
        <f t="shared" si="0"/>
        <v/>
      </c>
    </row>
    <row r="48" spans="1:14" ht="14.25" customHeight="1" x14ac:dyDescent="0.3">
      <c r="A48" s="4"/>
      <c r="B48" s="4"/>
      <c r="C48" s="4"/>
      <c r="D48" s="4"/>
      <c r="E48" s="4"/>
      <c r="F48" s="6" t="str">
        <f>IF(A48="","",COUNTIF(Chicks!$F:$F,A48))</f>
        <v/>
      </c>
      <c r="G48" s="6" t="str">
        <f>IF(A48="","",COUNTIFS(Chicks!$F:$F,A48,Chicks!$I:$I,"Yes"))</f>
        <v/>
      </c>
      <c r="H48" s="6" t="str">
        <f>IF(A48="","",SUMIFS(Chicks!$J:$J,Chicks!$F:$F,A48))</f>
        <v/>
      </c>
      <c r="I48" s="6" t="str">
        <f>IF(A48="","",COUNTIFS(Chicks!$F:$F,A48,Chicks!$I:$I,"No"))</f>
        <v/>
      </c>
      <c r="J48" s="6" t="str">
        <f>IF(A48="","",IFERROR(AVERAGEIF(Chicks!$F:$F,A48,Chicks!$M:$M),""))</f>
        <v/>
      </c>
      <c r="K48" s="6" t="str">
        <f>IF(A48="","",SUMIFS(Chicks!$N:$N,Chicks!$F:$F,A48))</f>
        <v/>
      </c>
      <c r="L48" s="6" t="str">
        <f>IF(A48="","",SUMIFS(Chicks!$O:$O,Chicks!$F:$F,A48))</f>
        <v/>
      </c>
      <c r="M48" s="6" t="str">
        <f>IF(A48="","",SUMIFS(Chicks!$P:$P,Chicks!$F:$F,A48))</f>
        <v/>
      </c>
      <c r="N48" s="6" t="str">
        <f t="shared" si="0"/>
        <v/>
      </c>
    </row>
    <row r="49" spans="1:14" ht="14.25" customHeight="1" x14ac:dyDescent="0.3">
      <c r="A49" s="4"/>
      <c r="B49" s="4"/>
      <c r="C49" s="4"/>
      <c r="D49" s="4"/>
      <c r="E49" s="4"/>
      <c r="F49" s="6" t="str">
        <f>IF(A49="","",COUNTIF(Chicks!$F:$F,A49))</f>
        <v/>
      </c>
      <c r="G49" s="6" t="str">
        <f>IF(A49="","",COUNTIFS(Chicks!$F:$F,A49,Chicks!$I:$I,"Yes"))</f>
        <v/>
      </c>
      <c r="H49" s="6" t="str">
        <f>IF(A49="","",SUMIFS(Chicks!$J:$J,Chicks!$F:$F,A49))</f>
        <v/>
      </c>
      <c r="I49" s="6" t="str">
        <f>IF(A49="","",COUNTIFS(Chicks!$F:$F,A49,Chicks!$I:$I,"No"))</f>
        <v/>
      </c>
      <c r="J49" s="6" t="str">
        <f>IF(A49="","",IFERROR(AVERAGEIF(Chicks!$F:$F,A49,Chicks!$M:$M),""))</f>
        <v/>
      </c>
      <c r="K49" s="6" t="str">
        <f>IF(A49="","",SUMIFS(Chicks!$N:$N,Chicks!$F:$F,A49))</f>
        <v/>
      </c>
      <c r="L49" s="6" t="str">
        <f>IF(A49="","",SUMIFS(Chicks!$O:$O,Chicks!$F:$F,A49))</f>
        <v/>
      </c>
      <c r="M49" s="6" t="str">
        <f>IF(A49="","",SUMIFS(Chicks!$P:$P,Chicks!$F:$F,A49))</f>
        <v/>
      </c>
      <c r="N49" s="6" t="str">
        <f t="shared" si="0"/>
        <v/>
      </c>
    </row>
    <row r="50" spans="1:14" ht="14.25" customHeight="1" x14ac:dyDescent="0.3">
      <c r="A50" s="4"/>
      <c r="B50" s="4"/>
      <c r="C50" s="4"/>
      <c r="D50" s="4"/>
      <c r="E50" s="4"/>
      <c r="F50" s="6" t="str">
        <f>IF(A50="","",COUNTIF(Chicks!$F:$F,A50))</f>
        <v/>
      </c>
      <c r="G50" s="6" t="str">
        <f>IF(A50="","",COUNTIFS(Chicks!$F:$F,A50,Chicks!$I:$I,"Yes"))</f>
        <v/>
      </c>
      <c r="H50" s="6" t="str">
        <f>IF(A50="","",SUMIFS(Chicks!$J:$J,Chicks!$F:$F,A50))</f>
        <v/>
      </c>
      <c r="I50" s="6" t="str">
        <f>IF(A50="","",COUNTIFS(Chicks!$F:$F,A50,Chicks!$I:$I,"No"))</f>
        <v/>
      </c>
      <c r="J50" s="6" t="str">
        <f>IF(A50="","",IFERROR(AVERAGEIF(Chicks!$F:$F,A50,Chicks!$M:$M),""))</f>
        <v/>
      </c>
      <c r="K50" s="6" t="str">
        <f>IF(A50="","",SUMIFS(Chicks!$N:$N,Chicks!$F:$F,A50))</f>
        <v/>
      </c>
      <c r="L50" s="6" t="str">
        <f>IF(A50="","",SUMIFS(Chicks!$O:$O,Chicks!$F:$F,A50))</f>
        <v/>
      </c>
      <c r="M50" s="6" t="str">
        <f>IF(A50="","",SUMIFS(Chicks!$P:$P,Chicks!$F:$F,A50))</f>
        <v/>
      </c>
      <c r="N50" s="6" t="str">
        <f t="shared" si="0"/>
        <v/>
      </c>
    </row>
    <row r="51" spans="1:14" ht="14.25" customHeight="1" x14ac:dyDescent="0.3">
      <c r="A51" s="4"/>
      <c r="B51" s="4"/>
      <c r="C51" s="4"/>
      <c r="D51" s="4"/>
      <c r="E51" s="4"/>
      <c r="F51" s="6" t="str">
        <f>IF(A51="","",COUNTIF(Chicks!$F:$F,A51))</f>
        <v/>
      </c>
      <c r="G51" s="6" t="str">
        <f>IF(A51="","",COUNTIFS(Chicks!$F:$F,A51,Chicks!$I:$I,"Yes"))</f>
        <v/>
      </c>
      <c r="H51" s="6" t="str">
        <f>IF(A51="","",SUMIFS(Chicks!$J:$J,Chicks!$F:$F,A51))</f>
        <v/>
      </c>
      <c r="I51" s="6" t="str">
        <f>IF(A51="","",COUNTIFS(Chicks!$F:$F,A51,Chicks!$I:$I,"No"))</f>
        <v/>
      </c>
      <c r="J51" s="6" t="str">
        <f>IF(A51="","",IFERROR(AVERAGEIF(Chicks!$F:$F,A51,Chicks!$M:$M),""))</f>
        <v/>
      </c>
      <c r="K51" s="6" t="str">
        <f>IF(A51="","",SUMIFS(Chicks!$N:$N,Chicks!$F:$F,A51))</f>
        <v/>
      </c>
      <c r="L51" s="6" t="str">
        <f>IF(A51="","",SUMIFS(Chicks!$O:$O,Chicks!$F:$F,A51))</f>
        <v/>
      </c>
      <c r="M51" s="6" t="str">
        <f>IF(A51="","",SUMIFS(Chicks!$P:$P,Chicks!$F:$F,A51))</f>
        <v/>
      </c>
      <c r="N51" s="6" t="str">
        <f t="shared" si="0"/>
        <v/>
      </c>
    </row>
    <row r="52" spans="1:14" ht="14.25" customHeight="1" x14ac:dyDescent="0.3">
      <c r="A52" s="4"/>
      <c r="B52" s="4"/>
      <c r="C52" s="4"/>
      <c r="D52" s="4"/>
      <c r="E52" s="4"/>
      <c r="F52" s="6" t="str">
        <f>IF(A52="","",COUNTIF(Chicks!$F:$F,A52))</f>
        <v/>
      </c>
      <c r="G52" s="6" t="str">
        <f>IF(A52="","",COUNTIFS(Chicks!$F:$F,A52,Chicks!$I:$I,"Yes"))</f>
        <v/>
      </c>
      <c r="H52" s="6" t="str">
        <f>IF(A52="","",SUMIFS(Chicks!$J:$J,Chicks!$F:$F,A52))</f>
        <v/>
      </c>
      <c r="I52" s="6" t="str">
        <f>IF(A52="","",COUNTIFS(Chicks!$F:$F,A52,Chicks!$I:$I,"No"))</f>
        <v/>
      </c>
      <c r="J52" s="6" t="str">
        <f>IF(A52="","",IFERROR(AVERAGEIF(Chicks!$F:$F,A52,Chicks!$M:$M),""))</f>
        <v/>
      </c>
      <c r="K52" s="6" t="str">
        <f>IF(A52="","",SUMIFS(Chicks!$N:$N,Chicks!$F:$F,A52))</f>
        <v/>
      </c>
      <c r="L52" s="6" t="str">
        <f>IF(A52="","",SUMIFS(Chicks!$O:$O,Chicks!$F:$F,A52))</f>
        <v/>
      </c>
      <c r="M52" s="6" t="str">
        <f>IF(A52="","",SUMIFS(Chicks!$P:$P,Chicks!$F:$F,A52))</f>
        <v/>
      </c>
      <c r="N52" s="6" t="str">
        <f t="shared" si="0"/>
        <v/>
      </c>
    </row>
    <row r="53" spans="1:14" ht="14.25" customHeight="1" x14ac:dyDescent="0.3">
      <c r="A53" s="4"/>
      <c r="B53" s="4"/>
      <c r="C53" s="4"/>
      <c r="D53" s="4"/>
      <c r="E53" s="4"/>
      <c r="F53" s="6" t="str">
        <f>IF(A53="","",COUNTIF(Chicks!$F:$F,A53))</f>
        <v/>
      </c>
      <c r="G53" s="6" t="str">
        <f>IF(A53="","",COUNTIFS(Chicks!$F:$F,A53,Chicks!$I:$I,"Yes"))</f>
        <v/>
      </c>
      <c r="H53" s="6" t="str">
        <f>IF(A53="","",SUMIFS(Chicks!$J:$J,Chicks!$F:$F,A53))</f>
        <v/>
      </c>
      <c r="I53" s="6" t="str">
        <f>IF(A53="","",COUNTIFS(Chicks!$F:$F,A53,Chicks!$I:$I,"No"))</f>
        <v/>
      </c>
      <c r="J53" s="6" t="str">
        <f>IF(A53="","",IFERROR(AVERAGEIF(Chicks!$F:$F,A53,Chicks!$M:$M),""))</f>
        <v/>
      </c>
      <c r="K53" s="6" t="str">
        <f>IF(A53="","",SUMIFS(Chicks!$N:$N,Chicks!$F:$F,A53))</f>
        <v/>
      </c>
      <c r="L53" s="6" t="str">
        <f>IF(A53="","",SUMIFS(Chicks!$O:$O,Chicks!$F:$F,A53))</f>
        <v/>
      </c>
      <c r="M53" s="6" t="str">
        <f>IF(A53="","",SUMIFS(Chicks!$P:$P,Chicks!$F:$F,A53))</f>
        <v/>
      </c>
      <c r="N53" s="6" t="str">
        <f t="shared" si="0"/>
        <v/>
      </c>
    </row>
    <row r="54" spans="1:14" ht="14.25" customHeight="1" x14ac:dyDescent="0.3">
      <c r="A54" s="4"/>
      <c r="B54" s="4"/>
      <c r="C54" s="4"/>
      <c r="D54" s="4"/>
      <c r="E54" s="4"/>
      <c r="F54" s="6" t="str">
        <f>IF(A54="","",COUNTIF(Chicks!$F:$F,A54))</f>
        <v/>
      </c>
      <c r="G54" s="6" t="str">
        <f>IF(A54="","",COUNTIFS(Chicks!$F:$F,A54,Chicks!$I:$I,"Yes"))</f>
        <v/>
      </c>
      <c r="H54" s="6" t="str">
        <f>IF(A54="","",SUMIFS(Chicks!$J:$J,Chicks!$F:$F,A54))</f>
        <v/>
      </c>
      <c r="I54" s="6" t="str">
        <f>IF(A54="","",COUNTIFS(Chicks!$F:$F,A54,Chicks!$I:$I,"No"))</f>
        <v/>
      </c>
      <c r="J54" s="6" t="str">
        <f>IF(A54="","",IFERROR(AVERAGEIF(Chicks!$F:$F,A54,Chicks!$M:$M),""))</f>
        <v/>
      </c>
      <c r="K54" s="6" t="str">
        <f>IF(A54="","",SUMIFS(Chicks!$N:$N,Chicks!$F:$F,A54))</f>
        <v/>
      </c>
      <c r="L54" s="6" t="str">
        <f>IF(A54="","",SUMIFS(Chicks!$O:$O,Chicks!$F:$F,A54))</f>
        <v/>
      </c>
      <c r="M54" s="6" t="str">
        <f>IF(A54="","",SUMIFS(Chicks!$P:$P,Chicks!$F:$F,A54))</f>
        <v/>
      </c>
      <c r="N54" s="6" t="str">
        <f t="shared" si="0"/>
        <v/>
      </c>
    </row>
    <row r="55" spans="1:14" ht="14.25" customHeight="1" x14ac:dyDescent="0.3">
      <c r="A55" s="4"/>
      <c r="B55" s="4"/>
      <c r="C55" s="4"/>
      <c r="D55" s="4"/>
      <c r="E55" s="4"/>
      <c r="F55" s="6" t="str">
        <f>IF(A55="","",COUNTIF(Chicks!$F:$F,A55))</f>
        <v/>
      </c>
      <c r="G55" s="6" t="str">
        <f>IF(A55="","",COUNTIFS(Chicks!$F:$F,A55,Chicks!$I:$I,"Yes"))</f>
        <v/>
      </c>
      <c r="H55" s="6" t="str">
        <f>IF(A55="","",SUMIFS(Chicks!$J:$J,Chicks!$F:$F,A55))</f>
        <v/>
      </c>
      <c r="I55" s="6" t="str">
        <f>IF(A55="","",COUNTIFS(Chicks!$F:$F,A55,Chicks!$I:$I,"No"))</f>
        <v/>
      </c>
      <c r="J55" s="6" t="str">
        <f>IF(A55="","",IFERROR(AVERAGEIF(Chicks!$F:$F,A55,Chicks!$M:$M),""))</f>
        <v/>
      </c>
      <c r="K55" s="6" t="str">
        <f>IF(A55="","",SUMIFS(Chicks!$N:$N,Chicks!$F:$F,A55))</f>
        <v/>
      </c>
      <c r="L55" s="6" t="str">
        <f>IF(A55="","",SUMIFS(Chicks!$O:$O,Chicks!$F:$F,A55))</f>
        <v/>
      </c>
      <c r="M55" s="6" t="str">
        <f>IF(A55="","",SUMIFS(Chicks!$P:$P,Chicks!$F:$F,A55))</f>
        <v/>
      </c>
      <c r="N55" s="6" t="str">
        <f t="shared" si="0"/>
        <v/>
      </c>
    </row>
    <row r="56" spans="1:14" ht="14.25" customHeight="1" x14ac:dyDescent="0.3">
      <c r="A56" s="4"/>
      <c r="B56" s="4"/>
      <c r="C56" s="4"/>
      <c r="D56" s="4"/>
      <c r="E56" s="4"/>
      <c r="F56" s="6" t="str">
        <f>IF(A56="","",COUNTIF(Chicks!$F:$F,A56))</f>
        <v/>
      </c>
      <c r="G56" s="6" t="str">
        <f>IF(A56="","",COUNTIFS(Chicks!$F:$F,A56,Chicks!$I:$I,"Yes"))</f>
        <v/>
      </c>
      <c r="H56" s="6" t="str">
        <f>IF(A56="","",SUMIFS(Chicks!$J:$J,Chicks!$F:$F,A56))</f>
        <v/>
      </c>
      <c r="I56" s="6" t="str">
        <f>IF(A56="","",COUNTIFS(Chicks!$F:$F,A56,Chicks!$I:$I,"No"))</f>
        <v/>
      </c>
      <c r="J56" s="6" t="str">
        <f>IF(A56="","",IFERROR(AVERAGEIF(Chicks!$F:$F,A56,Chicks!$M:$M),""))</f>
        <v/>
      </c>
      <c r="K56" s="6" t="str">
        <f>IF(A56="","",SUMIFS(Chicks!$N:$N,Chicks!$F:$F,A56))</f>
        <v/>
      </c>
      <c r="L56" s="6" t="str">
        <f>IF(A56="","",SUMIFS(Chicks!$O:$O,Chicks!$F:$F,A56))</f>
        <v/>
      </c>
      <c r="M56" s="6" t="str">
        <f>IF(A56="","",SUMIFS(Chicks!$P:$P,Chicks!$F:$F,A56))</f>
        <v/>
      </c>
      <c r="N56" s="6" t="str">
        <f t="shared" si="0"/>
        <v/>
      </c>
    </row>
    <row r="57" spans="1:14" ht="14.25" customHeight="1" x14ac:dyDescent="0.3">
      <c r="A57" s="4"/>
      <c r="B57" s="4"/>
      <c r="C57" s="4"/>
      <c r="D57" s="4"/>
      <c r="E57" s="4"/>
      <c r="F57" s="6" t="str">
        <f>IF(A57="","",COUNTIF(Chicks!$F:$F,A57))</f>
        <v/>
      </c>
      <c r="G57" s="6" t="str">
        <f>IF(A57="","",COUNTIFS(Chicks!$F:$F,A57,Chicks!$I:$I,"Yes"))</f>
        <v/>
      </c>
      <c r="H57" s="6" t="str">
        <f>IF(A57="","",SUMIFS(Chicks!$J:$J,Chicks!$F:$F,A57))</f>
        <v/>
      </c>
      <c r="I57" s="6" t="str">
        <f>IF(A57="","",COUNTIFS(Chicks!$F:$F,A57,Chicks!$I:$I,"No"))</f>
        <v/>
      </c>
      <c r="J57" s="6" t="str">
        <f>IF(A57="","",IFERROR(AVERAGEIF(Chicks!$F:$F,A57,Chicks!$M:$M),""))</f>
        <v/>
      </c>
      <c r="K57" s="6" t="str">
        <f>IF(A57="","",SUMIFS(Chicks!$N:$N,Chicks!$F:$F,A57))</f>
        <v/>
      </c>
      <c r="L57" s="6" t="str">
        <f>IF(A57="","",SUMIFS(Chicks!$O:$O,Chicks!$F:$F,A57))</f>
        <v/>
      </c>
      <c r="M57" s="6" t="str">
        <f>IF(A57="","",SUMIFS(Chicks!$P:$P,Chicks!$F:$F,A57))</f>
        <v/>
      </c>
      <c r="N57" s="6" t="str">
        <f t="shared" si="0"/>
        <v/>
      </c>
    </row>
    <row r="58" spans="1:14" ht="14.25" customHeight="1" x14ac:dyDescent="0.3">
      <c r="A58" s="4"/>
      <c r="B58" s="4"/>
      <c r="C58" s="4"/>
      <c r="D58" s="4"/>
      <c r="E58" s="4"/>
      <c r="F58" s="6" t="str">
        <f>IF(A58="","",COUNTIF(Chicks!$F:$F,A58))</f>
        <v/>
      </c>
      <c r="G58" s="6" t="str">
        <f>IF(A58="","",COUNTIFS(Chicks!$F:$F,A58,Chicks!$I:$I,"Yes"))</f>
        <v/>
      </c>
      <c r="H58" s="6" t="str">
        <f>IF(A58="","",SUMIFS(Chicks!$J:$J,Chicks!$F:$F,A58))</f>
        <v/>
      </c>
      <c r="I58" s="6" t="str">
        <f>IF(A58="","",COUNTIFS(Chicks!$F:$F,A58,Chicks!$I:$I,"No"))</f>
        <v/>
      </c>
      <c r="J58" s="6" t="str">
        <f>IF(A58="","",IFERROR(AVERAGEIF(Chicks!$F:$F,A58,Chicks!$M:$M),""))</f>
        <v/>
      </c>
      <c r="K58" s="6" t="str">
        <f>IF(A58="","",SUMIFS(Chicks!$N:$N,Chicks!$F:$F,A58))</f>
        <v/>
      </c>
      <c r="L58" s="6" t="str">
        <f>IF(A58="","",SUMIFS(Chicks!$O:$O,Chicks!$F:$F,A58))</f>
        <v/>
      </c>
      <c r="M58" s="6" t="str">
        <f>IF(A58="","",SUMIFS(Chicks!$P:$P,Chicks!$F:$F,A58))</f>
        <v/>
      </c>
      <c r="N58" s="6" t="str">
        <f t="shared" si="0"/>
        <v/>
      </c>
    </row>
    <row r="59" spans="1:14" ht="14.25" customHeight="1" x14ac:dyDescent="0.3">
      <c r="A59" s="4"/>
      <c r="B59" s="4"/>
      <c r="C59" s="4"/>
      <c r="D59" s="4"/>
      <c r="E59" s="4"/>
      <c r="F59" s="6" t="str">
        <f>IF(A59="","",COUNTIF(Chicks!$F:$F,A59))</f>
        <v/>
      </c>
      <c r="G59" s="6" t="str">
        <f>IF(A59="","",COUNTIFS(Chicks!$F:$F,A59,Chicks!$I:$I,"Yes"))</f>
        <v/>
      </c>
      <c r="H59" s="6" t="str">
        <f>IF(A59="","",SUMIFS(Chicks!$J:$J,Chicks!$F:$F,A59))</f>
        <v/>
      </c>
      <c r="I59" s="6" t="str">
        <f>IF(A59="","",COUNTIFS(Chicks!$F:$F,A59,Chicks!$I:$I,"No"))</f>
        <v/>
      </c>
      <c r="J59" s="6" t="str">
        <f>IF(A59="","",IFERROR(AVERAGEIF(Chicks!$F:$F,A59,Chicks!$M:$M),""))</f>
        <v/>
      </c>
      <c r="K59" s="6" t="str">
        <f>IF(A59="","",SUMIFS(Chicks!$N:$N,Chicks!$F:$F,A59))</f>
        <v/>
      </c>
      <c r="L59" s="6" t="str">
        <f>IF(A59="","",SUMIFS(Chicks!$O:$O,Chicks!$F:$F,A59))</f>
        <v/>
      </c>
      <c r="M59" s="6" t="str">
        <f>IF(A59="","",SUMIFS(Chicks!$P:$P,Chicks!$F:$F,A59))</f>
        <v/>
      </c>
      <c r="N59" s="6" t="str">
        <f t="shared" si="0"/>
        <v/>
      </c>
    </row>
    <row r="60" spans="1:14" ht="14.25" customHeight="1" x14ac:dyDescent="0.3">
      <c r="A60" s="4"/>
      <c r="B60" s="4"/>
      <c r="C60" s="4"/>
      <c r="D60" s="4"/>
      <c r="E60" s="4"/>
      <c r="F60" s="6" t="str">
        <f>IF(A60="","",COUNTIF(Chicks!$F:$F,A60))</f>
        <v/>
      </c>
      <c r="G60" s="6" t="str">
        <f>IF(A60="","",COUNTIFS(Chicks!$F:$F,A60,Chicks!$I:$I,"Yes"))</f>
        <v/>
      </c>
      <c r="H60" s="6" t="str">
        <f>IF(A60="","",SUMIFS(Chicks!$J:$J,Chicks!$F:$F,A60))</f>
        <v/>
      </c>
      <c r="I60" s="6" t="str">
        <f>IF(A60="","",COUNTIFS(Chicks!$F:$F,A60,Chicks!$I:$I,"No"))</f>
        <v/>
      </c>
      <c r="J60" s="6" t="str">
        <f>IF(A60="","",IFERROR(AVERAGEIF(Chicks!$F:$F,A60,Chicks!$M:$M),""))</f>
        <v/>
      </c>
      <c r="K60" s="6" t="str">
        <f>IF(A60="","",SUMIFS(Chicks!$N:$N,Chicks!$F:$F,A60))</f>
        <v/>
      </c>
      <c r="L60" s="6" t="str">
        <f>IF(A60="","",SUMIFS(Chicks!$O:$O,Chicks!$F:$F,A60))</f>
        <v/>
      </c>
      <c r="M60" s="6" t="str">
        <f>IF(A60="","",SUMIFS(Chicks!$P:$P,Chicks!$F:$F,A60))</f>
        <v/>
      </c>
      <c r="N60" s="6" t="str">
        <f t="shared" si="0"/>
        <v/>
      </c>
    </row>
    <row r="61" spans="1:14" ht="14.25" customHeight="1" x14ac:dyDescent="0.3">
      <c r="A61" s="4"/>
      <c r="B61" s="4"/>
      <c r="C61" s="4"/>
      <c r="D61" s="4"/>
      <c r="E61" s="4"/>
      <c r="F61" s="6" t="str">
        <f>IF(A61="","",COUNTIF(Chicks!$F:$F,A61))</f>
        <v/>
      </c>
      <c r="G61" s="6" t="str">
        <f>IF(A61="","",COUNTIFS(Chicks!$F:$F,A61,Chicks!$I:$I,"Yes"))</f>
        <v/>
      </c>
      <c r="H61" s="6" t="str">
        <f>IF(A61="","",SUMIFS(Chicks!$J:$J,Chicks!$F:$F,A61))</f>
        <v/>
      </c>
      <c r="I61" s="6" t="str">
        <f>IF(A61="","",COUNTIFS(Chicks!$F:$F,A61,Chicks!$I:$I,"No"))</f>
        <v/>
      </c>
      <c r="J61" s="6" t="str">
        <f>IF(A61="","",IFERROR(AVERAGEIF(Chicks!$F:$F,A61,Chicks!$M:$M),""))</f>
        <v/>
      </c>
      <c r="K61" s="6" t="str">
        <f>IF(A61="","",SUMIFS(Chicks!$N:$N,Chicks!$F:$F,A61))</f>
        <v/>
      </c>
      <c r="L61" s="6" t="str">
        <f>IF(A61="","",SUMIFS(Chicks!$O:$O,Chicks!$F:$F,A61))</f>
        <v/>
      </c>
      <c r="M61" s="6" t="str">
        <f>IF(A61="","",SUMIFS(Chicks!$P:$P,Chicks!$F:$F,A61))</f>
        <v/>
      </c>
      <c r="N61" s="6" t="str">
        <f t="shared" si="0"/>
        <v/>
      </c>
    </row>
    <row r="62" spans="1:14" ht="14.25" customHeight="1" x14ac:dyDescent="0.3">
      <c r="A62" s="4"/>
      <c r="B62" s="4"/>
      <c r="C62" s="4"/>
      <c r="D62" s="4"/>
      <c r="E62" s="4"/>
      <c r="F62" s="6" t="str">
        <f>IF(A62="","",COUNTIF(Chicks!$F:$F,A62))</f>
        <v/>
      </c>
      <c r="G62" s="6" t="str">
        <f>IF(A62="","",COUNTIFS(Chicks!$F:$F,A62,Chicks!$I:$I,"Yes"))</f>
        <v/>
      </c>
      <c r="H62" s="6" t="str">
        <f>IF(A62="","",SUMIFS(Chicks!$J:$J,Chicks!$F:$F,A62))</f>
        <v/>
      </c>
      <c r="I62" s="6" t="str">
        <f>IF(A62="","",COUNTIFS(Chicks!$F:$F,A62,Chicks!$I:$I,"No"))</f>
        <v/>
      </c>
      <c r="J62" s="6" t="str">
        <f>IF(A62="","",IFERROR(AVERAGEIF(Chicks!$F:$F,A62,Chicks!$M:$M),""))</f>
        <v/>
      </c>
      <c r="K62" s="6" t="str">
        <f>IF(A62="","",SUMIFS(Chicks!$N:$N,Chicks!$F:$F,A62))</f>
        <v/>
      </c>
      <c r="L62" s="6" t="str">
        <f>IF(A62="","",SUMIFS(Chicks!$O:$O,Chicks!$F:$F,A62))</f>
        <v/>
      </c>
      <c r="M62" s="6" t="str">
        <f>IF(A62="","",SUMIFS(Chicks!$P:$P,Chicks!$F:$F,A62))</f>
        <v/>
      </c>
      <c r="N62" s="6" t="str">
        <f t="shared" si="0"/>
        <v/>
      </c>
    </row>
    <row r="63" spans="1:14" ht="14.25" customHeight="1" x14ac:dyDescent="0.3">
      <c r="A63" s="4"/>
      <c r="B63" s="4"/>
      <c r="C63" s="4"/>
      <c r="D63" s="4"/>
      <c r="E63" s="4"/>
      <c r="F63" s="6" t="str">
        <f>IF(A63="","",COUNTIF(Chicks!$F:$F,A63))</f>
        <v/>
      </c>
      <c r="G63" s="6" t="str">
        <f>IF(A63="","",COUNTIFS(Chicks!$F:$F,A63,Chicks!$I:$I,"Yes"))</f>
        <v/>
      </c>
      <c r="H63" s="6" t="str">
        <f>IF(A63="","",SUMIFS(Chicks!$J:$J,Chicks!$F:$F,A63))</f>
        <v/>
      </c>
      <c r="I63" s="6" t="str">
        <f>IF(A63="","",COUNTIFS(Chicks!$F:$F,A63,Chicks!$I:$I,"No"))</f>
        <v/>
      </c>
      <c r="J63" s="6" t="str">
        <f>IF(A63="","",IFERROR(AVERAGEIF(Chicks!$F:$F,A63,Chicks!$M:$M),""))</f>
        <v/>
      </c>
      <c r="K63" s="6" t="str">
        <f>IF(A63="","",SUMIFS(Chicks!$N:$N,Chicks!$F:$F,A63))</f>
        <v/>
      </c>
      <c r="L63" s="6" t="str">
        <f>IF(A63="","",SUMIFS(Chicks!$O:$O,Chicks!$F:$F,A63))</f>
        <v/>
      </c>
      <c r="M63" s="6" t="str">
        <f>IF(A63="","",SUMIFS(Chicks!$P:$P,Chicks!$F:$F,A63))</f>
        <v/>
      </c>
      <c r="N63" s="6" t="str">
        <f t="shared" si="0"/>
        <v/>
      </c>
    </row>
    <row r="64" spans="1:14" ht="14.25" customHeight="1" x14ac:dyDescent="0.3">
      <c r="A64" s="4"/>
      <c r="B64" s="4"/>
      <c r="C64" s="4"/>
      <c r="D64" s="4"/>
      <c r="E64" s="4"/>
      <c r="F64" s="6" t="str">
        <f>IF(A64="","",COUNTIF(Chicks!$F:$F,A64))</f>
        <v/>
      </c>
      <c r="G64" s="6" t="str">
        <f>IF(A64="","",COUNTIFS(Chicks!$F:$F,A64,Chicks!$I:$I,"Yes"))</f>
        <v/>
      </c>
      <c r="H64" s="6" t="str">
        <f>IF(A64="","",SUMIFS(Chicks!$J:$J,Chicks!$F:$F,A64))</f>
        <v/>
      </c>
      <c r="I64" s="6" t="str">
        <f>IF(A64="","",COUNTIFS(Chicks!$F:$F,A64,Chicks!$I:$I,"No"))</f>
        <v/>
      </c>
      <c r="J64" s="6" t="str">
        <f>IF(A64="","",IFERROR(AVERAGEIF(Chicks!$F:$F,A64,Chicks!$M:$M),""))</f>
        <v/>
      </c>
      <c r="K64" s="6" t="str">
        <f>IF(A64="","",SUMIFS(Chicks!$N:$N,Chicks!$F:$F,A64))</f>
        <v/>
      </c>
      <c r="L64" s="6" t="str">
        <f>IF(A64="","",SUMIFS(Chicks!$O:$O,Chicks!$F:$F,A64))</f>
        <v/>
      </c>
      <c r="M64" s="6" t="str">
        <f>IF(A64="","",SUMIFS(Chicks!$P:$P,Chicks!$F:$F,A64))</f>
        <v/>
      </c>
      <c r="N64" s="6" t="str">
        <f t="shared" si="0"/>
        <v/>
      </c>
    </row>
    <row r="65" spans="1:14" ht="14.25" customHeight="1" x14ac:dyDescent="0.3">
      <c r="A65" s="4"/>
      <c r="B65" s="4"/>
      <c r="C65" s="4"/>
      <c r="D65" s="4"/>
      <c r="E65" s="4"/>
      <c r="F65" s="6" t="str">
        <f>IF(A65="","",COUNTIF(Chicks!$F:$F,A65))</f>
        <v/>
      </c>
      <c r="G65" s="6" t="str">
        <f>IF(A65="","",COUNTIFS(Chicks!$F:$F,A65,Chicks!$I:$I,"Yes"))</f>
        <v/>
      </c>
      <c r="H65" s="6" t="str">
        <f>IF(A65="","",SUMIFS(Chicks!$J:$J,Chicks!$F:$F,A65))</f>
        <v/>
      </c>
      <c r="I65" s="6" t="str">
        <f>IF(A65="","",COUNTIFS(Chicks!$F:$F,A65,Chicks!$I:$I,"No"))</f>
        <v/>
      </c>
      <c r="J65" s="6" t="str">
        <f>IF(A65="","",IFERROR(AVERAGEIF(Chicks!$F:$F,A65,Chicks!$M:$M),""))</f>
        <v/>
      </c>
      <c r="K65" s="6" t="str">
        <f>IF(A65="","",SUMIFS(Chicks!$N:$N,Chicks!$F:$F,A65))</f>
        <v/>
      </c>
      <c r="L65" s="6" t="str">
        <f>IF(A65="","",SUMIFS(Chicks!$O:$O,Chicks!$F:$F,A65))</f>
        <v/>
      </c>
      <c r="M65" s="6" t="str">
        <f>IF(A65="","",SUMIFS(Chicks!$P:$P,Chicks!$F:$F,A65))</f>
        <v/>
      </c>
      <c r="N65" s="6" t="str">
        <f t="shared" si="0"/>
        <v/>
      </c>
    </row>
    <row r="66" spans="1:14" ht="14.25" customHeight="1" x14ac:dyDescent="0.3">
      <c r="A66" s="4"/>
      <c r="B66" s="4"/>
      <c r="C66" s="4"/>
      <c r="D66" s="4"/>
      <c r="E66" s="4"/>
      <c r="F66" s="6" t="str">
        <f>IF(A66="","",COUNTIF(Chicks!$F:$F,A66))</f>
        <v/>
      </c>
      <c r="G66" s="6" t="str">
        <f>IF(A66="","",COUNTIFS(Chicks!$F:$F,A66,Chicks!$I:$I,"Yes"))</f>
        <v/>
      </c>
      <c r="H66" s="6" t="str">
        <f>IF(A66="","",SUMIFS(Chicks!$J:$J,Chicks!$F:$F,A66))</f>
        <v/>
      </c>
      <c r="I66" s="6" t="str">
        <f>IF(A66="","",COUNTIFS(Chicks!$F:$F,A66,Chicks!$I:$I,"No"))</f>
        <v/>
      </c>
      <c r="J66" s="6" t="str">
        <f>IF(A66="","",IFERROR(AVERAGEIF(Chicks!$F:$F,A66,Chicks!$M:$M),""))</f>
        <v/>
      </c>
      <c r="K66" s="6" t="str">
        <f>IF(A66="","",SUMIFS(Chicks!$N:$N,Chicks!$F:$F,A66))</f>
        <v/>
      </c>
      <c r="L66" s="6" t="str">
        <f>IF(A66="","",SUMIFS(Chicks!$O:$O,Chicks!$F:$F,A66))</f>
        <v/>
      </c>
      <c r="M66" s="6" t="str">
        <f>IF(A66="","",SUMIFS(Chicks!$P:$P,Chicks!$F:$F,A66))</f>
        <v/>
      </c>
      <c r="N66" s="6" t="str">
        <f t="shared" si="0"/>
        <v/>
      </c>
    </row>
    <row r="67" spans="1:14" ht="14.25" customHeight="1" x14ac:dyDescent="0.3">
      <c r="A67" s="4"/>
      <c r="B67" s="4"/>
      <c r="C67" s="4"/>
      <c r="D67" s="4"/>
      <c r="E67" s="4"/>
      <c r="F67" s="6" t="str">
        <f>IF(A67="","",COUNTIF(Chicks!$F:$F,A67))</f>
        <v/>
      </c>
      <c r="G67" s="6" t="str">
        <f>IF(A67="","",COUNTIFS(Chicks!$F:$F,A67,Chicks!$I:$I,"Yes"))</f>
        <v/>
      </c>
      <c r="H67" s="6" t="str">
        <f>IF(A67="","",SUMIFS(Chicks!$J:$J,Chicks!$F:$F,A67))</f>
        <v/>
      </c>
      <c r="I67" s="6" t="str">
        <f>IF(A67="","",COUNTIFS(Chicks!$F:$F,A67,Chicks!$I:$I,"No"))</f>
        <v/>
      </c>
      <c r="J67" s="6" t="str">
        <f>IF(A67="","",IFERROR(AVERAGEIF(Chicks!$F:$F,A67,Chicks!$M:$M),""))</f>
        <v/>
      </c>
      <c r="K67" s="6" t="str">
        <f>IF(A67="","",SUMIFS(Chicks!$N:$N,Chicks!$F:$F,A67))</f>
        <v/>
      </c>
      <c r="L67" s="6" t="str">
        <f>IF(A67="","",SUMIFS(Chicks!$O:$O,Chicks!$F:$F,A67))</f>
        <v/>
      </c>
      <c r="M67" s="6" t="str">
        <f>IF(A67="","",SUMIFS(Chicks!$P:$P,Chicks!$F:$F,A67))</f>
        <v/>
      </c>
      <c r="N67" s="6" t="str">
        <f t="shared" si="0"/>
        <v/>
      </c>
    </row>
    <row r="68" spans="1:14" ht="14.25" customHeight="1" x14ac:dyDescent="0.3">
      <c r="A68" s="4"/>
      <c r="B68" s="4"/>
      <c r="C68" s="4"/>
      <c r="D68" s="4"/>
      <c r="E68" s="4"/>
      <c r="F68" s="6" t="str">
        <f>IF(A68="","",COUNTIF(Chicks!$F:$F,A68))</f>
        <v/>
      </c>
      <c r="G68" s="6" t="str">
        <f>IF(A68="","",COUNTIFS(Chicks!$F:$F,A68,Chicks!$I:$I,"Yes"))</f>
        <v/>
      </c>
      <c r="H68" s="6" t="str">
        <f>IF(A68="","",SUMIFS(Chicks!$J:$J,Chicks!$F:$F,A68))</f>
        <v/>
      </c>
      <c r="I68" s="6" t="str">
        <f>IF(A68="","",COUNTIFS(Chicks!$F:$F,A68,Chicks!$I:$I,"No"))</f>
        <v/>
      </c>
      <c r="J68" s="6" t="str">
        <f>IF(A68="","",IFERROR(AVERAGEIF(Chicks!$F:$F,A68,Chicks!$M:$M),""))</f>
        <v/>
      </c>
      <c r="K68" s="6" t="str">
        <f>IF(A68="","",SUMIFS(Chicks!$N:$N,Chicks!$F:$F,A68))</f>
        <v/>
      </c>
      <c r="L68" s="6" t="str">
        <f>IF(A68="","",SUMIFS(Chicks!$O:$O,Chicks!$F:$F,A68))</f>
        <v/>
      </c>
      <c r="M68" s="6" t="str">
        <f>IF(A68="","",SUMIFS(Chicks!$P:$P,Chicks!$F:$F,A68))</f>
        <v/>
      </c>
      <c r="N68" s="6" t="str">
        <f t="shared" si="0"/>
        <v/>
      </c>
    </row>
    <row r="69" spans="1:14" ht="14.25" customHeight="1" x14ac:dyDescent="0.3">
      <c r="A69" s="4"/>
      <c r="B69" s="4"/>
      <c r="C69" s="4"/>
      <c r="D69" s="4"/>
      <c r="E69" s="4"/>
      <c r="F69" s="6" t="str">
        <f>IF(A69="","",COUNTIF(Chicks!$F:$F,A69))</f>
        <v/>
      </c>
      <c r="G69" s="6" t="str">
        <f>IF(A69="","",COUNTIFS(Chicks!$F:$F,A69,Chicks!$I:$I,"Yes"))</f>
        <v/>
      </c>
      <c r="H69" s="6" t="str">
        <f>IF(A69="","",SUMIFS(Chicks!$J:$J,Chicks!$F:$F,A69))</f>
        <v/>
      </c>
      <c r="I69" s="6" t="str">
        <f>IF(A69="","",COUNTIFS(Chicks!$F:$F,A69,Chicks!$I:$I,"No"))</f>
        <v/>
      </c>
      <c r="J69" s="6" t="str">
        <f>IF(A69="","",IFERROR(AVERAGEIF(Chicks!$F:$F,A69,Chicks!$M:$M),""))</f>
        <v/>
      </c>
      <c r="K69" s="6" t="str">
        <f>IF(A69="","",SUMIFS(Chicks!$N:$N,Chicks!$F:$F,A69))</f>
        <v/>
      </c>
      <c r="L69" s="6" t="str">
        <f>IF(A69="","",SUMIFS(Chicks!$O:$O,Chicks!$F:$F,A69))</f>
        <v/>
      </c>
      <c r="M69" s="6" t="str">
        <f>IF(A69="","",SUMIFS(Chicks!$P:$P,Chicks!$F:$F,A69))</f>
        <v/>
      </c>
      <c r="N69" s="6" t="str">
        <f t="shared" si="0"/>
        <v/>
      </c>
    </row>
    <row r="70" spans="1:14" ht="14.25" customHeight="1" x14ac:dyDescent="0.3">
      <c r="A70" s="4"/>
      <c r="B70" s="4"/>
      <c r="C70" s="4"/>
      <c r="D70" s="4"/>
      <c r="E70" s="4"/>
      <c r="F70" s="6" t="str">
        <f>IF(A70="","",COUNTIF(Chicks!$F:$F,A70))</f>
        <v/>
      </c>
      <c r="G70" s="6" t="str">
        <f>IF(A70="","",COUNTIFS(Chicks!$F:$F,A70,Chicks!$I:$I,"Yes"))</f>
        <v/>
      </c>
      <c r="H70" s="6" t="str">
        <f>IF(A70="","",SUMIFS(Chicks!$J:$J,Chicks!$F:$F,A70))</f>
        <v/>
      </c>
      <c r="I70" s="6" t="str">
        <f>IF(A70="","",COUNTIFS(Chicks!$F:$F,A70,Chicks!$I:$I,"No"))</f>
        <v/>
      </c>
      <c r="J70" s="6" t="str">
        <f>IF(A70="","",IFERROR(AVERAGEIF(Chicks!$F:$F,A70,Chicks!$M:$M),""))</f>
        <v/>
      </c>
      <c r="K70" s="6" t="str">
        <f>IF(A70="","",SUMIFS(Chicks!$N:$N,Chicks!$F:$F,A70))</f>
        <v/>
      </c>
      <c r="L70" s="6" t="str">
        <f>IF(A70="","",SUMIFS(Chicks!$O:$O,Chicks!$F:$F,A70))</f>
        <v/>
      </c>
      <c r="M70" s="6" t="str">
        <f>IF(A70="","",SUMIFS(Chicks!$P:$P,Chicks!$F:$F,A70))</f>
        <v/>
      </c>
      <c r="N70" s="6" t="str">
        <f t="shared" si="0"/>
        <v/>
      </c>
    </row>
    <row r="71" spans="1:14" ht="14.25" customHeight="1" x14ac:dyDescent="0.3">
      <c r="A71" s="4"/>
      <c r="B71" s="4"/>
      <c r="C71" s="4"/>
      <c r="D71" s="4"/>
      <c r="E71" s="4"/>
      <c r="F71" s="6" t="str">
        <f>IF(A71="","",COUNTIF(Chicks!$F:$F,A71))</f>
        <v/>
      </c>
      <c r="G71" s="6" t="str">
        <f>IF(A71="","",COUNTIFS(Chicks!$F:$F,A71,Chicks!$I:$I,"Yes"))</f>
        <v/>
      </c>
      <c r="H71" s="6" t="str">
        <f>IF(A71="","",SUMIFS(Chicks!$J:$J,Chicks!$F:$F,A71))</f>
        <v/>
      </c>
      <c r="I71" s="6" t="str">
        <f>IF(A71="","",COUNTIFS(Chicks!$F:$F,A71,Chicks!$I:$I,"No"))</f>
        <v/>
      </c>
      <c r="J71" s="6" t="str">
        <f>IF(A71="","",IFERROR(AVERAGEIF(Chicks!$F:$F,A71,Chicks!$M:$M),""))</f>
        <v/>
      </c>
      <c r="K71" s="6" t="str">
        <f>IF(A71="","",SUMIFS(Chicks!$N:$N,Chicks!$F:$F,A71))</f>
        <v/>
      </c>
      <c r="L71" s="6" t="str">
        <f>IF(A71="","",SUMIFS(Chicks!$O:$O,Chicks!$F:$F,A71))</f>
        <v/>
      </c>
      <c r="M71" s="6" t="str">
        <f>IF(A71="","",SUMIFS(Chicks!$P:$P,Chicks!$F:$F,A71))</f>
        <v/>
      </c>
      <c r="N71" s="6" t="str">
        <f t="shared" si="0"/>
        <v/>
      </c>
    </row>
    <row r="72" spans="1:14" ht="14.25" customHeight="1" x14ac:dyDescent="0.3">
      <c r="A72" s="4"/>
      <c r="B72" s="4"/>
      <c r="C72" s="4"/>
      <c r="D72" s="4"/>
      <c r="E72" s="4"/>
      <c r="F72" s="6" t="str">
        <f>IF(A72="","",COUNTIF(Chicks!$F:$F,A72))</f>
        <v/>
      </c>
      <c r="G72" s="6" t="str">
        <f>IF(A72="","",COUNTIFS(Chicks!$F:$F,A72,Chicks!$I:$I,"Yes"))</f>
        <v/>
      </c>
      <c r="H72" s="6" t="str">
        <f>IF(A72="","",SUMIFS(Chicks!$J:$J,Chicks!$F:$F,A72))</f>
        <v/>
      </c>
      <c r="I72" s="6" t="str">
        <f>IF(A72="","",COUNTIFS(Chicks!$F:$F,A72,Chicks!$I:$I,"No"))</f>
        <v/>
      </c>
      <c r="J72" s="6" t="str">
        <f>IF(A72="","",IFERROR(AVERAGEIF(Chicks!$F:$F,A72,Chicks!$M:$M),""))</f>
        <v/>
      </c>
      <c r="K72" s="6" t="str">
        <f>IF(A72="","",SUMIFS(Chicks!$N:$N,Chicks!$F:$F,A72))</f>
        <v/>
      </c>
      <c r="L72" s="6" t="str">
        <f>IF(A72="","",SUMIFS(Chicks!$O:$O,Chicks!$F:$F,A72))</f>
        <v/>
      </c>
      <c r="M72" s="6" t="str">
        <f>IF(A72="","",SUMIFS(Chicks!$P:$P,Chicks!$F:$F,A72))</f>
        <v/>
      </c>
      <c r="N72" s="6" t="str">
        <f t="shared" si="0"/>
        <v/>
      </c>
    </row>
    <row r="73" spans="1:14" ht="14.25" customHeight="1" x14ac:dyDescent="0.3">
      <c r="A73" s="4"/>
      <c r="B73" s="4"/>
      <c r="C73" s="4"/>
      <c r="D73" s="4"/>
      <c r="E73" s="4"/>
      <c r="F73" s="6" t="str">
        <f>IF(A73="","",COUNTIF(Chicks!$F:$F,A73))</f>
        <v/>
      </c>
      <c r="G73" s="6" t="str">
        <f>IF(A73="","",COUNTIFS(Chicks!$F:$F,A73,Chicks!$I:$I,"Yes"))</f>
        <v/>
      </c>
      <c r="H73" s="6" t="str">
        <f>IF(A73="","",SUMIFS(Chicks!$J:$J,Chicks!$F:$F,A73))</f>
        <v/>
      </c>
      <c r="I73" s="6" t="str">
        <f>IF(A73="","",COUNTIFS(Chicks!$F:$F,A73,Chicks!$I:$I,"No"))</f>
        <v/>
      </c>
      <c r="J73" s="6" t="str">
        <f>IF(A73="","",IFERROR(AVERAGEIF(Chicks!$F:$F,A73,Chicks!$M:$M),""))</f>
        <v/>
      </c>
      <c r="K73" s="6" t="str">
        <f>IF(A73="","",SUMIFS(Chicks!$N:$N,Chicks!$F:$F,A73))</f>
        <v/>
      </c>
      <c r="L73" s="6" t="str">
        <f>IF(A73="","",SUMIFS(Chicks!$O:$O,Chicks!$F:$F,A73))</f>
        <v/>
      </c>
      <c r="M73" s="6" t="str">
        <f>IF(A73="","",SUMIFS(Chicks!$P:$P,Chicks!$F:$F,A73))</f>
        <v/>
      </c>
      <c r="N73" s="6" t="str">
        <f t="shared" si="0"/>
        <v/>
      </c>
    </row>
    <row r="74" spans="1:14" ht="14.25" customHeight="1" x14ac:dyDescent="0.3">
      <c r="A74" s="4"/>
      <c r="B74" s="4"/>
      <c r="C74" s="4"/>
      <c r="D74" s="4"/>
      <c r="E74" s="4"/>
      <c r="F74" s="6" t="str">
        <f>IF(A74="","",COUNTIF(Chicks!$F:$F,A74))</f>
        <v/>
      </c>
      <c r="G74" s="6" t="str">
        <f>IF(A74="","",COUNTIFS(Chicks!$F:$F,A74,Chicks!$I:$I,"Yes"))</f>
        <v/>
      </c>
      <c r="H74" s="6" t="str">
        <f>IF(A74="","",SUMIFS(Chicks!$J:$J,Chicks!$F:$F,A74))</f>
        <v/>
      </c>
      <c r="I74" s="6" t="str">
        <f>IF(A74="","",COUNTIFS(Chicks!$F:$F,A74,Chicks!$I:$I,"No"))</f>
        <v/>
      </c>
      <c r="J74" s="6" t="str">
        <f>IF(A74="","",IFERROR(AVERAGEIF(Chicks!$F:$F,A74,Chicks!$M:$M),""))</f>
        <v/>
      </c>
      <c r="K74" s="6" t="str">
        <f>IF(A74="","",SUMIFS(Chicks!$N:$N,Chicks!$F:$F,A74))</f>
        <v/>
      </c>
      <c r="L74" s="6" t="str">
        <f>IF(A74="","",SUMIFS(Chicks!$O:$O,Chicks!$F:$F,A74))</f>
        <v/>
      </c>
      <c r="M74" s="6" t="str">
        <f>IF(A74="","",SUMIFS(Chicks!$P:$P,Chicks!$F:$F,A74))</f>
        <v/>
      </c>
      <c r="N74" s="6" t="str">
        <f t="shared" si="0"/>
        <v/>
      </c>
    </row>
    <row r="75" spans="1:14" ht="14.25" customHeight="1" x14ac:dyDescent="0.3">
      <c r="A75" s="4"/>
      <c r="B75" s="4"/>
      <c r="C75" s="4"/>
      <c r="D75" s="4"/>
      <c r="E75" s="4"/>
      <c r="F75" s="6" t="str">
        <f>IF(A75="","",COUNTIF(Chicks!$F:$F,A75))</f>
        <v/>
      </c>
      <c r="G75" s="6" t="str">
        <f>IF(A75="","",COUNTIFS(Chicks!$F:$F,A75,Chicks!$I:$I,"Yes"))</f>
        <v/>
      </c>
      <c r="H75" s="6" t="str">
        <f>IF(A75="","",SUMIFS(Chicks!$J:$J,Chicks!$F:$F,A75))</f>
        <v/>
      </c>
      <c r="I75" s="6" t="str">
        <f>IF(A75="","",COUNTIFS(Chicks!$F:$F,A75,Chicks!$I:$I,"No"))</f>
        <v/>
      </c>
      <c r="J75" s="6" t="str">
        <f>IF(A75="","",IFERROR(AVERAGEIF(Chicks!$F:$F,A75,Chicks!$M:$M),""))</f>
        <v/>
      </c>
      <c r="K75" s="6" t="str">
        <f>IF(A75="","",SUMIFS(Chicks!$N:$N,Chicks!$F:$F,A75))</f>
        <v/>
      </c>
      <c r="L75" s="6" t="str">
        <f>IF(A75="","",SUMIFS(Chicks!$O:$O,Chicks!$F:$F,A75))</f>
        <v/>
      </c>
      <c r="M75" s="6" t="str">
        <f>IF(A75="","",SUMIFS(Chicks!$P:$P,Chicks!$F:$F,A75))</f>
        <v/>
      </c>
      <c r="N75" s="6" t="str">
        <f t="shared" si="0"/>
        <v/>
      </c>
    </row>
    <row r="76" spans="1:14" ht="14.25" customHeight="1" x14ac:dyDescent="0.3">
      <c r="A76" s="4"/>
      <c r="B76" s="4"/>
      <c r="C76" s="4"/>
      <c r="D76" s="4"/>
      <c r="E76" s="4"/>
      <c r="F76" s="6" t="str">
        <f>IF(A76="","",COUNTIF(Chicks!$F:$F,A76))</f>
        <v/>
      </c>
      <c r="G76" s="6" t="str">
        <f>IF(A76="","",COUNTIFS(Chicks!$F:$F,A76,Chicks!$I:$I,"Yes"))</f>
        <v/>
      </c>
      <c r="H76" s="6" t="str">
        <f>IF(A76="","",SUMIFS(Chicks!$J:$J,Chicks!$F:$F,A76))</f>
        <v/>
      </c>
      <c r="I76" s="6" t="str">
        <f>IF(A76="","",COUNTIFS(Chicks!$F:$F,A76,Chicks!$I:$I,"No"))</f>
        <v/>
      </c>
      <c r="J76" s="6" t="str">
        <f>IF(A76="","",IFERROR(AVERAGEIF(Chicks!$F:$F,A76,Chicks!$M:$M),""))</f>
        <v/>
      </c>
      <c r="K76" s="6" t="str">
        <f>IF(A76="","",SUMIFS(Chicks!$N:$N,Chicks!$F:$F,A76))</f>
        <v/>
      </c>
      <c r="L76" s="6" t="str">
        <f>IF(A76="","",SUMIFS(Chicks!$O:$O,Chicks!$F:$F,A76))</f>
        <v/>
      </c>
      <c r="M76" s="6" t="str">
        <f>IF(A76="","",SUMIFS(Chicks!$P:$P,Chicks!$F:$F,A76))</f>
        <v/>
      </c>
      <c r="N76" s="6" t="str">
        <f t="shared" si="0"/>
        <v/>
      </c>
    </row>
    <row r="77" spans="1:14" ht="14.25" customHeight="1" x14ac:dyDescent="0.3">
      <c r="A77" s="4"/>
      <c r="B77" s="4"/>
      <c r="C77" s="4"/>
      <c r="D77" s="4"/>
      <c r="E77" s="4"/>
      <c r="F77" s="6" t="str">
        <f>IF(A77="","",COUNTIF(Chicks!$F:$F,A77))</f>
        <v/>
      </c>
      <c r="G77" s="6" t="str">
        <f>IF(A77="","",COUNTIFS(Chicks!$F:$F,A77,Chicks!$I:$I,"Yes"))</f>
        <v/>
      </c>
      <c r="H77" s="6" t="str">
        <f>IF(A77="","",SUMIFS(Chicks!$J:$J,Chicks!$F:$F,A77))</f>
        <v/>
      </c>
      <c r="I77" s="6" t="str">
        <f>IF(A77="","",COUNTIFS(Chicks!$F:$F,A77,Chicks!$I:$I,"No"))</f>
        <v/>
      </c>
      <c r="J77" s="6" t="str">
        <f>IF(A77="","",IFERROR(AVERAGEIF(Chicks!$F:$F,A77,Chicks!$M:$M),""))</f>
        <v/>
      </c>
      <c r="K77" s="6" t="str">
        <f>IF(A77="","",SUMIFS(Chicks!$N:$N,Chicks!$F:$F,A77))</f>
        <v/>
      </c>
      <c r="L77" s="6" t="str">
        <f>IF(A77="","",SUMIFS(Chicks!$O:$O,Chicks!$F:$F,A77))</f>
        <v/>
      </c>
      <c r="M77" s="6" t="str">
        <f>IF(A77="","",SUMIFS(Chicks!$P:$P,Chicks!$F:$F,A77))</f>
        <v/>
      </c>
      <c r="N77" s="6" t="str">
        <f t="shared" si="0"/>
        <v/>
      </c>
    </row>
    <row r="78" spans="1:14" ht="14.25" customHeight="1" x14ac:dyDescent="0.3">
      <c r="A78" s="4"/>
      <c r="B78" s="4"/>
      <c r="C78" s="4"/>
      <c r="D78" s="4"/>
      <c r="E78" s="4"/>
      <c r="F78" s="6" t="str">
        <f>IF(A78="","",COUNTIF(Chicks!$F:$F,A78))</f>
        <v/>
      </c>
      <c r="G78" s="6" t="str">
        <f>IF(A78="","",COUNTIFS(Chicks!$F:$F,A78,Chicks!$I:$I,"Yes"))</f>
        <v/>
      </c>
      <c r="H78" s="6" t="str">
        <f>IF(A78="","",SUMIFS(Chicks!$J:$J,Chicks!$F:$F,A78))</f>
        <v/>
      </c>
      <c r="I78" s="6" t="str">
        <f>IF(A78="","",COUNTIFS(Chicks!$F:$F,A78,Chicks!$I:$I,"No"))</f>
        <v/>
      </c>
      <c r="J78" s="6" t="str">
        <f>IF(A78="","",IFERROR(AVERAGEIF(Chicks!$F:$F,A78,Chicks!$M:$M),""))</f>
        <v/>
      </c>
      <c r="K78" s="6" t="str">
        <f>IF(A78="","",SUMIFS(Chicks!$N:$N,Chicks!$F:$F,A78))</f>
        <v/>
      </c>
      <c r="L78" s="6" t="str">
        <f>IF(A78="","",SUMIFS(Chicks!$O:$O,Chicks!$F:$F,A78))</f>
        <v/>
      </c>
      <c r="M78" s="6" t="str">
        <f>IF(A78="","",SUMIFS(Chicks!$P:$P,Chicks!$F:$F,A78))</f>
        <v/>
      </c>
      <c r="N78" s="6" t="str">
        <f t="shared" si="0"/>
        <v/>
      </c>
    </row>
    <row r="79" spans="1:14" ht="14.25" customHeight="1" x14ac:dyDescent="0.3">
      <c r="A79" s="4"/>
      <c r="B79" s="4"/>
      <c r="C79" s="4"/>
      <c r="D79" s="4"/>
      <c r="E79" s="4"/>
      <c r="F79" s="6" t="str">
        <f>IF(A79="","",COUNTIF(Chicks!$F:$F,A79))</f>
        <v/>
      </c>
      <c r="G79" s="6" t="str">
        <f>IF(A79="","",COUNTIFS(Chicks!$F:$F,A79,Chicks!$I:$I,"Yes"))</f>
        <v/>
      </c>
      <c r="H79" s="6" t="str">
        <f>IF(A79="","",SUMIFS(Chicks!$J:$J,Chicks!$F:$F,A79))</f>
        <v/>
      </c>
      <c r="I79" s="6" t="str">
        <f>IF(A79="","",COUNTIFS(Chicks!$F:$F,A79,Chicks!$I:$I,"No"))</f>
        <v/>
      </c>
      <c r="J79" s="6" t="str">
        <f>IF(A79="","",IFERROR(AVERAGEIF(Chicks!$F:$F,A79,Chicks!$M:$M),""))</f>
        <v/>
      </c>
      <c r="K79" s="6" t="str">
        <f>IF(A79="","",SUMIFS(Chicks!$N:$N,Chicks!$F:$F,A79))</f>
        <v/>
      </c>
      <c r="L79" s="6" t="str">
        <f>IF(A79="","",SUMIFS(Chicks!$O:$O,Chicks!$F:$F,A79))</f>
        <v/>
      </c>
      <c r="M79" s="6" t="str">
        <f>IF(A79="","",SUMIFS(Chicks!$P:$P,Chicks!$F:$F,A79))</f>
        <v/>
      </c>
      <c r="N79" s="6" t="str">
        <f t="shared" si="0"/>
        <v/>
      </c>
    </row>
    <row r="80" spans="1:14" ht="14.25" customHeight="1" x14ac:dyDescent="0.3">
      <c r="A80" s="4"/>
      <c r="B80" s="4"/>
      <c r="C80" s="4"/>
      <c r="D80" s="4"/>
      <c r="E80" s="4"/>
      <c r="F80" s="6" t="str">
        <f>IF(A80="","",COUNTIF(Chicks!$F:$F,A80))</f>
        <v/>
      </c>
      <c r="G80" s="6" t="str">
        <f>IF(A80="","",COUNTIFS(Chicks!$F:$F,A80,Chicks!$I:$I,"Yes"))</f>
        <v/>
      </c>
      <c r="H80" s="6" t="str">
        <f>IF(A80="","",SUMIFS(Chicks!$J:$J,Chicks!$F:$F,A80))</f>
        <v/>
      </c>
      <c r="I80" s="6" t="str">
        <f>IF(A80="","",COUNTIFS(Chicks!$F:$F,A80,Chicks!$I:$I,"No"))</f>
        <v/>
      </c>
      <c r="J80" s="6" t="str">
        <f>IF(A80="","",IFERROR(AVERAGEIF(Chicks!$F:$F,A80,Chicks!$M:$M),""))</f>
        <v/>
      </c>
      <c r="K80" s="6" t="str">
        <f>IF(A80="","",SUMIFS(Chicks!$N:$N,Chicks!$F:$F,A80))</f>
        <v/>
      </c>
      <c r="L80" s="6" t="str">
        <f>IF(A80="","",SUMIFS(Chicks!$O:$O,Chicks!$F:$F,A80))</f>
        <v/>
      </c>
      <c r="M80" s="6" t="str">
        <f>IF(A80="","",SUMIFS(Chicks!$P:$P,Chicks!$F:$F,A80))</f>
        <v/>
      </c>
      <c r="N80" s="6" t="str">
        <f t="shared" si="0"/>
        <v/>
      </c>
    </row>
    <row r="81" spans="1:14" ht="14.25" customHeight="1" x14ac:dyDescent="0.3">
      <c r="A81" s="4"/>
      <c r="B81" s="4"/>
      <c r="C81" s="4"/>
      <c r="D81" s="4"/>
      <c r="E81" s="4"/>
      <c r="F81" s="6" t="str">
        <f>IF(A81="","",COUNTIF(Chicks!$F:$F,A81))</f>
        <v/>
      </c>
      <c r="G81" s="6" t="str">
        <f>IF(A81="","",COUNTIFS(Chicks!$F:$F,A81,Chicks!$I:$I,"Yes"))</f>
        <v/>
      </c>
      <c r="H81" s="6" t="str">
        <f>IF(A81="","",SUMIFS(Chicks!$J:$J,Chicks!$F:$F,A81))</f>
        <v/>
      </c>
      <c r="I81" s="6" t="str">
        <f>IF(A81="","",COUNTIFS(Chicks!$F:$F,A81,Chicks!$I:$I,"No"))</f>
        <v/>
      </c>
      <c r="J81" s="6" t="str">
        <f>IF(A81="","",IFERROR(AVERAGEIF(Chicks!$F:$F,A81,Chicks!$M:$M),""))</f>
        <v/>
      </c>
      <c r="K81" s="6" t="str">
        <f>IF(A81="","",SUMIFS(Chicks!$N:$N,Chicks!$F:$F,A81))</f>
        <v/>
      </c>
      <c r="L81" s="6" t="str">
        <f>IF(A81="","",SUMIFS(Chicks!$O:$O,Chicks!$F:$F,A81))</f>
        <v/>
      </c>
      <c r="M81" s="6" t="str">
        <f>IF(A81="","",SUMIFS(Chicks!$P:$P,Chicks!$F:$F,A81))</f>
        <v/>
      </c>
      <c r="N81" s="6" t="str">
        <f t="shared" si="0"/>
        <v/>
      </c>
    </row>
    <row r="82" spans="1:14" ht="14.25" customHeight="1" x14ac:dyDescent="0.3">
      <c r="A82" s="4"/>
      <c r="B82" s="4"/>
      <c r="C82" s="4"/>
      <c r="D82" s="4"/>
      <c r="E82" s="4"/>
      <c r="F82" s="6" t="str">
        <f>IF(A82="","",COUNTIF(Chicks!$F:$F,A82))</f>
        <v/>
      </c>
      <c r="G82" s="6" t="str">
        <f>IF(A82="","",COUNTIFS(Chicks!$F:$F,A82,Chicks!$I:$I,"Yes"))</f>
        <v/>
      </c>
      <c r="H82" s="6" t="str">
        <f>IF(A82="","",SUMIFS(Chicks!$J:$J,Chicks!$F:$F,A82))</f>
        <v/>
      </c>
      <c r="I82" s="6" t="str">
        <f>IF(A82="","",COUNTIFS(Chicks!$F:$F,A82,Chicks!$I:$I,"No"))</f>
        <v/>
      </c>
      <c r="J82" s="6" t="str">
        <f>IF(A82="","",IFERROR(AVERAGEIF(Chicks!$F:$F,A82,Chicks!$M:$M),""))</f>
        <v/>
      </c>
      <c r="K82" s="6" t="str">
        <f>IF(A82="","",SUMIFS(Chicks!$N:$N,Chicks!$F:$F,A82))</f>
        <v/>
      </c>
      <c r="L82" s="6" t="str">
        <f>IF(A82="","",SUMIFS(Chicks!$O:$O,Chicks!$F:$F,A82))</f>
        <v/>
      </c>
      <c r="M82" s="6" t="str">
        <f>IF(A82="","",SUMIFS(Chicks!$P:$P,Chicks!$F:$F,A82))</f>
        <v/>
      </c>
      <c r="N82" s="6" t="str">
        <f t="shared" si="0"/>
        <v/>
      </c>
    </row>
    <row r="83" spans="1:14" ht="14.25" customHeight="1" x14ac:dyDescent="0.3">
      <c r="A83" s="4"/>
      <c r="B83" s="4"/>
      <c r="C83" s="4"/>
      <c r="D83" s="4"/>
      <c r="E83" s="4"/>
      <c r="F83" s="6" t="str">
        <f>IF(A83="","",COUNTIF(Chicks!$F:$F,A83))</f>
        <v/>
      </c>
      <c r="G83" s="6" t="str">
        <f>IF(A83="","",COUNTIFS(Chicks!$F:$F,A83,Chicks!$I:$I,"Yes"))</f>
        <v/>
      </c>
      <c r="H83" s="6" t="str">
        <f>IF(A83="","",SUMIFS(Chicks!$J:$J,Chicks!$F:$F,A83))</f>
        <v/>
      </c>
      <c r="I83" s="6" t="str">
        <f>IF(A83="","",COUNTIFS(Chicks!$F:$F,A83,Chicks!$I:$I,"No"))</f>
        <v/>
      </c>
      <c r="J83" s="6" t="str">
        <f>IF(A83="","",IFERROR(AVERAGEIF(Chicks!$F:$F,A83,Chicks!$M:$M),""))</f>
        <v/>
      </c>
      <c r="K83" s="6" t="str">
        <f>IF(A83="","",SUMIFS(Chicks!$N:$N,Chicks!$F:$F,A83))</f>
        <v/>
      </c>
      <c r="L83" s="6" t="str">
        <f>IF(A83="","",SUMIFS(Chicks!$O:$O,Chicks!$F:$F,A83))</f>
        <v/>
      </c>
      <c r="M83" s="6" t="str">
        <f>IF(A83="","",SUMIFS(Chicks!$P:$P,Chicks!$F:$F,A83))</f>
        <v/>
      </c>
      <c r="N83" s="6" t="str">
        <f t="shared" si="0"/>
        <v/>
      </c>
    </row>
    <row r="84" spans="1:14" ht="14.25" customHeight="1" x14ac:dyDescent="0.3">
      <c r="A84" s="4"/>
      <c r="B84" s="4"/>
      <c r="C84" s="4"/>
      <c r="D84" s="4"/>
      <c r="E84" s="4"/>
      <c r="F84" s="6" t="str">
        <f>IF(A84="","",COUNTIF(Chicks!$F:$F,A84))</f>
        <v/>
      </c>
      <c r="G84" s="6" t="str">
        <f>IF(A84="","",COUNTIFS(Chicks!$F:$F,A84,Chicks!$I:$I,"Yes"))</f>
        <v/>
      </c>
      <c r="H84" s="6" t="str">
        <f>IF(A84="","",SUMIFS(Chicks!$J:$J,Chicks!$F:$F,A84))</f>
        <v/>
      </c>
      <c r="I84" s="6" t="str">
        <f>IF(A84="","",COUNTIFS(Chicks!$F:$F,A84,Chicks!$I:$I,"No"))</f>
        <v/>
      </c>
      <c r="J84" s="6" t="str">
        <f>IF(A84="","",IFERROR(AVERAGEIF(Chicks!$F:$F,A84,Chicks!$M:$M),""))</f>
        <v/>
      </c>
      <c r="K84" s="6" t="str">
        <f>IF(A84="","",SUMIFS(Chicks!$N:$N,Chicks!$F:$F,A84))</f>
        <v/>
      </c>
      <c r="L84" s="6" t="str">
        <f>IF(A84="","",SUMIFS(Chicks!$O:$O,Chicks!$F:$F,A84))</f>
        <v/>
      </c>
      <c r="M84" s="6" t="str">
        <f>IF(A84="","",SUMIFS(Chicks!$P:$P,Chicks!$F:$F,A84))</f>
        <v/>
      </c>
      <c r="N84" s="6" t="str">
        <f t="shared" si="0"/>
        <v/>
      </c>
    </row>
    <row r="85" spans="1:14" ht="14.25" customHeight="1" x14ac:dyDescent="0.3">
      <c r="A85" s="4"/>
      <c r="B85" s="4"/>
      <c r="C85" s="4"/>
      <c r="D85" s="4"/>
      <c r="E85" s="4"/>
      <c r="F85" s="6" t="str">
        <f>IF(A85="","",COUNTIF(Chicks!$F:$F,A85))</f>
        <v/>
      </c>
      <c r="G85" s="6" t="str">
        <f>IF(A85="","",COUNTIFS(Chicks!$F:$F,A85,Chicks!$I:$I,"Yes"))</f>
        <v/>
      </c>
      <c r="H85" s="6" t="str">
        <f>IF(A85="","",SUMIFS(Chicks!$J:$J,Chicks!$F:$F,A85))</f>
        <v/>
      </c>
      <c r="I85" s="6" t="str">
        <f>IF(A85="","",COUNTIFS(Chicks!$F:$F,A85,Chicks!$I:$I,"No"))</f>
        <v/>
      </c>
      <c r="J85" s="6" t="str">
        <f>IF(A85="","",IFERROR(AVERAGEIF(Chicks!$F:$F,A85,Chicks!$M:$M),""))</f>
        <v/>
      </c>
      <c r="K85" s="6" t="str">
        <f>IF(A85="","",SUMIFS(Chicks!$N:$N,Chicks!$F:$F,A85))</f>
        <v/>
      </c>
      <c r="L85" s="6" t="str">
        <f>IF(A85="","",SUMIFS(Chicks!$O:$O,Chicks!$F:$F,A85))</f>
        <v/>
      </c>
      <c r="M85" s="6" t="str">
        <f>IF(A85="","",SUMIFS(Chicks!$P:$P,Chicks!$F:$F,A85))</f>
        <v/>
      </c>
      <c r="N85" s="6" t="str">
        <f t="shared" si="0"/>
        <v/>
      </c>
    </row>
    <row r="86" spans="1:14" ht="14.25" customHeight="1" x14ac:dyDescent="0.3">
      <c r="A86" s="4"/>
      <c r="B86" s="4"/>
      <c r="C86" s="4"/>
      <c r="D86" s="4"/>
      <c r="E86" s="4"/>
      <c r="F86" s="6" t="str">
        <f>IF(A86="","",COUNTIF(Chicks!$F:$F,A86))</f>
        <v/>
      </c>
      <c r="G86" s="6" t="str">
        <f>IF(A86="","",COUNTIFS(Chicks!$F:$F,A86,Chicks!$I:$I,"Yes"))</f>
        <v/>
      </c>
      <c r="H86" s="6" t="str">
        <f>IF(A86="","",SUMIFS(Chicks!$J:$J,Chicks!$F:$F,A86))</f>
        <v/>
      </c>
      <c r="I86" s="6" t="str">
        <f>IF(A86="","",COUNTIFS(Chicks!$F:$F,A86,Chicks!$I:$I,"No"))</f>
        <v/>
      </c>
      <c r="J86" s="6" t="str">
        <f>IF(A86="","",IFERROR(AVERAGEIF(Chicks!$F:$F,A86,Chicks!$M:$M),""))</f>
        <v/>
      </c>
      <c r="K86" s="6" t="str">
        <f>IF(A86="","",SUMIFS(Chicks!$N:$N,Chicks!$F:$F,A86))</f>
        <v/>
      </c>
      <c r="L86" s="6" t="str">
        <f>IF(A86="","",SUMIFS(Chicks!$O:$O,Chicks!$F:$F,A86))</f>
        <v/>
      </c>
      <c r="M86" s="6" t="str">
        <f>IF(A86="","",SUMIFS(Chicks!$P:$P,Chicks!$F:$F,A86))</f>
        <v/>
      </c>
      <c r="N86" s="6" t="str">
        <f t="shared" si="0"/>
        <v/>
      </c>
    </row>
    <row r="87" spans="1:14" ht="14.25" customHeight="1" x14ac:dyDescent="0.3">
      <c r="A87" s="4"/>
      <c r="B87" s="4"/>
      <c r="C87" s="4"/>
      <c r="D87" s="4"/>
      <c r="E87" s="4"/>
      <c r="F87" s="6" t="str">
        <f>IF(A87="","",COUNTIF(Chicks!$F:$F,A87))</f>
        <v/>
      </c>
      <c r="G87" s="6" t="str">
        <f>IF(A87="","",COUNTIFS(Chicks!$F:$F,A87,Chicks!$I:$I,"Yes"))</f>
        <v/>
      </c>
      <c r="H87" s="6" t="str">
        <f>IF(A87="","",SUMIFS(Chicks!$J:$J,Chicks!$F:$F,A87))</f>
        <v/>
      </c>
      <c r="I87" s="6" t="str">
        <f>IF(A87="","",COUNTIFS(Chicks!$F:$F,A87,Chicks!$I:$I,"No"))</f>
        <v/>
      </c>
      <c r="J87" s="6" t="str">
        <f>IF(A87="","",IFERROR(AVERAGEIF(Chicks!$F:$F,A87,Chicks!$M:$M),""))</f>
        <v/>
      </c>
      <c r="K87" s="6" t="str">
        <f>IF(A87="","",SUMIFS(Chicks!$N:$N,Chicks!$F:$F,A87))</f>
        <v/>
      </c>
      <c r="L87" s="6" t="str">
        <f>IF(A87="","",SUMIFS(Chicks!$O:$O,Chicks!$F:$F,A87))</f>
        <v/>
      </c>
      <c r="M87" s="6" t="str">
        <f>IF(A87="","",SUMIFS(Chicks!$P:$P,Chicks!$F:$F,A87))</f>
        <v/>
      </c>
      <c r="N87" s="6" t="str">
        <f t="shared" si="0"/>
        <v/>
      </c>
    </row>
    <row r="88" spans="1:14" ht="14.25" customHeight="1" x14ac:dyDescent="0.3">
      <c r="A88" s="4"/>
      <c r="B88" s="4"/>
      <c r="C88" s="4"/>
      <c r="D88" s="4"/>
      <c r="E88" s="4"/>
      <c r="F88" s="6" t="str">
        <f>IF(A88="","",COUNTIF(Chicks!$F:$F,A88))</f>
        <v/>
      </c>
      <c r="G88" s="6" t="str">
        <f>IF(A88="","",COUNTIFS(Chicks!$F:$F,A88,Chicks!$I:$I,"Yes"))</f>
        <v/>
      </c>
      <c r="H88" s="6" t="str">
        <f>IF(A88="","",SUMIFS(Chicks!$J:$J,Chicks!$F:$F,A88))</f>
        <v/>
      </c>
      <c r="I88" s="6" t="str">
        <f>IF(A88="","",COUNTIFS(Chicks!$F:$F,A88,Chicks!$I:$I,"No"))</f>
        <v/>
      </c>
      <c r="J88" s="6" t="str">
        <f>IF(A88="","",IFERROR(AVERAGEIF(Chicks!$F:$F,A88,Chicks!$M:$M),""))</f>
        <v/>
      </c>
      <c r="K88" s="6" t="str">
        <f>IF(A88="","",SUMIFS(Chicks!$N:$N,Chicks!$F:$F,A88))</f>
        <v/>
      </c>
      <c r="L88" s="6" t="str">
        <f>IF(A88="","",SUMIFS(Chicks!$O:$O,Chicks!$F:$F,A88))</f>
        <v/>
      </c>
      <c r="M88" s="6" t="str">
        <f>IF(A88="","",SUMIFS(Chicks!$P:$P,Chicks!$F:$F,A88))</f>
        <v/>
      </c>
      <c r="N88" s="6" t="str">
        <f t="shared" si="0"/>
        <v/>
      </c>
    </row>
    <row r="89" spans="1:14" ht="14.25" customHeight="1" x14ac:dyDescent="0.3">
      <c r="A89" s="4"/>
      <c r="B89" s="4"/>
      <c r="C89" s="4"/>
      <c r="D89" s="4"/>
      <c r="E89" s="4"/>
      <c r="F89" s="6" t="str">
        <f>IF(A89="","",COUNTIF(Chicks!$F:$F,A89))</f>
        <v/>
      </c>
      <c r="G89" s="6" t="str">
        <f>IF(A89="","",COUNTIFS(Chicks!$F:$F,A89,Chicks!$I:$I,"Yes"))</f>
        <v/>
      </c>
      <c r="H89" s="6" t="str">
        <f>IF(A89="","",SUMIFS(Chicks!$J:$J,Chicks!$F:$F,A89))</f>
        <v/>
      </c>
      <c r="I89" s="6" t="str">
        <f>IF(A89="","",COUNTIFS(Chicks!$F:$F,A89,Chicks!$I:$I,"No"))</f>
        <v/>
      </c>
      <c r="J89" s="6" t="str">
        <f>IF(A89="","",IFERROR(AVERAGEIF(Chicks!$F:$F,A89,Chicks!$M:$M),""))</f>
        <v/>
      </c>
      <c r="K89" s="6" t="str">
        <f>IF(A89="","",SUMIFS(Chicks!$N:$N,Chicks!$F:$F,A89))</f>
        <v/>
      </c>
      <c r="L89" s="6" t="str">
        <f>IF(A89="","",SUMIFS(Chicks!$O:$O,Chicks!$F:$F,A89))</f>
        <v/>
      </c>
      <c r="M89" s="6" t="str">
        <f>IF(A89="","",SUMIFS(Chicks!$P:$P,Chicks!$F:$F,A89))</f>
        <v/>
      </c>
      <c r="N89" s="6" t="str">
        <f t="shared" si="0"/>
        <v/>
      </c>
    </row>
    <row r="90" spans="1:14" ht="14.25" customHeight="1" x14ac:dyDescent="0.3">
      <c r="A90" s="4"/>
      <c r="B90" s="4"/>
      <c r="C90" s="4"/>
      <c r="D90" s="4"/>
      <c r="E90" s="4"/>
      <c r="F90" s="6" t="str">
        <f>IF(A90="","",COUNTIF(Chicks!$F:$F,A90))</f>
        <v/>
      </c>
      <c r="G90" s="6" t="str">
        <f>IF(A90="","",COUNTIFS(Chicks!$F:$F,A90,Chicks!$I:$I,"Yes"))</f>
        <v/>
      </c>
      <c r="H90" s="6" t="str">
        <f>IF(A90="","",SUMIFS(Chicks!$J:$J,Chicks!$F:$F,A90))</f>
        <v/>
      </c>
      <c r="I90" s="6" t="str">
        <f>IF(A90="","",COUNTIFS(Chicks!$F:$F,A90,Chicks!$I:$I,"No"))</f>
        <v/>
      </c>
      <c r="J90" s="6" t="str">
        <f>IF(A90="","",IFERROR(AVERAGEIF(Chicks!$F:$F,A90,Chicks!$M:$M),""))</f>
        <v/>
      </c>
      <c r="K90" s="6" t="str">
        <f>IF(A90="","",SUMIFS(Chicks!$N:$N,Chicks!$F:$F,A90))</f>
        <v/>
      </c>
      <c r="L90" s="6" t="str">
        <f>IF(A90="","",SUMIFS(Chicks!$O:$O,Chicks!$F:$F,A90))</f>
        <v/>
      </c>
      <c r="M90" s="6" t="str">
        <f>IF(A90="","",SUMIFS(Chicks!$P:$P,Chicks!$F:$F,A90))</f>
        <v/>
      </c>
      <c r="N90" s="6" t="str">
        <f t="shared" si="0"/>
        <v/>
      </c>
    </row>
    <row r="91" spans="1:14" ht="14.25" customHeight="1" x14ac:dyDescent="0.3">
      <c r="A91" s="4"/>
      <c r="B91" s="4"/>
      <c r="C91" s="4"/>
      <c r="D91" s="4"/>
      <c r="E91" s="4"/>
      <c r="F91" s="6" t="str">
        <f>IF(A91="","",COUNTIF(Chicks!$F:$F,A91))</f>
        <v/>
      </c>
      <c r="G91" s="6" t="str">
        <f>IF(A91="","",COUNTIFS(Chicks!$F:$F,A91,Chicks!$I:$I,"Yes"))</f>
        <v/>
      </c>
      <c r="H91" s="6" t="str">
        <f>IF(A91="","",SUMIFS(Chicks!$J:$J,Chicks!$F:$F,A91))</f>
        <v/>
      </c>
      <c r="I91" s="6" t="str">
        <f>IF(A91="","",COUNTIFS(Chicks!$F:$F,A91,Chicks!$I:$I,"No"))</f>
        <v/>
      </c>
      <c r="J91" s="6" t="str">
        <f>IF(A91="","",IFERROR(AVERAGEIF(Chicks!$F:$F,A91,Chicks!$M:$M),""))</f>
        <v/>
      </c>
      <c r="K91" s="6" t="str">
        <f>IF(A91="","",SUMIFS(Chicks!$N:$N,Chicks!$F:$F,A91))</f>
        <v/>
      </c>
      <c r="L91" s="6" t="str">
        <f>IF(A91="","",SUMIFS(Chicks!$O:$O,Chicks!$F:$F,A91))</f>
        <v/>
      </c>
      <c r="M91" s="6" t="str">
        <f>IF(A91="","",SUMIFS(Chicks!$P:$P,Chicks!$F:$F,A91))</f>
        <v/>
      </c>
      <c r="N91" s="6" t="str">
        <f t="shared" si="0"/>
        <v/>
      </c>
    </row>
    <row r="92" spans="1:14" ht="14.25" customHeight="1" x14ac:dyDescent="0.3">
      <c r="A92" s="4"/>
      <c r="B92" s="4"/>
      <c r="C92" s="4"/>
      <c r="D92" s="4"/>
      <c r="E92" s="4"/>
      <c r="F92" s="6" t="str">
        <f>IF(A92="","",COUNTIF(Chicks!$F:$F,A92))</f>
        <v/>
      </c>
      <c r="G92" s="6" t="str">
        <f>IF(A92="","",COUNTIFS(Chicks!$F:$F,A92,Chicks!$I:$I,"Yes"))</f>
        <v/>
      </c>
      <c r="H92" s="6" t="str">
        <f>IF(A92="","",SUMIFS(Chicks!$J:$J,Chicks!$F:$F,A92))</f>
        <v/>
      </c>
      <c r="I92" s="6" t="str">
        <f>IF(A92="","",COUNTIFS(Chicks!$F:$F,A92,Chicks!$I:$I,"No"))</f>
        <v/>
      </c>
      <c r="J92" s="6" t="str">
        <f>IF(A92="","",IFERROR(AVERAGEIF(Chicks!$F:$F,A92,Chicks!$M:$M),""))</f>
        <v/>
      </c>
      <c r="K92" s="6" t="str">
        <f>IF(A92="","",SUMIFS(Chicks!$N:$N,Chicks!$F:$F,A92))</f>
        <v/>
      </c>
      <c r="L92" s="6" t="str">
        <f>IF(A92="","",SUMIFS(Chicks!$O:$O,Chicks!$F:$F,A92))</f>
        <v/>
      </c>
      <c r="M92" s="6" t="str">
        <f>IF(A92="","",SUMIFS(Chicks!$P:$P,Chicks!$F:$F,A92))</f>
        <v/>
      </c>
      <c r="N92" s="6" t="str">
        <f t="shared" si="0"/>
        <v/>
      </c>
    </row>
    <row r="93" spans="1:14" ht="14.25" customHeight="1" x14ac:dyDescent="0.3">
      <c r="A93" s="4"/>
      <c r="B93" s="4"/>
      <c r="C93" s="4"/>
      <c r="D93" s="4"/>
      <c r="E93" s="4"/>
      <c r="F93" s="6" t="str">
        <f>IF(A93="","",COUNTIF(Chicks!$F:$F,A93))</f>
        <v/>
      </c>
      <c r="G93" s="6" t="str">
        <f>IF(A93="","",COUNTIFS(Chicks!$F:$F,A93,Chicks!$I:$I,"Yes"))</f>
        <v/>
      </c>
      <c r="H93" s="6" t="str">
        <f>IF(A93="","",SUMIFS(Chicks!$J:$J,Chicks!$F:$F,A93))</f>
        <v/>
      </c>
      <c r="I93" s="6" t="str">
        <f>IF(A93="","",COUNTIFS(Chicks!$F:$F,A93,Chicks!$I:$I,"No"))</f>
        <v/>
      </c>
      <c r="J93" s="6" t="str">
        <f>IF(A93="","",IFERROR(AVERAGEIF(Chicks!$F:$F,A93,Chicks!$M:$M),""))</f>
        <v/>
      </c>
      <c r="K93" s="6" t="str">
        <f>IF(A93="","",SUMIFS(Chicks!$N:$N,Chicks!$F:$F,A93))</f>
        <v/>
      </c>
      <c r="L93" s="6" t="str">
        <f>IF(A93="","",SUMIFS(Chicks!$O:$O,Chicks!$F:$F,A93))</f>
        <v/>
      </c>
      <c r="M93" s="6" t="str">
        <f>IF(A93="","",SUMIFS(Chicks!$P:$P,Chicks!$F:$F,A93))</f>
        <v/>
      </c>
      <c r="N93" s="6" t="str">
        <f t="shared" si="0"/>
        <v/>
      </c>
    </row>
    <row r="94" spans="1:14" ht="14.25" customHeight="1" x14ac:dyDescent="0.3">
      <c r="A94" s="4"/>
      <c r="B94" s="4"/>
      <c r="C94" s="4"/>
      <c r="D94" s="4"/>
      <c r="E94" s="4"/>
      <c r="F94" s="6" t="str">
        <f>IF(A94="","",COUNTIF(Chicks!$F:$F,A94))</f>
        <v/>
      </c>
      <c r="G94" s="6" t="str">
        <f>IF(A94="","",COUNTIFS(Chicks!$F:$F,A94,Chicks!$I:$I,"Yes"))</f>
        <v/>
      </c>
      <c r="H94" s="6" t="str">
        <f>IF(A94="","",SUMIFS(Chicks!$J:$J,Chicks!$F:$F,A94))</f>
        <v/>
      </c>
      <c r="I94" s="6" t="str">
        <f>IF(A94="","",COUNTIFS(Chicks!$F:$F,A94,Chicks!$I:$I,"No"))</f>
        <v/>
      </c>
      <c r="J94" s="6" t="str">
        <f>IF(A94="","",IFERROR(AVERAGEIF(Chicks!$F:$F,A94,Chicks!$M:$M),""))</f>
        <v/>
      </c>
      <c r="K94" s="6" t="str">
        <f>IF(A94="","",SUMIFS(Chicks!$N:$N,Chicks!$F:$F,A94))</f>
        <v/>
      </c>
      <c r="L94" s="6" t="str">
        <f>IF(A94="","",SUMIFS(Chicks!$O:$O,Chicks!$F:$F,A94))</f>
        <v/>
      </c>
      <c r="M94" s="6" t="str">
        <f>IF(A94="","",SUMIFS(Chicks!$P:$P,Chicks!$F:$F,A94))</f>
        <v/>
      </c>
      <c r="N94" s="6" t="str">
        <f t="shared" si="0"/>
        <v/>
      </c>
    </row>
    <row r="95" spans="1:14" ht="14.25" customHeight="1" x14ac:dyDescent="0.3">
      <c r="A95" s="4"/>
      <c r="B95" s="4"/>
      <c r="C95" s="4"/>
      <c r="D95" s="4"/>
      <c r="E95" s="4"/>
      <c r="F95" s="6" t="str">
        <f>IF(A95="","",COUNTIF(Chicks!$F:$F,A95))</f>
        <v/>
      </c>
      <c r="G95" s="6" t="str">
        <f>IF(A95="","",COUNTIFS(Chicks!$F:$F,A95,Chicks!$I:$I,"Yes"))</f>
        <v/>
      </c>
      <c r="H95" s="6" t="str">
        <f>IF(A95="","",SUMIFS(Chicks!$J:$J,Chicks!$F:$F,A95))</f>
        <v/>
      </c>
      <c r="I95" s="6" t="str">
        <f>IF(A95="","",COUNTIFS(Chicks!$F:$F,A95,Chicks!$I:$I,"No"))</f>
        <v/>
      </c>
      <c r="J95" s="6" t="str">
        <f>IF(A95="","",IFERROR(AVERAGEIF(Chicks!$F:$F,A95,Chicks!$M:$M),""))</f>
        <v/>
      </c>
      <c r="K95" s="6" t="str">
        <f>IF(A95="","",SUMIFS(Chicks!$N:$N,Chicks!$F:$F,A95))</f>
        <v/>
      </c>
      <c r="L95" s="6" t="str">
        <f>IF(A95="","",SUMIFS(Chicks!$O:$O,Chicks!$F:$F,A95))</f>
        <v/>
      </c>
      <c r="M95" s="6" t="str">
        <f>IF(A95="","",SUMIFS(Chicks!$P:$P,Chicks!$F:$F,A95))</f>
        <v/>
      </c>
      <c r="N95" s="6" t="str">
        <f t="shared" si="0"/>
        <v/>
      </c>
    </row>
    <row r="96" spans="1:14" ht="14.25" customHeight="1" x14ac:dyDescent="0.3">
      <c r="A96" s="4"/>
      <c r="B96" s="4"/>
      <c r="C96" s="4"/>
      <c r="D96" s="4"/>
      <c r="E96" s="4"/>
      <c r="F96" s="6" t="str">
        <f>IF(A96="","",COUNTIF(Chicks!$F:$F,A96))</f>
        <v/>
      </c>
      <c r="G96" s="6" t="str">
        <f>IF(A96="","",COUNTIFS(Chicks!$F:$F,A96,Chicks!$I:$I,"Yes"))</f>
        <v/>
      </c>
      <c r="H96" s="6" t="str">
        <f>IF(A96="","",SUMIFS(Chicks!$J:$J,Chicks!$F:$F,A96))</f>
        <v/>
      </c>
      <c r="I96" s="6" t="str">
        <f>IF(A96="","",COUNTIFS(Chicks!$F:$F,A96,Chicks!$I:$I,"No"))</f>
        <v/>
      </c>
      <c r="J96" s="6" t="str">
        <f>IF(A96="","",IFERROR(AVERAGEIF(Chicks!$F:$F,A96,Chicks!$M:$M),""))</f>
        <v/>
      </c>
      <c r="K96" s="6" t="str">
        <f>IF(A96="","",SUMIFS(Chicks!$N:$N,Chicks!$F:$F,A96))</f>
        <v/>
      </c>
      <c r="L96" s="6" t="str">
        <f>IF(A96="","",SUMIFS(Chicks!$O:$O,Chicks!$F:$F,A96))</f>
        <v/>
      </c>
      <c r="M96" s="6" t="str">
        <f>IF(A96="","",SUMIFS(Chicks!$P:$P,Chicks!$F:$F,A96))</f>
        <v/>
      </c>
      <c r="N96" s="6" t="str">
        <f t="shared" si="0"/>
        <v/>
      </c>
    </row>
    <row r="97" spans="1:14" ht="14.25" customHeight="1" x14ac:dyDescent="0.3">
      <c r="A97" s="4"/>
      <c r="B97" s="4"/>
      <c r="C97" s="4"/>
      <c r="D97" s="4"/>
      <c r="E97" s="4"/>
      <c r="F97" s="6" t="str">
        <f>IF(A97="","",COUNTIF(Chicks!$F:$F,A97))</f>
        <v/>
      </c>
      <c r="G97" s="6" t="str">
        <f>IF(A97="","",COUNTIFS(Chicks!$F:$F,A97,Chicks!$I:$I,"Yes"))</f>
        <v/>
      </c>
      <c r="H97" s="6" t="str">
        <f>IF(A97="","",SUMIFS(Chicks!$J:$J,Chicks!$F:$F,A97))</f>
        <v/>
      </c>
      <c r="I97" s="6" t="str">
        <f>IF(A97="","",COUNTIFS(Chicks!$F:$F,A97,Chicks!$I:$I,"No"))</f>
        <v/>
      </c>
      <c r="J97" s="6" t="str">
        <f>IF(A97="","",IFERROR(AVERAGEIF(Chicks!$F:$F,A97,Chicks!$M:$M),""))</f>
        <v/>
      </c>
      <c r="K97" s="6" t="str">
        <f>IF(A97="","",SUMIFS(Chicks!$N:$N,Chicks!$F:$F,A97))</f>
        <v/>
      </c>
      <c r="L97" s="6" t="str">
        <f>IF(A97="","",SUMIFS(Chicks!$O:$O,Chicks!$F:$F,A97))</f>
        <v/>
      </c>
      <c r="M97" s="6" t="str">
        <f>IF(A97="","",SUMIFS(Chicks!$P:$P,Chicks!$F:$F,A97))</f>
        <v/>
      </c>
      <c r="N97" s="6" t="str">
        <f t="shared" si="0"/>
        <v/>
      </c>
    </row>
    <row r="98" spans="1:14" ht="14.25" customHeight="1" x14ac:dyDescent="0.3">
      <c r="A98" s="4"/>
      <c r="B98" s="4"/>
      <c r="C98" s="4"/>
      <c r="D98" s="4"/>
      <c r="E98" s="4"/>
      <c r="F98" s="6" t="str">
        <f>IF(A98="","",COUNTIF(Chicks!$F:$F,A98))</f>
        <v/>
      </c>
      <c r="G98" s="6" t="str">
        <f>IF(A98="","",COUNTIFS(Chicks!$F:$F,A98,Chicks!$I:$I,"Yes"))</f>
        <v/>
      </c>
      <c r="H98" s="6" t="str">
        <f>IF(A98="","",SUMIFS(Chicks!$J:$J,Chicks!$F:$F,A98))</f>
        <v/>
      </c>
      <c r="I98" s="6" t="str">
        <f>IF(A98="","",COUNTIFS(Chicks!$F:$F,A98,Chicks!$I:$I,"No"))</f>
        <v/>
      </c>
      <c r="J98" s="6" t="str">
        <f>IF(A98="","",IFERROR(AVERAGEIF(Chicks!$F:$F,A98,Chicks!$M:$M),""))</f>
        <v/>
      </c>
      <c r="K98" s="6" t="str">
        <f>IF(A98="","",SUMIFS(Chicks!$N:$N,Chicks!$F:$F,A98))</f>
        <v/>
      </c>
      <c r="L98" s="6" t="str">
        <f>IF(A98="","",SUMIFS(Chicks!$O:$O,Chicks!$F:$F,A98))</f>
        <v/>
      </c>
      <c r="M98" s="6" t="str">
        <f>IF(A98="","",SUMIFS(Chicks!$P:$P,Chicks!$F:$F,A98))</f>
        <v/>
      </c>
      <c r="N98" s="6" t="str">
        <f t="shared" si="0"/>
        <v/>
      </c>
    </row>
    <row r="99" spans="1:14" ht="14.25" customHeight="1" x14ac:dyDescent="0.3">
      <c r="A99" s="4"/>
      <c r="B99" s="4"/>
      <c r="C99" s="4"/>
      <c r="D99" s="4"/>
      <c r="E99" s="4"/>
      <c r="F99" s="6" t="str">
        <f>IF(A99="","",COUNTIF(Chicks!$F:$F,A99))</f>
        <v/>
      </c>
      <c r="G99" s="6" t="str">
        <f>IF(A99="","",COUNTIFS(Chicks!$F:$F,A99,Chicks!$I:$I,"Yes"))</f>
        <v/>
      </c>
      <c r="H99" s="6" t="str">
        <f>IF(A99="","",SUMIFS(Chicks!$J:$J,Chicks!$F:$F,A99))</f>
        <v/>
      </c>
      <c r="I99" s="6" t="str">
        <f>IF(A99="","",COUNTIFS(Chicks!$F:$F,A99,Chicks!$I:$I,"No"))</f>
        <v/>
      </c>
      <c r="J99" s="6" t="str">
        <f>IF(A99="","",IFERROR(AVERAGEIF(Chicks!$F:$F,A99,Chicks!$M:$M),""))</f>
        <v/>
      </c>
      <c r="K99" s="6" t="str">
        <f>IF(A99="","",SUMIFS(Chicks!$N:$N,Chicks!$F:$F,A99))</f>
        <v/>
      </c>
      <c r="L99" s="6" t="str">
        <f>IF(A99="","",SUMIFS(Chicks!$O:$O,Chicks!$F:$F,A99))</f>
        <v/>
      </c>
      <c r="M99" s="6" t="str">
        <f>IF(A99="","",SUMIFS(Chicks!$P:$P,Chicks!$F:$F,A99))</f>
        <v/>
      </c>
      <c r="N99" s="6" t="str">
        <f t="shared" si="0"/>
        <v/>
      </c>
    </row>
    <row r="100" spans="1:14" ht="14.25" customHeight="1" x14ac:dyDescent="0.3">
      <c r="A100" s="4"/>
      <c r="B100" s="4"/>
      <c r="C100" s="4"/>
      <c r="D100" s="4"/>
      <c r="E100" s="4"/>
      <c r="F100" s="6" t="str">
        <f>IF(A100="","",COUNTIF(Chicks!$F:$F,A100))</f>
        <v/>
      </c>
      <c r="G100" s="6" t="str">
        <f>IF(A100="","",COUNTIFS(Chicks!$F:$F,A100,Chicks!$I:$I,"Yes"))</f>
        <v/>
      </c>
      <c r="H100" s="6" t="str">
        <f>IF(A100="","",SUMIFS(Chicks!$J:$J,Chicks!$F:$F,A100))</f>
        <v/>
      </c>
      <c r="I100" s="6" t="str">
        <f>IF(A100="","",COUNTIFS(Chicks!$F:$F,A100,Chicks!$I:$I,"No"))</f>
        <v/>
      </c>
      <c r="J100" s="6" t="str">
        <f>IF(A100="","",IFERROR(AVERAGEIF(Chicks!$F:$F,A100,Chicks!$M:$M),""))</f>
        <v/>
      </c>
      <c r="K100" s="6" t="str">
        <f>IF(A100="","",SUMIFS(Chicks!$N:$N,Chicks!$F:$F,A100))</f>
        <v/>
      </c>
      <c r="L100" s="6" t="str">
        <f>IF(A100="","",SUMIFS(Chicks!$O:$O,Chicks!$F:$F,A100))</f>
        <v/>
      </c>
      <c r="M100" s="6" t="str">
        <f>IF(A100="","",SUMIFS(Chicks!$P:$P,Chicks!$F:$F,A100))</f>
        <v/>
      </c>
      <c r="N100" s="6" t="str">
        <f t="shared" si="0"/>
        <v/>
      </c>
    </row>
    <row r="101" spans="1:14" ht="14.25" customHeight="1" x14ac:dyDescent="0.3">
      <c r="A101" s="4"/>
      <c r="B101" s="4"/>
      <c r="C101" s="4"/>
      <c r="D101" s="4"/>
      <c r="E101" s="4"/>
      <c r="F101" s="6" t="str">
        <f>IF(A101="","",COUNTIF(Chicks!$F:$F,A101))</f>
        <v/>
      </c>
      <c r="G101" s="6" t="str">
        <f>IF(A101="","",COUNTIFS(Chicks!$F:$F,A101,Chicks!$I:$I,"Yes"))</f>
        <v/>
      </c>
      <c r="H101" s="6" t="str">
        <f>IF(A101="","",SUMIFS(Chicks!$J:$J,Chicks!$F:$F,A101))</f>
        <v/>
      </c>
      <c r="I101" s="6" t="str">
        <f>IF(A101="","",COUNTIFS(Chicks!$F:$F,A101,Chicks!$I:$I,"No"))</f>
        <v/>
      </c>
      <c r="J101" s="6" t="str">
        <f>IF(A101="","",IFERROR(AVERAGEIF(Chicks!$F:$F,A101,Chicks!$M:$M),""))</f>
        <v/>
      </c>
      <c r="K101" s="6" t="str">
        <f>IF(A101="","",SUMIFS(Chicks!$N:$N,Chicks!$F:$F,A101))</f>
        <v/>
      </c>
      <c r="L101" s="6" t="str">
        <f>IF(A101="","",SUMIFS(Chicks!$O:$O,Chicks!$F:$F,A101))</f>
        <v/>
      </c>
      <c r="M101" s="6" t="str">
        <f>IF(A101="","",SUMIFS(Chicks!$P:$P,Chicks!$F:$F,A101))</f>
        <v/>
      </c>
      <c r="N101" s="6" t="str">
        <f t="shared" si="0"/>
        <v/>
      </c>
    </row>
    <row r="102" spans="1:14" ht="14.25" customHeight="1" x14ac:dyDescent="0.3">
      <c r="A102" s="4"/>
      <c r="B102" s="4"/>
      <c r="C102" s="4"/>
      <c r="D102" s="4"/>
      <c r="E102" s="4"/>
      <c r="F102" s="6" t="str">
        <f>IF(A102="","",COUNTIF(Chicks!$F:$F,A102))</f>
        <v/>
      </c>
      <c r="G102" s="6" t="str">
        <f>IF(A102="","",COUNTIFS(Chicks!$F:$F,A102,Chicks!$I:$I,"Yes"))</f>
        <v/>
      </c>
      <c r="H102" s="6" t="str">
        <f>IF(A102="","",SUMIFS(Chicks!$J:$J,Chicks!$F:$F,A102))</f>
        <v/>
      </c>
      <c r="I102" s="6" t="str">
        <f>IF(A102="","",COUNTIFS(Chicks!$F:$F,A102,Chicks!$I:$I,"No"))</f>
        <v/>
      </c>
      <c r="J102" s="6" t="str">
        <f>IF(A102="","",IFERROR(AVERAGEIF(Chicks!$F:$F,A102,Chicks!$M:$M),""))</f>
        <v/>
      </c>
      <c r="K102" s="6" t="str">
        <f>IF(A102="","",SUMIFS(Chicks!$N:$N,Chicks!$F:$F,A102))</f>
        <v/>
      </c>
      <c r="L102" s="6" t="str">
        <f>IF(A102="","",SUMIFS(Chicks!$O:$O,Chicks!$F:$F,A102))</f>
        <v/>
      </c>
      <c r="M102" s="6" t="str">
        <f>IF(A102="","",SUMIFS(Chicks!$P:$P,Chicks!$F:$F,A102))</f>
        <v/>
      </c>
      <c r="N102" s="6" t="str">
        <f t="shared" si="0"/>
        <v/>
      </c>
    </row>
    <row r="103" spans="1:14" ht="14.25" customHeight="1" x14ac:dyDescent="0.3">
      <c r="A103" s="4"/>
      <c r="B103" s="4"/>
      <c r="C103" s="4"/>
      <c r="D103" s="4"/>
      <c r="E103" s="4"/>
      <c r="F103" s="6" t="str">
        <f>IF(A103="","",COUNTIF(Chicks!$F:$F,A103))</f>
        <v/>
      </c>
      <c r="G103" s="6" t="str">
        <f>IF(A103="","",COUNTIFS(Chicks!$F:$F,A103,Chicks!$I:$I,"Yes"))</f>
        <v/>
      </c>
      <c r="H103" s="6" t="str">
        <f>IF(A103="","",SUMIFS(Chicks!$J:$J,Chicks!$F:$F,A103))</f>
        <v/>
      </c>
      <c r="I103" s="6" t="str">
        <f>IF(A103="","",COUNTIFS(Chicks!$F:$F,A103,Chicks!$I:$I,"No"))</f>
        <v/>
      </c>
      <c r="J103" s="6" t="str">
        <f>IF(A103="","",IFERROR(AVERAGEIF(Chicks!$F:$F,A103,Chicks!$M:$M),""))</f>
        <v/>
      </c>
      <c r="K103" s="6" t="str">
        <f>IF(A103="","",SUMIFS(Chicks!$N:$N,Chicks!$F:$F,A103))</f>
        <v/>
      </c>
      <c r="L103" s="6" t="str">
        <f>IF(A103="","",SUMIFS(Chicks!$O:$O,Chicks!$F:$F,A103))</f>
        <v/>
      </c>
      <c r="M103" s="6" t="str">
        <f>IF(A103="","",SUMIFS(Chicks!$P:$P,Chicks!$F:$F,A103))</f>
        <v/>
      </c>
      <c r="N103" s="6" t="str">
        <f t="shared" si="0"/>
        <v/>
      </c>
    </row>
    <row r="104" spans="1:14" ht="14.25" customHeight="1" x14ac:dyDescent="0.3">
      <c r="A104" s="4"/>
      <c r="B104" s="4"/>
      <c r="C104" s="4"/>
      <c r="D104" s="4"/>
      <c r="E104" s="4"/>
      <c r="F104" s="6" t="str">
        <f>IF(A104="","",COUNTIF(Chicks!$F:$F,A104))</f>
        <v/>
      </c>
      <c r="G104" s="6" t="str">
        <f>IF(A104="","",COUNTIFS(Chicks!$F:$F,A104,Chicks!$I:$I,"Yes"))</f>
        <v/>
      </c>
      <c r="H104" s="6" t="str">
        <f>IF(A104="","",SUMIFS(Chicks!$J:$J,Chicks!$F:$F,A104))</f>
        <v/>
      </c>
      <c r="I104" s="6" t="str">
        <f>IF(A104="","",COUNTIFS(Chicks!$F:$F,A104,Chicks!$I:$I,"No"))</f>
        <v/>
      </c>
      <c r="J104" s="6" t="str">
        <f>IF(A104="","",IFERROR(AVERAGEIF(Chicks!$F:$F,A104,Chicks!$M:$M),""))</f>
        <v/>
      </c>
      <c r="K104" s="6" t="str">
        <f>IF(A104="","",SUMIFS(Chicks!$N:$N,Chicks!$F:$F,A104))</f>
        <v/>
      </c>
      <c r="L104" s="6" t="str">
        <f>IF(A104="","",SUMIFS(Chicks!$O:$O,Chicks!$F:$F,A104))</f>
        <v/>
      </c>
      <c r="M104" s="6" t="str">
        <f>IF(A104="","",SUMIFS(Chicks!$P:$P,Chicks!$F:$F,A104))</f>
        <v/>
      </c>
      <c r="N104" s="6" t="str">
        <f t="shared" si="0"/>
        <v/>
      </c>
    </row>
    <row r="105" spans="1:14" ht="14.25" customHeight="1" x14ac:dyDescent="0.3">
      <c r="A105" s="4"/>
      <c r="B105" s="4"/>
      <c r="C105" s="4"/>
      <c r="D105" s="4"/>
      <c r="E105" s="4"/>
      <c r="F105" s="6" t="str">
        <f>IF(A105="","",COUNTIF(Chicks!$F:$F,A105))</f>
        <v/>
      </c>
      <c r="G105" s="6" t="str">
        <f>IF(A105="","",COUNTIFS(Chicks!$F:$F,A105,Chicks!$I:$I,"Yes"))</f>
        <v/>
      </c>
      <c r="H105" s="6" t="str">
        <f>IF(A105="","",SUMIFS(Chicks!$J:$J,Chicks!$F:$F,A105))</f>
        <v/>
      </c>
      <c r="I105" s="6" t="str">
        <f>IF(A105="","",COUNTIFS(Chicks!$F:$F,A105,Chicks!$I:$I,"No"))</f>
        <v/>
      </c>
      <c r="J105" s="6" t="str">
        <f>IF(A105="","",IFERROR(AVERAGEIF(Chicks!$F:$F,A105,Chicks!$M:$M),""))</f>
        <v/>
      </c>
      <c r="K105" s="6" t="str">
        <f>IF(A105="","",SUMIFS(Chicks!$N:$N,Chicks!$F:$F,A105))</f>
        <v/>
      </c>
      <c r="L105" s="6" t="str">
        <f>IF(A105="","",SUMIFS(Chicks!$O:$O,Chicks!$F:$F,A105))</f>
        <v/>
      </c>
      <c r="M105" s="6" t="str">
        <f>IF(A105="","",SUMIFS(Chicks!$P:$P,Chicks!$F:$F,A105))</f>
        <v/>
      </c>
      <c r="N105" s="6" t="str">
        <f t="shared" si="0"/>
        <v/>
      </c>
    </row>
    <row r="106" spans="1:14" ht="14.25" customHeight="1" x14ac:dyDescent="0.3">
      <c r="A106" s="4"/>
      <c r="B106" s="4"/>
      <c r="C106" s="4"/>
      <c r="D106" s="4"/>
      <c r="E106" s="4"/>
      <c r="F106" s="6" t="str">
        <f>IF(A106="","",COUNTIF(Chicks!$F:$F,A106))</f>
        <v/>
      </c>
      <c r="G106" s="6" t="str">
        <f>IF(A106="","",COUNTIFS(Chicks!$F:$F,A106,Chicks!$I:$I,"Yes"))</f>
        <v/>
      </c>
      <c r="H106" s="6" t="str">
        <f>IF(A106="","",SUMIFS(Chicks!$J:$J,Chicks!$F:$F,A106))</f>
        <v/>
      </c>
      <c r="I106" s="6" t="str">
        <f>IF(A106="","",COUNTIFS(Chicks!$F:$F,A106,Chicks!$I:$I,"No"))</f>
        <v/>
      </c>
      <c r="J106" s="6" t="str">
        <f>IF(A106="","",IFERROR(AVERAGEIF(Chicks!$F:$F,A106,Chicks!$M:$M),""))</f>
        <v/>
      </c>
      <c r="K106" s="6" t="str">
        <f>IF(A106="","",SUMIFS(Chicks!$N:$N,Chicks!$F:$F,A106))</f>
        <v/>
      </c>
      <c r="L106" s="6" t="str">
        <f>IF(A106="","",SUMIFS(Chicks!$O:$O,Chicks!$F:$F,A106))</f>
        <v/>
      </c>
      <c r="M106" s="6" t="str">
        <f>IF(A106="","",SUMIFS(Chicks!$P:$P,Chicks!$F:$F,A106))</f>
        <v/>
      </c>
      <c r="N106" s="6" t="str">
        <f t="shared" si="0"/>
        <v/>
      </c>
    </row>
    <row r="107" spans="1:14" ht="14.25" customHeight="1" x14ac:dyDescent="0.3">
      <c r="A107" s="4"/>
      <c r="B107" s="4"/>
      <c r="C107" s="4"/>
      <c r="D107" s="4"/>
      <c r="E107" s="4"/>
      <c r="F107" s="6" t="str">
        <f>IF(A107="","",COUNTIF(Chicks!$F:$F,A107))</f>
        <v/>
      </c>
      <c r="G107" s="6" t="str">
        <f>IF(A107="","",COUNTIFS(Chicks!$F:$F,A107,Chicks!$I:$I,"Yes"))</f>
        <v/>
      </c>
      <c r="H107" s="6" t="str">
        <f>IF(A107="","",SUMIFS(Chicks!$J:$J,Chicks!$F:$F,A107))</f>
        <v/>
      </c>
      <c r="I107" s="6" t="str">
        <f>IF(A107="","",COUNTIFS(Chicks!$F:$F,A107,Chicks!$I:$I,"No"))</f>
        <v/>
      </c>
      <c r="J107" s="6" t="str">
        <f>IF(A107="","",IFERROR(AVERAGEIF(Chicks!$F:$F,A107,Chicks!$M:$M),""))</f>
        <v/>
      </c>
      <c r="K107" s="6" t="str">
        <f>IF(A107="","",SUMIFS(Chicks!$N:$N,Chicks!$F:$F,A107))</f>
        <v/>
      </c>
      <c r="L107" s="6" t="str">
        <f>IF(A107="","",SUMIFS(Chicks!$O:$O,Chicks!$F:$F,A107))</f>
        <v/>
      </c>
      <c r="M107" s="6" t="str">
        <f>IF(A107="","",SUMIFS(Chicks!$P:$P,Chicks!$F:$F,A107))</f>
        <v/>
      </c>
      <c r="N107" s="6" t="str">
        <f t="shared" si="0"/>
        <v/>
      </c>
    </row>
    <row r="108" spans="1:14" ht="14.25" customHeight="1" x14ac:dyDescent="0.3">
      <c r="A108" s="4"/>
      <c r="B108" s="4"/>
      <c r="C108" s="4"/>
      <c r="D108" s="4"/>
      <c r="E108" s="4"/>
      <c r="F108" s="6" t="str">
        <f>IF(A108="","",COUNTIF(Chicks!$F:$F,A108))</f>
        <v/>
      </c>
      <c r="G108" s="6" t="str">
        <f>IF(A108="","",COUNTIFS(Chicks!$F:$F,A108,Chicks!$I:$I,"Yes"))</f>
        <v/>
      </c>
      <c r="H108" s="6" t="str">
        <f>IF(A108="","",SUMIFS(Chicks!$J:$J,Chicks!$F:$F,A108))</f>
        <v/>
      </c>
      <c r="I108" s="6" t="str">
        <f>IF(A108="","",COUNTIFS(Chicks!$F:$F,A108,Chicks!$I:$I,"No"))</f>
        <v/>
      </c>
      <c r="J108" s="6" t="str">
        <f>IF(A108="","",IFERROR(AVERAGEIF(Chicks!$F:$F,A108,Chicks!$M:$M),""))</f>
        <v/>
      </c>
      <c r="K108" s="6" t="str">
        <f>IF(A108="","",SUMIFS(Chicks!$N:$N,Chicks!$F:$F,A108))</f>
        <v/>
      </c>
      <c r="L108" s="6" t="str">
        <f>IF(A108="","",SUMIFS(Chicks!$O:$O,Chicks!$F:$F,A108))</f>
        <v/>
      </c>
      <c r="M108" s="6" t="str">
        <f>IF(A108="","",SUMIFS(Chicks!$P:$P,Chicks!$F:$F,A108))</f>
        <v/>
      </c>
      <c r="N108" s="6" t="str">
        <f t="shared" si="0"/>
        <v/>
      </c>
    </row>
    <row r="109" spans="1:14" ht="14.25" customHeight="1" x14ac:dyDescent="0.3">
      <c r="A109" s="4"/>
      <c r="B109" s="4"/>
      <c r="C109" s="4"/>
      <c r="D109" s="4"/>
      <c r="E109" s="4"/>
      <c r="F109" s="6" t="str">
        <f>IF(A109="","",COUNTIF(Chicks!$F:$F,A109))</f>
        <v/>
      </c>
      <c r="G109" s="6" t="str">
        <f>IF(A109="","",COUNTIFS(Chicks!$F:$F,A109,Chicks!$I:$I,"Yes"))</f>
        <v/>
      </c>
      <c r="H109" s="6" t="str">
        <f>IF(A109="","",SUMIFS(Chicks!$J:$J,Chicks!$F:$F,A109))</f>
        <v/>
      </c>
      <c r="I109" s="6" t="str">
        <f>IF(A109="","",COUNTIFS(Chicks!$F:$F,A109,Chicks!$I:$I,"No"))</f>
        <v/>
      </c>
      <c r="J109" s="6" t="str">
        <f>IF(A109="","",IFERROR(AVERAGEIF(Chicks!$F:$F,A109,Chicks!$M:$M),""))</f>
        <v/>
      </c>
      <c r="K109" s="6" t="str">
        <f>IF(A109="","",SUMIFS(Chicks!$N:$N,Chicks!$F:$F,A109))</f>
        <v/>
      </c>
      <c r="L109" s="6" t="str">
        <f>IF(A109="","",SUMIFS(Chicks!$O:$O,Chicks!$F:$F,A109))</f>
        <v/>
      </c>
      <c r="M109" s="6" t="str">
        <f>IF(A109="","",SUMIFS(Chicks!$P:$P,Chicks!$F:$F,A109))</f>
        <v/>
      </c>
      <c r="N109" s="6" t="str">
        <f t="shared" si="0"/>
        <v/>
      </c>
    </row>
    <row r="110" spans="1:14" ht="14.25" customHeight="1" x14ac:dyDescent="0.3">
      <c r="A110" s="4"/>
      <c r="B110" s="4"/>
      <c r="C110" s="4"/>
      <c r="D110" s="4"/>
      <c r="E110" s="4"/>
      <c r="F110" s="6" t="str">
        <f>IF(A110="","",COUNTIF(Chicks!$F:$F,A110))</f>
        <v/>
      </c>
      <c r="G110" s="6" t="str">
        <f>IF(A110="","",COUNTIFS(Chicks!$F:$F,A110,Chicks!$I:$I,"Yes"))</f>
        <v/>
      </c>
      <c r="H110" s="6" t="str">
        <f>IF(A110="","",SUMIFS(Chicks!$J:$J,Chicks!$F:$F,A110))</f>
        <v/>
      </c>
      <c r="I110" s="6" t="str">
        <f>IF(A110="","",COUNTIFS(Chicks!$F:$F,A110,Chicks!$I:$I,"No"))</f>
        <v/>
      </c>
      <c r="J110" s="6" t="str">
        <f>IF(A110="","",IFERROR(AVERAGEIF(Chicks!$F:$F,A110,Chicks!$M:$M),""))</f>
        <v/>
      </c>
      <c r="K110" s="6" t="str">
        <f>IF(A110="","",SUMIFS(Chicks!$N:$N,Chicks!$F:$F,A110))</f>
        <v/>
      </c>
      <c r="L110" s="6" t="str">
        <f>IF(A110="","",SUMIFS(Chicks!$O:$O,Chicks!$F:$F,A110))</f>
        <v/>
      </c>
      <c r="M110" s="6" t="str">
        <f>IF(A110="","",SUMIFS(Chicks!$P:$P,Chicks!$F:$F,A110))</f>
        <v/>
      </c>
      <c r="N110" s="6" t="str">
        <f t="shared" si="0"/>
        <v/>
      </c>
    </row>
    <row r="111" spans="1:14" ht="14.25" customHeight="1" x14ac:dyDescent="0.3">
      <c r="A111" s="4"/>
      <c r="B111" s="4"/>
      <c r="C111" s="4"/>
      <c r="D111" s="4"/>
      <c r="E111" s="4"/>
      <c r="F111" s="6" t="str">
        <f>IF(A111="","",COUNTIF(Chicks!$F:$F,A111))</f>
        <v/>
      </c>
      <c r="G111" s="6" t="str">
        <f>IF(A111="","",COUNTIFS(Chicks!$F:$F,A111,Chicks!$I:$I,"Yes"))</f>
        <v/>
      </c>
      <c r="H111" s="6" t="str">
        <f>IF(A111="","",SUMIFS(Chicks!$J:$J,Chicks!$F:$F,A111))</f>
        <v/>
      </c>
      <c r="I111" s="6" t="str">
        <f>IF(A111="","",COUNTIFS(Chicks!$F:$F,A111,Chicks!$I:$I,"No"))</f>
        <v/>
      </c>
      <c r="J111" s="6" t="str">
        <f>IF(A111="","",IFERROR(AVERAGEIF(Chicks!$F:$F,A111,Chicks!$M:$M),""))</f>
        <v/>
      </c>
      <c r="K111" s="6" t="str">
        <f>IF(A111="","",SUMIFS(Chicks!$N:$N,Chicks!$F:$F,A111))</f>
        <v/>
      </c>
      <c r="L111" s="6" t="str">
        <f>IF(A111="","",SUMIFS(Chicks!$O:$O,Chicks!$F:$F,A111))</f>
        <v/>
      </c>
      <c r="M111" s="6" t="str">
        <f>IF(A111="","",SUMIFS(Chicks!$P:$P,Chicks!$F:$F,A111))</f>
        <v/>
      </c>
      <c r="N111" s="6" t="str">
        <f t="shared" si="0"/>
        <v/>
      </c>
    </row>
    <row r="112" spans="1:14" ht="14.25" customHeight="1" x14ac:dyDescent="0.3">
      <c r="A112" s="4"/>
      <c r="B112" s="4"/>
      <c r="C112" s="4"/>
      <c r="D112" s="4"/>
      <c r="E112" s="4"/>
      <c r="F112" s="6" t="str">
        <f>IF(A112="","",COUNTIF(Chicks!$F:$F,A112))</f>
        <v/>
      </c>
      <c r="G112" s="6" t="str">
        <f>IF(A112="","",COUNTIFS(Chicks!$F:$F,A112,Chicks!$I:$I,"Yes"))</f>
        <v/>
      </c>
      <c r="H112" s="6" t="str">
        <f>IF(A112="","",SUMIFS(Chicks!$J:$J,Chicks!$F:$F,A112))</f>
        <v/>
      </c>
      <c r="I112" s="6" t="str">
        <f>IF(A112="","",COUNTIFS(Chicks!$F:$F,A112,Chicks!$I:$I,"No"))</f>
        <v/>
      </c>
      <c r="J112" s="6" t="str">
        <f>IF(A112="","",IFERROR(AVERAGEIF(Chicks!$F:$F,A112,Chicks!$M:$M),""))</f>
        <v/>
      </c>
      <c r="K112" s="6" t="str">
        <f>IF(A112="","",SUMIFS(Chicks!$N:$N,Chicks!$F:$F,A112))</f>
        <v/>
      </c>
      <c r="L112" s="6" t="str">
        <f>IF(A112="","",SUMIFS(Chicks!$O:$O,Chicks!$F:$F,A112))</f>
        <v/>
      </c>
      <c r="M112" s="6" t="str">
        <f>IF(A112="","",SUMIFS(Chicks!$P:$P,Chicks!$F:$F,A112))</f>
        <v/>
      </c>
      <c r="N112" s="6" t="str">
        <f t="shared" si="0"/>
        <v/>
      </c>
    </row>
    <row r="113" spans="1:14" ht="14.25" customHeight="1" x14ac:dyDescent="0.3">
      <c r="A113" s="4"/>
      <c r="B113" s="4"/>
      <c r="C113" s="4"/>
      <c r="D113" s="4"/>
      <c r="E113" s="4"/>
      <c r="F113" s="6" t="str">
        <f>IF(A113="","",COUNTIF(Chicks!$F:$F,A113))</f>
        <v/>
      </c>
      <c r="G113" s="6" t="str">
        <f>IF(A113="","",COUNTIFS(Chicks!$F:$F,A113,Chicks!$I:$I,"Yes"))</f>
        <v/>
      </c>
      <c r="H113" s="6" t="str">
        <f>IF(A113="","",SUMIFS(Chicks!$J:$J,Chicks!$F:$F,A113))</f>
        <v/>
      </c>
      <c r="I113" s="6" t="str">
        <f>IF(A113="","",COUNTIFS(Chicks!$F:$F,A113,Chicks!$I:$I,"No"))</f>
        <v/>
      </c>
      <c r="J113" s="6" t="str">
        <f>IF(A113="","",IFERROR(AVERAGEIF(Chicks!$F:$F,A113,Chicks!$M:$M),""))</f>
        <v/>
      </c>
      <c r="K113" s="6" t="str">
        <f>IF(A113="","",SUMIFS(Chicks!$N:$N,Chicks!$F:$F,A113))</f>
        <v/>
      </c>
      <c r="L113" s="6" t="str">
        <f>IF(A113="","",SUMIFS(Chicks!$O:$O,Chicks!$F:$F,A113))</f>
        <v/>
      </c>
      <c r="M113" s="6" t="str">
        <f>IF(A113="","",SUMIFS(Chicks!$P:$P,Chicks!$F:$F,A113))</f>
        <v/>
      </c>
      <c r="N113" s="6" t="str">
        <f t="shared" si="0"/>
        <v/>
      </c>
    </row>
    <row r="114" spans="1:14" ht="14.25" customHeight="1" x14ac:dyDescent="0.3">
      <c r="A114" s="4"/>
      <c r="B114" s="4"/>
      <c r="C114" s="4"/>
      <c r="D114" s="4"/>
      <c r="E114" s="4"/>
      <c r="F114" s="6" t="str">
        <f>IF(A114="","",COUNTIF(Chicks!$F:$F,A114))</f>
        <v/>
      </c>
      <c r="G114" s="6" t="str">
        <f>IF(A114="","",COUNTIFS(Chicks!$F:$F,A114,Chicks!$I:$I,"Yes"))</f>
        <v/>
      </c>
      <c r="H114" s="6" t="str">
        <f>IF(A114="","",SUMIFS(Chicks!$J:$J,Chicks!$F:$F,A114))</f>
        <v/>
      </c>
      <c r="I114" s="6" t="str">
        <f>IF(A114="","",COUNTIFS(Chicks!$F:$F,A114,Chicks!$I:$I,"No"))</f>
        <v/>
      </c>
      <c r="J114" s="6" t="str">
        <f>IF(A114="","",IFERROR(AVERAGEIF(Chicks!$F:$F,A114,Chicks!$M:$M),""))</f>
        <v/>
      </c>
      <c r="K114" s="6" t="str">
        <f>IF(A114="","",SUMIFS(Chicks!$N:$N,Chicks!$F:$F,A114))</f>
        <v/>
      </c>
      <c r="L114" s="6" t="str">
        <f>IF(A114="","",SUMIFS(Chicks!$O:$O,Chicks!$F:$F,A114))</f>
        <v/>
      </c>
      <c r="M114" s="6" t="str">
        <f>IF(A114="","",SUMIFS(Chicks!$P:$P,Chicks!$F:$F,A114))</f>
        <v/>
      </c>
      <c r="N114" s="6" t="str">
        <f t="shared" si="0"/>
        <v/>
      </c>
    </row>
    <row r="115" spans="1:14" ht="14.25" customHeight="1" x14ac:dyDescent="0.3">
      <c r="A115" s="4"/>
      <c r="B115" s="4"/>
      <c r="C115" s="4"/>
      <c r="D115" s="4"/>
      <c r="E115" s="4"/>
      <c r="F115" s="6" t="str">
        <f>IF(A115="","",COUNTIF(Chicks!$F:$F,A115))</f>
        <v/>
      </c>
      <c r="G115" s="6" t="str">
        <f>IF(A115="","",COUNTIFS(Chicks!$F:$F,A115,Chicks!$I:$I,"Yes"))</f>
        <v/>
      </c>
      <c r="H115" s="6" t="str">
        <f>IF(A115="","",SUMIFS(Chicks!$J:$J,Chicks!$F:$F,A115))</f>
        <v/>
      </c>
      <c r="I115" s="6" t="str">
        <f>IF(A115="","",COUNTIFS(Chicks!$F:$F,A115,Chicks!$I:$I,"No"))</f>
        <v/>
      </c>
      <c r="J115" s="6" t="str">
        <f>IF(A115="","",IFERROR(AVERAGEIF(Chicks!$F:$F,A115,Chicks!$M:$M),""))</f>
        <v/>
      </c>
      <c r="K115" s="6" t="str">
        <f>IF(A115="","",SUMIFS(Chicks!$N:$N,Chicks!$F:$F,A115))</f>
        <v/>
      </c>
      <c r="L115" s="6" t="str">
        <f>IF(A115="","",SUMIFS(Chicks!$O:$O,Chicks!$F:$F,A115))</f>
        <v/>
      </c>
      <c r="M115" s="6" t="str">
        <f>IF(A115="","",SUMIFS(Chicks!$P:$P,Chicks!$F:$F,A115))</f>
        <v/>
      </c>
      <c r="N115" s="6" t="str">
        <f t="shared" si="0"/>
        <v/>
      </c>
    </row>
    <row r="116" spans="1:14" ht="14.25" customHeight="1" x14ac:dyDescent="0.3">
      <c r="A116" s="4"/>
      <c r="B116" s="4"/>
      <c r="C116" s="4"/>
      <c r="D116" s="4"/>
      <c r="E116" s="4"/>
      <c r="F116" s="6" t="str">
        <f>IF(A116="","",COUNTIF(Chicks!$F:$F,A116))</f>
        <v/>
      </c>
      <c r="G116" s="6" t="str">
        <f>IF(A116="","",COUNTIFS(Chicks!$F:$F,A116,Chicks!$I:$I,"Yes"))</f>
        <v/>
      </c>
      <c r="H116" s="6" t="str">
        <f>IF(A116="","",SUMIFS(Chicks!$J:$J,Chicks!$F:$F,A116))</f>
        <v/>
      </c>
      <c r="I116" s="6" t="str">
        <f>IF(A116="","",COUNTIFS(Chicks!$F:$F,A116,Chicks!$I:$I,"No"))</f>
        <v/>
      </c>
      <c r="J116" s="6" t="str">
        <f>IF(A116="","",IFERROR(AVERAGEIF(Chicks!$F:$F,A116,Chicks!$M:$M),""))</f>
        <v/>
      </c>
      <c r="K116" s="6" t="str">
        <f>IF(A116="","",SUMIFS(Chicks!$N:$N,Chicks!$F:$F,A116))</f>
        <v/>
      </c>
      <c r="L116" s="6" t="str">
        <f>IF(A116="","",SUMIFS(Chicks!$O:$O,Chicks!$F:$F,A116))</f>
        <v/>
      </c>
      <c r="M116" s="6" t="str">
        <f>IF(A116="","",SUMIFS(Chicks!$P:$P,Chicks!$F:$F,A116))</f>
        <v/>
      </c>
      <c r="N116" s="6" t="str">
        <f t="shared" si="0"/>
        <v/>
      </c>
    </row>
    <row r="117" spans="1:14" ht="14.25" customHeight="1" x14ac:dyDescent="0.3">
      <c r="A117" s="4"/>
      <c r="B117" s="4"/>
      <c r="C117" s="4"/>
      <c r="D117" s="4"/>
      <c r="E117" s="4"/>
      <c r="F117" s="6" t="str">
        <f>IF(A117="","",COUNTIF(Chicks!$F:$F,A117))</f>
        <v/>
      </c>
      <c r="G117" s="6" t="str">
        <f>IF(A117="","",COUNTIFS(Chicks!$F:$F,A117,Chicks!$I:$I,"Yes"))</f>
        <v/>
      </c>
      <c r="H117" s="6" t="str">
        <f>IF(A117="","",SUMIFS(Chicks!$J:$J,Chicks!$F:$F,A117))</f>
        <v/>
      </c>
      <c r="I117" s="6" t="str">
        <f>IF(A117="","",COUNTIFS(Chicks!$F:$F,A117,Chicks!$I:$I,"No"))</f>
        <v/>
      </c>
      <c r="J117" s="6" t="str">
        <f>IF(A117="","",IFERROR(AVERAGEIF(Chicks!$F:$F,A117,Chicks!$M:$M),""))</f>
        <v/>
      </c>
      <c r="K117" s="6" t="str">
        <f>IF(A117="","",SUMIFS(Chicks!$N:$N,Chicks!$F:$F,A117))</f>
        <v/>
      </c>
      <c r="L117" s="6" t="str">
        <f>IF(A117="","",SUMIFS(Chicks!$O:$O,Chicks!$F:$F,A117))</f>
        <v/>
      </c>
      <c r="M117" s="6" t="str">
        <f>IF(A117="","",SUMIFS(Chicks!$P:$P,Chicks!$F:$F,A117))</f>
        <v/>
      </c>
      <c r="N117" s="6" t="str">
        <f t="shared" si="0"/>
        <v/>
      </c>
    </row>
    <row r="118" spans="1:14" ht="14.25" customHeight="1" x14ac:dyDescent="0.3">
      <c r="A118" s="4"/>
      <c r="B118" s="4"/>
      <c r="C118" s="4"/>
      <c r="D118" s="4"/>
      <c r="E118" s="4"/>
      <c r="F118" s="6" t="str">
        <f>IF(A118="","",COUNTIF(Chicks!$F:$F,A118))</f>
        <v/>
      </c>
      <c r="G118" s="6" t="str">
        <f>IF(A118="","",COUNTIFS(Chicks!$F:$F,A118,Chicks!$I:$I,"Yes"))</f>
        <v/>
      </c>
      <c r="H118" s="6" t="str">
        <f>IF(A118="","",SUMIFS(Chicks!$J:$J,Chicks!$F:$F,A118))</f>
        <v/>
      </c>
      <c r="I118" s="6" t="str">
        <f>IF(A118="","",COUNTIFS(Chicks!$F:$F,A118,Chicks!$I:$I,"No"))</f>
        <v/>
      </c>
      <c r="J118" s="6" t="str">
        <f>IF(A118="","",IFERROR(AVERAGEIF(Chicks!$F:$F,A118,Chicks!$M:$M),""))</f>
        <v/>
      </c>
      <c r="K118" s="6" t="str">
        <f>IF(A118="","",SUMIFS(Chicks!$N:$N,Chicks!$F:$F,A118))</f>
        <v/>
      </c>
      <c r="L118" s="6" t="str">
        <f>IF(A118="","",SUMIFS(Chicks!$O:$O,Chicks!$F:$F,A118))</f>
        <v/>
      </c>
      <c r="M118" s="6" t="str">
        <f>IF(A118="","",SUMIFS(Chicks!$P:$P,Chicks!$F:$F,A118))</f>
        <v/>
      </c>
      <c r="N118" s="6" t="str">
        <f t="shared" si="0"/>
        <v/>
      </c>
    </row>
    <row r="119" spans="1:14" ht="14.25" customHeight="1" x14ac:dyDescent="0.3">
      <c r="A119" s="4"/>
      <c r="B119" s="4"/>
      <c r="C119" s="4"/>
      <c r="D119" s="4"/>
      <c r="E119" s="4"/>
      <c r="F119" s="6" t="str">
        <f>IF(A119="","",COUNTIF(Chicks!$F:$F,A119))</f>
        <v/>
      </c>
      <c r="G119" s="6" t="str">
        <f>IF(A119="","",COUNTIFS(Chicks!$F:$F,A119,Chicks!$I:$I,"Yes"))</f>
        <v/>
      </c>
      <c r="H119" s="6" t="str">
        <f>IF(A119="","",SUMIFS(Chicks!$J:$J,Chicks!$F:$F,A119))</f>
        <v/>
      </c>
      <c r="I119" s="6" t="str">
        <f>IF(A119="","",COUNTIFS(Chicks!$F:$F,A119,Chicks!$I:$I,"No"))</f>
        <v/>
      </c>
      <c r="J119" s="6" t="str">
        <f>IF(A119="","",IFERROR(AVERAGEIF(Chicks!$F:$F,A119,Chicks!$M:$M),""))</f>
        <v/>
      </c>
      <c r="K119" s="6" t="str">
        <f>IF(A119="","",SUMIFS(Chicks!$N:$N,Chicks!$F:$F,A119))</f>
        <v/>
      </c>
      <c r="L119" s="6" t="str">
        <f>IF(A119="","",SUMIFS(Chicks!$O:$O,Chicks!$F:$F,A119))</f>
        <v/>
      </c>
      <c r="M119" s="6" t="str">
        <f>IF(A119="","",SUMIFS(Chicks!$P:$P,Chicks!$F:$F,A119))</f>
        <v/>
      </c>
      <c r="N119" s="6" t="str">
        <f t="shared" si="0"/>
        <v/>
      </c>
    </row>
    <row r="120" spans="1:14" ht="14.25" customHeight="1" x14ac:dyDescent="0.3">
      <c r="A120" s="4"/>
      <c r="B120" s="4"/>
      <c r="C120" s="4"/>
      <c r="D120" s="4"/>
      <c r="E120" s="4"/>
      <c r="F120" s="6" t="str">
        <f>IF(A120="","",COUNTIF(Chicks!$F:$F,A120))</f>
        <v/>
      </c>
      <c r="G120" s="6" t="str">
        <f>IF(A120="","",COUNTIFS(Chicks!$F:$F,A120,Chicks!$I:$I,"Yes"))</f>
        <v/>
      </c>
      <c r="H120" s="6" t="str">
        <f>IF(A120="","",SUMIFS(Chicks!$J:$J,Chicks!$F:$F,A120))</f>
        <v/>
      </c>
      <c r="I120" s="6" t="str">
        <f>IF(A120="","",COUNTIFS(Chicks!$F:$F,A120,Chicks!$I:$I,"No"))</f>
        <v/>
      </c>
      <c r="J120" s="6" t="str">
        <f>IF(A120="","",IFERROR(AVERAGEIF(Chicks!$F:$F,A120,Chicks!$M:$M),""))</f>
        <v/>
      </c>
      <c r="K120" s="6" t="str">
        <f>IF(A120="","",SUMIFS(Chicks!$N:$N,Chicks!$F:$F,A120))</f>
        <v/>
      </c>
      <c r="L120" s="6" t="str">
        <f>IF(A120="","",SUMIFS(Chicks!$O:$O,Chicks!$F:$F,A120))</f>
        <v/>
      </c>
      <c r="M120" s="6" t="str">
        <f>IF(A120="","",SUMIFS(Chicks!$P:$P,Chicks!$F:$F,A120))</f>
        <v/>
      </c>
      <c r="N120" s="6" t="str">
        <f t="shared" si="0"/>
        <v/>
      </c>
    </row>
    <row r="121" spans="1:14" ht="14.25" customHeight="1" x14ac:dyDescent="0.3">
      <c r="A121" s="4"/>
      <c r="B121" s="4"/>
      <c r="C121" s="4"/>
      <c r="D121" s="4"/>
      <c r="E121" s="4"/>
      <c r="F121" s="6" t="str">
        <f>IF(A121="","",COUNTIF(Chicks!$F:$F,A121))</f>
        <v/>
      </c>
      <c r="G121" s="6" t="str">
        <f>IF(A121="","",COUNTIFS(Chicks!$F:$F,A121,Chicks!$I:$I,"Yes"))</f>
        <v/>
      </c>
      <c r="H121" s="6" t="str">
        <f>IF(A121="","",SUMIFS(Chicks!$J:$J,Chicks!$F:$F,A121))</f>
        <v/>
      </c>
      <c r="I121" s="6" t="str">
        <f>IF(A121="","",COUNTIFS(Chicks!$F:$F,A121,Chicks!$I:$I,"No"))</f>
        <v/>
      </c>
      <c r="J121" s="6" t="str">
        <f>IF(A121="","",IFERROR(AVERAGEIF(Chicks!$F:$F,A121,Chicks!$M:$M),""))</f>
        <v/>
      </c>
      <c r="K121" s="6" t="str">
        <f>IF(A121="","",SUMIFS(Chicks!$N:$N,Chicks!$F:$F,A121))</f>
        <v/>
      </c>
      <c r="L121" s="6" t="str">
        <f>IF(A121="","",SUMIFS(Chicks!$O:$O,Chicks!$F:$F,A121))</f>
        <v/>
      </c>
      <c r="M121" s="6" t="str">
        <f>IF(A121="","",SUMIFS(Chicks!$P:$P,Chicks!$F:$F,A121))</f>
        <v/>
      </c>
      <c r="N121" s="6" t="str">
        <f t="shared" si="0"/>
        <v/>
      </c>
    </row>
    <row r="122" spans="1:14" ht="14.25" customHeight="1" x14ac:dyDescent="0.3">
      <c r="A122" s="4"/>
      <c r="B122" s="4"/>
      <c r="C122" s="4"/>
      <c r="D122" s="4"/>
      <c r="E122" s="4"/>
      <c r="F122" s="6" t="str">
        <f>IF(A122="","",COUNTIF(Chicks!$F:$F,A122))</f>
        <v/>
      </c>
      <c r="G122" s="6" t="str">
        <f>IF(A122="","",COUNTIFS(Chicks!$F:$F,A122,Chicks!$I:$I,"Yes"))</f>
        <v/>
      </c>
      <c r="H122" s="6" t="str">
        <f>IF(A122="","",SUMIFS(Chicks!$J:$J,Chicks!$F:$F,A122))</f>
        <v/>
      </c>
      <c r="I122" s="6" t="str">
        <f>IF(A122="","",COUNTIFS(Chicks!$F:$F,A122,Chicks!$I:$I,"No"))</f>
        <v/>
      </c>
      <c r="J122" s="6" t="str">
        <f>IF(A122="","",IFERROR(AVERAGEIF(Chicks!$F:$F,A122,Chicks!$M:$M),""))</f>
        <v/>
      </c>
      <c r="K122" s="6" t="str">
        <f>IF(A122="","",SUMIFS(Chicks!$N:$N,Chicks!$F:$F,A122))</f>
        <v/>
      </c>
      <c r="L122" s="6" t="str">
        <f>IF(A122="","",SUMIFS(Chicks!$O:$O,Chicks!$F:$F,A122))</f>
        <v/>
      </c>
      <c r="M122" s="6" t="str">
        <f>IF(A122="","",SUMIFS(Chicks!$P:$P,Chicks!$F:$F,A122))</f>
        <v/>
      </c>
      <c r="N122" s="6" t="str">
        <f t="shared" si="0"/>
        <v/>
      </c>
    </row>
    <row r="123" spans="1:14" ht="14.25" customHeight="1" x14ac:dyDescent="0.3">
      <c r="A123" s="4"/>
      <c r="B123" s="4"/>
      <c r="C123" s="4"/>
      <c r="D123" s="4"/>
      <c r="E123" s="4"/>
      <c r="F123" s="6" t="str">
        <f>IF(A123="","",COUNTIF(Chicks!$F:$F,A123))</f>
        <v/>
      </c>
      <c r="G123" s="6" t="str">
        <f>IF(A123="","",COUNTIFS(Chicks!$F:$F,A123,Chicks!$I:$I,"Yes"))</f>
        <v/>
      </c>
      <c r="H123" s="6" t="str">
        <f>IF(A123="","",SUMIFS(Chicks!$J:$J,Chicks!$F:$F,A123))</f>
        <v/>
      </c>
      <c r="I123" s="6" t="str">
        <f>IF(A123="","",COUNTIFS(Chicks!$F:$F,A123,Chicks!$I:$I,"No"))</f>
        <v/>
      </c>
      <c r="J123" s="6" t="str">
        <f>IF(A123="","",IFERROR(AVERAGEIF(Chicks!$F:$F,A123,Chicks!$M:$M),""))</f>
        <v/>
      </c>
      <c r="K123" s="6" t="str">
        <f>IF(A123="","",SUMIFS(Chicks!$N:$N,Chicks!$F:$F,A123))</f>
        <v/>
      </c>
      <c r="L123" s="6" t="str">
        <f>IF(A123="","",SUMIFS(Chicks!$O:$O,Chicks!$F:$F,A123))</f>
        <v/>
      </c>
      <c r="M123" s="6" t="str">
        <f>IF(A123="","",SUMIFS(Chicks!$P:$P,Chicks!$F:$F,A123))</f>
        <v/>
      </c>
      <c r="N123" s="6" t="str">
        <f t="shared" si="0"/>
        <v/>
      </c>
    </row>
    <row r="124" spans="1:14" ht="14.25" customHeight="1" x14ac:dyDescent="0.3">
      <c r="A124" s="4"/>
      <c r="B124" s="4"/>
      <c r="C124" s="4"/>
      <c r="D124" s="4"/>
      <c r="E124" s="4"/>
      <c r="F124" s="6" t="str">
        <f>IF(A124="","",COUNTIF(Chicks!$F:$F,A124))</f>
        <v/>
      </c>
      <c r="G124" s="6" t="str">
        <f>IF(A124="","",COUNTIFS(Chicks!$F:$F,A124,Chicks!$I:$I,"Yes"))</f>
        <v/>
      </c>
      <c r="H124" s="6" t="str">
        <f>IF(A124="","",SUMIFS(Chicks!$J:$J,Chicks!$F:$F,A124))</f>
        <v/>
      </c>
      <c r="I124" s="6" t="str">
        <f>IF(A124="","",COUNTIFS(Chicks!$F:$F,A124,Chicks!$I:$I,"No"))</f>
        <v/>
      </c>
      <c r="J124" s="6" t="str">
        <f>IF(A124="","",IFERROR(AVERAGEIF(Chicks!$F:$F,A124,Chicks!$M:$M),""))</f>
        <v/>
      </c>
      <c r="K124" s="6" t="str">
        <f>IF(A124="","",SUMIFS(Chicks!$N:$N,Chicks!$F:$F,A124))</f>
        <v/>
      </c>
      <c r="L124" s="6" t="str">
        <f>IF(A124="","",SUMIFS(Chicks!$O:$O,Chicks!$F:$F,A124))</f>
        <v/>
      </c>
      <c r="M124" s="6" t="str">
        <f>IF(A124="","",SUMIFS(Chicks!$P:$P,Chicks!$F:$F,A124))</f>
        <v/>
      </c>
      <c r="N124" s="6" t="str">
        <f t="shared" si="0"/>
        <v/>
      </c>
    </row>
    <row r="125" spans="1:14" ht="14.25" customHeight="1" x14ac:dyDescent="0.3">
      <c r="A125" s="4"/>
      <c r="B125" s="4"/>
      <c r="C125" s="4"/>
      <c r="D125" s="4"/>
      <c r="E125" s="4"/>
      <c r="F125" s="6" t="str">
        <f>IF(A125="","",COUNTIF(Chicks!$F:$F,A125))</f>
        <v/>
      </c>
      <c r="G125" s="6" t="str">
        <f>IF(A125="","",COUNTIFS(Chicks!$F:$F,A125,Chicks!$I:$I,"Yes"))</f>
        <v/>
      </c>
      <c r="H125" s="6" t="str">
        <f>IF(A125="","",SUMIFS(Chicks!$J:$J,Chicks!$F:$F,A125))</f>
        <v/>
      </c>
      <c r="I125" s="6" t="str">
        <f>IF(A125="","",COUNTIFS(Chicks!$F:$F,A125,Chicks!$I:$I,"No"))</f>
        <v/>
      </c>
      <c r="J125" s="6" t="str">
        <f>IF(A125="","",IFERROR(AVERAGEIF(Chicks!$F:$F,A125,Chicks!$M:$M),""))</f>
        <v/>
      </c>
      <c r="K125" s="6" t="str">
        <f>IF(A125="","",SUMIFS(Chicks!$N:$N,Chicks!$F:$F,A125))</f>
        <v/>
      </c>
      <c r="L125" s="6" t="str">
        <f>IF(A125="","",SUMIFS(Chicks!$O:$O,Chicks!$F:$F,A125))</f>
        <v/>
      </c>
      <c r="M125" s="6" t="str">
        <f>IF(A125="","",SUMIFS(Chicks!$P:$P,Chicks!$F:$F,A125))</f>
        <v/>
      </c>
      <c r="N125" s="6" t="str">
        <f t="shared" si="0"/>
        <v/>
      </c>
    </row>
    <row r="126" spans="1:14" ht="14.25" customHeight="1" x14ac:dyDescent="0.3">
      <c r="A126" s="4"/>
      <c r="B126" s="4"/>
      <c r="C126" s="4"/>
      <c r="D126" s="4"/>
      <c r="E126" s="4"/>
      <c r="F126" s="6" t="str">
        <f>IF(A126="","",COUNTIF(Chicks!$F:$F,A126))</f>
        <v/>
      </c>
      <c r="G126" s="6" t="str">
        <f>IF(A126="","",COUNTIFS(Chicks!$F:$F,A126,Chicks!$I:$I,"Yes"))</f>
        <v/>
      </c>
      <c r="H126" s="6" t="str">
        <f>IF(A126="","",SUMIFS(Chicks!$J:$J,Chicks!$F:$F,A126))</f>
        <v/>
      </c>
      <c r="I126" s="6" t="str">
        <f>IF(A126="","",COUNTIFS(Chicks!$F:$F,A126,Chicks!$I:$I,"No"))</f>
        <v/>
      </c>
      <c r="J126" s="6" t="str">
        <f>IF(A126="","",IFERROR(AVERAGEIF(Chicks!$F:$F,A126,Chicks!$M:$M),""))</f>
        <v/>
      </c>
      <c r="K126" s="6" t="str">
        <f>IF(A126="","",SUMIFS(Chicks!$N:$N,Chicks!$F:$F,A126))</f>
        <v/>
      </c>
      <c r="L126" s="6" t="str">
        <f>IF(A126="","",SUMIFS(Chicks!$O:$O,Chicks!$F:$F,A126))</f>
        <v/>
      </c>
      <c r="M126" s="6" t="str">
        <f>IF(A126="","",SUMIFS(Chicks!$P:$P,Chicks!$F:$F,A126))</f>
        <v/>
      </c>
      <c r="N126" s="6" t="str">
        <f t="shared" si="0"/>
        <v/>
      </c>
    </row>
    <row r="127" spans="1:14" ht="14.25" customHeight="1" x14ac:dyDescent="0.3">
      <c r="A127" s="4"/>
      <c r="B127" s="4"/>
      <c r="C127" s="4"/>
      <c r="D127" s="4"/>
      <c r="E127" s="4"/>
      <c r="F127" s="6" t="str">
        <f>IF(A127="","",COUNTIF(Chicks!$F:$F,A127))</f>
        <v/>
      </c>
      <c r="G127" s="6" t="str">
        <f>IF(A127="","",COUNTIFS(Chicks!$F:$F,A127,Chicks!$I:$I,"Yes"))</f>
        <v/>
      </c>
      <c r="H127" s="6" t="str">
        <f>IF(A127="","",SUMIFS(Chicks!$J:$J,Chicks!$F:$F,A127))</f>
        <v/>
      </c>
      <c r="I127" s="6" t="str">
        <f>IF(A127="","",COUNTIFS(Chicks!$F:$F,A127,Chicks!$I:$I,"No"))</f>
        <v/>
      </c>
      <c r="J127" s="6" t="str">
        <f>IF(A127="","",IFERROR(AVERAGEIF(Chicks!$F:$F,A127,Chicks!$M:$M),""))</f>
        <v/>
      </c>
      <c r="K127" s="6" t="str">
        <f>IF(A127="","",SUMIFS(Chicks!$N:$N,Chicks!$F:$F,A127))</f>
        <v/>
      </c>
      <c r="L127" s="6" t="str">
        <f>IF(A127="","",SUMIFS(Chicks!$O:$O,Chicks!$F:$F,A127))</f>
        <v/>
      </c>
      <c r="M127" s="6" t="str">
        <f>IF(A127="","",SUMIFS(Chicks!$P:$P,Chicks!$F:$F,A127))</f>
        <v/>
      </c>
      <c r="N127" s="6" t="str">
        <f t="shared" si="0"/>
        <v/>
      </c>
    </row>
    <row r="128" spans="1:14" ht="14.25" customHeight="1" x14ac:dyDescent="0.3">
      <c r="A128" s="4"/>
      <c r="B128" s="4"/>
      <c r="C128" s="4"/>
      <c r="D128" s="4"/>
      <c r="E128" s="4"/>
      <c r="F128" s="6" t="str">
        <f>IF(A128="","",COUNTIF(Chicks!$F:$F,A128))</f>
        <v/>
      </c>
      <c r="G128" s="6" t="str">
        <f>IF(A128="","",COUNTIFS(Chicks!$F:$F,A128,Chicks!$I:$I,"Yes"))</f>
        <v/>
      </c>
      <c r="H128" s="6" t="str">
        <f>IF(A128="","",SUMIFS(Chicks!$J:$J,Chicks!$F:$F,A128))</f>
        <v/>
      </c>
      <c r="I128" s="6" t="str">
        <f>IF(A128="","",COUNTIFS(Chicks!$F:$F,A128,Chicks!$I:$I,"No"))</f>
        <v/>
      </c>
      <c r="J128" s="6" t="str">
        <f>IF(A128="","",IFERROR(AVERAGEIF(Chicks!$F:$F,A128,Chicks!$M:$M),""))</f>
        <v/>
      </c>
      <c r="K128" s="6" t="str">
        <f>IF(A128="","",SUMIFS(Chicks!$N:$N,Chicks!$F:$F,A128))</f>
        <v/>
      </c>
      <c r="L128" s="6" t="str">
        <f>IF(A128="","",SUMIFS(Chicks!$O:$O,Chicks!$F:$F,A128))</f>
        <v/>
      </c>
      <c r="M128" s="6" t="str">
        <f>IF(A128="","",SUMIFS(Chicks!$P:$P,Chicks!$F:$F,A128))</f>
        <v/>
      </c>
      <c r="N128" s="6" t="str">
        <f t="shared" si="0"/>
        <v/>
      </c>
    </row>
    <row r="129" spans="1:14" ht="14.25" customHeight="1" x14ac:dyDescent="0.3">
      <c r="A129" s="4"/>
      <c r="B129" s="4"/>
      <c r="C129" s="4"/>
      <c r="D129" s="4"/>
      <c r="E129" s="4"/>
      <c r="F129" s="6" t="str">
        <f>IF(A129="","",COUNTIF(Chicks!$F:$F,A129))</f>
        <v/>
      </c>
      <c r="G129" s="6" t="str">
        <f>IF(A129="","",COUNTIFS(Chicks!$F:$F,A129,Chicks!$I:$I,"Yes"))</f>
        <v/>
      </c>
      <c r="H129" s="6" t="str">
        <f>IF(A129="","",SUMIFS(Chicks!$J:$J,Chicks!$F:$F,A129))</f>
        <v/>
      </c>
      <c r="I129" s="6" t="str">
        <f>IF(A129="","",COUNTIFS(Chicks!$F:$F,A129,Chicks!$I:$I,"No"))</f>
        <v/>
      </c>
      <c r="J129" s="6" t="str">
        <f>IF(A129="","",IFERROR(AVERAGEIF(Chicks!$F:$F,A129,Chicks!$M:$M),""))</f>
        <v/>
      </c>
      <c r="K129" s="6" t="str">
        <f>IF(A129="","",SUMIFS(Chicks!$N:$N,Chicks!$F:$F,A129))</f>
        <v/>
      </c>
      <c r="L129" s="6" t="str">
        <f>IF(A129="","",SUMIFS(Chicks!$O:$O,Chicks!$F:$F,A129))</f>
        <v/>
      </c>
      <c r="M129" s="6" t="str">
        <f>IF(A129="","",SUMIFS(Chicks!$P:$P,Chicks!$F:$F,A129))</f>
        <v/>
      </c>
      <c r="N129" s="6" t="str">
        <f t="shared" si="0"/>
        <v/>
      </c>
    </row>
    <row r="130" spans="1:14" ht="14.25" customHeight="1" x14ac:dyDescent="0.3">
      <c r="A130" s="4"/>
      <c r="B130" s="4"/>
      <c r="C130" s="4"/>
      <c r="D130" s="4"/>
      <c r="E130" s="4"/>
      <c r="F130" s="6" t="str">
        <f>IF(A130="","",COUNTIF(Chicks!$F:$F,A130))</f>
        <v/>
      </c>
      <c r="G130" s="6" t="str">
        <f>IF(A130="","",COUNTIFS(Chicks!$F:$F,A130,Chicks!$I:$I,"Yes"))</f>
        <v/>
      </c>
      <c r="H130" s="6" t="str">
        <f>IF(A130="","",SUMIFS(Chicks!$J:$J,Chicks!$F:$F,A130))</f>
        <v/>
      </c>
      <c r="I130" s="6" t="str">
        <f>IF(A130="","",COUNTIFS(Chicks!$F:$F,A130,Chicks!$I:$I,"No"))</f>
        <v/>
      </c>
      <c r="J130" s="6" t="str">
        <f>IF(A130="","",IFERROR(AVERAGEIF(Chicks!$F:$F,A130,Chicks!$M:$M),""))</f>
        <v/>
      </c>
      <c r="K130" s="6" t="str">
        <f>IF(A130="","",SUMIFS(Chicks!$N:$N,Chicks!$F:$F,A130))</f>
        <v/>
      </c>
      <c r="L130" s="6" t="str">
        <f>IF(A130="","",SUMIFS(Chicks!$O:$O,Chicks!$F:$F,A130))</f>
        <v/>
      </c>
      <c r="M130" s="6" t="str">
        <f>IF(A130="","",SUMIFS(Chicks!$P:$P,Chicks!$F:$F,A130))</f>
        <v/>
      </c>
      <c r="N130" s="6" t="str">
        <f t="shared" si="0"/>
        <v/>
      </c>
    </row>
    <row r="131" spans="1:14" ht="14.25" customHeight="1" x14ac:dyDescent="0.3">
      <c r="A131" s="4"/>
      <c r="B131" s="4"/>
      <c r="C131" s="4"/>
      <c r="D131" s="4"/>
      <c r="E131" s="4"/>
      <c r="F131" s="6" t="str">
        <f>IF(A131="","",COUNTIF(Chicks!$F:$F,A131))</f>
        <v/>
      </c>
      <c r="G131" s="6" t="str">
        <f>IF(A131="","",COUNTIFS(Chicks!$F:$F,A131,Chicks!$I:$I,"Yes"))</f>
        <v/>
      </c>
      <c r="H131" s="6" t="str">
        <f>IF(A131="","",SUMIFS(Chicks!$J:$J,Chicks!$F:$F,A131))</f>
        <v/>
      </c>
      <c r="I131" s="6" t="str">
        <f>IF(A131="","",COUNTIFS(Chicks!$F:$F,A131,Chicks!$I:$I,"No"))</f>
        <v/>
      </c>
      <c r="J131" s="6" t="str">
        <f>IF(A131="","",IFERROR(AVERAGEIF(Chicks!$F:$F,A131,Chicks!$M:$M),""))</f>
        <v/>
      </c>
      <c r="K131" s="6" t="str">
        <f>IF(A131="","",SUMIFS(Chicks!$N:$N,Chicks!$F:$F,A131))</f>
        <v/>
      </c>
      <c r="L131" s="6" t="str">
        <f>IF(A131="","",SUMIFS(Chicks!$O:$O,Chicks!$F:$F,A131))</f>
        <v/>
      </c>
      <c r="M131" s="6" t="str">
        <f>IF(A131="","",SUMIFS(Chicks!$P:$P,Chicks!$F:$F,A131))</f>
        <v/>
      </c>
      <c r="N131" s="6" t="str">
        <f t="shared" si="0"/>
        <v/>
      </c>
    </row>
    <row r="132" spans="1:14" ht="14.25" customHeight="1" x14ac:dyDescent="0.3">
      <c r="A132" s="4"/>
      <c r="B132" s="4"/>
      <c r="C132" s="4"/>
      <c r="D132" s="4"/>
      <c r="E132" s="4"/>
      <c r="F132" s="6" t="str">
        <f>IF(A132="","",COUNTIF(Chicks!$F:$F,A132))</f>
        <v/>
      </c>
      <c r="G132" s="6" t="str">
        <f>IF(A132="","",COUNTIFS(Chicks!$F:$F,A132,Chicks!$I:$I,"Yes"))</f>
        <v/>
      </c>
      <c r="H132" s="6" t="str">
        <f>IF(A132="","",SUMIFS(Chicks!$J:$J,Chicks!$F:$F,A132))</f>
        <v/>
      </c>
      <c r="I132" s="6" t="str">
        <f>IF(A132="","",COUNTIFS(Chicks!$F:$F,A132,Chicks!$I:$I,"No"))</f>
        <v/>
      </c>
      <c r="J132" s="6" t="str">
        <f>IF(A132="","",IFERROR(AVERAGEIF(Chicks!$F:$F,A132,Chicks!$M:$M),""))</f>
        <v/>
      </c>
      <c r="K132" s="6" t="str">
        <f>IF(A132="","",SUMIFS(Chicks!$N:$N,Chicks!$F:$F,A132))</f>
        <v/>
      </c>
      <c r="L132" s="6" t="str">
        <f>IF(A132="","",SUMIFS(Chicks!$O:$O,Chicks!$F:$F,A132))</f>
        <v/>
      </c>
      <c r="M132" s="6" t="str">
        <f>IF(A132="","",SUMIFS(Chicks!$P:$P,Chicks!$F:$F,A132))</f>
        <v/>
      </c>
      <c r="N132" s="6" t="str">
        <f t="shared" si="0"/>
        <v/>
      </c>
    </row>
    <row r="133" spans="1:14" ht="14.25" customHeight="1" x14ac:dyDescent="0.3">
      <c r="A133" s="4"/>
      <c r="B133" s="4"/>
      <c r="C133" s="4"/>
      <c r="D133" s="4"/>
      <c r="E133" s="4"/>
      <c r="F133" s="6" t="str">
        <f>IF(A133="","",COUNTIF(Chicks!$F:$F,A133))</f>
        <v/>
      </c>
      <c r="G133" s="6" t="str">
        <f>IF(A133="","",COUNTIFS(Chicks!$F:$F,A133,Chicks!$I:$I,"Yes"))</f>
        <v/>
      </c>
      <c r="H133" s="6" t="str">
        <f>IF(A133="","",SUMIFS(Chicks!$J:$J,Chicks!$F:$F,A133))</f>
        <v/>
      </c>
      <c r="I133" s="6" t="str">
        <f>IF(A133="","",COUNTIFS(Chicks!$F:$F,A133,Chicks!$I:$I,"No"))</f>
        <v/>
      </c>
      <c r="J133" s="6" t="str">
        <f>IF(A133="","",IFERROR(AVERAGEIF(Chicks!$F:$F,A133,Chicks!$M:$M),""))</f>
        <v/>
      </c>
      <c r="K133" s="6" t="str">
        <f>IF(A133="","",SUMIFS(Chicks!$N:$N,Chicks!$F:$F,A133))</f>
        <v/>
      </c>
      <c r="L133" s="6" t="str">
        <f>IF(A133="","",SUMIFS(Chicks!$O:$O,Chicks!$F:$F,A133))</f>
        <v/>
      </c>
      <c r="M133" s="6" t="str">
        <f>IF(A133="","",SUMIFS(Chicks!$P:$P,Chicks!$F:$F,A133))</f>
        <v/>
      </c>
      <c r="N133" s="6" t="str">
        <f t="shared" si="0"/>
        <v/>
      </c>
    </row>
    <row r="134" spans="1:14" ht="14.25" customHeight="1" x14ac:dyDescent="0.3">
      <c r="A134" s="4"/>
      <c r="B134" s="4"/>
      <c r="C134" s="4"/>
      <c r="D134" s="4"/>
      <c r="E134" s="4"/>
      <c r="F134" s="6" t="str">
        <f>IF(A134="","",COUNTIF(Chicks!$F:$F,A134))</f>
        <v/>
      </c>
      <c r="G134" s="6" t="str">
        <f>IF(A134="","",COUNTIFS(Chicks!$F:$F,A134,Chicks!$I:$I,"Yes"))</f>
        <v/>
      </c>
      <c r="H134" s="6" t="str">
        <f>IF(A134="","",SUMIFS(Chicks!$J:$J,Chicks!$F:$F,A134))</f>
        <v/>
      </c>
      <c r="I134" s="6" t="str">
        <f>IF(A134="","",COUNTIFS(Chicks!$F:$F,A134,Chicks!$I:$I,"No"))</f>
        <v/>
      </c>
      <c r="J134" s="6" t="str">
        <f>IF(A134="","",IFERROR(AVERAGEIF(Chicks!$F:$F,A134,Chicks!$M:$M),""))</f>
        <v/>
      </c>
      <c r="K134" s="6" t="str">
        <f>IF(A134="","",SUMIFS(Chicks!$N:$N,Chicks!$F:$F,A134))</f>
        <v/>
      </c>
      <c r="L134" s="6" t="str">
        <f>IF(A134="","",SUMIFS(Chicks!$O:$O,Chicks!$F:$F,A134))</f>
        <v/>
      </c>
      <c r="M134" s="6" t="str">
        <f>IF(A134="","",SUMIFS(Chicks!$P:$P,Chicks!$F:$F,A134))</f>
        <v/>
      </c>
      <c r="N134" s="6" t="str">
        <f t="shared" si="0"/>
        <v/>
      </c>
    </row>
    <row r="135" spans="1:14" ht="14.25" customHeight="1" x14ac:dyDescent="0.3">
      <c r="A135" s="4"/>
      <c r="B135" s="4"/>
      <c r="C135" s="4"/>
      <c r="D135" s="4"/>
      <c r="E135" s="4"/>
      <c r="F135" s="6" t="str">
        <f>IF(A135="","",COUNTIF(Chicks!$F:$F,A135))</f>
        <v/>
      </c>
      <c r="G135" s="6" t="str">
        <f>IF(A135="","",COUNTIFS(Chicks!$F:$F,A135,Chicks!$I:$I,"Yes"))</f>
        <v/>
      </c>
      <c r="H135" s="6" t="str">
        <f>IF(A135="","",SUMIFS(Chicks!$J:$J,Chicks!$F:$F,A135))</f>
        <v/>
      </c>
      <c r="I135" s="6" t="str">
        <f>IF(A135="","",COUNTIFS(Chicks!$F:$F,A135,Chicks!$I:$I,"No"))</f>
        <v/>
      </c>
      <c r="J135" s="6" t="str">
        <f>IF(A135="","",IFERROR(AVERAGEIF(Chicks!$F:$F,A135,Chicks!$M:$M),""))</f>
        <v/>
      </c>
      <c r="K135" s="6" t="str">
        <f>IF(A135="","",SUMIFS(Chicks!$N:$N,Chicks!$F:$F,A135))</f>
        <v/>
      </c>
      <c r="L135" s="6" t="str">
        <f>IF(A135="","",SUMIFS(Chicks!$O:$O,Chicks!$F:$F,A135))</f>
        <v/>
      </c>
      <c r="M135" s="6" t="str">
        <f>IF(A135="","",SUMIFS(Chicks!$P:$P,Chicks!$F:$F,A135))</f>
        <v/>
      </c>
      <c r="N135" s="6" t="str">
        <f t="shared" si="0"/>
        <v/>
      </c>
    </row>
    <row r="136" spans="1:14" ht="14.25" customHeight="1" x14ac:dyDescent="0.3">
      <c r="A136" s="4"/>
      <c r="B136" s="4"/>
      <c r="C136" s="4"/>
      <c r="D136" s="4"/>
      <c r="E136" s="4"/>
      <c r="F136" s="6" t="str">
        <f>IF(A136="","",COUNTIF(Chicks!$F:$F,A136))</f>
        <v/>
      </c>
      <c r="G136" s="6" t="str">
        <f>IF(A136="","",COUNTIFS(Chicks!$F:$F,A136,Chicks!$I:$I,"Yes"))</f>
        <v/>
      </c>
      <c r="H136" s="6" t="str">
        <f>IF(A136="","",SUMIFS(Chicks!$J:$J,Chicks!$F:$F,A136))</f>
        <v/>
      </c>
      <c r="I136" s="6" t="str">
        <f>IF(A136="","",COUNTIFS(Chicks!$F:$F,A136,Chicks!$I:$I,"No"))</f>
        <v/>
      </c>
      <c r="J136" s="6" t="str">
        <f>IF(A136="","",IFERROR(AVERAGEIF(Chicks!$F:$F,A136,Chicks!$M:$M),""))</f>
        <v/>
      </c>
      <c r="K136" s="6" t="str">
        <f>IF(A136="","",SUMIFS(Chicks!$N:$N,Chicks!$F:$F,A136))</f>
        <v/>
      </c>
      <c r="L136" s="6" t="str">
        <f>IF(A136="","",SUMIFS(Chicks!$O:$O,Chicks!$F:$F,A136))</f>
        <v/>
      </c>
      <c r="M136" s="6" t="str">
        <f>IF(A136="","",SUMIFS(Chicks!$P:$P,Chicks!$F:$F,A136))</f>
        <v/>
      </c>
      <c r="N136" s="6" t="str">
        <f t="shared" si="0"/>
        <v/>
      </c>
    </row>
    <row r="137" spans="1:14" ht="14.25" customHeight="1" x14ac:dyDescent="0.3">
      <c r="A137" s="4"/>
      <c r="B137" s="4"/>
      <c r="C137" s="4"/>
      <c r="D137" s="4"/>
      <c r="E137" s="4"/>
      <c r="F137" s="6" t="str">
        <f>IF(A137="","",COUNTIF(Chicks!$F:$F,A137))</f>
        <v/>
      </c>
      <c r="G137" s="6" t="str">
        <f>IF(A137="","",COUNTIFS(Chicks!$F:$F,A137,Chicks!$I:$I,"Yes"))</f>
        <v/>
      </c>
      <c r="H137" s="6" t="str">
        <f>IF(A137="","",SUMIFS(Chicks!$J:$J,Chicks!$F:$F,A137))</f>
        <v/>
      </c>
      <c r="I137" s="6" t="str">
        <f>IF(A137="","",COUNTIFS(Chicks!$F:$F,A137,Chicks!$I:$I,"No"))</f>
        <v/>
      </c>
      <c r="J137" s="6" t="str">
        <f>IF(A137="","",IFERROR(AVERAGEIF(Chicks!$F:$F,A137,Chicks!$M:$M),""))</f>
        <v/>
      </c>
      <c r="K137" s="6" t="str">
        <f>IF(A137="","",SUMIFS(Chicks!$N:$N,Chicks!$F:$F,A137))</f>
        <v/>
      </c>
      <c r="L137" s="6" t="str">
        <f>IF(A137="","",SUMIFS(Chicks!$O:$O,Chicks!$F:$F,A137))</f>
        <v/>
      </c>
      <c r="M137" s="6" t="str">
        <f>IF(A137="","",SUMIFS(Chicks!$P:$P,Chicks!$F:$F,A137))</f>
        <v/>
      </c>
      <c r="N137" s="6" t="str">
        <f t="shared" si="0"/>
        <v/>
      </c>
    </row>
    <row r="138" spans="1:14" ht="14.25" customHeight="1" x14ac:dyDescent="0.3">
      <c r="A138" s="4"/>
      <c r="B138" s="4"/>
      <c r="C138" s="4"/>
      <c r="D138" s="4"/>
      <c r="E138" s="4"/>
      <c r="F138" s="6" t="str">
        <f>IF(A138="","",COUNTIF(Chicks!$F:$F,A138))</f>
        <v/>
      </c>
      <c r="G138" s="6" t="str">
        <f>IF(A138="","",COUNTIFS(Chicks!$F:$F,A138,Chicks!$I:$I,"Yes"))</f>
        <v/>
      </c>
      <c r="H138" s="6" t="str">
        <f>IF(A138="","",SUMIFS(Chicks!$J:$J,Chicks!$F:$F,A138))</f>
        <v/>
      </c>
      <c r="I138" s="6" t="str">
        <f>IF(A138="","",COUNTIFS(Chicks!$F:$F,A138,Chicks!$I:$I,"No"))</f>
        <v/>
      </c>
      <c r="J138" s="6" t="str">
        <f>IF(A138="","",IFERROR(AVERAGEIF(Chicks!$F:$F,A138,Chicks!$M:$M),""))</f>
        <v/>
      </c>
      <c r="K138" s="6" t="str">
        <f>IF(A138="","",SUMIFS(Chicks!$N:$N,Chicks!$F:$F,A138))</f>
        <v/>
      </c>
      <c r="L138" s="6" t="str">
        <f>IF(A138="","",SUMIFS(Chicks!$O:$O,Chicks!$F:$F,A138))</f>
        <v/>
      </c>
      <c r="M138" s="6" t="str">
        <f>IF(A138="","",SUMIFS(Chicks!$P:$P,Chicks!$F:$F,A138))</f>
        <v/>
      </c>
      <c r="N138" s="6" t="str">
        <f t="shared" si="0"/>
        <v/>
      </c>
    </row>
    <row r="139" spans="1:14" ht="14.25" customHeight="1" x14ac:dyDescent="0.3">
      <c r="A139" s="4"/>
      <c r="B139" s="4"/>
      <c r="C139" s="4"/>
      <c r="D139" s="4"/>
      <c r="E139" s="4"/>
      <c r="F139" s="6" t="str">
        <f>IF(A139="","",COUNTIF(Chicks!$F:$F,A139))</f>
        <v/>
      </c>
      <c r="G139" s="6" t="str">
        <f>IF(A139="","",COUNTIFS(Chicks!$F:$F,A139,Chicks!$I:$I,"Yes"))</f>
        <v/>
      </c>
      <c r="H139" s="6" t="str">
        <f>IF(A139="","",SUMIFS(Chicks!$J:$J,Chicks!$F:$F,A139))</f>
        <v/>
      </c>
      <c r="I139" s="6" t="str">
        <f>IF(A139="","",COUNTIFS(Chicks!$F:$F,A139,Chicks!$I:$I,"No"))</f>
        <v/>
      </c>
      <c r="J139" s="6" t="str">
        <f>IF(A139="","",IFERROR(AVERAGEIF(Chicks!$F:$F,A139,Chicks!$M:$M),""))</f>
        <v/>
      </c>
      <c r="K139" s="6" t="str">
        <f>IF(A139="","",SUMIFS(Chicks!$N:$N,Chicks!$F:$F,A139))</f>
        <v/>
      </c>
      <c r="L139" s="6" t="str">
        <f>IF(A139="","",SUMIFS(Chicks!$O:$O,Chicks!$F:$F,A139))</f>
        <v/>
      </c>
      <c r="M139" s="6" t="str">
        <f>IF(A139="","",SUMIFS(Chicks!$P:$P,Chicks!$F:$F,A139))</f>
        <v/>
      </c>
      <c r="N139" s="6" t="str">
        <f t="shared" si="0"/>
        <v/>
      </c>
    </row>
    <row r="140" spans="1:14" ht="14.25" customHeight="1" x14ac:dyDescent="0.3">
      <c r="A140" s="4"/>
      <c r="B140" s="4"/>
      <c r="C140" s="4"/>
      <c r="D140" s="4"/>
      <c r="E140" s="4"/>
      <c r="F140" s="6" t="str">
        <f>IF(A140="","",COUNTIF(Chicks!$F:$F,A140))</f>
        <v/>
      </c>
      <c r="G140" s="6" t="str">
        <f>IF(A140="","",COUNTIFS(Chicks!$F:$F,A140,Chicks!$I:$I,"Yes"))</f>
        <v/>
      </c>
      <c r="H140" s="6" t="str">
        <f>IF(A140="","",SUMIFS(Chicks!$J:$J,Chicks!$F:$F,A140))</f>
        <v/>
      </c>
      <c r="I140" s="6" t="str">
        <f>IF(A140="","",COUNTIFS(Chicks!$F:$F,A140,Chicks!$I:$I,"No"))</f>
        <v/>
      </c>
      <c r="J140" s="6" t="str">
        <f>IF(A140="","",IFERROR(AVERAGEIF(Chicks!$F:$F,A140,Chicks!$M:$M),""))</f>
        <v/>
      </c>
      <c r="K140" s="6" t="str">
        <f>IF(A140="","",SUMIFS(Chicks!$N:$N,Chicks!$F:$F,A140))</f>
        <v/>
      </c>
      <c r="L140" s="6" t="str">
        <f>IF(A140="","",SUMIFS(Chicks!$O:$O,Chicks!$F:$F,A140))</f>
        <v/>
      </c>
      <c r="M140" s="6" t="str">
        <f>IF(A140="","",SUMIFS(Chicks!$P:$P,Chicks!$F:$F,A140))</f>
        <v/>
      </c>
      <c r="N140" s="6" t="str">
        <f t="shared" si="0"/>
        <v/>
      </c>
    </row>
    <row r="141" spans="1:14" ht="14.25" customHeight="1" x14ac:dyDescent="0.3">
      <c r="A141" s="4"/>
      <c r="B141" s="4"/>
      <c r="C141" s="4"/>
      <c r="D141" s="4"/>
      <c r="E141" s="4"/>
      <c r="F141" s="6" t="str">
        <f>IF(A141="","",COUNTIF(Chicks!$F:$F,A141))</f>
        <v/>
      </c>
      <c r="G141" s="6" t="str">
        <f>IF(A141="","",COUNTIFS(Chicks!$F:$F,A141,Chicks!$I:$I,"Yes"))</f>
        <v/>
      </c>
      <c r="H141" s="6" t="str">
        <f>IF(A141="","",SUMIFS(Chicks!$J:$J,Chicks!$F:$F,A141))</f>
        <v/>
      </c>
      <c r="I141" s="6" t="str">
        <f>IF(A141="","",COUNTIFS(Chicks!$F:$F,A141,Chicks!$I:$I,"No"))</f>
        <v/>
      </c>
      <c r="J141" s="6" t="str">
        <f>IF(A141="","",IFERROR(AVERAGEIF(Chicks!$F:$F,A141,Chicks!$M:$M),""))</f>
        <v/>
      </c>
      <c r="K141" s="6" t="str">
        <f>IF(A141="","",SUMIFS(Chicks!$N:$N,Chicks!$F:$F,A141))</f>
        <v/>
      </c>
      <c r="L141" s="6" t="str">
        <f>IF(A141="","",SUMIFS(Chicks!$O:$O,Chicks!$F:$F,A141))</f>
        <v/>
      </c>
      <c r="M141" s="6" t="str">
        <f>IF(A141="","",SUMIFS(Chicks!$P:$P,Chicks!$F:$F,A141))</f>
        <v/>
      </c>
      <c r="N141" s="6" t="str">
        <f t="shared" si="0"/>
        <v/>
      </c>
    </row>
    <row r="142" spans="1:14" ht="14.25" customHeight="1" x14ac:dyDescent="0.3">
      <c r="A142" s="4"/>
      <c r="B142" s="4"/>
      <c r="C142" s="4"/>
      <c r="D142" s="4"/>
      <c r="E142" s="4"/>
      <c r="F142" s="6" t="str">
        <f>IF(A142="","",COUNTIF(Chicks!$F:$F,A142))</f>
        <v/>
      </c>
      <c r="G142" s="6" t="str">
        <f>IF(A142="","",COUNTIFS(Chicks!$F:$F,A142,Chicks!$I:$I,"Yes"))</f>
        <v/>
      </c>
      <c r="H142" s="6" t="str">
        <f>IF(A142="","",SUMIFS(Chicks!$J:$J,Chicks!$F:$F,A142))</f>
        <v/>
      </c>
      <c r="I142" s="6" t="str">
        <f>IF(A142="","",COUNTIFS(Chicks!$F:$F,A142,Chicks!$I:$I,"No"))</f>
        <v/>
      </c>
      <c r="J142" s="6" t="str">
        <f>IF(A142="","",IFERROR(AVERAGEIF(Chicks!$F:$F,A142,Chicks!$M:$M),""))</f>
        <v/>
      </c>
      <c r="K142" s="6" t="str">
        <f>IF(A142="","",SUMIFS(Chicks!$N:$N,Chicks!$F:$F,A142))</f>
        <v/>
      </c>
      <c r="L142" s="6" t="str">
        <f>IF(A142="","",SUMIFS(Chicks!$O:$O,Chicks!$F:$F,A142))</f>
        <v/>
      </c>
      <c r="M142" s="6" t="str">
        <f>IF(A142="","",SUMIFS(Chicks!$P:$P,Chicks!$F:$F,A142))</f>
        <v/>
      </c>
      <c r="N142" s="6" t="str">
        <f t="shared" si="0"/>
        <v/>
      </c>
    </row>
    <row r="143" spans="1:14" ht="14.25" customHeight="1" x14ac:dyDescent="0.3">
      <c r="A143" s="4"/>
      <c r="B143" s="4"/>
      <c r="C143" s="4"/>
      <c r="D143" s="4"/>
      <c r="E143" s="4"/>
      <c r="F143" s="6" t="str">
        <f>IF(A143="","",COUNTIF(Chicks!$F:$F,A143))</f>
        <v/>
      </c>
      <c r="G143" s="6" t="str">
        <f>IF(A143="","",COUNTIFS(Chicks!$F:$F,A143,Chicks!$I:$I,"Yes"))</f>
        <v/>
      </c>
      <c r="H143" s="6" t="str">
        <f>IF(A143="","",SUMIFS(Chicks!$J:$J,Chicks!$F:$F,A143))</f>
        <v/>
      </c>
      <c r="I143" s="6" t="str">
        <f>IF(A143="","",COUNTIFS(Chicks!$F:$F,A143,Chicks!$I:$I,"No"))</f>
        <v/>
      </c>
      <c r="J143" s="6" t="str">
        <f>IF(A143="","",IFERROR(AVERAGEIF(Chicks!$F:$F,A143,Chicks!$M:$M),""))</f>
        <v/>
      </c>
      <c r="K143" s="6" t="str">
        <f>IF(A143="","",SUMIFS(Chicks!$N:$N,Chicks!$F:$F,A143))</f>
        <v/>
      </c>
      <c r="L143" s="6" t="str">
        <f>IF(A143="","",SUMIFS(Chicks!$O:$O,Chicks!$F:$F,A143))</f>
        <v/>
      </c>
      <c r="M143" s="6" t="str">
        <f>IF(A143="","",SUMIFS(Chicks!$P:$P,Chicks!$F:$F,A143))</f>
        <v/>
      </c>
      <c r="N143" s="6" t="str">
        <f t="shared" si="0"/>
        <v/>
      </c>
    </row>
    <row r="144" spans="1:14" ht="14.25" customHeight="1" x14ac:dyDescent="0.3">
      <c r="A144" s="4"/>
      <c r="B144" s="4"/>
      <c r="C144" s="4"/>
      <c r="D144" s="4"/>
      <c r="E144" s="4"/>
      <c r="F144" s="6" t="str">
        <f>IF(A144="","",COUNTIF(Chicks!$F:$F,A144))</f>
        <v/>
      </c>
      <c r="G144" s="6" t="str">
        <f>IF(A144="","",COUNTIFS(Chicks!$F:$F,A144,Chicks!$I:$I,"Yes"))</f>
        <v/>
      </c>
      <c r="H144" s="6" t="str">
        <f>IF(A144="","",SUMIFS(Chicks!$J:$J,Chicks!$F:$F,A144))</f>
        <v/>
      </c>
      <c r="I144" s="6" t="str">
        <f>IF(A144="","",COUNTIFS(Chicks!$F:$F,A144,Chicks!$I:$I,"No"))</f>
        <v/>
      </c>
      <c r="J144" s="6" t="str">
        <f>IF(A144="","",IFERROR(AVERAGEIF(Chicks!$F:$F,A144,Chicks!$M:$M),""))</f>
        <v/>
      </c>
      <c r="K144" s="6" t="str">
        <f>IF(A144="","",SUMIFS(Chicks!$N:$N,Chicks!$F:$F,A144))</f>
        <v/>
      </c>
      <c r="L144" s="6" t="str">
        <f>IF(A144="","",SUMIFS(Chicks!$O:$O,Chicks!$F:$F,A144))</f>
        <v/>
      </c>
      <c r="M144" s="6" t="str">
        <f>IF(A144="","",SUMIFS(Chicks!$P:$P,Chicks!$F:$F,A144))</f>
        <v/>
      </c>
      <c r="N144" s="6" t="str">
        <f t="shared" si="0"/>
        <v/>
      </c>
    </row>
    <row r="145" spans="1:14" ht="14.25" customHeight="1" x14ac:dyDescent="0.3">
      <c r="A145" s="4"/>
      <c r="B145" s="4"/>
      <c r="C145" s="4"/>
      <c r="D145" s="4"/>
      <c r="E145" s="4"/>
      <c r="F145" s="6" t="str">
        <f>IF(A145="","",COUNTIF(Chicks!$F:$F,A145))</f>
        <v/>
      </c>
      <c r="G145" s="6" t="str">
        <f>IF(A145="","",COUNTIFS(Chicks!$F:$F,A145,Chicks!$I:$I,"Yes"))</f>
        <v/>
      </c>
      <c r="H145" s="6" t="str">
        <f>IF(A145="","",SUMIFS(Chicks!$J:$J,Chicks!$F:$F,A145))</f>
        <v/>
      </c>
      <c r="I145" s="6" t="str">
        <f>IF(A145="","",COUNTIFS(Chicks!$F:$F,A145,Chicks!$I:$I,"No"))</f>
        <v/>
      </c>
      <c r="J145" s="6" t="str">
        <f>IF(A145="","",IFERROR(AVERAGEIF(Chicks!$F:$F,A145,Chicks!$M:$M),""))</f>
        <v/>
      </c>
      <c r="K145" s="6" t="str">
        <f>IF(A145="","",SUMIFS(Chicks!$N:$N,Chicks!$F:$F,A145))</f>
        <v/>
      </c>
      <c r="L145" s="6" t="str">
        <f>IF(A145="","",SUMIFS(Chicks!$O:$O,Chicks!$F:$F,A145))</f>
        <v/>
      </c>
      <c r="M145" s="6" t="str">
        <f>IF(A145="","",SUMIFS(Chicks!$P:$P,Chicks!$F:$F,A145))</f>
        <v/>
      </c>
      <c r="N145" s="6" t="str">
        <f t="shared" si="0"/>
        <v/>
      </c>
    </row>
    <row r="146" spans="1:14" ht="14.25" customHeight="1" x14ac:dyDescent="0.3">
      <c r="A146" s="4"/>
      <c r="B146" s="4"/>
      <c r="C146" s="4"/>
      <c r="D146" s="4"/>
      <c r="E146" s="4"/>
      <c r="F146" s="6" t="str">
        <f>IF(A146="","",COUNTIF(Chicks!$F:$F,A146))</f>
        <v/>
      </c>
      <c r="G146" s="6" t="str">
        <f>IF(A146="","",COUNTIFS(Chicks!$F:$F,A146,Chicks!$I:$I,"Yes"))</f>
        <v/>
      </c>
      <c r="H146" s="6" t="str">
        <f>IF(A146="","",SUMIFS(Chicks!$J:$J,Chicks!$F:$F,A146))</f>
        <v/>
      </c>
      <c r="I146" s="6" t="str">
        <f>IF(A146="","",COUNTIFS(Chicks!$F:$F,A146,Chicks!$I:$I,"No"))</f>
        <v/>
      </c>
      <c r="J146" s="6" t="str">
        <f>IF(A146="","",IFERROR(AVERAGEIF(Chicks!$F:$F,A146,Chicks!$M:$M),""))</f>
        <v/>
      </c>
      <c r="K146" s="6" t="str">
        <f>IF(A146="","",SUMIFS(Chicks!$N:$N,Chicks!$F:$F,A146))</f>
        <v/>
      </c>
      <c r="L146" s="6" t="str">
        <f>IF(A146="","",SUMIFS(Chicks!$O:$O,Chicks!$F:$F,A146))</f>
        <v/>
      </c>
      <c r="M146" s="6" t="str">
        <f>IF(A146="","",SUMIFS(Chicks!$P:$P,Chicks!$F:$F,A146))</f>
        <v/>
      </c>
      <c r="N146" s="6" t="str">
        <f t="shared" si="0"/>
        <v/>
      </c>
    </row>
    <row r="147" spans="1:14" ht="14.25" customHeight="1" x14ac:dyDescent="0.3">
      <c r="A147" s="4"/>
      <c r="B147" s="4"/>
      <c r="C147" s="4"/>
      <c r="D147" s="4"/>
      <c r="E147" s="4"/>
      <c r="F147" s="6" t="str">
        <f>IF(A147="","",COUNTIF(Chicks!$F:$F,A147))</f>
        <v/>
      </c>
      <c r="G147" s="6" t="str">
        <f>IF(A147="","",COUNTIFS(Chicks!$F:$F,A147,Chicks!$I:$I,"Yes"))</f>
        <v/>
      </c>
      <c r="H147" s="6" t="str">
        <f>IF(A147="","",SUMIFS(Chicks!$J:$J,Chicks!$F:$F,A147))</f>
        <v/>
      </c>
      <c r="I147" s="6" t="str">
        <f>IF(A147="","",COUNTIFS(Chicks!$F:$F,A147,Chicks!$I:$I,"No"))</f>
        <v/>
      </c>
      <c r="J147" s="6" t="str">
        <f>IF(A147="","",IFERROR(AVERAGEIF(Chicks!$F:$F,A147,Chicks!$M:$M),""))</f>
        <v/>
      </c>
      <c r="K147" s="6" t="str">
        <f>IF(A147="","",SUMIFS(Chicks!$N:$N,Chicks!$F:$F,A147))</f>
        <v/>
      </c>
      <c r="L147" s="6" t="str">
        <f>IF(A147="","",SUMIFS(Chicks!$O:$O,Chicks!$F:$F,A147))</f>
        <v/>
      </c>
      <c r="M147" s="6" t="str">
        <f>IF(A147="","",SUMIFS(Chicks!$P:$P,Chicks!$F:$F,A147))</f>
        <v/>
      </c>
      <c r="N147" s="6" t="str">
        <f t="shared" si="0"/>
        <v/>
      </c>
    </row>
    <row r="148" spans="1:14" ht="14.25" customHeight="1" x14ac:dyDescent="0.3">
      <c r="A148" s="4"/>
      <c r="B148" s="4"/>
      <c r="C148" s="4"/>
      <c r="D148" s="4"/>
      <c r="E148" s="4"/>
      <c r="F148" s="6" t="str">
        <f>IF(A148="","",COUNTIF(Chicks!$F:$F,A148))</f>
        <v/>
      </c>
      <c r="G148" s="6" t="str">
        <f>IF(A148="","",COUNTIFS(Chicks!$F:$F,A148,Chicks!$I:$I,"Yes"))</f>
        <v/>
      </c>
      <c r="H148" s="6" t="str">
        <f>IF(A148="","",SUMIFS(Chicks!$J:$J,Chicks!$F:$F,A148))</f>
        <v/>
      </c>
      <c r="I148" s="6" t="str">
        <f>IF(A148="","",COUNTIFS(Chicks!$F:$F,A148,Chicks!$I:$I,"No"))</f>
        <v/>
      </c>
      <c r="J148" s="6" t="str">
        <f>IF(A148="","",IFERROR(AVERAGEIF(Chicks!$F:$F,A148,Chicks!$M:$M),""))</f>
        <v/>
      </c>
      <c r="K148" s="6" t="str">
        <f>IF(A148="","",SUMIFS(Chicks!$N:$N,Chicks!$F:$F,A148))</f>
        <v/>
      </c>
      <c r="L148" s="6" t="str">
        <f>IF(A148="","",SUMIFS(Chicks!$O:$O,Chicks!$F:$F,A148))</f>
        <v/>
      </c>
      <c r="M148" s="6" t="str">
        <f>IF(A148="","",SUMIFS(Chicks!$P:$P,Chicks!$F:$F,A148))</f>
        <v/>
      </c>
      <c r="N148" s="6" t="str">
        <f t="shared" si="0"/>
        <v/>
      </c>
    </row>
    <row r="149" spans="1:14" ht="14.25" customHeight="1" x14ac:dyDescent="0.3">
      <c r="A149" s="4"/>
      <c r="B149" s="4"/>
      <c r="C149" s="4"/>
      <c r="D149" s="4"/>
      <c r="E149" s="4"/>
      <c r="F149" s="6" t="str">
        <f>IF(A149="","",COUNTIF(Chicks!$F:$F,A149))</f>
        <v/>
      </c>
      <c r="G149" s="6" t="str">
        <f>IF(A149="","",COUNTIFS(Chicks!$F:$F,A149,Chicks!$I:$I,"Yes"))</f>
        <v/>
      </c>
      <c r="H149" s="6" t="str">
        <f>IF(A149="","",SUMIFS(Chicks!$J:$J,Chicks!$F:$F,A149))</f>
        <v/>
      </c>
      <c r="I149" s="6" t="str">
        <f>IF(A149="","",COUNTIFS(Chicks!$F:$F,A149,Chicks!$I:$I,"No"))</f>
        <v/>
      </c>
      <c r="J149" s="6" t="str">
        <f>IF(A149="","",IFERROR(AVERAGEIF(Chicks!$F:$F,A149,Chicks!$M:$M),""))</f>
        <v/>
      </c>
      <c r="K149" s="6" t="str">
        <f>IF(A149="","",SUMIFS(Chicks!$N:$N,Chicks!$F:$F,A149))</f>
        <v/>
      </c>
      <c r="L149" s="6" t="str">
        <f>IF(A149="","",SUMIFS(Chicks!$O:$O,Chicks!$F:$F,A149))</f>
        <v/>
      </c>
      <c r="M149" s="6" t="str">
        <f>IF(A149="","",SUMIFS(Chicks!$P:$P,Chicks!$F:$F,A149))</f>
        <v/>
      </c>
      <c r="N149" s="6" t="str">
        <f t="shared" si="0"/>
        <v/>
      </c>
    </row>
    <row r="150" spans="1:14" ht="14.25" customHeight="1" x14ac:dyDescent="0.3">
      <c r="A150" s="4"/>
      <c r="B150" s="4"/>
      <c r="C150" s="4"/>
      <c r="D150" s="4"/>
      <c r="E150" s="4"/>
      <c r="F150" s="6" t="str">
        <f>IF(A150="","",COUNTIF(Chicks!$F:$F,A150))</f>
        <v/>
      </c>
      <c r="G150" s="6" t="str">
        <f>IF(A150="","",COUNTIFS(Chicks!$F:$F,A150,Chicks!$I:$I,"Yes"))</f>
        <v/>
      </c>
      <c r="H150" s="6" t="str">
        <f>IF(A150="","",SUMIFS(Chicks!$J:$J,Chicks!$F:$F,A150))</f>
        <v/>
      </c>
      <c r="I150" s="6" t="str">
        <f>IF(A150="","",COUNTIFS(Chicks!$F:$F,A150,Chicks!$I:$I,"No"))</f>
        <v/>
      </c>
      <c r="J150" s="6" t="str">
        <f>IF(A150="","",IFERROR(AVERAGEIF(Chicks!$F:$F,A150,Chicks!$M:$M),""))</f>
        <v/>
      </c>
      <c r="K150" s="6" t="str">
        <f>IF(A150="","",SUMIFS(Chicks!$N:$N,Chicks!$F:$F,A150))</f>
        <v/>
      </c>
      <c r="L150" s="6" t="str">
        <f>IF(A150="","",SUMIFS(Chicks!$O:$O,Chicks!$F:$F,A150))</f>
        <v/>
      </c>
      <c r="M150" s="6" t="str">
        <f>IF(A150="","",SUMIFS(Chicks!$P:$P,Chicks!$F:$F,A150))</f>
        <v/>
      </c>
      <c r="N150" s="6" t="str">
        <f t="shared" si="0"/>
        <v/>
      </c>
    </row>
    <row r="151" spans="1:14" ht="14.25" customHeight="1" x14ac:dyDescent="0.3">
      <c r="A151" s="4"/>
      <c r="B151" s="4"/>
      <c r="C151" s="4"/>
      <c r="D151" s="4"/>
      <c r="E151" s="4"/>
      <c r="F151" s="6" t="str">
        <f>IF(A151="","",COUNTIF(Chicks!$F:$F,A151))</f>
        <v/>
      </c>
      <c r="G151" s="6" t="str">
        <f>IF(A151="","",COUNTIFS(Chicks!$F:$F,A151,Chicks!$I:$I,"Yes"))</f>
        <v/>
      </c>
      <c r="H151" s="6" t="str">
        <f>IF(A151="","",SUMIFS(Chicks!$J:$J,Chicks!$F:$F,A151))</f>
        <v/>
      </c>
      <c r="I151" s="6" t="str">
        <f>IF(A151="","",COUNTIFS(Chicks!$F:$F,A151,Chicks!$I:$I,"No"))</f>
        <v/>
      </c>
      <c r="J151" s="6" t="str">
        <f>IF(A151="","",IFERROR(AVERAGEIF(Chicks!$F:$F,A151,Chicks!$M:$M),""))</f>
        <v/>
      </c>
      <c r="K151" s="6" t="str">
        <f>IF(A151="","",SUMIFS(Chicks!$N:$N,Chicks!$F:$F,A151))</f>
        <v/>
      </c>
      <c r="L151" s="6" t="str">
        <f>IF(A151="","",SUMIFS(Chicks!$O:$O,Chicks!$F:$F,A151))</f>
        <v/>
      </c>
      <c r="M151" s="6" t="str">
        <f>IF(A151="","",SUMIFS(Chicks!$P:$P,Chicks!$F:$F,A151))</f>
        <v/>
      </c>
      <c r="N151" s="6" t="str">
        <f t="shared" si="0"/>
        <v/>
      </c>
    </row>
    <row r="152" spans="1:14" ht="14.25" customHeight="1" x14ac:dyDescent="0.3">
      <c r="A152" s="4"/>
      <c r="B152" s="4"/>
      <c r="C152" s="4"/>
      <c r="D152" s="4"/>
      <c r="E152" s="4"/>
      <c r="F152" s="6" t="str">
        <f>IF(A152="","",COUNTIF(Chicks!$F:$F,A152))</f>
        <v/>
      </c>
      <c r="G152" s="6" t="str">
        <f>IF(A152="","",COUNTIFS(Chicks!$F:$F,A152,Chicks!$I:$I,"Yes"))</f>
        <v/>
      </c>
      <c r="H152" s="6" t="str">
        <f>IF(A152="","",SUMIFS(Chicks!$J:$J,Chicks!$F:$F,A152))</f>
        <v/>
      </c>
      <c r="I152" s="6" t="str">
        <f>IF(A152="","",COUNTIFS(Chicks!$F:$F,A152,Chicks!$I:$I,"No"))</f>
        <v/>
      </c>
      <c r="J152" s="6" t="str">
        <f>IF(A152="","",IFERROR(AVERAGEIF(Chicks!$F:$F,A152,Chicks!$M:$M),""))</f>
        <v/>
      </c>
      <c r="K152" s="6" t="str">
        <f>IF(A152="","",SUMIFS(Chicks!$N:$N,Chicks!$F:$F,A152))</f>
        <v/>
      </c>
      <c r="L152" s="6" t="str">
        <f>IF(A152="","",SUMIFS(Chicks!$O:$O,Chicks!$F:$F,A152))</f>
        <v/>
      </c>
      <c r="M152" s="6" t="str">
        <f>IF(A152="","",SUMIFS(Chicks!$P:$P,Chicks!$F:$F,A152))</f>
        <v/>
      </c>
      <c r="N152" s="6" t="str">
        <f t="shared" si="0"/>
        <v/>
      </c>
    </row>
    <row r="153" spans="1:14" ht="14.25" customHeight="1" x14ac:dyDescent="0.3">
      <c r="A153" s="4"/>
      <c r="B153" s="4"/>
      <c r="C153" s="4"/>
      <c r="D153" s="4"/>
      <c r="E153" s="4"/>
      <c r="F153" s="6" t="str">
        <f>IF(A153="","",COUNTIF(Chicks!$F:$F,A153))</f>
        <v/>
      </c>
      <c r="G153" s="6" t="str">
        <f>IF(A153="","",COUNTIFS(Chicks!$F:$F,A153,Chicks!$I:$I,"Yes"))</f>
        <v/>
      </c>
      <c r="H153" s="6" t="str">
        <f>IF(A153="","",SUMIFS(Chicks!$J:$J,Chicks!$F:$F,A153))</f>
        <v/>
      </c>
      <c r="I153" s="6" t="str">
        <f>IF(A153="","",COUNTIFS(Chicks!$F:$F,A153,Chicks!$I:$I,"No"))</f>
        <v/>
      </c>
      <c r="J153" s="6" t="str">
        <f>IF(A153="","",IFERROR(AVERAGEIF(Chicks!$F:$F,A153,Chicks!$M:$M),""))</f>
        <v/>
      </c>
      <c r="K153" s="6" t="str">
        <f>IF(A153="","",SUMIFS(Chicks!$N:$N,Chicks!$F:$F,A153))</f>
        <v/>
      </c>
      <c r="L153" s="6" t="str">
        <f>IF(A153="","",SUMIFS(Chicks!$O:$O,Chicks!$F:$F,A153))</f>
        <v/>
      </c>
      <c r="M153" s="6" t="str">
        <f>IF(A153="","",SUMIFS(Chicks!$P:$P,Chicks!$F:$F,A153))</f>
        <v/>
      </c>
      <c r="N153" s="6" t="str">
        <f t="shared" si="0"/>
        <v/>
      </c>
    </row>
    <row r="154" spans="1:14" ht="14.25" customHeight="1" x14ac:dyDescent="0.3">
      <c r="A154" s="4"/>
      <c r="B154" s="4"/>
      <c r="C154" s="4"/>
      <c r="D154" s="4"/>
      <c r="E154" s="4"/>
      <c r="F154" s="6" t="str">
        <f>IF(A154="","",COUNTIF(Chicks!$F:$F,A154))</f>
        <v/>
      </c>
      <c r="G154" s="6" t="str">
        <f>IF(A154="","",COUNTIFS(Chicks!$F:$F,A154,Chicks!$I:$I,"Yes"))</f>
        <v/>
      </c>
      <c r="H154" s="6" t="str">
        <f>IF(A154="","",SUMIFS(Chicks!$J:$J,Chicks!$F:$F,A154))</f>
        <v/>
      </c>
      <c r="I154" s="6" t="str">
        <f>IF(A154="","",COUNTIFS(Chicks!$F:$F,A154,Chicks!$I:$I,"No"))</f>
        <v/>
      </c>
      <c r="J154" s="6" t="str">
        <f>IF(A154="","",IFERROR(AVERAGEIF(Chicks!$F:$F,A154,Chicks!$M:$M),""))</f>
        <v/>
      </c>
      <c r="K154" s="6" t="str">
        <f>IF(A154="","",SUMIFS(Chicks!$N:$N,Chicks!$F:$F,A154))</f>
        <v/>
      </c>
      <c r="L154" s="6" t="str">
        <f>IF(A154="","",SUMIFS(Chicks!$O:$O,Chicks!$F:$F,A154))</f>
        <v/>
      </c>
      <c r="M154" s="6" t="str">
        <f>IF(A154="","",SUMIFS(Chicks!$P:$P,Chicks!$F:$F,A154))</f>
        <v/>
      </c>
      <c r="N154" s="6" t="str">
        <f t="shared" si="0"/>
        <v/>
      </c>
    </row>
    <row r="155" spans="1:14" ht="14.25" customHeight="1" x14ac:dyDescent="0.3">
      <c r="A155" s="4"/>
      <c r="B155" s="4"/>
      <c r="C155" s="4"/>
      <c r="D155" s="4"/>
      <c r="E155" s="4"/>
      <c r="F155" s="6" t="str">
        <f>IF(A155="","",COUNTIF(Chicks!$F:$F,A155))</f>
        <v/>
      </c>
      <c r="G155" s="6" t="str">
        <f>IF(A155="","",COUNTIFS(Chicks!$F:$F,A155,Chicks!$I:$I,"Yes"))</f>
        <v/>
      </c>
      <c r="H155" s="6" t="str">
        <f>IF(A155="","",SUMIFS(Chicks!$J:$J,Chicks!$F:$F,A155))</f>
        <v/>
      </c>
      <c r="I155" s="6" t="str">
        <f>IF(A155="","",COUNTIFS(Chicks!$F:$F,A155,Chicks!$I:$I,"No"))</f>
        <v/>
      </c>
      <c r="J155" s="6" t="str">
        <f>IF(A155="","",IFERROR(AVERAGEIF(Chicks!$F:$F,A155,Chicks!$M:$M),""))</f>
        <v/>
      </c>
      <c r="K155" s="6" t="str">
        <f>IF(A155="","",SUMIFS(Chicks!$N:$N,Chicks!$F:$F,A155))</f>
        <v/>
      </c>
      <c r="L155" s="6" t="str">
        <f>IF(A155="","",SUMIFS(Chicks!$O:$O,Chicks!$F:$F,A155))</f>
        <v/>
      </c>
      <c r="M155" s="6" t="str">
        <f>IF(A155="","",SUMIFS(Chicks!$P:$P,Chicks!$F:$F,A155))</f>
        <v/>
      </c>
      <c r="N155" s="6" t="str">
        <f t="shared" si="0"/>
        <v/>
      </c>
    </row>
    <row r="156" spans="1:14" ht="14.25" customHeight="1" x14ac:dyDescent="0.3">
      <c r="A156" s="4"/>
      <c r="B156" s="4"/>
      <c r="C156" s="4"/>
      <c r="D156" s="4"/>
      <c r="E156" s="4"/>
      <c r="F156" s="6" t="str">
        <f>IF(A156="","",COUNTIF(Chicks!$F:$F,A156))</f>
        <v/>
      </c>
      <c r="G156" s="6" t="str">
        <f>IF(A156="","",COUNTIFS(Chicks!$F:$F,A156,Chicks!$I:$I,"Yes"))</f>
        <v/>
      </c>
      <c r="H156" s="6" t="str">
        <f>IF(A156="","",SUMIFS(Chicks!$J:$J,Chicks!$F:$F,A156))</f>
        <v/>
      </c>
      <c r="I156" s="6" t="str">
        <f>IF(A156="","",COUNTIFS(Chicks!$F:$F,A156,Chicks!$I:$I,"No"))</f>
        <v/>
      </c>
      <c r="J156" s="6" t="str">
        <f>IF(A156="","",IFERROR(AVERAGEIF(Chicks!$F:$F,A156,Chicks!$M:$M),""))</f>
        <v/>
      </c>
      <c r="K156" s="6" t="str">
        <f>IF(A156="","",SUMIFS(Chicks!$N:$N,Chicks!$F:$F,A156))</f>
        <v/>
      </c>
      <c r="L156" s="6" t="str">
        <f>IF(A156="","",SUMIFS(Chicks!$O:$O,Chicks!$F:$F,A156))</f>
        <v/>
      </c>
      <c r="M156" s="6" t="str">
        <f>IF(A156="","",SUMIFS(Chicks!$P:$P,Chicks!$F:$F,A156))</f>
        <v/>
      </c>
      <c r="N156" s="6" t="str">
        <f t="shared" si="0"/>
        <v/>
      </c>
    </row>
    <row r="157" spans="1:14" ht="14.25" customHeight="1" x14ac:dyDescent="0.3">
      <c r="A157" s="4"/>
      <c r="B157" s="4"/>
      <c r="C157" s="4"/>
      <c r="D157" s="4"/>
      <c r="E157" s="4"/>
      <c r="F157" s="6" t="str">
        <f>IF(A157="","",COUNTIF(Chicks!$F:$F,A157))</f>
        <v/>
      </c>
      <c r="G157" s="6" t="str">
        <f>IF(A157="","",COUNTIFS(Chicks!$F:$F,A157,Chicks!$I:$I,"Yes"))</f>
        <v/>
      </c>
      <c r="H157" s="6" t="str">
        <f>IF(A157="","",SUMIFS(Chicks!$J:$J,Chicks!$F:$F,A157))</f>
        <v/>
      </c>
      <c r="I157" s="6" t="str">
        <f>IF(A157="","",COUNTIFS(Chicks!$F:$F,A157,Chicks!$I:$I,"No"))</f>
        <v/>
      </c>
      <c r="J157" s="6" t="str">
        <f>IF(A157="","",IFERROR(AVERAGEIF(Chicks!$F:$F,A157,Chicks!$M:$M),""))</f>
        <v/>
      </c>
      <c r="K157" s="6" t="str">
        <f>IF(A157="","",SUMIFS(Chicks!$N:$N,Chicks!$F:$F,A157))</f>
        <v/>
      </c>
      <c r="L157" s="6" t="str">
        <f>IF(A157="","",SUMIFS(Chicks!$O:$O,Chicks!$F:$F,A157))</f>
        <v/>
      </c>
      <c r="M157" s="6" t="str">
        <f>IF(A157="","",SUMIFS(Chicks!$P:$P,Chicks!$F:$F,A157))</f>
        <v/>
      </c>
      <c r="N157" s="6" t="str">
        <f t="shared" si="0"/>
        <v/>
      </c>
    </row>
    <row r="158" spans="1:14" ht="14.25" customHeight="1" x14ac:dyDescent="0.3">
      <c r="A158" s="4"/>
      <c r="B158" s="4"/>
      <c r="C158" s="4"/>
      <c r="D158" s="4"/>
      <c r="E158" s="4"/>
      <c r="F158" s="6" t="str">
        <f>IF(A158="","",COUNTIF(Chicks!$F:$F,A158))</f>
        <v/>
      </c>
      <c r="G158" s="6" t="str">
        <f>IF(A158="","",COUNTIFS(Chicks!$F:$F,A158,Chicks!$I:$I,"Yes"))</f>
        <v/>
      </c>
      <c r="H158" s="6" t="str">
        <f>IF(A158="","",SUMIFS(Chicks!$J:$J,Chicks!$F:$F,A158))</f>
        <v/>
      </c>
      <c r="I158" s="6" t="str">
        <f>IF(A158="","",COUNTIFS(Chicks!$F:$F,A158,Chicks!$I:$I,"No"))</f>
        <v/>
      </c>
      <c r="J158" s="6" t="str">
        <f>IF(A158="","",IFERROR(AVERAGEIF(Chicks!$F:$F,A158,Chicks!$M:$M),""))</f>
        <v/>
      </c>
      <c r="K158" s="6" t="str">
        <f>IF(A158="","",SUMIFS(Chicks!$N:$N,Chicks!$F:$F,A158))</f>
        <v/>
      </c>
      <c r="L158" s="6" t="str">
        <f>IF(A158="","",SUMIFS(Chicks!$O:$O,Chicks!$F:$F,A158))</f>
        <v/>
      </c>
      <c r="M158" s="6" t="str">
        <f>IF(A158="","",SUMIFS(Chicks!$P:$P,Chicks!$F:$F,A158))</f>
        <v/>
      </c>
      <c r="N158" s="6" t="str">
        <f t="shared" si="0"/>
        <v/>
      </c>
    </row>
    <row r="159" spans="1:14" ht="14.25" customHeight="1" x14ac:dyDescent="0.3">
      <c r="A159" s="4"/>
      <c r="B159" s="4"/>
      <c r="C159" s="4"/>
      <c r="D159" s="4"/>
      <c r="E159" s="4"/>
      <c r="F159" s="6" t="str">
        <f>IF(A159="","",COUNTIF(Chicks!$F:$F,A159))</f>
        <v/>
      </c>
      <c r="G159" s="6" t="str">
        <f>IF(A159="","",COUNTIFS(Chicks!$F:$F,A159,Chicks!$I:$I,"Yes"))</f>
        <v/>
      </c>
      <c r="H159" s="6" t="str">
        <f>IF(A159="","",SUMIFS(Chicks!$J:$J,Chicks!$F:$F,A159))</f>
        <v/>
      </c>
      <c r="I159" s="6" t="str">
        <f>IF(A159="","",COUNTIFS(Chicks!$F:$F,A159,Chicks!$I:$I,"No"))</f>
        <v/>
      </c>
      <c r="J159" s="6" t="str">
        <f>IF(A159="","",IFERROR(AVERAGEIF(Chicks!$F:$F,A159,Chicks!$M:$M),""))</f>
        <v/>
      </c>
      <c r="K159" s="6" t="str">
        <f>IF(A159="","",SUMIFS(Chicks!$N:$N,Chicks!$F:$F,A159))</f>
        <v/>
      </c>
      <c r="L159" s="6" t="str">
        <f>IF(A159="","",SUMIFS(Chicks!$O:$O,Chicks!$F:$F,A159))</f>
        <v/>
      </c>
      <c r="M159" s="6" t="str">
        <f>IF(A159="","",SUMIFS(Chicks!$P:$P,Chicks!$F:$F,A159))</f>
        <v/>
      </c>
      <c r="N159" s="6" t="str">
        <f t="shared" si="0"/>
        <v/>
      </c>
    </row>
    <row r="160" spans="1:14" ht="14.25" customHeight="1" x14ac:dyDescent="0.3">
      <c r="A160" s="4"/>
      <c r="B160" s="4"/>
      <c r="C160" s="4"/>
      <c r="D160" s="4"/>
      <c r="E160" s="4"/>
      <c r="F160" s="6" t="str">
        <f>IF(A160="","",COUNTIF(Chicks!$F:$F,A160))</f>
        <v/>
      </c>
      <c r="G160" s="6" t="str">
        <f>IF(A160="","",COUNTIFS(Chicks!$F:$F,A160,Chicks!$I:$I,"Yes"))</f>
        <v/>
      </c>
      <c r="H160" s="6" t="str">
        <f>IF(A160="","",SUMIFS(Chicks!$J:$J,Chicks!$F:$F,A160))</f>
        <v/>
      </c>
      <c r="I160" s="6" t="str">
        <f>IF(A160="","",COUNTIFS(Chicks!$F:$F,A160,Chicks!$I:$I,"No"))</f>
        <v/>
      </c>
      <c r="J160" s="6" t="str">
        <f>IF(A160="","",IFERROR(AVERAGEIF(Chicks!$F:$F,A160,Chicks!$M:$M),""))</f>
        <v/>
      </c>
      <c r="K160" s="6" t="str">
        <f>IF(A160="","",SUMIFS(Chicks!$N:$N,Chicks!$F:$F,A160))</f>
        <v/>
      </c>
      <c r="L160" s="6" t="str">
        <f>IF(A160="","",SUMIFS(Chicks!$O:$O,Chicks!$F:$F,A160))</f>
        <v/>
      </c>
      <c r="M160" s="6" t="str">
        <f>IF(A160="","",SUMIFS(Chicks!$P:$P,Chicks!$F:$F,A160))</f>
        <v/>
      </c>
      <c r="N160" s="6" t="str">
        <f t="shared" si="0"/>
        <v/>
      </c>
    </row>
    <row r="161" spans="1:14" ht="14.25" customHeight="1" x14ac:dyDescent="0.3">
      <c r="A161" s="4"/>
      <c r="B161" s="4"/>
      <c r="C161" s="4"/>
      <c r="D161" s="4"/>
      <c r="E161" s="4"/>
      <c r="F161" s="6" t="str">
        <f>IF(A161="","",COUNTIF(Chicks!$F:$F,A161))</f>
        <v/>
      </c>
      <c r="G161" s="6" t="str">
        <f>IF(A161="","",COUNTIFS(Chicks!$F:$F,A161,Chicks!$I:$I,"Yes"))</f>
        <v/>
      </c>
      <c r="H161" s="6" t="str">
        <f>IF(A161="","",SUMIFS(Chicks!$J:$J,Chicks!$F:$F,A161))</f>
        <v/>
      </c>
      <c r="I161" s="6" t="str">
        <f>IF(A161="","",COUNTIFS(Chicks!$F:$F,A161,Chicks!$I:$I,"No"))</f>
        <v/>
      </c>
      <c r="J161" s="6" t="str">
        <f>IF(A161="","",IFERROR(AVERAGEIF(Chicks!$F:$F,A161,Chicks!$M:$M),""))</f>
        <v/>
      </c>
      <c r="K161" s="6" t="str">
        <f>IF(A161="","",SUMIFS(Chicks!$N:$N,Chicks!$F:$F,A161))</f>
        <v/>
      </c>
      <c r="L161" s="6" t="str">
        <f>IF(A161="","",SUMIFS(Chicks!$O:$O,Chicks!$F:$F,A161))</f>
        <v/>
      </c>
      <c r="M161" s="6" t="str">
        <f>IF(A161="","",SUMIFS(Chicks!$P:$P,Chicks!$F:$F,A161))</f>
        <v/>
      </c>
      <c r="N161" s="6" t="str">
        <f t="shared" si="0"/>
        <v/>
      </c>
    </row>
    <row r="162" spans="1:14" ht="14.25" customHeight="1" x14ac:dyDescent="0.3">
      <c r="A162" s="4"/>
      <c r="B162" s="4"/>
      <c r="C162" s="4"/>
      <c r="D162" s="4"/>
      <c r="E162" s="4"/>
      <c r="F162" s="6" t="str">
        <f>IF(A162="","",COUNTIF(Chicks!$F:$F,A162))</f>
        <v/>
      </c>
      <c r="G162" s="6" t="str">
        <f>IF(A162="","",COUNTIFS(Chicks!$F:$F,A162,Chicks!$I:$I,"Yes"))</f>
        <v/>
      </c>
      <c r="H162" s="6" t="str">
        <f>IF(A162="","",SUMIFS(Chicks!$J:$J,Chicks!$F:$F,A162))</f>
        <v/>
      </c>
      <c r="I162" s="6" t="str">
        <f>IF(A162="","",COUNTIFS(Chicks!$F:$F,A162,Chicks!$I:$I,"No"))</f>
        <v/>
      </c>
      <c r="J162" s="6" t="str">
        <f>IF(A162="","",IFERROR(AVERAGEIF(Chicks!$F:$F,A162,Chicks!$M:$M),""))</f>
        <v/>
      </c>
      <c r="K162" s="6" t="str">
        <f>IF(A162="","",SUMIFS(Chicks!$N:$N,Chicks!$F:$F,A162))</f>
        <v/>
      </c>
      <c r="L162" s="6" t="str">
        <f>IF(A162="","",SUMIFS(Chicks!$O:$O,Chicks!$F:$F,A162))</f>
        <v/>
      </c>
      <c r="M162" s="6" t="str">
        <f>IF(A162="","",SUMIFS(Chicks!$P:$P,Chicks!$F:$F,A162))</f>
        <v/>
      </c>
      <c r="N162" s="6" t="str">
        <f t="shared" si="0"/>
        <v/>
      </c>
    </row>
    <row r="163" spans="1:14" ht="14.25" customHeight="1" x14ac:dyDescent="0.3">
      <c r="A163" s="4"/>
      <c r="B163" s="4"/>
      <c r="C163" s="4"/>
      <c r="D163" s="4"/>
      <c r="E163" s="4"/>
      <c r="F163" s="6" t="str">
        <f>IF(A163="","",COUNTIF(Chicks!$F:$F,A163))</f>
        <v/>
      </c>
      <c r="G163" s="6" t="str">
        <f>IF(A163="","",COUNTIFS(Chicks!$F:$F,A163,Chicks!$I:$I,"Yes"))</f>
        <v/>
      </c>
      <c r="H163" s="6" t="str">
        <f>IF(A163="","",SUMIFS(Chicks!$J:$J,Chicks!$F:$F,A163))</f>
        <v/>
      </c>
      <c r="I163" s="6" t="str">
        <f>IF(A163="","",COUNTIFS(Chicks!$F:$F,A163,Chicks!$I:$I,"No"))</f>
        <v/>
      </c>
      <c r="J163" s="6" t="str">
        <f>IF(A163="","",IFERROR(AVERAGEIF(Chicks!$F:$F,A163,Chicks!$M:$M),""))</f>
        <v/>
      </c>
      <c r="K163" s="6" t="str">
        <f>IF(A163="","",SUMIFS(Chicks!$N:$N,Chicks!$F:$F,A163))</f>
        <v/>
      </c>
      <c r="L163" s="6" t="str">
        <f>IF(A163="","",SUMIFS(Chicks!$O:$O,Chicks!$F:$F,A163))</f>
        <v/>
      </c>
      <c r="M163" s="6" t="str">
        <f>IF(A163="","",SUMIFS(Chicks!$P:$P,Chicks!$F:$F,A163))</f>
        <v/>
      </c>
      <c r="N163" s="6" t="str">
        <f t="shared" si="0"/>
        <v/>
      </c>
    </row>
    <row r="164" spans="1:14" ht="14.25" customHeight="1" x14ac:dyDescent="0.3">
      <c r="A164" s="4"/>
      <c r="B164" s="4"/>
      <c r="C164" s="4"/>
      <c r="D164" s="4"/>
      <c r="E164" s="4"/>
      <c r="F164" s="6" t="str">
        <f>IF(A164="","",COUNTIF(Chicks!$F:$F,A164))</f>
        <v/>
      </c>
      <c r="G164" s="6" t="str">
        <f>IF(A164="","",COUNTIFS(Chicks!$F:$F,A164,Chicks!$I:$I,"Yes"))</f>
        <v/>
      </c>
      <c r="H164" s="6" t="str">
        <f>IF(A164="","",SUMIFS(Chicks!$J:$J,Chicks!$F:$F,A164))</f>
        <v/>
      </c>
      <c r="I164" s="6" t="str">
        <f>IF(A164="","",COUNTIFS(Chicks!$F:$F,A164,Chicks!$I:$I,"No"))</f>
        <v/>
      </c>
      <c r="J164" s="6" t="str">
        <f>IF(A164="","",IFERROR(AVERAGEIF(Chicks!$F:$F,A164,Chicks!$M:$M),""))</f>
        <v/>
      </c>
      <c r="K164" s="6" t="str">
        <f>IF(A164="","",SUMIFS(Chicks!$N:$N,Chicks!$F:$F,A164))</f>
        <v/>
      </c>
      <c r="L164" s="6" t="str">
        <f>IF(A164="","",SUMIFS(Chicks!$O:$O,Chicks!$F:$F,A164))</f>
        <v/>
      </c>
      <c r="M164" s="6" t="str">
        <f>IF(A164="","",SUMIFS(Chicks!$P:$P,Chicks!$F:$F,A164))</f>
        <v/>
      </c>
      <c r="N164" s="6" t="str">
        <f t="shared" si="0"/>
        <v/>
      </c>
    </row>
    <row r="165" spans="1:14" ht="14.25" customHeight="1" x14ac:dyDescent="0.3">
      <c r="A165" s="4"/>
      <c r="B165" s="4"/>
      <c r="C165" s="4"/>
      <c r="D165" s="4"/>
      <c r="E165" s="4"/>
      <c r="F165" s="6" t="str">
        <f>IF(A165="","",COUNTIF(Chicks!$F:$F,A165))</f>
        <v/>
      </c>
      <c r="G165" s="6" t="str">
        <f>IF(A165="","",COUNTIFS(Chicks!$F:$F,A165,Chicks!$I:$I,"Yes"))</f>
        <v/>
      </c>
      <c r="H165" s="6" t="str">
        <f>IF(A165="","",SUMIFS(Chicks!$J:$J,Chicks!$F:$F,A165))</f>
        <v/>
      </c>
      <c r="I165" s="6" t="str">
        <f>IF(A165="","",COUNTIFS(Chicks!$F:$F,A165,Chicks!$I:$I,"No"))</f>
        <v/>
      </c>
      <c r="J165" s="6" t="str">
        <f>IF(A165="","",IFERROR(AVERAGEIF(Chicks!$F:$F,A165,Chicks!$M:$M),""))</f>
        <v/>
      </c>
      <c r="K165" s="6" t="str">
        <f>IF(A165="","",SUMIFS(Chicks!$N:$N,Chicks!$F:$F,A165))</f>
        <v/>
      </c>
      <c r="L165" s="6" t="str">
        <f>IF(A165="","",SUMIFS(Chicks!$O:$O,Chicks!$F:$F,A165))</f>
        <v/>
      </c>
      <c r="M165" s="6" t="str">
        <f>IF(A165="","",SUMIFS(Chicks!$P:$P,Chicks!$F:$F,A165))</f>
        <v/>
      </c>
      <c r="N165" s="6" t="str">
        <f t="shared" si="0"/>
        <v/>
      </c>
    </row>
    <row r="166" spans="1:14" ht="14.25" customHeight="1" x14ac:dyDescent="0.3">
      <c r="A166" s="4"/>
      <c r="B166" s="4"/>
      <c r="C166" s="4"/>
      <c r="D166" s="4"/>
      <c r="E166" s="4"/>
      <c r="F166" s="6" t="str">
        <f>IF(A166="","",COUNTIF(Chicks!$F:$F,A166))</f>
        <v/>
      </c>
      <c r="G166" s="6" t="str">
        <f>IF(A166="","",COUNTIFS(Chicks!$F:$F,A166,Chicks!$I:$I,"Yes"))</f>
        <v/>
      </c>
      <c r="H166" s="6" t="str">
        <f>IF(A166="","",SUMIFS(Chicks!$J:$J,Chicks!$F:$F,A166))</f>
        <v/>
      </c>
      <c r="I166" s="6" t="str">
        <f>IF(A166="","",COUNTIFS(Chicks!$F:$F,A166,Chicks!$I:$I,"No"))</f>
        <v/>
      </c>
      <c r="J166" s="6" t="str">
        <f>IF(A166="","",IFERROR(AVERAGEIF(Chicks!$F:$F,A166,Chicks!$M:$M),""))</f>
        <v/>
      </c>
      <c r="K166" s="6" t="str">
        <f>IF(A166="","",SUMIFS(Chicks!$N:$N,Chicks!$F:$F,A166))</f>
        <v/>
      </c>
      <c r="L166" s="6" t="str">
        <f>IF(A166="","",SUMIFS(Chicks!$O:$O,Chicks!$F:$F,A166))</f>
        <v/>
      </c>
      <c r="M166" s="6" t="str">
        <f>IF(A166="","",SUMIFS(Chicks!$P:$P,Chicks!$F:$F,A166))</f>
        <v/>
      </c>
      <c r="N166" s="6" t="str">
        <f t="shared" si="0"/>
        <v/>
      </c>
    </row>
    <row r="167" spans="1:14" ht="14.25" customHeight="1" x14ac:dyDescent="0.3">
      <c r="A167" s="4"/>
      <c r="B167" s="4"/>
      <c r="C167" s="4"/>
      <c r="D167" s="4"/>
      <c r="E167" s="4"/>
      <c r="F167" s="6" t="str">
        <f>IF(A167="","",COUNTIF(Chicks!$F:$F,A167))</f>
        <v/>
      </c>
      <c r="G167" s="6" t="str">
        <f>IF(A167="","",COUNTIFS(Chicks!$F:$F,A167,Chicks!$I:$I,"Yes"))</f>
        <v/>
      </c>
      <c r="H167" s="6" t="str">
        <f>IF(A167="","",SUMIFS(Chicks!$J:$J,Chicks!$F:$F,A167))</f>
        <v/>
      </c>
      <c r="I167" s="6" t="str">
        <f>IF(A167="","",COUNTIFS(Chicks!$F:$F,A167,Chicks!$I:$I,"No"))</f>
        <v/>
      </c>
      <c r="J167" s="6" t="str">
        <f>IF(A167="","",IFERROR(AVERAGEIF(Chicks!$F:$F,A167,Chicks!$M:$M),""))</f>
        <v/>
      </c>
      <c r="K167" s="6" t="str">
        <f>IF(A167="","",SUMIFS(Chicks!$N:$N,Chicks!$F:$F,A167))</f>
        <v/>
      </c>
      <c r="L167" s="6" t="str">
        <f>IF(A167="","",SUMIFS(Chicks!$O:$O,Chicks!$F:$F,A167))</f>
        <v/>
      </c>
      <c r="M167" s="6" t="str">
        <f>IF(A167="","",SUMIFS(Chicks!$P:$P,Chicks!$F:$F,A167))</f>
        <v/>
      </c>
      <c r="N167" s="6" t="str">
        <f t="shared" si="0"/>
        <v/>
      </c>
    </row>
    <row r="168" spans="1:14" ht="14.25" customHeight="1" x14ac:dyDescent="0.3">
      <c r="A168" s="4"/>
      <c r="B168" s="4"/>
      <c r="C168" s="4"/>
      <c r="D168" s="4"/>
      <c r="E168" s="4"/>
      <c r="F168" s="6" t="str">
        <f>IF(A168="","",COUNTIF(Chicks!$F:$F,A168))</f>
        <v/>
      </c>
      <c r="G168" s="6" t="str">
        <f>IF(A168="","",COUNTIFS(Chicks!$F:$F,A168,Chicks!$I:$I,"Yes"))</f>
        <v/>
      </c>
      <c r="H168" s="6" t="str">
        <f>IF(A168="","",SUMIFS(Chicks!$J:$J,Chicks!$F:$F,A168))</f>
        <v/>
      </c>
      <c r="I168" s="6" t="str">
        <f>IF(A168="","",COUNTIFS(Chicks!$F:$F,A168,Chicks!$I:$I,"No"))</f>
        <v/>
      </c>
      <c r="J168" s="6" t="str">
        <f>IF(A168="","",IFERROR(AVERAGEIF(Chicks!$F:$F,A168,Chicks!$M:$M),""))</f>
        <v/>
      </c>
      <c r="K168" s="6" t="str">
        <f>IF(A168="","",SUMIFS(Chicks!$N:$N,Chicks!$F:$F,A168))</f>
        <v/>
      </c>
      <c r="L168" s="6" t="str">
        <f>IF(A168="","",SUMIFS(Chicks!$O:$O,Chicks!$F:$F,A168))</f>
        <v/>
      </c>
      <c r="M168" s="6" t="str">
        <f>IF(A168="","",SUMIFS(Chicks!$P:$P,Chicks!$F:$F,A168))</f>
        <v/>
      </c>
      <c r="N168" s="6" t="str">
        <f t="shared" si="0"/>
        <v/>
      </c>
    </row>
    <row r="169" spans="1:14" ht="14.25" customHeight="1" x14ac:dyDescent="0.3">
      <c r="A169" s="4"/>
      <c r="B169" s="4"/>
      <c r="C169" s="4"/>
      <c r="D169" s="4"/>
      <c r="E169" s="4"/>
      <c r="F169" s="6" t="str">
        <f>IF(A169="","",COUNTIF(Chicks!$F:$F,A169))</f>
        <v/>
      </c>
      <c r="G169" s="6" t="str">
        <f>IF(A169="","",COUNTIFS(Chicks!$F:$F,A169,Chicks!$I:$I,"Yes"))</f>
        <v/>
      </c>
      <c r="H169" s="6" t="str">
        <f>IF(A169="","",SUMIFS(Chicks!$J:$J,Chicks!$F:$F,A169))</f>
        <v/>
      </c>
      <c r="I169" s="6" t="str">
        <f>IF(A169="","",COUNTIFS(Chicks!$F:$F,A169,Chicks!$I:$I,"No"))</f>
        <v/>
      </c>
      <c r="J169" s="6" t="str">
        <f>IF(A169="","",IFERROR(AVERAGEIF(Chicks!$F:$F,A169,Chicks!$M:$M),""))</f>
        <v/>
      </c>
      <c r="K169" s="6" t="str">
        <f>IF(A169="","",SUMIFS(Chicks!$N:$N,Chicks!$F:$F,A169))</f>
        <v/>
      </c>
      <c r="L169" s="6" t="str">
        <f>IF(A169="","",SUMIFS(Chicks!$O:$O,Chicks!$F:$F,A169))</f>
        <v/>
      </c>
      <c r="M169" s="6" t="str">
        <f>IF(A169="","",SUMIFS(Chicks!$P:$P,Chicks!$F:$F,A169))</f>
        <v/>
      </c>
      <c r="N169" s="6" t="str">
        <f t="shared" si="0"/>
        <v/>
      </c>
    </row>
    <row r="170" spans="1:14" ht="14.25" customHeight="1" x14ac:dyDescent="0.3">
      <c r="A170" s="4"/>
      <c r="B170" s="4"/>
      <c r="C170" s="4"/>
      <c r="D170" s="4"/>
      <c r="E170" s="4"/>
      <c r="F170" s="6" t="str">
        <f>IF(A170="","",COUNTIF(Chicks!$F:$F,A170))</f>
        <v/>
      </c>
      <c r="G170" s="6" t="str">
        <f>IF(A170="","",COUNTIFS(Chicks!$F:$F,A170,Chicks!$I:$I,"Yes"))</f>
        <v/>
      </c>
      <c r="H170" s="6" t="str">
        <f>IF(A170="","",SUMIFS(Chicks!$J:$J,Chicks!$F:$F,A170))</f>
        <v/>
      </c>
      <c r="I170" s="6" t="str">
        <f>IF(A170="","",COUNTIFS(Chicks!$F:$F,A170,Chicks!$I:$I,"No"))</f>
        <v/>
      </c>
      <c r="J170" s="6" t="str">
        <f>IF(A170="","",IFERROR(AVERAGEIF(Chicks!$F:$F,A170,Chicks!$M:$M),""))</f>
        <v/>
      </c>
      <c r="K170" s="6" t="str">
        <f>IF(A170="","",SUMIFS(Chicks!$N:$N,Chicks!$F:$F,A170))</f>
        <v/>
      </c>
      <c r="L170" s="6" t="str">
        <f>IF(A170="","",SUMIFS(Chicks!$O:$O,Chicks!$F:$F,A170))</f>
        <v/>
      </c>
      <c r="M170" s="6" t="str">
        <f>IF(A170="","",SUMIFS(Chicks!$P:$P,Chicks!$F:$F,A170))</f>
        <v/>
      </c>
      <c r="N170" s="6" t="str">
        <f t="shared" si="0"/>
        <v/>
      </c>
    </row>
    <row r="171" spans="1:14" ht="14.25" customHeight="1" x14ac:dyDescent="0.3">
      <c r="A171" s="4"/>
      <c r="B171" s="4"/>
      <c r="C171" s="4"/>
      <c r="D171" s="4"/>
      <c r="E171" s="4"/>
      <c r="F171" s="6" t="str">
        <f>IF(A171="","",COUNTIF(Chicks!$F:$F,A171))</f>
        <v/>
      </c>
      <c r="G171" s="6" t="str">
        <f>IF(A171="","",COUNTIFS(Chicks!$F:$F,A171,Chicks!$I:$I,"Yes"))</f>
        <v/>
      </c>
      <c r="H171" s="6" t="str">
        <f>IF(A171="","",SUMIFS(Chicks!$J:$J,Chicks!$F:$F,A171))</f>
        <v/>
      </c>
      <c r="I171" s="6" t="str">
        <f>IF(A171="","",COUNTIFS(Chicks!$F:$F,A171,Chicks!$I:$I,"No"))</f>
        <v/>
      </c>
      <c r="J171" s="6" t="str">
        <f>IF(A171="","",IFERROR(AVERAGEIF(Chicks!$F:$F,A171,Chicks!$M:$M),""))</f>
        <v/>
      </c>
      <c r="K171" s="6" t="str">
        <f>IF(A171="","",SUMIFS(Chicks!$N:$N,Chicks!$F:$F,A171))</f>
        <v/>
      </c>
      <c r="L171" s="6" t="str">
        <f>IF(A171="","",SUMIFS(Chicks!$O:$O,Chicks!$F:$F,A171))</f>
        <v/>
      </c>
      <c r="M171" s="6" t="str">
        <f>IF(A171="","",SUMIFS(Chicks!$P:$P,Chicks!$F:$F,A171))</f>
        <v/>
      </c>
      <c r="N171" s="6" t="str">
        <f t="shared" si="0"/>
        <v/>
      </c>
    </row>
    <row r="172" spans="1:14" ht="14.25" customHeight="1" x14ac:dyDescent="0.3">
      <c r="A172" s="4"/>
      <c r="B172" s="4"/>
      <c r="C172" s="4"/>
      <c r="D172" s="4"/>
      <c r="E172" s="4"/>
      <c r="F172" s="6" t="str">
        <f>IF(A172="","",COUNTIF(Chicks!$F:$F,A172))</f>
        <v/>
      </c>
      <c r="G172" s="6" t="str">
        <f>IF(A172="","",COUNTIFS(Chicks!$F:$F,A172,Chicks!$I:$I,"Yes"))</f>
        <v/>
      </c>
      <c r="H172" s="6" t="str">
        <f>IF(A172="","",SUMIFS(Chicks!$J:$J,Chicks!$F:$F,A172))</f>
        <v/>
      </c>
      <c r="I172" s="6" t="str">
        <f>IF(A172="","",COUNTIFS(Chicks!$F:$F,A172,Chicks!$I:$I,"No"))</f>
        <v/>
      </c>
      <c r="J172" s="6" t="str">
        <f>IF(A172="","",IFERROR(AVERAGEIF(Chicks!$F:$F,A172,Chicks!$M:$M),""))</f>
        <v/>
      </c>
      <c r="K172" s="6" t="str">
        <f>IF(A172="","",SUMIFS(Chicks!$N:$N,Chicks!$F:$F,A172))</f>
        <v/>
      </c>
      <c r="L172" s="6" t="str">
        <f>IF(A172="","",SUMIFS(Chicks!$O:$O,Chicks!$F:$F,A172))</f>
        <v/>
      </c>
      <c r="M172" s="6" t="str">
        <f>IF(A172="","",SUMIFS(Chicks!$P:$P,Chicks!$F:$F,A172))</f>
        <v/>
      </c>
      <c r="N172" s="6" t="str">
        <f t="shared" si="0"/>
        <v/>
      </c>
    </row>
    <row r="173" spans="1:14" ht="14.25" customHeight="1" x14ac:dyDescent="0.3">
      <c r="A173" s="4"/>
      <c r="B173" s="4"/>
      <c r="C173" s="4"/>
      <c r="D173" s="4"/>
      <c r="E173" s="4"/>
      <c r="F173" s="6" t="str">
        <f>IF(A173="","",COUNTIF(Chicks!$F:$F,A173))</f>
        <v/>
      </c>
      <c r="G173" s="6" t="str">
        <f>IF(A173="","",COUNTIFS(Chicks!$F:$F,A173,Chicks!$I:$I,"Yes"))</f>
        <v/>
      </c>
      <c r="H173" s="6" t="str">
        <f>IF(A173="","",SUMIFS(Chicks!$J:$J,Chicks!$F:$F,A173))</f>
        <v/>
      </c>
      <c r="I173" s="6" t="str">
        <f>IF(A173="","",COUNTIFS(Chicks!$F:$F,A173,Chicks!$I:$I,"No"))</f>
        <v/>
      </c>
      <c r="J173" s="6" t="str">
        <f>IF(A173="","",IFERROR(AVERAGEIF(Chicks!$F:$F,A173,Chicks!$M:$M),""))</f>
        <v/>
      </c>
      <c r="K173" s="6" t="str">
        <f>IF(A173="","",SUMIFS(Chicks!$N:$N,Chicks!$F:$F,A173))</f>
        <v/>
      </c>
      <c r="L173" s="6" t="str">
        <f>IF(A173="","",SUMIFS(Chicks!$O:$O,Chicks!$F:$F,A173))</f>
        <v/>
      </c>
      <c r="M173" s="6" t="str">
        <f>IF(A173="","",SUMIFS(Chicks!$P:$P,Chicks!$F:$F,A173))</f>
        <v/>
      </c>
      <c r="N173" s="6" t="str">
        <f t="shared" si="0"/>
        <v/>
      </c>
    </row>
    <row r="174" spans="1:14" ht="14.25" customHeight="1" x14ac:dyDescent="0.3">
      <c r="A174" s="4"/>
      <c r="B174" s="4"/>
      <c r="C174" s="4"/>
      <c r="D174" s="4"/>
      <c r="E174" s="4"/>
      <c r="F174" s="6" t="str">
        <f>IF(A174="","",COUNTIF(Chicks!$F:$F,A174))</f>
        <v/>
      </c>
      <c r="G174" s="6" t="str">
        <f>IF(A174="","",COUNTIFS(Chicks!$F:$F,A174,Chicks!$I:$I,"Yes"))</f>
        <v/>
      </c>
      <c r="H174" s="6" t="str">
        <f>IF(A174="","",SUMIFS(Chicks!$J:$J,Chicks!$F:$F,A174))</f>
        <v/>
      </c>
      <c r="I174" s="6" t="str">
        <f>IF(A174="","",COUNTIFS(Chicks!$F:$F,A174,Chicks!$I:$I,"No"))</f>
        <v/>
      </c>
      <c r="J174" s="6" t="str">
        <f>IF(A174="","",IFERROR(AVERAGEIF(Chicks!$F:$F,A174,Chicks!$M:$M),""))</f>
        <v/>
      </c>
      <c r="K174" s="6" t="str">
        <f>IF(A174="","",SUMIFS(Chicks!$N:$N,Chicks!$F:$F,A174))</f>
        <v/>
      </c>
      <c r="L174" s="6" t="str">
        <f>IF(A174="","",SUMIFS(Chicks!$O:$O,Chicks!$F:$F,A174))</f>
        <v/>
      </c>
      <c r="M174" s="6" t="str">
        <f>IF(A174="","",SUMIFS(Chicks!$P:$P,Chicks!$F:$F,A174))</f>
        <v/>
      </c>
      <c r="N174" s="6" t="str">
        <f t="shared" si="0"/>
        <v/>
      </c>
    </row>
    <row r="175" spans="1:14" ht="14.25" customHeight="1" x14ac:dyDescent="0.3">
      <c r="A175" s="4"/>
      <c r="B175" s="4"/>
      <c r="C175" s="4"/>
      <c r="D175" s="4"/>
      <c r="E175" s="4"/>
      <c r="F175" s="6" t="str">
        <f>IF(A175="","",COUNTIF(Chicks!$F:$F,A175))</f>
        <v/>
      </c>
      <c r="G175" s="6" t="str">
        <f>IF(A175="","",COUNTIFS(Chicks!$F:$F,A175,Chicks!$I:$I,"Yes"))</f>
        <v/>
      </c>
      <c r="H175" s="6" t="str">
        <f>IF(A175="","",SUMIFS(Chicks!$J:$J,Chicks!$F:$F,A175))</f>
        <v/>
      </c>
      <c r="I175" s="6" t="str">
        <f>IF(A175="","",COUNTIFS(Chicks!$F:$F,A175,Chicks!$I:$I,"No"))</f>
        <v/>
      </c>
      <c r="J175" s="6" t="str">
        <f>IF(A175="","",IFERROR(AVERAGEIF(Chicks!$F:$F,A175,Chicks!$M:$M),""))</f>
        <v/>
      </c>
      <c r="K175" s="6" t="str">
        <f>IF(A175="","",SUMIFS(Chicks!$N:$N,Chicks!$F:$F,A175))</f>
        <v/>
      </c>
      <c r="L175" s="6" t="str">
        <f>IF(A175="","",SUMIFS(Chicks!$O:$O,Chicks!$F:$F,A175))</f>
        <v/>
      </c>
      <c r="M175" s="6" t="str">
        <f>IF(A175="","",SUMIFS(Chicks!$P:$P,Chicks!$F:$F,A175))</f>
        <v/>
      </c>
      <c r="N175" s="6" t="str">
        <f t="shared" si="0"/>
        <v/>
      </c>
    </row>
    <row r="176" spans="1:14" ht="14.25" customHeight="1" x14ac:dyDescent="0.3">
      <c r="A176" s="4"/>
      <c r="B176" s="4"/>
      <c r="C176" s="4"/>
      <c r="D176" s="4"/>
      <c r="E176" s="4"/>
      <c r="F176" s="6" t="str">
        <f>IF(A176="","",COUNTIF(Chicks!$F:$F,A176))</f>
        <v/>
      </c>
      <c r="G176" s="6" t="str">
        <f>IF(A176="","",COUNTIFS(Chicks!$F:$F,A176,Chicks!$I:$I,"Yes"))</f>
        <v/>
      </c>
      <c r="H176" s="6" t="str">
        <f>IF(A176="","",SUMIFS(Chicks!$J:$J,Chicks!$F:$F,A176))</f>
        <v/>
      </c>
      <c r="I176" s="6" t="str">
        <f>IF(A176="","",COUNTIFS(Chicks!$F:$F,A176,Chicks!$I:$I,"No"))</f>
        <v/>
      </c>
      <c r="J176" s="6" t="str">
        <f>IF(A176="","",IFERROR(AVERAGEIF(Chicks!$F:$F,A176,Chicks!$M:$M),""))</f>
        <v/>
      </c>
      <c r="K176" s="6" t="str">
        <f>IF(A176="","",SUMIFS(Chicks!$N:$N,Chicks!$F:$F,A176))</f>
        <v/>
      </c>
      <c r="L176" s="6" t="str">
        <f>IF(A176="","",SUMIFS(Chicks!$O:$O,Chicks!$F:$F,A176))</f>
        <v/>
      </c>
      <c r="M176" s="6" t="str">
        <f>IF(A176="","",SUMIFS(Chicks!$P:$P,Chicks!$F:$F,A176))</f>
        <v/>
      </c>
      <c r="N176" s="6" t="str">
        <f t="shared" si="0"/>
        <v/>
      </c>
    </row>
    <row r="177" spans="1:14" ht="14.25" customHeight="1" x14ac:dyDescent="0.3">
      <c r="A177" s="4"/>
      <c r="B177" s="4"/>
      <c r="C177" s="4"/>
      <c r="D177" s="4"/>
      <c r="E177" s="4"/>
      <c r="F177" s="6" t="str">
        <f>IF(A177="","",COUNTIF(Chicks!$F:$F,A177))</f>
        <v/>
      </c>
      <c r="G177" s="6" t="str">
        <f>IF(A177="","",COUNTIFS(Chicks!$F:$F,A177,Chicks!$I:$I,"Yes"))</f>
        <v/>
      </c>
      <c r="H177" s="6" t="str">
        <f>IF(A177="","",SUMIFS(Chicks!$J:$J,Chicks!$F:$F,A177))</f>
        <v/>
      </c>
      <c r="I177" s="6" t="str">
        <f>IF(A177="","",COUNTIFS(Chicks!$F:$F,A177,Chicks!$I:$I,"No"))</f>
        <v/>
      </c>
      <c r="J177" s="6" t="str">
        <f>IF(A177="","",IFERROR(AVERAGEIF(Chicks!$F:$F,A177,Chicks!$M:$M),""))</f>
        <v/>
      </c>
      <c r="K177" s="6" t="str">
        <f>IF(A177="","",SUMIFS(Chicks!$N:$N,Chicks!$F:$F,A177))</f>
        <v/>
      </c>
      <c r="L177" s="6" t="str">
        <f>IF(A177="","",SUMIFS(Chicks!$O:$O,Chicks!$F:$F,A177))</f>
        <v/>
      </c>
      <c r="M177" s="6" t="str">
        <f>IF(A177="","",SUMIFS(Chicks!$P:$P,Chicks!$F:$F,A177))</f>
        <v/>
      </c>
      <c r="N177" s="6" t="str">
        <f t="shared" si="0"/>
        <v/>
      </c>
    </row>
    <row r="178" spans="1:14" ht="14.25" customHeight="1" x14ac:dyDescent="0.3">
      <c r="A178" s="4"/>
      <c r="B178" s="4"/>
      <c r="C178" s="4"/>
      <c r="D178" s="4"/>
      <c r="E178" s="4"/>
      <c r="F178" s="6" t="str">
        <f>IF(A178="","",COUNTIF(Chicks!$F:$F,A178))</f>
        <v/>
      </c>
      <c r="G178" s="6" t="str">
        <f>IF(A178="","",COUNTIFS(Chicks!$F:$F,A178,Chicks!$I:$I,"Yes"))</f>
        <v/>
      </c>
      <c r="H178" s="6" t="str">
        <f>IF(A178="","",SUMIFS(Chicks!$J:$J,Chicks!$F:$F,A178))</f>
        <v/>
      </c>
      <c r="I178" s="6" t="str">
        <f>IF(A178="","",COUNTIFS(Chicks!$F:$F,A178,Chicks!$I:$I,"No"))</f>
        <v/>
      </c>
      <c r="J178" s="6" t="str">
        <f>IF(A178="","",IFERROR(AVERAGEIF(Chicks!$F:$F,A178,Chicks!$M:$M),""))</f>
        <v/>
      </c>
      <c r="K178" s="6" t="str">
        <f>IF(A178="","",SUMIFS(Chicks!$N:$N,Chicks!$F:$F,A178))</f>
        <v/>
      </c>
      <c r="L178" s="6" t="str">
        <f>IF(A178="","",SUMIFS(Chicks!$O:$O,Chicks!$F:$F,A178))</f>
        <v/>
      </c>
      <c r="M178" s="6" t="str">
        <f>IF(A178="","",SUMIFS(Chicks!$P:$P,Chicks!$F:$F,A178))</f>
        <v/>
      </c>
      <c r="N178" s="6" t="str">
        <f t="shared" si="0"/>
        <v/>
      </c>
    </row>
    <row r="179" spans="1:14" ht="14.25" customHeight="1" x14ac:dyDescent="0.3">
      <c r="A179" s="4"/>
      <c r="B179" s="4"/>
      <c r="C179" s="4"/>
      <c r="D179" s="4"/>
      <c r="E179" s="4"/>
      <c r="F179" s="6" t="str">
        <f>IF(A179="","",COUNTIF(Chicks!$F:$F,A179))</f>
        <v/>
      </c>
      <c r="G179" s="6" t="str">
        <f>IF(A179="","",COUNTIFS(Chicks!$F:$F,A179,Chicks!$I:$I,"Yes"))</f>
        <v/>
      </c>
      <c r="H179" s="6" t="str">
        <f>IF(A179="","",SUMIFS(Chicks!$J:$J,Chicks!$F:$F,A179))</f>
        <v/>
      </c>
      <c r="I179" s="6" t="str">
        <f>IF(A179="","",COUNTIFS(Chicks!$F:$F,A179,Chicks!$I:$I,"No"))</f>
        <v/>
      </c>
      <c r="J179" s="6" t="str">
        <f>IF(A179="","",IFERROR(AVERAGEIF(Chicks!$F:$F,A179,Chicks!$M:$M),""))</f>
        <v/>
      </c>
      <c r="K179" s="6" t="str">
        <f>IF(A179="","",SUMIFS(Chicks!$N:$N,Chicks!$F:$F,A179))</f>
        <v/>
      </c>
      <c r="L179" s="6" t="str">
        <f>IF(A179="","",SUMIFS(Chicks!$O:$O,Chicks!$F:$F,A179))</f>
        <v/>
      </c>
      <c r="M179" s="6" t="str">
        <f>IF(A179="","",SUMIFS(Chicks!$P:$P,Chicks!$F:$F,A179))</f>
        <v/>
      </c>
      <c r="N179" s="6" t="str">
        <f t="shared" si="0"/>
        <v/>
      </c>
    </row>
    <row r="180" spans="1:14" ht="14.25" customHeight="1" x14ac:dyDescent="0.3">
      <c r="A180" s="4"/>
      <c r="B180" s="4"/>
      <c r="C180" s="4"/>
      <c r="D180" s="4"/>
      <c r="E180" s="4"/>
      <c r="F180" s="6" t="str">
        <f>IF(A180="","",COUNTIF(Chicks!$F:$F,A180))</f>
        <v/>
      </c>
      <c r="G180" s="6" t="str">
        <f>IF(A180="","",COUNTIFS(Chicks!$F:$F,A180,Chicks!$I:$I,"Yes"))</f>
        <v/>
      </c>
      <c r="H180" s="6" t="str">
        <f>IF(A180="","",SUMIFS(Chicks!$J:$J,Chicks!$F:$F,A180))</f>
        <v/>
      </c>
      <c r="I180" s="6" t="str">
        <f>IF(A180="","",COUNTIFS(Chicks!$F:$F,A180,Chicks!$I:$I,"No"))</f>
        <v/>
      </c>
      <c r="J180" s="6" t="str">
        <f>IF(A180="","",IFERROR(AVERAGEIF(Chicks!$F:$F,A180,Chicks!$M:$M),""))</f>
        <v/>
      </c>
      <c r="K180" s="6" t="str">
        <f>IF(A180="","",SUMIFS(Chicks!$N:$N,Chicks!$F:$F,A180))</f>
        <v/>
      </c>
      <c r="L180" s="6" t="str">
        <f>IF(A180="","",SUMIFS(Chicks!$O:$O,Chicks!$F:$F,A180))</f>
        <v/>
      </c>
      <c r="M180" s="6" t="str">
        <f>IF(A180="","",SUMIFS(Chicks!$P:$P,Chicks!$F:$F,A180))</f>
        <v/>
      </c>
      <c r="N180" s="6" t="str">
        <f t="shared" si="0"/>
        <v/>
      </c>
    </row>
    <row r="181" spans="1:14" ht="14.25" customHeight="1" x14ac:dyDescent="0.3">
      <c r="A181" s="4"/>
      <c r="B181" s="4"/>
      <c r="C181" s="4"/>
      <c r="D181" s="4"/>
      <c r="E181" s="4"/>
      <c r="F181" s="6" t="str">
        <f>IF(A181="","",COUNTIF(Chicks!$F:$F,A181))</f>
        <v/>
      </c>
      <c r="G181" s="6" t="str">
        <f>IF(A181="","",COUNTIFS(Chicks!$F:$F,A181,Chicks!$I:$I,"Yes"))</f>
        <v/>
      </c>
      <c r="H181" s="6" t="str">
        <f>IF(A181="","",SUMIFS(Chicks!$J:$J,Chicks!$F:$F,A181))</f>
        <v/>
      </c>
      <c r="I181" s="6" t="str">
        <f>IF(A181="","",COUNTIFS(Chicks!$F:$F,A181,Chicks!$I:$I,"No"))</f>
        <v/>
      </c>
      <c r="J181" s="6" t="str">
        <f>IF(A181="","",IFERROR(AVERAGEIF(Chicks!$F:$F,A181,Chicks!$M:$M),""))</f>
        <v/>
      </c>
      <c r="K181" s="6" t="str">
        <f>IF(A181="","",SUMIFS(Chicks!$N:$N,Chicks!$F:$F,A181))</f>
        <v/>
      </c>
      <c r="L181" s="6" t="str">
        <f>IF(A181="","",SUMIFS(Chicks!$O:$O,Chicks!$F:$F,A181))</f>
        <v/>
      </c>
      <c r="M181" s="6" t="str">
        <f>IF(A181="","",SUMIFS(Chicks!$P:$P,Chicks!$F:$F,A181))</f>
        <v/>
      </c>
      <c r="N181" s="6" t="str">
        <f t="shared" si="0"/>
        <v/>
      </c>
    </row>
    <row r="182" spans="1:14" ht="14.25" customHeight="1" x14ac:dyDescent="0.3">
      <c r="A182" s="4"/>
      <c r="B182" s="4"/>
      <c r="C182" s="4"/>
      <c r="D182" s="4"/>
      <c r="E182" s="4"/>
      <c r="F182" s="6" t="str">
        <f>IF(A182="","",COUNTIF(Chicks!$F:$F,A182))</f>
        <v/>
      </c>
      <c r="G182" s="6" t="str">
        <f>IF(A182="","",COUNTIFS(Chicks!$F:$F,A182,Chicks!$I:$I,"Yes"))</f>
        <v/>
      </c>
      <c r="H182" s="6" t="str">
        <f>IF(A182="","",SUMIFS(Chicks!$J:$J,Chicks!$F:$F,A182))</f>
        <v/>
      </c>
      <c r="I182" s="6" t="str">
        <f>IF(A182="","",COUNTIFS(Chicks!$F:$F,A182,Chicks!$I:$I,"No"))</f>
        <v/>
      </c>
      <c r="J182" s="6" t="str">
        <f>IF(A182="","",IFERROR(AVERAGEIF(Chicks!$F:$F,A182,Chicks!$M:$M),""))</f>
        <v/>
      </c>
      <c r="K182" s="6" t="str">
        <f>IF(A182="","",SUMIFS(Chicks!$N:$N,Chicks!$F:$F,A182))</f>
        <v/>
      </c>
      <c r="L182" s="6" t="str">
        <f>IF(A182="","",SUMIFS(Chicks!$O:$O,Chicks!$F:$F,A182))</f>
        <v/>
      </c>
      <c r="M182" s="6" t="str">
        <f>IF(A182="","",SUMIFS(Chicks!$P:$P,Chicks!$F:$F,A182))</f>
        <v/>
      </c>
      <c r="N182" s="6" t="str">
        <f t="shared" si="0"/>
        <v/>
      </c>
    </row>
    <row r="183" spans="1:14" ht="14.25" customHeight="1" x14ac:dyDescent="0.3">
      <c r="A183" s="4"/>
      <c r="B183" s="4"/>
      <c r="C183" s="4"/>
      <c r="D183" s="4"/>
      <c r="E183" s="4"/>
      <c r="F183" s="6" t="str">
        <f>IF(A183="","",COUNTIF(Chicks!$F:$F,A183))</f>
        <v/>
      </c>
      <c r="G183" s="6" t="str">
        <f>IF(A183="","",COUNTIFS(Chicks!$F:$F,A183,Chicks!$I:$I,"Yes"))</f>
        <v/>
      </c>
      <c r="H183" s="6" t="str">
        <f>IF(A183="","",SUMIFS(Chicks!$J:$J,Chicks!$F:$F,A183))</f>
        <v/>
      </c>
      <c r="I183" s="6" t="str">
        <f>IF(A183="","",COUNTIFS(Chicks!$F:$F,A183,Chicks!$I:$I,"No"))</f>
        <v/>
      </c>
      <c r="J183" s="6" t="str">
        <f>IF(A183="","",IFERROR(AVERAGEIF(Chicks!$F:$F,A183,Chicks!$M:$M),""))</f>
        <v/>
      </c>
      <c r="K183" s="6" t="str">
        <f>IF(A183="","",SUMIFS(Chicks!$N:$N,Chicks!$F:$F,A183))</f>
        <v/>
      </c>
      <c r="L183" s="6" t="str">
        <f>IF(A183="","",SUMIFS(Chicks!$O:$O,Chicks!$F:$F,A183))</f>
        <v/>
      </c>
      <c r="M183" s="6" t="str">
        <f>IF(A183="","",SUMIFS(Chicks!$P:$P,Chicks!$F:$F,A183))</f>
        <v/>
      </c>
      <c r="N183" s="6" t="str">
        <f t="shared" si="0"/>
        <v/>
      </c>
    </row>
    <row r="184" spans="1:14" ht="14.25" customHeight="1" x14ac:dyDescent="0.3">
      <c r="A184" s="4"/>
      <c r="B184" s="4"/>
      <c r="C184" s="4"/>
      <c r="D184" s="4"/>
      <c r="E184" s="4"/>
      <c r="F184" s="6" t="str">
        <f>IF(A184="","",COUNTIF(Chicks!$F:$F,A184))</f>
        <v/>
      </c>
      <c r="G184" s="6" t="str">
        <f>IF(A184="","",COUNTIFS(Chicks!$F:$F,A184,Chicks!$I:$I,"Yes"))</f>
        <v/>
      </c>
      <c r="H184" s="6" t="str">
        <f>IF(A184="","",SUMIFS(Chicks!$J:$J,Chicks!$F:$F,A184))</f>
        <v/>
      </c>
      <c r="I184" s="6" t="str">
        <f>IF(A184="","",COUNTIFS(Chicks!$F:$F,A184,Chicks!$I:$I,"No"))</f>
        <v/>
      </c>
      <c r="J184" s="6" t="str">
        <f>IF(A184="","",IFERROR(AVERAGEIF(Chicks!$F:$F,A184,Chicks!$M:$M),""))</f>
        <v/>
      </c>
      <c r="K184" s="6" t="str">
        <f>IF(A184="","",SUMIFS(Chicks!$N:$N,Chicks!$F:$F,A184))</f>
        <v/>
      </c>
      <c r="L184" s="6" t="str">
        <f>IF(A184="","",SUMIFS(Chicks!$O:$O,Chicks!$F:$F,A184))</f>
        <v/>
      </c>
      <c r="M184" s="6" t="str">
        <f>IF(A184="","",SUMIFS(Chicks!$P:$P,Chicks!$F:$F,A184))</f>
        <v/>
      </c>
      <c r="N184" s="6" t="str">
        <f t="shared" si="0"/>
        <v/>
      </c>
    </row>
    <row r="185" spans="1:14" ht="14.25" customHeight="1" x14ac:dyDescent="0.3">
      <c r="A185" s="4"/>
      <c r="B185" s="4"/>
      <c r="C185" s="4"/>
      <c r="D185" s="4"/>
      <c r="E185" s="4"/>
      <c r="F185" s="6" t="str">
        <f>IF(A185="","",COUNTIF(Chicks!$F:$F,A185))</f>
        <v/>
      </c>
      <c r="G185" s="6" t="str">
        <f>IF(A185="","",COUNTIFS(Chicks!$F:$F,A185,Chicks!$I:$I,"Yes"))</f>
        <v/>
      </c>
      <c r="H185" s="6" t="str">
        <f>IF(A185="","",SUMIFS(Chicks!$J:$J,Chicks!$F:$F,A185))</f>
        <v/>
      </c>
      <c r="I185" s="6" t="str">
        <f>IF(A185="","",COUNTIFS(Chicks!$F:$F,A185,Chicks!$I:$I,"No"))</f>
        <v/>
      </c>
      <c r="J185" s="6" t="str">
        <f>IF(A185="","",IFERROR(AVERAGEIF(Chicks!$F:$F,A185,Chicks!$M:$M),""))</f>
        <v/>
      </c>
      <c r="K185" s="6" t="str">
        <f>IF(A185="","",SUMIFS(Chicks!$N:$N,Chicks!$F:$F,A185))</f>
        <v/>
      </c>
      <c r="L185" s="6" t="str">
        <f>IF(A185="","",SUMIFS(Chicks!$O:$O,Chicks!$F:$F,A185))</f>
        <v/>
      </c>
      <c r="M185" s="6" t="str">
        <f>IF(A185="","",SUMIFS(Chicks!$P:$P,Chicks!$F:$F,A185))</f>
        <v/>
      </c>
      <c r="N185" s="6" t="str">
        <f t="shared" si="0"/>
        <v/>
      </c>
    </row>
    <row r="186" spans="1:14" ht="14.25" customHeight="1" x14ac:dyDescent="0.3">
      <c r="A186" s="4"/>
      <c r="B186" s="4"/>
      <c r="C186" s="4"/>
      <c r="D186" s="4"/>
      <c r="E186" s="4"/>
      <c r="F186" s="6" t="str">
        <f>IF(A186="","",COUNTIF(Chicks!$F:$F,A186))</f>
        <v/>
      </c>
      <c r="G186" s="6" t="str">
        <f>IF(A186="","",COUNTIFS(Chicks!$F:$F,A186,Chicks!$I:$I,"Yes"))</f>
        <v/>
      </c>
      <c r="H186" s="6" t="str">
        <f>IF(A186="","",SUMIFS(Chicks!$J:$J,Chicks!$F:$F,A186))</f>
        <v/>
      </c>
      <c r="I186" s="6" t="str">
        <f>IF(A186="","",COUNTIFS(Chicks!$F:$F,A186,Chicks!$I:$I,"No"))</f>
        <v/>
      </c>
      <c r="J186" s="6" t="str">
        <f>IF(A186="","",IFERROR(AVERAGEIF(Chicks!$F:$F,A186,Chicks!$M:$M),""))</f>
        <v/>
      </c>
      <c r="K186" s="6" t="str">
        <f>IF(A186="","",SUMIFS(Chicks!$N:$N,Chicks!$F:$F,A186))</f>
        <v/>
      </c>
      <c r="L186" s="6" t="str">
        <f>IF(A186="","",SUMIFS(Chicks!$O:$O,Chicks!$F:$F,A186))</f>
        <v/>
      </c>
      <c r="M186" s="6" t="str">
        <f>IF(A186="","",SUMIFS(Chicks!$P:$P,Chicks!$F:$F,A186))</f>
        <v/>
      </c>
      <c r="N186" s="6" t="str">
        <f t="shared" si="0"/>
        <v/>
      </c>
    </row>
    <row r="187" spans="1:14" ht="14.25" customHeight="1" x14ac:dyDescent="0.3">
      <c r="A187" s="4"/>
      <c r="B187" s="4"/>
      <c r="C187" s="4"/>
      <c r="D187" s="4"/>
      <c r="E187" s="4"/>
      <c r="F187" s="6" t="str">
        <f>IF(A187="","",COUNTIF(Chicks!$F:$F,A187))</f>
        <v/>
      </c>
      <c r="G187" s="6" t="str">
        <f>IF(A187="","",COUNTIFS(Chicks!$F:$F,A187,Chicks!$I:$I,"Yes"))</f>
        <v/>
      </c>
      <c r="H187" s="6" t="str">
        <f>IF(A187="","",SUMIFS(Chicks!$J:$J,Chicks!$F:$F,A187))</f>
        <v/>
      </c>
      <c r="I187" s="6" t="str">
        <f>IF(A187="","",COUNTIFS(Chicks!$F:$F,A187,Chicks!$I:$I,"No"))</f>
        <v/>
      </c>
      <c r="J187" s="6" t="str">
        <f>IF(A187="","",IFERROR(AVERAGEIF(Chicks!$F:$F,A187,Chicks!$M:$M),""))</f>
        <v/>
      </c>
      <c r="K187" s="6" t="str">
        <f>IF(A187="","",SUMIFS(Chicks!$N:$N,Chicks!$F:$F,A187))</f>
        <v/>
      </c>
      <c r="L187" s="6" t="str">
        <f>IF(A187="","",SUMIFS(Chicks!$O:$O,Chicks!$F:$F,A187))</f>
        <v/>
      </c>
      <c r="M187" s="6" t="str">
        <f>IF(A187="","",SUMIFS(Chicks!$P:$P,Chicks!$F:$F,A187))</f>
        <v/>
      </c>
      <c r="N187" s="6" t="str">
        <f t="shared" si="0"/>
        <v/>
      </c>
    </row>
    <row r="188" spans="1:14" ht="14.25" customHeight="1" x14ac:dyDescent="0.3">
      <c r="A188" s="4"/>
      <c r="B188" s="4"/>
      <c r="C188" s="4"/>
      <c r="D188" s="4"/>
      <c r="E188" s="4"/>
      <c r="F188" s="6" t="str">
        <f>IF(A188="","",COUNTIF(Chicks!$F:$F,A188))</f>
        <v/>
      </c>
      <c r="G188" s="6" t="str">
        <f>IF(A188="","",COUNTIFS(Chicks!$F:$F,A188,Chicks!$I:$I,"Yes"))</f>
        <v/>
      </c>
      <c r="H188" s="6" t="str">
        <f>IF(A188="","",SUMIFS(Chicks!$J:$J,Chicks!$F:$F,A188))</f>
        <v/>
      </c>
      <c r="I188" s="6" t="str">
        <f>IF(A188="","",COUNTIFS(Chicks!$F:$F,A188,Chicks!$I:$I,"No"))</f>
        <v/>
      </c>
      <c r="J188" s="6" t="str">
        <f>IF(A188="","",IFERROR(AVERAGEIF(Chicks!$F:$F,A188,Chicks!$M:$M),""))</f>
        <v/>
      </c>
      <c r="K188" s="6" t="str">
        <f>IF(A188="","",SUMIFS(Chicks!$N:$N,Chicks!$F:$F,A188))</f>
        <v/>
      </c>
      <c r="L188" s="6" t="str">
        <f>IF(A188="","",SUMIFS(Chicks!$O:$O,Chicks!$F:$F,A188))</f>
        <v/>
      </c>
      <c r="M188" s="6" t="str">
        <f>IF(A188="","",SUMIFS(Chicks!$P:$P,Chicks!$F:$F,A188))</f>
        <v/>
      </c>
      <c r="N188" s="6" t="str">
        <f t="shared" si="0"/>
        <v/>
      </c>
    </row>
    <row r="189" spans="1:14" ht="14.25" customHeight="1" x14ac:dyDescent="0.3">
      <c r="A189" s="4"/>
      <c r="B189" s="4"/>
      <c r="C189" s="4"/>
      <c r="D189" s="4"/>
      <c r="E189" s="4"/>
      <c r="F189" s="6" t="str">
        <f>IF(A189="","",COUNTIF(Chicks!$F:$F,A189))</f>
        <v/>
      </c>
      <c r="G189" s="6" t="str">
        <f>IF(A189="","",COUNTIFS(Chicks!$F:$F,A189,Chicks!$I:$I,"Yes"))</f>
        <v/>
      </c>
      <c r="H189" s="6" t="str">
        <f>IF(A189="","",SUMIFS(Chicks!$J:$J,Chicks!$F:$F,A189))</f>
        <v/>
      </c>
      <c r="I189" s="6" t="str">
        <f>IF(A189="","",COUNTIFS(Chicks!$F:$F,A189,Chicks!$I:$I,"No"))</f>
        <v/>
      </c>
      <c r="J189" s="6" t="str">
        <f>IF(A189="","",IFERROR(AVERAGEIF(Chicks!$F:$F,A189,Chicks!$M:$M),""))</f>
        <v/>
      </c>
      <c r="K189" s="6" t="str">
        <f>IF(A189="","",SUMIFS(Chicks!$N:$N,Chicks!$F:$F,A189))</f>
        <v/>
      </c>
      <c r="L189" s="6" t="str">
        <f>IF(A189="","",SUMIFS(Chicks!$O:$O,Chicks!$F:$F,A189))</f>
        <v/>
      </c>
      <c r="M189" s="6" t="str">
        <f>IF(A189="","",SUMIFS(Chicks!$P:$P,Chicks!$F:$F,A189))</f>
        <v/>
      </c>
      <c r="N189" s="6" t="str">
        <f t="shared" si="0"/>
        <v/>
      </c>
    </row>
    <row r="190" spans="1:14" ht="14.25" customHeight="1" x14ac:dyDescent="0.3">
      <c r="A190" s="4"/>
      <c r="B190" s="4"/>
      <c r="C190" s="4"/>
      <c r="D190" s="4"/>
      <c r="E190" s="4"/>
      <c r="F190" s="6" t="str">
        <f>IF(A190="","",COUNTIF(Chicks!$F:$F,A190))</f>
        <v/>
      </c>
      <c r="G190" s="6" t="str">
        <f>IF(A190="","",COUNTIFS(Chicks!$F:$F,A190,Chicks!$I:$I,"Yes"))</f>
        <v/>
      </c>
      <c r="H190" s="6" t="str">
        <f>IF(A190="","",SUMIFS(Chicks!$J:$J,Chicks!$F:$F,A190))</f>
        <v/>
      </c>
      <c r="I190" s="6" t="str">
        <f>IF(A190="","",COUNTIFS(Chicks!$F:$F,A190,Chicks!$I:$I,"No"))</f>
        <v/>
      </c>
      <c r="J190" s="6" t="str">
        <f>IF(A190="","",IFERROR(AVERAGEIF(Chicks!$F:$F,A190,Chicks!$M:$M),""))</f>
        <v/>
      </c>
      <c r="K190" s="6" t="str">
        <f>IF(A190="","",SUMIFS(Chicks!$N:$N,Chicks!$F:$F,A190))</f>
        <v/>
      </c>
      <c r="L190" s="6" t="str">
        <f>IF(A190="","",SUMIFS(Chicks!$O:$O,Chicks!$F:$F,A190))</f>
        <v/>
      </c>
      <c r="M190" s="6" t="str">
        <f>IF(A190="","",SUMIFS(Chicks!$P:$P,Chicks!$F:$F,A190))</f>
        <v/>
      </c>
      <c r="N190" s="6" t="str">
        <f t="shared" si="0"/>
        <v/>
      </c>
    </row>
    <row r="191" spans="1:14" ht="14.25" customHeight="1" x14ac:dyDescent="0.3">
      <c r="A191" s="4"/>
      <c r="B191" s="4"/>
      <c r="C191" s="4"/>
      <c r="D191" s="4"/>
      <c r="E191" s="4"/>
      <c r="F191" s="6" t="str">
        <f>IF(A191="","",COUNTIF(Chicks!$F:$F,A191))</f>
        <v/>
      </c>
      <c r="G191" s="6" t="str">
        <f>IF(A191="","",COUNTIFS(Chicks!$F:$F,A191,Chicks!$I:$I,"Yes"))</f>
        <v/>
      </c>
      <c r="H191" s="6" t="str">
        <f>IF(A191="","",SUMIFS(Chicks!$J:$J,Chicks!$F:$F,A191))</f>
        <v/>
      </c>
      <c r="I191" s="6" t="str">
        <f>IF(A191="","",COUNTIFS(Chicks!$F:$F,A191,Chicks!$I:$I,"No"))</f>
        <v/>
      </c>
      <c r="J191" s="6" t="str">
        <f>IF(A191="","",IFERROR(AVERAGEIF(Chicks!$F:$F,A191,Chicks!$M:$M),""))</f>
        <v/>
      </c>
      <c r="K191" s="6" t="str">
        <f>IF(A191="","",SUMIFS(Chicks!$N:$N,Chicks!$F:$F,A191))</f>
        <v/>
      </c>
      <c r="L191" s="6" t="str">
        <f>IF(A191="","",SUMIFS(Chicks!$O:$O,Chicks!$F:$F,A191))</f>
        <v/>
      </c>
      <c r="M191" s="6" t="str">
        <f>IF(A191="","",SUMIFS(Chicks!$P:$P,Chicks!$F:$F,A191))</f>
        <v/>
      </c>
      <c r="N191" s="6" t="str">
        <f t="shared" si="0"/>
        <v/>
      </c>
    </row>
    <row r="192" spans="1:14" ht="14.25" customHeight="1" x14ac:dyDescent="0.3">
      <c r="A192" s="4"/>
      <c r="B192" s="4"/>
      <c r="C192" s="4"/>
      <c r="D192" s="4"/>
      <c r="E192" s="4"/>
      <c r="F192" s="6" t="str">
        <f>IF(A192="","",COUNTIF(Chicks!$F:$F,A192))</f>
        <v/>
      </c>
      <c r="G192" s="6" t="str">
        <f>IF(A192="","",COUNTIFS(Chicks!$F:$F,A192,Chicks!$I:$I,"Yes"))</f>
        <v/>
      </c>
      <c r="H192" s="6" t="str">
        <f>IF(A192="","",SUMIFS(Chicks!$J:$J,Chicks!$F:$F,A192))</f>
        <v/>
      </c>
      <c r="I192" s="6" t="str">
        <f>IF(A192="","",COUNTIFS(Chicks!$F:$F,A192,Chicks!$I:$I,"No"))</f>
        <v/>
      </c>
      <c r="J192" s="6" t="str">
        <f>IF(A192="","",IFERROR(AVERAGEIF(Chicks!$F:$F,A192,Chicks!$M:$M),""))</f>
        <v/>
      </c>
      <c r="K192" s="6" t="str">
        <f>IF(A192="","",SUMIFS(Chicks!$N:$N,Chicks!$F:$F,A192))</f>
        <v/>
      </c>
      <c r="L192" s="6" t="str">
        <f>IF(A192="","",SUMIFS(Chicks!$O:$O,Chicks!$F:$F,A192))</f>
        <v/>
      </c>
      <c r="M192" s="6" t="str">
        <f>IF(A192="","",SUMIFS(Chicks!$P:$P,Chicks!$F:$F,A192))</f>
        <v/>
      </c>
      <c r="N192" s="6" t="str">
        <f t="shared" si="0"/>
        <v/>
      </c>
    </row>
    <row r="193" spans="1:14" ht="14.25" customHeight="1" x14ac:dyDescent="0.3">
      <c r="A193" s="4"/>
      <c r="B193" s="4"/>
      <c r="C193" s="4"/>
      <c r="D193" s="4"/>
      <c r="E193" s="4"/>
      <c r="F193" s="6" t="str">
        <f>IF(A193="","",COUNTIF(Chicks!$F:$F,A193))</f>
        <v/>
      </c>
      <c r="G193" s="6" t="str">
        <f>IF(A193="","",COUNTIFS(Chicks!$F:$F,A193,Chicks!$I:$I,"Yes"))</f>
        <v/>
      </c>
      <c r="H193" s="6" t="str">
        <f>IF(A193="","",SUMIFS(Chicks!$J:$J,Chicks!$F:$F,A193))</f>
        <v/>
      </c>
      <c r="I193" s="6" t="str">
        <f>IF(A193="","",COUNTIFS(Chicks!$F:$F,A193,Chicks!$I:$I,"No"))</f>
        <v/>
      </c>
      <c r="J193" s="6" t="str">
        <f>IF(A193="","",IFERROR(AVERAGEIF(Chicks!$F:$F,A193,Chicks!$M:$M),""))</f>
        <v/>
      </c>
      <c r="K193" s="6" t="str">
        <f>IF(A193="","",SUMIFS(Chicks!$N:$N,Chicks!$F:$F,A193))</f>
        <v/>
      </c>
      <c r="L193" s="6" t="str">
        <f>IF(A193="","",SUMIFS(Chicks!$O:$O,Chicks!$F:$F,A193))</f>
        <v/>
      </c>
      <c r="M193" s="6" t="str">
        <f>IF(A193="","",SUMIFS(Chicks!$P:$P,Chicks!$F:$F,A193))</f>
        <v/>
      </c>
      <c r="N193" s="6" t="str">
        <f t="shared" si="0"/>
        <v/>
      </c>
    </row>
    <row r="194" spans="1:14" ht="14.25" customHeight="1" x14ac:dyDescent="0.3">
      <c r="A194" s="4"/>
      <c r="B194" s="4"/>
      <c r="C194" s="4"/>
      <c r="D194" s="4"/>
      <c r="E194" s="4"/>
      <c r="F194" s="6" t="str">
        <f>IF(A194="","",COUNTIF(Chicks!$F:$F,A194))</f>
        <v/>
      </c>
      <c r="G194" s="6" t="str">
        <f>IF(A194="","",COUNTIFS(Chicks!$F:$F,A194,Chicks!$I:$I,"Yes"))</f>
        <v/>
      </c>
      <c r="H194" s="6" t="str">
        <f>IF(A194="","",SUMIFS(Chicks!$J:$J,Chicks!$F:$F,A194))</f>
        <v/>
      </c>
      <c r="I194" s="6" t="str">
        <f>IF(A194="","",COUNTIFS(Chicks!$F:$F,A194,Chicks!$I:$I,"No"))</f>
        <v/>
      </c>
      <c r="J194" s="6" t="str">
        <f>IF(A194="","",IFERROR(AVERAGEIF(Chicks!$F:$F,A194,Chicks!$M:$M),""))</f>
        <v/>
      </c>
      <c r="K194" s="6" t="str">
        <f>IF(A194="","",SUMIFS(Chicks!$N:$N,Chicks!$F:$F,A194))</f>
        <v/>
      </c>
      <c r="L194" s="6" t="str">
        <f>IF(A194="","",SUMIFS(Chicks!$O:$O,Chicks!$F:$F,A194))</f>
        <v/>
      </c>
      <c r="M194" s="6" t="str">
        <f>IF(A194="","",SUMIFS(Chicks!$P:$P,Chicks!$F:$F,A194))</f>
        <v/>
      </c>
      <c r="N194" s="6" t="str">
        <f t="shared" si="0"/>
        <v/>
      </c>
    </row>
    <row r="195" spans="1:14" ht="14.25" customHeight="1" x14ac:dyDescent="0.3">
      <c r="A195" s="4"/>
      <c r="B195" s="4"/>
      <c r="C195" s="4"/>
      <c r="D195" s="4"/>
      <c r="E195" s="4"/>
      <c r="F195" s="6" t="str">
        <f>IF(A195="","",COUNTIF(Chicks!$F:$F,A195))</f>
        <v/>
      </c>
      <c r="G195" s="6" t="str">
        <f>IF(A195="","",COUNTIFS(Chicks!$F:$F,A195,Chicks!$I:$I,"Yes"))</f>
        <v/>
      </c>
      <c r="H195" s="6" t="str">
        <f>IF(A195="","",SUMIFS(Chicks!$J:$J,Chicks!$F:$F,A195))</f>
        <v/>
      </c>
      <c r="I195" s="6" t="str">
        <f>IF(A195="","",COUNTIFS(Chicks!$F:$F,A195,Chicks!$I:$I,"No"))</f>
        <v/>
      </c>
      <c r="J195" s="6" t="str">
        <f>IF(A195="","",IFERROR(AVERAGEIF(Chicks!$F:$F,A195,Chicks!$M:$M),""))</f>
        <v/>
      </c>
      <c r="K195" s="6" t="str">
        <f>IF(A195="","",SUMIFS(Chicks!$N:$N,Chicks!$F:$F,A195))</f>
        <v/>
      </c>
      <c r="L195" s="6" t="str">
        <f>IF(A195="","",SUMIFS(Chicks!$O:$O,Chicks!$F:$F,A195))</f>
        <v/>
      </c>
      <c r="M195" s="6" t="str">
        <f>IF(A195="","",SUMIFS(Chicks!$P:$P,Chicks!$F:$F,A195))</f>
        <v/>
      </c>
      <c r="N195" s="6" t="str">
        <f t="shared" si="0"/>
        <v/>
      </c>
    </row>
    <row r="196" spans="1:14" ht="14.25" customHeight="1" x14ac:dyDescent="0.3">
      <c r="A196" s="4"/>
      <c r="B196" s="4"/>
      <c r="C196" s="4"/>
      <c r="D196" s="4"/>
      <c r="E196" s="4"/>
      <c r="F196" s="6" t="str">
        <f>IF(A196="","",COUNTIF(Chicks!$F:$F,A196))</f>
        <v/>
      </c>
      <c r="G196" s="6" t="str">
        <f>IF(A196="","",COUNTIFS(Chicks!$F:$F,A196,Chicks!$I:$I,"Yes"))</f>
        <v/>
      </c>
      <c r="H196" s="6" t="str">
        <f>IF(A196="","",SUMIFS(Chicks!$J:$J,Chicks!$F:$F,A196))</f>
        <v/>
      </c>
      <c r="I196" s="6" t="str">
        <f>IF(A196="","",COUNTIFS(Chicks!$F:$F,A196,Chicks!$I:$I,"No"))</f>
        <v/>
      </c>
      <c r="J196" s="6" t="str">
        <f>IF(A196="","",IFERROR(AVERAGEIF(Chicks!$F:$F,A196,Chicks!$M:$M),""))</f>
        <v/>
      </c>
      <c r="K196" s="6" t="str">
        <f>IF(A196="","",SUMIFS(Chicks!$N:$N,Chicks!$F:$F,A196))</f>
        <v/>
      </c>
      <c r="L196" s="6" t="str">
        <f>IF(A196="","",SUMIFS(Chicks!$O:$O,Chicks!$F:$F,A196))</f>
        <v/>
      </c>
      <c r="M196" s="6" t="str">
        <f>IF(A196="","",SUMIFS(Chicks!$P:$P,Chicks!$F:$F,A196))</f>
        <v/>
      </c>
      <c r="N196" s="6" t="str">
        <f t="shared" si="0"/>
        <v/>
      </c>
    </row>
    <row r="197" spans="1:14" ht="14.25" customHeight="1" x14ac:dyDescent="0.3">
      <c r="A197" s="4"/>
      <c r="B197" s="4"/>
      <c r="C197" s="4"/>
      <c r="D197" s="4"/>
      <c r="E197" s="4"/>
      <c r="F197" s="6" t="str">
        <f>IF(A197="","",COUNTIF(Chicks!$F:$F,A197))</f>
        <v/>
      </c>
      <c r="G197" s="6" t="str">
        <f>IF(A197="","",COUNTIFS(Chicks!$F:$F,A197,Chicks!$I:$I,"Yes"))</f>
        <v/>
      </c>
      <c r="H197" s="6" t="str">
        <f>IF(A197="","",SUMIFS(Chicks!$J:$J,Chicks!$F:$F,A197))</f>
        <v/>
      </c>
      <c r="I197" s="6" t="str">
        <f>IF(A197="","",COUNTIFS(Chicks!$F:$F,A197,Chicks!$I:$I,"No"))</f>
        <v/>
      </c>
      <c r="J197" s="6" t="str">
        <f>IF(A197="","",IFERROR(AVERAGEIF(Chicks!$F:$F,A197,Chicks!$M:$M),""))</f>
        <v/>
      </c>
      <c r="K197" s="6" t="str">
        <f>IF(A197="","",SUMIFS(Chicks!$N:$N,Chicks!$F:$F,A197))</f>
        <v/>
      </c>
      <c r="L197" s="6" t="str">
        <f>IF(A197="","",SUMIFS(Chicks!$O:$O,Chicks!$F:$F,A197))</f>
        <v/>
      </c>
      <c r="M197" s="6" t="str">
        <f>IF(A197="","",SUMIFS(Chicks!$P:$P,Chicks!$F:$F,A197))</f>
        <v/>
      </c>
      <c r="N197" s="6" t="str">
        <f t="shared" si="0"/>
        <v/>
      </c>
    </row>
    <row r="198" spans="1:14" ht="14.25" customHeight="1" x14ac:dyDescent="0.3">
      <c r="A198" s="4"/>
      <c r="B198" s="4"/>
      <c r="C198" s="4"/>
      <c r="D198" s="4"/>
      <c r="E198" s="4"/>
      <c r="F198" s="6" t="str">
        <f>IF(A198="","",COUNTIF(Chicks!$F:$F,A198))</f>
        <v/>
      </c>
      <c r="G198" s="6" t="str">
        <f>IF(A198="","",COUNTIFS(Chicks!$F:$F,A198,Chicks!$I:$I,"Yes"))</f>
        <v/>
      </c>
      <c r="H198" s="6" t="str">
        <f>IF(A198="","",SUMIFS(Chicks!$J:$J,Chicks!$F:$F,A198))</f>
        <v/>
      </c>
      <c r="I198" s="6" t="str">
        <f>IF(A198="","",COUNTIFS(Chicks!$F:$F,A198,Chicks!$I:$I,"No"))</f>
        <v/>
      </c>
      <c r="J198" s="6" t="str">
        <f>IF(A198="","",IFERROR(AVERAGEIF(Chicks!$F:$F,A198,Chicks!$M:$M),""))</f>
        <v/>
      </c>
      <c r="K198" s="6" t="str">
        <f>IF(A198="","",SUMIFS(Chicks!$N:$N,Chicks!$F:$F,A198))</f>
        <v/>
      </c>
      <c r="L198" s="6" t="str">
        <f>IF(A198="","",SUMIFS(Chicks!$O:$O,Chicks!$F:$F,A198))</f>
        <v/>
      </c>
      <c r="M198" s="6" t="str">
        <f>IF(A198="","",SUMIFS(Chicks!$P:$P,Chicks!$F:$F,A198))</f>
        <v/>
      </c>
      <c r="N198" s="6" t="str">
        <f t="shared" si="0"/>
        <v/>
      </c>
    </row>
    <row r="199" spans="1:14" ht="14.25" customHeight="1" x14ac:dyDescent="0.3">
      <c r="A199" s="4"/>
      <c r="B199" s="4"/>
      <c r="C199" s="4"/>
      <c r="D199" s="4"/>
      <c r="E199" s="4"/>
      <c r="F199" s="6" t="str">
        <f>IF(A199="","",COUNTIF(Chicks!$F:$F,A199))</f>
        <v/>
      </c>
      <c r="G199" s="6" t="str">
        <f>IF(A199="","",COUNTIFS(Chicks!$F:$F,A199,Chicks!$I:$I,"Yes"))</f>
        <v/>
      </c>
      <c r="H199" s="6" t="str">
        <f>IF(A199="","",SUMIFS(Chicks!$J:$J,Chicks!$F:$F,A199))</f>
        <v/>
      </c>
      <c r="I199" s="6" t="str">
        <f>IF(A199="","",COUNTIFS(Chicks!$F:$F,A199,Chicks!$I:$I,"No"))</f>
        <v/>
      </c>
      <c r="J199" s="6" t="str">
        <f>IF(A199="","",IFERROR(AVERAGEIF(Chicks!$F:$F,A199,Chicks!$M:$M),""))</f>
        <v/>
      </c>
      <c r="K199" s="6" t="str">
        <f>IF(A199="","",SUMIFS(Chicks!$N:$N,Chicks!$F:$F,A199))</f>
        <v/>
      </c>
      <c r="L199" s="6" t="str">
        <f>IF(A199="","",SUMIFS(Chicks!$O:$O,Chicks!$F:$F,A199))</f>
        <v/>
      </c>
      <c r="M199" s="6" t="str">
        <f>IF(A199="","",SUMIFS(Chicks!$P:$P,Chicks!$F:$F,A199))</f>
        <v/>
      </c>
      <c r="N199" s="6" t="str">
        <f t="shared" si="0"/>
        <v/>
      </c>
    </row>
    <row r="200" spans="1:14" ht="14.25" customHeight="1" x14ac:dyDescent="0.3">
      <c r="A200" s="4"/>
      <c r="B200" s="4"/>
      <c r="C200" s="4"/>
      <c r="D200" s="4"/>
      <c r="E200" s="4"/>
      <c r="F200" s="6" t="str">
        <f>IF(A200="","",COUNTIF(Chicks!$F:$F,A200))</f>
        <v/>
      </c>
      <c r="G200" s="6" t="str">
        <f>IF(A200="","",COUNTIFS(Chicks!$F:$F,A200,Chicks!$I:$I,"Yes"))</f>
        <v/>
      </c>
      <c r="H200" s="6" t="str">
        <f>IF(A200="","",SUMIFS(Chicks!$J:$J,Chicks!$F:$F,A200))</f>
        <v/>
      </c>
      <c r="I200" s="6" t="str">
        <f>IF(A200="","",COUNTIFS(Chicks!$F:$F,A200,Chicks!$I:$I,"No"))</f>
        <v/>
      </c>
      <c r="J200" s="6" t="str">
        <f>IF(A200="","",IFERROR(AVERAGEIF(Chicks!$F:$F,A200,Chicks!$M:$M),""))</f>
        <v/>
      </c>
      <c r="K200" s="6" t="str">
        <f>IF(A200="","",SUMIFS(Chicks!$N:$N,Chicks!$F:$F,A200))</f>
        <v/>
      </c>
      <c r="L200" s="6" t="str">
        <f>IF(A200="","",SUMIFS(Chicks!$O:$O,Chicks!$F:$F,A200))</f>
        <v/>
      </c>
      <c r="M200" s="6" t="str">
        <f>IF(A200="","",SUMIFS(Chicks!$P:$P,Chicks!$F:$F,A200))</f>
        <v/>
      </c>
      <c r="N200" s="6" t="str">
        <f t="shared" si="0"/>
        <v/>
      </c>
    </row>
    <row r="201" spans="1:14" ht="14.25" customHeight="1" x14ac:dyDescent="0.3">
      <c r="A201" s="4"/>
      <c r="B201" s="4"/>
      <c r="C201" s="4"/>
      <c r="D201" s="4"/>
      <c r="E201" s="4"/>
      <c r="F201" s="6" t="str">
        <f>IF(A201="","",COUNTIF(Chicks!$F:$F,A201))</f>
        <v/>
      </c>
      <c r="G201" s="6" t="str">
        <f>IF(A201="","",COUNTIFS(Chicks!$F:$F,A201,Chicks!$I:$I,"Yes"))</f>
        <v/>
      </c>
      <c r="H201" s="6" t="str">
        <f>IF(A201="","",SUMIFS(Chicks!$J:$J,Chicks!$F:$F,A201))</f>
        <v/>
      </c>
      <c r="I201" s="6" t="str">
        <f>IF(A201="","",COUNTIFS(Chicks!$F:$F,A201,Chicks!$I:$I,"No"))</f>
        <v/>
      </c>
      <c r="J201" s="6" t="str">
        <f>IF(A201="","",IFERROR(AVERAGEIF(Chicks!$F:$F,A201,Chicks!$M:$M),""))</f>
        <v/>
      </c>
      <c r="K201" s="6" t="str">
        <f>IF(A201="","",SUMIFS(Chicks!$N:$N,Chicks!$F:$F,A201))</f>
        <v/>
      </c>
      <c r="L201" s="6" t="str">
        <f>IF(A201="","",SUMIFS(Chicks!$O:$O,Chicks!$F:$F,A201))</f>
        <v/>
      </c>
      <c r="M201" s="6" t="str">
        <f>IF(A201="","",SUMIFS(Chicks!$P:$P,Chicks!$F:$F,A201))</f>
        <v/>
      </c>
      <c r="N201" s="6" t="str">
        <f t="shared" si="0"/>
        <v/>
      </c>
    </row>
    <row r="202" spans="1:14" ht="14.25" customHeight="1" x14ac:dyDescent="0.3">
      <c r="A202" s="4"/>
      <c r="B202" s="4"/>
      <c r="C202" s="4"/>
      <c r="D202" s="4"/>
      <c r="E202" s="4"/>
      <c r="F202" s="6" t="str">
        <f>IF(A202="","",COUNTIF(Chicks!$F:$F,A202))</f>
        <v/>
      </c>
      <c r="G202" s="6" t="str">
        <f>IF(A202="","",COUNTIFS(Chicks!$F:$F,A202,Chicks!$I:$I,"Yes"))</f>
        <v/>
      </c>
      <c r="H202" s="6" t="str">
        <f>IF(A202="","",SUMIFS(Chicks!$J:$J,Chicks!$F:$F,A202))</f>
        <v/>
      </c>
      <c r="I202" s="6" t="str">
        <f>IF(A202="","",COUNTIFS(Chicks!$F:$F,A202,Chicks!$I:$I,"No"))</f>
        <v/>
      </c>
      <c r="J202" s="6" t="str">
        <f>IF(A202="","",IFERROR(AVERAGEIF(Chicks!$F:$F,A202,Chicks!$M:$M),""))</f>
        <v/>
      </c>
      <c r="K202" s="6" t="str">
        <f>IF(A202="","",SUMIFS(Chicks!$N:$N,Chicks!$F:$F,A202))</f>
        <v/>
      </c>
      <c r="L202" s="6" t="str">
        <f>IF(A202="","",SUMIFS(Chicks!$O:$O,Chicks!$F:$F,A202))</f>
        <v/>
      </c>
      <c r="M202" s="6" t="str">
        <f>IF(A202="","",SUMIFS(Chicks!$P:$P,Chicks!$F:$F,A202))</f>
        <v/>
      </c>
      <c r="N202" s="6" t="str">
        <f t="shared" si="0"/>
        <v/>
      </c>
    </row>
    <row r="203" spans="1:14" ht="14.25" customHeight="1" x14ac:dyDescent="0.3">
      <c r="A203" s="4"/>
      <c r="B203" s="4"/>
      <c r="C203" s="4"/>
      <c r="D203" s="4"/>
      <c r="E203" s="4"/>
      <c r="F203" s="6" t="str">
        <f>IF(A203="","",COUNTIF(Chicks!$F:$F,A203))</f>
        <v/>
      </c>
      <c r="G203" s="6" t="str">
        <f>IF(A203="","",COUNTIFS(Chicks!$F:$F,A203,Chicks!$I:$I,"Yes"))</f>
        <v/>
      </c>
      <c r="H203" s="6" t="str">
        <f>IF(A203="","",SUMIFS(Chicks!$J:$J,Chicks!$F:$F,A203))</f>
        <v/>
      </c>
      <c r="I203" s="6" t="str">
        <f>IF(A203="","",COUNTIFS(Chicks!$F:$F,A203,Chicks!$I:$I,"No"))</f>
        <v/>
      </c>
      <c r="J203" s="6" t="str">
        <f>IF(A203="","",IFERROR(AVERAGEIF(Chicks!$F:$F,A203,Chicks!$M:$M),""))</f>
        <v/>
      </c>
      <c r="K203" s="6" t="str">
        <f>IF(A203="","",SUMIFS(Chicks!$N:$N,Chicks!$F:$F,A203))</f>
        <v/>
      </c>
      <c r="L203" s="6" t="str">
        <f>IF(A203="","",SUMIFS(Chicks!$O:$O,Chicks!$F:$F,A203))</f>
        <v/>
      </c>
      <c r="M203" s="6" t="str">
        <f>IF(A203="","",SUMIFS(Chicks!$P:$P,Chicks!$F:$F,A203))</f>
        <v/>
      </c>
      <c r="N203" s="6" t="str">
        <f t="shared" si="0"/>
        <v/>
      </c>
    </row>
    <row r="204" spans="1:14" ht="14.25" customHeight="1" x14ac:dyDescent="0.3">
      <c r="A204" s="4"/>
      <c r="B204" s="4"/>
      <c r="C204" s="4"/>
      <c r="D204" s="4"/>
      <c r="E204" s="4"/>
      <c r="F204" s="6" t="str">
        <f>IF(A204="","",COUNTIF(Chicks!$F:$F,A204))</f>
        <v/>
      </c>
      <c r="G204" s="6" t="str">
        <f>IF(A204="","",COUNTIFS(Chicks!$F:$F,A204,Chicks!$I:$I,"Yes"))</f>
        <v/>
      </c>
      <c r="H204" s="6" t="str">
        <f>IF(A204="","",SUMIFS(Chicks!$J:$J,Chicks!$F:$F,A204))</f>
        <v/>
      </c>
      <c r="I204" s="6" t="str">
        <f>IF(A204="","",COUNTIFS(Chicks!$F:$F,A204,Chicks!$I:$I,"No"))</f>
        <v/>
      </c>
      <c r="J204" s="6" t="str">
        <f>IF(A204="","",IFERROR(AVERAGEIF(Chicks!$F:$F,A204,Chicks!$M:$M),""))</f>
        <v/>
      </c>
      <c r="K204" s="6" t="str">
        <f>IF(A204="","",SUMIFS(Chicks!$N:$N,Chicks!$F:$F,A204))</f>
        <v/>
      </c>
      <c r="L204" s="6" t="str">
        <f>IF(A204="","",SUMIFS(Chicks!$O:$O,Chicks!$F:$F,A204))</f>
        <v/>
      </c>
      <c r="M204" s="6" t="str">
        <f>IF(A204="","",SUMIFS(Chicks!$P:$P,Chicks!$F:$F,A204))</f>
        <v/>
      </c>
      <c r="N204" s="6" t="str">
        <f t="shared" si="0"/>
        <v/>
      </c>
    </row>
    <row r="205" spans="1:14" ht="14.25" customHeight="1" x14ac:dyDescent="0.3">
      <c r="A205" s="4"/>
      <c r="B205" s="4"/>
      <c r="C205" s="4"/>
      <c r="D205" s="4"/>
      <c r="E205" s="4"/>
      <c r="F205" s="6" t="str">
        <f>IF(A205="","",COUNTIF(Chicks!$F:$F,A205))</f>
        <v/>
      </c>
      <c r="G205" s="6" t="str">
        <f>IF(A205="","",COUNTIFS(Chicks!$F:$F,A205,Chicks!$I:$I,"Yes"))</f>
        <v/>
      </c>
      <c r="H205" s="6" t="str">
        <f>IF(A205="","",SUMIFS(Chicks!$J:$J,Chicks!$F:$F,A205))</f>
        <v/>
      </c>
      <c r="I205" s="6" t="str">
        <f>IF(A205="","",COUNTIFS(Chicks!$F:$F,A205,Chicks!$I:$I,"No"))</f>
        <v/>
      </c>
      <c r="J205" s="6" t="str">
        <f>IF(A205="","",IFERROR(AVERAGEIF(Chicks!$F:$F,A205,Chicks!$M:$M),""))</f>
        <v/>
      </c>
      <c r="K205" s="6" t="str">
        <f>IF(A205="","",SUMIFS(Chicks!$N:$N,Chicks!$F:$F,A205))</f>
        <v/>
      </c>
      <c r="L205" s="6" t="str">
        <f>IF(A205="","",SUMIFS(Chicks!$O:$O,Chicks!$F:$F,A205))</f>
        <v/>
      </c>
      <c r="M205" s="6" t="str">
        <f>IF(A205="","",SUMIFS(Chicks!$P:$P,Chicks!$F:$F,A205))</f>
        <v/>
      </c>
      <c r="N205" s="6" t="str">
        <f t="shared" si="0"/>
        <v/>
      </c>
    </row>
    <row r="206" spans="1:14" ht="14.25" customHeight="1" x14ac:dyDescent="0.3">
      <c r="A206" s="4"/>
      <c r="B206" s="4"/>
      <c r="C206" s="4"/>
      <c r="D206" s="4"/>
      <c r="E206" s="4"/>
      <c r="F206" s="6" t="str">
        <f>IF(A206="","",COUNTIF(Chicks!$F:$F,A206))</f>
        <v/>
      </c>
      <c r="G206" s="6" t="str">
        <f>IF(A206="","",COUNTIFS(Chicks!$F:$F,A206,Chicks!$I:$I,"Yes"))</f>
        <v/>
      </c>
      <c r="H206" s="6" t="str">
        <f>IF(A206="","",SUMIFS(Chicks!$J:$J,Chicks!$F:$F,A206))</f>
        <v/>
      </c>
      <c r="I206" s="6" t="str">
        <f>IF(A206="","",COUNTIFS(Chicks!$F:$F,A206,Chicks!$I:$I,"No"))</f>
        <v/>
      </c>
      <c r="J206" s="6" t="str">
        <f>IF(A206="","",IFERROR(AVERAGEIF(Chicks!$F:$F,A206,Chicks!$M:$M),""))</f>
        <v/>
      </c>
      <c r="K206" s="6" t="str">
        <f>IF(A206="","",SUMIFS(Chicks!$N:$N,Chicks!$F:$F,A206))</f>
        <v/>
      </c>
      <c r="L206" s="6" t="str">
        <f>IF(A206="","",SUMIFS(Chicks!$O:$O,Chicks!$F:$F,A206))</f>
        <v/>
      </c>
      <c r="M206" s="6" t="str">
        <f>IF(A206="","",SUMIFS(Chicks!$P:$P,Chicks!$F:$F,A206))</f>
        <v/>
      </c>
      <c r="N206" s="6" t="str">
        <f t="shared" si="0"/>
        <v/>
      </c>
    </row>
    <row r="207" spans="1:14" ht="14.25" customHeight="1" x14ac:dyDescent="0.3">
      <c r="A207" s="4"/>
      <c r="B207" s="4"/>
      <c r="C207" s="4"/>
      <c r="D207" s="4"/>
      <c r="E207" s="4"/>
      <c r="F207" s="6" t="str">
        <f>IF(A207="","",COUNTIF(Chicks!$F:$F,A207))</f>
        <v/>
      </c>
      <c r="G207" s="6" t="str">
        <f>IF(A207="","",COUNTIFS(Chicks!$F:$F,A207,Chicks!$I:$I,"Yes"))</f>
        <v/>
      </c>
      <c r="H207" s="6" t="str">
        <f>IF(A207="","",SUMIFS(Chicks!$J:$J,Chicks!$F:$F,A207))</f>
        <v/>
      </c>
      <c r="I207" s="6" t="str">
        <f>IF(A207="","",COUNTIFS(Chicks!$F:$F,A207,Chicks!$I:$I,"No"))</f>
        <v/>
      </c>
      <c r="J207" s="6" t="str">
        <f>IF(A207="","",IFERROR(AVERAGEIF(Chicks!$F:$F,A207,Chicks!$M:$M),""))</f>
        <v/>
      </c>
      <c r="K207" s="6" t="str">
        <f>IF(A207="","",SUMIFS(Chicks!$N:$N,Chicks!$F:$F,A207))</f>
        <v/>
      </c>
      <c r="L207" s="6" t="str">
        <f>IF(A207="","",SUMIFS(Chicks!$O:$O,Chicks!$F:$F,A207))</f>
        <v/>
      </c>
      <c r="M207" s="6" t="str">
        <f>IF(A207="","",SUMIFS(Chicks!$P:$P,Chicks!$F:$F,A207))</f>
        <v/>
      </c>
      <c r="N207" s="6" t="str">
        <f t="shared" si="0"/>
        <v/>
      </c>
    </row>
    <row r="208" spans="1:14" ht="14.25" customHeight="1" x14ac:dyDescent="0.3">
      <c r="A208" s="4"/>
      <c r="B208" s="4"/>
      <c r="C208" s="4"/>
      <c r="D208" s="4"/>
      <c r="E208" s="4"/>
      <c r="F208" s="6" t="str">
        <f>IF(A208="","",COUNTIF(Chicks!$F:$F,A208))</f>
        <v/>
      </c>
      <c r="G208" s="6" t="str">
        <f>IF(A208="","",COUNTIFS(Chicks!$F:$F,A208,Chicks!$I:$I,"Yes"))</f>
        <v/>
      </c>
      <c r="H208" s="6" t="str">
        <f>IF(A208="","",SUMIFS(Chicks!$J:$J,Chicks!$F:$F,A208))</f>
        <v/>
      </c>
      <c r="I208" s="6" t="str">
        <f>IF(A208="","",COUNTIFS(Chicks!$F:$F,A208,Chicks!$I:$I,"No"))</f>
        <v/>
      </c>
      <c r="J208" s="6" t="str">
        <f>IF(A208="","",IFERROR(AVERAGEIF(Chicks!$F:$F,A208,Chicks!$M:$M),""))</f>
        <v/>
      </c>
      <c r="K208" s="6" t="str">
        <f>IF(A208="","",SUMIFS(Chicks!$N:$N,Chicks!$F:$F,A208))</f>
        <v/>
      </c>
      <c r="L208" s="6" t="str">
        <f>IF(A208="","",SUMIFS(Chicks!$O:$O,Chicks!$F:$F,A208))</f>
        <v/>
      </c>
      <c r="M208" s="6" t="str">
        <f>IF(A208="","",SUMIFS(Chicks!$P:$P,Chicks!$F:$F,A208))</f>
        <v/>
      </c>
      <c r="N208" s="6" t="str">
        <f t="shared" si="0"/>
        <v/>
      </c>
    </row>
    <row r="209" spans="1:14" ht="14.25" customHeight="1" x14ac:dyDescent="0.3">
      <c r="A209" s="4"/>
      <c r="B209" s="4"/>
      <c r="C209" s="4"/>
      <c r="D209" s="4"/>
      <c r="E209" s="4"/>
      <c r="F209" s="6" t="str">
        <f>IF(A209="","",COUNTIF(Chicks!$F:$F,A209))</f>
        <v/>
      </c>
      <c r="G209" s="6" t="str">
        <f>IF(A209="","",COUNTIFS(Chicks!$F:$F,A209,Chicks!$I:$I,"Yes"))</f>
        <v/>
      </c>
      <c r="H209" s="6" t="str">
        <f>IF(A209="","",SUMIFS(Chicks!$J:$J,Chicks!$F:$F,A209))</f>
        <v/>
      </c>
      <c r="I209" s="6" t="str">
        <f>IF(A209="","",COUNTIFS(Chicks!$F:$F,A209,Chicks!$I:$I,"No"))</f>
        <v/>
      </c>
      <c r="J209" s="6" t="str">
        <f>IF(A209="","",IFERROR(AVERAGEIF(Chicks!$F:$F,A209,Chicks!$M:$M),""))</f>
        <v/>
      </c>
      <c r="K209" s="6" t="str">
        <f>IF(A209="","",SUMIFS(Chicks!$N:$N,Chicks!$F:$F,A209))</f>
        <v/>
      </c>
      <c r="L209" s="6" t="str">
        <f>IF(A209="","",SUMIFS(Chicks!$O:$O,Chicks!$F:$F,A209))</f>
        <v/>
      </c>
      <c r="M209" s="6" t="str">
        <f>IF(A209="","",SUMIFS(Chicks!$P:$P,Chicks!$F:$F,A209))</f>
        <v/>
      </c>
      <c r="N209" s="6" t="str">
        <f t="shared" si="0"/>
        <v/>
      </c>
    </row>
    <row r="210" spans="1:14" ht="14.25" customHeight="1" x14ac:dyDescent="0.3">
      <c r="A210" s="4"/>
      <c r="B210" s="4"/>
      <c r="C210" s="4"/>
      <c r="D210" s="4"/>
      <c r="E210" s="4"/>
      <c r="F210" s="6" t="str">
        <f>IF(A210="","",COUNTIF(Chicks!$F:$F,A210))</f>
        <v/>
      </c>
      <c r="G210" s="6" t="str">
        <f>IF(A210="","",COUNTIFS(Chicks!$F:$F,A210,Chicks!$I:$I,"Yes"))</f>
        <v/>
      </c>
      <c r="H210" s="6" t="str">
        <f>IF(A210="","",SUMIFS(Chicks!$J:$J,Chicks!$F:$F,A210))</f>
        <v/>
      </c>
      <c r="I210" s="6" t="str">
        <f>IF(A210="","",COUNTIFS(Chicks!$F:$F,A210,Chicks!$I:$I,"No"))</f>
        <v/>
      </c>
      <c r="J210" s="6" t="str">
        <f>IF(A210="","",IFERROR(AVERAGEIF(Chicks!$F:$F,A210,Chicks!$M:$M),""))</f>
        <v/>
      </c>
      <c r="K210" s="6" t="str">
        <f>IF(A210="","",SUMIFS(Chicks!$N:$N,Chicks!$F:$F,A210))</f>
        <v/>
      </c>
      <c r="L210" s="6" t="str">
        <f>IF(A210="","",SUMIFS(Chicks!$O:$O,Chicks!$F:$F,A210))</f>
        <v/>
      </c>
      <c r="M210" s="6" t="str">
        <f>IF(A210="","",SUMIFS(Chicks!$P:$P,Chicks!$F:$F,A210))</f>
        <v/>
      </c>
      <c r="N210" s="6" t="str">
        <f t="shared" si="0"/>
        <v/>
      </c>
    </row>
    <row r="211" spans="1:14" ht="14.25" customHeight="1" x14ac:dyDescent="0.3">
      <c r="A211" s="4"/>
      <c r="B211" s="4"/>
      <c r="C211" s="4"/>
      <c r="D211" s="4"/>
      <c r="E211" s="4"/>
      <c r="F211" s="6" t="str">
        <f>IF(A211="","",COUNTIF(Chicks!$F:$F,A211))</f>
        <v/>
      </c>
      <c r="G211" s="6" t="str">
        <f>IF(A211="","",COUNTIFS(Chicks!$F:$F,A211,Chicks!$I:$I,"Yes"))</f>
        <v/>
      </c>
      <c r="H211" s="6" t="str">
        <f>IF(A211="","",SUMIFS(Chicks!$J:$J,Chicks!$F:$F,A211))</f>
        <v/>
      </c>
      <c r="I211" s="6" t="str">
        <f>IF(A211="","",COUNTIFS(Chicks!$F:$F,A211,Chicks!$I:$I,"No"))</f>
        <v/>
      </c>
      <c r="J211" s="6" t="str">
        <f>IF(A211="","",IFERROR(AVERAGEIF(Chicks!$F:$F,A211,Chicks!$M:$M),""))</f>
        <v/>
      </c>
      <c r="K211" s="6" t="str">
        <f>IF(A211="","",SUMIFS(Chicks!$N:$N,Chicks!$F:$F,A211))</f>
        <v/>
      </c>
      <c r="L211" s="6" t="str">
        <f>IF(A211="","",SUMIFS(Chicks!$O:$O,Chicks!$F:$F,A211))</f>
        <v/>
      </c>
      <c r="M211" s="6" t="str">
        <f>IF(A211="","",SUMIFS(Chicks!$P:$P,Chicks!$F:$F,A211))</f>
        <v/>
      </c>
      <c r="N211" s="6" t="str">
        <f t="shared" si="0"/>
        <v/>
      </c>
    </row>
    <row r="212" spans="1:14" ht="14.25" customHeight="1" x14ac:dyDescent="0.3">
      <c r="A212" s="4"/>
      <c r="B212" s="4"/>
      <c r="C212" s="4"/>
      <c r="D212" s="4"/>
      <c r="E212" s="4"/>
      <c r="F212" s="6" t="str">
        <f>IF(A212="","",COUNTIF(Chicks!$F:$F,A212))</f>
        <v/>
      </c>
      <c r="G212" s="6" t="str">
        <f>IF(A212="","",COUNTIFS(Chicks!$F:$F,A212,Chicks!$I:$I,"Yes"))</f>
        <v/>
      </c>
      <c r="H212" s="6" t="str">
        <f>IF(A212="","",SUMIFS(Chicks!$J:$J,Chicks!$F:$F,A212))</f>
        <v/>
      </c>
      <c r="I212" s="6" t="str">
        <f>IF(A212="","",COUNTIFS(Chicks!$F:$F,A212,Chicks!$I:$I,"No"))</f>
        <v/>
      </c>
      <c r="J212" s="6" t="str">
        <f>IF(A212="","",IFERROR(AVERAGEIF(Chicks!$F:$F,A212,Chicks!$M:$M),""))</f>
        <v/>
      </c>
      <c r="K212" s="6" t="str">
        <f>IF(A212="","",SUMIFS(Chicks!$N:$N,Chicks!$F:$F,A212))</f>
        <v/>
      </c>
      <c r="L212" s="6" t="str">
        <f>IF(A212="","",SUMIFS(Chicks!$O:$O,Chicks!$F:$F,A212))</f>
        <v/>
      </c>
      <c r="M212" s="6" t="str">
        <f>IF(A212="","",SUMIFS(Chicks!$P:$P,Chicks!$F:$F,A212))</f>
        <v/>
      </c>
      <c r="N212" s="6" t="str">
        <f t="shared" si="0"/>
        <v/>
      </c>
    </row>
    <row r="213" spans="1:14" ht="14.25" customHeight="1" x14ac:dyDescent="0.3">
      <c r="A213" s="4"/>
      <c r="B213" s="4"/>
      <c r="C213" s="4"/>
      <c r="D213" s="4"/>
      <c r="E213" s="4"/>
      <c r="F213" s="6" t="str">
        <f>IF(A213="","",COUNTIF(Chicks!$F:$F,A213))</f>
        <v/>
      </c>
      <c r="G213" s="6" t="str">
        <f>IF(A213="","",COUNTIFS(Chicks!$F:$F,A213,Chicks!$I:$I,"Yes"))</f>
        <v/>
      </c>
      <c r="H213" s="6" t="str">
        <f>IF(A213="","",SUMIFS(Chicks!$J:$J,Chicks!$F:$F,A213))</f>
        <v/>
      </c>
      <c r="I213" s="6" t="str">
        <f>IF(A213="","",COUNTIFS(Chicks!$F:$F,A213,Chicks!$I:$I,"No"))</f>
        <v/>
      </c>
      <c r="J213" s="6" t="str">
        <f>IF(A213="","",IFERROR(AVERAGEIF(Chicks!$F:$F,A213,Chicks!$M:$M),""))</f>
        <v/>
      </c>
      <c r="K213" s="6" t="str">
        <f>IF(A213="","",SUMIFS(Chicks!$N:$N,Chicks!$F:$F,A213))</f>
        <v/>
      </c>
      <c r="L213" s="6" t="str">
        <f>IF(A213="","",SUMIFS(Chicks!$O:$O,Chicks!$F:$F,A213))</f>
        <v/>
      </c>
      <c r="M213" s="6" t="str">
        <f>IF(A213="","",SUMIFS(Chicks!$P:$P,Chicks!$F:$F,A213))</f>
        <v/>
      </c>
      <c r="N213" s="6" t="str">
        <f t="shared" si="0"/>
        <v/>
      </c>
    </row>
    <row r="214" spans="1:14" ht="14.25" customHeight="1" x14ac:dyDescent="0.3">
      <c r="A214" s="4"/>
      <c r="B214" s="4"/>
      <c r="C214" s="4"/>
      <c r="D214" s="4"/>
      <c r="E214" s="4"/>
      <c r="F214" s="6" t="str">
        <f>IF(A214="","",COUNTIF(Chicks!$F:$F,A214))</f>
        <v/>
      </c>
      <c r="G214" s="6" t="str">
        <f>IF(A214="","",COUNTIFS(Chicks!$F:$F,A214,Chicks!$I:$I,"Yes"))</f>
        <v/>
      </c>
      <c r="H214" s="6" t="str">
        <f>IF(A214="","",SUMIFS(Chicks!$J:$J,Chicks!$F:$F,A214))</f>
        <v/>
      </c>
      <c r="I214" s="6" t="str">
        <f>IF(A214="","",COUNTIFS(Chicks!$F:$F,A214,Chicks!$I:$I,"No"))</f>
        <v/>
      </c>
      <c r="J214" s="6" t="str">
        <f>IF(A214="","",IFERROR(AVERAGEIF(Chicks!$F:$F,A214,Chicks!$M:$M),""))</f>
        <v/>
      </c>
      <c r="K214" s="6" t="str">
        <f>IF(A214="","",SUMIFS(Chicks!$N:$N,Chicks!$F:$F,A214))</f>
        <v/>
      </c>
      <c r="L214" s="6" t="str">
        <f>IF(A214="","",SUMIFS(Chicks!$O:$O,Chicks!$F:$F,A214))</f>
        <v/>
      </c>
      <c r="M214" s="6" t="str">
        <f>IF(A214="","",SUMIFS(Chicks!$P:$P,Chicks!$F:$F,A214))</f>
        <v/>
      </c>
      <c r="N214" s="6" t="str">
        <f t="shared" si="0"/>
        <v/>
      </c>
    </row>
    <row r="215" spans="1:14" ht="14.25" customHeight="1" x14ac:dyDescent="0.3">
      <c r="A215" s="4"/>
      <c r="B215" s="4"/>
      <c r="C215" s="4"/>
      <c r="D215" s="4"/>
      <c r="E215" s="4"/>
      <c r="F215" s="6" t="str">
        <f>IF(A215="","",COUNTIF(Chicks!$F:$F,A215))</f>
        <v/>
      </c>
      <c r="G215" s="6" t="str">
        <f>IF(A215="","",COUNTIFS(Chicks!$F:$F,A215,Chicks!$I:$I,"Yes"))</f>
        <v/>
      </c>
      <c r="H215" s="6" t="str">
        <f>IF(A215="","",SUMIFS(Chicks!$J:$J,Chicks!$F:$F,A215))</f>
        <v/>
      </c>
      <c r="I215" s="6" t="str">
        <f>IF(A215="","",COUNTIFS(Chicks!$F:$F,A215,Chicks!$I:$I,"No"))</f>
        <v/>
      </c>
      <c r="J215" s="6" t="str">
        <f>IF(A215="","",IFERROR(AVERAGEIF(Chicks!$F:$F,A215,Chicks!$M:$M),""))</f>
        <v/>
      </c>
      <c r="K215" s="6" t="str">
        <f>IF(A215="","",SUMIFS(Chicks!$N:$N,Chicks!$F:$F,A215))</f>
        <v/>
      </c>
      <c r="L215" s="6" t="str">
        <f>IF(A215="","",SUMIFS(Chicks!$O:$O,Chicks!$F:$F,A215))</f>
        <v/>
      </c>
      <c r="M215" s="6" t="str">
        <f>IF(A215="","",SUMIFS(Chicks!$P:$P,Chicks!$F:$F,A215))</f>
        <v/>
      </c>
      <c r="N215" s="6" t="str">
        <f t="shared" si="0"/>
        <v/>
      </c>
    </row>
    <row r="216" spans="1:14" ht="14.25" customHeight="1" x14ac:dyDescent="0.3">
      <c r="A216" s="4"/>
      <c r="B216" s="4"/>
      <c r="C216" s="4"/>
      <c r="D216" s="4"/>
      <c r="E216" s="4"/>
      <c r="F216" s="6" t="str">
        <f>IF(A216="","",COUNTIF(Chicks!$F:$F,A216))</f>
        <v/>
      </c>
      <c r="G216" s="6" t="str">
        <f>IF(A216="","",COUNTIFS(Chicks!$F:$F,A216,Chicks!$I:$I,"Yes"))</f>
        <v/>
      </c>
      <c r="H216" s="6" t="str">
        <f>IF(A216="","",SUMIFS(Chicks!$J:$J,Chicks!$F:$F,A216))</f>
        <v/>
      </c>
      <c r="I216" s="6" t="str">
        <f>IF(A216="","",COUNTIFS(Chicks!$F:$F,A216,Chicks!$I:$I,"No"))</f>
        <v/>
      </c>
      <c r="J216" s="6" t="str">
        <f>IF(A216="","",IFERROR(AVERAGEIF(Chicks!$F:$F,A216,Chicks!$M:$M),""))</f>
        <v/>
      </c>
      <c r="K216" s="6" t="str">
        <f>IF(A216="","",SUMIFS(Chicks!$N:$N,Chicks!$F:$F,A216))</f>
        <v/>
      </c>
      <c r="L216" s="6" t="str">
        <f>IF(A216="","",SUMIFS(Chicks!$O:$O,Chicks!$F:$F,A216))</f>
        <v/>
      </c>
      <c r="M216" s="6" t="str">
        <f>IF(A216="","",SUMIFS(Chicks!$P:$P,Chicks!$F:$F,A216))</f>
        <v/>
      </c>
      <c r="N216" s="6" t="str">
        <f t="shared" si="0"/>
        <v/>
      </c>
    </row>
    <row r="217" spans="1:14" ht="14.25" customHeight="1" x14ac:dyDescent="0.3">
      <c r="A217" s="4"/>
      <c r="B217" s="4"/>
      <c r="C217" s="4"/>
      <c r="D217" s="4"/>
      <c r="E217" s="4"/>
      <c r="F217" s="6" t="str">
        <f>IF(A217="","",COUNTIF(Chicks!$F:$F,A217))</f>
        <v/>
      </c>
      <c r="G217" s="6" t="str">
        <f>IF(A217="","",COUNTIFS(Chicks!$F:$F,A217,Chicks!$I:$I,"Yes"))</f>
        <v/>
      </c>
      <c r="H217" s="6" t="str">
        <f>IF(A217="","",SUMIFS(Chicks!$J:$J,Chicks!$F:$F,A217))</f>
        <v/>
      </c>
      <c r="I217" s="6" t="str">
        <f>IF(A217="","",COUNTIFS(Chicks!$F:$F,A217,Chicks!$I:$I,"No"))</f>
        <v/>
      </c>
      <c r="J217" s="6" t="str">
        <f>IF(A217="","",IFERROR(AVERAGEIF(Chicks!$F:$F,A217,Chicks!$M:$M),""))</f>
        <v/>
      </c>
      <c r="K217" s="6" t="str">
        <f>IF(A217="","",SUMIFS(Chicks!$N:$N,Chicks!$F:$F,A217))</f>
        <v/>
      </c>
      <c r="L217" s="6" t="str">
        <f>IF(A217="","",SUMIFS(Chicks!$O:$O,Chicks!$F:$F,A217))</f>
        <v/>
      </c>
      <c r="M217" s="6" t="str">
        <f>IF(A217="","",SUMIFS(Chicks!$P:$P,Chicks!$F:$F,A217))</f>
        <v/>
      </c>
      <c r="N217" s="6" t="str">
        <f t="shared" si="0"/>
        <v/>
      </c>
    </row>
    <row r="218" spans="1:14" ht="14.25" customHeight="1" x14ac:dyDescent="0.3">
      <c r="A218" s="4"/>
      <c r="B218" s="4"/>
      <c r="C218" s="4"/>
      <c r="D218" s="4"/>
      <c r="E218" s="4"/>
      <c r="F218" s="6" t="str">
        <f>IF(A218="","",COUNTIF(Chicks!$F:$F,A218))</f>
        <v/>
      </c>
      <c r="G218" s="6" t="str">
        <f>IF(A218="","",COUNTIFS(Chicks!$F:$F,A218,Chicks!$I:$I,"Yes"))</f>
        <v/>
      </c>
      <c r="H218" s="6" t="str">
        <f>IF(A218="","",SUMIFS(Chicks!$J:$J,Chicks!$F:$F,A218))</f>
        <v/>
      </c>
      <c r="I218" s="6" t="str">
        <f>IF(A218="","",COUNTIFS(Chicks!$F:$F,A218,Chicks!$I:$I,"No"))</f>
        <v/>
      </c>
      <c r="J218" s="6" t="str">
        <f>IF(A218="","",IFERROR(AVERAGEIF(Chicks!$F:$F,A218,Chicks!$M:$M),""))</f>
        <v/>
      </c>
      <c r="K218" s="6" t="str">
        <f>IF(A218="","",SUMIFS(Chicks!$N:$N,Chicks!$F:$F,A218))</f>
        <v/>
      </c>
      <c r="L218" s="6" t="str">
        <f>IF(A218="","",SUMIFS(Chicks!$O:$O,Chicks!$F:$F,A218))</f>
        <v/>
      </c>
      <c r="M218" s="6" t="str">
        <f>IF(A218="","",SUMIFS(Chicks!$P:$P,Chicks!$F:$F,A218))</f>
        <v/>
      </c>
      <c r="N218" s="6" t="str">
        <f t="shared" si="0"/>
        <v/>
      </c>
    </row>
    <row r="219" spans="1:14" ht="14.25" customHeight="1" x14ac:dyDescent="0.3">
      <c r="A219" s="4"/>
      <c r="B219" s="4"/>
      <c r="C219" s="4"/>
      <c r="D219" s="4"/>
      <c r="E219" s="4"/>
      <c r="F219" s="6" t="str">
        <f>IF(A219="","",COUNTIF(Chicks!$F:$F,A219))</f>
        <v/>
      </c>
      <c r="G219" s="6" t="str">
        <f>IF(A219="","",COUNTIFS(Chicks!$F:$F,A219,Chicks!$I:$I,"Yes"))</f>
        <v/>
      </c>
      <c r="H219" s="6" t="str">
        <f>IF(A219="","",SUMIFS(Chicks!$J:$J,Chicks!$F:$F,A219))</f>
        <v/>
      </c>
      <c r="I219" s="6" t="str">
        <f>IF(A219="","",COUNTIFS(Chicks!$F:$F,A219,Chicks!$I:$I,"No"))</f>
        <v/>
      </c>
      <c r="J219" s="6" t="str">
        <f>IF(A219="","",IFERROR(AVERAGEIF(Chicks!$F:$F,A219,Chicks!$M:$M),""))</f>
        <v/>
      </c>
      <c r="K219" s="6" t="str">
        <f>IF(A219="","",SUMIFS(Chicks!$N:$N,Chicks!$F:$F,A219))</f>
        <v/>
      </c>
      <c r="L219" s="6" t="str">
        <f>IF(A219="","",SUMIFS(Chicks!$O:$O,Chicks!$F:$F,A219))</f>
        <v/>
      </c>
      <c r="M219" s="6" t="str">
        <f>IF(A219="","",SUMIFS(Chicks!$P:$P,Chicks!$F:$F,A219))</f>
        <v/>
      </c>
      <c r="N219" s="6" t="str">
        <f t="shared" si="0"/>
        <v/>
      </c>
    </row>
    <row r="220" spans="1:14" ht="14.25" customHeight="1" x14ac:dyDescent="0.3">
      <c r="A220" s="4"/>
      <c r="B220" s="4"/>
      <c r="C220" s="4"/>
      <c r="D220" s="4"/>
      <c r="E220" s="4"/>
      <c r="F220" s="6" t="str">
        <f>IF(A220="","",COUNTIF(Chicks!$F:$F,A220))</f>
        <v/>
      </c>
      <c r="G220" s="6" t="str">
        <f>IF(A220="","",COUNTIFS(Chicks!$F:$F,A220,Chicks!$I:$I,"Yes"))</f>
        <v/>
      </c>
      <c r="H220" s="6" t="str">
        <f>IF(A220="","",SUMIFS(Chicks!$J:$J,Chicks!$F:$F,A220))</f>
        <v/>
      </c>
      <c r="I220" s="6" t="str">
        <f>IF(A220="","",COUNTIFS(Chicks!$F:$F,A220,Chicks!$I:$I,"No"))</f>
        <v/>
      </c>
      <c r="J220" s="6" t="str">
        <f>IF(A220="","",IFERROR(AVERAGEIF(Chicks!$F:$F,A220,Chicks!$M:$M),""))</f>
        <v/>
      </c>
      <c r="K220" s="6" t="str">
        <f>IF(A220="","",SUMIFS(Chicks!$N:$N,Chicks!$F:$F,A220))</f>
        <v/>
      </c>
      <c r="L220" s="6" t="str">
        <f>IF(A220="","",SUMIFS(Chicks!$O:$O,Chicks!$F:$F,A220))</f>
        <v/>
      </c>
      <c r="M220" s="6" t="str">
        <f>IF(A220="","",SUMIFS(Chicks!$P:$P,Chicks!$F:$F,A220))</f>
        <v/>
      </c>
      <c r="N220" s="6" t="str">
        <f t="shared" si="0"/>
        <v/>
      </c>
    </row>
    <row r="221" spans="1:14" ht="14.25" customHeight="1" x14ac:dyDescent="0.3">
      <c r="A221" s="4"/>
      <c r="B221" s="4"/>
      <c r="C221" s="4"/>
      <c r="D221" s="4"/>
      <c r="E221" s="4"/>
      <c r="F221" s="6" t="str">
        <f>IF(A221="","",COUNTIF(Chicks!$F:$F,A221))</f>
        <v/>
      </c>
      <c r="G221" s="6" t="str">
        <f>IF(A221="","",COUNTIFS(Chicks!$F:$F,A221,Chicks!$I:$I,"Yes"))</f>
        <v/>
      </c>
      <c r="H221" s="6" t="str">
        <f>IF(A221="","",SUMIFS(Chicks!$J:$J,Chicks!$F:$F,A221))</f>
        <v/>
      </c>
      <c r="I221" s="6" t="str">
        <f>IF(A221="","",COUNTIFS(Chicks!$F:$F,A221,Chicks!$I:$I,"No"))</f>
        <v/>
      </c>
      <c r="J221" s="6" t="str">
        <f>IF(A221="","",IFERROR(AVERAGEIF(Chicks!$F:$F,A221,Chicks!$M:$M),""))</f>
        <v/>
      </c>
      <c r="K221" s="6" t="str">
        <f>IF(A221="","",SUMIFS(Chicks!$N:$N,Chicks!$F:$F,A221))</f>
        <v/>
      </c>
      <c r="L221" s="6" t="str">
        <f>IF(A221="","",SUMIFS(Chicks!$O:$O,Chicks!$F:$F,A221))</f>
        <v/>
      </c>
      <c r="M221" s="6" t="str">
        <f>IF(A221="","",SUMIFS(Chicks!$P:$P,Chicks!$F:$F,A221))</f>
        <v/>
      </c>
      <c r="N221" s="6" t="str">
        <f t="shared" si="0"/>
        <v/>
      </c>
    </row>
    <row r="222" spans="1:14" ht="14.25" customHeight="1" x14ac:dyDescent="0.3">
      <c r="A222" s="4"/>
      <c r="B222" s="4"/>
      <c r="C222" s="4"/>
      <c r="D222" s="4"/>
      <c r="E222" s="4"/>
      <c r="F222" s="6" t="str">
        <f>IF(A222="","",COUNTIF(Chicks!$F:$F,A222))</f>
        <v/>
      </c>
      <c r="G222" s="6" t="str">
        <f>IF(A222="","",COUNTIFS(Chicks!$F:$F,A222,Chicks!$I:$I,"Yes"))</f>
        <v/>
      </c>
      <c r="H222" s="6" t="str">
        <f>IF(A222="","",SUMIFS(Chicks!$J:$J,Chicks!$F:$F,A222))</f>
        <v/>
      </c>
      <c r="I222" s="6" t="str">
        <f>IF(A222="","",COUNTIFS(Chicks!$F:$F,A222,Chicks!$I:$I,"No"))</f>
        <v/>
      </c>
      <c r="J222" s="6" t="str">
        <f>IF(A222="","",IFERROR(AVERAGEIF(Chicks!$F:$F,A222,Chicks!$M:$M),""))</f>
        <v/>
      </c>
      <c r="K222" s="6" t="str">
        <f>IF(A222="","",SUMIFS(Chicks!$N:$N,Chicks!$F:$F,A222))</f>
        <v/>
      </c>
      <c r="L222" s="6" t="str">
        <f>IF(A222="","",SUMIFS(Chicks!$O:$O,Chicks!$F:$F,A222))</f>
        <v/>
      </c>
      <c r="M222" s="6" t="str">
        <f>IF(A222="","",SUMIFS(Chicks!$P:$P,Chicks!$F:$F,A222))</f>
        <v/>
      </c>
      <c r="N222" s="6" t="str">
        <f t="shared" si="0"/>
        <v/>
      </c>
    </row>
    <row r="223" spans="1:14" ht="14.25" customHeight="1" x14ac:dyDescent="0.3">
      <c r="A223" s="4"/>
      <c r="B223" s="4"/>
      <c r="C223" s="4"/>
      <c r="D223" s="4"/>
      <c r="E223" s="4"/>
      <c r="F223" s="6" t="str">
        <f>IF(A223="","",COUNTIF(Chicks!$F:$F,A223))</f>
        <v/>
      </c>
      <c r="G223" s="6" t="str">
        <f>IF(A223="","",COUNTIFS(Chicks!$F:$F,A223,Chicks!$I:$I,"Yes"))</f>
        <v/>
      </c>
      <c r="H223" s="6" t="str">
        <f>IF(A223="","",SUMIFS(Chicks!$J:$J,Chicks!$F:$F,A223))</f>
        <v/>
      </c>
      <c r="I223" s="6" t="str">
        <f>IF(A223="","",COUNTIFS(Chicks!$F:$F,A223,Chicks!$I:$I,"No"))</f>
        <v/>
      </c>
      <c r="J223" s="6" t="str">
        <f>IF(A223="","",IFERROR(AVERAGEIF(Chicks!$F:$F,A223,Chicks!$M:$M),""))</f>
        <v/>
      </c>
      <c r="K223" s="6" t="str">
        <f>IF(A223="","",SUMIFS(Chicks!$N:$N,Chicks!$F:$F,A223))</f>
        <v/>
      </c>
      <c r="L223" s="6" t="str">
        <f>IF(A223="","",SUMIFS(Chicks!$O:$O,Chicks!$F:$F,A223))</f>
        <v/>
      </c>
      <c r="M223" s="6" t="str">
        <f>IF(A223="","",SUMIFS(Chicks!$P:$P,Chicks!$F:$F,A223))</f>
        <v/>
      </c>
      <c r="N223" s="6" t="str">
        <f t="shared" si="0"/>
        <v/>
      </c>
    </row>
    <row r="224" spans="1:14" ht="14.25" customHeight="1" x14ac:dyDescent="0.3">
      <c r="A224" s="4"/>
      <c r="B224" s="4"/>
      <c r="C224" s="4"/>
      <c r="D224" s="4"/>
      <c r="E224" s="4"/>
      <c r="F224" s="6" t="str">
        <f>IF(A224="","",COUNTIF(Chicks!$F:$F,A224))</f>
        <v/>
      </c>
      <c r="G224" s="6" t="str">
        <f>IF(A224="","",COUNTIFS(Chicks!$F:$F,A224,Chicks!$I:$I,"Yes"))</f>
        <v/>
      </c>
      <c r="H224" s="6" t="str">
        <f>IF(A224="","",SUMIFS(Chicks!$J:$J,Chicks!$F:$F,A224))</f>
        <v/>
      </c>
      <c r="I224" s="6" t="str">
        <f>IF(A224="","",COUNTIFS(Chicks!$F:$F,A224,Chicks!$I:$I,"No"))</f>
        <v/>
      </c>
      <c r="J224" s="6" t="str">
        <f>IF(A224="","",IFERROR(AVERAGEIF(Chicks!$F:$F,A224,Chicks!$M:$M),""))</f>
        <v/>
      </c>
      <c r="K224" s="6" t="str">
        <f>IF(A224="","",SUMIFS(Chicks!$N:$N,Chicks!$F:$F,A224))</f>
        <v/>
      </c>
      <c r="L224" s="6" t="str">
        <f>IF(A224="","",SUMIFS(Chicks!$O:$O,Chicks!$F:$F,A224))</f>
        <v/>
      </c>
      <c r="M224" s="6" t="str">
        <f>IF(A224="","",SUMIFS(Chicks!$P:$P,Chicks!$F:$F,A224))</f>
        <v/>
      </c>
      <c r="N224" s="6" t="str">
        <f t="shared" si="0"/>
        <v/>
      </c>
    </row>
    <row r="225" spans="1:14" ht="14.25" customHeight="1" x14ac:dyDescent="0.3">
      <c r="A225" s="4"/>
      <c r="B225" s="4"/>
      <c r="C225" s="4"/>
      <c r="D225" s="4"/>
      <c r="E225" s="4"/>
      <c r="F225" s="6" t="str">
        <f>IF(A225="","",COUNTIF(Chicks!$F:$F,A225))</f>
        <v/>
      </c>
      <c r="G225" s="6" t="str">
        <f>IF(A225="","",COUNTIFS(Chicks!$F:$F,A225,Chicks!$I:$I,"Yes"))</f>
        <v/>
      </c>
      <c r="H225" s="6" t="str">
        <f>IF(A225="","",SUMIFS(Chicks!$J:$J,Chicks!$F:$F,A225))</f>
        <v/>
      </c>
      <c r="I225" s="6" t="str">
        <f>IF(A225="","",COUNTIFS(Chicks!$F:$F,A225,Chicks!$I:$I,"No"))</f>
        <v/>
      </c>
      <c r="J225" s="6" t="str">
        <f>IF(A225="","",IFERROR(AVERAGEIF(Chicks!$F:$F,A225,Chicks!$M:$M),""))</f>
        <v/>
      </c>
      <c r="K225" s="6" t="str">
        <f>IF(A225="","",SUMIFS(Chicks!$N:$N,Chicks!$F:$F,A225))</f>
        <v/>
      </c>
      <c r="L225" s="6" t="str">
        <f>IF(A225="","",SUMIFS(Chicks!$O:$O,Chicks!$F:$F,A225))</f>
        <v/>
      </c>
      <c r="M225" s="6" t="str">
        <f>IF(A225="","",SUMIFS(Chicks!$P:$P,Chicks!$F:$F,A225))</f>
        <v/>
      </c>
      <c r="N225" s="6" t="str">
        <f t="shared" si="0"/>
        <v/>
      </c>
    </row>
    <row r="226" spans="1:14" ht="14.25" customHeight="1" x14ac:dyDescent="0.3">
      <c r="A226" s="4"/>
      <c r="B226" s="4"/>
      <c r="C226" s="4"/>
      <c r="D226" s="4"/>
      <c r="E226" s="4"/>
      <c r="F226" s="6" t="str">
        <f>IF(A226="","",COUNTIF(Chicks!$F:$F,A226))</f>
        <v/>
      </c>
      <c r="G226" s="6" t="str">
        <f>IF(A226="","",COUNTIFS(Chicks!$F:$F,A226,Chicks!$I:$I,"Yes"))</f>
        <v/>
      </c>
      <c r="H226" s="6" t="str">
        <f>IF(A226="","",SUMIFS(Chicks!$J:$J,Chicks!$F:$F,A226))</f>
        <v/>
      </c>
      <c r="I226" s="6" t="str">
        <f>IF(A226="","",COUNTIFS(Chicks!$F:$F,A226,Chicks!$I:$I,"No"))</f>
        <v/>
      </c>
      <c r="J226" s="6" t="str">
        <f>IF(A226="","",IFERROR(AVERAGEIF(Chicks!$F:$F,A226,Chicks!$M:$M),""))</f>
        <v/>
      </c>
      <c r="K226" s="6" t="str">
        <f>IF(A226="","",SUMIFS(Chicks!$N:$N,Chicks!$F:$F,A226))</f>
        <v/>
      </c>
      <c r="L226" s="6" t="str">
        <f>IF(A226="","",SUMIFS(Chicks!$O:$O,Chicks!$F:$F,A226))</f>
        <v/>
      </c>
      <c r="M226" s="6" t="str">
        <f>IF(A226="","",SUMIFS(Chicks!$P:$P,Chicks!$F:$F,A226))</f>
        <v/>
      </c>
      <c r="N226" s="6" t="str">
        <f t="shared" si="0"/>
        <v/>
      </c>
    </row>
    <row r="227" spans="1:14" ht="14.25" customHeight="1" x14ac:dyDescent="0.3">
      <c r="A227" s="4"/>
      <c r="B227" s="4"/>
      <c r="C227" s="4"/>
      <c r="D227" s="4"/>
      <c r="E227" s="4"/>
      <c r="F227" s="6" t="str">
        <f>IF(A227="","",COUNTIF(Chicks!$F:$F,A227))</f>
        <v/>
      </c>
      <c r="G227" s="6" t="str">
        <f>IF(A227="","",COUNTIFS(Chicks!$F:$F,A227,Chicks!$I:$I,"Yes"))</f>
        <v/>
      </c>
      <c r="H227" s="6" t="str">
        <f>IF(A227="","",SUMIFS(Chicks!$J:$J,Chicks!$F:$F,A227))</f>
        <v/>
      </c>
      <c r="I227" s="6" t="str">
        <f>IF(A227="","",COUNTIFS(Chicks!$F:$F,A227,Chicks!$I:$I,"No"))</f>
        <v/>
      </c>
      <c r="J227" s="6" t="str">
        <f>IF(A227="","",IFERROR(AVERAGEIF(Chicks!$F:$F,A227,Chicks!$M:$M),""))</f>
        <v/>
      </c>
      <c r="K227" s="6" t="str">
        <f>IF(A227="","",SUMIFS(Chicks!$N:$N,Chicks!$F:$F,A227))</f>
        <v/>
      </c>
      <c r="L227" s="6" t="str">
        <f>IF(A227="","",SUMIFS(Chicks!$O:$O,Chicks!$F:$F,A227))</f>
        <v/>
      </c>
      <c r="M227" s="6" t="str">
        <f>IF(A227="","",SUMIFS(Chicks!$P:$P,Chicks!$F:$F,A227))</f>
        <v/>
      </c>
      <c r="N227" s="6" t="str">
        <f t="shared" si="0"/>
        <v/>
      </c>
    </row>
    <row r="228" spans="1:14" ht="14.25" customHeight="1" x14ac:dyDescent="0.3">
      <c r="A228" s="4"/>
      <c r="B228" s="4"/>
      <c r="C228" s="4"/>
      <c r="D228" s="4"/>
      <c r="E228" s="4"/>
      <c r="F228" s="6" t="str">
        <f>IF(A228="","",COUNTIF(Chicks!$F:$F,A228))</f>
        <v/>
      </c>
      <c r="G228" s="6" t="str">
        <f>IF(A228="","",COUNTIFS(Chicks!$F:$F,A228,Chicks!$I:$I,"Yes"))</f>
        <v/>
      </c>
      <c r="H228" s="6" t="str">
        <f>IF(A228="","",SUMIFS(Chicks!$J:$J,Chicks!$F:$F,A228))</f>
        <v/>
      </c>
      <c r="I228" s="6" t="str">
        <f>IF(A228="","",COUNTIFS(Chicks!$F:$F,A228,Chicks!$I:$I,"No"))</f>
        <v/>
      </c>
      <c r="J228" s="6" t="str">
        <f>IF(A228="","",IFERROR(AVERAGEIF(Chicks!$F:$F,A228,Chicks!$M:$M),""))</f>
        <v/>
      </c>
      <c r="K228" s="6" t="str">
        <f>IF(A228="","",SUMIFS(Chicks!$N:$N,Chicks!$F:$F,A228))</f>
        <v/>
      </c>
      <c r="L228" s="6" t="str">
        <f>IF(A228="","",SUMIFS(Chicks!$O:$O,Chicks!$F:$F,A228))</f>
        <v/>
      </c>
      <c r="M228" s="6" t="str">
        <f>IF(A228="","",SUMIFS(Chicks!$P:$P,Chicks!$F:$F,A228))</f>
        <v/>
      </c>
      <c r="N228" s="6" t="str">
        <f t="shared" si="0"/>
        <v/>
      </c>
    </row>
    <row r="229" spans="1:14" ht="14.25" customHeight="1" x14ac:dyDescent="0.3">
      <c r="A229" s="4"/>
      <c r="B229" s="4"/>
      <c r="C229" s="4"/>
      <c r="D229" s="4"/>
      <c r="E229" s="4"/>
      <c r="F229" s="6" t="str">
        <f>IF(A229="","",COUNTIF(Chicks!$F:$F,A229))</f>
        <v/>
      </c>
      <c r="G229" s="6" t="str">
        <f>IF(A229="","",COUNTIFS(Chicks!$F:$F,A229,Chicks!$I:$I,"Yes"))</f>
        <v/>
      </c>
      <c r="H229" s="6" t="str">
        <f>IF(A229="","",SUMIFS(Chicks!$J:$J,Chicks!$F:$F,A229))</f>
        <v/>
      </c>
      <c r="I229" s="6" t="str">
        <f>IF(A229="","",COUNTIFS(Chicks!$F:$F,A229,Chicks!$I:$I,"No"))</f>
        <v/>
      </c>
      <c r="J229" s="6" t="str">
        <f>IF(A229="","",IFERROR(AVERAGEIF(Chicks!$F:$F,A229,Chicks!$M:$M),""))</f>
        <v/>
      </c>
      <c r="K229" s="6" t="str">
        <f>IF(A229="","",SUMIFS(Chicks!$N:$N,Chicks!$F:$F,A229))</f>
        <v/>
      </c>
      <c r="L229" s="6" t="str">
        <f>IF(A229="","",SUMIFS(Chicks!$O:$O,Chicks!$F:$F,A229))</f>
        <v/>
      </c>
      <c r="M229" s="6" t="str">
        <f>IF(A229="","",SUMIFS(Chicks!$P:$P,Chicks!$F:$F,A229))</f>
        <v/>
      </c>
      <c r="N229" s="6" t="str">
        <f t="shared" si="0"/>
        <v/>
      </c>
    </row>
    <row r="230" spans="1:14" ht="14.25" customHeight="1" x14ac:dyDescent="0.3">
      <c r="A230" s="4"/>
      <c r="B230" s="4"/>
      <c r="C230" s="4"/>
      <c r="D230" s="4"/>
      <c r="E230" s="4"/>
      <c r="F230" s="6" t="str">
        <f>IF(A230="","",COUNTIF(Chicks!$F:$F,A230))</f>
        <v/>
      </c>
      <c r="G230" s="6" t="str">
        <f>IF(A230="","",COUNTIFS(Chicks!$F:$F,A230,Chicks!$I:$I,"Yes"))</f>
        <v/>
      </c>
      <c r="H230" s="6" t="str">
        <f>IF(A230="","",SUMIFS(Chicks!$J:$J,Chicks!$F:$F,A230))</f>
        <v/>
      </c>
      <c r="I230" s="6" t="str">
        <f>IF(A230="","",COUNTIFS(Chicks!$F:$F,A230,Chicks!$I:$I,"No"))</f>
        <v/>
      </c>
      <c r="J230" s="6" t="str">
        <f>IF(A230="","",IFERROR(AVERAGEIF(Chicks!$F:$F,A230,Chicks!$M:$M),""))</f>
        <v/>
      </c>
      <c r="K230" s="6" t="str">
        <f>IF(A230="","",SUMIFS(Chicks!$N:$N,Chicks!$F:$F,A230))</f>
        <v/>
      </c>
      <c r="L230" s="6" t="str">
        <f>IF(A230="","",SUMIFS(Chicks!$O:$O,Chicks!$F:$F,A230))</f>
        <v/>
      </c>
      <c r="M230" s="6" t="str">
        <f>IF(A230="","",SUMIFS(Chicks!$P:$P,Chicks!$F:$F,A230))</f>
        <v/>
      </c>
      <c r="N230" s="6" t="str">
        <f t="shared" si="0"/>
        <v/>
      </c>
    </row>
    <row r="231" spans="1:14" ht="14.25" customHeight="1" x14ac:dyDescent="0.3">
      <c r="A231" s="4"/>
      <c r="B231" s="4"/>
      <c r="C231" s="4"/>
      <c r="D231" s="4"/>
      <c r="E231" s="4"/>
      <c r="F231" s="6" t="str">
        <f>IF(A231="","",COUNTIF(Chicks!$F:$F,A231))</f>
        <v/>
      </c>
      <c r="G231" s="6" t="str">
        <f>IF(A231="","",COUNTIFS(Chicks!$F:$F,A231,Chicks!$I:$I,"Yes"))</f>
        <v/>
      </c>
      <c r="H231" s="6" t="str">
        <f>IF(A231="","",SUMIFS(Chicks!$J:$J,Chicks!$F:$F,A231))</f>
        <v/>
      </c>
      <c r="I231" s="6" t="str">
        <f>IF(A231="","",COUNTIFS(Chicks!$F:$F,A231,Chicks!$I:$I,"No"))</f>
        <v/>
      </c>
      <c r="J231" s="6" t="str">
        <f>IF(A231="","",IFERROR(AVERAGEIF(Chicks!$F:$F,A231,Chicks!$M:$M),""))</f>
        <v/>
      </c>
      <c r="K231" s="6" t="str">
        <f>IF(A231="","",SUMIFS(Chicks!$N:$N,Chicks!$F:$F,A231))</f>
        <v/>
      </c>
      <c r="L231" s="6" t="str">
        <f>IF(A231="","",SUMIFS(Chicks!$O:$O,Chicks!$F:$F,A231))</f>
        <v/>
      </c>
      <c r="M231" s="6" t="str">
        <f>IF(A231="","",SUMIFS(Chicks!$P:$P,Chicks!$F:$F,A231))</f>
        <v/>
      </c>
      <c r="N231" s="6" t="str">
        <f t="shared" si="0"/>
        <v/>
      </c>
    </row>
    <row r="232" spans="1:14" ht="14.25" customHeight="1" x14ac:dyDescent="0.3">
      <c r="A232" s="4"/>
      <c r="B232" s="4"/>
      <c r="C232" s="4"/>
      <c r="D232" s="4"/>
      <c r="E232" s="4"/>
      <c r="F232" s="6" t="str">
        <f>IF(A232="","",COUNTIF(Chicks!$F:$F,A232))</f>
        <v/>
      </c>
      <c r="G232" s="6" t="str">
        <f>IF(A232="","",COUNTIFS(Chicks!$F:$F,A232,Chicks!$I:$I,"Yes"))</f>
        <v/>
      </c>
      <c r="H232" s="6" t="str">
        <f>IF(A232="","",SUMIFS(Chicks!$J:$J,Chicks!$F:$F,A232))</f>
        <v/>
      </c>
      <c r="I232" s="6" t="str">
        <f>IF(A232="","",COUNTIFS(Chicks!$F:$F,A232,Chicks!$I:$I,"No"))</f>
        <v/>
      </c>
      <c r="J232" s="6" t="str">
        <f>IF(A232="","",IFERROR(AVERAGEIF(Chicks!$F:$F,A232,Chicks!$M:$M),""))</f>
        <v/>
      </c>
      <c r="K232" s="6" t="str">
        <f>IF(A232="","",SUMIFS(Chicks!$N:$N,Chicks!$F:$F,A232))</f>
        <v/>
      </c>
      <c r="L232" s="6" t="str">
        <f>IF(A232="","",SUMIFS(Chicks!$O:$O,Chicks!$F:$F,A232))</f>
        <v/>
      </c>
      <c r="M232" s="6" t="str">
        <f>IF(A232="","",SUMIFS(Chicks!$P:$P,Chicks!$F:$F,A232))</f>
        <v/>
      </c>
      <c r="N232" s="6" t="str">
        <f t="shared" si="0"/>
        <v/>
      </c>
    </row>
    <row r="233" spans="1:14" ht="14.25" customHeight="1" x14ac:dyDescent="0.3">
      <c r="A233" s="4"/>
      <c r="B233" s="4"/>
      <c r="C233" s="4"/>
      <c r="D233" s="4"/>
      <c r="E233" s="4"/>
      <c r="F233" s="6" t="str">
        <f>IF(A233="","",COUNTIF(Chicks!$F:$F,A233))</f>
        <v/>
      </c>
      <c r="G233" s="6" t="str">
        <f>IF(A233="","",COUNTIFS(Chicks!$F:$F,A233,Chicks!$I:$I,"Yes"))</f>
        <v/>
      </c>
      <c r="H233" s="6" t="str">
        <f>IF(A233="","",SUMIFS(Chicks!$J:$J,Chicks!$F:$F,A233))</f>
        <v/>
      </c>
      <c r="I233" s="6" t="str">
        <f>IF(A233="","",COUNTIFS(Chicks!$F:$F,A233,Chicks!$I:$I,"No"))</f>
        <v/>
      </c>
      <c r="J233" s="6" t="str">
        <f>IF(A233="","",IFERROR(AVERAGEIF(Chicks!$F:$F,A233,Chicks!$M:$M),""))</f>
        <v/>
      </c>
      <c r="K233" s="6" t="str">
        <f>IF(A233="","",SUMIFS(Chicks!$N:$N,Chicks!$F:$F,A233))</f>
        <v/>
      </c>
      <c r="L233" s="6" t="str">
        <f>IF(A233="","",SUMIFS(Chicks!$O:$O,Chicks!$F:$F,A233))</f>
        <v/>
      </c>
      <c r="M233" s="6" t="str">
        <f>IF(A233="","",SUMIFS(Chicks!$P:$P,Chicks!$F:$F,A233))</f>
        <v/>
      </c>
      <c r="N233" s="6" t="str">
        <f t="shared" si="0"/>
        <v/>
      </c>
    </row>
    <row r="234" spans="1:14" ht="14.25" customHeight="1" x14ac:dyDescent="0.3">
      <c r="A234" s="4"/>
      <c r="B234" s="4"/>
      <c r="C234" s="4"/>
      <c r="D234" s="4"/>
      <c r="E234" s="4"/>
      <c r="F234" s="6" t="str">
        <f>IF(A234="","",COUNTIF(Chicks!$F:$F,A234))</f>
        <v/>
      </c>
      <c r="G234" s="6" t="str">
        <f>IF(A234="","",COUNTIFS(Chicks!$F:$F,A234,Chicks!$I:$I,"Yes"))</f>
        <v/>
      </c>
      <c r="H234" s="6" t="str">
        <f>IF(A234="","",SUMIFS(Chicks!$J:$J,Chicks!$F:$F,A234))</f>
        <v/>
      </c>
      <c r="I234" s="6" t="str">
        <f>IF(A234="","",COUNTIFS(Chicks!$F:$F,A234,Chicks!$I:$I,"No"))</f>
        <v/>
      </c>
      <c r="J234" s="6" t="str">
        <f>IF(A234="","",IFERROR(AVERAGEIF(Chicks!$F:$F,A234,Chicks!$M:$M),""))</f>
        <v/>
      </c>
      <c r="K234" s="6" t="str">
        <f>IF(A234="","",SUMIFS(Chicks!$N:$N,Chicks!$F:$F,A234))</f>
        <v/>
      </c>
      <c r="L234" s="6" t="str">
        <f>IF(A234="","",SUMIFS(Chicks!$O:$O,Chicks!$F:$F,A234))</f>
        <v/>
      </c>
      <c r="M234" s="6" t="str">
        <f>IF(A234="","",SUMIFS(Chicks!$P:$P,Chicks!$F:$F,A234))</f>
        <v/>
      </c>
      <c r="N234" s="6" t="str">
        <f t="shared" si="0"/>
        <v/>
      </c>
    </row>
    <row r="235" spans="1:14" ht="14.25" customHeight="1" x14ac:dyDescent="0.3">
      <c r="A235" s="4"/>
      <c r="B235" s="4"/>
      <c r="C235" s="4"/>
      <c r="D235" s="4"/>
      <c r="E235" s="4"/>
      <c r="F235" s="6" t="str">
        <f>IF(A235="","",COUNTIF(Chicks!$F:$F,A235))</f>
        <v/>
      </c>
      <c r="G235" s="6" t="str">
        <f>IF(A235="","",COUNTIFS(Chicks!$F:$F,A235,Chicks!$I:$I,"Yes"))</f>
        <v/>
      </c>
      <c r="H235" s="6" t="str">
        <f>IF(A235="","",SUMIFS(Chicks!$J:$J,Chicks!$F:$F,A235))</f>
        <v/>
      </c>
      <c r="I235" s="6" t="str">
        <f>IF(A235="","",COUNTIFS(Chicks!$F:$F,A235,Chicks!$I:$I,"No"))</f>
        <v/>
      </c>
      <c r="J235" s="6" t="str">
        <f>IF(A235="","",IFERROR(AVERAGEIF(Chicks!$F:$F,A235,Chicks!$M:$M),""))</f>
        <v/>
      </c>
      <c r="K235" s="6" t="str">
        <f>IF(A235="","",SUMIFS(Chicks!$N:$N,Chicks!$F:$F,A235))</f>
        <v/>
      </c>
      <c r="L235" s="6" t="str">
        <f>IF(A235="","",SUMIFS(Chicks!$O:$O,Chicks!$F:$F,A235))</f>
        <v/>
      </c>
      <c r="M235" s="6" t="str">
        <f>IF(A235="","",SUMIFS(Chicks!$P:$P,Chicks!$F:$F,A235))</f>
        <v/>
      </c>
      <c r="N235" s="6" t="str">
        <f t="shared" si="0"/>
        <v/>
      </c>
    </row>
    <row r="236" spans="1:14" ht="14.25" customHeight="1" x14ac:dyDescent="0.3">
      <c r="A236" s="4"/>
      <c r="B236" s="4"/>
      <c r="C236" s="4"/>
      <c r="D236" s="4"/>
      <c r="E236" s="4"/>
      <c r="F236" s="6" t="str">
        <f>IF(A236="","",COUNTIF(Chicks!$F:$F,A236))</f>
        <v/>
      </c>
      <c r="G236" s="6" t="str">
        <f>IF(A236="","",COUNTIFS(Chicks!$F:$F,A236,Chicks!$I:$I,"Yes"))</f>
        <v/>
      </c>
      <c r="H236" s="6" t="str">
        <f>IF(A236="","",SUMIFS(Chicks!$J:$J,Chicks!$F:$F,A236))</f>
        <v/>
      </c>
      <c r="I236" s="6" t="str">
        <f>IF(A236="","",COUNTIFS(Chicks!$F:$F,A236,Chicks!$I:$I,"No"))</f>
        <v/>
      </c>
      <c r="J236" s="6" t="str">
        <f>IF(A236="","",IFERROR(AVERAGEIF(Chicks!$F:$F,A236,Chicks!$M:$M),""))</f>
        <v/>
      </c>
      <c r="K236" s="6" t="str">
        <f>IF(A236="","",SUMIFS(Chicks!$N:$N,Chicks!$F:$F,A236))</f>
        <v/>
      </c>
      <c r="L236" s="6" t="str">
        <f>IF(A236="","",SUMIFS(Chicks!$O:$O,Chicks!$F:$F,A236))</f>
        <v/>
      </c>
      <c r="M236" s="6" t="str">
        <f>IF(A236="","",SUMIFS(Chicks!$P:$P,Chicks!$F:$F,A236))</f>
        <v/>
      </c>
      <c r="N236" s="6" t="str">
        <f t="shared" si="0"/>
        <v/>
      </c>
    </row>
    <row r="237" spans="1:14" ht="14.25" customHeight="1" x14ac:dyDescent="0.3">
      <c r="A237" s="4"/>
      <c r="B237" s="4"/>
      <c r="C237" s="4"/>
      <c r="D237" s="4"/>
      <c r="E237" s="4"/>
      <c r="F237" s="6" t="str">
        <f>IF(A237="","",COUNTIF(Chicks!$F:$F,A237))</f>
        <v/>
      </c>
      <c r="G237" s="6" t="str">
        <f>IF(A237="","",COUNTIFS(Chicks!$F:$F,A237,Chicks!$I:$I,"Yes"))</f>
        <v/>
      </c>
      <c r="H237" s="6" t="str">
        <f>IF(A237="","",SUMIFS(Chicks!$J:$J,Chicks!$F:$F,A237))</f>
        <v/>
      </c>
      <c r="I237" s="6" t="str">
        <f>IF(A237="","",COUNTIFS(Chicks!$F:$F,A237,Chicks!$I:$I,"No"))</f>
        <v/>
      </c>
      <c r="J237" s="6" t="str">
        <f>IF(A237="","",IFERROR(AVERAGEIF(Chicks!$F:$F,A237,Chicks!$M:$M),""))</f>
        <v/>
      </c>
      <c r="K237" s="6" t="str">
        <f>IF(A237="","",SUMIFS(Chicks!$N:$N,Chicks!$F:$F,A237))</f>
        <v/>
      </c>
      <c r="L237" s="6" t="str">
        <f>IF(A237="","",SUMIFS(Chicks!$O:$O,Chicks!$F:$F,A237))</f>
        <v/>
      </c>
      <c r="M237" s="6" t="str">
        <f>IF(A237="","",SUMIFS(Chicks!$P:$P,Chicks!$F:$F,A237))</f>
        <v/>
      </c>
      <c r="N237" s="6" t="str">
        <f t="shared" si="0"/>
        <v/>
      </c>
    </row>
    <row r="238" spans="1:14" ht="14.25" customHeight="1" x14ac:dyDescent="0.3">
      <c r="A238" s="4"/>
      <c r="B238" s="4"/>
      <c r="C238" s="4"/>
      <c r="D238" s="4"/>
      <c r="E238" s="4"/>
      <c r="F238" s="6" t="str">
        <f>IF(A238="","",COUNTIF(Chicks!$F:$F,A238))</f>
        <v/>
      </c>
      <c r="G238" s="6" t="str">
        <f>IF(A238="","",COUNTIFS(Chicks!$F:$F,A238,Chicks!$I:$I,"Yes"))</f>
        <v/>
      </c>
      <c r="H238" s="6" t="str">
        <f>IF(A238="","",SUMIFS(Chicks!$J:$J,Chicks!$F:$F,A238))</f>
        <v/>
      </c>
      <c r="I238" s="6" t="str">
        <f>IF(A238="","",COUNTIFS(Chicks!$F:$F,A238,Chicks!$I:$I,"No"))</f>
        <v/>
      </c>
      <c r="J238" s="6" t="str">
        <f>IF(A238="","",IFERROR(AVERAGEIF(Chicks!$F:$F,A238,Chicks!$M:$M),""))</f>
        <v/>
      </c>
      <c r="K238" s="6" t="str">
        <f>IF(A238="","",SUMIFS(Chicks!$N:$N,Chicks!$F:$F,A238))</f>
        <v/>
      </c>
      <c r="L238" s="6" t="str">
        <f>IF(A238="","",SUMIFS(Chicks!$O:$O,Chicks!$F:$F,A238))</f>
        <v/>
      </c>
      <c r="M238" s="6" t="str">
        <f>IF(A238="","",SUMIFS(Chicks!$P:$P,Chicks!$F:$F,A238))</f>
        <v/>
      </c>
      <c r="N238" s="6" t="str">
        <f t="shared" si="0"/>
        <v/>
      </c>
    </row>
    <row r="239" spans="1:14" ht="14.25" customHeight="1" x14ac:dyDescent="0.3">
      <c r="A239" s="4"/>
      <c r="B239" s="4"/>
      <c r="C239" s="4"/>
      <c r="D239" s="4"/>
      <c r="E239" s="4"/>
      <c r="F239" s="6" t="str">
        <f>IF(A239="","",COUNTIF(Chicks!$F:$F,A239))</f>
        <v/>
      </c>
      <c r="G239" s="6" t="str">
        <f>IF(A239="","",COUNTIFS(Chicks!$F:$F,A239,Chicks!$I:$I,"Yes"))</f>
        <v/>
      </c>
      <c r="H239" s="6" t="str">
        <f>IF(A239="","",SUMIFS(Chicks!$J:$J,Chicks!$F:$F,A239))</f>
        <v/>
      </c>
      <c r="I239" s="6" t="str">
        <f>IF(A239="","",COUNTIFS(Chicks!$F:$F,A239,Chicks!$I:$I,"No"))</f>
        <v/>
      </c>
      <c r="J239" s="6" t="str">
        <f>IF(A239="","",IFERROR(AVERAGEIF(Chicks!$F:$F,A239,Chicks!$M:$M),""))</f>
        <v/>
      </c>
      <c r="K239" s="6" t="str">
        <f>IF(A239="","",SUMIFS(Chicks!$N:$N,Chicks!$F:$F,A239))</f>
        <v/>
      </c>
      <c r="L239" s="6" t="str">
        <f>IF(A239="","",SUMIFS(Chicks!$O:$O,Chicks!$F:$F,A239))</f>
        <v/>
      </c>
      <c r="M239" s="6" t="str">
        <f>IF(A239="","",SUMIFS(Chicks!$P:$P,Chicks!$F:$F,A239))</f>
        <v/>
      </c>
      <c r="N239" s="6" t="str">
        <f t="shared" si="0"/>
        <v/>
      </c>
    </row>
    <row r="240" spans="1:14" ht="14.25" customHeight="1" x14ac:dyDescent="0.3">
      <c r="A240" s="4"/>
      <c r="B240" s="4"/>
      <c r="C240" s="4"/>
      <c r="D240" s="4"/>
      <c r="E240" s="4"/>
      <c r="F240" s="6" t="str">
        <f>IF(A240="","",COUNTIF(Chicks!$F:$F,A240))</f>
        <v/>
      </c>
      <c r="G240" s="6" t="str">
        <f>IF(A240="","",COUNTIFS(Chicks!$F:$F,A240,Chicks!$I:$I,"Yes"))</f>
        <v/>
      </c>
      <c r="H240" s="6" t="str">
        <f>IF(A240="","",SUMIFS(Chicks!$J:$J,Chicks!$F:$F,A240))</f>
        <v/>
      </c>
      <c r="I240" s="6" t="str">
        <f>IF(A240="","",COUNTIFS(Chicks!$F:$F,A240,Chicks!$I:$I,"No"))</f>
        <v/>
      </c>
      <c r="J240" s="6" t="str">
        <f>IF(A240="","",IFERROR(AVERAGEIF(Chicks!$F:$F,A240,Chicks!$M:$M),""))</f>
        <v/>
      </c>
      <c r="K240" s="6" t="str">
        <f>IF(A240="","",SUMIFS(Chicks!$N:$N,Chicks!$F:$F,A240))</f>
        <v/>
      </c>
      <c r="L240" s="6" t="str">
        <f>IF(A240="","",SUMIFS(Chicks!$O:$O,Chicks!$F:$F,A240))</f>
        <v/>
      </c>
      <c r="M240" s="6" t="str">
        <f>IF(A240="","",SUMIFS(Chicks!$P:$P,Chicks!$F:$F,A240))</f>
        <v/>
      </c>
      <c r="N240" s="6" t="str">
        <f t="shared" si="0"/>
        <v/>
      </c>
    </row>
    <row r="241" spans="1:14" ht="14.25" customHeight="1" x14ac:dyDescent="0.3">
      <c r="A241" s="4"/>
      <c r="B241" s="4"/>
      <c r="C241" s="4"/>
      <c r="D241" s="4"/>
      <c r="E241" s="4"/>
      <c r="F241" s="6" t="str">
        <f>IF(A241="","",COUNTIF(Chicks!$F:$F,A241))</f>
        <v/>
      </c>
      <c r="G241" s="6" t="str">
        <f>IF(A241="","",COUNTIFS(Chicks!$F:$F,A241,Chicks!$I:$I,"Yes"))</f>
        <v/>
      </c>
      <c r="H241" s="6" t="str">
        <f>IF(A241="","",SUMIFS(Chicks!$J:$J,Chicks!$F:$F,A241))</f>
        <v/>
      </c>
      <c r="I241" s="6" t="str">
        <f>IF(A241="","",COUNTIFS(Chicks!$F:$F,A241,Chicks!$I:$I,"No"))</f>
        <v/>
      </c>
      <c r="J241" s="6" t="str">
        <f>IF(A241="","",IFERROR(AVERAGEIF(Chicks!$F:$F,A241,Chicks!$M:$M),""))</f>
        <v/>
      </c>
      <c r="K241" s="6" t="str">
        <f>IF(A241="","",SUMIFS(Chicks!$N:$N,Chicks!$F:$F,A241))</f>
        <v/>
      </c>
      <c r="L241" s="6" t="str">
        <f>IF(A241="","",SUMIFS(Chicks!$O:$O,Chicks!$F:$F,A241))</f>
        <v/>
      </c>
      <c r="M241" s="6" t="str">
        <f>IF(A241="","",SUMIFS(Chicks!$P:$P,Chicks!$F:$F,A241))</f>
        <v/>
      </c>
      <c r="N241" s="6" t="str">
        <f t="shared" si="0"/>
        <v/>
      </c>
    </row>
    <row r="242" spans="1:14" ht="14.25" customHeight="1" x14ac:dyDescent="0.3">
      <c r="A242" s="4"/>
      <c r="B242" s="4"/>
      <c r="C242" s="4"/>
      <c r="D242" s="4"/>
      <c r="E242" s="4"/>
      <c r="F242" s="6" t="str">
        <f>IF(A242="","",COUNTIF(Chicks!$F:$F,A242))</f>
        <v/>
      </c>
      <c r="G242" s="6" t="str">
        <f>IF(A242="","",COUNTIFS(Chicks!$F:$F,A242,Chicks!$I:$I,"Yes"))</f>
        <v/>
      </c>
      <c r="H242" s="6" t="str">
        <f>IF(A242="","",SUMIFS(Chicks!$J:$J,Chicks!$F:$F,A242))</f>
        <v/>
      </c>
      <c r="I242" s="6" t="str">
        <f>IF(A242="","",COUNTIFS(Chicks!$F:$F,A242,Chicks!$I:$I,"No"))</f>
        <v/>
      </c>
      <c r="J242" s="6" t="str">
        <f>IF(A242="","",IFERROR(AVERAGEIF(Chicks!$F:$F,A242,Chicks!$M:$M),""))</f>
        <v/>
      </c>
      <c r="K242" s="6" t="str">
        <f>IF(A242="","",SUMIFS(Chicks!$N:$N,Chicks!$F:$F,A242))</f>
        <v/>
      </c>
      <c r="L242" s="6" t="str">
        <f>IF(A242="","",SUMIFS(Chicks!$O:$O,Chicks!$F:$F,A242))</f>
        <v/>
      </c>
      <c r="M242" s="6" t="str">
        <f>IF(A242="","",SUMIFS(Chicks!$P:$P,Chicks!$F:$F,A242))</f>
        <v/>
      </c>
      <c r="N242" s="6" t="str">
        <f t="shared" si="0"/>
        <v/>
      </c>
    </row>
    <row r="243" spans="1:14" ht="14.25" customHeight="1" x14ac:dyDescent="0.3">
      <c r="A243" s="4"/>
      <c r="B243" s="4"/>
      <c r="C243" s="4"/>
      <c r="D243" s="4"/>
      <c r="E243" s="4"/>
      <c r="F243" s="6" t="str">
        <f>IF(A243="","",COUNTIF(Chicks!$F:$F,A243))</f>
        <v/>
      </c>
      <c r="G243" s="6" t="str">
        <f>IF(A243="","",COUNTIFS(Chicks!$F:$F,A243,Chicks!$I:$I,"Yes"))</f>
        <v/>
      </c>
      <c r="H243" s="6" t="str">
        <f>IF(A243="","",SUMIFS(Chicks!$J:$J,Chicks!$F:$F,A243))</f>
        <v/>
      </c>
      <c r="I243" s="6" t="str">
        <f>IF(A243="","",COUNTIFS(Chicks!$F:$F,A243,Chicks!$I:$I,"No"))</f>
        <v/>
      </c>
      <c r="J243" s="6" t="str">
        <f>IF(A243="","",IFERROR(AVERAGEIF(Chicks!$F:$F,A243,Chicks!$M:$M),""))</f>
        <v/>
      </c>
      <c r="K243" s="6" t="str">
        <f>IF(A243="","",SUMIFS(Chicks!$N:$N,Chicks!$F:$F,A243))</f>
        <v/>
      </c>
      <c r="L243" s="6" t="str">
        <f>IF(A243="","",SUMIFS(Chicks!$O:$O,Chicks!$F:$F,A243))</f>
        <v/>
      </c>
      <c r="M243" s="6" t="str">
        <f>IF(A243="","",SUMIFS(Chicks!$P:$P,Chicks!$F:$F,A243))</f>
        <v/>
      </c>
      <c r="N243" s="6" t="str">
        <f t="shared" si="0"/>
        <v/>
      </c>
    </row>
    <row r="244" spans="1:14" ht="14.25" customHeight="1" x14ac:dyDescent="0.3">
      <c r="A244" s="4"/>
      <c r="B244" s="4"/>
      <c r="C244" s="4"/>
      <c r="D244" s="4"/>
      <c r="E244" s="4"/>
      <c r="F244" s="6" t="str">
        <f>IF(A244="","",COUNTIF(Chicks!$F:$F,A244))</f>
        <v/>
      </c>
      <c r="G244" s="6" t="str">
        <f>IF(A244="","",COUNTIFS(Chicks!$F:$F,A244,Chicks!$I:$I,"Yes"))</f>
        <v/>
      </c>
      <c r="H244" s="6" t="str">
        <f>IF(A244="","",SUMIFS(Chicks!$J:$J,Chicks!$F:$F,A244))</f>
        <v/>
      </c>
      <c r="I244" s="6" t="str">
        <f>IF(A244="","",COUNTIFS(Chicks!$F:$F,A244,Chicks!$I:$I,"No"))</f>
        <v/>
      </c>
      <c r="J244" s="6" t="str">
        <f>IF(A244="","",IFERROR(AVERAGEIF(Chicks!$F:$F,A244,Chicks!$M:$M),""))</f>
        <v/>
      </c>
      <c r="K244" s="6" t="str">
        <f>IF(A244="","",SUMIFS(Chicks!$N:$N,Chicks!$F:$F,A244))</f>
        <v/>
      </c>
      <c r="L244" s="6" t="str">
        <f>IF(A244="","",SUMIFS(Chicks!$O:$O,Chicks!$F:$F,A244))</f>
        <v/>
      </c>
      <c r="M244" s="6" t="str">
        <f>IF(A244="","",SUMIFS(Chicks!$P:$P,Chicks!$F:$F,A244))</f>
        <v/>
      </c>
      <c r="N244" s="6" t="str">
        <f t="shared" si="0"/>
        <v/>
      </c>
    </row>
    <row r="245" spans="1:14" ht="14.25" customHeight="1" x14ac:dyDescent="0.3">
      <c r="A245" s="4"/>
      <c r="B245" s="4"/>
      <c r="C245" s="4"/>
      <c r="D245" s="4"/>
      <c r="E245" s="4"/>
      <c r="F245" s="6" t="str">
        <f>IF(A245="","",COUNTIF(Chicks!$F:$F,A245))</f>
        <v/>
      </c>
      <c r="G245" s="6" t="str">
        <f>IF(A245="","",COUNTIFS(Chicks!$F:$F,A245,Chicks!$I:$I,"Yes"))</f>
        <v/>
      </c>
      <c r="H245" s="6" t="str">
        <f>IF(A245="","",SUMIFS(Chicks!$J:$J,Chicks!$F:$F,A245))</f>
        <v/>
      </c>
      <c r="I245" s="6" t="str">
        <f>IF(A245="","",COUNTIFS(Chicks!$F:$F,A245,Chicks!$I:$I,"No"))</f>
        <v/>
      </c>
      <c r="J245" s="6" t="str">
        <f>IF(A245="","",IFERROR(AVERAGEIF(Chicks!$F:$F,A245,Chicks!$M:$M),""))</f>
        <v/>
      </c>
      <c r="K245" s="6" t="str">
        <f>IF(A245="","",SUMIFS(Chicks!$N:$N,Chicks!$F:$F,A245))</f>
        <v/>
      </c>
      <c r="L245" s="6" t="str">
        <f>IF(A245="","",SUMIFS(Chicks!$O:$O,Chicks!$F:$F,A245))</f>
        <v/>
      </c>
      <c r="M245" s="6" t="str">
        <f>IF(A245="","",SUMIFS(Chicks!$P:$P,Chicks!$F:$F,A245))</f>
        <v/>
      </c>
      <c r="N245" s="6" t="str">
        <f t="shared" si="0"/>
        <v/>
      </c>
    </row>
    <row r="246" spans="1:14" ht="14.25" customHeight="1" x14ac:dyDescent="0.3">
      <c r="A246" s="4"/>
      <c r="B246" s="4"/>
      <c r="C246" s="4"/>
      <c r="D246" s="4"/>
      <c r="E246" s="4"/>
      <c r="F246" s="6" t="str">
        <f>IF(A246="","",COUNTIF(Chicks!$F:$F,A246))</f>
        <v/>
      </c>
      <c r="G246" s="6" t="str">
        <f>IF(A246="","",COUNTIFS(Chicks!$F:$F,A246,Chicks!$I:$I,"Yes"))</f>
        <v/>
      </c>
      <c r="H246" s="6" t="str">
        <f>IF(A246="","",SUMIFS(Chicks!$J:$J,Chicks!$F:$F,A246))</f>
        <v/>
      </c>
      <c r="I246" s="6" t="str">
        <f>IF(A246="","",COUNTIFS(Chicks!$F:$F,A246,Chicks!$I:$I,"No"))</f>
        <v/>
      </c>
      <c r="J246" s="6" t="str">
        <f>IF(A246="","",IFERROR(AVERAGEIF(Chicks!$F:$F,A246,Chicks!$M:$M),""))</f>
        <v/>
      </c>
      <c r="K246" s="6" t="str">
        <f>IF(A246="","",SUMIFS(Chicks!$N:$N,Chicks!$F:$F,A246))</f>
        <v/>
      </c>
      <c r="L246" s="6" t="str">
        <f>IF(A246="","",SUMIFS(Chicks!$O:$O,Chicks!$F:$F,A246))</f>
        <v/>
      </c>
      <c r="M246" s="6" t="str">
        <f>IF(A246="","",SUMIFS(Chicks!$P:$P,Chicks!$F:$F,A246))</f>
        <v/>
      </c>
      <c r="N246" s="6" t="str">
        <f t="shared" si="0"/>
        <v/>
      </c>
    </row>
    <row r="247" spans="1:14" ht="14.25" customHeight="1" x14ac:dyDescent="0.3">
      <c r="A247" s="4"/>
      <c r="B247" s="4"/>
      <c r="C247" s="4"/>
      <c r="D247" s="4"/>
      <c r="E247" s="4"/>
      <c r="F247" s="6" t="str">
        <f>IF(A247="","",COUNTIF(Chicks!$F:$F,A247))</f>
        <v/>
      </c>
      <c r="G247" s="6" t="str">
        <f>IF(A247="","",COUNTIFS(Chicks!$F:$F,A247,Chicks!$I:$I,"Yes"))</f>
        <v/>
      </c>
      <c r="H247" s="6" t="str">
        <f>IF(A247="","",SUMIFS(Chicks!$J:$J,Chicks!$F:$F,A247))</f>
        <v/>
      </c>
      <c r="I247" s="6" t="str">
        <f>IF(A247="","",COUNTIFS(Chicks!$F:$F,A247,Chicks!$I:$I,"No"))</f>
        <v/>
      </c>
      <c r="J247" s="6" t="str">
        <f>IF(A247="","",IFERROR(AVERAGEIF(Chicks!$F:$F,A247,Chicks!$M:$M),""))</f>
        <v/>
      </c>
      <c r="K247" s="6" t="str">
        <f>IF(A247="","",SUMIFS(Chicks!$N:$N,Chicks!$F:$F,A247))</f>
        <v/>
      </c>
      <c r="L247" s="6" t="str">
        <f>IF(A247="","",SUMIFS(Chicks!$O:$O,Chicks!$F:$F,A247))</f>
        <v/>
      </c>
      <c r="M247" s="6" t="str">
        <f>IF(A247="","",SUMIFS(Chicks!$P:$P,Chicks!$F:$F,A247))</f>
        <v/>
      </c>
      <c r="N247" s="6" t="str">
        <f t="shared" si="0"/>
        <v/>
      </c>
    </row>
    <row r="248" spans="1:14" ht="14.25" customHeight="1" x14ac:dyDescent="0.3">
      <c r="A248" s="4"/>
      <c r="B248" s="4"/>
      <c r="C248" s="4"/>
      <c r="D248" s="4"/>
      <c r="E248" s="4"/>
      <c r="F248" s="6" t="str">
        <f>IF(A248="","",COUNTIF(Chicks!$F:$F,A248))</f>
        <v/>
      </c>
      <c r="G248" s="6" t="str">
        <f>IF(A248="","",COUNTIFS(Chicks!$F:$F,A248,Chicks!$I:$I,"Yes"))</f>
        <v/>
      </c>
      <c r="H248" s="6" t="str">
        <f>IF(A248="","",SUMIFS(Chicks!$J:$J,Chicks!$F:$F,A248))</f>
        <v/>
      </c>
      <c r="I248" s="6" t="str">
        <f>IF(A248="","",COUNTIFS(Chicks!$F:$F,A248,Chicks!$I:$I,"No"))</f>
        <v/>
      </c>
      <c r="J248" s="6" t="str">
        <f>IF(A248="","",IFERROR(AVERAGEIF(Chicks!$F:$F,A248,Chicks!$M:$M),""))</f>
        <v/>
      </c>
      <c r="K248" s="6" t="str">
        <f>IF(A248="","",SUMIFS(Chicks!$N:$N,Chicks!$F:$F,A248))</f>
        <v/>
      </c>
      <c r="L248" s="6" t="str">
        <f>IF(A248="","",SUMIFS(Chicks!$O:$O,Chicks!$F:$F,A248))</f>
        <v/>
      </c>
      <c r="M248" s="6" t="str">
        <f>IF(A248="","",SUMIFS(Chicks!$P:$P,Chicks!$F:$F,A248))</f>
        <v/>
      </c>
      <c r="N248" s="6" t="str">
        <f t="shared" si="0"/>
        <v/>
      </c>
    </row>
    <row r="249" spans="1:14" ht="14.25" customHeight="1" x14ac:dyDescent="0.3">
      <c r="A249" s="4"/>
      <c r="B249" s="4"/>
      <c r="C249" s="4"/>
      <c r="D249" s="4"/>
      <c r="E249" s="4"/>
      <c r="F249" s="6" t="str">
        <f>IF(A249="","",COUNTIF(Chicks!$F:$F,A249))</f>
        <v/>
      </c>
      <c r="G249" s="6" t="str">
        <f>IF(A249="","",COUNTIFS(Chicks!$F:$F,A249,Chicks!$I:$I,"Yes"))</f>
        <v/>
      </c>
      <c r="H249" s="6" t="str">
        <f>IF(A249="","",SUMIFS(Chicks!$J:$J,Chicks!$F:$F,A249))</f>
        <v/>
      </c>
      <c r="I249" s="6" t="str">
        <f>IF(A249="","",COUNTIFS(Chicks!$F:$F,A249,Chicks!$I:$I,"No"))</f>
        <v/>
      </c>
      <c r="J249" s="6" t="str">
        <f>IF(A249="","",IFERROR(AVERAGEIF(Chicks!$F:$F,A249,Chicks!$M:$M),""))</f>
        <v/>
      </c>
      <c r="K249" s="6" t="str">
        <f>IF(A249="","",SUMIFS(Chicks!$N:$N,Chicks!$F:$F,A249))</f>
        <v/>
      </c>
      <c r="L249" s="6" t="str">
        <f>IF(A249="","",SUMIFS(Chicks!$O:$O,Chicks!$F:$F,A249))</f>
        <v/>
      </c>
      <c r="M249" s="6" t="str">
        <f>IF(A249="","",SUMIFS(Chicks!$P:$P,Chicks!$F:$F,A249))</f>
        <v/>
      </c>
      <c r="N249" s="6" t="str">
        <f t="shared" si="0"/>
        <v/>
      </c>
    </row>
    <row r="250" spans="1:14" ht="14.25" customHeight="1" x14ac:dyDescent="0.3">
      <c r="A250" s="4"/>
      <c r="B250" s="4"/>
      <c r="C250" s="4"/>
      <c r="D250" s="4"/>
      <c r="E250" s="4"/>
      <c r="F250" s="6" t="str">
        <f>IF(A250="","",COUNTIF(Chicks!$F:$F,A250))</f>
        <v/>
      </c>
      <c r="G250" s="6" t="str">
        <f>IF(A250="","",COUNTIFS(Chicks!$F:$F,A250,Chicks!$I:$I,"Yes"))</f>
        <v/>
      </c>
      <c r="H250" s="6" t="str">
        <f>IF(A250="","",SUMIFS(Chicks!$J:$J,Chicks!$F:$F,A250))</f>
        <v/>
      </c>
      <c r="I250" s="6" t="str">
        <f>IF(A250="","",COUNTIFS(Chicks!$F:$F,A250,Chicks!$I:$I,"No"))</f>
        <v/>
      </c>
      <c r="J250" s="6" t="str">
        <f>IF(A250="","",IFERROR(AVERAGEIF(Chicks!$F:$F,A250,Chicks!$M:$M),""))</f>
        <v/>
      </c>
      <c r="K250" s="6" t="str">
        <f>IF(A250="","",SUMIFS(Chicks!$N:$N,Chicks!$F:$F,A250))</f>
        <v/>
      </c>
      <c r="L250" s="6" t="str">
        <f>IF(A250="","",SUMIFS(Chicks!$O:$O,Chicks!$F:$F,A250))</f>
        <v/>
      </c>
      <c r="M250" s="6" t="str">
        <f>IF(A250="","",SUMIFS(Chicks!$P:$P,Chicks!$F:$F,A250))</f>
        <v/>
      </c>
      <c r="N250" s="6" t="str">
        <f t="shared" si="0"/>
        <v/>
      </c>
    </row>
    <row r="251" spans="1:14" ht="14.25" customHeight="1" x14ac:dyDescent="0.3">
      <c r="A251" s="4"/>
      <c r="B251" s="4"/>
      <c r="C251" s="4"/>
      <c r="D251" s="4"/>
      <c r="E251" s="4"/>
      <c r="F251" s="6" t="str">
        <f>IF(A251="","",COUNTIF(Chicks!$F:$F,A251))</f>
        <v/>
      </c>
      <c r="G251" s="6" t="str">
        <f>IF(A251="","",COUNTIFS(Chicks!$F:$F,A251,Chicks!$I:$I,"Yes"))</f>
        <v/>
      </c>
      <c r="H251" s="6" t="str">
        <f>IF(A251="","",SUMIFS(Chicks!$J:$J,Chicks!$F:$F,A251))</f>
        <v/>
      </c>
      <c r="I251" s="6" t="str">
        <f>IF(A251="","",COUNTIFS(Chicks!$F:$F,A251,Chicks!$I:$I,"No"))</f>
        <v/>
      </c>
      <c r="J251" s="6" t="str">
        <f>IF(A251="","",IFERROR(AVERAGEIF(Chicks!$F:$F,A251,Chicks!$M:$M),""))</f>
        <v/>
      </c>
      <c r="K251" s="6" t="str">
        <f>IF(A251="","",SUMIFS(Chicks!$N:$N,Chicks!$F:$F,A251))</f>
        <v/>
      </c>
      <c r="L251" s="6" t="str">
        <f>IF(A251="","",SUMIFS(Chicks!$O:$O,Chicks!$F:$F,A251))</f>
        <v/>
      </c>
      <c r="M251" s="6" t="str">
        <f>IF(A251="","",SUMIFS(Chicks!$P:$P,Chicks!$F:$F,A251))</f>
        <v/>
      </c>
      <c r="N251" s="6" t="str">
        <f t="shared" si="0"/>
        <v/>
      </c>
    </row>
    <row r="252" spans="1:14" ht="14.25" customHeight="1" x14ac:dyDescent="0.3">
      <c r="A252" s="4"/>
      <c r="B252" s="4"/>
      <c r="C252" s="4"/>
      <c r="D252" s="4"/>
      <c r="E252" s="4"/>
      <c r="F252" s="6" t="str">
        <f>IF(A252="","",COUNTIF(Chicks!$F:$F,A252))</f>
        <v/>
      </c>
      <c r="G252" s="6" t="str">
        <f>IF(A252="","",COUNTIFS(Chicks!$F:$F,A252,Chicks!$I:$I,"Yes"))</f>
        <v/>
      </c>
      <c r="H252" s="6" t="str">
        <f>IF(A252="","",SUMIFS(Chicks!$J:$J,Chicks!$F:$F,A252))</f>
        <v/>
      </c>
      <c r="I252" s="6" t="str">
        <f>IF(A252="","",COUNTIFS(Chicks!$F:$F,A252,Chicks!$I:$I,"No"))</f>
        <v/>
      </c>
      <c r="J252" s="6" t="str">
        <f>IF(A252="","",IFERROR(AVERAGEIF(Chicks!$F:$F,A252,Chicks!$M:$M),""))</f>
        <v/>
      </c>
      <c r="K252" s="6" t="str">
        <f>IF(A252="","",SUMIFS(Chicks!$N:$N,Chicks!$F:$F,A252))</f>
        <v/>
      </c>
      <c r="L252" s="6" t="str">
        <f>IF(A252="","",SUMIFS(Chicks!$O:$O,Chicks!$F:$F,A252))</f>
        <v/>
      </c>
      <c r="M252" s="6" t="str">
        <f>IF(A252="","",SUMIFS(Chicks!$P:$P,Chicks!$F:$F,A252))</f>
        <v/>
      </c>
      <c r="N252" s="6" t="str">
        <f t="shared" si="0"/>
        <v/>
      </c>
    </row>
    <row r="253" spans="1:14" ht="14.25" customHeight="1" x14ac:dyDescent="0.3">
      <c r="A253" s="4"/>
      <c r="B253" s="4"/>
      <c r="C253" s="4"/>
      <c r="D253" s="4"/>
      <c r="E253" s="4"/>
      <c r="F253" s="6" t="str">
        <f>IF(A253="","",COUNTIF(Chicks!$F:$F,A253))</f>
        <v/>
      </c>
      <c r="G253" s="6" t="str">
        <f>IF(A253="","",COUNTIFS(Chicks!$F:$F,A253,Chicks!$I:$I,"Yes"))</f>
        <v/>
      </c>
      <c r="H253" s="6" t="str">
        <f>IF(A253="","",SUMIFS(Chicks!$J:$J,Chicks!$F:$F,A253))</f>
        <v/>
      </c>
      <c r="I253" s="6" t="str">
        <f>IF(A253="","",COUNTIFS(Chicks!$F:$F,A253,Chicks!$I:$I,"No"))</f>
        <v/>
      </c>
      <c r="J253" s="6" t="str">
        <f>IF(A253="","",IFERROR(AVERAGEIF(Chicks!$F:$F,A253,Chicks!$M:$M),""))</f>
        <v/>
      </c>
      <c r="K253" s="6" t="str">
        <f>IF(A253="","",SUMIFS(Chicks!$N:$N,Chicks!$F:$F,A253))</f>
        <v/>
      </c>
      <c r="L253" s="6" t="str">
        <f>IF(A253="","",SUMIFS(Chicks!$O:$O,Chicks!$F:$F,A253))</f>
        <v/>
      </c>
      <c r="M253" s="6" t="str">
        <f>IF(A253="","",SUMIFS(Chicks!$P:$P,Chicks!$F:$F,A253))</f>
        <v/>
      </c>
      <c r="N253" s="6" t="str">
        <f t="shared" si="0"/>
        <v/>
      </c>
    </row>
    <row r="254" spans="1:14" ht="14.25" customHeight="1" x14ac:dyDescent="0.3">
      <c r="A254" s="4"/>
      <c r="B254" s="4"/>
      <c r="C254" s="4"/>
      <c r="D254" s="4"/>
      <c r="E254" s="4"/>
      <c r="F254" s="6" t="str">
        <f>IF(A254="","",COUNTIF(Chicks!$F:$F,A254))</f>
        <v/>
      </c>
      <c r="G254" s="6" t="str">
        <f>IF(A254="","",COUNTIFS(Chicks!$F:$F,A254,Chicks!$I:$I,"Yes"))</f>
        <v/>
      </c>
      <c r="H254" s="6" t="str">
        <f>IF(A254="","",SUMIFS(Chicks!$J:$J,Chicks!$F:$F,A254))</f>
        <v/>
      </c>
      <c r="I254" s="6" t="str">
        <f>IF(A254="","",COUNTIFS(Chicks!$F:$F,A254,Chicks!$I:$I,"No"))</f>
        <v/>
      </c>
      <c r="J254" s="6" t="str">
        <f>IF(A254="","",IFERROR(AVERAGEIF(Chicks!$F:$F,A254,Chicks!$M:$M),""))</f>
        <v/>
      </c>
      <c r="K254" s="6" t="str">
        <f>IF(A254="","",SUMIFS(Chicks!$N:$N,Chicks!$F:$F,A254))</f>
        <v/>
      </c>
      <c r="L254" s="6" t="str">
        <f>IF(A254="","",SUMIFS(Chicks!$O:$O,Chicks!$F:$F,A254))</f>
        <v/>
      </c>
      <c r="M254" s="6" t="str">
        <f>IF(A254="","",SUMIFS(Chicks!$P:$P,Chicks!$F:$F,A254))</f>
        <v/>
      </c>
      <c r="N254" s="6" t="str">
        <f t="shared" si="0"/>
        <v/>
      </c>
    </row>
    <row r="255" spans="1:14" ht="14.25" customHeight="1" x14ac:dyDescent="0.3">
      <c r="A255" s="4"/>
      <c r="B255" s="4"/>
      <c r="C255" s="4"/>
      <c r="D255" s="4"/>
      <c r="E255" s="4"/>
      <c r="F255" s="6" t="str">
        <f>IF(A255="","",COUNTIF(Chicks!$F:$F,A255))</f>
        <v/>
      </c>
      <c r="G255" s="6" t="str">
        <f>IF(A255="","",COUNTIFS(Chicks!$F:$F,A255,Chicks!$I:$I,"Yes"))</f>
        <v/>
      </c>
      <c r="H255" s="6" t="str">
        <f>IF(A255="","",SUMIFS(Chicks!$J:$J,Chicks!$F:$F,A255))</f>
        <v/>
      </c>
      <c r="I255" s="6" t="str">
        <f>IF(A255="","",COUNTIFS(Chicks!$F:$F,A255,Chicks!$I:$I,"No"))</f>
        <v/>
      </c>
      <c r="J255" s="6" t="str">
        <f>IF(A255="","",IFERROR(AVERAGEIF(Chicks!$F:$F,A255,Chicks!$M:$M),""))</f>
        <v/>
      </c>
      <c r="K255" s="6" t="str">
        <f>IF(A255="","",SUMIFS(Chicks!$N:$N,Chicks!$F:$F,A255))</f>
        <v/>
      </c>
      <c r="L255" s="6" t="str">
        <f>IF(A255="","",SUMIFS(Chicks!$O:$O,Chicks!$F:$F,A255))</f>
        <v/>
      </c>
      <c r="M255" s="6" t="str">
        <f>IF(A255="","",SUMIFS(Chicks!$P:$P,Chicks!$F:$F,A255))</f>
        <v/>
      </c>
      <c r="N255" s="6" t="str">
        <f t="shared" si="0"/>
        <v/>
      </c>
    </row>
    <row r="256" spans="1:14" ht="14.25" customHeight="1" x14ac:dyDescent="0.3">
      <c r="A256" s="4"/>
      <c r="B256" s="4"/>
      <c r="C256" s="4"/>
      <c r="D256" s="4"/>
      <c r="E256" s="4"/>
      <c r="F256" s="6" t="str">
        <f>IF(A256="","",COUNTIF(Chicks!$F:$F,A256))</f>
        <v/>
      </c>
      <c r="G256" s="6" t="str">
        <f>IF(A256="","",COUNTIFS(Chicks!$F:$F,A256,Chicks!$I:$I,"Yes"))</f>
        <v/>
      </c>
      <c r="H256" s="6" t="str">
        <f>IF(A256="","",SUMIFS(Chicks!$J:$J,Chicks!$F:$F,A256))</f>
        <v/>
      </c>
      <c r="I256" s="6" t="str">
        <f>IF(A256="","",COUNTIFS(Chicks!$F:$F,A256,Chicks!$I:$I,"No"))</f>
        <v/>
      </c>
      <c r="J256" s="6" t="str">
        <f>IF(A256="","",IFERROR(AVERAGEIF(Chicks!$F:$F,A256,Chicks!$M:$M),""))</f>
        <v/>
      </c>
      <c r="K256" s="6" t="str">
        <f>IF(A256="","",SUMIFS(Chicks!$N:$N,Chicks!$F:$F,A256))</f>
        <v/>
      </c>
      <c r="L256" s="6" t="str">
        <f>IF(A256="","",SUMIFS(Chicks!$O:$O,Chicks!$F:$F,A256))</f>
        <v/>
      </c>
      <c r="M256" s="6" t="str">
        <f>IF(A256="","",SUMIFS(Chicks!$P:$P,Chicks!$F:$F,A256))</f>
        <v/>
      </c>
      <c r="N256" s="6" t="str">
        <f t="shared" si="0"/>
        <v/>
      </c>
    </row>
    <row r="257" spans="1:14" ht="14.25" customHeight="1" x14ac:dyDescent="0.3">
      <c r="A257" s="4"/>
      <c r="B257" s="4"/>
      <c r="C257" s="4"/>
      <c r="D257" s="4"/>
      <c r="E257" s="4"/>
      <c r="F257" s="6" t="str">
        <f>IF(A257="","",COUNTIF(Chicks!$F:$F,A257))</f>
        <v/>
      </c>
      <c r="G257" s="6" t="str">
        <f>IF(A257="","",COUNTIFS(Chicks!$F:$F,A257,Chicks!$I:$I,"Yes"))</f>
        <v/>
      </c>
      <c r="H257" s="6" t="str">
        <f>IF(A257="","",SUMIFS(Chicks!$J:$J,Chicks!$F:$F,A257))</f>
        <v/>
      </c>
      <c r="I257" s="6" t="str">
        <f>IF(A257="","",COUNTIFS(Chicks!$F:$F,A257,Chicks!$I:$I,"No"))</f>
        <v/>
      </c>
      <c r="J257" s="6" t="str">
        <f>IF(A257="","",IFERROR(AVERAGEIF(Chicks!$F:$F,A257,Chicks!$M:$M),""))</f>
        <v/>
      </c>
      <c r="K257" s="6" t="str">
        <f>IF(A257="","",SUMIFS(Chicks!$N:$N,Chicks!$F:$F,A257))</f>
        <v/>
      </c>
      <c r="L257" s="6" t="str">
        <f>IF(A257="","",SUMIFS(Chicks!$O:$O,Chicks!$F:$F,A257))</f>
        <v/>
      </c>
      <c r="M257" s="6" t="str">
        <f>IF(A257="","",SUMIFS(Chicks!$P:$P,Chicks!$F:$F,A257))</f>
        <v/>
      </c>
      <c r="N257" s="6" t="str">
        <f t="shared" ref="N257:N511" si="2">IF($J257="","",RANK($J257,$J$2:$J$997,0))</f>
        <v/>
      </c>
    </row>
    <row r="258" spans="1:14" ht="14.25" customHeight="1" x14ac:dyDescent="0.3">
      <c r="A258" s="4"/>
      <c r="B258" s="4"/>
      <c r="C258" s="4"/>
      <c r="D258" s="4"/>
      <c r="E258" s="4"/>
      <c r="F258" s="6" t="str">
        <f>IF(A258="","",COUNTIF(Chicks!$F:$F,A258))</f>
        <v/>
      </c>
      <c r="G258" s="6" t="str">
        <f>IF(A258="","",COUNTIFS(Chicks!$F:$F,A258,Chicks!$I:$I,"Yes"))</f>
        <v/>
      </c>
      <c r="H258" s="6" t="str">
        <f>IF(A258="","",SUMIFS(Chicks!$J:$J,Chicks!$F:$F,A258))</f>
        <v/>
      </c>
      <c r="I258" s="6" t="str">
        <f>IF(A258="","",COUNTIFS(Chicks!$F:$F,A258,Chicks!$I:$I,"No"))</f>
        <v/>
      </c>
      <c r="J258" s="6" t="str">
        <f>IF(A258="","",IFERROR(AVERAGEIF(Chicks!$F:$F,A258,Chicks!$M:$M),""))</f>
        <v/>
      </c>
      <c r="K258" s="6" t="str">
        <f>IF(A258="","",SUMIFS(Chicks!$N:$N,Chicks!$F:$F,A258))</f>
        <v/>
      </c>
      <c r="L258" s="6" t="str">
        <f>IF(A258="","",SUMIFS(Chicks!$O:$O,Chicks!$F:$F,A258))</f>
        <v/>
      </c>
      <c r="M258" s="6" t="str">
        <f>IF(A258="","",SUMIFS(Chicks!$P:$P,Chicks!$F:$F,A258))</f>
        <v/>
      </c>
      <c r="N258" s="6" t="str">
        <f t="shared" si="2"/>
        <v/>
      </c>
    </row>
    <row r="259" spans="1:14" ht="14.25" customHeight="1" x14ac:dyDescent="0.3">
      <c r="A259" s="4"/>
      <c r="B259" s="4"/>
      <c r="C259" s="4"/>
      <c r="D259" s="4"/>
      <c r="E259" s="4"/>
      <c r="F259" s="6" t="str">
        <f>IF(A259="","",COUNTIF(Chicks!$F:$F,A259))</f>
        <v/>
      </c>
      <c r="G259" s="6" t="str">
        <f>IF(A259="","",COUNTIFS(Chicks!$F:$F,A259,Chicks!$I:$I,"Yes"))</f>
        <v/>
      </c>
      <c r="H259" s="6" t="str">
        <f>IF(A259="","",SUMIFS(Chicks!$J:$J,Chicks!$F:$F,A259))</f>
        <v/>
      </c>
      <c r="I259" s="6" t="str">
        <f>IF(A259="","",COUNTIFS(Chicks!$F:$F,A259,Chicks!$I:$I,"No"))</f>
        <v/>
      </c>
      <c r="J259" s="6" t="str">
        <f>IF(A259="","",IFERROR(AVERAGEIF(Chicks!$F:$F,A259,Chicks!$M:$M),""))</f>
        <v/>
      </c>
      <c r="K259" s="6" t="str">
        <f>IF(A259="","",SUMIFS(Chicks!$N:$N,Chicks!$F:$F,A259))</f>
        <v/>
      </c>
      <c r="L259" s="6" t="str">
        <f>IF(A259="","",SUMIFS(Chicks!$O:$O,Chicks!$F:$F,A259))</f>
        <v/>
      </c>
      <c r="M259" s="6" t="str">
        <f>IF(A259="","",SUMIFS(Chicks!$P:$P,Chicks!$F:$F,A259))</f>
        <v/>
      </c>
      <c r="N259" s="6" t="str">
        <f t="shared" si="2"/>
        <v/>
      </c>
    </row>
    <row r="260" spans="1:14" ht="14.25" customHeight="1" x14ac:dyDescent="0.3">
      <c r="A260" s="4"/>
      <c r="B260" s="4"/>
      <c r="C260" s="4"/>
      <c r="D260" s="4"/>
      <c r="E260" s="4"/>
      <c r="F260" s="6" t="str">
        <f>IF(A260="","",COUNTIF(Chicks!$F:$F,A260))</f>
        <v/>
      </c>
      <c r="G260" s="6" t="str">
        <f>IF(A260="","",COUNTIFS(Chicks!$F:$F,A260,Chicks!$I:$I,"Yes"))</f>
        <v/>
      </c>
      <c r="H260" s="6" t="str">
        <f>IF(A260="","",SUMIFS(Chicks!$J:$J,Chicks!$F:$F,A260))</f>
        <v/>
      </c>
      <c r="I260" s="6" t="str">
        <f>IF(A260="","",COUNTIFS(Chicks!$F:$F,A260,Chicks!$I:$I,"No"))</f>
        <v/>
      </c>
      <c r="J260" s="6" t="str">
        <f>IF(A260="","",IFERROR(AVERAGEIF(Chicks!$F:$F,A260,Chicks!$M:$M),""))</f>
        <v/>
      </c>
      <c r="K260" s="6" t="str">
        <f>IF(A260="","",SUMIFS(Chicks!$N:$N,Chicks!$F:$F,A260))</f>
        <v/>
      </c>
      <c r="L260" s="6" t="str">
        <f>IF(A260="","",SUMIFS(Chicks!$O:$O,Chicks!$F:$F,A260))</f>
        <v/>
      </c>
      <c r="M260" s="6" t="str">
        <f>IF(A260="","",SUMIFS(Chicks!$P:$P,Chicks!$F:$F,A260))</f>
        <v/>
      </c>
      <c r="N260" s="6" t="str">
        <f t="shared" si="2"/>
        <v/>
      </c>
    </row>
    <row r="261" spans="1:14" ht="14.25" customHeight="1" x14ac:dyDescent="0.3">
      <c r="A261" s="4"/>
      <c r="B261" s="4"/>
      <c r="C261" s="4"/>
      <c r="D261" s="4"/>
      <c r="E261" s="4"/>
      <c r="F261" s="6" t="str">
        <f>IF(A261="","",COUNTIF(Chicks!$F:$F,A261))</f>
        <v/>
      </c>
      <c r="G261" s="6" t="str">
        <f>IF(A261="","",COUNTIFS(Chicks!$F:$F,A261,Chicks!$I:$I,"Yes"))</f>
        <v/>
      </c>
      <c r="H261" s="6" t="str">
        <f>IF(A261="","",SUMIFS(Chicks!$J:$J,Chicks!$F:$F,A261))</f>
        <v/>
      </c>
      <c r="I261" s="6" t="str">
        <f>IF(A261="","",COUNTIFS(Chicks!$F:$F,A261,Chicks!$I:$I,"No"))</f>
        <v/>
      </c>
      <c r="J261" s="6" t="str">
        <f>IF(A261="","",IFERROR(AVERAGEIF(Chicks!$F:$F,A261,Chicks!$M:$M),""))</f>
        <v/>
      </c>
      <c r="K261" s="6" t="str">
        <f>IF(A261="","",SUMIFS(Chicks!$N:$N,Chicks!$F:$F,A261))</f>
        <v/>
      </c>
      <c r="L261" s="6" t="str">
        <f>IF(A261="","",SUMIFS(Chicks!$O:$O,Chicks!$F:$F,A261))</f>
        <v/>
      </c>
      <c r="M261" s="6" t="str">
        <f>IF(A261="","",SUMIFS(Chicks!$P:$P,Chicks!$F:$F,A261))</f>
        <v/>
      </c>
      <c r="N261" s="6" t="str">
        <f t="shared" si="2"/>
        <v/>
      </c>
    </row>
    <row r="262" spans="1:14" ht="14.25" customHeight="1" x14ac:dyDescent="0.3">
      <c r="A262" s="4"/>
      <c r="B262" s="4"/>
      <c r="C262" s="4"/>
      <c r="D262" s="4"/>
      <c r="E262" s="4"/>
      <c r="F262" s="6" t="str">
        <f>IF(A262="","",COUNTIF(Chicks!$F:$F,A262))</f>
        <v/>
      </c>
      <c r="G262" s="6" t="str">
        <f>IF(A262="","",COUNTIFS(Chicks!$F:$F,A262,Chicks!$I:$I,"Yes"))</f>
        <v/>
      </c>
      <c r="H262" s="6" t="str">
        <f>IF(A262="","",SUMIFS(Chicks!$J:$J,Chicks!$F:$F,A262))</f>
        <v/>
      </c>
      <c r="I262" s="6" t="str">
        <f>IF(A262="","",COUNTIFS(Chicks!$F:$F,A262,Chicks!$I:$I,"No"))</f>
        <v/>
      </c>
      <c r="J262" s="6" t="str">
        <f>IF(A262="","",IFERROR(AVERAGEIF(Chicks!$F:$F,A262,Chicks!$M:$M),""))</f>
        <v/>
      </c>
      <c r="K262" s="6" t="str">
        <f>IF(A262="","",SUMIFS(Chicks!$N:$N,Chicks!$F:$F,A262))</f>
        <v/>
      </c>
      <c r="L262" s="6" t="str">
        <f>IF(A262="","",SUMIFS(Chicks!$O:$O,Chicks!$F:$F,A262))</f>
        <v/>
      </c>
      <c r="M262" s="6" t="str">
        <f>IF(A262="","",SUMIFS(Chicks!$P:$P,Chicks!$F:$F,A262))</f>
        <v/>
      </c>
      <c r="N262" s="6" t="str">
        <f t="shared" si="2"/>
        <v/>
      </c>
    </row>
    <row r="263" spans="1:14" ht="14.25" customHeight="1" x14ac:dyDescent="0.3">
      <c r="A263" s="4"/>
      <c r="B263" s="4"/>
      <c r="C263" s="4"/>
      <c r="D263" s="4"/>
      <c r="E263" s="4"/>
      <c r="F263" s="6" t="str">
        <f>IF(A263="","",COUNTIF(Chicks!$F:$F,A263))</f>
        <v/>
      </c>
      <c r="G263" s="6" t="str">
        <f>IF(A263="","",COUNTIFS(Chicks!$F:$F,A263,Chicks!$I:$I,"Yes"))</f>
        <v/>
      </c>
      <c r="H263" s="6" t="str">
        <f>IF(A263="","",SUMIFS(Chicks!$J:$J,Chicks!$F:$F,A263))</f>
        <v/>
      </c>
      <c r="I263" s="6" t="str">
        <f>IF(A263="","",COUNTIFS(Chicks!$F:$F,A263,Chicks!$I:$I,"No"))</f>
        <v/>
      </c>
      <c r="J263" s="6" t="str">
        <f>IF(A263="","",IFERROR(AVERAGEIF(Chicks!$F:$F,A263,Chicks!$M:$M),""))</f>
        <v/>
      </c>
      <c r="K263" s="6" t="str">
        <f>IF(A263="","",SUMIFS(Chicks!$N:$N,Chicks!$F:$F,A263))</f>
        <v/>
      </c>
      <c r="L263" s="6" t="str">
        <f>IF(A263="","",SUMIFS(Chicks!$O:$O,Chicks!$F:$F,A263))</f>
        <v/>
      </c>
      <c r="M263" s="6" t="str">
        <f>IF(A263="","",SUMIFS(Chicks!$P:$P,Chicks!$F:$F,A263))</f>
        <v/>
      </c>
      <c r="N263" s="6" t="str">
        <f t="shared" si="2"/>
        <v/>
      </c>
    </row>
    <row r="264" spans="1:14" ht="14.25" customHeight="1" x14ac:dyDescent="0.3">
      <c r="A264" s="4"/>
      <c r="B264" s="4"/>
      <c r="C264" s="4"/>
      <c r="D264" s="4"/>
      <c r="E264" s="4"/>
      <c r="F264" s="6" t="str">
        <f>IF(A264="","",COUNTIF(Chicks!$F:$F,A264))</f>
        <v/>
      </c>
      <c r="G264" s="6" t="str">
        <f>IF(A264="","",COUNTIFS(Chicks!$F:$F,A264,Chicks!$I:$I,"Yes"))</f>
        <v/>
      </c>
      <c r="H264" s="6" t="str">
        <f>IF(A264="","",SUMIFS(Chicks!$J:$J,Chicks!$F:$F,A264))</f>
        <v/>
      </c>
      <c r="I264" s="6" t="str">
        <f>IF(A264="","",COUNTIFS(Chicks!$F:$F,A264,Chicks!$I:$I,"No"))</f>
        <v/>
      </c>
      <c r="J264" s="6" t="str">
        <f>IF(A264="","",IFERROR(AVERAGEIF(Chicks!$F:$F,A264,Chicks!$M:$M),""))</f>
        <v/>
      </c>
      <c r="K264" s="6" t="str">
        <f>IF(A264="","",SUMIFS(Chicks!$N:$N,Chicks!$F:$F,A264))</f>
        <v/>
      </c>
      <c r="L264" s="6" t="str">
        <f>IF(A264="","",SUMIFS(Chicks!$O:$O,Chicks!$F:$F,A264))</f>
        <v/>
      </c>
      <c r="M264" s="6" t="str">
        <f>IF(A264="","",SUMIFS(Chicks!$P:$P,Chicks!$F:$F,A264))</f>
        <v/>
      </c>
      <c r="N264" s="6" t="str">
        <f t="shared" si="2"/>
        <v/>
      </c>
    </row>
    <row r="265" spans="1:14" ht="14.25" customHeight="1" x14ac:dyDescent="0.3">
      <c r="A265" s="4"/>
      <c r="B265" s="4"/>
      <c r="C265" s="4"/>
      <c r="D265" s="4"/>
      <c r="E265" s="4"/>
      <c r="F265" s="6" t="str">
        <f>IF(A265="","",COUNTIF(Chicks!$F:$F,A265))</f>
        <v/>
      </c>
      <c r="G265" s="6" t="str">
        <f>IF(A265="","",COUNTIFS(Chicks!$F:$F,A265,Chicks!$I:$I,"Yes"))</f>
        <v/>
      </c>
      <c r="H265" s="6" t="str">
        <f>IF(A265="","",SUMIFS(Chicks!$J:$J,Chicks!$F:$F,A265))</f>
        <v/>
      </c>
      <c r="I265" s="6" t="str">
        <f>IF(A265="","",COUNTIFS(Chicks!$F:$F,A265,Chicks!$I:$I,"No"))</f>
        <v/>
      </c>
      <c r="J265" s="6" t="str">
        <f>IF(A265="","",IFERROR(AVERAGEIF(Chicks!$F:$F,A265,Chicks!$M:$M),""))</f>
        <v/>
      </c>
      <c r="K265" s="6" t="str">
        <f>IF(A265="","",SUMIFS(Chicks!$N:$N,Chicks!$F:$F,A265))</f>
        <v/>
      </c>
      <c r="L265" s="6" t="str">
        <f>IF(A265="","",SUMIFS(Chicks!$O:$O,Chicks!$F:$F,A265))</f>
        <v/>
      </c>
      <c r="M265" s="6" t="str">
        <f>IF(A265="","",SUMIFS(Chicks!$P:$P,Chicks!$F:$F,A265))</f>
        <v/>
      </c>
      <c r="N265" s="6" t="str">
        <f t="shared" si="2"/>
        <v/>
      </c>
    </row>
    <row r="266" spans="1:14" ht="14.25" customHeight="1" x14ac:dyDescent="0.3">
      <c r="A266" s="4"/>
      <c r="B266" s="4"/>
      <c r="C266" s="4"/>
      <c r="D266" s="4"/>
      <c r="E266" s="4"/>
      <c r="F266" s="6" t="str">
        <f>IF(A266="","",COUNTIF(Chicks!$F:$F,A266))</f>
        <v/>
      </c>
      <c r="G266" s="6" t="str">
        <f>IF(A266="","",COUNTIFS(Chicks!$F:$F,A266,Chicks!$I:$I,"Yes"))</f>
        <v/>
      </c>
      <c r="H266" s="6" t="str">
        <f>IF(A266="","",SUMIFS(Chicks!$J:$J,Chicks!$F:$F,A266))</f>
        <v/>
      </c>
      <c r="I266" s="6" t="str">
        <f>IF(A266="","",COUNTIFS(Chicks!$F:$F,A266,Chicks!$I:$I,"No"))</f>
        <v/>
      </c>
      <c r="J266" s="6" t="str">
        <f>IF(A266="","",IFERROR(AVERAGEIF(Chicks!$F:$F,A266,Chicks!$M:$M),""))</f>
        <v/>
      </c>
      <c r="K266" s="6" t="str">
        <f>IF(A266="","",SUMIFS(Chicks!$N:$N,Chicks!$F:$F,A266))</f>
        <v/>
      </c>
      <c r="L266" s="6" t="str">
        <f>IF(A266="","",SUMIFS(Chicks!$O:$O,Chicks!$F:$F,A266))</f>
        <v/>
      </c>
      <c r="M266" s="6" t="str">
        <f>IF(A266="","",SUMIFS(Chicks!$P:$P,Chicks!$F:$F,A266))</f>
        <v/>
      </c>
      <c r="N266" s="6" t="str">
        <f t="shared" si="2"/>
        <v/>
      </c>
    </row>
    <row r="267" spans="1:14" ht="14.25" customHeight="1" x14ac:dyDescent="0.3">
      <c r="A267" s="4"/>
      <c r="B267" s="4"/>
      <c r="C267" s="4"/>
      <c r="D267" s="4"/>
      <c r="E267" s="4"/>
      <c r="F267" s="6" t="str">
        <f>IF(A267="","",COUNTIF(Chicks!$F:$F,A267))</f>
        <v/>
      </c>
      <c r="G267" s="6" t="str">
        <f>IF(A267="","",COUNTIFS(Chicks!$F:$F,A267,Chicks!$I:$I,"Yes"))</f>
        <v/>
      </c>
      <c r="H267" s="6" t="str">
        <f>IF(A267="","",SUMIFS(Chicks!$J:$J,Chicks!$F:$F,A267))</f>
        <v/>
      </c>
      <c r="I267" s="6" t="str">
        <f>IF(A267="","",COUNTIFS(Chicks!$F:$F,A267,Chicks!$I:$I,"No"))</f>
        <v/>
      </c>
      <c r="J267" s="6" t="str">
        <f>IF(A267="","",IFERROR(AVERAGEIF(Chicks!$F:$F,A267,Chicks!$M:$M),""))</f>
        <v/>
      </c>
      <c r="K267" s="6" t="str">
        <f>IF(A267="","",SUMIFS(Chicks!$N:$N,Chicks!$F:$F,A267))</f>
        <v/>
      </c>
      <c r="L267" s="6" t="str">
        <f>IF(A267="","",SUMIFS(Chicks!$O:$O,Chicks!$F:$F,A267))</f>
        <v/>
      </c>
      <c r="M267" s="6" t="str">
        <f>IF(A267="","",SUMIFS(Chicks!$P:$P,Chicks!$F:$F,A267))</f>
        <v/>
      </c>
      <c r="N267" s="6" t="str">
        <f t="shared" si="2"/>
        <v/>
      </c>
    </row>
    <row r="268" spans="1:14" ht="14.25" customHeight="1" x14ac:dyDescent="0.3">
      <c r="A268" s="4"/>
      <c r="B268" s="4"/>
      <c r="C268" s="4"/>
      <c r="D268" s="4"/>
      <c r="E268" s="4"/>
      <c r="F268" s="6" t="str">
        <f>IF(A268="","",COUNTIF(Chicks!$F:$F,A268))</f>
        <v/>
      </c>
      <c r="G268" s="6" t="str">
        <f>IF(A268="","",COUNTIFS(Chicks!$F:$F,A268,Chicks!$I:$I,"Yes"))</f>
        <v/>
      </c>
      <c r="H268" s="6" t="str">
        <f>IF(A268="","",SUMIFS(Chicks!$J:$J,Chicks!$F:$F,A268))</f>
        <v/>
      </c>
      <c r="I268" s="6" t="str">
        <f>IF(A268="","",COUNTIFS(Chicks!$F:$F,A268,Chicks!$I:$I,"No"))</f>
        <v/>
      </c>
      <c r="J268" s="6" t="str">
        <f>IF(A268="","",IFERROR(AVERAGEIF(Chicks!$F:$F,A268,Chicks!$M:$M),""))</f>
        <v/>
      </c>
      <c r="K268" s="6" t="str">
        <f>IF(A268="","",SUMIFS(Chicks!$N:$N,Chicks!$F:$F,A268))</f>
        <v/>
      </c>
      <c r="L268" s="6" t="str">
        <f>IF(A268="","",SUMIFS(Chicks!$O:$O,Chicks!$F:$F,A268))</f>
        <v/>
      </c>
      <c r="M268" s="6" t="str">
        <f>IF(A268="","",SUMIFS(Chicks!$P:$P,Chicks!$F:$F,A268))</f>
        <v/>
      </c>
      <c r="N268" s="6" t="str">
        <f t="shared" si="2"/>
        <v/>
      </c>
    </row>
    <row r="269" spans="1:14" ht="14.25" customHeight="1" x14ac:dyDescent="0.3">
      <c r="A269" s="4"/>
      <c r="B269" s="4"/>
      <c r="C269" s="4"/>
      <c r="D269" s="4"/>
      <c r="E269" s="4"/>
      <c r="F269" s="6" t="str">
        <f>IF(A269="","",COUNTIF(Chicks!$F:$F,A269))</f>
        <v/>
      </c>
      <c r="G269" s="6" t="str">
        <f>IF(A269="","",COUNTIFS(Chicks!$F:$F,A269,Chicks!$I:$I,"Yes"))</f>
        <v/>
      </c>
      <c r="H269" s="6" t="str">
        <f>IF(A269="","",SUMIFS(Chicks!$J:$J,Chicks!$F:$F,A269))</f>
        <v/>
      </c>
      <c r="I269" s="6" t="str">
        <f>IF(A269="","",COUNTIFS(Chicks!$F:$F,A269,Chicks!$I:$I,"No"))</f>
        <v/>
      </c>
      <c r="J269" s="6" t="str">
        <f>IF(A269="","",IFERROR(AVERAGEIF(Chicks!$F:$F,A269,Chicks!$M:$M),""))</f>
        <v/>
      </c>
      <c r="K269" s="6" t="str">
        <f>IF(A269="","",SUMIFS(Chicks!$N:$N,Chicks!$F:$F,A269))</f>
        <v/>
      </c>
      <c r="L269" s="6" t="str">
        <f>IF(A269="","",SUMIFS(Chicks!$O:$O,Chicks!$F:$F,A269))</f>
        <v/>
      </c>
      <c r="M269" s="6" t="str">
        <f>IF(A269="","",SUMIFS(Chicks!$P:$P,Chicks!$F:$F,A269))</f>
        <v/>
      </c>
      <c r="N269" s="6" t="str">
        <f t="shared" si="2"/>
        <v/>
      </c>
    </row>
    <row r="270" spans="1:14" ht="14.25" customHeight="1" x14ac:dyDescent="0.3">
      <c r="A270" s="4"/>
      <c r="B270" s="4"/>
      <c r="C270" s="4"/>
      <c r="D270" s="4"/>
      <c r="E270" s="4"/>
      <c r="F270" s="6" t="str">
        <f>IF(A270="","",COUNTIF(Chicks!$F:$F,A270))</f>
        <v/>
      </c>
      <c r="G270" s="6" t="str">
        <f>IF(A270="","",COUNTIFS(Chicks!$F:$F,A270,Chicks!$I:$I,"Yes"))</f>
        <v/>
      </c>
      <c r="H270" s="6" t="str">
        <f>IF(A270="","",SUMIFS(Chicks!$J:$J,Chicks!$F:$F,A270))</f>
        <v/>
      </c>
      <c r="I270" s="6" t="str">
        <f>IF(A270="","",COUNTIFS(Chicks!$F:$F,A270,Chicks!$I:$I,"No"))</f>
        <v/>
      </c>
      <c r="J270" s="6" t="str">
        <f>IF(A270="","",IFERROR(AVERAGEIF(Chicks!$F:$F,A270,Chicks!$M:$M),""))</f>
        <v/>
      </c>
      <c r="K270" s="6" t="str">
        <f>IF(A270="","",SUMIFS(Chicks!$N:$N,Chicks!$F:$F,A270))</f>
        <v/>
      </c>
      <c r="L270" s="6" t="str">
        <f>IF(A270="","",SUMIFS(Chicks!$O:$O,Chicks!$F:$F,A270))</f>
        <v/>
      </c>
      <c r="M270" s="6" t="str">
        <f>IF(A270="","",SUMIFS(Chicks!$P:$P,Chicks!$F:$F,A270))</f>
        <v/>
      </c>
      <c r="N270" s="6" t="str">
        <f t="shared" si="2"/>
        <v/>
      </c>
    </row>
    <row r="271" spans="1:14" ht="14.25" customHeight="1" x14ac:dyDescent="0.3">
      <c r="A271" s="4"/>
      <c r="B271" s="4"/>
      <c r="C271" s="4"/>
      <c r="D271" s="4"/>
      <c r="E271" s="4"/>
      <c r="F271" s="6" t="str">
        <f>IF(A271="","",COUNTIF(Chicks!$F:$F,A271))</f>
        <v/>
      </c>
      <c r="G271" s="6" t="str">
        <f>IF(A271="","",COUNTIFS(Chicks!$F:$F,A271,Chicks!$I:$I,"Yes"))</f>
        <v/>
      </c>
      <c r="H271" s="6" t="str">
        <f>IF(A271="","",SUMIFS(Chicks!$J:$J,Chicks!$F:$F,A271))</f>
        <v/>
      </c>
      <c r="I271" s="6" t="str">
        <f>IF(A271="","",COUNTIFS(Chicks!$F:$F,A271,Chicks!$I:$I,"No"))</f>
        <v/>
      </c>
      <c r="J271" s="6" t="str">
        <f>IF(A271="","",IFERROR(AVERAGEIF(Chicks!$F:$F,A271,Chicks!$M:$M),""))</f>
        <v/>
      </c>
      <c r="K271" s="6" t="str">
        <f>IF(A271="","",SUMIFS(Chicks!$N:$N,Chicks!$F:$F,A271))</f>
        <v/>
      </c>
      <c r="L271" s="6" t="str">
        <f>IF(A271="","",SUMIFS(Chicks!$O:$O,Chicks!$F:$F,A271))</f>
        <v/>
      </c>
      <c r="M271" s="6" t="str">
        <f>IF(A271="","",SUMIFS(Chicks!$P:$P,Chicks!$F:$F,A271))</f>
        <v/>
      </c>
      <c r="N271" s="6" t="str">
        <f t="shared" si="2"/>
        <v/>
      </c>
    </row>
    <row r="272" spans="1:14" ht="14.25" customHeight="1" x14ac:dyDescent="0.3">
      <c r="A272" s="4"/>
      <c r="B272" s="4"/>
      <c r="C272" s="4"/>
      <c r="D272" s="4"/>
      <c r="E272" s="4"/>
      <c r="F272" s="6" t="str">
        <f>IF(A272="","",COUNTIF(Chicks!$F:$F,A272))</f>
        <v/>
      </c>
      <c r="G272" s="6" t="str">
        <f>IF(A272="","",COUNTIFS(Chicks!$F:$F,A272,Chicks!$I:$I,"Yes"))</f>
        <v/>
      </c>
      <c r="H272" s="6" t="str">
        <f>IF(A272="","",SUMIFS(Chicks!$J:$J,Chicks!$F:$F,A272))</f>
        <v/>
      </c>
      <c r="I272" s="6" t="str">
        <f>IF(A272="","",COUNTIFS(Chicks!$F:$F,A272,Chicks!$I:$I,"No"))</f>
        <v/>
      </c>
      <c r="J272" s="6" t="str">
        <f>IF(A272="","",IFERROR(AVERAGEIF(Chicks!$F:$F,A272,Chicks!$M:$M),""))</f>
        <v/>
      </c>
      <c r="K272" s="6" t="str">
        <f>IF(A272="","",SUMIFS(Chicks!$N:$N,Chicks!$F:$F,A272))</f>
        <v/>
      </c>
      <c r="L272" s="6" t="str">
        <f>IF(A272="","",SUMIFS(Chicks!$O:$O,Chicks!$F:$F,A272))</f>
        <v/>
      </c>
      <c r="M272" s="6" t="str">
        <f>IF(A272="","",SUMIFS(Chicks!$P:$P,Chicks!$F:$F,A272))</f>
        <v/>
      </c>
      <c r="N272" s="6" t="str">
        <f t="shared" si="2"/>
        <v/>
      </c>
    </row>
    <row r="273" spans="1:14" ht="14.25" customHeight="1" x14ac:dyDescent="0.3">
      <c r="A273" s="4"/>
      <c r="B273" s="4"/>
      <c r="C273" s="4"/>
      <c r="D273" s="4"/>
      <c r="E273" s="4"/>
      <c r="F273" s="6" t="str">
        <f>IF(A273="","",COUNTIF(Chicks!$F:$F,A273))</f>
        <v/>
      </c>
      <c r="G273" s="6" t="str">
        <f>IF(A273="","",COUNTIFS(Chicks!$F:$F,A273,Chicks!$I:$I,"Yes"))</f>
        <v/>
      </c>
      <c r="H273" s="6" t="str">
        <f>IF(A273="","",SUMIFS(Chicks!$J:$J,Chicks!$F:$F,A273))</f>
        <v/>
      </c>
      <c r="I273" s="6" t="str">
        <f>IF(A273="","",COUNTIFS(Chicks!$F:$F,A273,Chicks!$I:$I,"No"))</f>
        <v/>
      </c>
      <c r="J273" s="6" t="str">
        <f>IF(A273="","",IFERROR(AVERAGEIF(Chicks!$F:$F,A273,Chicks!$M:$M),""))</f>
        <v/>
      </c>
      <c r="K273" s="6" t="str">
        <f>IF(A273="","",SUMIFS(Chicks!$N:$N,Chicks!$F:$F,A273))</f>
        <v/>
      </c>
      <c r="L273" s="6" t="str">
        <f>IF(A273="","",SUMIFS(Chicks!$O:$O,Chicks!$F:$F,A273))</f>
        <v/>
      </c>
      <c r="M273" s="6" t="str">
        <f>IF(A273="","",SUMIFS(Chicks!$P:$P,Chicks!$F:$F,A273))</f>
        <v/>
      </c>
      <c r="N273" s="6" t="str">
        <f t="shared" si="2"/>
        <v/>
      </c>
    </row>
    <row r="274" spans="1:14" ht="14.25" customHeight="1" x14ac:dyDescent="0.3">
      <c r="A274" s="4"/>
      <c r="B274" s="4"/>
      <c r="C274" s="4"/>
      <c r="D274" s="4"/>
      <c r="E274" s="4"/>
      <c r="F274" s="6" t="str">
        <f>IF(A274="","",COUNTIF(Chicks!$F:$F,A274))</f>
        <v/>
      </c>
      <c r="G274" s="6" t="str">
        <f>IF(A274="","",COUNTIFS(Chicks!$F:$F,A274,Chicks!$I:$I,"Yes"))</f>
        <v/>
      </c>
      <c r="H274" s="6" t="str">
        <f>IF(A274="","",SUMIFS(Chicks!$J:$J,Chicks!$F:$F,A274))</f>
        <v/>
      </c>
      <c r="I274" s="6" t="str">
        <f>IF(A274="","",COUNTIFS(Chicks!$F:$F,A274,Chicks!$I:$I,"No"))</f>
        <v/>
      </c>
      <c r="J274" s="6" t="str">
        <f>IF(A274="","",IFERROR(AVERAGEIF(Chicks!$F:$F,A274,Chicks!$M:$M),""))</f>
        <v/>
      </c>
      <c r="K274" s="6" t="str">
        <f>IF(A274="","",SUMIFS(Chicks!$N:$N,Chicks!$F:$F,A274))</f>
        <v/>
      </c>
      <c r="L274" s="6" t="str">
        <f>IF(A274="","",SUMIFS(Chicks!$O:$O,Chicks!$F:$F,A274))</f>
        <v/>
      </c>
      <c r="M274" s="6" t="str">
        <f>IF(A274="","",SUMIFS(Chicks!$P:$P,Chicks!$F:$F,A274))</f>
        <v/>
      </c>
      <c r="N274" s="6" t="str">
        <f t="shared" si="2"/>
        <v/>
      </c>
    </row>
    <row r="275" spans="1:14" ht="14.25" customHeight="1" x14ac:dyDescent="0.3">
      <c r="A275" s="4"/>
      <c r="B275" s="4"/>
      <c r="C275" s="4"/>
      <c r="D275" s="4"/>
      <c r="E275" s="4"/>
      <c r="F275" s="6" t="str">
        <f>IF(A275="","",COUNTIF(Chicks!$F:$F,A275))</f>
        <v/>
      </c>
      <c r="G275" s="6" t="str">
        <f>IF(A275="","",COUNTIFS(Chicks!$F:$F,A275,Chicks!$I:$I,"Yes"))</f>
        <v/>
      </c>
      <c r="H275" s="6" t="str">
        <f>IF(A275="","",SUMIFS(Chicks!$J:$J,Chicks!$F:$F,A275))</f>
        <v/>
      </c>
      <c r="I275" s="6" t="str">
        <f>IF(A275="","",COUNTIFS(Chicks!$F:$F,A275,Chicks!$I:$I,"No"))</f>
        <v/>
      </c>
      <c r="J275" s="6" t="str">
        <f>IF(A275="","",IFERROR(AVERAGEIF(Chicks!$F:$F,A275,Chicks!$M:$M),""))</f>
        <v/>
      </c>
      <c r="K275" s="6" t="str">
        <f>IF(A275="","",SUMIFS(Chicks!$N:$N,Chicks!$F:$F,A275))</f>
        <v/>
      </c>
      <c r="L275" s="6" t="str">
        <f>IF(A275="","",SUMIFS(Chicks!$O:$O,Chicks!$F:$F,A275))</f>
        <v/>
      </c>
      <c r="M275" s="6" t="str">
        <f>IF(A275="","",SUMIFS(Chicks!$P:$P,Chicks!$F:$F,A275))</f>
        <v/>
      </c>
      <c r="N275" s="6" t="str">
        <f t="shared" si="2"/>
        <v/>
      </c>
    </row>
    <row r="276" spans="1:14" ht="14.25" customHeight="1" x14ac:dyDescent="0.3">
      <c r="A276" s="4"/>
      <c r="B276" s="4"/>
      <c r="C276" s="4"/>
      <c r="D276" s="4"/>
      <c r="E276" s="4"/>
      <c r="F276" s="6" t="str">
        <f>IF(A276="","",COUNTIF(Chicks!$F:$F,A276))</f>
        <v/>
      </c>
      <c r="G276" s="6" t="str">
        <f>IF(A276="","",COUNTIFS(Chicks!$F:$F,A276,Chicks!$I:$I,"Yes"))</f>
        <v/>
      </c>
      <c r="H276" s="6" t="str">
        <f>IF(A276="","",SUMIFS(Chicks!$J:$J,Chicks!$F:$F,A276))</f>
        <v/>
      </c>
      <c r="I276" s="6" t="str">
        <f>IF(A276="","",COUNTIFS(Chicks!$F:$F,A276,Chicks!$I:$I,"No"))</f>
        <v/>
      </c>
      <c r="J276" s="6" t="str">
        <f>IF(A276="","",IFERROR(AVERAGEIF(Chicks!$F:$F,A276,Chicks!$M:$M),""))</f>
        <v/>
      </c>
      <c r="K276" s="6" t="str">
        <f>IF(A276="","",SUMIFS(Chicks!$N:$N,Chicks!$F:$F,A276))</f>
        <v/>
      </c>
      <c r="L276" s="6" t="str">
        <f>IF(A276="","",SUMIFS(Chicks!$O:$O,Chicks!$F:$F,A276))</f>
        <v/>
      </c>
      <c r="M276" s="6" t="str">
        <f>IF(A276="","",SUMIFS(Chicks!$P:$P,Chicks!$F:$F,A276))</f>
        <v/>
      </c>
      <c r="N276" s="6" t="str">
        <f t="shared" si="2"/>
        <v/>
      </c>
    </row>
    <row r="277" spans="1:14" ht="14.25" customHeight="1" x14ac:dyDescent="0.3">
      <c r="A277" s="4"/>
      <c r="B277" s="4"/>
      <c r="C277" s="4"/>
      <c r="D277" s="4"/>
      <c r="E277" s="4"/>
      <c r="F277" s="6" t="str">
        <f>IF(A277="","",COUNTIF(Chicks!$F:$F,A277))</f>
        <v/>
      </c>
      <c r="G277" s="6" t="str">
        <f>IF(A277="","",COUNTIFS(Chicks!$F:$F,A277,Chicks!$I:$I,"Yes"))</f>
        <v/>
      </c>
      <c r="H277" s="6" t="str">
        <f>IF(A277="","",SUMIFS(Chicks!$J:$J,Chicks!$F:$F,A277))</f>
        <v/>
      </c>
      <c r="I277" s="6" t="str">
        <f>IF(A277="","",COUNTIFS(Chicks!$F:$F,A277,Chicks!$I:$I,"No"))</f>
        <v/>
      </c>
      <c r="J277" s="6" t="str">
        <f>IF(A277="","",IFERROR(AVERAGEIF(Chicks!$F:$F,A277,Chicks!$M:$M),""))</f>
        <v/>
      </c>
      <c r="K277" s="6" t="str">
        <f>IF(A277="","",SUMIFS(Chicks!$N:$N,Chicks!$F:$F,A277))</f>
        <v/>
      </c>
      <c r="L277" s="6" t="str">
        <f>IF(A277="","",SUMIFS(Chicks!$O:$O,Chicks!$F:$F,A277))</f>
        <v/>
      </c>
      <c r="M277" s="6" t="str">
        <f>IF(A277="","",SUMIFS(Chicks!$P:$P,Chicks!$F:$F,A277))</f>
        <v/>
      </c>
      <c r="N277" s="6" t="str">
        <f t="shared" si="2"/>
        <v/>
      </c>
    </row>
    <row r="278" spans="1:14" ht="14.25" customHeight="1" x14ac:dyDescent="0.3">
      <c r="A278" s="4"/>
      <c r="B278" s="4"/>
      <c r="C278" s="4"/>
      <c r="D278" s="4"/>
      <c r="E278" s="4"/>
      <c r="F278" s="6" t="str">
        <f>IF(A278="","",COUNTIF(Chicks!$F:$F,A278))</f>
        <v/>
      </c>
      <c r="G278" s="6" t="str">
        <f>IF(A278="","",COUNTIFS(Chicks!$F:$F,A278,Chicks!$I:$I,"Yes"))</f>
        <v/>
      </c>
      <c r="H278" s="6" t="str">
        <f>IF(A278="","",SUMIFS(Chicks!$J:$J,Chicks!$F:$F,A278))</f>
        <v/>
      </c>
      <c r="I278" s="6" t="str">
        <f>IF(A278="","",COUNTIFS(Chicks!$F:$F,A278,Chicks!$I:$I,"No"))</f>
        <v/>
      </c>
      <c r="J278" s="6" t="str">
        <f>IF(A278="","",IFERROR(AVERAGEIF(Chicks!$F:$F,A278,Chicks!$M:$M),""))</f>
        <v/>
      </c>
      <c r="K278" s="6" t="str">
        <f>IF(A278="","",SUMIFS(Chicks!$N:$N,Chicks!$F:$F,A278))</f>
        <v/>
      </c>
      <c r="L278" s="6" t="str">
        <f>IF(A278="","",SUMIFS(Chicks!$O:$O,Chicks!$F:$F,A278))</f>
        <v/>
      </c>
      <c r="M278" s="6" t="str">
        <f>IF(A278="","",SUMIFS(Chicks!$P:$P,Chicks!$F:$F,A278))</f>
        <v/>
      </c>
      <c r="N278" s="6" t="str">
        <f t="shared" si="2"/>
        <v/>
      </c>
    </row>
    <row r="279" spans="1:14" ht="14.25" customHeight="1" x14ac:dyDescent="0.3">
      <c r="A279" s="4"/>
      <c r="B279" s="4"/>
      <c r="C279" s="4"/>
      <c r="D279" s="4"/>
      <c r="E279" s="4"/>
      <c r="F279" s="6" t="str">
        <f>IF(A279="","",COUNTIF(Chicks!$F:$F,A279))</f>
        <v/>
      </c>
      <c r="G279" s="6" t="str">
        <f>IF(A279="","",COUNTIFS(Chicks!$F:$F,A279,Chicks!$I:$I,"Yes"))</f>
        <v/>
      </c>
      <c r="H279" s="6" t="str">
        <f>IF(A279="","",SUMIFS(Chicks!$J:$J,Chicks!$F:$F,A279))</f>
        <v/>
      </c>
      <c r="I279" s="6" t="str">
        <f>IF(A279="","",COUNTIFS(Chicks!$F:$F,A279,Chicks!$I:$I,"No"))</f>
        <v/>
      </c>
      <c r="J279" s="6" t="str">
        <f>IF(A279="","",IFERROR(AVERAGEIF(Chicks!$F:$F,A279,Chicks!$M:$M),""))</f>
        <v/>
      </c>
      <c r="K279" s="6" t="str">
        <f>IF(A279="","",SUMIFS(Chicks!$N:$N,Chicks!$F:$F,A279))</f>
        <v/>
      </c>
      <c r="L279" s="6" t="str">
        <f>IF(A279="","",SUMIFS(Chicks!$O:$O,Chicks!$F:$F,A279))</f>
        <v/>
      </c>
      <c r="M279" s="6" t="str">
        <f>IF(A279="","",SUMIFS(Chicks!$P:$P,Chicks!$F:$F,A279))</f>
        <v/>
      </c>
      <c r="N279" s="6" t="str">
        <f t="shared" si="2"/>
        <v/>
      </c>
    </row>
    <row r="280" spans="1:14" ht="14.25" customHeight="1" x14ac:dyDescent="0.3">
      <c r="A280" s="4"/>
      <c r="B280" s="4"/>
      <c r="C280" s="4"/>
      <c r="D280" s="4"/>
      <c r="E280" s="4"/>
      <c r="F280" s="6" t="str">
        <f>IF(A280="","",COUNTIF(Chicks!$F:$F,A280))</f>
        <v/>
      </c>
      <c r="G280" s="6" t="str">
        <f>IF(A280="","",COUNTIFS(Chicks!$F:$F,A280,Chicks!$I:$I,"Yes"))</f>
        <v/>
      </c>
      <c r="H280" s="6" t="str">
        <f>IF(A280="","",SUMIFS(Chicks!$J:$J,Chicks!$F:$F,A280))</f>
        <v/>
      </c>
      <c r="I280" s="6" t="str">
        <f>IF(A280="","",COUNTIFS(Chicks!$F:$F,A280,Chicks!$I:$I,"No"))</f>
        <v/>
      </c>
      <c r="J280" s="6" t="str">
        <f>IF(A280="","",IFERROR(AVERAGEIF(Chicks!$F:$F,A280,Chicks!$M:$M),""))</f>
        <v/>
      </c>
      <c r="K280" s="6" t="str">
        <f>IF(A280="","",SUMIFS(Chicks!$N:$N,Chicks!$F:$F,A280))</f>
        <v/>
      </c>
      <c r="L280" s="6" t="str">
        <f>IF(A280="","",SUMIFS(Chicks!$O:$O,Chicks!$F:$F,A280))</f>
        <v/>
      </c>
      <c r="M280" s="6" t="str">
        <f>IF(A280="","",SUMIFS(Chicks!$P:$P,Chicks!$F:$F,A280))</f>
        <v/>
      </c>
      <c r="N280" s="6" t="str">
        <f t="shared" si="2"/>
        <v/>
      </c>
    </row>
    <row r="281" spans="1:14" ht="14.25" customHeight="1" x14ac:dyDescent="0.3">
      <c r="A281" s="4"/>
      <c r="B281" s="4"/>
      <c r="C281" s="4"/>
      <c r="D281" s="4"/>
      <c r="E281" s="4"/>
      <c r="F281" s="6" t="str">
        <f>IF(A281="","",COUNTIF(Chicks!$F:$F,A281))</f>
        <v/>
      </c>
      <c r="G281" s="6" t="str">
        <f>IF(A281="","",COUNTIFS(Chicks!$F:$F,A281,Chicks!$I:$I,"Yes"))</f>
        <v/>
      </c>
      <c r="H281" s="6" t="str">
        <f>IF(A281="","",SUMIFS(Chicks!$J:$J,Chicks!$F:$F,A281))</f>
        <v/>
      </c>
      <c r="I281" s="6" t="str">
        <f>IF(A281="","",COUNTIFS(Chicks!$F:$F,A281,Chicks!$I:$I,"No"))</f>
        <v/>
      </c>
      <c r="J281" s="6" t="str">
        <f>IF(A281="","",IFERROR(AVERAGEIF(Chicks!$F:$F,A281,Chicks!$M:$M),""))</f>
        <v/>
      </c>
      <c r="K281" s="6" t="str">
        <f>IF(A281="","",SUMIFS(Chicks!$N:$N,Chicks!$F:$F,A281))</f>
        <v/>
      </c>
      <c r="L281" s="6" t="str">
        <f>IF(A281="","",SUMIFS(Chicks!$O:$O,Chicks!$F:$F,A281))</f>
        <v/>
      </c>
      <c r="M281" s="6" t="str">
        <f>IF(A281="","",SUMIFS(Chicks!$P:$P,Chicks!$F:$F,A281))</f>
        <v/>
      </c>
      <c r="N281" s="6" t="str">
        <f t="shared" si="2"/>
        <v/>
      </c>
    </row>
    <row r="282" spans="1:14" ht="14.25" customHeight="1" x14ac:dyDescent="0.3">
      <c r="A282" s="4"/>
      <c r="B282" s="4"/>
      <c r="C282" s="4"/>
      <c r="D282" s="4"/>
      <c r="E282" s="4"/>
      <c r="F282" s="6" t="str">
        <f>IF(A282="","",COUNTIF(Chicks!$F:$F,A282))</f>
        <v/>
      </c>
      <c r="G282" s="6" t="str">
        <f>IF(A282="","",COUNTIFS(Chicks!$F:$F,A282,Chicks!$I:$I,"Yes"))</f>
        <v/>
      </c>
      <c r="H282" s="6" t="str">
        <f>IF(A282="","",SUMIFS(Chicks!$J:$J,Chicks!$F:$F,A282))</f>
        <v/>
      </c>
      <c r="I282" s="6" t="str">
        <f>IF(A282="","",COUNTIFS(Chicks!$F:$F,A282,Chicks!$I:$I,"No"))</f>
        <v/>
      </c>
      <c r="J282" s="6" t="str">
        <f>IF(A282="","",IFERROR(AVERAGEIF(Chicks!$F:$F,A282,Chicks!$M:$M),""))</f>
        <v/>
      </c>
      <c r="K282" s="6" t="str">
        <f>IF(A282="","",SUMIFS(Chicks!$N:$N,Chicks!$F:$F,A282))</f>
        <v/>
      </c>
      <c r="L282" s="6" t="str">
        <f>IF(A282="","",SUMIFS(Chicks!$O:$O,Chicks!$F:$F,A282))</f>
        <v/>
      </c>
      <c r="M282" s="6" t="str">
        <f>IF(A282="","",SUMIFS(Chicks!$P:$P,Chicks!$F:$F,A282))</f>
        <v/>
      </c>
      <c r="N282" s="6" t="str">
        <f t="shared" si="2"/>
        <v/>
      </c>
    </row>
    <row r="283" spans="1:14" ht="14.25" customHeight="1" x14ac:dyDescent="0.3">
      <c r="A283" s="4"/>
      <c r="B283" s="4"/>
      <c r="C283" s="4"/>
      <c r="D283" s="4"/>
      <c r="E283" s="4"/>
      <c r="F283" s="6" t="str">
        <f>IF(A283="","",COUNTIF(Chicks!$F:$F,A283))</f>
        <v/>
      </c>
      <c r="G283" s="6" t="str">
        <f>IF(A283="","",COUNTIFS(Chicks!$F:$F,A283,Chicks!$I:$I,"Yes"))</f>
        <v/>
      </c>
      <c r="H283" s="6" t="str">
        <f>IF(A283="","",SUMIFS(Chicks!$J:$J,Chicks!$F:$F,A283))</f>
        <v/>
      </c>
      <c r="I283" s="6" t="str">
        <f>IF(A283="","",COUNTIFS(Chicks!$F:$F,A283,Chicks!$I:$I,"No"))</f>
        <v/>
      </c>
      <c r="J283" s="6" t="str">
        <f>IF(A283="","",IFERROR(AVERAGEIF(Chicks!$F:$F,A283,Chicks!$M:$M),""))</f>
        <v/>
      </c>
      <c r="K283" s="6" t="str">
        <f>IF(A283="","",SUMIFS(Chicks!$N:$N,Chicks!$F:$F,A283))</f>
        <v/>
      </c>
      <c r="L283" s="6" t="str">
        <f>IF(A283="","",SUMIFS(Chicks!$O:$O,Chicks!$F:$F,A283))</f>
        <v/>
      </c>
      <c r="M283" s="6" t="str">
        <f>IF(A283="","",SUMIFS(Chicks!$P:$P,Chicks!$F:$F,A283))</f>
        <v/>
      </c>
      <c r="N283" s="6" t="str">
        <f t="shared" si="2"/>
        <v/>
      </c>
    </row>
    <row r="284" spans="1:14" ht="14.25" customHeight="1" x14ac:dyDescent="0.3">
      <c r="A284" s="4"/>
      <c r="B284" s="4"/>
      <c r="C284" s="4"/>
      <c r="D284" s="4"/>
      <c r="E284" s="4"/>
      <c r="F284" s="6" t="str">
        <f>IF(A284="","",COUNTIF(Chicks!$F:$F,A284))</f>
        <v/>
      </c>
      <c r="G284" s="6" t="str">
        <f>IF(A284="","",COUNTIFS(Chicks!$F:$F,A284,Chicks!$I:$I,"Yes"))</f>
        <v/>
      </c>
      <c r="H284" s="6" t="str">
        <f>IF(A284="","",SUMIFS(Chicks!$J:$J,Chicks!$F:$F,A284))</f>
        <v/>
      </c>
      <c r="I284" s="6" t="str">
        <f>IF(A284="","",COUNTIFS(Chicks!$F:$F,A284,Chicks!$I:$I,"No"))</f>
        <v/>
      </c>
      <c r="J284" s="6" t="str">
        <f>IF(A284="","",IFERROR(AVERAGEIF(Chicks!$F:$F,A284,Chicks!$M:$M),""))</f>
        <v/>
      </c>
      <c r="K284" s="6" t="str">
        <f>IF(A284="","",SUMIFS(Chicks!$N:$N,Chicks!$F:$F,A284))</f>
        <v/>
      </c>
      <c r="L284" s="6" t="str">
        <f>IF(A284="","",SUMIFS(Chicks!$O:$O,Chicks!$F:$F,A284))</f>
        <v/>
      </c>
      <c r="M284" s="6" t="str">
        <f>IF(A284="","",SUMIFS(Chicks!$P:$P,Chicks!$F:$F,A284))</f>
        <v/>
      </c>
      <c r="N284" s="6" t="str">
        <f t="shared" si="2"/>
        <v/>
      </c>
    </row>
    <row r="285" spans="1:14" ht="14.25" customHeight="1" x14ac:dyDescent="0.3">
      <c r="A285" s="4"/>
      <c r="B285" s="4"/>
      <c r="C285" s="4"/>
      <c r="D285" s="4"/>
      <c r="E285" s="4"/>
      <c r="F285" s="6" t="str">
        <f>IF(A285="","",COUNTIF(Chicks!$F:$F,A285))</f>
        <v/>
      </c>
      <c r="G285" s="6" t="str">
        <f>IF(A285="","",COUNTIFS(Chicks!$F:$F,A285,Chicks!$I:$I,"Yes"))</f>
        <v/>
      </c>
      <c r="H285" s="6" t="str">
        <f>IF(A285="","",SUMIFS(Chicks!$J:$J,Chicks!$F:$F,A285))</f>
        <v/>
      </c>
      <c r="I285" s="6" t="str">
        <f>IF(A285="","",COUNTIFS(Chicks!$F:$F,A285,Chicks!$I:$I,"No"))</f>
        <v/>
      </c>
      <c r="J285" s="6" t="str">
        <f>IF(A285="","",IFERROR(AVERAGEIF(Chicks!$F:$F,A285,Chicks!$M:$M),""))</f>
        <v/>
      </c>
      <c r="K285" s="6" t="str">
        <f>IF(A285="","",SUMIFS(Chicks!$N:$N,Chicks!$F:$F,A285))</f>
        <v/>
      </c>
      <c r="L285" s="6" t="str">
        <f>IF(A285="","",SUMIFS(Chicks!$O:$O,Chicks!$F:$F,A285))</f>
        <v/>
      </c>
      <c r="M285" s="6" t="str">
        <f>IF(A285="","",SUMIFS(Chicks!$P:$P,Chicks!$F:$F,A285))</f>
        <v/>
      </c>
      <c r="N285" s="6" t="str">
        <f t="shared" si="2"/>
        <v/>
      </c>
    </row>
    <row r="286" spans="1:14" ht="14.25" customHeight="1" x14ac:dyDescent="0.3">
      <c r="A286" s="4"/>
      <c r="B286" s="4"/>
      <c r="C286" s="4"/>
      <c r="D286" s="4"/>
      <c r="E286" s="4"/>
      <c r="F286" s="6" t="str">
        <f>IF(A286="","",COUNTIF(Chicks!$F:$F,A286))</f>
        <v/>
      </c>
      <c r="G286" s="6" t="str">
        <f>IF(A286="","",COUNTIFS(Chicks!$F:$F,A286,Chicks!$I:$I,"Yes"))</f>
        <v/>
      </c>
      <c r="H286" s="6" t="str">
        <f>IF(A286="","",SUMIFS(Chicks!$J:$J,Chicks!$F:$F,A286))</f>
        <v/>
      </c>
      <c r="I286" s="6" t="str">
        <f>IF(A286="","",COUNTIFS(Chicks!$F:$F,A286,Chicks!$I:$I,"No"))</f>
        <v/>
      </c>
      <c r="J286" s="6" t="str">
        <f>IF(A286="","",IFERROR(AVERAGEIF(Chicks!$F:$F,A286,Chicks!$M:$M),""))</f>
        <v/>
      </c>
      <c r="K286" s="6" t="str">
        <f>IF(A286="","",SUMIFS(Chicks!$N:$N,Chicks!$F:$F,A286))</f>
        <v/>
      </c>
      <c r="L286" s="6" t="str">
        <f>IF(A286="","",SUMIFS(Chicks!$O:$O,Chicks!$F:$F,A286))</f>
        <v/>
      </c>
      <c r="M286" s="6" t="str">
        <f>IF(A286="","",SUMIFS(Chicks!$P:$P,Chicks!$F:$F,A286))</f>
        <v/>
      </c>
      <c r="N286" s="6" t="str">
        <f t="shared" si="2"/>
        <v/>
      </c>
    </row>
    <row r="287" spans="1:14" ht="14.25" customHeight="1" x14ac:dyDescent="0.3">
      <c r="A287" s="4"/>
      <c r="B287" s="4"/>
      <c r="C287" s="4"/>
      <c r="D287" s="4"/>
      <c r="E287" s="4"/>
      <c r="F287" s="6" t="str">
        <f>IF(A287="","",COUNTIF(Chicks!$F:$F,A287))</f>
        <v/>
      </c>
      <c r="G287" s="6" t="str">
        <f>IF(A287="","",COUNTIFS(Chicks!$F:$F,A287,Chicks!$I:$I,"Yes"))</f>
        <v/>
      </c>
      <c r="H287" s="6" t="str">
        <f>IF(A287="","",SUMIFS(Chicks!$J:$J,Chicks!$F:$F,A287))</f>
        <v/>
      </c>
      <c r="I287" s="6" t="str">
        <f>IF(A287="","",COUNTIFS(Chicks!$F:$F,A287,Chicks!$I:$I,"No"))</f>
        <v/>
      </c>
      <c r="J287" s="6" t="str">
        <f>IF(A287="","",IFERROR(AVERAGEIF(Chicks!$F:$F,A287,Chicks!$M:$M),""))</f>
        <v/>
      </c>
      <c r="K287" s="6" t="str">
        <f>IF(A287="","",SUMIFS(Chicks!$N:$N,Chicks!$F:$F,A287))</f>
        <v/>
      </c>
      <c r="L287" s="6" t="str">
        <f>IF(A287="","",SUMIFS(Chicks!$O:$O,Chicks!$F:$F,A287))</f>
        <v/>
      </c>
      <c r="M287" s="6" t="str">
        <f>IF(A287="","",SUMIFS(Chicks!$P:$P,Chicks!$F:$F,A287))</f>
        <v/>
      </c>
      <c r="N287" s="6" t="str">
        <f t="shared" si="2"/>
        <v/>
      </c>
    </row>
    <row r="288" spans="1:14" ht="14.25" customHeight="1" x14ac:dyDescent="0.3">
      <c r="A288" s="4"/>
      <c r="B288" s="4"/>
      <c r="C288" s="4"/>
      <c r="D288" s="4"/>
      <c r="E288" s="4"/>
      <c r="F288" s="6" t="str">
        <f>IF(A288="","",COUNTIF(Chicks!$F:$F,A288))</f>
        <v/>
      </c>
      <c r="G288" s="6" t="str">
        <f>IF(A288="","",COUNTIFS(Chicks!$F:$F,A288,Chicks!$I:$I,"Yes"))</f>
        <v/>
      </c>
      <c r="H288" s="6" t="str">
        <f>IF(A288="","",SUMIFS(Chicks!$J:$J,Chicks!$F:$F,A288))</f>
        <v/>
      </c>
      <c r="I288" s="6" t="str">
        <f>IF(A288="","",COUNTIFS(Chicks!$F:$F,A288,Chicks!$I:$I,"No"))</f>
        <v/>
      </c>
      <c r="J288" s="6" t="str">
        <f>IF(A288="","",IFERROR(AVERAGEIF(Chicks!$F:$F,A288,Chicks!$M:$M),""))</f>
        <v/>
      </c>
      <c r="K288" s="6" t="str">
        <f>IF(A288="","",SUMIFS(Chicks!$N:$N,Chicks!$F:$F,A288))</f>
        <v/>
      </c>
      <c r="L288" s="6" t="str">
        <f>IF(A288="","",SUMIFS(Chicks!$O:$O,Chicks!$F:$F,A288))</f>
        <v/>
      </c>
      <c r="M288" s="6" t="str">
        <f>IF(A288="","",SUMIFS(Chicks!$P:$P,Chicks!$F:$F,A288))</f>
        <v/>
      </c>
      <c r="N288" s="6" t="str">
        <f t="shared" si="2"/>
        <v/>
      </c>
    </row>
    <row r="289" spans="1:14" ht="14.25" customHeight="1" x14ac:dyDescent="0.3">
      <c r="A289" s="4"/>
      <c r="B289" s="4"/>
      <c r="C289" s="4"/>
      <c r="D289" s="4"/>
      <c r="E289" s="4"/>
      <c r="F289" s="6" t="str">
        <f>IF(A289="","",COUNTIF(Chicks!$F:$F,A289))</f>
        <v/>
      </c>
      <c r="G289" s="6" t="str">
        <f>IF(A289="","",COUNTIFS(Chicks!$F:$F,A289,Chicks!$I:$I,"Yes"))</f>
        <v/>
      </c>
      <c r="H289" s="6" t="str">
        <f>IF(A289="","",SUMIFS(Chicks!$J:$J,Chicks!$F:$F,A289))</f>
        <v/>
      </c>
      <c r="I289" s="6" t="str">
        <f>IF(A289="","",COUNTIFS(Chicks!$F:$F,A289,Chicks!$I:$I,"No"))</f>
        <v/>
      </c>
      <c r="J289" s="6" t="str">
        <f>IF(A289="","",IFERROR(AVERAGEIF(Chicks!$F:$F,A289,Chicks!$M:$M),""))</f>
        <v/>
      </c>
      <c r="K289" s="6" t="str">
        <f>IF(A289="","",SUMIFS(Chicks!$N:$N,Chicks!$F:$F,A289))</f>
        <v/>
      </c>
      <c r="L289" s="6" t="str">
        <f>IF(A289="","",SUMIFS(Chicks!$O:$O,Chicks!$F:$F,A289))</f>
        <v/>
      </c>
      <c r="M289" s="6" t="str">
        <f>IF(A289="","",SUMIFS(Chicks!$P:$P,Chicks!$F:$F,A289))</f>
        <v/>
      </c>
      <c r="N289" s="6" t="str">
        <f t="shared" si="2"/>
        <v/>
      </c>
    </row>
    <row r="290" spans="1:14" ht="14.25" customHeight="1" x14ac:dyDescent="0.3">
      <c r="A290" s="4"/>
      <c r="B290" s="4"/>
      <c r="C290" s="4"/>
      <c r="D290" s="4"/>
      <c r="E290" s="4"/>
      <c r="F290" s="6" t="str">
        <f>IF(A290="","",COUNTIF(Chicks!$F:$F,A290))</f>
        <v/>
      </c>
      <c r="G290" s="6" t="str">
        <f>IF(A290="","",COUNTIFS(Chicks!$F:$F,A290,Chicks!$I:$I,"Yes"))</f>
        <v/>
      </c>
      <c r="H290" s="6" t="str">
        <f>IF(A290="","",SUMIFS(Chicks!$J:$J,Chicks!$F:$F,A290))</f>
        <v/>
      </c>
      <c r="I290" s="6" t="str">
        <f>IF(A290="","",COUNTIFS(Chicks!$F:$F,A290,Chicks!$I:$I,"No"))</f>
        <v/>
      </c>
      <c r="J290" s="6" t="str">
        <f>IF(A290="","",IFERROR(AVERAGEIF(Chicks!$F:$F,A290,Chicks!$M:$M),""))</f>
        <v/>
      </c>
      <c r="K290" s="6" t="str">
        <f>IF(A290="","",SUMIFS(Chicks!$N:$N,Chicks!$F:$F,A290))</f>
        <v/>
      </c>
      <c r="L290" s="6" t="str">
        <f>IF(A290="","",SUMIFS(Chicks!$O:$O,Chicks!$F:$F,A290))</f>
        <v/>
      </c>
      <c r="M290" s="6" t="str">
        <f>IF(A290="","",SUMIFS(Chicks!$P:$P,Chicks!$F:$F,A290))</f>
        <v/>
      </c>
      <c r="N290" s="6" t="str">
        <f t="shared" si="2"/>
        <v/>
      </c>
    </row>
    <row r="291" spans="1:14" ht="14.25" customHeight="1" x14ac:dyDescent="0.3">
      <c r="A291" s="4"/>
      <c r="B291" s="4"/>
      <c r="C291" s="4"/>
      <c r="D291" s="4"/>
      <c r="E291" s="4"/>
      <c r="F291" s="6" t="str">
        <f>IF(A291="","",COUNTIF(Chicks!$F:$F,A291))</f>
        <v/>
      </c>
      <c r="G291" s="6" t="str">
        <f>IF(A291="","",COUNTIFS(Chicks!$F:$F,A291,Chicks!$I:$I,"Yes"))</f>
        <v/>
      </c>
      <c r="H291" s="6" t="str">
        <f>IF(A291="","",SUMIFS(Chicks!$J:$J,Chicks!$F:$F,A291))</f>
        <v/>
      </c>
      <c r="I291" s="6" t="str">
        <f>IF(A291="","",COUNTIFS(Chicks!$F:$F,A291,Chicks!$I:$I,"No"))</f>
        <v/>
      </c>
      <c r="J291" s="6" t="str">
        <f>IF(A291="","",IFERROR(AVERAGEIF(Chicks!$F:$F,A291,Chicks!$M:$M),""))</f>
        <v/>
      </c>
      <c r="K291" s="6" t="str">
        <f>IF(A291="","",SUMIFS(Chicks!$N:$N,Chicks!$F:$F,A291))</f>
        <v/>
      </c>
      <c r="L291" s="6" t="str">
        <f>IF(A291="","",SUMIFS(Chicks!$O:$O,Chicks!$F:$F,A291))</f>
        <v/>
      </c>
      <c r="M291" s="6" t="str">
        <f>IF(A291="","",SUMIFS(Chicks!$P:$P,Chicks!$F:$F,A291))</f>
        <v/>
      </c>
      <c r="N291" s="6" t="str">
        <f t="shared" si="2"/>
        <v/>
      </c>
    </row>
    <row r="292" spans="1:14" ht="14.25" customHeight="1" x14ac:dyDescent="0.3">
      <c r="A292" s="4"/>
      <c r="B292" s="4"/>
      <c r="C292" s="4"/>
      <c r="D292" s="4"/>
      <c r="E292" s="4"/>
      <c r="F292" s="6" t="str">
        <f>IF(A292="","",COUNTIF(Chicks!$F:$F,A292))</f>
        <v/>
      </c>
      <c r="G292" s="6" t="str">
        <f>IF(A292="","",COUNTIFS(Chicks!$F:$F,A292,Chicks!$I:$I,"Yes"))</f>
        <v/>
      </c>
      <c r="H292" s="6" t="str">
        <f>IF(A292="","",SUMIFS(Chicks!$J:$J,Chicks!$F:$F,A292))</f>
        <v/>
      </c>
      <c r="I292" s="6" t="str">
        <f>IF(A292="","",COUNTIFS(Chicks!$F:$F,A292,Chicks!$I:$I,"No"))</f>
        <v/>
      </c>
      <c r="J292" s="6" t="str">
        <f>IF(A292="","",IFERROR(AVERAGEIF(Chicks!$F:$F,A292,Chicks!$M:$M),""))</f>
        <v/>
      </c>
      <c r="K292" s="6" t="str">
        <f>IF(A292="","",SUMIFS(Chicks!$N:$N,Chicks!$F:$F,A292))</f>
        <v/>
      </c>
      <c r="L292" s="6" t="str">
        <f>IF(A292="","",SUMIFS(Chicks!$O:$O,Chicks!$F:$F,A292))</f>
        <v/>
      </c>
      <c r="M292" s="6" t="str">
        <f>IF(A292="","",SUMIFS(Chicks!$P:$P,Chicks!$F:$F,A292))</f>
        <v/>
      </c>
      <c r="N292" s="6" t="str">
        <f t="shared" si="2"/>
        <v/>
      </c>
    </row>
    <row r="293" spans="1:14" ht="14.25" customHeight="1" x14ac:dyDescent="0.3">
      <c r="A293" s="4"/>
      <c r="B293" s="4"/>
      <c r="C293" s="4"/>
      <c r="D293" s="4"/>
      <c r="E293" s="4"/>
      <c r="F293" s="6" t="str">
        <f>IF(A293="","",COUNTIF(Chicks!$F:$F,A293))</f>
        <v/>
      </c>
      <c r="G293" s="6" t="str">
        <f>IF(A293="","",COUNTIFS(Chicks!$F:$F,A293,Chicks!$I:$I,"Yes"))</f>
        <v/>
      </c>
      <c r="H293" s="6" t="str">
        <f>IF(A293="","",SUMIFS(Chicks!$J:$J,Chicks!$F:$F,A293))</f>
        <v/>
      </c>
      <c r="I293" s="6" t="str">
        <f>IF(A293="","",COUNTIFS(Chicks!$F:$F,A293,Chicks!$I:$I,"No"))</f>
        <v/>
      </c>
      <c r="J293" s="6" t="str">
        <f>IF(A293="","",IFERROR(AVERAGEIF(Chicks!$F:$F,A293,Chicks!$M:$M),""))</f>
        <v/>
      </c>
      <c r="K293" s="6" t="str">
        <f>IF(A293="","",SUMIFS(Chicks!$N:$N,Chicks!$F:$F,A293))</f>
        <v/>
      </c>
      <c r="L293" s="6" t="str">
        <f>IF(A293="","",SUMIFS(Chicks!$O:$O,Chicks!$F:$F,A293))</f>
        <v/>
      </c>
      <c r="M293" s="6" t="str">
        <f>IF(A293="","",SUMIFS(Chicks!$P:$P,Chicks!$F:$F,A293))</f>
        <v/>
      </c>
      <c r="N293" s="6" t="str">
        <f t="shared" si="2"/>
        <v/>
      </c>
    </row>
    <row r="294" spans="1:14" ht="14.25" customHeight="1" x14ac:dyDescent="0.3">
      <c r="A294" s="4"/>
      <c r="B294" s="4"/>
      <c r="C294" s="4"/>
      <c r="D294" s="4"/>
      <c r="E294" s="4"/>
      <c r="F294" s="6" t="str">
        <f>IF(A294="","",COUNTIF(Chicks!$F:$F,A294))</f>
        <v/>
      </c>
      <c r="G294" s="6" t="str">
        <f>IF(A294="","",COUNTIFS(Chicks!$F:$F,A294,Chicks!$I:$I,"Yes"))</f>
        <v/>
      </c>
      <c r="H294" s="6" t="str">
        <f>IF(A294="","",SUMIFS(Chicks!$J:$J,Chicks!$F:$F,A294))</f>
        <v/>
      </c>
      <c r="I294" s="6" t="str">
        <f>IF(A294="","",COUNTIFS(Chicks!$F:$F,A294,Chicks!$I:$I,"No"))</f>
        <v/>
      </c>
      <c r="J294" s="6" t="str">
        <f>IF(A294="","",IFERROR(AVERAGEIF(Chicks!$F:$F,A294,Chicks!$M:$M),""))</f>
        <v/>
      </c>
      <c r="K294" s="6" t="str">
        <f>IF(A294="","",SUMIFS(Chicks!$N:$N,Chicks!$F:$F,A294))</f>
        <v/>
      </c>
      <c r="L294" s="6" t="str">
        <f>IF(A294="","",SUMIFS(Chicks!$O:$O,Chicks!$F:$F,A294))</f>
        <v/>
      </c>
      <c r="M294" s="6" t="str">
        <f>IF(A294="","",SUMIFS(Chicks!$P:$P,Chicks!$F:$F,A294))</f>
        <v/>
      </c>
      <c r="N294" s="6" t="str">
        <f t="shared" si="2"/>
        <v/>
      </c>
    </row>
    <row r="295" spans="1:14" ht="14.25" customHeight="1" x14ac:dyDescent="0.3">
      <c r="A295" s="4"/>
      <c r="B295" s="4"/>
      <c r="C295" s="4"/>
      <c r="D295" s="4"/>
      <c r="E295" s="4"/>
      <c r="F295" s="6" t="str">
        <f>IF(A295="","",COUNTIF(Chicks!$F:$F,A295))</f>
        <v/>
      </c>
      <c r="G295" s="6" t="str">
        <f>IF(A295="","",COUNTIFS(Chicks!$F:$F,A295,Chicks!$I:$I,"Yes"))</f>
        <v/>
      </c>
      <c r="H295" s="6" t="str">
        <f>IF(A295="","",SUMIFS(Chicks!$J:$J,Chicks!$F:$F,A295))</f>
        <v/>
      </c>
      <c r="I295" s="6" t="str">
        <f>IF(A295="","",COUNTIFS(Chicks!$F:$F,A295,Chicks!$I:$I,"No"))</f>
        <v/>
      </c>
      <c r="J295" s="6" t="str">
        <f>IF(A295="","",IFERROR(AVERAGEIF(Chicks!$F:$F,A295,Chicks!$M:$M),""))</f>
        <v/>
      </c>
      <c r="K295" s="6" t="str">
        <f>IF(A295="","",SUMIFS(Chicks!$N:$N,Chicks!$F:$F,A295))</f>
        <v/>
      </c>
      <c r="L295" s="6" t="str">
        <f>IF(A295="","",SUMIFS(Chicks!$O:$O,Chicks!$F:$F,A295))</f>
        <v/>
      </c>
      <c r="M295" s="6" t="str">
        <f>IF(A295="","",SUMIFS(Chicks!$P:$P,Chicks!$F:$F,A295))</f>
        <v/>
      </c>
      <c r="N295" s="6" t="str">
        <f t="shared" si="2"/>
        <v/>
      </c>
    </row>
    <row r="296" spans="1:14" ht="14.25" customHeight="1" x14ac:dyDescent="0.3">
      <c r="A296" s="4"/>
      <c r="B296" s="4"/>
      <c r="C296" s="4"/>
      <c r="D296" s="4"/>
      <c r="E296" s="4"/>
      <c r="F296" s="6" t="str">
        <f>IF(A296="","",COUNTIF(Chicks!$F:$F,A296))</f>
        <v/>
      </c>
      <c r="G296" s="6" t="str">
        <f>IF(A296="","",COUNTIFS(Chicks!$F:$F,A296,Chicks!$I:$I,"Yes"))</f>
        <v/>
      </c>
      <c r="H296" s="6" t="str">
        <f>IF(A296="","",SUMIFS(Chicks!$J:$J,Chicks!$F:$F,A296))</f>
        <v/>
      </c>
      <c r="I296" s="6" t="str">
        <f>IF(A296="","",COUNTIFS(Chicks!$F:$F,A296,Chicks!$I:$I,"No"))</f>
        <v/>
      </c>
      <c r="J296" s="6" t="str">
        <f>IF(A296="","",IFERROR(AVERAGEIF(Chicks!$F:$F,A296,Chicks!$M:$M),""))</f>
        <v/>
      </c>
      <c r="K296" s="6" t="str">
        <f>IF(A296="","",SUMIFS(Chicks!$N:$N,Chicks!$F:$F,A296))</f>
        <v/>
      </c>
      <c r="L296" s="6" t="str">
        <f>IF(A296="","",SUMIFS(Chicks!$O:$O,Chicks!$F:$F,A296))</f>
        <v/>
      </c>
      <c r="M296" s="6" t="str">
        <f>IF(A296="","",SUMIFS(Chicks!$P:$P,Chicks!$F:$F,A296))</f>
        <v/>
      </c>
      <c r="N296" s="6" t="str">
        <f t="shared" si="2"/>
        <v/>
      </c>
    </row>
    <row r="297" spans="1:14" ht="14.25" customHeight="1" x14ac:dyDescent="0.3">
      <c r="A297" s="4"/>
      <c r="B297" s="4"/>
      <c r="C297" s="4"/>
      <c r="D297" s="4"/>
      <c r="E297" s="4"/>
      <c r="F297" s="6" t="str">
        <f>IF(A297="","",COUNTIF(Chicks!$F:$F,A297))</f>
        <v/>
      </c>
      <c r="G297" s="6" t="str">
        <f>IF(A297="","",COUNTIFS(Chicks!$F:$F,A297,Chicks!$I:$I,"Yes"))</f>
        <v/>
      </c>
      <c r="H297" s="6" t="str">
        <f>IF(A297="","",SUMIFS(Chicks!$J:$J,Chicks!$F:$F,A297))</f>
        <v/>
      </c>
      <c r="I297" s="6" t="str">
        <f>IF(A297="","",COUNTIFS(Chicks!$F:$F,A297,Chicks!$I:$I,"No"))</f>
        <v/>
      </c>
      <c r="J297" s="6" t="str">
        <f>IF(A297="","",IFERROR(AVERAGEIF(Chicks!$F:$F,A297,Chicks!$M:$M),""))</f>
        <v/>
      </c>
      <c r="K297" s="6" t="str">
        <f>IF(A297="","",SUMIFS(Chicks!$N:$N,Chicks!$F:$F,A297))</f>
        <v/>
      </c>
      <c r="L297" s="6" t="str">
        <f>IF(A297="","",SUMIFS(Chicks!$O:$O,Chicks!$F:$F,A297))</f>
        <v/>
      </c>
      <c r="M297" s="6" t="str">
        <f>IF(A297="","",SUMIFS(Chicks!$P:$P,Chicks!$F:$F,A297))</f>
        <v/>
      </c>
      <c r="N297" s="6" t="str">
        <f t="shared" si="2"/>
        <v/>
      </c>
    </row>
    <row r="298" spans="1:14" ht="14.25" customHeight="1" x14ac:dyDescent="0.3">
      <c r="A298" s="4"/>
      <c r="B298" s="4"/>
      <c r="C298" s="4"/>
      <c r="D298" s="4"/>
      <c r="E298" s="4"/>
      <c r="F298" s="6" t="str">
        <f>IF(A298="","",COUNTIF(Chicks!$F:$F,A298))</f>
        <v/>
      </c>
      <c r="G298" s="6" t="str">
        <f>IF(A298="","",COUNTIFS(Chicks!$F:$F,A298,Chicks!$I:$I,"Yes"))</f>
        <v/>
      </c>
      <c r="H298" s="6" t="str">
        <f>IF(A298="","",SUMIFS(Chicks!$J:$J,Chicks!$F:$F,A298))</f>
        <v/>
      </c>
      <c r="I298" s="6" t="str">
        <f>IF(A298="","",COUNTIFS(Chicks!$F:$F,A298,Chicks!$I:$I,"No"))</f>
        <v/>
      </c>
      <c r="J298" s="6" t="str">
        <f>IF(A298="","",IFERROR(AVERAGEIF(Chicks!$F:$F,A298,Chicks!$M:$M),""))</f>
        <v/>
      </c>
      <c r="K298" s="6" t="str">
        <f>IF(A298="","",SUMIFS(Chicks!$N:$N,Chicks!$F:$F,A298))</f>
        <v/>
      </c>
      <c r="L298" s="6" t="str">
        <f>IF(A298="","",SUMIFS(Chicks!$O:$O,Chicks!$F:$F,A298))</f>
        <v/>
      </c>
      <c r="M298" s="6" t="str">
        <f>IF(A298="","",SUMIFS(Chicks!$P:$P,Chicks!$F:$F,A298))</f>
        <v/>
      </c>
      <c r="N298" s="6" t="str">
        <f t="shared" si="2"/>
        <v/>
      </c>
    </row>
    <row r="299" spans="1:14" ht="14.25" customHeight="1" x14ac:dyDescent="0.3">
      <c r="A299" s="4"/>
      <c r="B299" s="4"/>
      <c r="C299" s="4"/>
      <c r="D299" s="4"/>
      <c r="E299" s="4"/>
      <c r="F299" s="6" t="str">
        <f>IF(A299="","",COUNTIF(Chicks!$F:$F,A299))</f>
        <v/>
      </c>
      <c r="G299" s="6" t="str">
        <f>IF(A299="","",COUNTIFS(Chicks!$F:$F,A299,Chicks!$I:$I,"Yes"))</f>
        <v/>
      </c>
      <c r="H299" s="6" t="str">
        <f>IF(A299="","",SUMIFS(Chicks!$J:$J,Chicks!$F:$F,A299))</f>
        <v/>
      </c>
      <c r="I299" s="6" t="str">
        <f>IF(A299="","",COUNTIFS(Chicks!$F:$F,A299,Chicks!$I:$I,"No"))</f>
        <v/>
      </c>
      <c r="J299" s="6" t="str">
        <f>IF(A299="","",IFERROR(AVERAGEIF(Chicks!$F:$F,A299,Chicks!$M:$M),""))</f>
        <v/>
      </c>
      <c r="K299" s="6" t="str">
        <f>IF(A299="","",SUMIFS(Chicks!$N:$N,Chicks!$F:$F,A299))</f>
        <v/>
      </c>
      <c r="L299" s="6" t="str">
        <f>IF(A299="","",SUMIFS(Chicks!$O:$O,Chicks!$F:$F,A299))</f>
        <v/>
      </c>
      <c r="M299" s="6" t="str">
        <f>IF(A299="","",SUMIFS(Chicks!$P:$P,Chicks!$F:$F,A299))</f>
        <v/>
      </c>
      <c r="N299" s="6" t="str">
        <f t="shared" si="2"/>
        <v/>
      </c>
    </row>
    <row r="300" spans="1:14" ht="14.25" customHeight="1" x14ac:dyDescent="0.3">
      <c r="A300" s="4"/>
      <c r="B300" s="4"/>
      <c r="C300" s="4"/>
      <c r="D300" s="4"/>
      <c r="E300" s="4"/>
      <c r="F300" s="6" t="str">
        <f>IF(A300="","",COUNTIF(Chicks!$F:$F,A300))</f>
        <v/>
      </c>
      <c r="G300" s="6" t="str">
        <f>IF(A300="","",COUNTIFS(Chicks!$F:$F,A300,Chicks!$I:$I,"Yes"))</f>
        <v/>
      </c>
      <c r="H300" s="6" t="str">
        <f>IF(A300="","",SUMIFS(Chicks!$J:$J,Chicks!$F:$F,A300))</f>
        <v/>
      </c>
      <c r="I300" s="6" t="str">
        <f>IF(A300="","",COUNTIFS(Chicks!$F:$F,A300,Chicks!$I:$I,"No"))</f>
        <v/>
      </c>
      <c r="J300" s="6" t="str">
        <f>IF(A300="","",IFERROR(AVERAGEIF(Chicks!$F:$F,A300,Chicks!$M:$M),""))</f>
        <v/>
      </c>
      <c r="K300" s="6" t="str">
        <f>IF(A300="","",SUMIFS(Chicks!$N:$N,Chicks!$F:$F,A300))</f>
        <v/>
      </c>
      <c r="L300" s="6" t="str">
        <f>IF(A300="","",SUMIFS(Chicks!$O:$O,Chicks!$F:$F,A300))</f>
        <v/>
      </c>
      <c r="M300" s="6" t="str">
        <f>IF(A300="","",SUMIFS(Chicks!$P:$P,Chicks!$F:$F,A300))</f>
        <v/>
      </c>
      <c r="N300" s="6" t="str">
        <f t="shared" si="2"/>
        <v/>
      </c>
    </row>
    <row r="301" spans="1:14" ht="14.25" customHeight="1" x14ac:dyDescent="0.3">
      <c r="A301" s="4"/>
      <c r="B301" s="4"/>
      <c r="C301" s="4"/>
      <c r="D301" s="4"/>
      <c r="E301" s="4"/>
      <c r="F301" s="6" t="str">
        <f>IF(A301="","",COUNTIF(Chicks!$F:$F,A301))</f>
        <v/>
      </c>
      <c r="G301" s="6" t="str">
        <f>IF(A301="","",COUNTIFS(Chicks!$F:$F,A301,Chicks!$I:$I,"Yes"))</f>
        <v/>
      </c>
      <c r="H301" s="6" t="str">
        <f>IF(A301="","",SUMIFS(Chicks!$J:$J,Chicks!$F:$F,A301))</f>
        <v/>
      </c>
      <c r="I301" s="6" t="str">
        <f>IF(A301="","",COUNTIFS(Chicks!$F:$F,A301,Chicks!$I:$I,"No"))</f>
        <v/>
      </c>
      <c r="J301" s="6" t="str">
        <f>IF(A301="","",IFERROR(AVERAGEIF(Chicks!$F:$F,A301,Chicks!$M:$M),""))</f>
        <v/>
      </c>
      <c r="K301" s="6" t="str">
        <f>IF(A301="","",SUMIFS(Chicks!$N:$N,Chicks!$F:$F,A301))</f>
        <v/>
      </c>
      <c r="L301" s="6" t="str">
        <f>IF(A301="","",SUMIFS(Chicks!$O:$O,Chicks!$F:$F,A301))</f>
        <v/>
      </c>
      <c r="M301" s="6" t="str">
        <f>IF(A301="","",SUMIFS(Chicks!$P:$P,Chicks!$F:$F,A301))</f>
        <v/>
      </c>
      <c r="N301" s="6" t="str">
        <f t="shared" si="2"/>
        <v/>
      </c>
    </row>
    <row r="302" spans="1:14" ht="14.25" customHeight="1" x14ac:dyDescent="0.3">
      <c r="A302" s="4"/>
      <c r="B302" s="4"/>
      <c r="C302" s="4"/>
      <c r="D302" s="4"/>
      <c r="E302" s="4"/>
      <c r="F302" s="6" t="str">
        <f>IF(A302="","",COUNTIF(Chicks!$F:$F,A302))</f>
        <v/>
      </c>
      <c r="G302" s="6" t="str">
        <f>IF(A302="","",COUNTIFS(Chicks!$F:$F,A302,Chicks!$I:$I,"Yes"))</f>
        <v/>
      </c>
      <c r="H302" s="6" t="str">
        <f>IF(A302="","",SUMIFS(Chicks!$J:$J,Chicks!$F:$F,A302))</f>
        <v/>
      </c>
      <c r="I302" s="6" t="str">
        <f>IF(A302="","",COUNTIFS(Chicks!$F:$F,A302,Chicks!$I:$I,"No"))</f>
        <v/>
      </c>
      <c r="J302" s="6" t="str">
        <f>IF(A302="","",IFERROR(AVERAGEIF(Chicks!$F:$F,A302,Chicks!$M:$M),""))</f>
        <v/>
      </c>
      <c r="K302" s="6" t="str">
        <f>IF(A302="","",SUMIFS(Chicks!$N:$N,Chicks!$F:$F,A302))</f>
        <v/>
      </c>
      <c r="L302" s="6" t="str">
        <f>IF(A302="","",SUMIFS(Chicks!$O:$O,Chicks!$F:$F,A302))</f>
        <v/>
      </c>
      <c r="M302" s="6" t="str">
        <f>IF(A302="","",SUMIFS(Chicks!$P:$P,Chicks!$F:$F,A302))</f>
        <v/>
      </c>
      <c r="N302" s="6" t="str">
        <f t="shared" si="2"/>
        <v/>
      </c>
    </row>
    <row r="303" spans="1:14" ht="14.25" customHeight="1" x14ac:dyDescent="0.3">
      <c r="A303" s="4"/>
      <c r="B303" s="4"/>
      <c r="C303" s="4"/>
      <c r="D303" s="4"/>
      <c r="E303" s="4"/>
      <c r="F303" s="6" t="str">
        <f>IF(A303="","",COUNTIF(Chicks!$F:$F,A303))</f>
        <v/>
      </c>
      <c r="G303" s="6" t="str">
        <f>IF(A303="","",COUNTIFS(Chicks!$F:$F,A303,Chicks!$I:$I,"Yes"))</f>
        <v/>
      </c>
      <c r="H303" s="6" t="str">
        <f>IF(A303="","",SUMIFS(Chicks!$J:$J,Chicks!$F:$F,A303))</f>
        <v/>
      </c>
      <c r="I303" s="6" t="str">
        <f>IF(A303="","",COUNTIFS(Chicks!$F:$F,A303,Chicks!$I:$I,"No"))</f>
        <v/>
      </c>
      <c r="J303" s="6" t="str">
        <f>IF(A303="","",IFERROR(AVERAGEIF(Chicks!$F:$F,A303,Chicks!$M:$M),""))</f>
        <v/>
      </c>
      <c r="K303" s="6" t="str">
        <f>IF(A303="","",SUMIFS(Chicks!$N:$N,Chicks!$F:$F,A303))</f>
        <v/>
      </c>
      <c r="L303" s="6" t="str">
        <f>IF(A303="","",SUMIFS(Chicks!$O:$O,Chicks!$F:$F,A303))</f>
        <v/>
      </c>
      <c r="M303" s="6" t="str">
        <f>IF(A303="","",SUMIFS(Chicks!$P:$P,Chicks!$F:$F,A303))</f>
        <v/>
      </c>
      <c r="N303" s="6" t="str">
        <f t="shared" si="2"/>
        <v/>
      </c>
    </row>
    <row r="304" spans="1:14" ht="14.25" customHeight="1" x14ac:dyDescent="0.3">
      <c r="A304" s="4"/>
      <c r="B304" s="4"/>
      <c r="C304" s="4"/>
      <c r="D304" s="4"/>
      <c r="E304" s="4"/>
      <c r="F304" s="6" t="str">
        <f>IF(A304="","",COUNTIF(Chicks!$F:$F,A304))</f>
        <v/>
      </c>
      <c r="G304" s="6" t="str">
        <f>IF(A304="","",COUNTIFS(Chicks!$F:$F,A304,Chicks!$I:$I,"Yes"))</f>
        <v/>
      </c>
      <c r="H304" s="6" t="str">
        <f>IF(A304="","",SUMIFS(Chicks!$J:$J,Chicks!$F:$F,A304))</f>
        <v/>
      </c>
      <c r="I304" s="6" t="str">
        <f>IF(A304="","",COUNTIFS(Chicks!$F:$F,A304,Chicks!$I:$I,"No"))</f>
        <v/>
      </c>
      <c r="J304" s="6" t="str">
        <f>IF(A304="","",IFERROR(AVERAGEIF(Chicks!$F:$F,A304,Chicks!$M:$M),""))</f>
        <v/>
      </c>
      <c r="K304" s="6" t="str">
        <f>IF(A304="","",SUMIFS(Chicks!$N:$N,Chicks!$F:$F,A304))</f>
        <v/>
      </c>
      <c r="L304" s="6" t="str">
        <f>IF(A304="","",SUMIFS(Chicks!$O:$O,Chicks!$F:$F,A304))</f>
        <v/>
      </c>
      <c r="M304" s="6" t="str">
        <f>IF(A304="","",SUMIFS(Chicks!$P:$P,Chicks!$F:$F,A304))</f>
        <v/>
      </c>
      <c r="N304" s="6" t="str">
        <f t="shared" si="2"/>
        <v/>
      </c>
    </row>
    <row r="305" spans="1:14" ht="14.25" customHeight="1" x14ac:dyDescent="0.3">
      <c r="A305" s="4"/>
      <c r="B305" s="4"/>
      <c r="C305" s="4"/>
      <c r="D305" s="4"/>
      <c r="E305" s="4"/>
      <c r="F305" s="6" t="str">
        <f>IF(A305="","",COUNTIF(Chicks!$F:$F,A305))</f>
        <v/>
      </c>
      <c r="G305" s="6" t="str">
        <f>IF(A305="","",COUNTIFS(Chicks!$F:$F,A305,Chicks!$I:$I,"Yes"))</f>
        <v/>
      </c>
      <c r="H305" s="6" t="str">
        <f>IF(A305="","",SUMIFS(Chicks!$J:$J,Chicks!$F:$F,A305))</f>
        <v/>
      </c>
      <c r="I305" s="6" t="str">
        <f>IF(A305="","",COUNTIFS(Chicks!$F:$F,A305,Chicks!$I:$I,"No"))</f>
        <v/>
      </c>
      <c r="J305" s="6" t="str">
        <f>IF(A305="","",IFERROR(AVERAGEIF(Chicks!$F:$F,A305,Chicks!$M:$M),""))</f>
        <v/>
      </c>
      <c r="K305" s="6" t="str">
        <f>IF(A305="","",SUMIFS(Chicks!$N:$N,Chicks!$F:$F,A305))</f>
        <v/>
      </c>
      <c r="L305" s="6" t="str">
        <f>IF(A305="","",SUMIFS(Chicks!$O:$O,Chicks!$F:$F,A305))</f>
        <v/>
      </c>
      <c r="M305" s="6" t="str">
        <f>IF(A305="","",SUMIFS(Chicks!$P:$P,Chicks!$F:$F,A305))</f>
        <v/>
      </c>
      <c r="N305" s="6" t="str">
        <f t="shared" si="2"/>
        <v/>
      </c>
    </row>
    <row r="306" spans="1:14" ht="14.25" customHeight="1" x14ac:dyDescent="0.3">
      <c r="A306" s="4"/>
      <c r="B306" s="4"/>
      <c r="C306" s="4"/>
      <c r="D306" s="4"/>
      <c r="E306" s="4"/>
      <c r="F306" s="6" t="str">
        <f>IF(A306="","",COUNTIF(Chicks!$F:$F,A306))</f>
        <v/>
      </c>
      <c r="G306" s="6" t="str">
        <f>IF(A306="","",COUNTIFS(Chicks!$F:$F,A306,Chicks!$I:$I,"Yes"))</f>
        <v/>
      </c>
      <c r="H306" s="6" t="str">
        <f>IF(A306="","",SUMIFS(Chicks!$J:$J,Chicks!$F:$F,A306))</f>
        <v/>
      </c>
      <c r="I306" s="6" t="str">
        <f>IF(A306="","",COUNTIFS(Chicks!$F:$F,A306,Chicks!$I:$I,"No"))</f>
        <v/>
      </c>
      <c r="J306" s="6" t="str">
        <f>IF(A306="","",IFERROR(AVERAGEIF(Chicks!$F:$F,A306,Chicks!$M:$M),""))</f>
        <v/>
      </c>
      <c r="K306" s="6" t="str">
        <f>IF(A306="","",SUMIFS(Chicks!$N:$N,Chicks!$F:$F,A306))</f>
        <v/>
      </c>
      <c r="L306" s="6" t="str">
        <f>IF(A306="","",SUMIFS(Chicks!$O:$O,Chicks!$F:$F,A306))</f>
        <v/>
      </c>
      <c r="M306" s="6" t="str">
        <f>IF(A306="","",SUMIFS(Chicks!$P:$P,Chicks!$F:$F,A306))</f>
        <v/>
      </c>
      <c r="N306" s="6" t="str">
        <f t="shared" si="2"/>
        <v/>
      </c>
    </row>
    <row r="307" spans="1:14" ht="14.25" customHeight="1" x14ac:dyDescent="0.3">
      <c r="A307" s="4"/>
      <c r="B307" s="4"/>
      <c r="C307" s="4"/>
      <c r="D307" s="4"/>
      <c r="E307" s="4"/>
      <c r="F307" s="6" t="str">
        <f>IF(A307="","",COUNTIF(Chicks!$F:$F,A307))</f>
        <v/>
      </c>
      <c r="G307" s="6" t="str">
        <f>IF(A307="","",COUNTIFS(Chicks!$F:$F,A307,Chicks!$I:$I,"Yes"))</f>
        <v/>
      </c>
      <c r="H307" s="6" t="str">
        <f>IF(A307="","",SUMIFS(Chicks!$J:$J,Chicks!$F:$F,A307))</f>
        <v/>
      </c>
      <c r="I307" s="6" t="str">
        <f>IF(A307="","",COUNTIFS(Chicks!$F:$F,A307,Chicks!$I:$I,"No"))</f>
        <v/>
      </c>
      <c r="J307" s="6" t="str">
        <f>IF(A307="","",IFERROR(AVERAGEIF(Chicks!$F:$F,A307,Chicks!$M:$M),""))</f>
        <v/>
      </c>
      <c r="K307" s="6" t="str">
        <f>IF(A307="","",SUMIFS(Chicks!$N:$N,Chicks!$F:$F,A307))</f>
        <v/>
      </c>
      <c r="L307" s="6" t="str">
        <f>IF(A307="","",SUMIFS(Chicks!$O:$O,Chicks!$F:$F,A307))</f>
        <v/>
      </c>
      <c r="M307" s="6" t="str">
        <f>IF(A307="","",SUMIFS(Chicks!$P:$P,Chicks!$F:$F,A307))</f>
        <v/>
      </c>
      <c r="N307" s="6" t="str">
        <f t="shared" si="2"/>
        <v/>
      </c>
    </row>
    <row r="308" spans="1:14" ht="14.25" customHeight="1" x14ac:dyDescent="0.3">
      <c r="A308" s="4"/>
      <c r="B308" s="4"/>
      <c r="C308" s="4"/>
      <c r="D308" s="4"/>
      <c r="E308" s="4"/>
      <c r="F308" s="6" t="str">
        <f>IF(A308="","",COUNTIF(Chicks!$F:$F,A308))</f>
        <v/>
      </c>
      <c r="G308" s="6" t="str">
        <f>IF(A308="","",COUNTIFS(Chicks!$F:$F,A308,Chicks!$I:$I,"Yes"))</f>
        <v/>
      </c>
      <c r="H308" s="6" t="str">
        <f>IF(A308="","",SUMIFS(Chicks!$J:$J,Chicks!$F:$F,A308))</f>
        <v/>
      </c>
      <c r="I308" s="6" t="str">
        <f>IF(A308="","",COUNTIFS(Chicks!$F:$F,A308,Chicks!$I:$I,"No"))</f>
        <v/>
      </c>
      <c r="J308" s="6" t="str">
        <f>IF(A308="","",IFERROR(AVERAGEIF(Chicks!$F:$F,A308,Chicks!$M:$M),""))</f>
        <v/>
      </c>
      <c r="K308" s="6" t="str">
        <f>IF(A308="","",SUMIFS(Chicks!$N:$N,Chicks!$F:$F,A308))</f>
        <v/>
      </c>
      <c r="L308" s="6" t="str">
        <f>IF(A308="","",SUMIFS(Chicks!$O:$O,Chicks!$F:$F,A308))</f>
        <v/>
      </c>
      <c r="M308" s="6" t="str">
        <f>IF(A308="","",SUMIFS(Chicks!$P:$P,Chicks!$F:$F,A308))</f>
        <v/>
      </c>
      <c r="N308" s="6" t="str">
        <f t="shared" si="2"/>
        <v/>
      </c>
    </row>
    <row r="309" spans="1:14" ht="14.25" customHeight="1" x14ac:dyDescent="0.3">
      <c r="A309" s="4"/>
      <c r="B309" s="4"/>
      <c r="C309" s="4"/>
      <c r="D309" s="4"/>
      <c r="E309" s="4"/>
      <c r="F309" s="6" t="str">
        <f>IF(A309="","",COUNTIF(Chicks!$F:$F,A309))</f>
        <v/>
      </c>
      <c r="G309" s="6" t="str">
        <f>IF(A309="","",COUNTIFS(Chicks!$F:$F,A309,Chicks!$I:$I,"Yes"))</f>
        <v/>
      </c>
      <c r="H309" s="6" t="str">
        <f>IF(A309="","",SUMIFS(Chicks!$J:$J,Chicks!$F:$F,A309))</f>
        <v/>
      </c>
      <c r="I309" s="6" t="str">
        <f>IF(A309="","",COUNTIFS(Chicks!$F:$F,A309,Chicks!$I:$I,"No"))</f>
        <v/>
      </c>
      <c r="J309" s="6" t="str">
        <f>IF(A309="","",IFERROR(AVERAGEIF(Chicks!$F:$F,A309,Chicks!$M:$M),""))</f>
        <v/>
      </c>
      <c r="K309" s="6" t="str">
        <f>IF(A309="","",SUMIFS(Chicks!$N:$N,Chicks!$F:$F,A309))</f>
        <v/>
      </c>
      <c r="L309" s="6" t="str">
        <f>IF(A309="","",SUMIFS(Chicks!$O:$O,Chicks!$F:$F,A309))</f>
        <v/>
      </c>
      <c r="M309" s="6" t="str">
        <f>IF(A309="","",SUMIFS(Chicks!$P:$P,Chicks!$F:$F,A309))</f>
        <v/>
      </c>
      <c r="N309" s="6" t="str">
        <f t="shared" si="2"/>
        <v/>
      </c>
    </row>
    <row r="310" spans="1:14" ht="14.25" customHeight="1" x14ac:dyDescent="0.3">
      <c r="A310" s="4"/>
      <c r="B310" s="4"/>
      <c r="C310" s="4"/>
      <c r="D310" s="4"/>
      <c r="E310" s="4"/>
      <c r="F310" s="6" t="str">
        <f>IF(A310="","",COUNTIF(Chicks!$F:$F,A310))</f>
        <v/>
      </c>
      <c r="G310" s="6" t="str">
        <f>IF(A310="","",COUNTIFS(Chicks!$F:$F,A310,Chicks!$I:$I,"Yes"))</f>
        <v/>
      </c>
      <c r="H310" s="6" t="str">
        <f>IF(A310="","",SUMIFS(Chicks!$J:$J,Chicks!$F:$F,A310))</f>
        <v/>
      </c>
      <c r="I310" s="6" t="str">
        <f>IF(A310="","",COUNTIFS(Chicks!$F:$F,A310,Chicks!$I:$I,"No"))</f>
        <v/>
      </c>
      <c r="J310" s="6" t="str">
        <f>IF(A310="","",IFERROR(AVERAGEIF(Chicks!$F:$F,A310,Chicks!$M:$M),""))</f>
        <v/>
      </c>
      <c r="K310" s="6" t="str">
        <f>IF(A310="","",SUMIFS(Chicks!$N:$N,Chicks!$F:$F,A310))</f>
        <v/>
      </c>
      <c r="L310" s="6" t="str">
        <f>IF(A310="","",SUMIFS(Chicks!$O:$O,Chicks!$F:$F,A310))</f>
        <v/>
      </c>
      <c r="M310" s="6" t="str">
        <f>IF(A310="","",SUMIFS(Chicks!$P:$P,Chicks!$F:$F,A310))</f>
        <v/>
      </c>
      <c r="N310" s="6" t="str">
        <f t="shared" si="2"/>
        <v/>
      </c>
    </row>
    <row r="311" spans="1:14" ht="14.25" customHeight="1" x14ac:dyDescent="0.3">
      <c r="A311" s="4"/>
      <c r="B311" s="4"/>
      <c r="C311" s="4"/>
      <c r="D311" s="4"/>
      <c r="E311" s="4"/>
      <c r="F311" s="6" t="str">
        <f>IF(A311="","",COUNTIF(Chicks!$F:$F,A311))</f>
        <v/>
      </c>
      <c r="G311" s="6" t="str">
        <f>IF(A311="","",COUNTIFS(Chicks!$F:$F,A311,Chicks!$I:$I,"Yes"))</f>
        <v/>
      </c>
      <c r="H311" s="6" t="str">
        <f>IF(A311="","",SUMIFS(Chicks!$J:$J,Chicks!$F:$F,A311))</f>
        <v/>
      </c>
      <c r="I311" s="6" t="str">
        <f>IF(A311="","",COUNTIFS(Chicks!$F:$F,A311,Chicks!$I:$I,"No"))</f>
        <v/>
      </c>
      <c r="J311" s="6" t="str">
        <f>IF(A311="","",IFERROR(AVERAGEIF(Chicks!$F:$F,A311,Chicks!$M:$M),""))</f>
        <v/>
      </c>
      <c r="K311" s="6" t="str">
        <f>IF(A311="","",SUMIFS(Chicks!$N:$N,Chicks!$F:$F,A311))</f>
        <v/>
      </c>
      <c r="L311" s="6" t="str">
        <f>IF(A311="","",SUMIFS(Chicks!$O:$O,Chicks!$F:$F,A311))</f>
        <v/>
      </c>
      <c r="M311" s="6" t="str">
        <f>IF(A311="","",SUMIFS(Chicks!$P:$P,Chicks!$F:$F,A311))</f>
        <v/>
      </c>
      <c r="N311" s="6" t="str">
        <f t="shared" si="2"/>
        <v/>
      </c>
    </row>
    <row r="312" spans="1:14" ht="14.25" customHeight="1" x14ac:dyDescent="0.3">
      <c r="A312" s="4"/>
      <c r="B312" s="4"/>
      <c r="C312" s="4"/>
      <c r="D312" s="4"/>
      <c r="E312" s="4"/>
      <c r="F312" s="6" t="str">
        <f>IF(A312="","",COUNTIF(Chicks!$F:$F,A312))</f>
        <v/>
      </c>
      <c r="G312" s="6" t="str">
        <f>IF(A312="","",COUNTIFS(Chicks!$F:$F,A312,Chicks!$I:$I,"Yes"))</f>
        <v/>
      </c>
      <c r="H312" s="6" t="str">
        <f>IF(A312="","",SUMIFS(Chicks!$J:$J,Chicks!$F:$F,A312))</f>
        <v/>
      </c>
      <c r="I312" s="6" t="str">
        <f>IF(A312="","",COUNTIFS(Chicks!$F:$F,A312,Chicks!$I:$I,"No"))</f>
        <v/>
      </c>
      <c r="J312" s="6" t="str">
        <f>IF(A312="","",IFERROR(AVERAGEIF(Chicks!$F:$F,A312,Chicks!$M:$M),""))</f>
        <v/>
      </c>
      <c r="K312" s="6" t="str">
        <f>IF(A312="","",SUMIFS(Chicks!$N:$N,Chicks!$F:$F,A312))</f>
        <v/>
      </c>
      <c r="L312" s="6" t="str">
        <f>IF(A312="","",SUMIFS(Chicks!$O:$O,Chicks!$F:$F,A312))</f>
        <v/>
      </c>
      <c r="M312" s="6" t="str">
        <f>IF(A312="","",SUMIFS(Chicks!$P:$P,Chicks!$F:$F,A312))</f>
        <v/>
      </c>
      <c r="N312" s="6" t="str">
        <f t="shared" si="2"/>
        <v/>
      </c>
    </row>
    <row r="313" spans="1:14" ht="14.25" customHeight="1" x14ac:dyDescent="0.3">
      <c r="A313" s="4"/>
      <c r="B313" s="4"/>
      <c r="C313" s="4"/>
      <c r="D313" s="4"/>
      <c r="E313" s="4"/>
      <c r="F313" s="6" t="str">
        <f>IF(A313="","",COUNTIF(Chicks!$F:$F,A313))</f>
        <v/>
      </c>
      <c r="G313" s="6" t="str">
        <f>IF(A313="","",COUNTIFS(Chicks!$F:$F,A313,Chicks!$I:$I,"Yes"))</f>
        <v/>
      </c>
      <c r="H313" s="6" t="str">
        <f>IF(A313="","",SUMIFS(Chicks!$J:$J,Chicks!$F:$F,A313))</f>
        <v/>
      </c>
      <c r="I313" s="6" t="str">
        <f>IF(A313="","",COUNTIFS(Chicks!$F:$F,A313,Chicks!$I:$I,"No"))</f>
        <v/>
      </c>
      <c r="J313" s="6" t="str">
        <f>IF(A313="","",IFERROR(AVERAGEIF(Chicks!$F:$F,A313,Chicks!$M:$M),""))</f>
        <v/>
      </c>
      <c r="K313" s="6" t="str">
        <f>IF(A313="","",SUMIFS(Chicks!$N:$N,Chicks!$F:$F,A313))</f>
        <v/>
      </c>
      <c r="L313" s="6" t="str">
        <f>IF(A313="","",SUMIFS(Chicks!$O:$O,Chicks!$F:$F,A313))</f>
        <v/>
      </c>
      <c r="M313" s="6" t="str">
        <f>IF(A313="","",SUMIFS(Chicks!$P:$P,Chicks!$F:$F,A313))</f>
        <v/>
      </c>
      <c r="N313" s="6" t="str">
        <f t="shared" si="2"/>
        <v/>
      </c>
    </row>
    <row r="314" spans="1:14" ht="14.25" customHeight="1" x14ac:dyDescent="0.3">
      <c r="A314" s="4"/>
      <c r="B314" s="4"/>
      <c r="C314" s="4"/>
      <c r="D314" s="4"/>
      <c r="E314" s="4"/>
      <c r="F314" s="6" t="str">
        <f>IF(A314="","",COUNTIF(Chicks!$F:$F,A314))</f>
        <v/>
      </c>
      <c r="G314" s="6" t="str">
        <f>IF(A314="","",COUNTIFS(Chicks!$F:$F,A314,Chicks!$I:$I,"Yes"))</f>
        <v/>
      </c>
      <c r="H314" s="6" t="str">
        <f>IF(A314="","",SUMIFS(Chicks!$J:$J,Chicks!$F:$F,A314))</f>
        <v/>
      </c>
      <c r="I314" s="6" t="str">
        <f>IF(A314="","",COUNTIFS(Chicks!$F:$F,A314,Chicks!$I:$I,"No"))</f>
        <v/>
      </c>
      <c r="J314" s="6" t="str">
        <f>IF(A314="","",IFERROR(AVERAGEIF(Chicks!$F:$F,A314,Chicks!$M:$M),""))</f>
        <v/>
      </c>
      <c r="K314" s="6" t="str">
        <f>IF(A314="","",SUMIFS(Chicks!$N:$N,Chicks!$F:$F,A314))</f>
        <v/>
      </c>
      <c r="L314" s="6" t="str">
        <f>IF(A314="","",SUMIFS(Chicks!$O:$O,Chicks!$F:$F,A314))</f>
        <v/>
      </c>
      <c r="M314" s="6" t="str">
        <f>IF(A314="","",SUMIFS(Chicks!$P:$P,Chicks!$F:$F,A314))</f>
        <v/>
      </c>
      <c r="N314" s="6" t="str">
        <f t="shared" si="2"/>
        <v/>
      </c>
    </row>
    <row r="315" spans="1:14" ht="14.25" customHeight="1" x14ac:dyDescent="0.3">
      <c r="A315" s="4"/>
      <c r="B315" s="4"/>
      <c r="C315" s="4"/>
      <c r="D315" s="4"/>
      <c r="E315" s="4"/>
      <c r="F315" s="6" t="str">
        <f>IF(A315="","",COUNTIF(Chicks!$F:$F,A315))</f>
        <v/>
      </c>
      <c r="G315" s="6" t="str">
        <f>IF(A315="","",COUNTIFS(Chicks!$F:$F,A315,Chicks!$I:$I,"Yes"))</f>
        <v/>
      </c>
      <c r="H315" s="6" t="str">
        <f>IF(A315="","",SUMIFS(Chicks!$J:$J,Chicks!$F:$F,A315))</f>
        <v/>
      </c>
      <c r="I315" s="6" t="str">
        <f>IF(A315="","",COUNTIFS(Chicks!$F:$F,A315,Chicks!$I:$I,"No"))</f>
        <v/>
      </c>
      <c r="J315" s="6" t="str">
        <f>IF(A315="","",IFERROR(AVERAGEIF(Chicks!$F:$F,A315,Chicks!$M:$M),""))</f>
        <v/>
      </c>
      <c r="K315" s="6" t="str">
        <f>IF(A315="","",SUMIFS(Chicks!$N:$N,Chicks!$F:$F,A315))</f>
        <v/>
      </c>
      <c r="L315" s="6" t="str">
        <f>IF(A315="","",SUMIFS(Chicks!$O:$O,Chicks!$F:$F,A315))</f>
        <v/>
      </c>
      <c r="M315" s="6" t="str">
        <f>IF(A315="","",SUMIFS(Chicks!$P:$P,Chicks!$F:$F,A315))</f>
        <v/>
      </c>
      <c r="N315" s="6" t="str">
        <f t="shared" si="2"/>
        <v/>
      </c>
    </row>
    <row r="316" spans="1:14" ht="14.25" customHeight="1" x14ac:dyDescent="0.3">
      <c r="A316" s="4"/>
      <c r="B316" s="4"/>
      <c r="C316" s="4"/>
      <c r="D316" s="4"/>
      <c r="E316" s="4"/>
      <c r="F316" s="6" t="str">
        <f>IF(A316="","",COUNTIF(Chicks!$F:$F,A316))</f>
        <v/>
      </c>
      <c r="G316" s="6" t="str">
        <f>IF(A316="","",COUNTIFS(Chicks!$F:$F,A316,Chicks!$I:$I,"Yes"))</f>
        <v/>
      </c>
      <c r="H316" s="6" t="str">
        <f>IF(A316="","",SUMIFS(Chicks!$J:$J,Chicks!$F:$F,A316))</f>
        <v/>
      </c>
      <c r="I316" s="6" t="str">
        <f>IF(A316="","",COUNTIFS(Chicks!$F:$F,A316,Chicks!$I:$I,"No"))</f>
        <v/>
      </c>
      <c r="J316" s="6" t="str">
        <f>IF(A316="","",IFERROR(AVERAGEIF(Chicks!$F:$F,A316,Chicks!$M:$M),""))</f>
        <v/>
      </c>
      <c r="K316" s="6" t="str">
        <f>IF(A316="","",SUMIFS(Chicks!$N:$N,Chicks!$F:$F,A316))</f>
        <v/>
      </c>
      <c r="L316" s="6" t="str">
        <f>IF(A316="","",SUMIFS(Chicks!$O:$O,Chicks!$F:$F,A316))</f>
        <v/>
      </c>
      <c r="M316" s="6" t="str">
        <f>IF(A316="","",SUMIFS(Chicks!$P:$P,Chicks!$F:$F,A316))</f>
        <v/>
      </c>
      <c r="N316" s="6" t="str">
        <f t="shared" si="2"/>
        <v/>
      </c>
    </row>
    <row r="317" spans="1:14" ht="14.25" customHeight="1" x14ac:dyDescent="0.3">
      <c r="A317" s="4"/>
      <c r="B317" s="4"/>
      <c r="C317" s="4"/>
      <c r="D317" s="4"/>
      <c r="E317" s="4"/>
      <c r="F317" s="6" t="str">
        <f>IF(A317="","",COUNTIF(Chicks!$F:$F,A317))</f>
        <v/>
      </c>
      <c r="G317" s="6" t="str">
        <f>IF(A317="","",COUNTIFS(Chicks!$F:$F,A317,Chicks!$I:$I,"Yes"))</f>
        <v/>
      </c>
      <c r="H317" s="6" t="str">
        <f>IF(A317="","",SUMIFS(Chicks!$J:$J,Chicks!$F:$F,A317))</f>
        <v/>
      </c>
      <c r="I317" s="6" t="str">
        <f>IF(A317="","",COUNTIFS(Chicks!$F:$F,A317,Chicks!$I:$I,"No"))</f>
        <v/>
      </c>
      <c r="J317" s="6" t="str">
        <f>IF(A317="","",IFERROR(AVERAGEIF(Chicks!$F:$F,A317,Chicks!$M:$M),""))</f>
        <v/>
      </c>
      <c r="K317" s="6" t="str">
        <f>IF(A317="","",SUMIFS(Chicks!$N:$N,Chicks!$F:$F,A317))</f>
        <v/>
      </c>
      <c r="L317" s="6" t="str">
        <f>IF(A317="","",SUMIFS(Chicks!$O:$O,Chicks!$F:$F,A317))</f>
        <v/>
      </c>
      <c r="M317" s="6" t="str">
        <f>IF(A317="","",SUMIFS(Chicks!$P:$P,Chicks!$F:$F,A317))</f>
        <v/>
      </c>
      <c r="N317" s="6" t="str">
        <f t="shared" si="2"/>
        <v/>
      </c>
    </row>
    <row r="318" spans="1:14" ht="14.25" customHeight="1" x14ac:dyDescent="0.3">
      <c r="A318" s="4"/>
      <c r="B318" s="4"/>
      <c r="C318" s="4"/>
      <c r="D318" s="4"/>
      <c r="E318" s="4"/>
      <c r="F318" s="6" t="str">
        <f>IF(A318="","",COUNTIF(Chicks!$F:$F,A318))</f>
        <v/>
      </c>
      <c r="G318" s="6" t="str">
        <f>IF(A318="","",COUNTIFS(Chicks!$F:$F,A318,Chicks!$I:$I,"Yes"))</f>
        <v/>
      </c>
      <c r="H318" s="6" t="str">
        <f>IF(A318="","",SUMIFS(Chicks!$J:$J,Chicks!$F:$F,A318))</f>
        <v/>
      </c>
      <c r="I318" s="6" t="str">
        <f>IF(A318="","",COUNTIFS(Chicks!$F:$F,A318,Chicks!$I:$I,"No"))</f>
        <v/>
      </c>
      <c r="J318" s="6" t="str">
        <f>IF(A318="","",IFERROR(AVERAGEIF(Chicks!$F:$F,A318,Chicks!$M:$M),""))</f>
        <v/>
      </c>
      <c r="K318" s="6" t="str">
        <f>IF(A318="","",SUMIFS(Chicks!$N:$N,Chicks!$F:$F,A318))</f>
        <v/>
      </c>
      <c r="L318" s="6" t="str">
        <f>IF(A318="","",SUMIFS(Chicks!$O:$O,Chicks!$F:$F,A318))</f>
        <v/>
      </c>
      <c r="M318" s="6" t="str">
        <f>IF(A318="","",SUMIFS(Chicks!$P:$P,Chicks!$F:$F,A318))</f>
        <v/>
      </c>
      <c r="N318" s="6" t="str">
        <f t="shared" si="2"/>
        <v/>
      </c>
    </row>
    <row r="319" spans="1:14" ht="14.25" customHeight="1" x14ac:dyDescent="0.3">
      <c r="A319" s="4"/>
      <c r="B319" s="4"/>
      <c r="C319" s="4"/>
      <c r="D319" s="4"/>
      <c r="E319" s="4"/>
      <c r="F319" s="6" t="str">
        <f>IF(A319="","",COUNTIF(Chicks!$F:$F,A319))</f>
        <v/>
      </c>
      <c r="G319" s="6" t="str">
        <f>IF(A319="","",COUNTIFS(Chicks!$F:$F,A319,Chicks!$I:$I,"Yes"))</f>
        <v/>
      </c>
      <c r="H319" s="6" t="str">
        <f>IF(A319="","",SUMIFS(Chicks!$J:$J,Chicks!$F:$F,A319))</f>
        <v/>
      </c>
      <c r="I319" s="6" t="str">
        <f>IF(A319="","",COUNTIFS(Chicks!$F:$F,A319,Chicks!$I:$I,"No"))</f>
        <v/>
      </c>
      <c r="J319" s="6" t="str">
        <f>IF(A319="","",IFERROR(AVERAGEIF(Chicks!$F:$F,A319,Chicks!$M:$M),""))</f>
        <v/>
      </c>
      <c r="K319" s="6" t="str">
        <f>IF(A319="","",SUMIFS(Chicks!$N:$N,Chicks!$F:$F,A319))</f>
        <v/>
      </c>
      <c r="L319" s="6" t="str">
        <f>IF(A319="","",SUMIFS(Chicks!$O:$O,Chicks!$F:$F,A319))</f>
        <v/>
      </c>
      <c r="M319" s="6" t="str">
        <f>IF(A319="","",SUMIFS(Chicks!$P:$P,Chicks!$F:$F,A319))</f>
        <v/>
      </c>
      <c r="N319" s="6" t="str">
        <f t="shared" si="2"/>
        <v/>
      </c>
    </row>
    <row r="320" spans="1:14" ht="14.25" customHeight="1" x14ac:dyDescent="0.3">
      <c r="A320" s="4"/>
      <c r="B320" s="4"/>
      <c r="C320" s="4"/>
      <c r="D320" s="4"/>
      <c r="E320" s="4"/>
      <c r="F320" s="6" t="str">
        <f>IF(A320="","",COUNTIF(Chicks!$F:$F,A320))</f>
        <v/>
      </c>
      <c r="G320" s="6" t="str">
        <f>IF(A320="","",COUNTIFS(Chicks!$F:$F,A320,Chicks!$I:$I,"Yes"))</f>
        <v/>
      </c>
      <c r="H320" s="6" t="str">
        <f>IF(A320="","",SUMIFS(Chicks!$J:$J,Chicks!$F:$F,A320))</f>
        <v/>
      </c>
      <c r="I320" s="6" t="str">
        <f>IF(A320="","",COUNTIFS(Chicks!$F:$F,A320,Chicks!$I:$I,"No"))</f>
        <v/>
      </c>
      <c r="J320" s="6" t="str">
        <f>IF(A320="","",IFERROR(AVERAGEIF(Chicks!$F:$F,A320,Chicks!$M:$M),""))</f>
        <v/>
      </c>
      <c r="K320" s="6" t="str">
        <f>IF(A320="","",SUMIFS(Chicks!$N:$N,Chicks!$F:$F,A320))</f>
        <v/>
      </c>
      <c r="L320" s="6" t="str">
        <f>IF(A320="","",SUMIFS(Chicks!$O:$O,Chicks!$F:$F,A320))</f>
        <v/>
      </c>
      <c r="M320" s="6" t="str">
        <f>IF(A320="","",SUMIFS(Chicks!$P:$P,Chicks!$F:$F,A320))</f>
        <v/>
      </c>
      <c r="N320" s="6" t="str">
        <f t="shared" si="2"/>
        <v/>
      </c>
    </row>
    <row r="321" spans="1:14" ht="14.25" customHeight="1" x14ac:dyDescent="0.3">
      <c r="A321" s="4"/>
      <c r="B321" s="4"/>
      <c r="C321" s="4"/>
      <c r="D321" s="4"/>
      <c r="E321" s="4"/>
      <c r="F321" s="6" t="str">
        <f>IF(A321="","",COUNTIF(Chicks!$F:$F,A321))</f>
        <v/>
      </c>
      <c r="G321" s="6" t="str">
        <f>IF(A321="","",COUNTIFS(Chicks!$F:$F,A321,Chicks!$I:$I,"Yes"))</f>
        <v/>
      </c>
      <c r="H321" s="6" t="str">
        <f>IF(A321="","",SUMIFS(Chicks!$J:$J,Chicks!$F:$F,A321))</f>
        <v/>
      </c>
      <c r="I321" s="6" t="str">
        <f>IF(A321="","",COUNTIFS(Chicks!$F:$F,A321,Chicks!$I:$I,"No"))</f>
        <v/>
      </c>
      <c r="J321" s="6" t="str">
        <f>IF(A321="","",IFERROR(AVERAGEIF(Chicks!$F:$F,A321,Chicks!$M:$M),""))</f>
        <v/>
      </c>
      <c r="K321" s="6" t="str">
        <f>IF(A321="","",SUMIFS(Chicks!$N:$N,Chicks!$F:$F,A321))</f>
        <v/>
      </c>
      <c r="L321" s="6" t="str">
        <f>IF(A321="","",SUMIFS(Chicks!$O:$O,Chicks!$F:$F,A321))</f>
        <v/>
      </c>
      <c r="M321" s="6" t="str">
        <f>IF(A321="","",SUMIFS(Chicks!$P:$P,Chicks!$F:$F,A321))</f>
        <v/>
      </c>
      <c r="N321" s="6" t="str">
        <f t="shared" si="2"/>
        <v/>
      </c>
    </row>
    <row r="322" spans="1:14" ht="14.25" customHeight="1" x14ac:dyDescent="0.3">
      <c r="A322" s="4"/>
      <c r="B322" s="4"/>
      <c r="C322" s="4"/>
      <c r="D322" s="4"/>
      <c r="E322" s="4"/>
      <c r="F322" s="6" t="str">
        <f>IF(A322="","",COUNTIF(Chicks!$F:$F,A322))</f>
        <v/>
      </c>
      <c r="G322" s="6" t="str">
        <f>IF(A322="","",COUNTIFS(Chicks!$F:$F,A322,Chicks!$I:$I,"Yes"))</f>
        <v/>
      </c>
      <c r="H322" s="6" t="str">
        <f>IF(A322="","",SUMIFS(Chicks!$J:$J,Chicks!$F:$F,A322))</f>
        <v/>
      </c>
      <c r="I322" s="6" t="str">
        <f>IF(A322="","",COUNTIFS(Chicks!$F:$F,A322,Chicks!$I:$I,"No"))</f>
        <v/>
      </c>
      <c r="J322" s="6" t="str">
        <f>IF(A322="","",IFERROR(AVERAGEIF(Chicks!$F:$F,A322,Chicks!$M:$M),""))</f>
        <v/>
      </c>
      <c r="K322" s="6" t="str">
        <f>IF(A322="","",SUMIFS(Chicks!$N:$N,Chicks!$F:$F,A322))</f>
        <v/>
      </c>
      <c r="L322" s="6" t="str">
        <f>IF(A322="","",SUMIFS(Chicks!$O:$O,Chicks!$F:$F,A322))</f>
        <v/>
      </c>
      <c r="M322" s="6" t="str">
        <f>IF(A322="","",SUMIFS(Chicks!$P:$P,Chicks!$F:$F,A322))</f>
        <v/>
      </c>
      <c r="N322" s="6" t="str">
        <f t="shared" si="2"/>
        <v/>
      </c>
    </row>
    <row r="323" spans="1:14" ht="14.25" customHeight="1" x14ac:dyDescent="0.3">
      <c r="A323" s="4"/>
      <c r="B323" s="4"/>
      <c r="C323" s="4"/>
      <c r="D323" s="4"/>
      <c r="E323" s="4"/>
      <c r="F323" s="6" t="str">
        <f>IF(A323="","",COUNTIF(Chicks!$F:$F,A323))</f>
        <v/>
      </c>
      <c r="G323" s="6" t="str">
        <f>IF(A323="","",COUNTIFS(Chicks!$F:$F,A323,Chicks!$I:$I,"Yes"))</f>
        <v/>
      </c>
      <c r="H323" s="6" t="str">
        <f>IF(A323="","",SUMIFS(Chicks!$J:$J,Chicks!$F:$F,A323))</f>
        <v/>
      </c>
      <c r="I323" s="6" t="str">
        <f>IF(A323="","",COUNTIFS(Chicks!$F:$F,A323,Chicks!$I:$I,"No"))</f>
        <v/>
      </c>
      <c r="J323" s="6" t="str">
        <f>IF(A323="","",IFERROR(AVERAGEIF(Chicks!$F:$F,A323,Chicks!$M:$M),""))</f>
        <v/>
      </c>
      <c r="K323" s="6" t="str">
        <f>IF(A323="","",SUMIFS(Chicks!$N:$N,Chicks!$F:$F,A323))</f>
        <v/>
      </c>
      <c r="L323" s="6" t="str">
        <f>IF(A323="","",SUMIFS(Chicks!$O:$O,Chicks!$F:$F,A323))</f>
        <v/>
      </c>
      <c r="M323" s="6" t="str">
        <f>IF(A323="","",SUMIFS(Chicks!$P:$P,Chicks!$F:$F,A323))</f>
        <v/>
      </c>
      <c r="N323" s="6" t="str">
        <f t="shared" si="2"/>
        <v/>
      </c>
    </row>
    <row r="324" spans="1:14" ht="14.25" customHeight="1" x14ac:dyDescent="0.3">
      <c r="A324" s="4"/>
      <c r="B324" s="4"/>
      <c r="C324" s="4"/>
      <c r="D324" s="4"/>
      <c r="E324" s="4"/>
      <c r="F324" s="6" t="str">
        <f>IF(A324="","",COUNTIF(Chicks!$F:$F,A324))</f>
        <v/>
      </c>
      <c r="G324" s="6" t="str">
        <f>IF(A324="","",COUNTIFS(Chicks!$F:$F,A324,Chicks!$I:$I,"Yes"))</f>
        <v/>
      </c>
      <c r="H324" s="6" t="str">
        <f>IF(A324="","",SUMIFS(Chicks!$J:$J,Chicks!$F:$F,A324))</f>
        <v/>
      </c>
      <c r="I324" s="6" t="str">
        <f>IF(A324="","",COUNTIFS(Chicks!$F:$F,A324,Chicks!$I:$I,"No"))</f>
        <v/>
      </c>
      <c r="J324" s="6" t="str">
        <f>IF(A324="","",IFERROR(AVERAGEIF(Chicks!$F:$F,A324,Chicks!$M:$M),""))</f>
        <v/>
      </c>
      <c r="K324" s="6" t="str">
        <f>IF(A324="","",SUMIFS(Chicks!$N:$N,Chicks!$F:$F,A324))</f>
        <v/>
      </c>
      <c r="L324" s="6" t="str">
        <f>IF(A324="","",SUMIFS(Chicks!$O:$O,Chicks!$F:$F,A324))</f>
        <v/>
      </c>
      <c r="M324" s="6" t="str">
        <f>IF(A324="","",SUMIFS(Chicks!$P:$P,Chicks!$F:$F,A324))</f>
        <v/>
      </c>
      <c r="N324" s="6" t="str">
        <f t="shared" si="2"/>
        <v/>
      </c>
    </row>
    <row r="325" spans="1:14" ht="14.25" customHeight="1" x14ac:dyDescent="0.3">
      <c r="A325" s="4"/>
      <c r="B325" s="4"/>
      <c r="C325" s="4"/>
      <c r="D325" s="4"/>
      <c r="E325" s="4"/>
      <c r="F325" s="6" t="str">
        <f>IF(A325="","",COUNTIF(Chicks!$F:$F,A325))</f>
        <v/>
      </c>
      <c r="G325" s="6" t="str">
        <f>IF(A325="","",COUNTIFS(Chicks!$F:$F,A325,Chicks!$I:$I,"Yes"))</f>
        <v/>
      </c>
      <c r="H325" s="6" t="str">
        <f>IF(A325="","",SUMIFS(Chicks!$J:$J,Chicks!$F:$F,A325))</f>
        <v/>
      </c>
      <c r="I325" s="6" t="str">
        <f>IF(A325="","",COUNTIFS(Chicks!$F:$F,A325,Chicks!$I:$I,"No"))</f>
        <v/>
      </c>
      <c r="J325" s="6" t="str">
        <f>IF(A325="","",IFERROR(AVERAGEIF(Chicks!$F:$F,A325,Chicks!$M:$M),""))</f>
        <v/>
      </c>
      <c r="K325" s="6" t="str">
        <f>IF(A325="","",SUMIFS(Chicks!$N:$N,Chicks!$F:$F,A325))</f>
        <v/>
      </c>
      <c r="L325" s="6" t="str">
        <f>IF(A325="","",SUMIFS(Chicks!$O:$O,Chicks!$F:$F,A325))</f>
        <v/>
      </c>
      <c r="M325" s="6" t="str">
        <f>IF(A325="","",SUMIFS(Chicks!$P:$P,Chicks!$F:$F,A325))</f>
        <v/>
      </c>
      <c r="N325" s="6" t="str">
        <f t="shared" si="2"/>
        <v/>
      </c>
    </row>
    <row r="326" spans="1:14" ht="14.25" customHeight="1" x14ac:dyDescent="0.3">
      <c r="A326" s="4"/>
      <c r="B326" s="4"/>
      <c r="C326" s="4"/>
      <c r="D326" s="4"/>
      <c r="E326" s="4"/>
      <c r="F326" s="6" t="str">
        <f>IF(A326="","",COUNTIF(Chicks!$F:$F,A326))</f>
        <v/>
      </c>
      <c r="G326" s="6" t="str">
        <f>IF(A326="","",COUNTIFS(Chicks!$F:$F,A326,Chicks!$I:$I,"Yes"))</f>
        <v/>
      </c>
      <c r="H326" s="6" t="str">
        <f>IF(A326="","",SUMIFS(Chicks!$J:$J,Chicks!$F:$F,A326))</f>
        <v/>
      </c>
      <c r="I326" s="6" t="str">
        <f>IF(A326="","",COUNTIFS(Chicks!$F:$F,A326,Chicks!$I:$I,"No"))</f>
        <v/>
      </c>
      <c r="J326" s="6" t="str">
        <f>IF(A326="","",IFERROR(AVERAGEIF(Chicks!$F:$F,A326,Chicks!$M:$M),""))</f>
        <v/>
      </c>
      <c r="K326" s="6" t="str">
        <f>IF(A326="","",SUMIFS(Chicks!$N:$N,Chicks!$F:$F,A326))</f>
        <v/>
      </c>
      <c r="L326" s="6" t="str">
        <f>IF(A326="","",SUMIFS(Chicks!$O:$O,Chicks!$F:$F,A326))</f>
        <v/>
      </c>
      <c r="M326" s="6" t="str">
        <f>IF(A326="","",SUMIFS(Chicks!$P:$P,Chicks!$F:$F,A326))</f>
        <v/>
      </c>
      <c r="N326" s="6" t="str">
        <f t="shared" si="2"/>
        <v/>
      </c>
    </row>
    <row r="327" spans="1:14" ht="14.25" customHeight="1" x14ac:dyDescent="0.3">
      <c r="A327" s="4"/>
      <c r="B327" s="4"/>
      <c r="C327" s="4"/>
      <c r="D327" s="4"/>
      <c r="E327" s="4"/>
      <c r="F327" s="6" t="str">
        <f>IF(A327="","",COUNTIF(Chicks!$F:$F,A327))</f>
        <v/>
      </c>
      <c r="G327" s="6" t="str">
        <f>IF(A327="","",COUNTIFS(Chicks!$F:$F,A327,Chicks!$I:$I,"Yes"))</f>
        <v/>
      </c>
      <c r="H327" s="6" t="str">
        <f>IF(A327="","",SUMIFS(Chicks!$J:$J,Chicks!$F:$F,A327))</f>
        <v/>
      </c>
      <c r="I327" s="6" t="str">
        <f>IF(A327="","",COUNTIFS(Chicks!$F:$F,A327,Chicks!$I:$I,"No"))</f>
        <v/>
      </c>
      <c r="J327" s="6" t="str">
        <f>IF(A327="","",IFERROR(AVERAGEIF(Chicks!$F:$F,A327,Chicks!$M:$M),""))</f>
        <v/>
      </c>
      <c r="K327" s="6" t="str">
        <f>IF(A327="","",SUMIFS(Chicks!$N:$N,Chicks!$F:$F,A327))</f>
        <v/>
      </c>
      <c r="L327" s="6" t="str">
        <f>IF(A327="","",SUMIFS(Chicks!$O:$O,Chicks!$F:$F,A327))</f>
        <v/>
      </c>
      <c r="M327" s="6" t="str">
        <f>IF(A327="","",SUMIFS(Chicks!$P:$P,Chicks!$F:$F,A327))</f>
        <v/>
      </c>
      <c r="N327" s="6" t="str">
        <f t="shared" si="2"/>
        <v/>
      </c>
    </row>
    <row r="328" spans="1:14" ht="14.25" customHeight="1" x14ac:dyDescent="0.3">
      <c r="A328" s="4"/>
      <c r="B328" s="4"/>
      <c r="C328" s="4"/>
      <c r="D328" s="4"/>
      <c r="E328" s="4"/>
      <c r="F328" s="6" t="str">
        <f>IF(A328="","",COUNTIF(Chicks!$F:$F,A328))</f>
        <v/>
      </c>
      <c r="G328" s="6" t="str">
        <f>IF(A328="","",COUNTIFS(Chicks!$F:$F,A328,Chicks!$I:$I,"Yes"))</f>
        <v/>
      </c>
      <c r="H328" s="6" t="str">
        <f>IF(A328="","",SUMIFS(Chicks!$J:$J,Chicks!$F:$F,A328))</f>
        <v/>
      </c>
      <c r="I328" s="6" t="str">
        <f>IF(A328="","",COUNTIFS(Chicks!$F:$F,A328,Chicks!$I:$I,"No"))</f>
        <v/>
      </c>
      <c r="J328" s="6" t="str">
        <f>IF(A328="","",IFERROR(AVERAGEIF(Chicks!$F:$F,A328,Chicks!$M:$M),""))</f>
        <v/>
      </c>
      <c r="K328" s="6" t="str">
        <f>IF(A328="","",SUMIFS(Chicks!$N:$N,Chicks!$F:$F,A328))</f>
        <v/>
      </c>
      <c r="L328" s="6" t="str">
        <f>IF(A328="","",SUMIFS(Chicks!$O:$O,Chicks!$F:$F,A328))</f>
        <v/>
      </c>
      <c r="M328" s="6" t="str">
        <f>IF(A328="","",SUMIFS(Chicks!$P:$P,Chicks!$F:$F,A328))</f>
        <v/>
      </c>
      <c r="N328" s="6" t="str">
        <f t="shared" si="2"/>
        <v/>
      </c>
    </row>
    <row r="329" spans="1:14" ht="14.25" customHeight="1" x14ac:dyDescent="0.3">
      <c r="A329" s="4"/>
      <c r="B329" s="4"/>
      <c r="C329" s="4"/>
      <c r="D329" s="4"/>
      <c r="E329" s="4"/>
      <c r="F329" s="6" t="str">
        <f>IF(A329="","",COUNTIF(Chicks!$F:$F,A329))</f>
        <v/>
      </c>
      <c r="G329" s="6" t="str">
        <f>IF(A329="","",COUNTIFS(Chicks!$F:$F,A329,Chicks!$I:$I,"Yes"))</f>
        <v/>
      </c>
      <c r="H329" s="6" t="str">
        <f>IF(A329="","",SUMIFS(Chicks!$J:$J,Chicks!$F:$F,A329))</f>
        <v/>
      </c>
      <c r="I329" s="6" t="str">
        <f>IF(A329="","",COUNTIFS(Chicks!$F:$F,A329,Chicks!$I:$I,"No"))</f>
        <v/>
      </c>
      <c r="J329" s="6" t="str">
        <f>IF(A329="","",IFERROR(AVERAGEIF(Chicks!$F:$F,A329,Chicks!$M:$M),""))</f>
        <v/>
      </c>
      <c r="K329" s="6" t="str">
        <f>IF(A329="","",SUMIFS(Chicks!$N:$N,Chicks!$F:$F,A329))</f>
        <v/>
      </c>
      <c r="L329" s="6" t="str">
        <f>IF(A329="","",SUMIFS(Chicks!$O:$O,Chicks!$F:$F,A329))</f>
        <v/>
      </c>
      <c r="M329" s="6" t="str">
        <f>IF(A329="","",SUMIFS(Chicks!$P:$P,Chicks!$F:$F,A329))</f>
        <v/>
      </c>
      <c r="N329" s="6" t="str">
        <f t="shared" si="2"/>
        <v/>
      </c>
    </row>
    <row r="330" spans="1:14" ht="14.25" customHeight="1" x14ac:dyDescent="0.3">
      <c r="A330" s="4"/>
      <c r="B330" s="4"/>
      <c r="C330" s="4"/>
      <c r="D330" s="4"/>
      <c r="E330" s="4"/>
      <c r="F330" s="6" t="str">
        <f>IF(A330="","",COUNTIF(Chicks!$F:$F,A330))</f>
        <v/>
      </c>
      <c r="G330" s="6" t="str">
        <f>IF(A330="","",COUNTIFS(Chicks!$F:$F,A330,Chicks!$I:$I,"Yes"))</f>
        <v/>
      </c>
      <c r="H330" s="6" t="str">
        <f>IF(A330="","",SUMIFS(Chicks!$J:$J,Chicks!$F:$F,A330))</f>
        <v/>
      </c>
      <c r="I330" s="6" t="str">
        <f>IF(A330="","",COUNTIFS(Chicks!$F:$F,A330,Chicks!$I:$I,"No"))</f>
        <v/>
      </c>
      <c r="J330" s="6" t="str">
        <f>IF(A330="","",IFERROR(AVERAGEIF(Chicks!$F:$F,A330,Chicks!$M:$M),""))</f>
        <v/>
      </c>
      <c r="K330" s="6" t="str">
        <f>IF(A330="","",SUMIFS(Chicks!$N:$N,Chicks!$F:$F,A330))</f>
        <v/>
      </c>
      <c r="L330" s="6" t="str">
        <f>IF(A330="","",SUMIFS(Chicks!$O:$O,Chicks!$F:$F,A330))</f>
        <v/>
      </c>
      <c r="M330" s="6" t="str">
        <f>IF(A330="","",SUMIFS(Chicks!$P:$P,Chicks!$F:$F,A330))</f>
        <v/>
      </c>
      <c r="N330" s="6" t="str">
        <f t="shared" si="2"/>
        <v/>
      </c>
    </row>
    <row r="331" spans="1:14" ht="14.25" customHeight="1" x14ac:dyDescent="0.3">
      <c r="A331" s="4"/>
      <c r="B331" s="4"/>
      <c r="C331" s="4"/>
      <c r="D331" s="4"/>
      <c r="E331" s="4"/>
      <c r="F331" s="6" t="str">
        <f>IF(A331="","",COUNTIF(Chicks!$F:$F,A331))</f>
        <v/>
      </c>
      <c r="G331" s="6" t="str">
        <f>IF(A331="","",COUNTIFS(Chicks!$F:$F,A331,Chicks!$I:$I,"Yes"))</f>
        <v/>
      </c>
      <c r="H331" s="6" t="str">
        <f>IF(A331="","",SUMIFS(Chicks!$J:$J,Chicks!$F:$F,A331))</f>
        <v/>
      </c>
      <c r="I331" s="6" t="str">
        <f>IF(A331="","",COUNTIFS(Chicks!$F:$F,A331,Chicks!$I:$I,"No"))</f>
        <v/>
      </c>
      <c r="J331" s="6" t="str">
        <f>IF(A331="","",IFERROR(AVERAGEIF(Chicks!$F:$F,A331,Chicks!$M:$M),""))</f>
        <v/>
      </c>
      <c r="K331" s="6" t="str">
        <f>IF(A331="","",SUMIFS(Chicks!$N:$N,Chicks!$F:$F,A331))</f>
        <v/>
      </c>
      <c r="L331" s="6" t="str">
        <f>IF(A331="","",SUMIFS(Chicks!$O:$O,Chicks!$F:$F,A331))</f>
        <v/>
      </c>
      <c r="M331" s="6" t="str">
        <f>IF(A331="","",SUMIFS(Chicks!$P:$P,Chicks!$F:$F,A331))</f>
        <v/>
      </c>
      <c r="N331" s="6" t="str">
        <f t="shared" si="2"/>
        <v/>
      </c>
    </row>
    <row r="332" spans="1:14" ht="14.25" customHeight="1" x14ac:dyDescent="0.3">
      <c r="A332" s="4"/>
      <c r="B332" s="4"/>
      <c r="C332" s="4"/>
      <c r="D332" s="4"/>
      <c r="E332" s="4"/>
      <c r="F332" s="6" t="str">
        <f>IF(A332="","",COUNTIF(Chicks!$F:$F,A332))</f>
        <v/>
      </c>
      <c r="G332" s="6" t="str">
        <f>IF(A332="","",COUNTIFS(Chicks!$F:$F,A332,Chicks!$I:$I,"Yes"))</f>
        <v/>
      </c>
      <c r="H332" s="6" t="str">
        <f>IF(A332="","",SUMIFS(Chicks!$J:$J,Chicks!$F:$F,A332))</f>
        <v/>
      </c>
      <c r="I332" s="6" t="str">
        <f>IF(A332="","",COUNTIFS(Chicks!$F:$F,A332,Chicks!$I:$I,"No"))</f>
        <v/>
      </c>
      <c r="J332" s="6" t="str">
        <f>IF(A332="","",IFERROR(AVERAGEIF(Chicks!$F:$F,A332,Chicks!$M:$M),""))</f>
        <v/>
      </c>
      <c r="K332" s="6" t="str">
        <f>IF(A332="","",SUMIFS(Chicks!$N:$N,Chicks!$F:$F,A332))</f>
        <v/>
      </c>
      <c r="L332" s="6" t="str">
        <f>IF(A332="","",SUMIFS(Chicks!$O:$O,Chicks!$F:$F,A332))</f>
        <v/>
      </c>
      <c r="M332" s="6" t="str">
        <f>IF(A332="","",SUMIFS(Chicks!$P:$P,Chicks!$F:$F,A332))</f>
        <v/>
      </c>
      <c r="N332" s="6" t="str">
        <f t="shared" si="2"/>
        <v/>
      </c>
    </row>
    <row r="333" spans="1:14" ht="14.25" customHeight="1" x14ac:dyDescent="0.3">
      <c r="A333" s="4"/>
      <c r="B333" s="4"/>
      <c r="C333" s="4"/>
      <c r="D333" s="4"/>
      <c r="E333" s="4"/>
      <c r="F333" s="6" t="str">
        <f>IF(A333="","",COUNTIF(Chicks!$F:$F,A333))</f>
        <v/>
      </c>
      <c r="G333" s="6" t="str">
        <f>IF(A333="","",COUNTIFS(Chicks!$F:$F,A333,Chicks!$I:$I,"Yes"))</f>
        <v/>
      </c>
      <c r="H333" s="6" t="str">
        <f>IF(A333="","",SUMIFS(Chicks!$J:$J,Chicks!$F:$F,A333))</f>
        <v/>
      </c>
      <c r="I333" s="6" t="str">
        <f>IF(A333="","",COUNTIFS(Chicks!$F:$F,A333,Chicks!$I:$I,"No"))</f>
        <v/>
      </c>
      <c r="J333" s="6" t="str">
        <f>IF(A333="","",IFERROR(AVERAGEIF(Chicks!$F:$F,A333,Chicks!$M:$M),""))</f>
        <v/>
      </c>
      <c r="K333" s="6" t="str">
        <f>IF(A333="","",SUMIFS(Chicks!$N:$N,Chicks!$F:$F,A333))</f>
        <v/>
      </c>
      <c r="L333" s="6" t="str">
        <f>IF(A333="","",SUMIFS(Chicks!$O:$O,Chicks!$F:$F,A333))</f>
        <v/>
      </c>
      <c r="M333" s="6" t="str">
        <f>IF(A333="","",SUMIFS(Chicks!$P:$P,Chicks!$F:$F,A333))</f>
        <v/>
      </c>
      <c r="N333" s="6" t="str">
        <f t="shared" si="2"/>
        <v/>
      </c>
    </row>
    <row r="334" spans="1:14" ht="14.25" customHeight="1" x14ac:dyDescent="0.3">
      <c r="A334" s="4"/>
      <c r="B334" s="4"/>
      <c r="C334" s="4"/>
      <c r="D334" s="4"/>
      <c r="E334" s="4"/>
      <c r="F334" s="6" t="str">
        <f>IF(A334="","",COUNTIF(Chicks!$F:$F,A334))</f>
        <v/>
      </c>
      <c r="G334" s="6" t="str">
        <f>IF(A334="","",COUNTIFS(Chicks!$F:$F,A334,Chicks!$I:$I,"Yes"))</f>
        <v/>
      </c>
      <c r="H334" s="6" t="str">
        <f>IF(A334="","",SUMIFS(Chicks!$J:$J,Chicks!$F:$F,A334))</f>
        <v/>
      </c>
      <c r="I334" s="6" t="str">
        <f>IF(A334="","",COUNTIFS(Chicks!$F:$F,A334,Chicks!$I:$I,"No"))</f>
        <v/>
      </c>
      <c r="J334" s="6" t="str">
        <f>IF(A334="","",IFERROR(AVERAGEIF(Chicks!$F:$F,A334,Chicks!$M:$M),""))</f>
        <v/>
      </c>
      <c r="K334" s="6" t="str">
        <f>IF(A334="","",SUMIFS(Chicks!$N:$N,Chicks!$F:$F,A334))</f>
        <v/>
      </c>
      <c r="L334" s="6" t="str">
        <f>IF(A334="","",SUMIFS(Chicks!$O:$O,Chicks!$F:$F,A334))</f>
        <v/>
      </c>
      <c r="M334" s="6" t="str">
        <f>IF(A334="","",SUMIFS(Chicks!$P:$P,Chicks!$F:$F,A334))</f>
        <v/>
      </c>
      <c r="N334" s="6" t="str">
        <f t="shared" si="2"/>
        <v/>
      </c>
    </row>
    <row r="335" spans="1:14" ht="14.25" customHeight="1" x14ac:dyDescent="0.3">
      <c r="A335" s="4"/>
      <c r="B335" s="4"/>
      <c r="C335" s="4"/>
      <c r="D335" s="4"/>
      <c r="E335" s="4"/>
      <c r="F335" s="6" t="str">
        <f>IF(A335="","",COUNTIF(Chicks!$F:$F,A335))</f>
        <v/>
      </c>
      <c r="G335" s="6" t="str">
        <f>IF(A335="","",COUNTIFS(Chicks!$F:$F,A335,Chicks!$I:$I,"Yes"))</f>
        <v/>
      </c>
      <c r="H335" s="6" t="str">
        <f>IF(A335="","",SUMIFS(Chicks!$J:$J,Chicks!$F:$F,A335))</f>
        <v/>
      </c>
      <c r="I335" s="6" t="str">
        <f>IF(A335="","",COUNTIFS(Chicks!$F:$F,A335,Chicks!$I:$I,"No"))</f>
        <v/>
      </c>
      <c r="J335" s="6" t="str">
        <f>IF(A335="","",IFERROR(AVERAGEIF(Chicks!$F:$F,A335,Chicks!$M:$M),""))</f>
        <v/>
      </c>
      <c r="K335" s="6" t="str">
        <f>IF(A335="","",SUMIFS(Chicks!$N:$N,Chicks!$F:$F,A335))</f>
        <v/>
      </c>
      <c r="L335" s="6" t="str">
        <f>IF(A335="","",SUMIFS(Chicks!$O:$O,Chicks!$F:$F,A335))</f>
        <v/>
      </c>
      <c r="M335" s="6" t="str">
        <f>IF(A335="","",SUMIFS(Chicks!$P:$P,Chicks!$F:$F,A335))</f>
        <v/>
      </c>
      <c r="N335" s="6" t="str">
        <f t="shared" si="2"/>
        <v/>
      </c>
    </row>
    <row r="336" spans="1:14" ht="14.25" customHeight="1" x14ac:dyDescent="0.3">
      <c r="A336" s="4"/>
      <c r="B336" s="4"/>
      <c r="C336" s="4"/>
      <c r="D336" s="4"/>
      <c r="E336" s="4"/>
      <c r="F336" s="6" t="str">
        <f>IF(A336="","",COUNTIF(Chicks!$F:$F,A336))</f>
        <v/>
      </c>
      <c r="G336" s="6" t="str">
        <f>IF(A336="","",COUNTIFS(Chicks!$F:$F,A336,Chicks!$I:$I,"Yes"))</f>
        <v/>
      </c>
      <c r="H336" s="6" t="str">
        <f>IF(A336="","",SUMIFS(Chicks!$J:$J,Chicks!$F:$F,A336))</f>
        <v/>
      </c>
      <c r="I336" s="6" t="str">
        <f>IF(A336="","",COUNTIFS(Chicks!$F:$F,A336,Chicks!$I:$I,"No"))</f>
        <v/>
      </c>
      <c r="J336" s="6" t="str">
        <f>IF(A336="","",IFERROR(AVERAGEIF(Chicks!$F:$F,A336,Chicks!$M:$M),""))</f>
        <v/>
      </c>
      <c r="K336" s="6" t="str">
        <f>IF(A336="","",SUMIFS(Chicks!$N:$N,Chicks!$F:$F,A336))</f>
        <v/>
      </c>
      <c r="L336" s="6" t="str">
        <f>IF(A336="","",SUMIFS(Chicks!$O:$O,Chicks!$F:$F,A336))</f>
        <v/>
      </c>
      <c r="M336" s="6" t="str">
        <f>IF(A336="","",SUMIFS(Chicks!$P:$P,Chicks!$F:$F,A336))</f>
        <v/>
      </c>
      <c r="N336" s="6" t="str">
        <f t="shared" si="2"/>
        <v/>
      </c>
    </row>
    <row r="337" spans="1:14" ht="14.25" customHeight="1" x14ac:dyDescent="0.3">
      <c r="A337" s="4"/>
      <c r="B337" s="4"/>
      <c r="C337" s="4"/>
      <c r="D337" s="4"/>
      <c r="E337" s="4"/>
      <c r="F337" s="6" t="str">
        <f>IF(A337="","",COUNTIF(Chicks!$F:$F,A337))</f>
        <v/>
      </c>
      <c r="G337" s="6" t="str">
        <f>IF(A337="","",COUNTIFS(Chicks!$F:$F,A337,Chicks!$I:$I,"Yes"))</f>
        <v/>
      </c>
      <c r="H337" s="6" t="str">
        <f>IF(A337="","",SUMIFS(Chicks!$J:$J,Chicks!$F:$F,A337))</f>
        <v/>
      </c>
      <c r="I337" s="6" t="str">
        <f>IF(A337="","",COUNTIFS(Chicks!$F:$F,A337,Chicks!$I:$I,"No"))</f>
        <v/>
      </c>
      <c r="J337" s="6" t="str">
        <f>IF(A337="","",IFERROR(AVERAGEIF(Chicks!$F:$F,A337,Chicks!$M:$M),""))</f>
        <v/>
      </c>
      <c r="K337" s="6" t="str">
        <f>IF(A337="","",SUMIFS(Chicks!$N:$N,Chicks!$F:$F,A337))</f>
        <v/>
      </c>
      <c r="L337" s="6" t="str">
        <f>IF(A337="","",SUMIFS(Chicks!$O:$O,Chicks!$F:$F,A337))</f>
        <v/>
      </c>
      <c r="M337" s="6" t="str">
        <f>IF(A337="","",SUMIFS(Chicks!$P:$P,Chicks!$F:$F,A337))</f>
        <v/>
      </c>
      <c r="N337" s="6" t="str">
        <f t="shared" si="2"/>
        <v/>
      </c>
    </row>
    <row r="338" spans="1:14" ht="14.25" customHeight="1" x14ac:dyDescent="0.3">
      <c r="A338" s="4"/>
      <c r="B338" s="4"/>
      <c r="C338" s="4"/>
      <c r="D338" s="4"/>
      <c r="E338" s="4"/>
      <c r="F338" s="6" t="str">
        <f>IF(A338="","",COUNTIF(Chicks!$F:$F,A338))</f>
        <v/>
      </c>
      <c r="G338" s="6" t="str">
        <f>IF(A338="","",COUNTIFS(Chicks!$F:$F,A338,Chicks!$I:$I,"Yes"))</f>
        <v/>
      </c>
      <c r="H338" s="6" t="str">
        <f>IF(A338="","",SUMIFS(Chicks!$J:$J,Chicks!$F:$F,A338))</f>
        <v/>
      </c>
      <c r="I338" s="6" t="str">
        <f>IF(A338="","",COUNTIFS(Chicks!$F:$F,A338,Chicks!$I:$I,"No"))</f>
        <v/>
      </c>
      <c r="J338" s="6" t="str">
        <f>IF(A338="","",IFERROR(AVERAGEIF(Chicks!$F:$F,A338,Chicks!$M:$M),""))</f>
        <v/>
      </c>
      <c r="K338" s="6" t="str">
        <f>IF(A338="","",SUMIFS(Chicks!$N:$N,Chicks!$F:$F,A338))</f>
        <v/>
      </c>
      <c r="L338" s="6" t="str">
        <f>IF(A338="","",SUMIFS(Chicks!$O:$O,Chicks!$F:$F,A338))</f>
        <v/>
      </c>
      <c r="M338" s="6" t="str">
        <f>IF(A338="","",SUMIFS(Chicks!$P:$P,Chicks!$F:$F,A338))</f>
        <v/>
      </c>
      <c r="N338" s="6" t="str">
        <f t="shared" si="2"/>
        <v/>
      </c>
    </row>
    <row r="339" spans="1:14" ht="14.25" customHeight="1" x14ac:dyDescent="0.3">
      <c r="A339" s="4"/>
      <c r="B339" s="4"/>
      <c r="C339" s="4"/>
      <c r="D339" s="4"/>
      <c r="E339" s="4"/>
      <c r="F339" s="6" t="str">
        <f>IF(A339="","",COUNTIF(Chicks!$F:$F,A339))</f>
        <v/>
      </c>
      <c r="G339" s="6" t="str">
        <f>IF(A339="","",COUNTIFS(Chicks!$F:$F,A339,Chicks!$I:$I,"Yes"))</f>
        <v/>
      </c>
      <c r="H339" s="6" t="str">
        <f>IF(A339="","",SUMIFS(Chicks!$J:$J,Chicks!$F:$F,A339))</f>
        <v/>
      </c>
      <c r="I339" s="6" t="str">
        <f>IF(A339="","",COUNTIFS(Chicks!$F:$F,A339,Chicks!$I:$I,"No"))</f>
        <v/>
      </c>
      <c r="J339" s="6" t="str">
        <f>IF(A339="","",IFERROR(AVERAGEIF(Chicks!$F:$F,A339,Chicks!$M:$M),""))</f>
        <v/>
      </c>
      <c r="K339" s="6" t="str">
        <f>IF(A339="","",SUMIFS(Chicks!$N:$N,Chicks!$F:$F,A339))</f>
        <v/>
      </c>
      <c r="L339" s="6" t="str">
        <f>IF(A339="","",SUMIFS(Chicks!$O:$O,Chicks!$F:$F,A339))</f>
        <v/>
      </c>
      <c r="M339" s="6" t="str">
        <f>IF(A339="","",SUMIFS(Chicks!$P:$P,Chicks!$F:$F,A339))</f>
        <v/>
      </c>
      <c r="N339" s="6" t="str">
        <f t="shared" si="2"/>
        <v/>
      </c>
    </row>
    <row r="340" spans="1:14" ht="14.25" customHeight="1" x14ac:dyDescent="0.3">
      <c r="A340" s="4"/>
      <c r="B340" s="4"/>
      <c r="C340" s="4"/>
      <c r="D340" s="4"/>
      <c r="E340" s="4"/>
      <c r="F340" s="6" t="str">
        <f>IF(A340="","",COUNTIF(Chicks!$F:$F,A340))</f>
        <v/>
      </c>
      <c r="G340" s="6" t="str">
        <f>IF(A340="","",COUNTIFS(Chicks!$F:$F,A340,Chicks!$I:$I,"Yes"))</f>
        <v/>
      </c>
      <c r="H340" s="6" t="str">
        <f>IF(A340="","",SUMIFS(Chicks!$J:$J,Chicks!$F:$F,A340))</f>
        <v/>
      </c>
      <c r="I340" s="6" t="str">
        <f>IF(A340="","",COUNTIFS(Chicks!$F:$F,A340,Chicks!$I:$I,"No"))</f>
        <v/>
      </c>
      <c r="J340" s="6" t="str">
        <f>IF(A340="","",IFERROR(AVERAGEIF(Chicks!$F:$F,A340,Chicks!$M:$M),""))</f>
        <v/>
      </c>
      <c r="K340" s="6" t="str">
        <f>IF(A340="","",SUMIFS(Chicks!$N:$N,Chicks!$F:$F,A340))</f>
        <v/>
      </c>
      <c r="L340" s="6" t="str">
        <f>IF(A340="","",SUMIFS(Chicks!$O:$O,Chicks!$F:$F,A340))</f>
        <v/>
      </c>
      <c r="M340" s="6" t="str">
        <f>IF(A340="","",SUMIFS(Chicks!$P:$P,Chicks!$F:$F,A340))</f>
        <v/>
      </c>
      <c r="N340" s="6" t="str">
        <f t="shared" si="2"/>
        <v/>
      </c>
    </row>
    <row r="341" spans="1:14" ht="14.25" customHeight="1" x14ac:dyDescent="0.3">
      <c r="A341" s="4"/>
      <c r="B341" s="4"/>
      <c r="C341" s="4"/>
      <c r="D341" s="4"/>
      <c r="E341" s="4"/>
      <c r="F341" s="6" t="str">
        <f>IF(A341="","",COUNTIF(Chicks!$F:$F,A341))</f>
        <v/>
      </c>
      <c r="G341" s="6" t="str">
        <f>IF(A341="","",COUNTIFS(Chicks!$F:$F,A341,Chicks!$I:$I,"Yes"))</f>
        <v/>
      </c>
      <c r="H341" s="6" t="str">
        <f>IF(A341="","",SUMIFS(Chicks!$J:$J,Chicks!$F:$F,A341))</f>
        <v/>
      </c>
      <c r="I341" s="6" t="str">
        <f>IF(A341="","",COUNTIFS(Chicks!$F:$F,A341,Chicks!$I:$I,"No"))</f>
        <v/>
      </c>
      <c r="J341" s="6" t="str">
        <f>IF(A341="","",IFERROR(AVERAGEIF(Chicks!$F:$F,A341,Chicks!$M:$M),""))</f>
        <v/>
      </c>
      <c r="K341" s="6" t="str">
        <f>IF(A341="","",SUMIFS(Chicks!$N:$N,Chicks!$F:$F,A341))</f>
        <v/>
      </c>
      <c r="L341" s="6" t="str">
        <f>IF(A341="","",SUMIFS(Chicks!$O:$O,Chicks!$F:$F,A341))</f>
        <v/>
      </c>
      <c r="M341" s="6" t="str">
        <f>IF(A341="","",SUMIFS(Chicks!$P:$P,Chicks!$F:$F,A341))</f>
        <v/>
      </c>
      <c r="N341" s="6" t="str">
        <f t="shared" si="2"/>
        <v/>
      </c>
    </row>
    <row r="342" spans="1:14" ht="14.25" customHeight="1" x14ac:dyDescent="0.3">
      <c r="A342" s="4"/>
      <c r="B342" s="4"/>
      <c r="C342" s="4"/>
      <c r="D342" s="4"/>
      <c r="E342" s="4"/>
      <c r="F342" s="6" t="str">
        <f>IF(A342="","",COUNTIF(Chicks!$F:$F,A342))</f>
        <v/>
      </c>
      <c r="G342" s="6" t="str">
        <f>IF(A342="","",COUNTIFS(Chicks!$F:$F,A342,Chicks!$I:$I,"Yes"))</f>
        <v/>
      </c>
      <c r="H342" s="6" t="str">
        <f>IF(A342="","",SUMIFS(Chicks!$J:$J,Chicks!$F:$F,A342))</f>
        <v/>
      </c>
      <c r="I342" s="6" t="str">
        <f>IF(A342="","",COUNTIFS(Chicks!$F:$F,A342,Chicks!$I:$I,"No"))</f>
        <v/>
      </c>
      <c r="J342" s="6" t="str">
        <f>IF(A342="","",IFERROR(AVERAGEIF(Chicks!$F:$F,A342,Chicks!$M:$M),""))</f>
        <v/>
      </c>
      <c r="K342" s="6" t="str">
        <f>IF(A342="","",SUMIFS(Chicks!$N:$N,Chicks!$F:$F,A342))</f>
        <v/>
      </c>
      <c r="L342" s="6" t="str">
        <f>IF(A342="","",SUMIFS(Chicks!$O:$O,Chicks!$F:$F,A342))</f>
        <v/>
      </c>
      <c r="M342" s="6" t="str">
        <f>IF(A342="","",SUMIFS(Chicks!$P:$P,Chicks!$F:$F,A342))</f>
        <v/>
      </c>
      <c r="N342" s="6" t="str">
        <f t="shared" si="2"/>
        <v/>
      </c>
    </row>
    <row r="343" spans="1:14" ht="14.25" customHeight="1" x14ac:dyDescent="0.3">
      <c r="A343" s="4"/>
      <c r="B343" s="4"/>
      <c r="C343" s="4"/>
      <c r="D343" s="4"/>
      <c r="E343" s="4"/>
      <c r="F343" s="6" t="str">
        <f>IF(A343="","",COUNTIF(Chicks!$F:$F,A343))</f>
        <v/>
      </c>
      <c r="G343" s="6" t="str">
        <f>IF(A343="","",COUNTIFS(Chicks!$F:$F,A343,Chicks!$I:$I,"Yes"))</f>
        <v/>
      </c>
      <c r="H343" s="6" t="str">
        <f>IF(A343="","",SUMIFS(Chicks!$J:$J,Chicks!$F:$F,A343))</f>
        <v/>
      </c>
      <c r="I343" s="6" t="str">
        <f>IF(A343="","",COUNTIFS(Chicks!$F:$F,A343,Chicks!$I:$I,"No"))</f>
        <v/>
      </c>
      <c r="J343" s="6" t="str">
        <f>IF(A343="","",IFERROR(AVERAGEIF(Chicks!$F:$F,A343,Chicks!$M:$M),""))</f>
        <v/>
      </c>
      <c r="K343" s="6" t="str">
        <f>IF(A343="","",SUMIFS(Chicks!$N:$N,Chicks!$F:$F,A343))</f>
        <v/>
      </c>
      <c r="L343" s="6" t="str">
        <f>IF(A343="","",SUMIFS(Chicks!$O:$O,Chicks!$F:$F,A343))</f>
        <v/>
      </c>
      <c r="M343" s="6" t="str">
        <f>IF(A343="","",SUMIFS(Chicks!$P:$P,Chicks!$F:$F,A343))</f>
        <v/>
      </c>
      <c r="N343" s="6" t="str">
        <f t="shared" si="2"/>
        <v/>
      </c>
    </row>
    <row r="344" spans="1:14" ht="14.25" customHeight="1" x14ac:dyDescent="0.3">
      <c r="A344" s="4"/>
      <c r="B344" s="4"/>
      <c r="C344" s="4"/>
      <c r="D344" s="4"/>
      <c r="E344" s="4"/>
      <c r="F344" s="6" t="str">
        <f>IF(A344="","",COUNTIF(Chicks!$F:$F,A344))</f>
        <v/>
      </c>
      <c r="G344" s="6" t="str">
        <f>IF(A344="","",COUNTIFS(Chicks!$F:$F,A344,Chicks!$I:$I,"Yes"))</f>
        <v/>
      </c>
      <c r="H344" s="6" t="str">
        <f>IF(A344="","",SUMIFS(Chicks!$J:$J,Chicks!$F:$F,A344))</f>
        <v/>
      </c>
      <c r="I344" s="6" t="str">
        <f>IF(A344="","",COUNTIFS(Chicks!$F:$F,A344,Chicks!$I:$I,"No"))</f>
        <v/>
      </c>
      <c r="J344" s="6" t="str">
        <f>IF(A344="","",IFERROR(AVERAGEIF(Chicks!$F:$F,A344,Chicks!$M:$M),""))</f>
        <v/>
      </c>
      <c r="K344" s="6" t="str">
        <f>IF(A344="","",SUMIFS(Chicks!$N:$N,Chicks!$F:$F,A344))</f>
        <v/>
      </c>
      <c r="L344" s="6" t="str">
        <f>IF(A344="","",SUMIFS(Chicks!$O:$O,Chicks!$F:$F,A344))</f>
        <v/>
      </c>
      <c r="M344" s="6" t="str">
        <f>IF(A344="","",SUMIFS(Chicks!$P:$P,Chicks!$F:$F,A344))</f>
        <v/>
      </c>
      <c r="N344" s="6" t="str">
        <f t="shared" si="2"/>
        <v/>
      </c>
    </row>
    <row r="345" spans="1:14" ht="14.25" customHeight="1" x14ac:dyDescent="0.3">
      <c r="A345" s="4"/>
      <c r="B345" s="4"/>
      <c r="C345" s="4"/>
      <c r="D345" s="4"/>
      <c r="E345" s="4"/>
      <c r="F345" s="6" t="str">
        <f>IF(A345="","",COUNTIF(Chicks!$F:$F,A345))</f>
        <v/>
      </c>
      <c r="G345" s="6" t="str">
        <f>IF(A345="","",COUNTIFS(Chicks!$F:$F,A345,Chicks!$I:$I,"Yes"))</f>
        <v/>
      </c>
      <c r="H345" s="6" t="str">
        <f>IF(A345="","",SUMIFS(Chicks!$J:$J,Chicks!$F:$F,A345))</f>
        <v/>
      </c>
      <c r="I345" s="6" t="str">
        <f>IF(A345="","",COUNTIFS(Chicks!$F:$F,A345,Chicks!$I:$I,"No"))</f>
        <v/>
      </c>
      <c r="J345" s="6" t="str">
        <f>IF(A345="","",IFERROR(AVERAGEIF(Chicks!$F:$F,A345,Chicks!$M:$M),""))</f>
        <v/>
      </c>
      <c r="K345" s="6" t="str">
        <f>IF(A345="","",SUMIFS(Chicks!$N:$N,Chicks!$F:$F,A345))</f>
        <v/>
      </c>
      <c r="L345" s="6" t="str">
        <f>IF(A345="","",SUMIFS(Chicks!$O:$O,Chicks!$F:$F,A345))</f>
        <v/>
      </c>
      <c r="M345" s="6" t="str">
        <f>IF(A345="","",SUMIFS(Chicks!$P:$P,Chicks!$F:$F,A345))</f>
        <v/>
      </c>
      <c r="N345" s="6" t="str">
        <f t="shared" si="2"/>
        <v/>
      </c>
    </row>
    <row r="346" spans="1:14" ht="14.25" customHeight="1" x14ac:dyDescent="0.3">
      <c r="A346" s="4"/>
      <c r="B346" s="4"/>
      <c r="C346" s="4"/>
      <c r="D346" s="4"/>
      <c r="E346" s="4"/>
      <c r="F346" s="6" t="str">
        <f>IF(A346="","",COUNTIF(Chicks!$F:$F,A346))</f>
        <v/>
      </c>
      <c r="G346" s="6" t="str">
        <f>IF(A346="","",COUNTIFS(Chicks!$F:$F,A346,Chicks!$I:$I,"Yes"))</f>
        <v/>
      </c>
      <c r="H346" s="6" t="str">
        <f>IF(A346="","",SUMIFS(Chicks!$J:$J,Chicks!$F:$F,A346))</f>
        <v/>
      </c>
      <c r="I346" s="6" t="str">
        <f>IF(A346="","",COUNTIFS(Chicks!$F:$F,A346,Chicks!$I:$I,"No"))</f>
        <v/>
      </c>
      <c r="J346" s="6" t="str">
        <f>IF(A346="","",IFERROR(AVERAGEIF(Chicks!$F:$F,A346,Chicks!$M:$M),""))</f>
        <v/>
      </c>
      <c r="K346" s="6" t="str">
        <f>IF(A346="","",SUMIFS(Chicks!$N:$N,Chicks!$F:$F,A346))</f>
        <v/>
      </c>
      <c r="L346" s="6" t="str">
        <f>IF(A346="","",SUMIFS(Chicks!$O:$O,Chicks!$F:$F,A346))</f>
        <v/>
      </c>
      <c r="M346" s="6" t="str">
        <f>IF(A346="","",SUMIFS(Chicks!$P:$P,Chicks!$F:$F,A346))</f>
        <v/>
      </c>
      <c r="N346" s="6" t="str">
        <f t="shared" si="2"/>
        <v/>
      </c>
    </row>
    <row r="347" spans="1:14" ht="14.25" customHeight="1" x14ac:dyDescent="0.3">
      <c r="A347" s="4"/>
      <c r="B347" s="4"/>
      <c r="C347" s="4"/>
      <c r="D347" s="4"/>
      <c r="E347" s="4"/>
      <c r="F347" s="6" t="str">
        <f>IF(A347="","",COUNTIF(Chicks!$F:$F,A347))</f>
        <v/>
      </c>
      <c r="G347" s="6" t="str">
        <f>IF(A347="","",COUNTIFS(Chicks!$F:$F,A347,Chicks!$I:$I,"Yes"))</f>
        <v/>
      </c>
      <c r="H347" s="6" t="str">
        <f>IF(A347="","",SUMIFS(Chicks!$J:$J,Chicks!$F:$F,A347))</f>
        <v/>
      </c>
      <c r="I347" s="6" t="str">
        <f>IF(A347="","",COUNTIFS(Chicks!$F:$F,A347,Chicks!$I:$I,"No"))</f>
        <v/>
      </c>
      <c r="J347" s="6" t="str">
        <f>IF(A347="","",IFERROR(AVERAGEIF(Chicks!$F:$F,A347,Chicks!$M:$M),""))</f>
        <v/>
      </c>
      <c r="K347" s="6" t="str">
        <f>IF(A347="","",SUMIFS(Chicks!$N:$N,Chicks!$F:$F,A347))</f>
        <v/>
      </c>
      <c r="L347" s="6" t="str">
        <f>IF(A347="","",SUMIFS(Chicks!$O:$O,Chicks!$F:$F,A347))</f>
        <v/>
      </c>
      <c r="M347" s="6" t="str">
        <f>IF(A347="","",SUMIFS(Chicks!$P:$P,Chicks!$F:$F,A347))</f>
        <v/>
      </c>
      <c r="N347" s="6" t="str">
        <f t="shared" si="2"/>
        <v/>
      </c>
    </row>
    <row r="348" spans="1:14" ht="14.25" customHeight="1" x14ac:dyDescent="0.3">
      <c r="A348" s="4"/>
      <c r="B348" s="4"/>
      <c r="C348" s="4"/>
      <c r="D348" s="4"/>
      <c r="E348" s="4"/>
      <c r="F348" s="6" t="str">
        <f>IF(A348="","",COUNTIF(Chicks!$F:$F,A348))</f>
        <v/>
      </c>
      <c r="G348" s="6" t="str">
        <f>IF(A348="","",COUNTIFS(Chicks!$F:$F,A348,Chicks!$I:$I,"Yes"))</f>
        <v/>
      </c>
      <c r="H348" s="6" t="str">
        <f>IF(A348="","",SUMIFS(Chicks!$J:$J,Chicks!$F:$F,A348))</f>
        <v/>
      </c>
      <c r="I348" s="6" t="str">
        <f>IF(A348="","",COUNTIFS(Chicks!$F:$F,A348,Chicks!$I:$I,"No"))</f>
        <v/>
      </c>
      <c r="J348" s="6" t="str">
        <f>IF(A348="","",IFERROR(AVERAGEIF(Chicks!$F:$F,A348,Chicks!$M:$M),""))</f>
        <v/>
      </c>
      <c r="K348" s="6" t="str">
        <f>IF(A348="","",SUMIFS(Chicks!$N:$N,Chicks!$F:$F,A348))</f>
        <v/>
      </c>
      <c r="L348" s="6" t="str">
        <f>IF(A348="","",SUMIFS(Chicks!$O:$O,Chicks!$F:$F,A348))</f>
        <v/>
      </c>
      <c r="M348" s="6" t="str">
        <f>IF(A348="","",SUMIFS(Chicks!$P:$P,Chicks!$F:$F,A348))</f>
        <v/>
      </c>
      <c r="N348" s="6" t="str">
        <f t="shared" si="2"/>
        <v/>
      </c>
    </row>
    <row r="349" spans="1:14" ht="14.25" customHeight="1" x14ac:dyDescent="0.3">
      <c r="A349" s="4"/>
      <c r="B349" s="4"/>
      <c r="C349" s="4"/>
      <c r="D349" s="4"/>
      <c r="E349" s="4"/>
      <c r="F349" s="6" t="str">
        <f>IF(A349="","",COUNTIF(Chicks!$F:$F,A349))</f>
        <v/>
      </c>
      <c r="G349" s="6" t="str">
        <f>IF(A349="","",COUNTIFS(Chicks!$F:$F,A349,Chicks!$I:$I,"Yes"))</f>
        <v/>
      </c>
      <c r="H349" s="6" t="str">
        <f>IF(A349="","",SUMIFS(Chicks!$J:$J,Chicks!$F:$F,A349))</f>
        <v/>
      </c>
      <c r="I349" s="6" t="str">
        <f>IF(A349="","",COUNTIFS(Chicks!$F:$F,A349,Chicks!$I:$I,"No"))</f>
        <v/>
      </c>
      <c r="J349" s="6" t="str">
        <f>IF(A349="","",IFERROR(AVERAGEIF(Chicks!$F:$F,A349,Chicks!$M:$M),""))</f>
        <v/>
      </c>
      <c r="K349" s="6" t="str">
        <f>IF(A349="","",SUMIFS(Chicks!$N:$N,Chicks!$F:$F,A349))</f>
        <v/>
      </c>
      <c r="L349" s="6" t="str">
        <f>IF(A349="","",SUMIFS(Chicks!$O:$O,Chicks!$F:$F,A349))</f>
        <v/>
      </c>
      <c r="M349" s="6" t="str">
        <f>IF(A349="","",SUMIFS(Chicks!$P:$P,Chicks!$F:$F,A349))</f>
        <v/>
      </c>
      <c r="N349" s="6" t="str">
        <f t="shared" si="2"/>
        <v/>
      </c>
    </row>
    <row r="350" spans="1:14" ht="14.25" customHeight="1" x14ac:dyDescent="0.3">
      <c r="A350" s="4"/>
      <c r="B350" s="4"/>
      <c r="C350" s="4"/>
      <c r="D350" s="4"/>
      <c r="E350" s="4"/>
      <c r="F350" s="6" t="str">
        <f>IF(A350="","",COUNTIF(Chicks!$F:$F,A350))</f>
        <v/>
      </c>
      <c r="G350" s="6" t="str">
        <f>IF(A350="","",COUNTIFS(Chicks!$F:$F,A350,Chicks!$I:$I,"Yes"))</f>
        <v/>
      </c>
      <c r="H350" s="6" t="str">
        <f>IF(A350="","",SUMIFS(Chicks!$J:$J,Chicks!$F:$F,A350))</f>
        <v/>
      </c>
      <c r="I350" s="6" t="str">
        <f>IF(A350="","",COUNTIFS(Chicks!$F:$F,A350,Chicks!$I:$I,"No"))</f>
        <v/>
      </c>
      <c r="J350" s="6" t="str">
        <f>IF(A350="","",IFERROR(AVERAGEIF(Chicks!$F:$F,A350,Chicks!$M:$M),""))</f>
        <v/>
      </c>
      <c r="K350" s="6" t="str">
        <f>IF(A350="","",SUMIFS(Chicks!$N:$N,Chicks!$F:$F,A350))</f>
        <v/>
      </c>
      <c r="L350" s="6" t="str">
        <f>IF(A350="","",SUMIFS(Chicks!$O:$O,Chicks!$F:$F,A350))</f>
        <v/>
      </c>
      <c r="M350" s="6" t="str">
        <f>IF(A350="","",SUMIFS(Chicks!$P:$P,Chicks!$F:$F,A350))</f>
        <v/>
      </c>
      <c r="N350" s="6" t="str">
        <f t="shared" si="2"/>
        <v/>
      </c>
    </row>
    <row r="351" spans="1:14" ht="14.25" customHeight="1" x14ac:dyDescent="0.3">
      <c r="A351" s="4"/>
      <c r="B351" s="4"/>
      <c r="C351" s="4"/>
      <c r="D351" s="4"/>
      <c r="E351" s="4"/>
      <c r="F351" s="6" t="str">
        <f>IF(A351="","",COUNTIF(Chicks!$F:$F,A351))</f>
        <v/>
      </c>
      <c r="G351" s="6" t="str">
        <f>IF(A351="","",COUNTIFS(Chicks!$F:$F,A351,Chicks!$I:$I,"Yes"))</f>
        <v/>
      </c>
      <c r="H351" s="6" t="str">
        <f>IF(A351="","",SUMIFS(Chicks!$J:$J,Chicks!$F:$F,A351))</f>
        <v/>
      </c>
      <c r="I351" s="6" t="str">
        <f>IF(A351="","",COUNTIFS(Chicks!$F:$F,A351,Chicks!$I:$I,"No"))</f>
        <v/>
      </c>
      <c r="J351" s="6" t="str">
        <f>IF(A351="","",IFERROR(AVERAGEIF(Chicks!$F:$F,A351,Chicks!$M:$M),""))</f>
        <v/>
      </c>
      <c r="K351" s="6" t="str">
        <f>IF(A351="","",SUMIFS(Chicks!$N:$N,Chicks!$F:$F,A351))</f>
        <v/>
      </c>
      <c r="L351" s="6" t="str">
        <f>IF(A351="","",SUMIFS(Chicks!$O:$O,Chicks!$F:$F,A351))</f>
        <v/>
      </c>
      <c r="M351" s="6" t="str">
        <f>IF(A351="","",SUMIFS(Chicks!$P:$P,Chicks!$F:$F,A351))</f>
        <v/>
      </c>
      <c r="N351" s="6" t="str">
        <f t="shared" si="2"/>
        <v/>
      </c>
    </row>
    <row r="352" spans="1:14" ht="14.25" customHeight="1" x14ac:dyDescent="0.3">
      <c r="A352" s="4"/>
      <c r="B352" s="4"/>
      <c r="C352" s="4"/>
      <c r="D352" s="4"/>
      <c r="E352" s="4"/>
      <c r="F352" s="6" t="str">
        <f>IF(A352="","",COUNTIF(Chicks!$F:$F,A352))</f>
        <v/>
      </c>
      <c r="G352" s="6" t="str">
        <f>IF(A352="","",COUNTIFS(Chicks!$F:$F,A352,Chicks!$I:$I,"Yes"))</f>
        <v/>
      </c>
      <c r="H352" s="6" t="str">
        <f>IF(A352="","",SUMIFS(Chicks!$J:$J,Chicks!$F:$F,A352))</f>
        <v/>
      </c>
      <c r="I352" s="6" t="str">
        <f>IF(A352="","",COUNTIFS(Chicks!$F:$F,A352,Chicks!$I:$I,"No"))</f>
        <v/>
      </c>
      <c r="J352" s="6" t="str">
        <f>IF(A352="","",IFERROR(AVERAGEIF(Chicks!$F:$F,A352,Chicks!$M:$M),""))</f>
        <v/>
      </c>
      <c r="K352" s="6" t="str">
        <f>IF(A352="","",SUMIFS(Chicks!$N:$N,Chicks!$F:$F,A352))</f>
        <v/>
      </c>
      <c r="L352" s="6" t="str">
        <f>IF(A352="","",SUMIFS(Chicks!$O:$O,Chicks!$F:$F,A352))</f>
        <v/>
      </c>
      <c r="M352" s="6" t="str">
        <f>IF(A352="","",SUMIFS(Chicks!$P:$P,Chicks!$F:$F,A352))</f>
        <v/>
      </c>
      <c r="N352" s="6" t="str">
        <f t="shared" si="2"/>
        <v/>
      </c>
    </row>
    <row r="353" spans="1:14" ht="14.25" customHeight="1" x14ac:dyDescent="0.3">
      <c r="A353" s="4"/>
      <c r="B353" s="4"/>
      <c r="C353" s="4"/>
      <c r="D353" s="4"/>
      <c r="E353" s="4"/>
      <c r="F353" s="6" t="str">
        <f>IF(A353="","",COUNTIF(Chicks!$F:$F,A353))</f>
        <v/>
      </c>
      <c r="G353" s="6" t="str">
        <f>IF(A353="","",COUNTIFS(Chicks!$F:$F,A353,Chicks!$I:$I,"Yes"))</f>
        <v/>
      </c>
      <c r="H353" s="6" t="str">
        <f>IF(A353="","",SUMIFS(Chicks!$J:$J,Chicks!$F:$F,A353))</f>
        <v/>
      </c>
      <c r="I353" s="6" t="str">
        <f>IF(A353="","",COUNTIFS(Chicks!$F:$F,A353,Chicks!$I:$I,"No"))</f>
        <v/>
      </c>
      <c r="J353" s="6" t="str">
        <f>IF(A353="","",IFERROR(AVERAGEIF(Chicks!$F:$F,A353,Chicks!$M:$M),""))</f>
        <v/>
      </c>
      <c r="K353" s="6" t="str">
        <f>IF(A353="","",SUMIFS(Chicks!$N:$N,Chicks!$F:$F,A353))</f>
        <v/>
      </c>
      <c r="L353" s="6" t="str">
        <f>IF(A353="","",SUMIFS(Chicks!$O:$O,Chicks!$F:$F,A353))</f>
        <v/>
      </c>
      <c r="M353" s="6" t="str">
        <f>IF(A353="","",SUMIFS(Chicks!$P:$P,Chicks!$F:$F,A353))</f>
        <v/>
      </c>
      <c r="N353" s="6" t="str">
        <f t="shared" si="2"/>
        <v/>
      </c>
    </row>
    <row r="354" spans="1:14" ht="14.25" customHeight="1" x14ac:dyDescent="0.3">
      <c r="A354" s="4"/>
      <c r="B354" s="4"/>
      <c r="C354" s="4"/>
      <c r="D354" s="4"/>
      <c r="E354" s="4"/>
      <c r="F354" s="6" t="str">
        <f>IF(A354="","",COUNTIF(Chicks!$F:$F,A354))</f>
        <v/>
      </c>
      <c r="G354" s="6" t="str">
        <f>IF(A354="","",COUNTIFS(Chicks!$F:$F,A354,Chicks!$I:$I,"Yes"))</f>
        <v/>
      </c>
      <c r="H354" s="6" t="str">
        <f>IF(A354="","",SUMIFS(Chicks!$J:$J,Chicks!$F:$F,A354))</f>
        <v/>
      </c>
      <c r="I354" s="6" t="str">
        <f>IF(A354="","",COUNTIFS(Chicks!$F:$F,A354,Chicks!$I:$I,"No"))</f>
        <v/>
      </c>
      <c r="J354" s="6" t="str">
        <f>IF(A354="","",IFERROR(AVERAGEIF(Chicks!$F:$F,A354,Chicks!$M:$M),""))</f>
        <v/>
      </c>
      <c r="K354" s="6" t="str">
        <f>IF(A354="","",SUMIFS(Chicks!$N:$N,Chicks!$F:$F,A354))</f>
        <v/>
      </c>
      <c r="L354" s="6" t="str">
        <f>IF(A354="","",SUMIFS(Chicks!$O:$O,Chicks!$F:$F,A354))</f>
        <v/>
      </c>
      <c r="M354" s="6" t="str">
        <f>IF(A354="","",SUMIFS(Chicks!$P:$P,Chicks!$F:$F,A354))</f>
        <v/>
      </c>
      <c r="N354" s="6" t="str">
        <f t="shared" si="2"/>
        <v/>
      </c>
    </row>
    <row r="355" spans="1:14" ht="14.25" customHeight="1" x14ac:dyDescent="0.3">
      <c r="A355" s="4"/>
      <c r="B355" s="4"/>
      <c r="C355" s="4"/>
      <c r="D355" s="4"/>
      <c r="E355" s="4"/>
      <c r="F355" s="6" t="str">
        <f>IF(A355="","",COUNTIF(Chicks!$F:$F,A355))</f>
        <v/>
      </c>
      <c r="G355" s="6" t="str">
        <f>IF(A355="","",COUNTIFS(Chicks!$F:$F,A355,Chicks!$I:$I,"Yes"))</f>
        <v/>
      </c>
      <c r="H355" s="6" t="str">
        <f>IF(A355="","",SUMIFS(Chicks!$J:$J,Chicks!$F:$F,A355))</f>
        <v/>
      </c>
      <c r="I355" s="6" t="str">
        <f>IF(A355="","",COUNTIFS(Chicks!$F:$F,A355,Chicks!$I:$I,"No"))</f>
        <v/>
      </c>
      <c r="J355" s="6" t="str">
        <f>IF(A355="","",IFERROR(AVERAGEIF(Chicks!$F:$F,A355,Chicks!$M:$M),""))</f>
        <v/>
      </c>
      <c r="K355" s="6" t="str">
        <f>IF(A355="","",SUMIFS(Chicks!$N:$N,Chicks!$F:$F,A355))</f>
        <v/>
      </c>
      <c r="L355" s="6" t="str">
        <f>IF(A355="","",SUMIFS(Chicks!$O:$O,Chicks!$F:$F,A355))</f>
        <v/>
      </c>
      <c r="M355" s="6" t="str">
        <f>IF(A355="","",SUMIFS(Chicks!$P:$P,Chicks!$F:$F,A355))</f>
        <v/>
      </c>
      <c r="N355" s="6" t="str">
        <f t="shared" si="2"/>
        <v/>
      </c>
    </row>
    <row r="356" spans="1:14" ht="14.25" customHeight="1" x14ac:dyDescent="0.3">
      <c r="A356" s="4"/>
      <c r="B356" s="4"/>
      <c r="C356" s="4"/>
      <c r="D356" s="4"/>
      <c r="E356" s="4"/>
      <c r="F356" s="6" t="str">
        <f>IF(A356="","",COUNTIF(Chicks!$F:$F,A356))</f>
        <v/>
      </c>
      <c r="G356" s="6" t="str">
        <f>IF(A356="","",COUNTIFS(Chicks!$F:$F,A356,Chicks!$I:$I,"Yes"))</f>
        <v/>
      </c>
      <c r="H356" s="6" t="str">
        <f>IF(A356="","",SUMIFS(Chicks!$J:$J,Chicks!$F:$F,A356))</f>
        <v/>
      </c>
      <c r="I356" s="6" t="str">
        <f>IF(A356="","",COUNTIFS(Chicks!$F:$F,A356,Chicks!$I:$I,"No"))</f>
        <v/>
      </c>
      <c r="J356" s="6" t="str">
        <f>IF(A356="","",IFERROR(AVERAGEIF(Chicks!$F:$F,A356,Chicks!$M:$M),""))</f>
        <v/>
      </c>
      <c r="K356" s="6" t="str">
        <f>IF(A356="","",SUMIFS(Chicks!$N:$N,Chicks!$F:$F,A356))</f>
        <v/>
      </c>
      <c r="L356" s="6" t="str">
        <f>IF(A356="","",SUMIFS(Chicks!$O:$O,Chicks!$F:$F,A356))</f>
        <v/>
      </c>
      <c r="M356" s="6" t="str">
        <f>IF(A356="","",SUMIFS(Chicks!$P:$P,Chicks!$F:$F,A356))</f>
        <v/>
      </c>
      <c r="N356" s="6" t="str">
        <f t="shared" si="2"/>
        <v/>
      </c>
    </row>
    <row r="357" spans="1:14" ht="14.25" customHeight="1" x14ac:dyDescent="0.3">
      <c r="A357" s="4"/>
      <c r="B357" s="4"/>
      <c r="C357" s="4"/>
      <c r="D357" s="4"/>
      <c r="E357" s="4"/>
      <c r="F357" s="6" t="str">
        <f>IF(A357="","",COUNTIF(Chicks!$F:$F,A357))</f>
        <v/>
      </c>
      <c r="G357" s="6" t="str">
        <f>IF(A357="","",COUNTIFS(Chicks!$F:$F,A357,Chicks!$I:$I,"Yes"))</f>
        <v/>
      </c>
      <c r="H357" s="6" t="str">
        <f>IF(A357="","",SUMIFS(Chicks!$J:$J,Chicks!$F:$F,A357))</f>
        <v/>
      </c>
      <c r="I357" s="6" t="str">
        <f>IF(A357="","",COUNTIFS(Chicks!$F:$F,A357,Chicks!$I:$I,"No"))</f>
        <v/>
      </c>
      <c r="J357" s="6" t="str">
        <f>IF(A357="","",IFERROR(AVERAGEIF(Chicks!$F:$F,A357,Chicks!$M:$M),""))</f>
        <v/>
      </c>
      <c r="K357" s="6" t="str">
        <f>IF(A357="","",SUMIFS(Chicks!$N:$N,Chicks!$F:$F,A357))</f>
        <v/>
      </c>
      <c r="L357" s="6" t="str">
        <f>IF(A357="","",SUMIFS(Chicks!$O:$O,Chicks!$F:$F,A357))</f>
        <v/>
      </c>
      <c r="M357" s="6" t="str">
        <f>IF(A357="","",SUMIFS(Chicks!$P:$P,Chicks!$F:$F,A357))</f>
        <v/>
      </c>
      <c r="N357" s="6" t="str">
        <f t="shared" si="2"/>
        <v/>
      </c>
    </row>
    <row r="358" spans="1:14" ht="14.25" customHeight="1" x14ac:dyDescent="0.3">
      <c r="A358" s="4"/>
      <c r="B358" s="4"/>
      <c r="C358" s="4"/>
      <c r="D358" s="4"/>
      <c r="E358" s="4"/>
      <c r="F358" s="6" t="str">
        <f>IF(A358="","",COUNTIF(Chicks!$F:$F,A358))</f>
        <v/>
      </c>
      <c r="G358" s="6" t="str">
        <f>IF(A358="","",COUNTIFS(Chicks!$F:$F,A358,Chicks!$I:$I,"Yes"))</f>
        <v/>
      </c>
      <c r="H358" s="6" t="str">
        <f>IF(A358="","",SUMIFS(Chicks!$J:$J,Chicks!$F:$F,A358))</f>
        <v/>
      </c>
      <c r="I358" s="6" t="str">
        <f>IF(A358="","",COUNTIFS(Chicks!$F:$F,A358,Chicks!$I:$I,"No"))</f>
        <v/>
      </c>
      <c r="J358" s="6" t="str">
        <f>IF(A358="","",IFERROR(AVERAGEIF(Chicks!$F:$F,A358,Chicks!$M:$M),""))</f>
        <v/>
      </c>
      <c r="K358" s="6" t="str">
        <f>IF(A358="","",SUMIFS(Chicks!$N:$N,Chicks!$F:$F,A358))</f>
        <v/>
      </c>
      <c r="L358" s="6" t="str">
        <f>IF(A358="","",SUMIFS(Chicks!$O:$O,Chicks!$F:$F,A358))</f>
        <v/>
      </c>
      <c r="M358" s="6" t="str">
        <f>IF(A358="","",SUMIFS(Chicks!$P:$P,Chicks!$F:$F,A358))</f>
        <v/>
      </c>
      <c r="N358" s="6" t="str">
        <f t="shared" si="2"/>
        <v/>
      </c>
    </row>
    <row r="359" spans="1:14" ht="14.25" customHeight="1" x14ac:dyDescent="0.3">
      <c r="A359" s="4"/>
      <c r="B359" s="4"/>
      <c r="C359" s="4"/>
      <c r="D359" s="4"/>
      <c r="E359" s="4"/>
      <c r="F359" s="6" t="str">
        <f>IF(A359="","",COUNTIF(Chicks!$F:$F,A359))</f>
        <v/>
      </c>
      <c r="G359" s="6" t="str">
        <f>IF(A359="","",COUNTIFS(Chicks!$F:$F,A359,Chicks!$I:$I,"Yes"))</f>
        <v/>
      </c>
      <c r="H359" s="6" t="str">
        <f>IF(A359="","",SUMIFS(Chicks!$J:$J,Chicks!$F:$F,A359))</f>
        <v/>
      </c>
      <c r="I359" s="6" t="str">
        <f>IF(A359="","",COUNTIFS(Chicks!$F:$F,A359,Chicks!$I:$I,"No"))</f>
        <v/>
      </c>
      <c r="J359" s="6" t="str">
        <f>IF(A359="","",IFERROR(AVERAGEIF(Chicks!$F:$F,A359,Chicks!$M:$M),""))</f>
        <v/>
      </c>
      <c r="K359" s="6" t="str">
        <f>IF(A359="","",SUMIFS(Chicks!$N:$N,Chicks!$F:$F,A359))</f>
        <v/>
      </c>
      <c r="L359" s="6" t="str">
        <f>IF(A359="","",SUMIFS(Chicks!$O:$O,Chicks!$F:$F,A359))</f>
        <v/>
      </c>
      <c r="M359" s="6" t="str">
        <f>IF(A359="","",SUMIFS(Chicks!$P:$P,Chicks!$F:$F,A359))</f>
        <v/>
      </c>
      <c r="N359" s="6" t="str">
        <f t="shared" si="2"/>
        <v/>
      </c>
    </row>
    <row r="360" spans="1:14" ht="14.25" customHeight="1" x14ac:dyDescent="0.3">
      <c r="A360" s="4"/>
      <c r="B360" s="4"/>
      <c r="C360" s="4"/>
      <c r="D360" s="4"/>
      <c r="E360" s="4"/>
      <c r="F360" s="6" t="str">
        <f>IF(A360="","",COUNTIF(Chicks!$F:$F,A360))</f>
        <v/>
      </c>
      <c r="G360" s="6" t="str">
        <f>IF(A360="","",COUNTIFS(Chicks!$F:$F,A360,Chicks!$I:$I,"Yes"))</f>
        <v/>
      </c>
      <c r="H360" s="6" t="str">
        <f>IF(A360="","",SUMIFS(Chicks!$J:$J,Chicks!$F:$F,A360))</f>
        <v/>
      </c>
      <c r="I360" s="6" t="str">
        <f>IF(A360="","",COUNTIFS(Chicks!$F:$F,A360,Chicks!$I:$I,"No"))</f>
        <v/>
      </c>
      <c r="J360" s="6" t="str">
        <f>IF(A360="","",IFERROR(AVERAGEIF(Chicks!$F:$F,A360,Chicks!$M:$M),""))</f>
        <v/>
      </c>
      <c r="K360" s="6" t="str">
        <f>IF(A360="","",SUMIFS(Chicks!$N:$N,Chicks!$F:$F,A360))</f>
        <v/>
      </c>
      <c r="L360" s="6" t="str">
        <f>IF(A360="","",SUMIFS(Chicks!$O:$O,Chicks!$F:$F,A360))</f>
        <v/>
      </c>
      <c r="M360" s="6" t="str">
        <f>IF(A360="","",SUMIFS(Chicks!$P:$P,Chicks!$F:$F,A360))</f>
        <v/>
      </c>
      <c r="N360" s="6" t="str">
        <f t="shared" si="2"/>
        <v/>
      </c>
    </row>
    <row r="361" spans="1:14" ht="14.25" customHeight="1" x14ac:dyDescent="0.3">
      <c r="A361" s="4"/>
      <c r="B361" s="4"/>
      <c r="C361" s="4"/>
      <c r="D361" s="4"/>
      <c r="E361" s="4"/>
      <c r="F361" s="6" t="str">
        <f>IF(A361="","",COUNTIF(Chicks!$F:$F,A361))</f>
        <v/>
      </c>
      <c r="G361" s="6" t="str">
        <f>IF(A361="","",COUNTIFS(Chicks!$F:$F,A361,Chicks!$I:$I,"Yes"))</f>
        <v/>
      </c>
      <c r="H361" s="6" t="str">
        <f>IF(A361="","",SUMIFS(Chicks!$J:$J,Chicks!$F:$F,A361))</f>
        <v/>
      </c>
      <c r="I361" s="6" t="str">
        <f>IF(A361="","",COUNTIFS(Chicks!$F:$F,A361,Chicks!$I:$I,"No"))</f>
        <v/>
      </c>
      <c r="J361" s="6" t="str">
        <f>IF(A361="","",IFERROR(AVERAGEIF(Chicks!$F:$F,A361,Chicks!$M:$M),""))</f>
        <v/>
      </c>
      <c r="K361" s="6" t="str">
        <f>IF(A361="","",SUMIFS(Chicks!$N:$N,Chicks!$F:$F,A361))</f>
        <v/>
      </c>
      <c r="L361" s="6" t="str">
        <f>IF(A361="","",SUMIFS(Chicks!$O:$O,Chicks!$F:$F,A361))</f>
        <v/>
      </c>
      <c r="M361" s="6" t="str">
        <f>IF(A361="","",SUMIFS(Chicks!$P:$P,Chicks!$F:$F,A361))</f>
        <v/>
      </c>
      <c r="N361" s="6" t="str">
        <f t="shared" si="2"/>
        <v/>
      </c>
    </row>
    <row r="362" spans="1:14" ht="14.25" customHeight="1" x14ac:dyDescent="0.3">
      <c r="A362" s="4"/>
      <c r="B362" s="4"/>
      <c r="C362" s="4"/>
      <c r="D362" s="4"/>
      <c r="E362" s="4"/>
      <c r="F362" s="6" t="str">
        <f>IF(A362="","",COUNTIF(Chicks!$F:$F,A362))</f>
        <v/>
      </c>
      <c r="G362" s="6" t="str">
        <f>IF(A362="","",COUNTIFS(Chicks!$F:$F,A362,Chicks!$I:$I,"Yes"))</f>
        <v/>
      </c>
      <c r="H362" s="6" t="str">
        <f>IF(A362="","",SUMIFS(Chicks!$J:$J,Chicks!$F:$F,A362))</f>
        <v/>
      </c>
      <c r="I362" s="6" t="str">
        <f>IF(A362="","",COUNTIFS(Chicks!$F:$F,A362,Chicks!$I:$I,"No"))</f>
        <v/>
      </c>
      <c r="J362" s="6" t="str">
        <f>IF(A362="","",IFERROR(AVERAGEIF(Chicks!$F:$F,A362,Chicks!$M:$M),""))</f>
        <v/>
      </c>
      <c r="K362" s="6" t="str">
        <f>IF(A362="","",SUMIFS(Chicks!$N:$N,Chicks!$F:$F,A362))</f>
        <v/>
      </c>
      <c r="L362" s="6" t="str">
        <f>IF(A362="","",SUMIFS(Chicks!$O:$O,Chicks!$F:$F,A362))</f>
        <v/>
      </c>
      <c r="M362" s="6" t="str">
        <f>IF(A362="","",SUMIFS(Chicks!$P:$P,Chicks!$F:$F,A362))</f>
        <v/>
      </c>
      <c r="N362" s="6" t="str">
        <f t="shared" si="2"/>
        <v/>
      </c>
    </row>
    <row r="363" spans="1:14" ht="14.25" customHeight="1" x14ac:dyDescent="0.3">
      <c r="A363" s="4"/>
      <c r="B363" s="4"/>
      <c r="C363" s="4"/>
      <c r="D363" s="4"/>
      <c r="E363" s="4"/>
      <c r="F363" s="6" t="str">
        <f>IF(A363="","",COUNTIF(Chicks!$F:$F,A363))</f>
        <v/>
      </c>
      <c r="G363" s="6" t="str">
        <f>IF(A363="","",COUNTIFS(Chicks!$F:$F,A363,Chicks!$I:$I,"Yes"))</f>
        <v/>
      </c>
      <c r="H363" s="6" t="str">
        <f>IF(A363="","",SUMIFS(Chicks!$J:$J,Chicks!$F:$F,A363))</f>
        <v/>
      </c>
      <c r="I363" s="6" t="str">
        <f>IF(A363="","",COUNTIFS(Chicks!$F:$F,A363,Chicks!$I:$I,"No"))</f>
        <v/>
      </c>
      <c r="J363" s="6" t="str">
        <f>IF(A363="","",IFERROR(AVERAGEIF(Chicks!$F:$F,A363,Chicks!$M:$M),""))</f>
        <v/>
      </c>
      <c r="K363" s="6" t="str">
        <f>IF(A363="","",SUMIFS(Chicks!$N:$N,Chicks!$F:$F,A363))</f>
        <v/>
      </c>
      <c r="L363" s="6" t="str">
        <f>IF(A363="","",SUMIFS(Chicks!$O:$O,Chicks!$F:$F,A363))</f>
        <v/>
      </c>
      <c r="M363" s="6" t="str">
        <f>IF(A363="","",SUMIFS(Chicks!$P:$P,Chicks!$F:$F,A363))</f>
        <v/>
      </c>
      <c r="N363" s="6" t="str">
        <f t="shared" si="2"/>
        <v/>
      </c>
    </row>
    <row r="364" spans="1:14" ht="14.25" customHeight="1" x14ac:dyDescent="0.3">
      <c r="A364" s="4"/>
      <c r="B364" s="4"/>
      <c r="C364" s="4"/>
      <c r="D364" s="4"/>
      <c r="E364" s="4"/>
      <c r="F364" s="6" t="str">
        <f>IF(A364="","",COUNTIF(Chicks!$F:$F,A364))</f>
        <v/>
      </c>
      <c r="G364" s="6" t="str">
        <f>IF(A364="","",COUNTIFS(Chicks!$F:$F,A364,Chicks!$I:$I,"Yes"))</f>
        <v/>
      </c>
      <c r="H364" s="6" t="str">
        <f>IF(A364="","",SUMIFS(Chicks!$J:$J,Chicks!$F:$F,A364))</f>
        <v/>
      </c>
      <c r="I364" s="6" t="str">
        <f>IF(A364="","",COUNTIFS(Chicks!$F:$F,A364,Chicks!$I:$I,"No"))</f>
        <v/>
      </c>
      <c r="J364" s="6" t="str">
        <f>IF(A364="","",IFERROR(AVERAGEIF(Chicks!$F:$F,A364,Chicks!$M:$M),""))</f>
        <v/>
      </c>
      <c r="K364" s="6" t="str">
        <f>IF(A364="","",SUMIFS(Chicks!$N:$N,Chicks!$F:$F,A364))</f>
        <v/>
      </c>
      <c r="L364" s="6" t="str">
        <f>IF(A364="","",SUMIFS(Chicks!$O:$O,Chicks!$F:$F,A364))</f>
        <v/>
      </c>
      <c r="M364" s="6" t="str">
        <f>IF(A364="","",SUMIFS(Chicks!$P:$P,Chicks!$F:$F,A364))</f>
        <v/>
      </c>
      <c r="N364" s="6" t="str">
        <f t="shared" si="2"/>
        <v/>
      </c>
    </row>
    <row r="365" spans="1:14" ht="14.25" customHeight="1" x14ac:dyDescent="0.3">
      <c r="A365" s="4"/>
      <c r="B365" s="4"/>
      <c r="C365" s="4"/>
      <c r="D365" s="4"/>
      <c r="E365" s="4"/>
      <c r="F365" s="6" t="str">
        <f>IF(A365="","",COUNTIF(Chicks!$F:$F,A365))</f>
        <v/>
      </c>
      <c r="G365" s="6" t="str">
        <f>IF(A365="","",COUNTIFS(Chicks!$F:$F,A365,Chicks!$I:$I,"Yes"))</f>
        <v/>
      </c>
      <c r="H365" s="6" t="str">
        <f>IF(A365="","",SUMIFS(Chicks!$J:$J,Chicks!$F:$F,A365))</f>
        <v/>
      </c>
      <c r="I365" s="6" t="str">
        <f>IF(A365="","",COUNTIFS(Chicks!$F:$F,A365,Chicks!$I:$I,"No"))</f>
        <v/>
      </c>
      <c r="J365" s="6" t="str">
        <f>IF(A365="","",IFERROR(AVERAGEIF(Chicks!$F:$F,A365,Chicks!$M:$M),""))</f>
        <v/>
      </c>
      <c r="K365" s="6" t="str">
        <f>IF(A365="","",SUMIFS(Chicks!$N:$N,Chicks!$F:$F,A365))</f>
        <v/>
      </c>
      <c r="L365" s="6" t="str">
        <f>IF(A365="","",SUMIFS(Chicks!$O:$O,Chicks!$F:$F,A365))</f>
        <v/>
      </c>
      <c r="M365" s="6" t="str">
        <f>IF(A365="","",SUMIFS(Chicks!$P:$P,Chicks!$F:$F,A365))</f>
        <v/>
      </c>
      <c r="N365" s="6" t="str">
        <f t="shared" si="2"/>
        <v/>
      </c>
    </row>
    <row r="366" spans="1:14" ht="14.25" customHeight="1" x14ac:dyDescent="0.3">
      <c r="A366" s="4"/>
      <c r="B366" s="4"/>
      <c r="C366" s="4"/>
      <c r="D366" s="4"/>
      <c r="E366" s="4"/>
      <c r="F366" s="6" t="str">
        <f>IF(A366="","",COUNTIF(Chicks!$F:$F,A366))</f>
        <v/>
      </c>
      <c r="G366" s="6" t="str">
        <f>IF(A366="","",COUNTIFS(Chicks!$F:$F,A366,Chicks!$I:$I,"Yes"))</f>
        <v/>
      </c>
      <c r="H366" s="6" t="str">
        <f>IF(A366="","",SUMIFS(Chicks!$J:$J,Chicks!$F:$F,A366))</f>
        <v/>
      </c>
      <c r="I366" s="6" t="str">
        <f>IF(A366="","",COUNTIFS(Chicks!$F:$F,A366,Chicks!$I:$I,"No"))</f>
        <v/>
      </c>
      <c r="J366" s="6" t="str">
        <f>IF(A366="","",IFERROR(AVERAGEIF(Chicks!$F:$F,A366,Chicks!$M:$M),""))</f>
        <v/>
      </c>
      <c r="K366" s="6" t="str">
        <f>IF(A366="","",SUMIFS(Chicks!$N:$N,Chicks!$F:$F,A366))</f>
        <v/>
      </c>
      <c r="L366" s="6" t="str">
        <f>IF(A366="","",SUMIFS(Chicks!$O:$O,Chicks!$F:$F,A366))</f>
        <v/>
      </c>
      <c r="M366" s="6" t="str">
        <f>IF(A366="","",SUMIFS(Chicks!$P:$P,Chicks!$F:$F,A366))</f>
        <v/>
      </c>
      <c r="N366" s="6" t="str">
        <f t="shared" si="2"/>
        <v/>
      </c>
    </row>
    <row r="367" spans="1:14" ht="14.25" customHeight="1" x14ac:dyDescent="0.3">
      <c r="A367" s="4"/>
      <c r="B367" s="4"/>
      <c r="C367" s="4"/>
      <c r="D367" s="4"/>
      <c r="E367" s="4"/>
      <c r="F367" s="6" t="str">
        <f>IF(A367="","",COUNTIF(Chicks!$F:$F,A367))</f>
        <v/>
      </c>
      <c r="G367" s="6" t="str">
        <f>IF(A367="","",COUNTIFS(Chicks!$F:$F,A367,Chicks!$I:$I,"Yes"))</f>
        <v/>
      </c>
      <c r="H367" s="6" t="str">
        <f>IF(A367="","",SUMIFS(Chicks!$J:$J,Chicks!$F:$F,A367))</f>
        <v/>
      </c>
      <c r="I367" s="6" t="str">
        <f>IF(A367="","",COUNTIFS(Chicks!$F:$F,A367,Chicks!$I:$I,"No"))</f>
        <v/>
      </c>
      <c r="J367" s="6" t="str">
        <f>IF(A367="","",IFERROR(AVERAGEIF(Chicks!$F:$F,A367,Chicks!$M:$M),""))</f>
        <v/>
      </c>
      <c r="K367" s="6" t="str">
        <f>IF(A367="","",SUMIFS(Chicks!$N:$N,Chicks!$F:$F,A367))</f>
        <v/>
      </c>
      <c r="L367" s="6" t="str">
        <f>IF(A367="","",SUMIFS(Chicks!$O:$O,Chicks!$F:$F,A367))</f>
        <v/>
      </c>
      <c r="M367" s="6" t="str">
        <f>IF(A367="","",SUMIFS(Chicks!$P:$P,Chicks!$F:$F,A367))</f>
        <v/>
      </c>
      <c r="N367" s="6" t="str">
        <f t="shared" si="2"/>
        <v/>
      </c>
    </row>
    <row r="368" spans="1:14" ht="14.25" customHeight="1" x14ac:dyDescent="0.3">
      <c r="A368" s="4"/>
      <c r="B368" s="4"/>
      <c r="C368" s="4"/>
      <c r="D368" s="4"/>
      <c r="E368" s="4"/>
      <c r="F368" s="6" t="str">
        <f>IF(A368="","",COUNTIF(Chicks!$F:$F,A368))</f>
        <v/>
      </c>
      <c r="G368" s="6" t="str">
        <f>IF(A368="","",COUNTIFS(Chicks!$F:$F,A368,Chicks!$I:$I,"Yes"))</f>
        <v/>
      </c>
      <c r="H368" s="6" t="str">
        <f>IF(A368="","",SUMIFS(Chicks!$J:$J,Chicks!$F:$F,A368))</f>
        <v/>
      </c>
      <c r="I368" s="6" t="str">
        <f>IF(A368="","",COUNTIFS(Chicks!$F:$F,A368,Chicks!$I:$I,"No"))</f>
        <v/>
      </c>
      <c r="J368" s="6" t="str">
        <f>IF(A368="","",IFERROR(AVERAGEIF(Chicks!$F:$F,A368,Chicks!$M:$M),""))</f>
        <v/>
      </c>
      <c r="K368" s="6" t="str">
        <f>IF(A368="","",SUMIFS(Chicks!$N:$N,Chicks!$F:$F,A368))</f>
        <v/>
      </c>
      <c r="L368" s="6" t="str">
        <f>IF(A368="","",SUMIFS(Chicks!$O:$O,Chicks!$F:$F,A368))</f>
        <v/>
      </c>
      <c r="M368" s="6" t="str">
        <f>IF(A368="","",SUMIFS(Chicks!$P:$P,Chicks!$F:$F,A368))</f>
        <v/>
      </c>
      <c r="N368" s="6" t="str">
        <f t="shared" si="2"/>
        <v/>
      </c>
    </row>
    <row r="369" spans="1:14" ht="14.25" customHeight="1" x14ac:dyDescent="0.3">
      <c r="A369" s="4"/>
      <c r="B369" s="4"/>
      <c r="C369" s="4"/>
      <c r="D369" s="4"/>
      <c r="E369" s="4"/>
      <c r="F369" s="6" t="str">
        <f>IF(A369="","",COUNTIF(Chicks!$F:$F,A369))</f>
        <v/>
      </c>
      <c r="G369" s="6" t="str">
        <f>IF(A369="","",COUNTIFS(Chicks!$F:$F,A369,Chicks!$I:$I,"Yes"))</f>
        <v/>
      </c>
      <c r="H369" s="6" t="str">
        <f>IF(A369="","",SUMIFS(Chicks!$J:$J,Chicks!$F:$F,A369))</f>
        <v/>
      </c>
      <c r="I369" s="6" t="str">
        <f>IF(A369="","",COUNTIFS(Chicks!$F:$F,A369,Chicks!$I:$I,"No"))</f>
        <v/>
      </c>
      <c r="J369" s="6" t="str">
        <f>IF(A369="","",IFERROR(AVERAGEIF(Chicks!$F:$F,A369,Chicks!$M:$M),""))</f>
        <v/>
      </c>
      <c r="K369" s="6" t="str">
        <f>IF(A369="","",SUMIFS(Chicks!$N:$N,Chicks!$F:$F,A369))</f>
        <v/>
      </c>
      <c r="L369" s="6" t="str">
        <f>IF(A369="","",SUMIFS(Chicks!$O:$O,Chicks!$F:$F,A369))</f>
        <v/>
      </c>
      <c r="M369" s="6" t="str">
        <f>IF(A369="","",SUMIFS(Chicks!$P:$P,Chicks!$F:$F,A369))</f>
        <v/>
      </c>
      <c r="N369" s="6" t="str">
        <f t="shared" si="2"/>
        <v/>
      </c>
    </row>
    <row r="370" spans="1:14" ht="14.25" customHeight="1" x14ac:dyDescent="0.3">
      <c r="A370" s="4"/>
      <c r="B370" s="4"/>
      <c r="C370" s="4"/>
      <c r="D370" s="4"/>
      <c r="E370" s="4"/>
      <c r="F370" s="6" t="str">
        <f>IF(A370="","",COUNTIF(Chicks!$F:$F,A370))</f>
        <v/>
      </c>
      <c r="G370" s="6" t="str">
        <f>IF(A370="","",COUNTIFS(Chicks!$F:$F,A370,Chicks!$I:$I,"Yes"))</f>
        <v/>
      </c>
      <c r="H370" s="6" t="str">
        <f>IF(A370="","",SUMIFS(Chicks!$J:$J,Chicks!$F:$F,A370))</f>
        <v/>
      </c>
      <c r="I370" s="6" t="str">
        <f>IF(A370="","",COUNTIFS(Chicks!$F:$F,A370,Chicks!$I:$I,"No"))</f>
        <v/>
      </c>
      <c r="J370" s="6" t="str">
        <f>IF(A370="","",IFERROR(AVERAGEIF(Chicks!$F:$F,A370,Chicks!$M:$M),""))</f>
        <v/>
      </c>
      <c r="K370" s="6" t="str">
        <f>IF(A370="","",SUMIFS(Chicks!$N:$N,Chicks!$F:$F,A370))</f>
        <v/>
      </c>
      <c r="L370" s="6" t="str">
        <f>IF(A370="","",SUMIFS(Chicks!$O:$O,Chicks!$F:$F,A370))</f>
        <v/>
      </c>
      <c r="M370" s="6" t="str">
        <f>IF(A370="","",SUMIFS(Chicks!$P:$P,Chicks!$F:$F,A370))</f>
        <v/>
      </c>
      <c r="N370" s="6" t="str">
        <f t="shared" si="2"/>
        <v/>
      </c>
    </row>
    <row r="371" spans="1:14" ht="14.25" customHeight="1" x14ac:dyDescent="0.3">
      <c r="A371" s="4"/>
      <c r="B371" s="4"/>
      <c r="C371" s="4"/>
      <c r="D371" s="4"/>
      <c r="E371" s="4"/>
      <c r="F371" s="6" t="str">
        <f>IF(A371="","",COUNTIF(Chicks!$F:$F,A371))</f>
        <v/>
      </c>
      <c r="G371" s="6" t="str">
        <f>IF(A371="","",COUNTIFS(Chicks!$F:$F,A371,Chicks!$I:$I,"Yes"))</f>
        <v/>
      </c>
      <c r="H371" s="6" t="str">
        <f>IF(A371="","",SUMIFS(Chicks!$J:$J,Chicks!$F:$F,A371))</f>
        <v/>
      </c>
      <c r="I371" s="6" t="str">
        <f>IF(A371="","",COUNTIFS(Chicks!$F:$F,A371,Chicks!$I:$I,"No"))</f>
        <v/>
      </c>
      <c r="J371" s="6" t="str">
        <f>IF(A371="","",IFERROR(AVERAGEIF(Chicks!$F:$F,A371,Chicks!$M:$M),""))</f>
        <v/>
      </c>
      <c r="K371" s="6" t="str">
        <f>IF(A371="","",SUMIFS(Chicks!$N:$N,Chicks!$F:$F,A371))</f>
        <v/>
      </c>
      <c r="L371" s="6" t="str">
        <f>IF(A371="","",SUMIFS(Chicks!$O:$O,Chicks!$F:$F,A371))</f>
        <v/>
      </c>
      <c r="M371" s="6" t="str">
        <f>IF(A371="","",SUMIFS(Chicks!$P:$P,Chicks!$F:$F,A371))</f>
        <v/>
      </c>
      <c r="N371" s="6" t="str">
        <f t="shared" si="2"/>
        <v/>
      </c>
    </row>
    <row r="372" spans="1:14" ht="14.25" customHeight="1" x14ac:dyDescent="0.3">
      <c r="A372" s="4"/>
      <c r="B372" s="4"/>
      <c r="C372" s="4"/>
      <c r="D372" s="4"/>
      <c r="E372" s="4"/>
      <c r="F372" s="6" t="str">
        <f>IF(A372="","",COUNTIF(Chicks!$F:$F,A372))</f>
        <v/>
      </c>
      <c r="G372" s="6" t="str">
        <f>IF(A372="","",COUNTIFS(Chicks!$F:$F,A372,Chicks!$I:$I,"Yes"))</f>
        <v/>
      </c>
      <c r="H372" s="6" t="str">
        <f>IF(A372="","",SUMIFS(Chicks!$J:$J,Chicks!$F:$F,A372))</f>
        <v/>
      </c>
      <c r="I372" s="6" t="str">
        <f>IF(A372="","",COUNTIFS(Chicks!$F:$F,A372,Chicks!$I:$I,"No"))</f>
        <v/>
      </c>
      <c r="J372" s="6" t="str">
        <f>IF(A372="","",IFERROR(AVERAGEIF(Chicks!$F:$F,A372,Chicks!$M:$M),""))</f>
        <v/>
      </c>
      <c r="K372" s="6" t="str">
        <f>IF(A372="","",SUMIFS(Chicks!$N:$N,Chicks!$F:$F,A372))</f>
        <v/>
      </c>
      <c r="L372" s="6" t="str">
        <f>IF(A372="","",SUMIFS(Chicks!$O:$O,Chicks!$F:$F,A372))</f>
        <v/>
      </c>
      <c r="M372" s="6" t="str">
        <f>IF(A372="","",SUMIFS(Chicks!$P:$P,Chicks!$F:$F,A372))</f>
        <v/>
      </c>
      <c r="N372" s="6" t="str">
        <f t="shared" si="2"/>
        <v/>
      </c>
    </row>
    <row r="373" spans="1:14" ht="14.25" customHeight="1" x14ac:dyDescent="0.3">
      <c r="A373" s="4"/>
      <c r="B373" s="4"/>
      <c r="C373" s="4"/>
      <c r="D373" s="4"/>
      <c r="E373" s="4"/>
      <c r="F373" s="6" t="str">
        <f>IF(A373="","",COUNTIF(Chicks!$F:$F,A373))</f>
        <v/>
      </c>
      <c r="G373" s="6" t="str">
        <f>IF(A373="","",COUNTIFS(Chicks!$F:$F,A373,Chicks!$I:$I,"Yes"))</f>
        <v/>
      </c>
      <c r="H373" s="6" t="str">
        <f>IF(A373="","",SUMIFS(Chicks!$J:$J,Chicks!$F:$F,A373))</f>
        <v/>
      </c>
      <c r="I373" s="6" t="str">
        <f>IF(A373="","",COUNTIFS(Chicks!$F:$F,A373,Chicks!$I:$I,"No"))</f>
        <v/>
      </c>
      <c r="J373" s="6" t="str">
        <f>IF(A373="","",IFERROR(AVERAGEIF(Chicks!$F:$F,A373,Chicks!$M:$M),""))</f>
        <v/>
      </c>
      <c r="K373" s="6" t="str">
        <f>IF(A373="","",SUMIFS(Chicks!$N:$N,Chicks!$F:$F,A373))</f>
        <v/>
      </c>
      <c r="L373" s="6" t="str">
        <f>IF(A373="","",SUMIFS(Chicks!$O:$O,Chicks!$F:$F,A373))</f>
        <v/>
      </c>
      <c r="M373" s="6" t="str">
        <f>IF(A373="","",SUMIFS(Chicks!$P:$P,Chicks!$F:$F,A373))</f>
        <v/>
      </c>
      <c r="N373" s="6" t="str">
        <f t="shared" si="2"/>
        <v/>
      </c>
    </row>
    <row r="374" spans="1:14" ht="14.25" customHeight="1" x14ac:dyDescent="0.3">
      <c r="A374" s="4"/>
      <c r="B374" s="4"/>
      <c r="C374" s="4"/>
      <c r="D374" s="4"/>
      <c r="E374" s="4"/>
      <c r="F374" s="6" t="str">
        <f>IF(A374="","",COUNTIF(Chicks!$F:$F,A374))</f>
        <v/>
      </c>
      <c r="G374" s="6" t="str">
        <f>IF(A374="","",COUNTIFS(Chicks!$F:$F,A374,Chicks!$I:$I,"Yes"))</f>
        <v/>
      </c>
      <c r="H374" s="6" t="str">
        <f>IF(A374="","",SUMIFS(Chicks!$J:$J,Chicks!$F:$F,A374))</f>
        <v/>
      </c>
      <c r="I374" s="6" t="str">
        <f>IF(A374="","",COUNTIFS(Chicks!$F:$F,A374,Chicks!$I:$I,"No"))</f>
        <v/>
      </c>
      <c r="J374" s="6" t="str">
        <f>IF(A374="","",IFERROR(AVERAGEIF(Chicks!$F:$F,A374,Chicks!$M:$M),""))</f>
        <v/>
      </c>
      <c r="K374" s="6" t="str">
        <f>IF(A374="","",SUMIFS(Chicks!$N:$N,Chicks!$F:$F,A374))</f>
        <v/>
      </c>
      <c r="L374" s="6" t="str">
        <f>IF(A374="","",SUMIFS(Chicks!$O:$O,Chicks!$F:$F,A374))</f>
        <v/>
      </c>
      <c r="M374" s="6" t="str">
        <f>IF(A374="","",SUMIFS(Chicks!$P:$P,Chicks!$F:$F,A374))</f>
        <v/>
      </c>
      <c r="N374" s="6" t="str">
        <f t="shared" si="2"/>
        <v/>
      </c>
    </row>
    <row r="375" spans="1:14" ht="14.25" customHeight="1" x14ac:dyDescent="0.3">
      <c r="A375" s="4"/>
      <c r="B375" s="4"/>
      <c r="C375" s="4"/>
      <c r="D375" s="4"/>
      <c r="E375" s="4"/>
      <c r="F375" s="6" t="str">
        <f>IF(A375="","",COUNTIF(Chicks!$F:$F,A375))</f>
        <v/>
      </c>
      <c r="G375" s="6" t="str">
        <f>IF(A375="","",COUNTIFS(Chicks!$F:$F,A375,Chicks!$I:$I,"Yes"))</f>
        <v/>
      </c>
      <c r="H375" s="6" t="str">
        <f>IF(A375="","",SUMIFS(Chicks!$J:$J,Chicks!$F:$F,A375))</f>
        <v/>
      </c>
      <c r="I375" s="6" t="str">
        <f>IF(A375="","",COUNTIFS(Chicks!$F:$F,A375,Chicks!$I:$I,"No"))</f>
        <v/>
      </c>
      <c r="J375" s="6" t="str">
        <f>IF(A375="","",IFERROR(AVERAGEIF(Chicks!$F:$F,A375,Chicks!$M:$M),""))</f>
        <v/>
      </c>
      <c r="K375" s="6" t="str">
        <f>IF(A375="","",SUMIFS(Chicks!$N:$N,Chicks!$F:$F,A375))</f>
        <v/>
      </c>
      <c r="L375" s="6" t="str">
        <f>IF(A375="","",SUMIFS(Chicks!$O:$O,Chicks!$F:$F,A375))</f>
        <v/>
      </c>
      <c r="M375" s="6" t="str">
        <f>IF(A375="","",SUMIFS(Chicks!$P:$P,Chicks!$F:$F,A375))</f>
        <v/>
      </c>
      <c r="N375" s="6" t="str">
        <f t="shared" si="2"/>
        <v/>
      </c>
    </row>
    <row r="376" spans="1:14" ht="14.25" customHeight="1" x14ac:dyDescent="0.3">
      <c r="A376" s="4"/>
      <c r="B376" s="4"/>
      <c r="C376" s="4"/>
      <c r="D376" s="4"/>
      <c r="E376" s="4"/>
      <c r="F376" s="6" t="str">
        <f>IF(A376="","",COUNTIF(Chicks!$F:$F,A376))</f>
        <v/>
      </c>
      <c r="G376" s="6" t="str">
        <f>IF(A376="","",COUNTIFS(Chicks!$F:$F,A376,Chicks!$I:$I,"Yes"))</f>
        <v/>
      </c>
      <c r="H376" s="6" t="str">
        <f>IF(A376="","",SUMIFS(Chicks!$J:$J,Chicks!$F:$F,A376))</f>
        <v/>
      </c>
      <c r="I376" s="6" t="str">
        <f>IF(A376="","",COUNTIFS(Chicks!$F:$F,A376,Chicks!$I:$I,"No"))</f>
        <v/>
      </c>
      <c r="J376" s="6" t="str">
        <f>IF(A376="","",IFERROR(AVERAGEIF(Chicks!$F:$F,A376,Chicks!$M:$M),""))</f>
        <v/>
      </c>
      <c r="K376" s="6" t="str">
        <f>IF(A376="","",SUMIFS(Chicks!$N:$N,Chicks!$F:$F,A376))</f>
        <v/>
      </c>
      <c r="L376" s="6" t="str">
        <f>IF(A376="","",SUMIFS(Chicks!$O:$O,Chicks!$F:$F,A376))</f>
        <v/>
      </c>
      <c r="M376" s="6" t="str">
        <f>IF(A376="","",SUMIFS(Chicks!$P:$P,Chicks!$F:$F,A376))</f>
        <v/>
      </c>
      <c r="N376" s="6" t="str">
        <f t="shared" si="2"/>
        <v/>
      </c>
    </row>
    <row r="377" spans="1:14" ht="14.25" customHeight="1" x14ac:dyDescent="0.3">
      <c r="A377" s="4"/>
      <c r="B377" s="4"/>
      <c r="C377" s="4"/>
      <c r="D377" s="4"/>
      <c r="E377" s="4"/>
      <c r="F377" s="6" t="str">
        <f>IF(A377="","",COUNTIF(Chicks!$F:$F,A377))</f>
        <v/>
      </c>
      <c r="G377" s="6" t="str">
        <f>IF(A377="","",COUNTIFS(Chicks!$F:$F,A377,Chicks!$I:$I,"Yes"))</f>
        <v/>
      </c>
      <c r="H377" s="6" t="str">
        <f>IF(A377="","",SUMIFS(Chicks!$J:$J,Chicks!$F:$F,A377))</f>
        <v/>
      </c>
      <c r="I377" s="6" t="str">
        <f>IF(A377="","",COUNTIFS(Chicks!$F:$F,A377,Chicks!$I:$I,"No"))</f>
        <v/>
      </c>
      <c r="J377" s="6" t="str">
        <f>IF(A377="","",IFERROR(AVERAGEIF(Chicks!$F:$F,A377,Chicks!$M:$M),""))</f>
        <v/>
      </c>
      <c r="K377" s="6" t="str">
        <f>IF(A377="","",SUMIFS(Chicks!$N:$N,Chicks!$F:$F,A377))</f>
        <v/>
      </c>
      <c r="L377" s="6" t="str">
        <f>IF(A377="","",SUMIFS(Chicks!$O:$O,Chicks!$F:$F,A377))</f>
        <v/>
      </c>
      <c r="M377" s="6" t="str">
        <f>IF(A377="","",SUMIFS(Chicks!$P:$P,Chicks!$F:$F,A377))</f>
        <v/>
      </c>
      <c r="N377" s="6" t="str">
        <f t="shared" si="2"/>
        <v/>
      </c>
    </row>
    <row r="378" spans="1:14" ht="14.25" customHeight="1" x14ac:dyDescent="0.3">
      <c r="A378" s="4"/>
      <c r="B378" s="4"/>
      <c r="C378" s="4"/>
      <c r="D378" s="4"/>
      <c r="E378" s="4"/>
      <c r="F378" s="6" t="str">
        <f>IF(A378="","",COUNTIF(Chicks!$F:$F,A378))</f>
        <v/>
      </c>
      <c r="G378" s="6" t="str">
        <f>IF(A378="","",COUNTIFS(Chicks!$F:$F,A378,Chicks!$I:$I,"Yes"))</f>
        <v/>
      </c>
      <c r="H378" s="6" t="str">
        <f>IF(A378="","",SUMIFS(Chicks!$J:$J,Chicks!$F:$F,A378))</f>
        <v/>
      </c>
      <c r="I378" s="6" t="str">
        <f>IF(A378="","",COUNTIFS(Chicks!$F:$F,A378,Chicks!$I:$I,"No"))</f>
        <v/>
      </c>
      <c r="J378" s="6" t="str">
        <f>IF(A378="","",IFERROR(AVERAGEIF(Chicks!$F:$F,A378,Chicks!$M:$M),""))</f>
        <v/>
      </c>
      <c r="K378" s="6" t="str">
        <f>IF(A378="","",SUMIFS(Chicks!$N:$N,Chicks!$F:$F,A378))</f>
        <v/>
      </c>
      <c r="L378" s="6" t="str">
        <f>IF(A378="","",SUMIFS(Chicks!$O:$O,Chicks!$F:$F,A378))</f>
        <v/>
      </c>
      <c r="M378" s="6" t="str">
        <f>IF(A378="","",SUMIFS(Chicks!$P:$P,Chicks!$F:$F,A378))</f>
        <v/>
      </c>
      <c r="N378" s="6" t="str">
        <f t="shared" si="2"/>
        <v/>
      </c>
    </row>
    <row r="379" spans="1:14" ht="14.25" customHeight="1" x14ac:dyDescent="0.3">
      <c r="A379" s="4"/>
      <c r="B379" s="4"/>
      <c r="C379" s="4"/>
      <c r="D379" s="4"/>
      <c r="E379" s="4"/>
      <c r="F379" s="6" t="str">
        <f>IF(A379="","",COUNTIF(Chicks!$F:$F,A379))</f>
        <v/>
      </c>
      <c r="G379" s="6" t="str">
        <f>IF(A379="","",COUNTIFS(Chicks!$F:$F,A379,Chicks!$I:$I,"Yes"))</f>
        <v/>
      </c>
      <c r="H379" s="6" t="str">
        <f>IF(A379="","",SUMIFS(Chicks!$J:$J,Chicks!$F:$F,A379))</f>
        <v/>
      </c>
      <c r="I379" s="6" t="str">
        <f>IF(A379="","",COUNTIFS(Chicks!$F:$F,A379,Chicks!$I:$I,"No"))</f>
        <v/>
      </c>
      <c r="J379" s="6" t="str">
        <f>IF(A379="","",IFERROR(AVERAGEIF(Chicks!$F:$F,A379,Chicks!$M:$M),""))</f>
        <v/>
      </c>
      <c r="K379" s="6" t="str">
        <f>IF(A379="","",SUMIFS(Chicks!$N:$N,Chicks!$F:$F,A379))</f>
        <v/>
      </c>
      <c r="L379" s="6" t="str">
        <f>IF(A379="","",SUMIFS(Chicks!$O:$O,Chicks!$F:$F,A379))</f>
        <v/>
      </c>
      <c r="M379" s="6" t="str">
        <f>IF(A379="","",SUMIFS(Chicks!$P:$P,Chicks!$F:$F,A379))</f>
        <v/>
      </c>
      <c r="N379" s="6" t="str">
        <f t="shared" si="2"/>
        <v/>
      </c>
    </row>
    <row r="380" spans="1:14" ht="14.25" customHeight="1" x14ac:dyDescent="0.3">
      <c r="A380" s="4"/>
      <c r="B380" s="4"/>
      <c r="C380" s="4"/>
      <c r="D380" s="4"/>
      <c r="E380" s="4"/>
      <c r="F380" s="6" t="str">
        <f>IF(A380="","",COUNTIF(Chicks!$F:$F,A380))</f>
        <v/>
      </c>
      <c r="G380" s="6" t="str">
        <f>IF(A380="","",COUNTIFS(Chicks!$F:$F,A380,Chicks!$I:$I,"Yes"))</f>
        <v/>
      </c>
      <c r="H380" s="6" t="str">
        <f>IF(A380="","",SUMIFS(Chicks!$J:$J,Chicks!$F:$F,A380))</f>
        <v/>
      </c>
      <c r="I380" s="6" t="str">
        <f>IF(A380="","",COUNTIFS(Chicks!$F:$F,A380,Chicks!$I:$I,"No"))</f>
        <v/>
      </c>
      <c r="J380" s="6" t="str">
        <f>IF(A380="","",IFERROR(AVERAGEIF(Chicks!$F:$F,A380,Chicks!$M:$M),""))</f>
        <v/>
      </c>
      <c r="K380" s="6" t="str">
        <f>IF(A380="","",SUMIFS(Chicks!$N:$N,Chicks!$F:$F,A380))</f>
        <v/>
      </c>
      <c r="L380" s="6" t="str">
        <f>IF(A380="","",SUMIFS(Chicks!$O:$O,Chicks!$F:$F,A380))</f>
        <v/>
      </c>
      <c r="M380" s="6" t="str">
        <f>IF(A380="","",SUMIFS(Chicks!$P:$P,Chicks!$F:$F,A380))</f>
        <v/>
      </c>
      <c r="N380" s="6" t="str">
        <f t="shared" si="2"/>
        <v/>
      </c>
    </row>
    <row r="381" spans="1:14" ht="14.25" customHeight="1" x14ac:dyDescent="0.3">
      <c r="A381" s="4"/>
      <c r="B381" s="4"/>
      <c r="C381" s="4"/>
      <c r="D381" s="4"/>
      <c r="E381" s="4"/>
      <c r="F381" s="6" t="str">
        <f>IF(A381="","",COUNTIF(Chicks!$F:$F,A381))</f>
        <v/>
      </c>
      <c r="G381" s="6" t="str">
        <f>IF(A381="","",COUNTIFS(Chicks!$F:$F,A381,Chicks!$I:$I,"Yes"))</f>
        <v/>
      </c>
      <c r="H381" s="6" t="str">
        <f>IF(A381="","",SUMIFS(Chicks!$J:$J,Chicks!$F:$F,A381))</f>
        <v/>
      </c>
      <c r="I381" s="6" t="str">
        <f>IF(A381="","",COUNTIFS(Chicks!$F:$F,A381,Chicks!$I:$I,"No"))</f>
        <v/>
      </c>
      <c r="J381" s="6" t="str">
        <f>IF(A381="","",IFERROR(AVERAGEIF(Chicks!$F:$F,A381,Chicks!$M:$M),""))</f>
        <v/>
      </c>
      <c r="K381" s="6" t="str">
        <f>IF(A381="","",SUMIFS(Chicks!$N:$N,Chicks!$F:$F,A381))</f>
        <v/>
      </c>
      <c r="L381" s="6" t="str">
        <f>IF(A381="","",SUMIFS(Chicks!$O:$O,Chicks!$F:$F,A381))</f>
        <v/>
      </c>
      <c r="M381" s="6" t="str">
        <f>IF(A381="","",SUMIFS(Chicks!$P:$P,Chicks!$F:$F,A381))</f>
        <v/>
      </c>
      <c r="N381" s="6" t="str">
        <f t="shared" si="2"/>
        <v/>
      </c>
    </row>
    <row r="382" spans="1:14" ht="14.25" customHeight="1" x14ac:dyDescent="0.3">
      <c r="A382" s="4"/>
      <c r="B382" s="4"/>
      <c r="C382" s="4"/>
      <c r="D382" s="4"/>
      <c r="E382" s="4"/>
      <c r="F382" s="6" t="str">
        <f>IF(A382="","",COUNTIF(Chicks!$F:$F,A382))</f>
        <v/>
      </c>
      <c r="G382" s="6" t="str">
        <f>IF(A382="","",COUNTIFS(Chicks!$F:$F,A382,Chicks!$I:$I,"Yes"))</f>
        <v/>
      </c>
      <c r="H382" s="6" t="str">
        <f>IF(A382="","",SUMIFS(Chicks!$J:$J,Chicks!$F:$F,A382))</f>
        <v/>
      </c>
      <c r="I382" s="6" t="str">
        <f>IF(A382="","",COUNTIFS(Chicks!$F:$F,A382,Chicks!$I:$I,"No"))</f>
        <v/>
      </c>
      <c r="J382" s="6" t="str">
        <f>IF(A382="","",IFERROR(AVERAGEIF(Chicks!$F:$F,A382,Chicks!$M:$M),""))</f>
        <v/>
      </c>
      <c r="K382" s="6" t="str">
        <f>IF(A382="","",SUMIFS(Chicks!$N:$N,Chicks!$F:$F,A382))</f>
        <v/>
      </c>
      <c r="L382" s="6" t="str">
        <f>IF(A382="","",SUMIFS(Chicks!$O:$O,Chicks!$F:$F,A382))</f>
        <v/>
      </c>
      <c r="M382" s="6" t="str">
        <f>IF(A382="","",SUMIFS(Chicks!$P:$P,Chicks!$F:$F,A382))</f>
        <v/>
      </c>
      <c r="N382" s="6" t="str">
        <f t="shared" si="2"/>
        <v/>
      </c>
    </row>
    <row r="383" spans="1:14" ht="14.25" customHeight="1" x14ac:dyDescent="0.3">
      <c r="A383" s="4"/>
      <c r="B383" s="4"/>
      <c r="C383" s="4"/>
      <c r="D383" s="4"/>
      <c r="E383" s="4"/>
      <c r="F383" s="6" t="str">
        <f>IF(A383="","",COUNTIF(Chicks!$F:$F,A383))</f>
        <v/>
      </c>
      <c r="G383" s="6" t="str">
        <f>IF(A383="","",COUNTIFS(Chicks!$F:$F,A383,Chicks!$I:$I,"Yes"))</f>
        <v/>
      </c>
      <c r="H383" s="6" t="str">
        <f>IF(A383="","",SUMIFS(Chicks!$J:$J,Chicks!$F:$F,A383))</f>
        <v/>
      </c>
      <c r="I383" s="6" t="str">
        <f>IF(A383="","",COUNTIFS(Chicks!$F:$F,A383,Chicks!$I:$I,"No"))</f>
        <v/>
      </c>
      <c r="J383" s="6" t="str">
        <f>IF(A383="","",IFERROR(AVERAGEIF(Chicks!$F:$F,A383,Chicks!$M:$M),""))</f>
        <v/>
      </c>
      <c r="K383" s="6" t="str">
        <f>IF(A383="","",SUMIFS(Chicks!$N:$N,Chicks!$F:$F,A383))</f>
        <v/>
      </c>
      <c r="L383" s="6" t="str">
        <f>IF(A383="","",SUMIFS(Chicks!$O:$O,Chicks!$F:$F,A383))</f>
        <v/>
      </c>
      <c r="M383" s="6" t="str">
        <f>IF(A383="","",SUMIFS(Chicks!$P:$P,Chicks!$F:$F,A383))</f>
        <v/>
      </c>
      <c r="N383" s="6" t="str">
        <f t="shared" si="2"/>
        <v/>
      </c>
    </row>
    <row r="384" spans="1:14" ht="14.25" customHeight="1" x14ac:dyDescent="0.3">
      <c r="A384" s="4"/>
      <c r="B384" s="4"/>
      <c r="C384" s="4"/>
      <c r="D384" s="4"/>
      <c r="E384" s="4"/>
      <c r="F384" s="6" t="str">
        <f>IF(A384="","",COUNTIF(Chicks!$F:$F,A384))</f>
        <v/>
      </c>
      <c r="G384" s="6" t="str">
        <f>IF(A384="","",COUNTIFS(Chicks!$F:$F,A384,Chicks!$I:$I,"Yes"))</f>
        <v/>
      </c>
      <c r="H384" s="6" t="str">
        <f>IF(A384="","",SUMIFS(Chicks!$J:$J,Chicks!$F:$F,A384))</f>
        <v/>
      </c>
      <c r="I384" s="6" t="str">
        <f>IF(A384="","",COUNTIFS(Chicks!$F:$F,A384,Chicks!$I:$I,"No"))</f>
        <v/>
      </c>
      <c r="J384" s="6" t="str">
        <f>IF(A384="","",IFERROR(AVERAGEIF(Chicks!$F:$F,A384,Chicks!$M:$M),""))</f>
        <v/>
      </c>
      <c r="K384" s="6" t="str">
        <f>IF(A384="","",SUMIFS(Chicks!$N:$N,Chicks!$F:$F,A384))</f>
        <v/>
      </c>
      <c r="L384" s="6" t="str">
        <f>IF(A384="","",SUMIFS(Chicks!$O:$O,Chicks!$F:$F,A384))</f>
        <v/>
      </c>
      <c r="M384" s="6" t="str">
        <f>IF(A384="","",SUMIFS(Chicks!$P:$P,Chicks!$F:$F,A384))</f>
        <v/>
      </c>
      <c r="N384" s="6" t="str">
        <f t="shared" si="2"/>
        <v/>
      </c>
    </row>
    <row r="385" spans="1:14" ht="14.25" customHeight="1" x14ac:dyDescent="0.3">
      <c r="A385" s="4"/>
      <c r="B385" s="4"/>
      <c r="C385" s="4"/>
      <c r="D385" s="4"/>
      <c r="E385" s="4"/>
      <c r="F385" s="6" t="str">
        <f>IF(A385="","",COUNTIF(Chicks!$F:$F,A385))</f>
        <v/>
      </c>
      <c r="G385" s="6" t="str">
        <f>IF(A385="","",COUNTIFS(Chicks!$F:$F,A385,Chicks!$I:$I,"Yes"))</f>
        <v/>
      </c>
      <c r="H385" s="6" t="str">
        <f>IF(A385="","",SUMIFS(Chicks!$J:$J,Chicks!$F:$F,A385))</f>
        <v/>
      </c>
      <c r="I385" s="6" t="str">
        <f>IF(A385="","",COUNTIFS(Chicks!$F:$F,A385,Chicks!$I:$I,"No"))</f>
        <v/>
      </c>
      <c r="J385" s="6" t="str">
        <f>IF(A385="","",IFERROR(AVERAGEIF(Chicks!$F:$F,A385,Chicks!$M:$M),""))</f>
        <v/>
      </c>
      <c r="K385" s="6" t="str">
        <f>IF(A385="","",SUMIFS(Chicks!$N:$N,Chicks!$F:$F,A385))</f>
        <v/>
      </c>
      <c r="L385" s="6" t="str">
        <f>IF(A385="","",SUMIFS(Chicks!$O:$O,Chicks!$F:$F,A385))</f>
        <v/>
      </c>
      <c r="M385" s="6" t="str">
        <f>IF(A385="","",SUMIFS(Chicks!$P:$P,Chicks!$F:$F,A385))</f>
        <v/>
      </c>
      <c r="N385" s="6" t="str">
        <f t="shared" si="2"/>
        <v/>
      </c>
    </row>
    <row r="386" spans="1:14" ht="14.25" customHeight="1" x14ac:dyDescent="0.3">
      <c r="A386" s="4"/>
      <c r="B386" s="4"/>
      <c r="C386" s="4"/>
      <c r="D386" s="4"/>
      <c r="E386" s="4"/>
      <c r="F386" s="6" t="str">
        <f>IF(A386="","",COUNTIF(Chicks!$F:$F,A386))</f>
        <v/>
      </c>
      <c r="G386" s="6" t="str">
        <f>IF(A386="","",COUNTIFS(Chicks!$F:$F,A386,Chicks!$I:$I,"Yes"))</f>
        <v/>
      </c>
      <c r="H386" s="6" t="str">
        <f>IF(A386="","",SUMIFS(Chicks!$J:$J,Chicks!$F:$F,A386))</f>
        <v/>
      </c>
      <c r="I386" s="6" t="str">
        <f>IF(A386="","",COUNTIFS(Chicks!$F:$F,A386,Chicks!$I:$I,"No"))</f>
        <v/>
      </c>
      <c r="J386" s="6" t="str">
        <f>IF(A386="","",IFERROR(AVERAGEIF(Chicks!$F:$F,A386,Chicks!$M:$M),""))</f>
        <v/>
      </c>
      <c r="K386" s="6" t="str">
        <f>IF(A386="","",SUMIFS(Chicks!$N:$N,Chicks!$F:$F,A386))</f>
        <v/>
      </c>
      <c r="L386" s="6" t="str">
        <f>IF(A386="","",SUMIFS(Chicks!$O:$O,Chicks!$F:$F,A386))</f>
        <v/>
      </c>
      <c r="M386" s="6" t="str">
        <f>IF(A386="","",SUMIFS(Chicks!$P:$P,Chicks!$F:$F,A386))</f>
        <v/>
      </c>
      <c r="N386" s="6" t="str">
        <f t="shared" si="2"/>
        <v/>
      </c>
    </row>
    <row r="387" spans="1:14" ht="14.25" customHeight="1" x14ac:dyDescent="0.3">
      <c r="A387" s="4"/>
      <c r="B387" s="4"/>
      <c r="C387" s="4"/>
      <c r="D387" s="4"/>
      <c r="E387" s="4"/>
      <c r="F387" s="6" t="str">
        <f>IF(A387="","",COUNTIF(Chicks!$F:$F,A387))</f>
        <v/>
      </c>
      <c r="G387" s="6" t="str">
        <f>IF(A387="","",COUNTIFS(Chicks!$F:$F,A387,Chicks!$I:$I,"Yes"))</f>
        <v/>
      </c>
      <c r="H387" s="6" t="str">
        <f>IF(A387="","",SUMIFS(Chicks!$J:$J,Chicks!$F:$F,A387))</f>
        <v/>
      </c>
      <c r="I387" s="6" t="str">
        <f>IF(A387="","",COUNTIFS(Chicks!$F:$F,A387,Chicks!$I:$I,"No"))</f>
        <v/>
      </c>
      <c r="J387" s="6" t="str">
        <f>IF(A387="","",IFERROR(AVERAGEIF(Chicks!$F:$F,A387,Chicks!$M:$M),""))</f>
        <v/>
      </c>
      <c r="K387" s="6" t="str">
        <f>IF(A387="","",SUMIFS(Chicks!$N:$N,Chicks!$F:$F,A387))</f>
        <v/>
      </c>
      <c r="L387" s="6" t="str">
        <f>IF(A387="","",SUMIFS(Chicks!$O:$O,Chicks!$F:$F,A387))</f>
        <v/>
      </c>
      <c r="M387" s="6" t="str">
        <f>IF(A387="","",SUMIFS(Chicks!$P:$P,Chicks!$F:$F,A387))</f>
        <v/>
      </c>
      <c r="N387" s="6" t="str">
        <f t="shared" si="2"/>
        <v/>
      </c>
    </row>
    <row r="388" spans="1:14" ht="14.25" customHeight="1" x14ac:dyDescent="0.3">
      <c r="A388" s="4"/>
      <c r="B388" s="4"/>
      <c r="C388" s="4"/>
      <c r="D388" s="4"/>
      <c r="E388" s="4"/>
      <c r="F388" s="6" t="str">
        <f>IF(A388="","",COUNTIF(Chicks!$F:$F,A388))</f>
        <v/>
      </c>
      <c r="G388" s="6" t="str">
        <f>IF(A388="","",COUNTIFS(Chicks!$F:$F,A388,Chicks!$I:$I,"Yes"))</f>
        <v/>
      </c>
      <c r="H388" s="6" t="str">
        <f>IF(A388="","",SUMIFS(Chicks!$J:$J,Chicks!$F:$F,A388))</f>
        <v/>
      </c>
      <c r="I388" s="6" t="str">
        <f>IF(A388="","",COUNTIFS(Chicks!$F:$F,A388,Chicks!$I:$I,"No"))</f>
        <v/>
      </c>
      <c r="J388" s="6" t="str">
        <f>IF(A388="","",IFERROR(AVERAGEIF(Chicks!$F:$F,A388,Chicks!$M:$M),""))</f>
        <v/>
      </c>
      <c r="K388" s="6" t="str">
        <f>IF(A388="","",SUMIFS(Chicks!$N:$N,Chicks!$F:$F,A388))</f>
        <v/>
      </c>
      <c r="L388" s="6" t="str">
        <f>IF(A388="","",SUMIFS(Chicks!$O:$O,Chicks!$F:$F,A388))</f>
        <v/>
      </c>
      <c r="M388" s="6" t="str">
        <f>IF(A388="","",SUMIFS(Chicks!$P:$P,Chicks!$F:$F,A388))</f>
        <v/>
      </c>
      <c r="N388" s="6" t="str">
        <f t="shared" si="2"/>
        <v/>
      </c>
    </row>
    <row r="389" spans="1:14" ht="14.25" customHeight="1" x14ac:dyDescent="0.3">
      <c r="A389" s="4"/>
      <c r="B389" s="4"/>
      <c r="C389" s="4"/>
      <c r="D389" s="4"/>
      <c r="E389" s="4"/>
      <c r="F389" s="6" t="str">
        <f>IF(A389="","",COUNTIF(Chicks!$F:$F,A389))</f>
        <v/>
      </c>
      <c r="G389" s="6" t="str">
        <f>IF(A389="","",COUNTIFS(Chicks!$F:$F,A389,Chicks!$I:$I,"Yes"))</f>
        <v/>
      </c>
      <c r="H389" s="6" t="str">
        <f>IF(A389="","",SUMIFS(Chicks!$J:$J,Chicks!$F:$F,A389))</f>
        <v/>
      </c>
      <c r="I389" s="6" t="str">
        <f>IF(A389="","",COUNTIFS(Chicks!$F:$F,A389,Chicks!$I:$I,"No"))</f>
        <v/>
      </c>
      <c r="J389" s="6" t="str">
        <f>IF(A389="","",IFERROR(AVERAGEIF(Chicks!$F:$F,A389,Chicks!$M:$M),""))</f>
        <v/>
      </c>
      <c r="K389" s="6" t="str">
        <f>IF(A389="","",SUMIFS(Chicks!$N:$N,Chicks!$F:$F,A389))</f>
        <v/>
      </c>
      <c r="L389" s="6" t="str">
        <f>IF(A389="","",SUMIFS(Chicks!$O:$O,Chicks!$F:$F,A389))</f>
        <v/>
      </c>
      <c r="M389" s="6" t="str">
        <f>IF(A389="","",SUMIFS(Chicks!$P:$P,Chicks!$F:$F,A389))</f>
        <v/>
      </c>
      <c r="N389" s="6" t="str">
        <f t="shared" si="2"/>
        <v/>
      </c>
    </row>
    <row r="390" spans="1:14" ht="14.25" customHeight="1" x14ac:dyDescent="0.3">
      <c r="A390" s="4"/>
      <c r="B390" s="4"/>
      <c r="C390" s="4"/>
      <c r="D390" s="4"/>
      <c r="E390" s="4"/>
      <c r="F390" s="6" t="str">
        <f>IF(A390="","",COUNTIF(Chicks!$F:$F,A390))</f>
        <v/>
      </c>
      <c r="G390" s="6" t="str">
        <f>IF(A390="","",COUNTIFS(Chicks!$F:$F,A390,Chicks!$I:$I,"Yes"))</f>
        <v/>
      </c>
      <c r="H390" s="6" t="str">
        <f>IF(A390="","",SUMIFS(Chicks!$J:$J,Chicks!$F:$F,A390))</f>
        <v/>
      </c>
      <c r="I390" s="6" t="str">
        <f>IF(A390="","",COUNTIFS(Chicks!$F:$F,A390,Chicks!$I:$I,"No"))</f>
        <v/>
      </c>
      <c r="J390" s="6" t="str">
        <f>IF(A390="","",IFERROR(AVERAGEIF(Chicks!$F:$F,A390,Chicks!$M:$M),""))</f>
        <v/>
      </c>
      <c r="K390" s="6" t="str">
        <f>IF(A390="","",SUMIFS(Chicks!$N:$N,Chicks!$F:$F,A390))</f>
        <v/>
      </c>
      <c r="L390" s="6" t="str">
        <f>IF(A390="","",SUMIFS(Chicks!$O:$O,Chicks!$F:$F,A390))</f>
        <v/>
      </c>
      <c r="M390" s="6" t="str">
        <f>IF(A390="","",SUMIFS(Chicks!$P:$P,Chicks!$F:$F,A390))</f>
        <v/>
      </c>
      <c r="N390" s="6" t="str">
        <f t="shared" si="2"/>
        <v/>
      </c>
    </row>
    <row r="391" spans="1:14" ht="14.25" customHeight="1" x14ac:dyDescent="0.3">
      <c r="A391" s="4"/>
      <c r="B391" s="4"/>
      <c r="C391" s="4"/>
      <c r="D391" s="4"/>
      <c r="E391" s="4"/>
      <c r="F391" s="6" t="str">
        <f>IF(A391="","",COUNTIF(Chicks!$F:$F,A391))</f>
        <v/>
      </c>
      <c r="G391" s="6" t="str">
        <f>IF(A391="","",COUNTIFS(Chicks!$F:$F,A391,Chicks!$I:$I,"Yes"))</f>
        <v/>
      </c>
      <c r="H391" s="6" t="str">
        <f>IF(A391="","",SUMIFS(Chicks!$J:$J,Chicks!$F:$F,A391))</f>
        <v/>
      </c>
      <c r="I391" s="6" t="str">
        <f>IF(A391="","",COUNTIFS(Chicks!$F:$F,A391,Chicks!$I:$I,"No"))</f>
        <v/>
      </c>
      <c r="J391" s="6" t="str">
        <f>IF(A391="","",IFERROR(AVERAGEIF(Chicks!$F:$F,A391,Chicks!$M:$M),""))</f>
        <v/>
      </c>
      <c r="K391" s="6" t="str">
        <f>IF(A391="","",SUMIFS(Chicks!$N:$N,Chicks!$F:$F,A391))</f>
        <v/>
      </c>
      <c r="L391" s="6" t="str">
        <f>IF(A391="","",SUMIFS(Chicks!$O:$O,Chicks!$F:$F,A391))</f>
        <v/>
      </c>
      <c r="M391" s="6" t="str">
        <f>IF(A391="","",SUMIFS(Chicks!$P:$P,Chicks!$F:$F,A391))</f>
        <v/>
      </c>
      <c r="N391" s="6" t="str">
        <f t="shared" si="2"/>
        <v/>
      </c>
    </row>
    <row r="392" spans="1:14" ht="14.25" customHeight="1" x14ac:dyDescent="0.3">
      <c r="A392" s="4"/>
      <c r="B392" s="4"/>
      <c r="C392" s="4"/>
      <c r="D392" s="4"/>
      <c r="E392" s="4"/>
      <c r="F392" s="6" t="str">
        <f>IF(A392="","",COUNTIF(Chicks!$F:$F,A392))</f>
        <v/>
      </c>
      <c r="G392" s="6" t="str">
        <f>IF(A392="","",COUNTIFS(Chicks!$F:$F,A392,Chicks!$I:$I,"Yes"))</f>
        <v/>
      </c>
      <c r="H392" s="6" t="str">
        <f>IF(A392="","",SUMIFS(Chicks!$J:$J,Chicks!$F:$F,A392))</f>
        <v/>
      </c>
      <c r="I392" s="6" t="str">
        <f>IF(A392="","",COUNTIFS(Chicks!$F:$F,A392,Chicks!$I:$I,"No"))</f>
        <v/>
      </c>
      <c r="J392" s="6" t="str">
        <f>IF(A392="","",IFERROR(AVERAGEIF(Chicks!$F:$F,A392,Chicks!$M:$M),""))</f>
        <v/>
      </c>
      <c r="K392" s="6" t="str">
        <f>IF(A392="","",SUMIFS(Chicks!$N:$N,Chicks!$F:$F,A392))</f>
        <v/>
      </c>
      <c r="L392" s="6" t="str">
        <f>IF(A392="","",SUMIFS(Chicks!$O:$O,Chicks!$F:$F,A392))</f>
        <v/>
      </c>
      <c r="M392" s="6" t="str">
        <f>IF(A392="","",SUMIFS(Chicks!$P:$P,Chicks!$F:$F,A392))</f>
        <v/>
      </c>
      <c r="N392" s="6" t="str">
        <f t="shared" si="2"/>
        <v/>
      </c>
    </row>
    <row r="393" spans="1:14" ht="14.25" customHeight="1" x14ac:dyDescent="0.3">
      <c r="A393" s="4"/>
      <c r="B393" s="4"/>
      <c r="C393" s="4"/>
      <c r="D393" s="4"/>
      <c r="E393" s="4"/>
      <c r="F393" s="6" t="str">
        <f>IF(A393="","",COUNTIF(Chicks!$F:$F,A393))</f>
        <v/>
      </c>
      <c r="G393" s="6" t="str">
        <f>IF(A393="","",COUNTIFS(Chicks!$F:$F,A393,Chicks!$I:$I,"Yes"))</f>
        <v/>
      </c>
      <c r="H393" s="6" t="str">
        <f>IF(A393="","",SUMIFS(Chicks!$J:$J,Chicks!$F:$F,A393))</f>
        <v/>
      </c>
      <c r="I393" s="6" t="str">
        <f>IF(A393="","",COUNTIFS(Chicks!$F:$F,A393,Chicks!$I:$I,"No"))</f>
        <v/>
      </c>
      <c r="J393" s="6" t="str">
        <f>IF(A393="","",IFERROR(AVERAGEIF(Chicks!$F:$F,A393,Chicks!$M:$M),""))</f>
        <v/>
      </c>
      <c r="K393" s="6" t="str">
        <f>IF(A393="","",SUMIFS(Chicks!$N:$N,Chicks!$F:$F,A393))</f>
        <v/>
      </c>
      <c r="L393" s="6" t="str">
        <f>IF(A393="","",SUMIFS(Chicks!$O:$O,Chicks!$F:$F,A393))</f>
        <v/>
      </c>
      <c r="M393" s="6" t="str">
        <f>IF(A393="","",SUMIFS(Chicks!$P:$P,Chicks!$F:$F,A393))</f>
        <v/>
      </c>
      <c r="N393" s="6" t="str">
        <f t="shared" si="2"/>
        <v/>
      </c>
    </row>
    <row r="394" spans="1:14" ht="14.25" customHeight="1" x14ac:dyDescent="0.3">
      <c r="A394" s="4"/>
      <c r="B394" s="4"/>
      <c r="C394" s="4"/>
      <c r="D394" s="4"/>
      <c r="E394" s="4"/>
      <c r="F394" s="6" t="str">
        <f>IF(A394="","",COUNTIF(Chicks!$F:$F,A394))</f>
        <v/>
      </c>
      <c r="G394" s="6" t="str">
        <f>IF(A394="","",COUNTIFS(Chicks!$F:$F,A394,Chicks!$I:$I,"Yes"))</f>
        <v/>
      </c>
      <c r="H394" s="6" t="str">
        <f>IF(A394="","",SUMIFS(Chicks!$J:$J,Chicks!$F:$F,A394))</f>
        <v/>
      </c>
      <c r="I394" s="6" t="str">
        <f>IF(A394="","",COUNTIFS(Chicks!$F:$F,A394,Chicks!$I:$I,"No"))</f>
        <v/>
      </c>
      <c r="J394" s="6" t="str">
        <f>IF(A394="","",IFERROR(AVERAGEIF(Chicks!$F:$F,A394,Chicks!$M:$M),""))</f>
        <v/>
      </c>
      <c r="K394" s="6" t="str">
        <f>IF(A394="","",SUMIFS(Chicks!$N:$N,Chicks!$F:$F,A394))</f>
        <v/>
      </c>
      <c r="L394" s="6" t="str">
        <f>IF(A394="","",SUMIFS(Chicks!$O:$O,Chicks!$F:$F,A394))</f>
        <v/>
      </c>
      <c r="M394" s="6" t="str">
        <f>IF(A394="","",SUMIFS(Chicks!$P:$P,Chicks!$F:$F,A394))</f>
        <v/>
      </c>
      <c r="N394" s="6" t="str">
        <f t="shared" si="2"/>
        <v/>
      </c>
    </row>
    <row r="395" spans="1:14" ht="14.25" customHeight="1" x14ac:dyDescent="0.3">
      <c r="A395" s="4"/>
      <c r="B395" s="4"/>
      <c r="C395" s="4"/>
      <c r="D395" s="4"/>
      <c r="E395" s="4"/>
      <c r="F395" s="6" t="str">
        <f>IF(A395="","",COUNTIF(Chicks!$F:$F,A395))</f>
        <v/>
      </c>
      <c r="G395" s="6" t="str">
        <f>IF(A395="","",COUNTIFS(Chicks!$F:$F,A395,Chicks!$I:$I,"Yes"))</f>
        <v/>
      </c>
      <c r="H395" s="6" t="str">
        <f>IF(A395="","",SUMIFS(Chicks!$J:$J,Chicks!$F:$F,A395))</f>
        <v/>
      </c>
      <c r="I395" s="6" t="str">
        <f>IF(A395="","",COUNTIFS(Chicks!$F:$F,A395,Chicks!$I:$I,"No"))</f>
        <v/>
      </c>
      <c r="J395" s="6" t="str">
        <f>IF(A395="","",IFERROR(AVERAGEIF(Chicks!$F:$F,A395,Chicks!$M:$M),""))</f>
        <v/>
      </c>
      <c r="K395" s="6" t="str">
        <f>IF(A395="","",SUMIFS(Chicks!$N:$N,Chicks!$F:$F,A395))</f>
        <v/>
      </c>
      <c r="L395" s="6" t="str">
        <f>IF(A395="","",SUMIFS(Chicks!$O:$O,Chicks!$F:$F,A395))</f>
        <v/>
      </c>
      <c r="M395" s="6" t="str">
        <f>IF(A395="","",SUMIFS(Chicks!$P:$P,Chicks!$F:$F,A395))</f>
        <v/>
      </c>
      <c r="N395" s="6" t="str">
        <f t="shared" si="2"/>
        <v/>
      </c>
    </row>
    <row r="396" spans="1:14" ht="14.25" customHeight="1" x14ac:dyDescent="0.3">
      <c r="A396" s="4"/>
      <c r="B396" s="4"/>
      <c r="C396" s="4"/>
      <c r="D396" s="4"/>
      <c r="E396" s="4"/>
      <c r="F396" s="6" t="str">
        <f>IF(A396="","",COUNTIF(Chicks!$F:$F,A396))</f>
        <v/>
      </c>
      <c r="G396" s="6" t="str">
        <f>IF(A396="","",COUNTIFS(Chicks!$F:$F,A396,Chicks!$I:$I,"Yes"))</f>
        <v/>
      </c>
      <c r="H396" s="6" t="str">
        <f>IF(A396="","",SUMIFS(Chicks!$J:$J,Chicks!$F:$F,A396))</f>
        <v/>
      </c>
      <c r="I396" s="6" t="str">
        <f>IF(A396="","",COUNTIFS(Chicks!$F:$F,A396,Chicks!$I:$I,"No"))</f>
        <v/>
      </c>
      <c r="J396" s="6" t="str">
        <f>IF(A396="","",IFERROR(AVERAGEIF(Chicks!$F:$F,A396,Chicks!$M:$M),""))</f>
        <v/>
      </c>
      <c r="K396" s="6" t="str">
        <f>IF(A396="","",SUMIFS(Chicks!$N:$N,Chicks!$F:$F,A396))</f>
        <v/>
      </c>
      <c r="L396" s="6" t="str">
        <f>IF(A396="","",SUMIFS(Chicks!$O:$O,Chicks!$F:$F,A396))</f>
        <v/>
      </c>
      <c r="M396" s="6" t="str">
        <f>IF(A396="","",SUMIFS(Chicks!$P:$P,Chicks!$F:$F,A396))</f>
        <v/>
      </c>
      <c r="N396" s="6" t="str">
        <f t="shared" si="2"/>
        <v/>
      </c>
    </row>
    <row r="397" spans="1:14" ht="14.25" customHeight="1" x14ac:dyDescent="0.3">
      <c r="A397" s="4"/>
      <c r="B397" s="4"/>
      <c r="C397" s="4"/>
      <c r="D397" s="4"/>
      <c r="E397" s="4"/>
      <c r="F397" s="6" t="str">
        <f>IF(A397="","",COUNTIF(Chicks!$F:$F,A397))</f>
        <v/>
      </c>
      <c r="G397" s="6" t="str">
        <f>IF(A397="","",COUNTIFS(Chicks!$F:$F,A397,Chicks!$I:$I,"Yes"))</f>
        <v/>
      </c>
      <c r="H397" s="6" t="str">
        <f>IF(A397="","",SUMIFS(Chicks!$J:$J,Chicks!$F:$F,A397))</f>
        <v/>
      </c>
      <c r="I397" s="6" t="str">
        <f>IF(A397="","",COUNTIFS(Chicks!$F:$F,A397,Chicks!$I:$I,"No"))</f>
        <v/>
      </c>
      <c r="J397" s="6" t="str">
        <f>IF(A397="","",IFERROR(AVERAGEIF(Chicks!$F:$F,A397,Chicks!$M:$M),""))</f>
        <v/>
      </c>
      <c r="K397" s="6" t="str">
        <f>IF(A397="","",SUMIFS(Chicks!$N:$N,Chicks!$F:$F,A397))</f>
        <v/>
      </c>
      <c r="L397" s="6" t="str">
        <f>IF(A397="","",SUMIFS(Chicks!$O:$O,Chicks!$F:$F,A397))</f>
        <v/>
      </c>
      <c r="M397" s="6" t="str">
        <f>IF(A397="","",SUMIFS(Chicks!$P:$P,Chicks!$F:$F,A397))</f>
        <v/>
      </c>
      <c r="N397" s="6" t="str">
        <f t="shared" si="2"/>
        <v/>
      </c>
    </row>
    <row r="398" spans="1:14" ht="14.25" customHeight="1" x14ac:dyDescent="0.3">
      <c r="A398" s="4"/>
      <c r="B398" s="4"/>
      <c r="C398" s="4"/>
      <c r="D398" s="4"/>
      <c r="E398" s="4"/>
      <c r="F398" s="6" t="str">
        <f>IF(A398="","",COUNTIF(Chicks!$F:$F,A398))</f>
        <v/>
      </c>
      <c r="G398" s="6" t="str">
        <f>IF(A398="","",COUNTIFS(Chicks!$F:$F,A398,Chicks!$I:$I,"Yes"))</f>
        <v/>
      </c>
      <c r="H398" s="6" t="str">
        <f>IF(A398="","",SUMIFS(Chicks!$J:$J,Chicks!$F:$F,A398))</f>
        <v/>
      </c>
      <c r="I398" s="6" t="str">
        <f>IF(A398="","",COUNTIFS(Chicks!$F:$F,A398,Chicks!$I:$I,"No"))</f>
        <v/>
      </c>
      <c r="J398" s="6" t="str">
        <f>IF(A398="","",IFERROR(AVERAGEIF(Chicks!$F:$F,A398,Chicks!$M:$M),""))</f>
        <v/>
      </c>
      <c r="K398" s="6" t="str">
        <f>IF(A398="","",SUMIFS(Chicks!$N:$N,Chicks!$F:$F,A398))</f>
        <v/>
      </c>
      <c r="L398" s="6" t="str">
        <f>IF(A398="","",SUMIFS(Chicks!$O:$O,Chicks!$F:$F,A398))</f>
        <v/>
      </c>
      <c r="M398" s="6" t="str">
        <f>IF(A398="","",SUMIFS(Chicks!$P:$P,Chicks!$F:$F,A398))</f>
        <v/>
      </c>
      <c r="N398" s="6" t="str">
        <f t="shared" si="2"/>
        <v/>
      </c>
    </row>
    <row r="399" spans="1:14" ht="14.25" customHeight="1" x14ac:dyDescent="0.3">
      <c r="A399" s="4"/>
      <c r="B399" s="4"/>
      <c r="C399" s="4"/>
      <c r="D399" s="4"/>
      <c r="E399" s="4"/>
      <c r="F399" s="6" t="str">
        <f>IF(A399="","",COUNTIF(Chicks!$F:$F,A399))</f>
        <v/>
      </c>
      <c r="G399" s="6" t="str">
        <f>IF(A399="","",COUNTIFS(Chicks!$F:$F,A399,Chicks!$I:$I,"Yes"))</f>
        <v/>
      </c>
      <c r="H399" s="6" t="str">
        <f>IF(A399="","",SUMIFS(Chicks!$J:$J,Chicks!$F:$F,A399))</f>
        <v/>
      </c>
      <c r="I399" s="6" t="str">
        <f>IF(A399="","",COUNTIFS(Chicks!$F:$F,A399,Chicks!$I:$I,"No"))</f>
        <v/>
      </c>
      <c r="J399" s="6" t="str">
        <f>IF(A399="","",IFERROR(AVERAGEIF(Chicks!$F:$F,A399,Chicks!$M:$M),""))</f>
        <v/>
      </c>
      <c r="K399" s="6" t="str">
        <f>IF(A399="","",SUMIFS(Chicks!$N:$N,Chicks!$F:$F,A399))</f>
        <v/>
      </c>
      <c r="L399" s="6" t="str">
        <f>IF(A399="","",SUMIFS(Chicks!$O:$O,Chicks!$F:$F,A399))</f>
        <v/>
      </c>
      <c r="M399" s="6" t="str">
        <f>IF(A399="","",SUMIFS(Chicks!$P:$P,Chicks!$F:$F,A399))</f>
        <v/>
      </c>
      <c r="N399" s="6" t="str">
        <f t="shared" si="2"/>
        <v/>
      </c>
    </row>
    <row r="400" spans="1:14" ht="14.25" customHeight="1" x14ac:dyDescent="0.3">
      <c r="A400" s="4"/>
      <c r="B400" s="4"/>
      <c r="C400" s="4"/>
      <c r="D400" s="4"/>
      <c r="E400" s="4"/>
      <c r="F400" s="6" t="str">
        <f>IF(A400="","",COUNTIF(Chicks!$F:$F,A400))</f>
        <v/>
      </c>
      <c r="G400" s="6" t="str">
        <f>IF(A400="","",COUNTIFS(Chicks!$F:$F,A400,Chicks!$I:$I,"Yes"))</f>
        <v/>
      </c>
      <c r="H400" s="6" t="str">
        <f>IF(A400="","",SUMIFS(Chicks!$J:$J,Chicks!$F:$F,A400))</f>
        <v/>
      </c>
      <c r="I400" s="6" t="str">
        <f>IF(A400="","",COUNTIFS(Chicks!$F:$F,A400,Chicks!$I:$I,"No"))</f>
        <v/>
      </c>
      <c r="J400" s="6" t="str">
        <f>IF(A400="","",IFERROR(AVERAGEIF(Chicks!$F:$F,A400,Chicks!$M:$M),""))</f>
        <v/>
      </c>
      <c r="K400" s="6" t="str">
        <f>IF(A400="","",SUMIFS(Chicks!$N:$N,Chicks!$F:$F,A400))</f>
        <v/>
      </c>
      <c r="L400" s="6" t="str">
        <f>IF(A400="","",SUMIFS(Chicks!$O:$O,Chicks!$F:$F,A400))</f>
        <v/>
      </c>
      <c r="M400" s="6" t="str">
        <f>IF(A400="","",SUMIFS(Chicks!$P:$P,Chicks!$F:$F,A400))</f>
        <v/>
      </c>
      <c r="N400" s="6" t="str">
        <f t="shared" si="2"/>
        <v/>
      </c>
    </row>
    <row r="401" spans="1:14" ht="14.25" customHeight="1" x14ac:dyDescent="0.3">
      <c r="A401" s="4"/>
      <c r="B401" s="4"/>
      <c r="C401" s="4"/>
      <c r="D401" s="4"/>
      <c r="E401" s="4"/>
      <c r="F401" s="6" t="str">
        <f>IF(A401="","",COUNTIF(Chicks!$F:$F,A401))</f>
        <v/>
      </c>
      <c r="G401" s="6" t="str">
        <f>IF(A401="","",COUNTIFS(Chicks!$F:$F,A401,Chicks!$I:$I,"Yes"))</f>
        <v/>
      </c>
      <c r="H401" s="6" t="str">
        <f>IF(A401="","",SUMIFS(Chicks!$J:$J,Chicks!$F:$F,A401))</f>
        <v/>
      </c>
      <c r="I401" s="6" t="str">
        <f>IF(A401="","",COUNTIFS(Chicks!$F:$F,A401,Chicks!$I:$I,"No"))</f>
        <v/>
      </c>
      <c r="J401" s="6" t="str">
        <f>IF(A401="","",IFERROR(AVERAGEIF(Chicks!$F:$F,A401,Chicks!$M:$M),""))</f>
        <v/>
      </c>
      <c r="K401" s="6" t="str">
        <f>IF(A401="","",SUMIFS(Chicks!$N:$N,Chicks!$F:$F,A401))</f>
        <v/>
      </c>
      <c r="L401" s="6" t="str">
        <f>IF(A401="","",SUMIFS(Chicks!$O:$O,Chicks!$F:$F,A401))</f>
        <v/>
      </c>
      <c r="M401" s="6" t="str">
        <f>IF(A401="","",SUMIFS(Chicks!$P:$P,Chicks!$F:$F,A401))</f>
        <v/>
      </c>
      <c r="N401" s="6" t="str">
        <f t="shared" si="2"/>
        <v/>
      </c>
    </row>
    <row r="402" spans="1:14" ht="14.25" customHeight="1" x14ac:dyDescent="0.3">
      <c r="A402" s="4"/>
      <c r="B402" s="4"/>
      <c r="C402" s="4"/>
      <c r="D402" s="4"/>
      <c r="E402" s="4"/>
      <c r="F402" s="6" t="str">
        <f>IF(A402="","",COUNTIF(Chicks!$F:$F,A402))</f>
        <v/>
      </c>
      <c r="G402" s="6" t="str">
        <f>IF(A402="","",COUNTIFS(Chicks!$F:$F,A402,Chicks!$I:$I,"Yes"))</f>
        <v/>
      </c>
      <c r="H402" s="6" t="str">
        <f>IF(A402="","",SUMIFS(Chicks!$J:$J,Chicks!$F:$F,A402))</f>
        <v/>
      </c>
      <c r="I402" s="6" t="str">
        <f>IF(A402="","",COUNTIFS(Chicks!$F:$F,A402,Chicks!$I:$I,"No"))</f>
        <v/>
      </c>
      <c r="J402" s="6" t="str">
        <f>IF(A402="","",IFERROR(AVERAGEIF(Chicks!$F:$F,A402,Chicks!$M:$M),""))</f>
        <v/>
      </c>
      <c r="K402" s="6" t="str">
        <f>IF(A402="","",SUMIFS(Chicks!$N:$N,Chicks!$F:$F,A402))</f>
        <v/>
      </c>
      <c r="L402" s="6" t="str">
        <f>IF(A402="","",SUMIFS(Chicks!$O:$O,Chicks!$F:$F,A402))</f>
        <v/>
      </c>
      <c r="M402" s="6" t="str">
        <f>IF(A402="","",SUMIFS(Chicks!$P:$P,Chicks!$F:$F,A402))</f>
        <v/>
      </c>
      <c r="N402" s="6" t="str">
        <f t="shared" si="2"/>
        <v/>
      </c>
    </row>
    <row r="403" spans="1:14" ht="14.25" customHeight="1" x14ac:dyDescent="0.3">
      <c r="A403" s="4"/>
      <c r="B403" s="4"/>
      <c r="C403" s="4"/>
      <c r="D403" s="4"/>
      <c r="E403" s="4"/>
      <c r="F403" s="6" t="str">
        <f>IF(A403="","",COUNTIF(Chicks!$F:$F,A403))</f>
        <v/>
      </c>
      <c r="G403" s="6" t="str">
        <f>IF(A403="","",COUNTIFS(Chicks!$F:$F,A403,Chicks!$I:$I,"Yes"))</f>
        <v/>
      </c>
      <c r="H403" s="6" t="str">
        <f>IF(A403="","",SUMIFS(Chicks!$J:$J,Chicks!$F:$F,A403))</f>
        <v/>
      </c>
      <c r="I403" s="6" t="str">
        <f>IF(A403="","",COUNTIFS(Chicks!$F:$F,A403,Chicks!$I:$I,"No"))</f>
        <v/>
      </c>
      <c r="J403" s="6" t="str">
        <f>IF(A403="","",IFERROR(AVERAGEIF(Chicks!$F:$F,A403,Chicks!$M:$M),""))</f>
        <v/>
      </c>
      <c r="K403" s="6" t="str">
        <f>IF(A403="","",SUMIFS(Chicks!$N:$N,Chicks!$F:$F,A403))</f>
        <v/>
      </c>
      <c r="L403" s="6" t="str">
        <f>IF(A403="","",SUMIFS(Chicks!$O:$O,Chicks!$F:$F,A403))</f>
        <v/>
      </c>
      <c r="M403" s="6" t="str">
        <f>IF(A403="","",SUMIFS(Chicks!$P:$P,Chicks!$F:$F,A403))</f>
        <v/>
      </c>
      <c r="N403" s="6" t="str">
        <f t="shared" si="2"/>
        <v/>
      </c>
    </row>
    <row r="404" spans="1:14" ht="14.25" customHeight="1" x14ac:dyDescent="0.3">
      <c r="A404" s="4"/>
      <c r="B404" s="4"/>
      <c r="C404" s="4"/>
      <c r="D404" s="4"/>
      <c r="E404" s="4"/>
      <c r="F404" s="6" t="str">
        <f>IF(A404="","",COUNTIF(Chicks!$F:$F,A404))</f>
        <v/>
      </c>
      <c r="G404" s="6" t="str">
        <f>IF(A404="","",COUNTIFS(Chicks!$F:$F,A404,Chicks!$I:$I,"Yes"))</f>
        <v/>
      </c>
      <c r="H404" s="6" t="str">
        <f>IF(A404="","",SUMIFS(Chicks!$J:$J,Chicks!$F:$F,A404))</f>
        <v/>
      </c>
      <c r="I404" s="6" t="str">
        <f>IF(A404="","",COUNTIFS(Chicks!$F:$F,A404,Chicks!$I:$I,"No"))</f>
        <v/>
      </c>
      <c r="J404" s="6" t="str">
        <f>IF(A404="","",IFERROR(AVERAGEIF(Chicks!$F:$F,A404,Chicks!$M:$M),""))</f>
        <v/>
      </c>
      <c r="K404" s="6" t="str">
        <f>IF(A404="","",SUMIFS(Chicks!$N:$N,Chicks!$F:$F,A404))</f>
        <v/>
      </c>
      <c r="L404" s="6" t="str">
        <f>IF(A404="","",SUMIFS(Chicks!$O:$O,Chicks!$F:$F,A404))</f>
        <v/>
      </c>
      <c r="M404" s="6" t="str">
        <f>IF(A404="","",SUMIFS(Chicks!$P:$P,Chicks!$F:$F,A404))</f>
        <v/>
      </c>
      <c r="N404" s="6" t="str">
        <f t="shared" si="2"/>
        <v/>
      </c>
    </row>
    <row r="405" spans="1:14" ht="14.25" customHeight="1" x14ac:dyDescent="0.3">
      <c r="A405" s="4"/>
      <c r="B405" s="4"/>
      <c r="C405" s="4"/>
      <c r="D405" s="4"/>
      <c r="E405" s="4"/>
      <c r="F405" s="6" t="str">
        <f>IF(A405="","",COUNTIF(Chicks!$F:$F,A405))</f>
        <v/>
      </c>
      <c r="G405" s="6" t="str">
        <f>IF(A405="","",COUNTIFS(Chicks!$F:$F,A405,Chicks!$I:$I,"Yes"))</f>
        <v/>
      </c>
      <c r="H405" s="6" t="str">
        <f>IF(A405="","",SUMIFS(Chicks!$J:$J,Chicks!$F:$F,A405))</f>
        <v/>
      </c>
      <c r="I405" s="6" t="str">
        <f>IF(A405="","",COUNTIFS(Chicks!$F:$F,A405,Chicks!$I:$I,"No"))</f>
        <v/>
      </c>
      <c r="J405" s="6" t="str">
        <f>IF(A405="","",IFERROR(AVERAGEIF(Chicks!$F:$F,A405,Chicks!$M:$M),""))</f>
        <v/>
      </c>
      <c r="K405" s="6" t="str">
        <f>IF(A405="","",SUMIFS(Chicks!$N:$N,Chicks!$F:$F,A405))</f>
        <v/>
      </c>
      <c r="L405" s="6" t="str">
        <f>IF(A405="","",SUMIFS(Chicks!$O:$O,Chicks!$F:$F,A405))</f>
        <v/>
      </c>
      <c r="M405" s="6" t="str">
        <f>IF(A405="","",SUMIFS(Chicks!$P:$P,Chicks!$F:$F,A405))</f>
        <v/>
      </c>
      <c r="N405" s="6" t="str">
        <f t="shared" si="2"/>
        <v/>
      </c>
    </row>
    <row r="406" spans="1:14" ht="14.25" customHeight="1" x14ac:dyDescent="0.3">
      <c r="A406" s="4"/>
      <c r="B406" s="4"/>
      <c r="C406" s="4"/>
      <c r="D406" s="4"/>
      <c r="E406" s="4"/>
      <c r="F406" s="6" t="str">
        <f>IF(A406="","",COUNTIF(Chicks!$F:$F,A406))</f>
        <v/>
      </c>
      <c r="G406" s="6" t="str">
        <f>IF(A406="","",COUNTIFS(Chicks!$F:$F,A406,Chicks!$I:$I,"Yes"))</f>
        <v/>
      </c>
      <c r="H406" s="6" t="str">
        <f>IF(A406="","",SUMIFS(Chicks!$J:$J,Chicks!$F:$F,A406))</f>
        <v/>
      </c>
      <c r="I406" s="6" t="str">
        <f>IF(A406="","",COUNTIFS(Chicks!$F:$F,A406,Chicks!$I:$I,"No"))</f>
        <v/>
      </c>
      <c r="J406" s="6" t="str">
        <f>IF(A406="","",IFERROR(AVERAGEIF(Chicks!$F:$F,A406,Chicks!$M:$M),""))</f>
        <v/>
      </c>
      <c r="K406" s="6" t="str">
        <f>IF(A406="","",SUMIFS(Chicks!$N:$N,Chicks!$F:$F,A406))</f>
        <v/>
      </c>
      <c r="L406" s="6" t="str">
        <f>IF(A406="","",SUMIFS(Chicks!$O:$O,Chicks!$F:$F,A406))</f>
        <v/>
      </c>
      <c r="M406" s="6" t="str">
        <f>IF(A406="","",SUMIFS(Chicks!$P:$P,Chicks!$F:$F,A406))</f>
        <v/>
      </c>
      <c r="N406" s="6" t="str">
        <f t="shared" si="2"/>
        <v/>
      </c>
    </row>
    <row r="407" spans="1:14" ht="14.25" customHeight="1" x14ac:dyDescent="0.3">
      <c r="A407" s="4"/>
      <c r="B407" s="4"/>
      <c r="C407" s="4"/>
      <c r="D407" s="4"/>
      <c r="E407" s="4"/>
      <c r="F407" s="6" t="str">
        <f>IF(A407="","",COUNTIF(Chicks!$F:$F,A407))</f>
        <v/>
      </c>
      <c r="G407" s="6" t="str">
        <f>IF(A407="","",COUNTIFS(Chicks!$F:$F,A407,Chicks!$I:$I,"Yes"))</f>
        <v/>
      </c>
      <c r="H407" s="6" t="str">
        <f>IF(A407="","",SUMIFS(Chicks!$J:$J,Chicks!$F:$F,A407))</f>
        <v/>
      </c>
      <c r="I407" s="6" t="str">
        <f>IF(A407="","",COUNTIFS(Chicks!$F:$F,A407,Chicks!$I:$I,"No"))</f>
        <v/>
      </c>
      <c r="J407" s="6" t="str">
        <f>IF(A407="","",IFERROR(AVERAGEIF(Chicks!$F:$F,A407,Chicks!$M:$M),""))</f>
        <v/>
      </c>
      <c r="K407" s="6" t="str">
        <f>IF(A407="","",SUMIFS(Chicks!$N:$N,Chicks!$F:$F,A407))</f>
        <v/>
      </c>
      <c r="L407" s="6" t="str">
        <f>IF(A407="","",SUMIFS(Chicks!$O:$O,Chicks!$F:$F,A407))</f>
        <v/>
      </c>
      <c r="M407" s="6" t="str">
        <f>IF(A407="","",SUMIFS(Chicks!$P:$P,Chicks!$F:$F,A407))</f>
        <v/>
      </c>
      <c r="N407" s="6" t="str">
        <f t="shared" si="2"/>
        <v/>
      </c>
    </row>
    <row r="408" spans="1:14" ht="14.25" customHeight="1" x14ac:dyDescent="0.3">
      <c r="A408" s="4"/>
      <c r="B408" s="4"/>
      <c r="C408" s="4"/>
      <c r="D408" s="4"/>
      <c r="E408" s="4"/>
      <c r="F408" s="6" t="str">
        <f>IF(A408="","",COUNTIF(Chicks!$F:$F,A408))</f>
        <v/>
      </c>
      <c r="G408" s="6" t="str">
        <f>IF(A408="","",COUNTIFS(Chicks!$F:$F,A408,Chicks!$I:$I,"Yes"))</f>
        <v/>
      </c>
      <c r="H408" s="6" t="str">
        <f>IF(A408="","",SUMIFS(Chicks!$J:$J,Chicks!$F:$F,A408))</f>
        <v/>
      </c>
      <c r="I408" s="6" t="str">
        <f>IF(A408="","",COUNTIFS(Chicks!$F:$F,A408,Chicks!$I:$I,"No"))</f>
        <v/>
      </c>
      <c r="J408" s="6" t="str">
        <f>IF(A408="","",IFERROR(AVERAGEIF(Chicks!$F:$F,A408,Chicks!$M:$M),""))</f>
        <v/>
      </c>
      <c r="K408" s="6" t="str">
        <f>IF(A408="","",SUMIFS(Chicks!$N:$N,Chicks!$F:$F,A408))</f>
        <v/>
      </c>
      <c r="L408" s="6" t="str">
        <f>IF(A408="","",SUMIFS(Chicks!$O:$O,Chicks!$F:$F,A408))</f>
        <v/>
      </c>
      <c r="M408" s="6" t="str">
        <f>IF(A408="","",SUMIFS(Chicks!$P:$P,Chicks!$F:$F,A408))</f>
        <v/>
      </c>
      <c r="N408" s="6" t="str">
        <f t="shared" si="2"/>
        <v/>
      </c>
    </row>
    <row r="409" spans="1:14" ht="14.25" customHeight="1" x14ac:dyDescent="0.3">
      <c r="A409" s="4"/>
      <c r="B409" s="4"/>
      <c r="C409" s="4"/>
      <c r="D409" s="4"/>
      <c r="E409" s="4"/>
      <c r="F409" s="6" t="str">
        <f>IF(A409="","",COUNTIF(Chicks!$F:$F,A409))</f>
        <v/>
      </c>
      <c r="G409" s="6" t="str">
        <f>IF(A409="","",COUNTIFS(Chicks!$F:$F,A409,Chicks!$I:$I,"Yes"))</f>
        <v/>
      </c>
      <c r="H409" s="6" t="str">
        <f>IF(A409="","",SUMIFS(Chicks!$J:$J,Chicks!$F:$F,A409))</f>
        <v/>
      </c>
      <c r="I409" s="6" t="str">
        <f>IF(A409="","",COUNTIFS(Chicks!$F:$F,A409,Chicks!$I:$I,"No"))</f>
        <v/>
      </c>
      <c r="J409" s="6" t="str">
        <f>IF(A409="","",IFERROR(AVERAGEIF(Chicks!$F:$F,A409,Chicks!$M:$M),""))</f>
        <v/>
      </c>
      <c r="K409" s="6" t="str">
        <f>IF(A409="","",SUMIFS(Chicks!$N:$N,Chicks!$F:$F,A409))</f>
        <v/>
      </c>
      <c r="L409" s="6" t="str">
        <f>IF(A409="","",SUMIFS(Chicks!$O:$O,Chicks!$F:$F,A409))</f>
        <v/>
      </c>
      <c r="M409" s="6" t="str">
        <f>IF(A409="","",SUMIFS(Chicks!$P:$P,Chicks!$F:$F,A409))</f>
        <v/>
      </c>
      <c r="N409" s="6" t="str">
        <f t="shared" si="2"/>
        <v/>
      </c>
    </row>
    <row r="410" spans="1:14" ht="14.25" customHeight="1" x14ac:dyDescent="0.3">
      <c r="A410" s="4"/>
      <c r="B410" s="4"/>
      <c r="C410" s="4"/>
      <c r="D410" s="4"/>
      <c r="E410" s="4"/>
      <c r="F410" s="6" t="str">
        <f>IF(A410="","",COUNTIF(Chicks!$F:$F,A410))</f>
        <v/>
      </c>
      <c r="G410" s="6" t="str">
        <f>IF(A410="","",COUNTIFS(Chicks!$F:$F,A410,Chicks!$I:$I,"Yes"))</f>
        <v/>
      </c>
      <c r="H410" s="6" t="str">
        <f>IF(A410="","",SUMIFS(Chicks!$J:$J,Chicks!$F:$F,A410))</f>
        <v/>
      </c>
      <c r="I410" s="6" t="str">
        <f>IF(A410="","",COUNTIFS(Chicks!$F:$F,A410,Chicks!$I:$I,"No"))</f>
        <v/>
      </c>
      <c r="J410" s="6" t="str">
        <f>IF(A410="","",IFERROR(AVERAGEIF(Chicks!$F:$F,A410,Chicks!$M:$M),""))</f>
        <v/>
      </c>
      <c r="K410" s="6" t="str">
        <f>IF(A410="","",SUMIFS(Chicks!$N:$N,Chicks!$F:$F,A410))</f>
        <v/>
      </c>
      <c r="L410" s="6" t="str">
        <f>IF(A410="","",SUMIFS(Chicks!$O:$O,Chicks!$F:$F,A410))</f>
        <v/>
      </c>
      <c r="M410" s="6" t="str">
        <f>IF(A410="","",SUMIFS(Chicks!$P:$P,Chicks!$F:$F,A410))</f>
        <v/>
      </c>
      <c r="N410" s="6" t="str">
        <f t="shared" si="2"/>
        <v/>
      </c>
    </row>
    <row r="411" spans="1:14" ht="14.25" customHeight="1" x14ac:dyDescent="0.3">
      <c r="A411" s="4"/>
      <c r="B411" s="4"/>
      <c r="C411" s="4"/>
      <c r="D411" s="4"/>
      <c r="E411" s="4"/>
      <c r="F411" s="6" t="str">
        <f>IF(A411="","",COUNTIF(Chicks!$F:$F,A411))</f>
        <v/>
      </c>
      <c r="G411" s="6" t="str">
        <f>IF(A411="","",COUNTIFS(Chicks!$F:$F,A411,Chicks!$I:$I,"Yes"))</f>
        <v/>
      </c>
      <c r="H411" s="6" t="str">
        <f>IF(A411="","",SUMIFS(Chicks!$J:$J,Chicks!$F:$F,A411))</f>
        <v/>
      </c>
      <c r="I411" s="6" t="str">
        <f>IF(A411="","",COUNTIFS(Chicks!$F:$F,A411,Chicks!$I:$I,"No"))</f>
        <v/>
      </c>
      <c r="J411" s="6" t="str">
        <f>IF(A411="","",IFERROR(AVERAGEIF(Chicks!$F:$F,A411,Chicks!$M:$M),""))</f>
        <v/>
      </c>
      <c r="K411" s="6" t="str">
        <f>IF(A411="","",SUMIFS(Chicks!$N:$N,Chicks!$F:$F,A411))</f>
        <v/>
      </c>
      <c r="L411" s="6" t="str">
        <f>IF(A411="","",SUMIFS(Chicks!$O:$O,Chicks!$F:$F,A411))</f>
        <v/>
      </c>
      <c r="M411" s="6" t="str">
        <f>IF(A411="","",SUMIFS(Chicks!$P:$P,Chicks!$F:$F,A411))</f>
        <v/>
      </c>
      <c r="N411" s="6" t="str">
        <f t="shared" si="2"/>
        <v/>
      </c>
    </row>
    <row r="412" spans="1:14" ht="14.25" customHeight="1" x14ac:dyDescent="0.3">
      <c r="A412" s="4"/>
      <c r="B412" s="4"/>
      <c r="C412" s="4"/>
      <c r="D412" s="4"/>
      <c r="E412" s="4"/>
      <c r="F412" s="6" t="str">
        <f>IF(A412="","",COUNTIF(Chicks!$F:$F,A412))</f>
        <v/>
      </c>
      <c r="G412" s="6" t="str">
        <f>IF(A412="","",COUNTIFS(Chicks!$F:$F,A412,Chicks!$I:$I,"Yes"))</f>
        <v/>
      </c>
      <c r="H412" s="6" t="str">
        <f>IF(A412="","",SUMIFS(Chicks!$J:$J,Chicks!$F:$F,A412))</f>
        <v/>
      </c>
      <c r="I412" s="6" t="str">
        <f>IF(A412="","",COUNTIFS(Chicks!$F:$F,A412,Chicks!$I:$I,"No"))</f>
        <v/>
      </c>
      <c r="J412" s="6" t="str">
        <f>IF(A412="","",IFERROR(AVERAGEIF(Chicks!$F:$F,A412,Chicks!$M:$M),""))</f>
        <v/>
      </c>
      <c r="K412" s="6" t="str">
        <f>IF(A412="","",SUMIFS(Chicks!$N:$N,Chicks!$F:$F,A412))</f>
        <v/>
      </c>
      <c r="L412" s="6" t="str">
        <f>IF(A412="","",SUMIFS(Chicks!$O:$O,Chicks!$F:$F,A412))</f>
        <v/>
      </c>
      <c r="M412" s="6" t="str">
        <f>IF(A412="","",SUMIFS(Chicks!$P:$P,Chicks!$F:$F,A412))</f>
        <v/>
      </c>
      <c r="N412" s="6" t="str">
        <f t="shared" si="2"/>
        <v/>
      </c>
    </row>
    <row r="413" spans="1:14" ht="14.25" customHeight="1" x14ac:dyDescent="0.3">
      <c r="A413" s="4"/>
      <c r="B413" s="4"/>
      <c r="C413" s="4"/>
      <c r="D413" s="4"/>
      <c r="E413" s="4"/>
      <c r="F413" s="6" t="str">
        <f>IF(A413="","",COUNTIF(Chicks!$F:$F,A413))</f>
        <v/>
      </c>
      <c r="G413" s="6" t="str">
        <f>IF(A413="","",COUNTIFS(Chicks!$F:$F,A413,Chicks!$I:$I,"Yes"))</f>
        <v/>
      </c>
      <c r="H413" s="6" t="str">
        <f>IF(A413="","",SUMIFS(Chicks!$J:$J,Chicks!$F:$F,A413))</f>
        <v/>
      </c>
      <c r="I413" s="6" t="str">
        <f>IF(A413="","",COUNTIFS(Chicks!$F:$F,A413,Chicks!$I:$I,"No"))</f>
        <v/>
      </c>
      <c r="J413" s="6" t="str">
        <f>IF(A413="","",IFERROR(AVERAGEIF(Chicks!$F:$F,A413,Chicks!$M:$M),""))</f>
        <v/>
      </c>
      <c r="K413" s="6" t="str">
        <f>IF(A413="","",SUMIFS(Chicks!$N:$N,Chicks!$F:$F,A413))</f>
        <v/>
      </c>
      <c r="L413" s="6" t="str">
        <f>IF(A413="","",SUMIFS(Chicks!$O:$O,Chicks!$F:$F,A413))</f>
        <v/>
      </c>
      <c r="M413" s="6" t="str">
        <f>IF(A413="","",SUMIFS(Chicks!$P:$P,Chicks!$F:$F,A413))</f>
        <v/>
      </c>
      <c r="N413" s="6" t="str">
        <f t="shared" si="2"/>
        <v/>
      </c>
    </row>
    <row r="414" spans="1:14" ht="14.25" customHeight="1" x14ac:dyDescent="0.3">
      <c r="A414" s="4"/>
      <c r="B414" s="4"/>
      <c r="C414" s="4"/>
      <c r="D414" s="4"/>
      <c r="E414" s="4"/>
      <c r="F414" s="6" t="str">
        <f>IF(A414="","",COUNTIF(Chicks!$F:$F,A414))</f>
        <v/>
      </c>
      <c r="G414" s="6" t="str">
        <f>IF(A414="","",COUNTIFS(Chicks!$F:$F,A414,Chicks!$I:$I,"Yes"))</f>
        <v/>
      </c>
      <c r="H414" s="6" t="str">
        <f>IF(A414="","",SUMIFS(Chicks!$J:$J,Chicks!$F:$F,A414))</f>
        <v/>
      </c>
      <c r="I414" s="6" t="str">
        <f>IF(A414="","",COUNTIFS(Chicks!$F:$F,A414,Chicks!$I:$I,"No"))</f>
        <v/>
      </c>
      <c r="J414" s="6" t="str">
        <f>IF(A414="","",IFERROR(AVERAGEIF(Chicks!$F:$F,A414,Chicks!$M:$M),""))</f>
        <v/>
      </c>
      <c r="K414" s="6" t="str">
        <f>IF(A414="","",SUMIFS(Chicks!$N:$N,Chicks!$F:$F,A414))</f>
        <v/>
      </c>
      <c r="L414" s="6" t="str">
        <f>IF(A414="","",SUMIFS(Chicks!$O:$O,Chicks!$F:$F,A414))</f>
        <v/>
      </c>
      <c r="M414" s="6" t="str">
        <f>IF(A414="","",SUMIFS(Chicks!$P:$P,Chicks!$F:$F,A414))</f>
        <v/>
      </c>
      <c r="N414" s="6" t="str">
        <f t="shared" si="2"/>
        <v/>
      </c>
    </row>
    <row r="415" spans="1:14" ht="14.25" customHeight="1" x14ac:dyDescent="0.3">
      <c r="A415" s="4"/>
      <c r="B415" s="4"/>
      <c r="C415" s="4"/>
      <c r="D415" s="4"/>
      <c r="E415" s="4"/>
      <c r="F415" s="6" t="str">
        <f>IF(A415="","",COUNTIF(Chicks!$F:$F,A415))</f>
        <v/>
      </c>
      <c r="G415" s="6" t="str">
        <f>IF(A415="","",COUNTIFS(Chicks!$F:$F,A415,Chicks!$I:$I,"Yes"))</f>
        <v/>
      </c>
      <c r="H415" s="6" t="str">
        <f>IF(A415="","",SUMIFS(Chicks!$J:$J,Chicks!$F:$F,A415))</f>
        <v/>
      </c>
      <c r="I415" s="6" t="str">
        <f>IF(A415="","",COUNTIFS(Chicks!$F:$F,A415,Chicks!$I:$I,"No"))</f>
        <v/>
      </c>
      <c r="J415" s="6" t="str">
        <f>IF(A415="","",IFERROR(AVERAGEIF(Chicks!$F:$F,A415,Chicks!$M:$M),""))</f>
        <v/>
      </c>
      <c r="K415" s="6" t="str">
        <f>IF(A415="","",SUMIFS(Chicks!$N:$N,Chicks!$F:$F,A415))</f>
        <v/>
      </c>
      <c r="L415" s="6" t="str">
        <f>IF(A415="","",SUMIFS(Chicks!$O:$O,Chicks!$F:$F,A415))</f>
        <v/>
      </c>
      <c r="M415" s="6" t="str">
        <f>IF(A415="","",SUMIFS(Chicks!$P:$P,Chicks!$F:$F,A415))</f>
        <v/>
      </c>
      <c r="N415" s="6" t="str">
        <f t="shared" si="2"/>
        <v/>
      </c>
    </row>
    <row r="416" spans="1:14" ht="14.25" customHeight="1" x14ac:dyDescent="0.3">
      <c r="A416" s="4"/>
      <c r="B416" s="4"/>
      <c r="C416" s="4"/>
      <c r="D416" s="4"/>
      <c r="E416" s="4"/>
      <c r="F416" s="6" t="str">
        <f>IF(A416="","",COUNTIF(Chicks!$F:$F,A416))</f>
        <v/>
      </c>
      <c r="G416" s="6" t="str">
        <f>IF(A416="","",COUNTIFS(Chicks!$F:$F,A416,Chicks!$I:$I,"Yes"))</f>
        <v/>
      </c>
      <c r="H416" s="6" t="str">
        <f>IF(A416="","",SUMIFS(Chicks!$J:$J,Chicks!$F:$F,A416))</f>
        <v/>
      </c>
      <c r="I416" s="6" t="str">
        <f>IF(A416="","",COUNTIFS(Chicks!$F:$F,A416,Chicks!$I:$I,"No"))</f>
        <v/>
      </c>
      <c r="J416" s="6" t="str">
        <f>IF(A416="","",IFERROR(AVERAGEIF(Chicks!$F:$F,A416,Chicks!$M:$M),""))</f>
        <v/>
      </c>
      <c r="K416" s="6" t="str">
        <f>IF(A416="","",SUMIFS(Chicks!$N:$N,Chicks!$F:$F,A416))</f>
        <v/>
      </c>
      <c r="L416" s="6" t="str">
        <f>IF(A416="","",SUMIFS(Chicks!$O:$O,Chicks!$F:$F,A416))</f>
        <v/>
      </c>
      <c r="M416" s="6" t="str">
        <f>IF(A416="","",SUMIFS(Chicks!$P:$P,Chicks!$F:$F,A416))</f>
        <v/>
      </c>
      <c r="N416" s="6" t="str">
        <f t="shared" si="2"/>
        <v/>
      </c>
    </row>
    <row r="417" spans="1:14" ht="14.25" customHeight="1" x14ac:dyDescent="0.3">
      <c r="A417" s="4"/>
      <c r="B417" s="4"/>
      <c r="C417" s="4"/>
      <c r="D417" s="4"/>
      <c r="E417" s="4"/>
      <c r="F417" s="6" t="str">
        <f>IF(A417="","",COUNTIF(Chicks!$F:$F,A417))</f>
        <v/>
      </c>
      <c r="G417" s="6" t="str">
        <f>IF(A417="","",COUNTIFS(Chicks!$F:$F,A417,Chicks!$I:$I,"Yes"))</f>
        <v/>
      </c>
      <c r="H417" s="6" t="str">
        <f>IF(A417="","",SUMIFS(Chicks!$J:$J,Chicks!$F:$F,A417))</f>
        <v/>
      </c>
      <c r="I417" s="6" t="str">
        <f>IF(A417="","",COUNTIFS(Chicks!$F:$F,A417,Chicks!$I:$I,"No"))</f>
        <v/>
      </c>
      <c r="J417" s="6" t="str">
        <f>IF(A417="","",IFERROR(AVERAGEIF(Chicks!$F:$F,A417,Chicks!$M:$M),""))</f>
        <v/>
      </c>
      <c r="K417" s="6" t="str">
        <f>IF(A417="","",SUMIFS(Chicks!$N:$N,Chicks!$F:$F,A417))</f>
        <v/>
      </c>
      <c r="L417" s="6" t="str">
        <f>IF(A417="","",SUMIFS(Chicks!$O:$O,Chicks!$F:$F,A417))</f>
        <v/>
      </c>
      <c r="M417" s="6" t="str">
        <f>IF(A417="","",SUMIFS(Chicks!$P:$P,Chicks!$F:$F,A417))</f>
        <v/>
      </c>
      <c r="N417" s="6" t="str">
        <f t="shared" si="2"/>
        <v/>
      </c>
    </row>
    <row r="418" spans="1:14" ht="14.25" customHeight="1" x14ac:dyDescent="0.3">
      <c r="A418" s="4"/>
      <c r="B418" s="4"/>
      <c r="C418" s="4"/>
      <c r="D418" s="4"/>
      <c r="E418" s="4"/>
      <c r="F418" s="6" t="str">
        <f>IF(A418="","",COUNTIF(Chicks!$F:$F,A418))</f>
        <v/>
      </c>
      <c r="G418" s="6" t="str">
        <f>IF(A418="","",COUNTIFS(Chicks!$F:$F,A418,Chicks!$I:$I,"Yes"))</f>
        <v/>
      </c>
      <c r="H418" s="6" t="str">
        <f>IF(A418="","",SUMIFS(Chicks!$J:$J,Chicks!$F:$F,A418))</f>
        <v/>
      </c>
      <c r="I418" s="6" t="str">
        <f>IF(A418="","",COUNTIFS(Chicks!$F:$F,A418,Chicks!$I:$I,"No"))</f>
        <v/>
      </c>
      <c r="J418" s="6" t="str">
        <f>IF(A418="","",IFERROR(AVERAGEIF(Chicks!$F:$F,A418,Chicks!$M:$M),""))</f>
        <v/>
      </c>
      <c r="K418" s="6" t="str">
        <f>IF(A418="","",SUMIFS(Chicks!$N:$N,Chicks!$F:$F,A418))</f>
        <v/>
      </c>
      <c r="L418" s="6" t="str">
        <f>IF(A418="","",SUMIFS(Chicks!$O:$O,Chicks!$F:$F,A418))</f>
        <v/>
      </c>
      <c r="M418" s="6" t="str">
        <f>IF(A418="","",SUMIFS(Chicks!$P:$P,Chicks!$F:$F,A418))</f>
        <v/>
      </c>
      <c r="N418" s="6" t="str">
        <f t="shared" si="2"/>
        <v/>
      </c>
    </row>
    <row r="419" spans="1:14" ht="14.25" customHeight="1" x14ac:dyDescent="0.3">
      <c r="A419" s="4"/>
      <c r="B419" s="4"/>
      <c r="C419" s="4"/>
      <c r="D419" s="4"/>
      <c r="E419" s="4"/>
      <c r="F419" s="6" t="str">
        <f>IF(A419="","",COUNTIF(Chicks!$F:$F,A419))</f>
        <v/>
      </c>
      <c r="G419" s="6" t="str">
        <f>IF(A419="","",COUNTIFS(Chicks!$F:$F,A419,Chicks!$I:$I,"Yes"))</f>
        <v/>
      </c>
      <c r="H419" s="6" t="str">
        <f>IF(A419="","",SUMIFS(Chicks!$J:$J,Chicks!$F:$F,A419))</f>
        <v/>
      </c>
      <c r="I419" s="6" t="str">
        <f>IF(A419="","",COUNTIFS(Chicks!$F:$F,A419,Chicks!$I:$I,"No"))</f>
        <v/>
      </c>
      <c r="J419" s="6" t="str">
        <f>IF(A419="","",IFERROR(AVERAGEIF(Chicks!$F:$F,A419,Chicks!$M:$M),""))</f>
        <v/>
      </c>
      <c r="K419" s="6" t="str">
        <f>IF(A419="","",SUMIFS(Chicks!$N:$N,Chicks!$F:$F,A419))</f>
        <v/>
      </c>
      <c r="L419" s="6" t="str">
        <f>IF(A419="","",SUMIFS(Chicks!$O:$O,Chicks!$F:$F,A419))</f>
        <v/>
      </c>
      <c r="M419" s="6" t="str">
        <f>IF(A419="","",SUMIFS(Chicks!$P:$P,Chicks!$F:$F,A419))</f>
        <v/>
      </c>
      <c r="N419" s="6" t="str">
        <f t="shared" si="2"/>
        <v/>
      </c>
    </row>
    <row r="420" spans="1:14" ht="14.25" customHeight="1" x14ac:dyDescent="0.3">
      <c r="A420" s="4"/>
      <c r="B420" s="4"/>
      <c r="C420" s="4"/>
      <c r="D420" s="4"/>
      <c r="E420" s="4"/>
      <c r="F420" s="6" t="str">
        <f>IF(A420="","",COUNTIF(Chicks!$F:$F,A420))</f>
        <v/>
      </c>
      <c r="G420" s="6" t="str">
        <f>IF(A420="","",COUNTIFS(Chicks!$F:$F,A420,Chicks!$I:$I,"Yes"))</f>
        <v/>
      </c>
      <c r="H420" s="6" t="str">
        <f>IF(A420="","",SUMIFS(Chicks!$J:$J,Chicks!$F:$F,A420))</f>
        <v/>
      </c>
      <c r="I420" s="6" t="str">
        <f>IF(A420="","",COUNTIFS(Chicks!$F:$F,A420,Chicks!$I:$I,"No"))</f>
        <v/>
      </c>
      <c r="J420" s="6" t="str">
        <f>IF(A420="","",IFERROR(AVERAGEIF(Chicks!$F:$F,A420,Chicks!$M:$M),""))</f>
        <v/>
      </c>
      <c r="K420" s="6" t="str">
        <f>IF(A420="","",SUMIFS(Chicks!$N:$N,Chicks!$F:$F,A420))</f>
        <v/>
      </c>
      <c r="L420" s="6" t="str">
        <f>IF(A420="","",SUMIFS(Chicks!$O:$O,Chicks!$F:$F,A420))</f>
        <v/>
      </c>
      <c r="M420" s="6" t="str">
        <f>IF(A420="","",SUMIFS(Chicks!$P:$P,Chicks!$F:$F,A420))</f>
        <v/>
      </c>
      <c r="N420" s="6" t="str">
        <f t="shared" si="2"/>
        <v/>
      </c>
    </row>
    <row r="421" spans="1:14" ht="14.25" customHeight="1" x14ac:dyDescent="0.3">
      <c r="A421" s="4"/>
      <c r="B421" s="4"/>
      <c r="C421" s="4"/>
      <c r="D421" s="4"/>
      <c r="E421" s="4"/>
      <c r="F421" s="6" t="str">
        <f>IF(A421="","",COUNTIF(Chicks!$F:$F,A421))</f>
        <v/>
      </c>
      <c r="G421" s="6" t="str">
        <f>IF(A421="","",COUNTIFS(Chicks!$F:$F,A421,Chicks!$I:$I,"Yes"))</f>
        <v/>
      </c>
      <c r="H421" s="6" t="str">
        <f>IF(A421="","",SUMIFS(Chicks!$J:$J,Chicks!$F:$F,A421))</f>
        <v/>
      </c>
      <c r="I421" s="6" t="str">
        <f>IF(A421="","",COUNTIFS(Chicks!$F:$F,A421,Chicks!$I:$I,"No"))</f>
        <v/>
      </c>
      <c r="J421" s="6" t="str">
        <f>IF(A421="","",IFERROR(AVERAGEIF(Chicks!$F:$F,A421,Chicks!$M:$M),""))</f>
        <v/>
      </c>
      <c r="K421" s="6" t="str">
        <f>IF(A421="","",SUMIFS(Chicks!$N:$N,Chicks!$F:$F,A421))</f>
        <v/>
      </c>
      <c r="L421" s="6" t="str">
        <f>IF(A421="","",SUMIFS(Chicks!$O:$O,Chicks!$F:$F,A421))</f>
        <v/>
      </c>
      <c r="M421" s="6" t="str">
        <f>IF(A421="","",SUMIFS(Chicks!$P:$P,Chicks!$F:$F,A421))</f>
        <v/>
      </c>
      <c r="N421" s="6" t="str">
        <f t="shared" si="2"/>
        <v/>
      </c>
    </row>
    <row r="422" spans="1:14" ht="14.25" customHeight="1" x14ac:dyDescent="0.3">
      <c r="A422" s="4"/>
      <c r="B422" s="4"/>
      <c r="C422" s="4"/>
      <c r="D422" s="4"/>
      <c r="E422" s="4"/>
      <c r="F422" s="6" t="str">
        <f>IF(A422="","",COUNTIF(Chicks!$F:$F,A422))</f>
        <v/>
      </c>
      <c r="G422" s="6" t="str">
        <f>IF(A422="","",COUNTIFS(Chicks!$F:$F,A422,Chicks!$I:$I,"Yes"))</f>
        <v/>
      </c>
      <c r="H422" s="6" t="str">
        <f>IF(A422="","",SUMIFS(Chicks!$J:$J,Chicks!$F:$F,A422))</f>
        <v/>
      </c>
      <c r="I422" s="6" t="str">
        <f>IF(A422="","",COUNTIFS(Chicks!$F:$F,A422,Chicks!$I:$I,"No"))</f>
        <v/>
      </c>
      <c r="J422" s="6" t="str">
        <f>IF(A422="","",IFERROR(AVERAGEIF(Chicks!$F:$F,A422,Chicks!$M:$M),""))</f>
        <v/>
      </c>
      <c r="K422" s="6" t="str">
        <f>IF(A422="","",SUMIFS(Chicks!$N:$N,Chicks!$F:$F,A422))</f>
        <v/>
      </c>
      <c r="L422" s="6" t="str">
        <f>IF(A422="","",SUMIFS(Chicks!$O:$O,Chicks!$F:$F,A422))</f>
        <v/>
      </c>
      <c r="M422" s="6" t="str">
        <f>IF(A422="","",SUMIFS(Chicks!$P:$P,Chicks!$F:$F,A422))</f>
        <v/>
      </c>
      <c r="N422" s="6" t="str">
        <f t="shared" si="2"/>
        <v/>
      </c>
    </row>
    <row r="423" spans="1:14" ht="14.25" customHeight="1" x14ac:dyDescent="0.3">
      <c r="A423" s="4"/>
      <c r="B423" s="4"/>
      <c r="C423" s="4"/>
      <c r="D423" s="4"/>
      <c r="E423" s="4"/>
      <c r="F423" s="6" t="str">
        <f>IF(A423="","",COUNTIF(Chicks!$F:$F,A423))</f>
        <v/>
      </c>
      <c r="G423" s="6" t="str">
        <f>IF(A423="","",COUNTIFS(Chicks!$F:$F,A423,Chicks!$I:$I,"Yes"))</f>
        <v/>
      </c>
      <c r="H423" s="6" t="str">
        <f>IF(A423="","",SUMIFS(Chicks!$J:$J,Chicks!$F:$F,A423))</f>
        <v/>
      </c>
      <c r="I423" s="6" t="str">
        <f>IF(A423="","",COUNTIFS(Chicks!$F:$F,A423,Chicks!$I:$I,"No"))</f>
        <v/>
      </c>
      <c r="J423" s="6" t="str">
        <f>IF(A423="","",IFERROR(AVERAGEIF(Chicks!$F:$F,A423,Chicks!$M:$M),""))</f>
        <v/>
      </c>
      <c r="K423" s="6" t="str">
        <f>IF(A423="","",SUMIFS(Chicks!$N:$N,Chicks!$F:$F,A423))</f>
        <v/>
      </c>
      <c r="L423" s="6" t="str">
        <f>IF(A423="","",SUMIFS(Chicks!$O:$O,Chicks!$F:$F,A423))</f>
        <v/>
      </c>
      <c r="M423" s="6" t="str">
        <f>IF(A423="","",SUMIFS(Chicks!$P:$P,Chicks!$F:$F,A423))</f>
        <v/>
      </c>
      <c r="N423" s="6" t="str">
        <f t="shared" si="2"/>
        <v/>
      </c>
    </row>
    <row r="424" spans="1:14" ht="14.25" customHeight="1" x14ac:dyDescent="0.3">
      <c r="A424" s="4"/>
      <c r="B424" s="4"/>
      <c r="C424" s="4"/>
      <c r="D424" s="4"/>
      <c r="E424" s="4"/>
      <c r="F424" s="6" t="str">
        <f>IF(A424="","",COUNTIF(Chicks!$F:$F,A424))</f>
        <v/>
      </c>
      <c r="G424" s="6" t="str">
        <f>IF(A424="","",COUNTIFS(Chicks!$F:$F,A424,Chicks!$I:$I,"Yes"))</f>
        <v/>
      </c>
      <c r="H424" s="6" t="str">
        <f>IF(A424="","",SUMIFS(Chicks!$J:$J,Chicks!$F:$F,A424))</f>
        <v/>
      </c>
      <c r="I424" s="6" t="str">
        <f>IF(A424="","",COUNTIFS(Chicks!$F:$F,A424,Chicks!$I:$I,"No"))</f>
        <v/>
      </c>
      <c r="J424" s="6" t="str">
        <f>IF(A424="","",IFERROR(AVERAGEIF(Chicks!$F:$F,A424,Chicks!$M:$M),""))</f>
        <v/>
      </c>
      <c r="K424" s="6" t="str">
        <f>IF(A424="","",SUMIFS(Chicks!$N:$N,Chicks!$F:$F,A424))</f>
        <v/>
      </c>
      <c r="L424" s="6" t="str">
        <f>IF(A424="","",SUMIFS(Chicks!$O:$O,Chicks!$F:$F,A424))</f>
        <v/>
      </c>
      <c r="M424" s="6" t="str">
        <f>IF(A424="","",SUMIFS(Chicks!$P:$P,Chicks!$F:$F,A424))</f>
        <v/>
      </c>
      <c r="N424" s="6" t="str">
        <f t="shared" si="2"/>
        <v/>
      </c>
    </row>
    <row r="425" spans="1:14" ht="14.25" customHeight="1" x14ac:dyDescent="0.3">
      <c r="A425" s="4"/>
      <c r="B425" s="4"/>
      <c r="C425" s="4"/>
      <c r="D425" s="4"/>
      <c r="E425" s="4"/>
      <c r="F425" s="6" t="str">
        <f>IF(A425="","",COUNTIF(Chicks!$F:$F,A425))</f>
        <v/>
      </c>
      <c r="G425" s="6" t="str">
        <f>IF(A425="","",COUNTIFS(Chicks!$F:$F,A425,Chicks!$I:$I,"Yes"))</f>
        <v/>
      </c>
      <c r="H425" s="6" t="str">
        <f>IF(A425="","",SUMIFS(Chicks!$J:$J,Chicks!$F:$F,A425))</f>
        <v/>
      </c>
      <c r="I425" s="6" t="str">
        <f>IF(A425="","",COUNTIFS(Chicks!$F:$F,A425,Chicks!$I:$I,"No"))</f>
        <v/>
      </c>
      <c r="J425" s="6" t="str">
        <f>IF(A425="","",IFERROR(AVERAGEIF(Chicks!$F:$F,A425,Chicks!$M:$M),""))</f>
        <v/>
      </c>
      <c r="K425" s="6" t="str">
        <f>IF(A425="","",SUMIFS(Chicks!$N:$N,Chicks!$F:$F,A425))</f>
        <v/>
      </c>
      <c r="L425" s="6" t="str">
        <f>IF(A425="","",SUMIFS(Chicks!$O:$O,Chicks!$F:$F,A425))</f>
        <v/>
      </c>
      <c r="M425" s="6" t="str">
        <f>IF(A425="","",SUMIFS(Chicks!$P:$P,Chicks!$F:$F,A425))</f>
        <v/>
      </c>
      <c r="N425" s="6" t="str">
        <f t="shared" si="2"/>
        <v/>
      </c>
    </row>
    <row r="426" spans="1:14" ht="14.25" customHeight="1" x14ac:dyDescent="0.3">
      <c r="A426" s="4"/>
      <c r="B426" s="4"/>
      <c r="C426" s="4"/>
      <c r="D426" s="4"/>
      <c r="E426" s="4"/>
      <c r="F426" s="6" t="str">
        <f>IF(A426="","",COUNTIF(Chicks!$F:$F,A426))</f>
        <v/>
      </c>
      <c r="G426" s="6" t="str">
        <f>IF(A426="","",COUNTIFS(Chicks!$F:$F,A426,Chicks!$I:$I,"Yes"))</f>
        <v/>
      </c>
      <c r="H426" s="6" t="str">
        <f>IF(A426="","",SUMIFS(Chicks!$J:$J,Chicks!$F:$F,A426))</f>
        <v/>
      </c>
      <c r="I426" s="6" t="str">
        <f>IF(A426="","",COUNTIFS(Chicks!$F:$F,A426,Chicks!$I:$I,"No"))</f>
        <v/>
      </c>
      <c r="J426" s="6" t="str">
        <f>IF(A426="","",IFERROR(AVERAGEIF(Chicks!$F:$F,A426,Chicks!$M:$M),""))</f>
        <v/>
      </c>
      <c r="K426" s="6" t="str">
        <f>IF(A426="","",SUMIFS(Chicks!$N:$N,Chicks!$F:$F,A426))</f>
        <v/>
      </c>
      <c r="L426" s="6" t="str">
        <f>IF(A426="","",SUMIFS(Chicks!$O:$O,Chicks!$F:$F,A426))</f>
        <v/>
      </c>
      <c r="M426" s="6" t="str">
        <f>IF(A426="","",SUMIFS(Chicks!$P:$P,Chicks!$F:$F,A426))</f>
        <v/>
      </c>
      <c r="N426" s="6" t="str">
        <f t="shared" si="2"/>
        <v/>
      </c>
    </row>
    <row r="427" spans="1:14" ht="14.25" customHeight="1" x14ac:dyDescent="0.3">
      <c r="A427" s="4"/>
      <c r="B427" s="4"/>
      <c r="C427" s="4"/>
      <c r="D427" s="4"/>
      <c r="E427" s="4"/>
      <c r="F427" s="6" t="str">
        <f>IF(A427="","",COUNTIF(Chicks!$F:$F,A427))</f>
        <v/>
      </c>
      <c r="G427" s="6" t="str">
        <f>IF(A427="","",COUNTIFS(Chicks!$F:$F,A427,Chicks!$I:$I,"Yes"))</f>
        <v/>
      </c>
      <c r="H427" s="6" t="str">
        <f>IF(A427="","",SUMIFS(Chicks!$J:$J,Chicks!$F:$F,A427))</f>
        <v/>
      </c>
      <c r="I427" s="6" t="str">
        <f>IF(A427="","",COUNTIFS(Chicks!$F:$F,A427,Chicks!$I:$I,"No"))</f>
        <v/>
      </c>
      <c r="J427" s="6" t="str">
        <f>IF(A427="","",IFERROR(AVERAGEIF(Chicks!$F:$F,A427,Chicks!$M:$M),""))</f>
        <v/>
      </c>
      <c r="K427" s="6" t="str">
        <f>IF(A427="","",SUMIFS(Chicks!$N:$N,Chicks!$F:$F,A427))</f>
        <v/>
      </c>
      <c r="L427" s="6" t="str">
        <f>IF(A427="","",SUMIFS(Chicks!$O:$O,Chicks!$F:$F,A427))</f>
        <v/>
      </c>
      <c r="M427" s="6" t="str">
        <f>IF(A427="","",SUMIFS(Chicks!$P:$P,Chicks!$F:$F,A427))</f>
        <v/>
      </c>
      <c r="N427" s="6" t="str">
        <f t="shared" si="2"/>
        <v/>
      </c>
    </row>
    <row r="428" spans="1:14" ht="14.25" customHeight="1" x14ac:dyDescent="0.3">
      <c r="A428" s="4"/>
      <c r="B428" s="4"/>
      <c r="C428" s="4"/>
      <c r="D428" s="4"/>
      <c r="E428" s="4"/>
      <c r="F428" s="6" t="str">
        <f>IF(A428="","",COUNTIF(Chicks!$F:$F,A428))</f>
        <v/>
      </c>
      <c r="G428" s="6" t="str">
        <f>IF(A428="","",COUNTIFS(Chicks!$F:$F,A428,Chicks!$I:$I,"Yes"))</f>
        <v/>
      </c>
      <c r="H428" s="6" t="str">
        <f>IF(A428="","",SUMIFS(Chicks!$J:$J,Chicks!$F:$F,A428))</f>
        <v/>
      </c>
      <c r="I428" s="6" t="str">
        <f>IF(A428="","",COUNTIFS(Chicks!$F:$F,A428,Chicks!$I:$I,"No"))</f>
        <v/>
      </c>
      <c r="J428" s="6" t="str">
        <f>IF(A428="","",IFERROR(AVERAGEIF(Chicks!$F:$F,A428,Chicks!$M:$M),""))</f>
        <v/>
      </c>
      <c r="K428" s="6" t="str">
        <f>IF(A428="","",SUMIFS(Chicks!$N:$N,Chicks!$F:$F,A428))</f>
        <v/>
      </c>
      <c r="L428" s="6" t="str">
        <f>IF(A428="","",SUMIFS(Chicks!$O:$O,Chicks!$F:$F,A428))</f>
        <v/>
      </c>
      <c r="M428" s="6" t="str">
        <f>IF(A428="","",SUMIFS(Chicks!$P:$P,Chicks!$F:$F,A428))</f>
        <v/>
      </c>
      <c r="N428" s="6" t="str">
        <f t="shared" si="2"/>
        <v/>
      </c>
    </row>
    <row r="429" spans="1:14" ht="14.25" customHeight="1" x14ac:dyDescent="0.3">
      <c r="A429" s="4"/>
      <c r="B429" s="4"/>
      <c r="C429" s="4"/>
      <c r="D429" s="4"/>
      <c r="E429" s="4"/>
      <c r="F429" s="6" t="str">
        <f>IF(A429="","",COUNTIF(Chicks!$F:$F,A429))</f>
        <v/>
      </c>
      <c r="G429" s="6" t="str">
        <f>IF(A429="","",COUNTIFS(Chicks!$F:$F,A429,Chicks!$I:$I,"Yes"))</f>
        <v/>
      </c>
      <c r="H429" s="6" t="str">
        <f>IF(A429="","",SUMIFS(Chicks!$J:$J,Chicks!$F:$F,A429))</f>
        <v/>
      </c>
      <c r="I429" s="6" t="str">
        <f>IF(A429="","",COUNTIFS(Chicks!$F:$F,A429,Chicks!$I:$I,"No"))</f>
        <v/>
      </c>
      <c r="J429" s="6" t="str">
        <f>IF(A429="","",IFERROR(AVERAGEIF(Chicks!$F:$F,A429,Chicks!$M:$M),""))</f>
        <v/>
      </c>
      <c r="K429" s="6" t="str">
        <f>IF(A429="","",SUMIFS(Chicks!$N:$N,Chicks!$F:$F,A429))</f>
        <v/>
      </c>
      <c r="L429" s="6" t="str">
        <f>IF(A429="","",SUMIFS(Chicks!$O:$O,Chicks!$F:$F,A429))</f>
        <v/>
      </c>
      <c r="M429" s="6" t="str">
        <f>IF(A429="","",SUMIFS(Chicks!$P:$P,Chicks!$F:$F,A429))</f>
        <v/>
      </c>
      <c r="N429" s="6" t="str">
        <f t="shared" si="2"/>
        <v/>
      </c>
    </row>
    <row r="430" spans="1:14" ht="14.25" customHeight="1" x14ac:dyDescent="0.3">
      <c r="A430" s="4"/>
      <c r="B430" s="4"/>
      <c r="C430" s="4"/>
      <c r="D430" s="4"/>
      <c r="E430" s="4"/>
      <c r="F430" s="6" t="str">
        <f>IF(A430="","",COUNTIF(Chicks!$F:$F,A430))</f>
        <v/>
      </c>
      <c r="G430" s="6" t="str">
        <f>IF(A430="","",COUNTIFS(Chicks!$F:$F,A430,Chicks!$I:$I,"Yes"))</f>
        <v/>
      </c>
      <c r="H430" s="6" t="str">
        <f>IF(A430="","",SUMIFS(Chicks!$J:$J,Chicks!$F:$F,A430))</f>
        <v/>
      </c>
      <c r="I430" s="6" t="str">
        <f>IF(A430="","",COUNTIFS(Chicks!$F:$F,A430,Chicks!$I:$I,"No"))</f>
        <v/>
      </c>
      <c r="J430" s="6" t="str">
        <f>IF(A430="","",IFERROR(AVERAGEIF(Chicks!$F:$F,A430,Chicks!$M:$M),""))</f>
        <v/>
      </c>
      <c r="K430" s="6" t="str">
        <f>IF(A430="","",SUMIFS(Chicks!$N:$N,Chicks!$F:$F,A430))</f>
        <v/>
      </c>
      <c r="L430" s="6" t="str">
        <f>IF(A430="","",SUMIFS(Chicks!$O:$O,Chicks!$F:$F,A430))</f>
        <v/>
      </c>
      <c r="M430" s="6" t="str">
        <f>IF(A430="","",SUMIFS(Chicks!$P:$P,Chicks!$F:$F,A430))</f>
        <v/>
      </c>
      <c r="N430" s="6" t="str">
        <f t="shared" si="2"/>
        <v/>
      </c>
    </row>
    <row r="431" spans="1:14" ht="14.25" customHeight="1" x14ac:dyDescent="0.3">
      <c r="A431" s="4"/>
      <c r="B431" s="4"/>
      <c r="C431" s="4"/>
      <c r="D431" s="4"/>
      <c r="E431" s="4"/>
      <c r="F431" s="6" t="str">
        <f>IF(A431="","",COUNTIF(Chicks!$F:$F,A431))</f>
        <v/>
      </c>
      <c r="G431" s="6" t="str">
        <f>IF(A431="","",COUNTIFS(Chicks!$F:$F,A431,Chicks!$I:$I,"Yes"))</f>
        <v/>
      </c>
      <c r="H431" s="6" t="str">
        <f>IF(A431="","",SUMIFS(Chicks!$J:$J,Chicks!$F:$F,A431))</f>
        <v/>
      </c>
      <c r="I431" s="6" t="str">
        <f>IF(A431="","",COUNTIFS(Chicks!$F:$F,A431,Chicks!$I:$I,"No"))</f>
        <v/>
      </c>
      <c r="J431" s="6" t="str">
        <f>IF(A431="","",IFERROR(AVERAGEIF(Chicks!$F:$F,A431,Chicks!$M:$M),""))</f>
        <v/>
      </c>
      <c r="K431" s="6" t="str">
        <f>IF(A431="","",SUMIFS(Chicks!$N:$N,Chicks!$F:$F,A431))</f>
        <v/>
      </c>
      <c r="L431" s="6" t="str">
        <f>IF(A431="","",SUMIFS(Chicks!$O:$O,Chicks!$F:$F,A431))</f>
        <v/>
      </c>
      <c r="M431" s="6" t="str">
        <f>IF(A431="","",SUMIFS(Chicks!$P:$P,Chicks!$F:$F,A431))</f>
        <v/>
      </c>
      <c r="N431" s="6" t="str">
        <f t="shared" si="2"/>
        <v/>
      </c>
    </row>
    <row r="432" spans="1:14" ht="14.25" customHeight="1" x14ac:dyDescent="0.3">
      <c r="A432" s="4"/>
      <c r="B432" s="4"/>
      <c r="C432" s="4"/>
      <c r="D432" s="4"/>
      <c r="E432" s="4"/>
      <c r="F432" s="6" t="str">
        <f>IF(A432="","",COUNTIF(Chicks!$F:$F,A432))</f>
        <v/>
      </c>
      <c r="G432" s="6" t="str">
        <f>IF(A432="","",COUNTIFS(Chicks!$F:$F,A432,Chicks!$I:$I,"Yes"))</f>
        <v/>
      </c>
      <c r="H432" s="6" t="str">
        <f>IF(A432="","",SUMIFS(Chicks!$J:$J,Chicks!$F:$F,A432))</f>
        <v/>
      </c>
      <c r="I432" s="6" t="str">
        <f>IF(A432="","",COUNTIFS(Chicks!$F:$F,A432,Chicks!$I:$I,"No"))</f>
        <v/>
      </c>
      <c r="J432" s="6" t="str">
        <f>IF(A432="","",IFERROR(AVERAGEIF(Chicks!$F:$F,A432,Chicks!$M:$M),""))</f>
        <v/>
      </c>
      <c r="K432" s="6" t="str">
        <f>IF(A432="","",SUMIFS(Chicks!$N:$N,Chicks!$F:$F,A432))</f>
        <v/>
      </c>
      <c r="L432" s="6" t="str">
        <f>IF(A432="","",SUMIFS(Chicks!$O:$O,Chicks!$F:$F,A432))</f>
        <v/>
      </c>
      <c r="M432" s="6" t="str">
        <f>IF(A432="","",SUMIFS(Chicks!$P:$P,Chicks!$F:$F,A432))</f>
        <v/>
      </c>
      <c r="N432" s="6" t="str">
        <f t="shared" si="2"/>
        <v/>
      </c>
    </row>
    <row r="433" spans="1:14" ht="14.25" customHeight="1" x14ac:dyDescent="0.3">
      <c r="A433" s="4"/>
      <c r="B433" s="4"/>
      <c r="C433" s="4"/>
      <c r="D433" s="4"/>
      <c r="E433" s="4"/>
      <c r="F433" s="6" t="str">
        <f>IF(A433="","",COUNTIF(Chicks!$F:$F,A433))</f>
        <v/>
      </c>
      <c r="G433" s="6" t="str">
        <f>IF(A433="","",COUNTIFS(Chicks!$F:$F,A433,Chicks!$I:$I,"Yes"))</f>
        <v/>
      </c>
      <c r="H433" s="6" t="str">
        <f>IF(A433="","",SUMIFS(Chicks!$J:$J,Chicks!$F:$F,A433))</f>
        <v/>
      </c>
      <c r="I433" s="6" t="str">
        <f>IF(A433="","",COUNTIFS(Chicks!$F:$F,A433,Chicks!$I:$I,"No"))</f>
        <v/>
      </c>
      <c r="J433" s="6" t="str">
        <f>IF(A433="","",IFERROR(AVERAGEIF(Chicks!$F:$F,A433,Chicks!$M:$M),""))</f>
        <v/>
      </c>
      <c r="K433" s="6" t="str">
        <f>IF(A433="","",SUMIFS(Chicks!$N:$N,Chicks!$F:$F,A433))</f>
        <v/>
      </c>
      <c r="L433" s="6" t="str">
        <f>IF(A433="","",SUMIFS(Chicks!$O:$O,Chicks!$F:$F,A433))</f>
        <v/>
      </c>
      <c r="M433" s="6" t="str">
        <f>IF(A433="","",SUMIFS(Chicks!$P:$P,Chicks!$F:$F,A433))</f>
        <v/>
      </c>
      <c r="N433" s="6" t="str">
        <f t="shared" si="2"/>
        <v/>
      </c>
    </row>
    <row r="434" spans="1:14" ht="14.25" customHeight="1" x14ac:dyDescent="0.3">
      <c r="A434" s="4"/>
      <c r="B434" s="4"/>
      <c r="C434" s="4"/>
      <c r="D434" s="4"/>
      <c r="E434" s="4"/>
      <c r="F434" s="6" t="str">
        <f>IF(A434="","",COUNTIF(Chicks!$F:$F,A434))</f>
        <v/>
      </c>
      <c r="G434" s="6" t="str">
        <f>IF(A434="","",COUNTIFS(Chicks!$F:$F,A434,Chicks!$I:$I,"Yes"))</f>
        <v/>
      </c>
      <c r="H434" s="6" t="str">
        <f>IF(A434="","",SUMIFS(Chicks!$J:$J,Chicks!$F:$F,A434))</f>
        <v/>
      </c>
      <c r="I434" s="6" t="str">
        <f>IF(A434="","",COUNTIFS(Chicks!$F:$F,A434,Chicks!$I:$I,"No"))</f>
        <v/>
      </c>
      <c r="J434" s="6" t="str">
        <f>IF(A434="","",IFERROR(AVERAGEIF(Chicks!$F:$F,A434,Chicks!$M:$M),""))</f>
        <v/>
      </c>
      <c r="K434" s="6" t="str">
        <f>IF(A434="","",SUMIFS(Chicks!$N:$N,Chicks!$F:$F,A434))</f>
        <v/>
      </c>
      <c r="L434" s="6" t="str">
        <f>IF(A434="","",SUMIFS(Chicks!$O:$O,Chicks!$F:$F,A434))</f>
        <v/>
      </c>
      <c r="M434" s="6" t="str">
        <f>IF(A434="","",SUMIFS(Chicks!$P:$P,Chicks!$F:$F,A434))</f>
        <v/>
      </c>
      <c r="N434" s="6" t="str">
        <f t="shared" si="2"/>
        <v/>
      </c>
    </row>
    <row r="435" spans="1:14" ht="14.25" customHeight="1" x14ac:dyDescent="0.3">
      <c r="A435" s="4"/>
      <c r="B435" s="4"/>
      <c r="C435" s="4"/>
      <c r="D435" s="4"/>
      <c r="E435" s="4"/>
      <c r="F435" s="6" t="str">
        <f>IF(A435="","",COUNTIF(Chicks!$F:$F,A435))</f>
        <v/>
      </c>
      <c r="G435" s="6" t="str">
        <f>IF(A435="","",COUNTIFS(Chicks!$F:$F,A435,Chicks!$I:$I,"Yes"))</f>
        <v/>
      </c>
      <c r="H435" s="6" t="str">
        <f>IF(A435="","",SUMIFS(Chicks!$J:$J,Chicks!$F:$F,A435))</f>
        <v/>
      </c>
      <c r="I435" s="6" t="str">
        <f>IF(A435="","",COUNTIFS(Chicks!$F:$F,A435,Chicks!$I:$I,"No"))</f>
        <v/>
      </c>
      <c r="J435" s="6" t="str">
        <f>IF(A435="","",IFERROR(AVERAGEIF(Chicks!$F:$F,A435,Chicks!$M:$M),""))</f>
        <v/>
      </c>
      <c r="K435" s="6" t="str">
        <f>IF(A435="","",SUMIFS(Chicks!$N:$N,Chicks!$F:$F,A435))</f>
        <v/>
      </c>
      <c r="L435" s="6" t="str">
        <f>IF(A435="","",SUMIFS(Chicks!$O:$O,Chicks!$F:$F,A435))</f>
        <v/>
      </c>
      <c r="M435" s="6" t="str">
        <f>IF(A435="","",SUMIFS(Chicks!$P:$P,Chicks!$F:$F,A435))</f>
        <v/>
      </c>
      <c r="N435" s="6" t="str">
        <f t="shared" si="2"/>
        <v/>
      </c>
    </row>
    <row r="436" spans="1:14" ht="14.25" customHeight="1" x14ac:dyDescent="0.3">
      <c r="A436" s="4"/>
      <c r="B436" s="4"/>
      <c r="C436" s="4"/>
      <c r="D436" s="4"/>
      <c r="E436" s="4"/>
      <c r="F436" s="6" t="str">
        <f>IF(A436="","",COUNTIF(Chicks!$F:$F,A436))</f>
        <v/>
      </c>
      <c r="G436" s="6" t="str">
        <f>IF(A436="","",COUNTIFS(Chicks!$F:$F,A436,Chicks!$I:$I,"Yes"))</f>
        <v/>
      </c>
      <c r="H436" s="6" t="str">
        <f>IF(A436="","",SUMIFS(Chicks!$J:$J,Chicks!$F:$F,A436))</f>
        <v/>
      </c>
      <c r="I436" s="6" t="str">
        <f>IF(A436="","",COUNTIFS(Chicks!$F:$F,A436,Chicks!$I:$I,"No"))</f>
        <v/>
      </c>
      <c r="J436" s="6" t="str">
        <f>IF(A436="","",IFERROR(AVERAGEIF(Chicks!$F:$F,A436,Chicks!$M:$M),""))</f>
        <v/>
      </c>
      <c r="K436" s="6" t="str">
        <f>IF(A436="","",SUMIFS(Chicks!$N:$N,Chicks!$F:$F,A436))</f>
        <v/>
      </c>
      <c r="L436" s="6" t="str">
        <f>IF(A436="","",SUMIFS(Chicks!$O:$O,Chicks!$F:$F,A436))</f>
        <v/>
      </c>
      <c r="M436" s="6" t="str">
        <f>IF(A436="","",SUMIFS(Chicks!$P:$P,Chicks!$F:$F,A436))</f>
        <v/>
      </c>
      <c r="N436" s="6" t="str">
        <f t="shared" si="2"/>
        <v/>
      </c>
    </row>
    <row r="437" spans="1:14" ht="14.25" customHeight="1" x14ac:dyDescent="0.3">
      <c r="A437" s="4"/>
      <c r="B437" s="4"/>
      <c r="C437" s="4"/>
      <c r="D437" s="4"/>
      <c r="E437" s="4"/>
      <c r="F437" s="6" t="str">
        <f>IF(A437="","",COUNTIF(Chicks!$F:$F,A437))</f>
        <v/>
      </c>
      <c r="G437" s="6" t="str">
        <f>IF(A437="","",COUNTIFS(Chicks!$F:$F,A437,Chicks!$I:$I,"Yes"))</f>
        <v/>
      </c>
      <c r="H437" s="6" t="str">
        <f>IF(A437="","",SUMIFS(Chicks!$J:$J,Chicks!$F:$F,A437))</f>
        <v/>
      </c>
      <c r="I437" s="6" t="str">
        <f>IF(A437="","",COUNTIFS(Chicks!$F:$F,A437,Chicks!$I:$I,"No"))</f>
        <v/>
      </c>
      <c r="J437" s="6" t="str">
        <f>IF(A437="","",IFERROR(AVERAGEIF(Chicks!$F:$F,A437,Chicks!$M:$M),""))</f>
        <v/>
      </c>
      <c r="K437" s="6" t="str">
        <f>IF(A437="","",SUMIFS(Chicks!$N:$N,Chicks!$F:$F,A437))</f>
        <v/>
      </c>
      <c r="L437" s="6" t="str">
        <f>IF(A437="","",SUMIFS(Chicks!$O:$O,Chicks!$F:$F,A437))</f>
        <v/>
      </c>
      <c r="M437" s="6" t="str">
        <f>IF(A437="","",SUMIFS(Chicks!$P:$P,Chicks!$F:$F,A437))</f>
        <v/>
      </c>
      <c r="N437" s="6" t="str">
        <f t="shared" si="2"/>
        <v/>
      </c>
    </row>
    <row r="438" spans="1:14" ht="14.25" customHeight="1" x14ac:dyDescent="0.3">
      <c r="A438" s="4"/>
      <c r="B438" s="4"/>
      <c r="C438" s="4"/>
      <c r="D438" s="4"/>
      <c r="E438" s="4"/>
      <c r="F438" s="6" t="str">
        <f>IF(A438="","",COUNTIF(Chicks!$F:$F,A438))</f>
        <v/>
      </c>
      <c r="G438" s="6" t="str">
        <f>IF(A438="","",COUNTIFS(Chicks!$F:$F,A438,Chicks!$I:$I,"Yes"))</f>
        <v/>
      </c>
      <c r="H438" s="6" t="str">
        <f>IF(A438="","",SUMIFS(Chicks!$J:$J,Chicks!$F:$F,A438))</f>
        <v/>
      </c>
      <c r="I438" s="6" t="str">
        <f>IF(A438="","",COUNTIFS(Chicks!$F:$F,A438,Chicks!$I:$I,"No"))</f>
        <v/>
      </c>
      <c r="J438" s="6" t="str">
        <f>IF(A438="","",IFERROR(AVERAGEIF(Chicks!$F:$F,A438,Chicks!$M:$M),""))</f>
        <v/>
      </c>
      <c r="K438" s="6" t="str">
        <f>IF(A438="","",SUMIFS(Chicks!$N:$N,Chicks!$F:$F,A438))</f>
        <v/>
      </c>
      <c r="L438" s="6" t="str">
        <f>IF(A438="","",SUMIFS(Chicks!$O:$O,Chicks!$F:$F,A438))</f>
        <v/>
      </c>
      <c r="M438" s="6" t="str">
        <f>IF(A438="","",SUMIFS(Chicks!$P:$P,Chicks!$F:$F,A438))</f>
        <v/>
      </c>
      <c r="N438" s="6" t="str">
        <f t="shared" si="2"/>
        <v/>
      </c>
    </row>
    <row r="439" spans="1:14" ht="14.25" customHeight="1" x14ac:dyDescent="0.3">
      <c r="A439" s="4"/>
      <c r="B439" s="4"/>
      <c r="C439" s="4"/>
      <c r="D439" s="4"/>
      <c r="E439" s="4"/>
      <c r="F439" s="6" t="str">
        <f>IF(A439="","",COUNTIF(Chicks!$F:$F,A439))</f>
        <v/>
      </c>
      <c r="G439" s="6" t="str">
        <f>IF(A439="","",COUNTIFS(Chicks!$F:$F,A439,Chicks!$I:$I,"Yes"))</f>
        <v/>
      </c>
      <c r="H439" s="6" t="str">
        <f>IF(A439="","",SUMIFS(Chicks!$J:$J,Chicks!$F:$F,A439))</f>
        <v/>
      </c>
      <c r="I439" s="6" t="str">
        <f>IF(A439="","",COUNTIFS(Chicks!$F:$F,A439,Chicks!$I:$I,"No"))</f>
        <v/>
      </c>
      <c r="J439" s="6" t="str">
        <f>IF(A439="","",IFERROR(AVERAGEIF(Chicks!$F:$F,A439,Chicks!$M:$M),""))</f>
        <v/>
      </c>
      <c r="K439" s="6" t="str">
        <f>IF(A439="","",SUMIFS(Chicks!$N:$N,Chicks!$F:$F,A439))</f>
        <v/>
      </c>
      <c r="L439" s="6" t="str">
        <f>IF(A439="","",SUMIFS(Chicks!$O:$O,Chicks!$F:$F,A439))</f>
        <v/>
      </c>
      <c r="M439" s="6" t="str">
        <f>IF(A439="","",SUMIFS(Chicks!$P:$P,Chicks!$F:$F,A439))</f>
        <v/>
      </c>
      <c r="N439" s="6" t="str">
        <f t="shared" si="2"/>
        <v/>
      </c>
    </row>
    <row r="440" spans="1:14" ht="14.25" customHeight="1" x14ac:dyDescent="0.3">
      <c r="A440" s="4"/>
      <c r="B440" s="4"/>
      <c r="C440" s="4"/>
      <c r="D440" s="4"/>
      <c r="E440" s="4"/>
      <c r="F440" s="6" t="str">
        <f>IF(A440="","",COUNTIF(Chicks!$F:$F,A440))</f>
        <v/>
      </c>
      <c r="G440" s="6" t="str">
        <f>IF(A440="","",COUNTIFS(Chicks!$F:$F,A440,Chicks!$I:$I,"Yes"))</f>
        <v/>
      </c>
      <c r="H440" s="6" t="str">
        <f>IF(A440="","",SUMIFS(Chicks!$J:$J,Chicks!$F:$F,A440))</f>
        <v/>
      </c>
      <c r="I440" s="6" t="str">
        <f>IF(A440="","",COUNTIFS(Chicks!$F:$F,A440,Chicks!$I:$I,"No"))</f>
        <v/>
      </c>
      <c r="J440" s="6" t="str">
        <f>IF(A440="","",IFERROR(AVERAGEIF(Chicks!$F:$F,A440,Chicks!$M:$M),""))</f>
        <v/>
      </c>
      <c r="K440" s="6" t="str">
        <f>IF(A440="","",SUMIFS(Chicks!$N:$N,Chicks!$F:$F,A440))</f>
        <v/>
      </c>
      <c r="L440" s="6" t="str">
        <f>IF(A440="","",SUMIFS(Chicks!$O:$O,Chicks!$F:$F,A440))</f>
        <v/>
      </c>
      <c r="M440" s="6" t="str">
        <f>IF(A440="","",SUMIFS(Chicks!$P:$P,Chicks!$F:$F,A440))</f>
        <v/>
      </c>
      <c r="N440" s="6" t="str">
        <f t="shared" si="2"/>
        <v/>
      </c>
    </row>
    <row r="441" spans="1:14" ht="14.25" customHeight="1" x14ac:dyDescent="0.3">
      <c r="A441" s="4"/>
      <c r="B441" s="4"/>
      <c r="C441" s="4"/>
      <c r="D441" s="4"/>
      <c r="E441" s="4"/>
      <c r="F441" s="6" t="str">
        <f>IF(A441="","",COUNTIF(Chicks!$F:$F,A441))</f>
        <v/>
      </c>
      <c r="G441" s="6" t="str">
        <f>IF(A441="","",COUNTIFS(Chicks!$F:$F,A441,Chicks!$I:$I,"Yes"))</f>
        <v/>
      </c>
      <c r="H441" s="6" t="str">
        <f>IF(A441="","",SUMIFS(Chicks!$J:$J,Chicks!$F:$F,A441))</f>
        <v/>
      </c>
      <c r="I441" s="6" t="str">
        <f>IF(A441="","",COUNTIFS(Chicks!$F:$F,A441,Chicks!$I:$I,"No"))</f>
        <v/>
      </c>
      <c r="J441" s="6" t="str">
        <f>IF(A441="","",IFERROR(AVERAGEIF(Chicks!$F:$F,A441,Chicks!$M:$M),""))</f>
        <v/>
      </c>
      <c r="K441" s="6" t="str">
        <f>IF(A441="","",SUMIFS(Chicks!$N:$N,Chicks!$F:$F,A441))</f>
        <v/>
      </c>
      <c r="L441" s="6" t="str">
        <f>IF(A441="","",SUMIFS(Chicks!$O:$O,Chicks!$F:$F,A441))</f>
        <v/>
      </c>
      <c r="M441" s="6" t="str">
        <f>IF(A441="","",SUMIFS(Chicks!$P:$P,Chicks!$F:$F,A441))</f>
        <v/>
      </c>
      <c r="N441" s="6" t="str">
        <f t="shared" si="2"/>
        <v/>
      </c>
    </row>
    <row r="442" spans="1:14" ht="14.25" customHeight="1" x14ac:dyDescent="0.3">
      <c r="A442" s="4"/>
      <c r="B442" s="4"/>
      <c r="C442" s="4"/>
      <c r="D442" s="4"/>
      <c r="E442" s="4"/>
      <c r="F442" s="6" t="str">
        <f>IF(A442="","",COUNTIF(Chicks!$F:$F,A442))</f>
        <v/>
      </c>
      <c r="G442" s="6" t="str">
        <f>IF(A442="","",COUNTIFS(Chicks!$F:$F,A442,Chicks!$I:$I,"Yes"))</f>
        <v/>
      </c>
      <c r="H442" s="6" t="str">
        <f>IF(A442="","",SUMIFS(Chicks!$J:$J,Chicks!$F:$F,A442))</f>
        <v/>
      </c>
      <c r="I442" s="6" t="str">
        <f>IF(A442="","",COUNTIFS(Chicks!$F:$F,A442,Chicks!$I:$I,"No"))</f>
        <v/>
      </c>
      <c r="J442" s="6" t="str">
        <f>IF(A442="","",IFERROR(AVERAGEIF(Chicks!$F:$F,A442,Chicks!$M:$M),""))</f>
        <v/>
      </c>
      <c r="K442" s="6" t="str">
        <f>IF(A442="","",SUMIFS(Chicks!$N:$N,Chicks!$F:$F,A442))</f>
        <v/>
      </c>
      <c r="L442" s="6" t="str">
        <f>IF(A442="","",SUMIFS(Chicks!$O:$O,Chicks!$F:$F,A442))</f>
        <v/>
      </c>
      <c r="M442" s="6" t="str">
        <f>IF(A442="","",SUMIFS(Chicks!$P:$P,Chicks!$F:$F,A442))</f>
        <v/>
      </c>
      <c r="N442" s="6" t="str">
        <f t="shared" si="2"/>
        <v/>
      </c>
    </row>
    <row r="443" spans="1:14" ht="14.25" customHeight="1" x14ac:dyDescent="0.3">
      <c r="A443" s="4"/>
      <c r="B443" s="4"/>
      <c r="C443" s="4"/>
      <c r="D443" s="4"/>
      <c r="E443" s="4"/>
      <c r="F443" s="6" t="str">
        <f>IF(A443="","",COUNTIF(Chicks!$F:$F,A443))</f>
        <v/>
      </c>
      <c r="G443" s="6" t="str">
        <f>IF(A443="","",COUNTIFS(Chicks!$F:$F,A443,Chicks!$I:$I,"Yes"))</f>
        <v/>
      </c>
      <c r="H443" s="6" t="str">
        <f>IF(A443="","",SUMIFS(Chicks!$J:$J,Chicks!$F:$F,A443))</f>
        <v/>
      </c>
      <c r="I443" s="6" t="str">
        <f>IF(A443="","",COUNTIFS(Chicks!$F:$F,A443,Chicks!$I:$I,"No"))</f>
        <v/>
      </c>
      <c r="J443" s="6" t="str">
        <f>IF(A443="","",IFERROR(AVERAGEIF(Chicks!$F:$F,A443,Chicks!$M:$M),""))</f>
        <v/>
      </c>
      <c r="K443" s="6" t="str">
        <f>IF(A443="","",SUMIFS(Chicks!$N:$N,Chicks!$F:$F,A443))</f>
        <v/>
      </c>
      <c r="L443" s="6" t="str">
        <f>IF(A443="","",SUMIFS(Chicks!$O:$O,Chicks!$F:$F,A443))</f>
        <v/>
      </c>
      <c r="M443" s="6" t="str">
        <f>IF(A443="","",SUMIFS(Chicks!$P:$P,Chicks!$F:$F,A443))</f>
        <v/>
      </c>
      <c r="N443" s="6" t="str">
        <f t="shared" si="2"/>
        <v/>
      </c>
    </row>
    <row r="444" spans="1:14" ht="14.25" customHeight="1" x14ac:dyDescent="0.3">
      <c r="A444" s="4"/>
      <c r="B444" s="4"/>
      <c r="C444" s="4"/>
      <c r="D444" s="4"/>
      <c r="E444" s="4"/>
      <c r="F444" s="6" t="str">
        <f>IF(A444="","",COUNTIF(Chicks!$F:$F,A444))</f>
        <v/>
      </c>
      <c r="G444" s="6" t="str">
        <f>IF(A444="","",COUNTIFS(Chicks!$F:$F,A444,Chicks!$I:$I,"Yes"))</f>
        <v/>
      </c>
      <c r="H444" s="6" t="str">
        <f>IF(A444="","",SUMIFS(Chicks!$J:$J,Chicks!$F:$F,A444))</f>
        <v/>
      </c>
      <c r="I444" s="6" t="str">
        <f>IF(A444="","",COUNTIFS(Chicks!$F:$F,A444,Chicks!$I:$I,"No"))</f>
        <v/>
      </c>
      <c r="J444" s="6" t="str">
        <f>IF(A444="","",IFERROR(AVERAGEIF(Chicks!$F:$F,A444,Chicks!$M:$M),""))</f>
        <v/>
      </c>
      <c r="K444" s="6" t="str">
        <f>IF(A444="","",SUMIFS(Chicks!$N:$N,Chicks!$F:$F,A444))</f>
        <v/>
      </c>
      <c r="L444" s="6" t="str">
        <f>IF(A444="","",SUMIFS(Chicks!$O:$O,Chicks!$F:$F,A444))</f>
        <v/>
      </c>
      <c r="M444" s="6" t="str">
        <f>IF(A444="","",SUMIFS(Chicks!$P:$P,Chicks!$F:$F,A444))</f>
        <v/>
      </c>
      <c r="N444" s="6" t="str">
        <f t="shared" si="2"/>
        <v/>
      </c>
    </row>
    <row r="445" spans="1:14" ht="14.25" customHeight="1" x14ac:dyDescent="0.3">
      <c r="A445" s="4"/>
      <c r="B445" s="4"/>
      <c r="C445" s="4"/>
      <c r="D445" s="4"/>
      <c r="E445" s="4"/>
      <c r="F445" s="6" t="str">
        <f>IF(A445="","",COUNTIF(Chicks!$F:$F,A445))</f>
        <v/>
      </c>
      <c r="G445" s="6" t="str">
        <f>IF(A445="","",COUNTIFS(Chicks!$F:$F,A445,Chicks!$I:$I,"Yes"))</f>
        <v/>
      </c>
      <c r="H445" s="6" t="str">
        <f>IF(A445="","",SUMIFS(Chicks!$J:$J,Chicks!$F:$F,A445))</f>
        <v/>
      </c>
      <c r="I445" s="6" t="str">
        <f>IF(A445="","",COUNTIFS(Chicks!$F:$F,A445,Chicks!$I:$I,"No"))</f>
        <v/>
      </c>
      <c r="J445" s="6" t="str">
        <f>IF(A445="","",IFERROR(AVERAGEIF(Chicks!$F:$F,A445,Chicks!$M:$M),""))</f>
        <v/>
      </c>
      <c r="K445" s="6" t="str">
        <f>IF(A445="","",SUMIFS(Chicks!$N:$N,Chicks!$F:$F,A445))</f>
        <v/>
      </c>
      <c r="L445" s="6" t="str">
        <f>IF(A445="","",SUMIFS(Chicks!$O:$O,Chicks!$F:$F,A445))</f>
        <v/>
      </c>
      <c r="M445" s="6" t="str">
        <f>IF(A445="","",SUMIFS(Chicks!$P:$P,Chicks!$F:$F,A445))</f>
        <v/>
      </c>
      <c r="N445" s="6" t="str">
        <f t="shared" si="2"/>
        <v/>
      </c>
    </row>
    <row r="446" spans="1:14" ht="14.25" customHeight="1" x14ac:dyDescent="0.3">
      <c r="A446" s="4"/>
      <c r="B446" s="4"/>
      <c r="C446" s="4"/>
      <c r="D446" s="4"/>
      <c r="E446" s="4"/>
      <c r="F446" s="6" t="str">
        <f>IF(A446="","",COUNTIF(Chicks!$F:$F,A446))</f>
        <v/>
      </c>
      <c r="G446" s="6" t="str">
        <f>IF(A446="","",COUNTIFS(Chicks!$F:$F,A446,Chicks!$I:$I,"Yes"))</f>
        <v/>
      </c>
      <c r="H446" s="6" t="str">
        <f>IF(A446="","",SUMIFS(Chicks!$J:$J,Chicks!$F:$F,A446))</f>
        <v/>
      </c>
      <c r="I446" s="6" t="str">
        <f>IF(A446="","",COUNTIFS(Chicks!$F:$F,A446,Chicks!$I:$I,"No"))</f>
        <v/>
      </c>
      <c r="J446" s="6" t="str">
        <f>IF(A446="","",IFERROR(AVERAGEIF(Chicks!$F:$F,A446,Chicks!$M:$M),""))</f>
        <v/>
      </c>
      <c r="K446" s="6" t="str">
        <f>IF(A446="","",SUMIFS(Chicks!$N:$N,Chicks!$F:$F,A446))</f>
        <v/>
      </c>
      <c r="L446" s="6" t="str">
        <f>IF(A446="","",SUMIFS(Chicks!$O:$O,Chicks!$F:$F,A446))</f>
        <v/>
      </c>
      <c r="M446" s="6" t="str">
        <f>IF(A446="","",SUMIFS(Chicks!$P:$P,Chicks!$F:$F,A446))</f>
        <v/>
      </c>
      <c r="N446" s="6" t="str">
        <f t="shared" si="2"/>
        <v/>
      </c>
    </row>
    <row r="447" spans="1:14" ht="14.25" customHeight="1" x14ac:dyDescent="0.3">
      <c r="A447" s="4"/>
      <c r="B447" s="4"/>
      <c r="C447" s="4"/>
      <c r="D447" s="4"/>
      <c r="E447" s="4"/>
      <c r="F447" s="6" t="str">
        <f>IF(A447="","",COUNTIF(Chicks!$F:$F,A447))</f>
        <v/>
      </c>
      <c r="G447" s="6" t="str">
        <f>IF(A447="","",COUNTIFS(Chicks!$F:$F,A447,Chicks!$I:$I,"Yes"))</f>
        <v/>
      </c>
      <c r="H447" s="6" t="str">
        <f>IF(A447="","",SUMIFS(Chicks!$J:$J,Chicks!$F:$F,A447))</f>
        <v/>
      </c>
      <c r="I447" s="6" t="str">
        <f>IF(A447="","",COUNTIFS(Chicks!$F:$F,A447,Chicks!$I:$I,"No"))</f>
        <v/>
      </c>
      <c r="J447" s="6" t="str">
        <f>IF(A447="","",IFERROR(AVERAGEIF(Chicks!$F:$F,A447,Chicks!$M:$M),""))</f>
        <v/>
      </c>
      <c r="K447" s="6" t="str">
        <f>IF(A447="","",SUMIFS(Chicks!$N:$N,Chicks!$F:$F,A447))</f>
        <v/>
      </c>
      <c r="L447" s="6" t="str">
        <f>IF(A447="","",SUMIFS(Chicks!$O:$O,Chicks!$F:$F,A447))</f>
        <v/>
      </c>
      <c r="M447" s="6" t="str">
        <f>IF(A447="","",SUMIFS(Chicks!$P:$P,Chicks!$F:$F,A447))</f>
        <v/>
      </c>
      <c r="N447" s="6" t="str">
        <f t="shared" si="2"/>
        <v/>
      </c>
    </row>
    <row r="448" spans="1:14" ht="14.25" customHeight="1" x14ac:dyDescent="0.3">
      <c r="A448" s="4"/>
      <c r="B448" s="4"/>
      <c r="C448" s="4"/>
      <c r="D448" s="4"/>
      <c r="E448" s="4"/>
      <c r="F448" s="6" t="str">
        <f>IF(A448="","",COUNTIF(Chicks!$F:$F,A448))</f>
        <v/>
      </c>
      <c r="G448" s="6" t="str">
        <f>IF(A448="","",COUNTIFS(Chicks!$F:$F,A448,Chicks!$I:$I,"Yes"))</f>
        <v/>
      </c>
      <c r="H448" s="6" t="str">
        <f>IF(A448="","",SUMIFS(Chicks!$J:$J,Chicks!$F:$F,A448))</f>
        <v/>
      </c>
      <c r="I448" s="6" t="str">
        <f>IF(A448="","",COUNTIFS(Chicks!$F:$F,A448,Chicks!$I:$I,"No"))</f>
        <v/>
      </c>
      <c r="J448" s="6" t="str">
        <f>IF(A448="","",IFERROR(AVERAGEIF(Chicks!$F:$F,A448,Chicks!$M:$M),""))</f>
        <v/>
      </c>
      <c r="K448" s="6" t="str">
        <f>IF(A448="","",SUMIFS(Chicks!$N:$N,Chicks!$F:$F,A448))</f>
        <v/>
      </c>
      <c r="L448" s="6" t="str">
        <f>IF(A448="","",SUMIFS(Chicks!$O:$O,Chicks!$F:$F,A448))</f>
        <v/>
      </c>
      <c r="M448" s="6" t="str">
        <f>IF(A448="","",SUMIFS(Chicks!$P:$P,Chicks!$F:$F,A448))</f>
        <v/>
      </c>
      <c r="N448" s="6" t="str">
        <f t="shared" si="2"/>
        <v/>
      </c>
    </row>
    <row r="449" spans="1:14" ht="14.25" customHeight="1" x14ac:dyDescent="0.3">
      <c r="A449" s="4"/>
      <c r="B449" s="4"/>
      <c r="C449" s="4"/>
      <c r="D449" s="4"/>
      <c r="E449" s="4"/>
      <c r="F449" s="6" t="str">
        <f>IF(A449="","",COUNTIF(Chicks!$F:$F,A449))</f>
        <v/>
      </c>
      <c r="G449" s="6" t="str">
        <f>IF(A449="","",COUNTIFS(Chicks!$F:$F,A449,Chicks!$I:$I,"Yes"))</f>
        <v/>
      </c>
      <c r="H449" s="6" t="str">
        <f>IF(A449="","",SUMIFS(Chicks!$J:$J,Chicks!$F:$F,A449))</f>
        <v/>
      </c>
      <c r="I449" s="6" t="str">
        <f>IF(A449="","",COUNTIFS(Chicks!$F:$F,A449,Chicks!$I:$I,"No"))</f>
        <v/>
      </c>
      <c r="J449" s="6" t="str">
        <f>IF(A449="","",IFERROR(AVERAGEIF(Chicks!$F:$F,A449,Chicks!$M:$M),""))</f>
        <v/>
      </c>
      <c r="K449" s="6" t="str">
        <f>IF(A449="","",SUMIFS(Chicks!$N:$N,Chicks!$F:$F,A449))</f>
        <v/>
      </c>
      <c r="L449" s="6" t="str">
        <f>IF(A449="","",SUMIFS(Chicks!$O:$O,Chicks!$F:$F,A449))</f>
        <v/>
      </c>
      <c r="M449" s="6" t="str">
        <f>IF(A449="","",SUMIFS(Chicks!$P:$P,Chicks!$F:$F,A449))</f>
        <v/>
      </c>
      <c r="N449" s="6" t="str">
        <f t="shared" si="2"/>
        <v/>
      </c>
    </row>
    <row r="450" spans="1:14" ht="14.25" customHeight="1" x14ac:dyDescent="0.3">
      <c r="A450" s="4"/>
      <c r="B450" s="4"/>
      <c r="C450" s="4"/>
      <c r="D450" s="4"/>
      <c r="E450" s="4"/>
      <c r="F450" s="6" t="str">
        <f>IF(A450="","",COUNTIF(Chicks!$F:$F,A450))</f>
        <v/>
      </c>
      <c r="G450" s="6" t="str">
        <f>IF(A450="","",COUNTIFS(Chicks!$F:$F,A450,Chicks!$I:$I,"Yes"))</f>
        <v/>
      </c>
      <c r="H450" s="6" t="str">
        <f>IF(A450="","",SUMIFS(Chicks!$J:$J,Chicks!$F:$F,A450))</f>
        <v/>
      </c>
      <c r="I450" s="6" t="str">
        <f>IF(A450="","",COUNTIFS(Chicks!$F:$F,A450,Chicks!$I:$I,"No"))</f>
        <v/>
      </c>
      <c r="J450" s="6" t="str">
        <f>IF(A450="","",IFERROR(AVERAGEIF(Chicks!$F:$F,A450,Chicks!$M:$M),""))</f>
        <v/>
      </c>
      <c r="K450" s="6" t="str">
        <f>IF(A450="","",SUMIFS(Chicks!$N:$N,Chicks!$F:$F,A450))</f>
        <v/>
      </c>
      <c r="L450" s="6" t="str">
        <f>IF(A450="","",SUMIFS(Chicks!$O:$O,Chicks!$F:$F,A450))</f>
        <v/>
      </c>
      <c r="M450" s="6" t="str">
        <f>IF(A450="","",SUMIFS(Chicks!$P:$P,Chicks!$F:$F,A450))</f>
        <v/>
      </c>
      <c r="N450" s="6" t="str">
        <f t="shared" si="2"/>
        <v/>
      </c>
    </row>
    <row r="451" spans="1:14" ht="14.25" customHeight="1" x14ac:dyDescent="0.3">
      <c r="A451" s="4"/>
      <c r="B451" s="4"/>
      <c r="C451" s="4"/>
      <c r="D451" s="4"/>
      <c r="E451" s="4"/>
      <c r="F451" s="6" t="str">
        <f>IF(A451="","",COUNTIF(Chicks!$F:$F,A451))</f>
        <v/>
      </c>
      <c r="G451" s="6" t="str">
        <f>IF(A451="","",COUNTIFS(Chicks!$F:$F,A451,Chicks!$I:$I,"Yes"))</f>
        <v/>
      </c>
      <c r="H451" s="6" t="str">
        <f>IF(A451="","",SUMIFS(Chicks!$J:$J,Chicks!$F:$F,A451))</f>
        <v/>
      </c>
      <c r="I451" s="6" t="str">
        <f>IF(A451="","",COUNTIFS(Chicks!$F:$F,A451,Chicks!$I:$I,"No"))</f>
        <v/>
      </c>
      <c r="J451" s="6" t="str">
        <f>IF(A451="","",IFERROR(AVERAGEIF(Chicks!$F:$F,A451,Chicks!$M:$M),""))</f>
        <v/>
      </c>
      <c r="K451" s="6" t="str">
        <f>IF(A451="","",SUMIFS(Chicks!$N:$N,Chicks!$F:$F,A451))</f>
        <v/>
      </c>
      <c r="L451" s="6" t="str">
        <f>IF(A451="","",SUMIFS(Chicks!$O:$O,Chicks!$F:$F,A451))</f>
        <v/>
      </c>
      <c r="M451" s="6" t="str">
        <f>IF(A451="","",SUMIFS(Chicks!$P:$P,Chicks!$F:$F,A451))</f>
        <v/>
      </c>
      <c r="N451" s="6" t="str">
        <f t="shared" si="2"/>
        <v/>
      </c>
    </row>
    <row r="452" spans="1:14" ht="14.25" customHeight="1" x14ac:dyDescent="0.3">
      <c r="A452" s="4"/>
      <c r="B452" s="4"/>
      <c r="C452" s="4"/>
      <c r="D452" s="4"/>
      <c r="E452" s="4"/>
      <c r="F452" s="6" t="str">
        <f>IF(A452="","",COUNTIF(Chicks!$F:$F,A452))</f>
        <v/>
      </c>
      <c r="G452" s="6" t="str">
        <f>IF(A452="","",COUNTIFS(Chicks!$F:$F,A452,Chicks!$I:$I,"Yes"))</f>
        <v/>
      </c>
      <c r="H452" s="6" t="str">
        <f>IF(A452="","",SUMIFS(Chicks!$J:$J,Chicks!$F:$F,A452))</f>
        <v/>
      </c>
      <c r="I452" s="6" t="str">
        <f>IF(A452="","",COUNTIFS(Chicks!$F:$F,A452,Chicks!$I:$I,"No"))</f>
        <v/>
      </c>
      <c r="J452" s="6" t="str">
        <f>IF(A452="","",IFERROR(AVERAGEIF(Chicks!$F:$F,A452,Chicks!$M:$M),""))</f>
        <v/>
      </c>
      <c r="K452" s="6" t="str">
        <f>IF(A452="","",SUMIFS(Chicks!$N:$N,Chicks!$F:$F,A452))</f>
        <v/>
      </c>
      <c r="L452" s="6" t="str">
        <f>IF(A452="","",SUMIFS(Chicks!$O:$O,Chicks!$F:$F,A452))</f>
        <v/>
      </c>
      <c r="M452" s="6" t="str">
        <f>IF(A452="","",SUMIFS(Chicks!$P:$P,Chicks!$F:$F,A452))</f>
        <v/>
      </c>
      <c r="N452" s="6" t="str">
        <f t="shared" si="2"/>
        <v/>
      </c>
    </row>
    <row r="453" spans="1:14" ht="14.25" customHeight="1" x14ac:dyDescent="0.3">
      <c r="A453" s="4"/>
      <c r="B453" s="4"/>
      <c r="C453" s="4"/>
      <c r="D453" s="4"/>
      <c r="E453" s="4"/>
      <c r="F453" s="6" t="str">
        <f>IF(A453="","",COUNTIF(Chicks!$F:$F,A453))</f>
        <v/>
      </c>
      <c r="G453" s="6" t="str">
        <f>IF(A453="","",COUNTIFS(Chicks!$F:$F,A453,Chicks!$I:$I,"Yes"))</f>
        <v/>
      </c>
      <c r="H453" s="6" t="str">
        <f>IF(A453="","",SUMIFS(Chicks!$J:$J,Chicks!$F:$F,A453))</f>
        <v/>
      </c>
      <c r="I453" s="6" t="str">
        <f>IF(A453="","",COUNTIFS(Chicks!$F:$F,A453,Chicks!$I:$I,"No"))</f>
        <v/>
      </c>
      <c r="J453" s="6" t="str">
        <f>IF(A453="","",IFERROR(AVERAGEIF(Chicks!$F:$F,A453,Chicks!$M:$M),""))</f>
        <v/>
      </c>
      <c r="K453" s="6" t="str">
        <f>IF(A453="","",SUMIFS(Chicks!$N:$N,Chicks!$F:$F,A453))</f>
        <v/>
      </c>
      <c r="L453" s="6" t="str">
        <f>IF(A453="","",SUMIFS(Chicks!$O:$O,Chicks!$F:$F,A453))</f>
        <v/>
      </c>
      <c r="M453" s="6" t="str">
        <f>IF(A453="","",SUMIFS(Chicks!$P:$P,Chicks!$F:$F,A453))</f>
        <v/>
      </c>
      <c r="N453" s="6" t="str">
        <f t="shared" si="2"/>
        <v/>
      </c>
    </row>
    <row r="454" spans="1:14" ht="14.25" customHeight="1" x14ac:dyDescent="0.3">
      <c r="A454" s="4"/>
      <c r="B454" s="4"/>
      <c r="C454" s="4"/>
      <c r="D454" s="4"/>
      <c r="E454" s="4"/>
      <c r="F454" s="6" t="str">
        <f>IF(A454="","",COUNTIF(Chicks!$F:$F,A454))</f>
        <v/>
      </c>
      <c r="G454" s="6" t="str">
        <f>IF(A454="","",COUNTIFS(Chicks!$F:$F,A454,Chicks!$I:$I,"Yes"))</f>
        <v/>
      </c>
      <c r="H454" s="6" t="str">
        <f>IF(A454="","",SUMIFS(Chicks!$J:$J,Chicks!$F:$F,A454))</f>
        <v/>
      </c>
      <c r="I454" s="6" t="str">
        <f>IF(A454="","",COUNTIFS(Chicks!$F:$F,A454,Chicks!$I:$I,"No"))</f>
        <v/>
      </c>
      <c r="J454" s="6" t="str">
        <f>IF(A454="","",IFERROR(AVERAGEIF(Chicks!$F:$F,A454,Chicks!$M:$M),""))</f>
        <v/>
      </c>
      <c r="K454" s="6" t="str">
        <f>IF(A454="","",SUMIFS(Chicks!$N:$N,Chicks!$F:$F,A454))</f>
        <v/>
      </c>
      <c r="L454" s="6" t="str">
        <f>IF(A454="","",SUMIFS(Chicks!$O:$O,Chicks!$F:$F,A454))</f>
        <v/>
      </c>
      <c r="M454" s="6" t="str">
        <f>IF(A454="","",SUMIFS(Chicks!$P:$P,Chicks!$F:$F,A454))</f>
        <v/>
      </c>
      <c r="N454" s="6" t="str">
        <f t="shared" si="2"/>
        <v/>
      </c>
    </row>
    <row r="455" spans="1:14" ht="14.25" customHeight="1" x14ac:dyDescent="0.3">
      <c r="A455" s="4"/>
      <c r="B455" s="4"/>
      <c r="C455" s="4"/>
      <c r="D455" s="4"/>
      <c r="E455" s="4"/>
      <c r="F455" s="6" t="str">
        <f>IF(A455="","",COUNTIF(Chicks!$F:$F,A455))</f>
        <v/>
      </c>
      <c r="G455" s="6" t="str">
        <f>IF(A455="","",COUNTIFS(Chicks!$F:$F,A455,Chicks!$I:$I,"Yes"))</f>
        <v/>
      </c>
      <c r="H455" s="6" t="str">
        <f>IF(A455="","",SUMIFS(Chicks!$J:$J,Chicks!$F:$F,A455))</f>
        <v/>
      </c>
      <c r="I455" s="6" t="str">
        <f>IF(A455="","",COUNTIFS(Chicks!$F:$F,A455,Chicks!$I:$I,"No"))</f>
        <v/>
      </c>
      <c r="J455" s="6" t="str">
        <f>IF(A455="","",IFERROR(AVERAGEIF(Chicks!$F:$F,A455,Chicks!$M:$M),""))</f>
        <v/>
      </c>
      <c r="K455" s="6" t="str">
        <f>IF(A455="","",SUMIFS(Chicks!$N:$N,Chicks!$F:$F,A455))</f>
        <v/>
      </c>
      <c r="L455" s="6" t="str">
        <f>IF(A455="","",SUMIFS(Chicks!$O:$O,Chicks!$F:$F,A455))</f>
        <v/>
      </c>
      <c r="M455" s="6" t="str">
        <f>IF(A455="","",SUMIFS(Chicks!$P:$P,Chicks!$F:$F,A455))</f>
        <v/>
      </c>
      <c r="N455" s="6" t="str">
        <f t="shared" si="2"/>
        <v/>
      </c>
    </row>
    <row r="456" spans="1:14" ht="14.25" customHeight="1" x14ac:dyDescent="0.3">
      <c r="A456" s="4"/>
      <c r="B456" s="4"/>
      <c r="C456" s="4"/>
      <c r="D456" s="4"/>
      <c r="E456" s="4"/>
      <c r="F456" s="6" t="str">
        <f>IF(A456="","",COUNTIF(Chicks!$F:$F,A456))</f>
        <v/>
      </c>
      <c r="G456" s="6" t="str">
        <f>IF(A456="","",COUNTIFS(Chicks!$F:$F,A456,Chicks!$I:$I,"Yes"))</f>
        <v/>
      </c>
      <c r="H456" s="6" t="str">
        <f>IF(A456="","",SUMIFS(Chicks!$J:$J,Chicks!$F:$F,A456))</f>
        <v/>
      </c>
      <c r="I456" s="6" t="str">
        <f>IF(A456="","",COUNTIFS(Chicks!$F:$F,A456,Chicks!$I:$I,"No"))</f>
        <v/>
      </c>
      <c r="J456" s="6" t="str">
        <f>IF(A456="","",IFERROR(AVERAGEIF(Chicks!$F:$F,A456,Chicks!$M:$M),""))</f>
        <v/>
      </c>
      <c r="K456" s="6" t="str">
        <f>IF(A456="","",SUMIFS(Chicks!$N:$N,Chicks!$F:$F,A456))</f>
        <v/>
      </c>
      <c r="L456" s="6" t="str">
        <f>IF(A456="","",SUMIFS(Chicks!$O:$O,Chicks!$F:$F,A456))</f>
        <v/>
      </c>
      <c r="M456" s="6" t="str">
        <f>IF(A456="","",SUMIFS(Chicks!$P:$P,Chicks!$F:$F,A456))</f>
        <v/>
      </c>
      <c r="N456" s="6" t="str">
        <f t="shared" si="2"/>
        <v/>
      </c>
    </row>
    <row r="457" spans="1:14" ht="14.25" customHeight="1" x14ac:dyDescent="0.3">
      <c r="A457" s="4"/>
      <c r="B457" s="4"/>
      <c r="C457" s="4"/>
      <c r="D457" s="4"/>
      <c r="E457" s="4"/>
      <c r="F457" s="6" t="str">
        <f>IF(A457="","",COUNTIF(Chicks!$F:$F,A457))</f>
        <v/>
      </c>
      <c r="G457" s="6" t="str">
        <f>IF(A457="","",COUNTIFS(Chicks!$F:$F,A457,Chicks!$I:$I,"Yes"))</f>
        <v/>
      </c>
      <c r="H457" s="6" t="str">
        <f>IF(A457="","",SUMIFS(Chicks!$J:$J,Chicks!$F:$F,A457))</f>
        <v/>
      </c>
      <c r="I457" s="6" t="str">
        <f>IF(A457="","",COUNTIFS(Chicks!$F:$F,A457,Chicks!$I:$I,"No"))</f>
        <v/>
      </c>
      <c r="J457" s="6" t="str">
        <f>IF(A457="","",IFERROR(AVERAGEIF(Chicks!$F:$F,A457,Chicks!$M:$M),""))</f>
        <v/>
      </c>
      <c r="K457" s="6" t="str">
        <f>IF(A457="","",SUMIFS(Chicks!$N:$N,Chicks!$F:$F,A457))</f>
        <v/>
      </c>
      <c r="L457" s="6" t="str">
        <f>IF(A457="","",SUMIFS(Chicks!$O:$O,Chicks!$F:$F,A457))</f>
        <v/>
      </c>
      <c r="M457" s="6" t="str">
        <f>IF(A457="","",SUMIFS(Chicks!$P:$P,Chicks!$F:$F,A457))</f>
        <v/>
      </c>
      <c r="N457" s="6" t="str">
        <f t="shared" si="2"/>
        <v/>
      </c>
    </row>
    <row r="458" spans="1:14" ht="14.25" customHeight="1" x14ac:dyDescent="0.3">
      <c r="A458" s="4"/>
      <c r="B458" s="4"/>
      <c r="C458" s="4"/>
      <c r="D458" s="4"/>
      <c r="E458" s="4"/>
      <c r="F458" s="6" t="str">
        <f>IF(A458="","",COUNTIF(Chicks!$F:$F,A458))</f>
        <v/>
      </c>
      <c r="G458" s="6" t="str">
        <f>IF(A458="","",COUNTIFS(Chicks!$F:$F,A458,Chicks!$I:$I,"Yes"))</f>
        <v/>
      </c>
      <c r="H458" s="6" t="str">
        <f>IF(A458="","",SUMIFS(Chicks!$J:$J,Chicks!$F:$F,A458))</f>
        <v/>
      </c>
      <c r="I458" s="6" t="str">
        <f>IF(A458="","",COUNTIFS(Chicks!$F:$F,A458,Chicks!$I:$I,"No"))</f>
        <v/>
      </c>
      <c r="J458" s="6" t="str">
        <f>IF(A458="","",IFERROR(AVERAGEIF(Chicks!$F:$F,A458,Chicks!$M:$M),""))</f>
        <v/>
      </c>
      <c r="K458" s="6" t="str">
        <f>IF(A458="","",SUMIFS(Chicks!$N:$N,Chicks!$F:$F,A458))</f>
        <v/>
      </c>
      <c r="L458" s="6" t="str">
        <f>IF(A458="","",SUMIFS(Chicks!$O:$O,Chicks!$F:$F,A458))</f>
        <v/>
      </c>
      <c r="M458" s="6" t="str">
        <f>IF(A458="","",SUMIFS(Chicks!$P:$P,Chicks!$F:$F,A458))</f>
        <v/>
      </c>
      <c r="N458" s="6" t="str">
        <f t="shared" si="2"/>
        <v/>
      </c>
    </row>
    <row r="459" spans="1:14" ht="14.25" customHeight="1" x14ac:dyDescent="0.3">
      <c r="A459" s="4"/>
      <c r="B459" s="4"/>
      <c r="C459" s="4"/>
      <c r="D459" s="4"/>
      <c r="E459" s="4"/>
      <c r="F459" s="6" t="str">
        <f>IF(A459="","",COUNTIF(Chicks!$F:$F,A459))</f>
        <v/>
      </c>
      <c r="G459" s="6" t="str">
        <f>IF(A459="","",COUNTIFS(Chicks!$F:$F,A459,Chicks!$I:$I,"Yes"))</f>
        <v/>
      </c>
      <c r="H459" s="6" t="str">
        <f>IF(A459="","",SUMIFS(Chicks!$J:$J,Chicks!$F:$F,A459))</f>
        <v/>
      </c>
      <c r="I459" s="6" t="str">
        <f>IF(A459="","",COUNTIFS(Chicks!$F:$F,A459,Chicks!$I:$I,"No"))</f>
        <v/>
      </c>
      <c r="J459" s="6" t="str">
        <f>IF(A459="","",IFERROR(AVERAGEIF(Chicks!$F:$F,A459,Chicks!$M:$M),""))</f>
        <v/>
      </c>
      <c r="K459" s="6" t="str">
        <f>IF(A459="","",SUMIFS(Chicks!$N:$N,Chicks!$F:$F,A459))</f>
        <v/>
      </c>
      <c r="L459" s="6" t="str">
        <f>IF(A459="","",SUMIFS(Chicks!$O:$O,Chicks!$F:$F,A459))</f>
        <v/>
      </c>
      <c r="M459" s="6" t="str">
        <f>IF(A459="","",SUMIFS(Chicks!$P:$P,Chicks!$F:$F,A459))</f>
        <v/>
      </c>
      <c r="N459" s="6" t="str">
        <f t="shared" si="2"/>
        <v/>
      </c>
    </row>
    <row r="460" spans="1:14" ht="14.25" customHeight="1" x14ac:dyDescent="0.3">
      <c r="A460" s="4"/>
      <c r="B460" s="4"/>
      <c r="C460" s="4"/>
      <c r="D460" s="4"/>
      <c r="E460" s="4"/>
      <c r="F460" s="6" t="str">
        <f>IF(A460="","",COUNTIF(Chicks!$F:$F,A460))</f>
        <v/>
      </c>
      <c r="G460" s="6" t="str">
        <f>IF(A460="","",COUNTIFS(Chicks!$F:$F,A460,Chicks!$I:$I,"Yes"))</f>
        <v/>
      </c>
      <c r="H460" s="6" t="str">
        <f>IF(A460="","",SUMIFS(Chicks!$J:$J,Chicks!$F:$F,A460))</f>
        <v/>
      </c>
      <c r="I460" s="6" t="str">
        <f>IF(A460="","",COUNTIFS(Chicks!$F:$F,A460,Chicks!$I:$I,"No"))</f>
        <v/>
      </c>
      <c r="J460" s="6" t="str">
        <f>IF(A460="","",IFERROR(AVERAGEIF(Chicks!$F:$F,A460,Chicks!$M:$M),""))</f>
        <v/>
      </c>
      <c r="K460" s="6" t="str">
        <f>IF(A460="","",SUMIFS(Chicks!$N:$N,Chicks!$F:$F,A460))</f>
        <v/>
      </c>
      <c r="L460" s="6" t="str">
        <f>IF(A460="","",SUMIFS(Chicks!$O:$O,Chicks!$F:$F,A460))</f>
        <v/>
      </c>
      <c r="M460" s="6" t="str">
        <f>IF(A460="","",SUMIFS(Chicks!$P:$P,Chicks!$F:$F,A460))</f>
        <v/>
      </c>
      <c r="N460" s="6" t="str">
        <f t="shared" si="2"/>
        <v/>
      </c>
    </row>
    <row r="461" spans="1:14" ht="14.25" customHeight="1" x14ac:dyDescent="0.3">
      <c r="A461" s="4"/>
      <c r="B461" s="4"/>
      <c r="C461" s="4"/>
      <c r="D461" s="4"/>
      <c r="E461" s="4"/>
      <c r="F461" s="6" t="str">
        <f>IF(A461="","",COUNTIF(Chicks!$F:$F,A461))</f>
        <v/>
      </c>
      <c r="G461" s="6" t="str">
        <f>IF(A461="","",COUNTIFS(Chicks!$F:$F,A461,Chicks!$I:$I,"Yes"))</f>
        <v/>
      </c>
      <c r="H461" s="6" t="str">
        <f>IF(A461="","",SUMIFS(Chicks!$J:$J,Chicks!$F:$F,A461))</f>
        <v/>
      </c>
      <c r="I461" s="6" t="str">
        <f>IF(A461="","",COUNTIFS(Chicks!$F:$F,A461,Chicks!$I:$I,"No"))</f>
        <v/>
      </c>
      <c r="J461" s="6" t="str">
        <f>IF(A461="","",IFERROR(AVERAGEIF(Chicks!$F:$F,A461,Chicks!$M:$M),""))</f>
        <v/>
      </c>
      <c r="K461" s="6" t="str">
        <f>IF(A461="","",SUMIFS(Chicks!$N:$N,Chicks!$F:$F,A461))</f>
        <v/>
      </c>
      <c r="L461" s="6" t="str">
        <f>IF(A461="","",SUMIFS(Chicks!$O:$O,Chicks!$F:$F,A461))</f>
        <v/>
      </c>
      <c r="M461" s="6" t="str">
        <f>IF(A461="","",SUMIFS(Chicks!$P:$P,Chicks!$F:$F,A461))</f>
        <v/>
      </c>
      <c r="N461" s="6" t="str">
        <f t="shared" si="2"/>
        <v/>
      </c>
    </row>
    <row r="462" spans="1:14" ht="14.25" customHeight="1" x14ac:dyDescent="0.3">
      <c r="A462" s="4"/>
      <c r="B462" s="4"/>
      <c r="C462" s="4"/>
      <c r="D462" s="4"/>
      <c r="E462" s="4"/>
      <c r="F462" s="6" t="str">
        <f>IF(A462="","",COUNTIF(Chicks!$F:$F,A462))</f>
        <v/>
      </c>
      <c r="G462" s="6" t="str">
        <f>IF(A462="","",COUNTIFS(Chicks!$F:$F,A462,Chicks!$I:$I,"Yes"))</f>
        <v/>
      </c>
      <c r="H462" s="6" t="str">
        <f>IF(A462="","",SUMIFS(Chicks!$J:$J,Chicks!$F:$F,A462))</f>
        <v/>
      </c>
      <c r="I462" s="6" t="str">
        <f>IF(A462="","",COUNTIFS(Chicks!$F:$F,A462,Chicks!$I:$I,"No"))</f>
        <v/>
      </c>
      <c r="J462" s="6" t="str">
        <f>IF(A462="","",IFERROR(AVERAGEIF(Chicks!$F:$F,A462,Chicks!$M:$M),""))</f>
        <v/>
      </c>
      <c r="K462" s="6" t="str">
        <f>IF(A462="","",SUMIFS(Chicks!$N:$N,Chicks!$F:$F,A462))</f>
        <v/>
      </c>
      <c r="L462" s="6" t="str">
        <f>IF(A462="","",SUMIFS(Chicks!$O:$O,Chicks!$F:$F,A462))</f>
        <v/>
      </c>
      <c r="M462" s="6" t="str">
        <f>IF(A462="","",SUMIFS(Chicks!$P:$P,Chicks!$F:$F,A462))</f>
        <v/>
      </c>
      <c r="N462" s="6" t="str">
        <f t="shared" si="2"/>
        <v/>
      </c>
    </row>
    <row r="463" spans="1:14" ht="14.25" customHeight="1" x14ac:dyDescent="0.3">
      <c r="A463" s="4"/>
      <c r="B463" s="4"/>
      <c r="C463" s="4"/>
      <c r="D463" s="4"/>
      <c r="E463" s="4"/>
      <c r="F463" s="6" t="str">
        <f>IF(A463="","",COUNTIF(Chicks!$F:$F,A463))</f>
        <v/>
      </c>
      <c r="G463" s="6" t="str">
        <f>IF(A463="","",COUNTIFS(Chicks!$F:$F,A463,Chicks!$I:$I,"Yes"))</f>
        <v/>
      </c>
      <c r="H463" s="6" t="str">
        <f>IF(A463="","",SUMIFS(Chicks!$J:$J,Chicks!$F:$F,A463))</f>
        <v/>
      </c>
      <c r="I463" s="6" t="str">
        <f>IF(A463="","",COUNTIFS(Chicks!$F:$F,A463,Chicks!$I:$I,"No"))</f>
        <v/>
      </c>
      <c r="J463" s="6" t="str">
        <f>IF(A463="","",IFERROR(AVERAGEIF(Chicks!$F:$F,A463,Chicks!$M:$M),""))</f>
        <v/>
      </c>
      <c r="K463" s="6" t="str">
        <f>IF(A463="","",SUMIFS(Chicks!$N:$N,Chicks!$F:$F,A463))</f>
        <v/>
      </c>
      <c r="L463" s="6" t="str">
        <f>IF(A463="","",SUMIFS(Chicks!$O:$O,Chicks!$F:$F,A463))</f>
        <v/>
      </c>
      <c r="M463" s="6" t="str">
        <f>IF(A463="","",SUMIFS(Chicks!$P:$P,Chicks!$F:$F,A463))</f>
        <v/>
      </c>
      <c r="N463" s="6" t="str">
        <f t="shared" si="2"/>
        <v/>
      </c>
    </row>
    <row r="464" spans="1:14" ht="14.25" customHeight="1" x14ac:dyDescent="0.3">
      <c r="A464" s="4"/>
      <c r="B464" s="4"/>
      <c r="C464" s="4"/>
      <c r="D464" s="4"/>
      <c r="E464" s="4"/>
      <c r="F464" s="6" t="str">
        <f>IF(A464="","",COUNTIF(Chicks!$F:$F,A464))</f>
        <v/>
      </c>
      <c r="G464" s="6" t="str">
        <f>IF(A464="","",COUNTIFS(Chicks!$F:$F,A464,Chicks!$I:$I,"Yes"))</f>
        <v/>
      </c>
      <c r="H464" s="6" t="str">
        <f>IF(A464="","",SUMIFS(Chicks!$J:$J,Chicks!$F:$F,A464))</f>
        <v/>
      </c>
      <c r="I464" s="6" t="str">
        <f>IF(A464="","",COUNTIFS(Chicks!$F:$F,A464,Chicks!$I:$I,"No"))</f>
        <v/>
      </c>
      <c r="J464" s="6" t="str">
        <f>IF(A464="","",IFERROR(AVERAGEIF(Chicks!$F:$F,A464,Chicks!$M:$M),""))</f>
        <v/>
      </c>
      <c r="K464" s="6" t="str">
        <f>IF(A464="","",SUMIFS(Chicks!$N:$N,Chicks!$F:$F,A464))</f>
        <v/>
      </c>
      <c r="L464" s="6" t="str">
        <f>IF(A464="","",SUMIFS(Chicks!$O:$O,Chicks!$F:$F,A464))</f>
        <v/>
      </c>
      <c r="M464" s="6" t="str">
        <f>IF(A464="","",SUMIFS(Chicks!$P:$P,Chicks!$F:$F,A464))</f>
        <v/>
      </c>
      <c r="N464" s="6" t="str">
        <f t="shared" si="2"/>
        <v/>
      </c>
    </row>
    <row r="465" spans="1:14" ht="14.25" customHeight="1" x14ac:dyDescent="0.3">
      <c r="A465" s="4"/>
      <c r="B465" s="4"/>
      <c r="C465" s="4"/>
      <c r="D465" s="4"/>
      <c r="E465" s="4"/>
      <c r="F465" s="6" t="str">
        <f>IF(A465="","",COUNTIF(Chicks!$F:$F,A465))</f>
        <v/>
      </c>
      <c r="G465" s="6" t="str">
        <f>IF(A465="","",COUNTIFS(Chicks!$F:$F,A465,Chicks!$I:$I,"Yes"))</f>
        <v/>
      </c>
      <c r="H465" s="6" t="str">
        <f>IF(A465="","",SUMIFS(Chicks!$J:$J,Chicks!$F:$F,A465))</f>
        <v/>
      </c>
      <c r="I465" s="6" t="str">
        <f>IF(A465="","",COUNTIFS(Chicks!$F:$F,A465,Chicks!$I:$I,"No"))</f>
        <v/>
      </c>
      <c r="J465" s="6" t="str">
        <f>IF(A465="","",IFERROR(AVERAGEIF(Chicks!$F:$F,A465,Chicks!$M:$M),""))</f>
        <v/>
      </c>
      <c r="K465" s="6" t="str">
        <f>IF(A465="","",SUMIFS(Chicks!$N:$N,Chicks!$F:$F,A465))</f>
        <v/>
      </c>
      <c r="L465" s="6" t="str">
        <f>IF(A465="","",SUMIFS(Chicks!$O:$O,Chicks!$F:$F,A465))</f>
        <v/>
      </c>
      <c r="M465" s="6" t="str">
        <f>IF(A465="","",SUMIFS(Chicks!$P:$P,Chicks!$F:$F,A465))</f>
        <v/>
      </c>
      <c r="N465" s="6" t="str">
        <f t="shared" si="2"/>
        <v/>
      </c>
    </row>
    <row r="466" spans="1:14" ht="14.25" customHeight="1" x14ac:dyDescent="0.3">
      <c r="A466" s="4"/>
      <c r="B466" s="4"/>
      <c r="C466" s="4"/>
      <c r="D466" s="4"/>
      <c r="E466" s="4"/>
      <c r="F466" s="6" t="str">
        <f>IF(A466="","",COUNTIF(Chicks!$F:$F,A466))</f>
        <v/>
      </c>
      <c r="G466" s="6" t="str">
        <f>IF(A466="","",COUNTIFS(Chicks!$F:$F,A466,Chicks!$I:$I,"Yes"))</f>
        <v/>
      </c>
      <c r="H466" s="6" t="str">
        <f>IF(A466="","",SUMIFS(Chicks!$J:$J,Chicks!$F:$F,A466))</f>
        <v/>
      </c>
      <c r="I466" s="6" t="str">
        <f>IF(A466="","",COUNTIFS(Chicks!$F:$F,A466,Chicks!$I:$I,"No"))</f>
        <v/>
      </c>
      <c r="J466" s="6" t="str">
        <f>IF(A466="","",IFERROR(AVERAGEIF(Chicks!$F:$F,A466,Chicks!$M:$M),""))</f>
        <v/>
      </c>
      <c r="K466" s="6" t="str">
        <f>IF(A466="","",SUMIFS(Chicks!$N:$N,Chicks!$F:$F,A466))</f>
        <v/>
      </c>
      <c r="L466" s="6" t="str">
        <f>IF(A466="","",SUMIFS(Chicks!$O:$O,Chicks!$F:$F,A466))</f>
        <v/>
      </c>
      <c r="M466" s="6" t="str">
        <f>IF(A466="","",SUMIFS(Chicks!$P:$P,Chicks!$F:$F,A466))</f>
        <v/>
      </c>
      <c r="N466" s="6" t="str">
        <f t="shared" si="2"/>
        <v/>
      </c>
    </row>
    <row r="467" spans="1:14" ht="14.25" customHeight="1" x14ac:dyDescent="0.3">
      <c r="A467" s="4"/>
      <c r="B467" s="4"/>
      <c r="C467" s="4"/>
      <c r="D467" s="4"/>
      <c r="E467" s="4"/>
      <c r="F467" s="6" t="str">
        <f>IF(A467="","",COUNTIF(Chicks!$F:$F,A467))</f>
        <v/>
      </c>
      <c r="G467" s="6" t="str">
        <f>IF(A467="","",COUNTIFS(Chicks!$F:$F,A467,Chicks!$I:$I,"Yes"))</f>
        <v/>
      </c>
      <c r="H467" s="6" t="str">
        <f>IF(A467="","",SUMIFS(Chicks!$J:$J,Chicks!$F:$F,A467))</f>
        <v/>
      </c>
      <c r="I467" s="6" t="str">
        <f>IF(A467="","",COUNTIFS(Chicks!$F:$F,A467,Chicks!$I:$I,"No"))</f>
        <v/>
      </c>
      <c r="J467" s="6" t="str">
        <f>IF(A467="","",IFERROR(AVERAGEIF(Chicks!$F:$F,A467,Chicks!$M:$M),""))</f>
        <v/>
      </c>
      <c r="K467" s="6" t="str">
        <f>IF(A467="","",SUMIFS(Chicks!$N:$N,Chicks!$F:$F,A467))</f>
        <v/>
      </c>
      <c r="L467" s="6" t="str">
        <f>IF(A467="","",SUMIFS(Chicks!$O:$O,Chicks!$F:$F,A467))</f>
        <v/>
      </c>
      <c r="M467" s="6" t="str">
        <f>IF(A467="","",SUMIFS(Chicks!$P:$P,Chicks!$F:$F,A467))</f>
        <v/>
      </c>
      <c r="N467" s="6" t="str">
        <f t="shared" si="2"/>
        <v/>
      </c>
    </row>
    <row r="468" spans="1:14" ht="14.25" customHeight="1" x14ac:dyDescent="0.3">
      <c r="A468" s="4"/>
      <c r="B468" s="4"/>
      <c r="C468" s="4"/>
      <c r="D468" s="4"/>
      <c r="E468" s="4"/>
      <c r="F468" s="6" t="str">
        <f>IF(A468="","",COUNTIF(Chicks!$F:$F,A468))</f>
        <v/>
      </c>
      <c r="G468" s="6" t="str">
        <f>IF(A468="","",COUNTIFS(Chicks!$F:$F,A468,Chicks!$I:$I,"Yes"))</f>
        <v/>
      </c>
      <c r="H468" s="6" t="str">
        <f>IF(A468="","",SUMIFS(Chicks!$J:$J,Chicks!$F:$F,A468))</f>
        <v/>
      </c>
      <c r="I468" s="6" t="str">
        <f>IF(A468="","",COUNTIFS(Chicks!$F:$F,A468,Chicks!$I:$I,"No"))</f>
        <v/>
      </c>
      <c r="J468" s="6" t="str">
        <f>IF(A468="","",IFERROR(AVERAGEIF(Chicks!$F:$F,A468,Chicks!$M:$M),""))</f>
        <v/>
      </c>
      <c r="K468" s="6" t="str">
        <f>IF(A468="","",SUMIFS(Chicks!$N:$N,Chicks!$F:$F,A468))</f>
        <v/>
      </c>
      <c r="L468" s="6" t="str">
        <f>IF(A468="","",SUMIFS(Chicks!$O:$O,Chicks!$F:$F,A468))</f>
        <v/>
      </c>
      <c r="M468" s="6" t="str">
        <f>IF(A468="","",SUMIFS(Chicks!$P:$P,Chicks!$F:$F,A468))</f>
        <v/>
      </c>
      <c r="N468" s="6" t="str">
        <f t="shared" si="2"/>
        <v/>
      </c>
    </row>
    <row r="469" spans="1:14" ht="14.25" customHeight="1" x14ac:dyDescent="0.3">
      <c r="A469" s="4"/>
      <c r="B469" s="4"/>
      <c r="C469" s="4"/>
      <c r="D469" s="4"/>
      <c r="E469" s="4"/>
      <c r="F469" s="6" t="str">
        <f>IF(A469="","",COUNTIF(Chicks!$F:$F,A469))</f>
        <v/>
      </c>
      <c r="G469" s="6" t="str">
        <f>IF(A469="","",COUNTIFS(Chicks!$F:$F,A469,Chicks!$I:$I,"Yes"))</f>
        <v/>
      </c>
      <c r="H469" s="6" t="str">
        <f>IF(A469="","",SUMIFS(Chicks!$J:$J,Chicks!$F:$F,A469))</f>
        <v/>
      </c>
      <c r="I469" s="6" t="str">
        <f>IF(A469="","",COUNTIFS(Chicks!$F:$F,A469,Chicks!$I:$I,"No"))</f>
        <v/>
      </c>
      <c r="J469" s="6" t="str">
        <f>IF(A469="","",IFERROR(AVERAGEIF(Chicks!$F:$F,A469,Chicks!$M:$M),""))</f>
        <v/>
      </c>
      <c r="K469" s="6" t="str">
        <f>IF(A469="","",SUMIFS(Chicks!$N:$N,Chicks!$F:$F,A469))</f>
        <v/>
      </c>
      <c r="L469" s="6" t="str">
        <f>IF(A469="","",SUMIFS(Chicks!$O:$O,Chicks!$F:$F,A469))</f>
        <v/>
      </c>
      <c r="M469" s="6" t="str">
        <f>IF(A469="","",SUMIFS(Chicks!$P:$P,Chicks!$F:$F,A469))</f>
        <v/>
      </c>
      <c r="N469" s="6" t="str">
        <f t="shared" si="2"/>
        <v/>
      </c>
    </row>
    <row r="470" spans="1:14" ht="14.25" customHeight="1" x14ac:dyDescent="0.3">
      <c r="A470" s="4"/>
      <c r="B470" s="4"/>
      <c r="C470" s="4"/>
      <c r="D470" s="4"/>
      <c r="E470" s="4"/>
      <c r="F470" s="6" t="str">
        <f>IF(A470="","",COUNTIF(Chicks!$F:$F,A470))</f>
        <v/>
      </c>
      <c r="G470" s="6" t="str">
        <f>IF(A470="","",COUNTIFS(Chicks!$F:$F,A470,Chicks!$I:$I,"Yes"))</f>
        <v/>
      </c>
      <c r="H470" s="6" t="str">
        <f>IF(A470="","",SUMIFS(Chicks!$J:$J,Chicks!$F:$F,A470))</f>
        <v/>
      </c>
      <c r="I470" s="6" t="str">
        <f>IF(A470="","",COUNTIFS(Chicks!$F:$F,A470,Chicks!$I:$I,"No"))</f>
        <v/>
      </c>
      <c r="J470" s="6" t="str">
        <f>IF(A470="","",IFERROR(AVERAGEIF(Chicks!$F:$F,A470,Chicks!$M:$M),""))</f>
        <v/>
      </c>
      <c r="K470" s="6" t="str">
        <f>IF(A470="","",SUMIFS(Chicks!$N:$N,Chicks!$F:$F,A470))</f>
        <v/>
      </c>
      <c r="L470" s="6" t="str">
        <f>IF(A470="","",SUMIFS(Chicks!$O:$O,Chicks!$F:$F,A470))</f>
        <v/>
      </c>
      <c r="M470" s="6" t="str">
        <f>IF(A470="","",SUMIFS(Chicks!$P:$P,Chicks!$F:$F,A470))</f>
        <v/>
      </c>
      <c r="N470" s="6" t="str">
        <f t="shared" si="2"/>
        <v/>
      </c>
    </row>
    <row r="471" spans="1:14" ht="14.25" customHeight="1" x14ac:dyDescent="0.3">
      <c r="A471" s="4"/>
      <c r="B471" s="4"/>
      <c r="C471" s="4"/>
      <c r="D471" s="4"/>
      <c r="E471" s="4"/>
      <c r="F471" s="6" t="str">
        <f>IF(A471="","",COUNTIF(Chicks!$F:$F,A471))</f>
        <v/>
      </c>
      <c r="G471" s="6" t="str">
        <f>IF(A471="","",COUNTIFS(Chicks!$F:$F,A471,Chicks!$I:$I,"Yes"))</f>
        <v/>
      </c>
      <c r="H471" s="6" t="str">
        <f>IF(A471="","",SUMIFS(Chicks!$J:$J,Chicks!$F:$F,A471))</f>
        <v/>
      </c>
      <c r="I471" s="6" t="str">
        <f>IF(A471="","",COUNTIFS(Chicks!$F:$F,A471,Chicks!$I:$I,"No"))</f>
        <v/>
      </c>
      <c r="J471" s="6" t="str">
        <f>IF(A471="","",IFERROR(AVERAGEIF(Chicks!$F:$F,A471,Chicks!$M:$M),""))</f>
        <v/>
      </c>
      <c r="K471" s="6" t="str">
        <f>IF(A471="","",SUMIFS(Chicks!$N:$N,Chicks!$F:$F,A471))</f>
        <v/>
      </c>
      <c r="L471" s="6" t="str">
        <f>IF(A471="","",SUMIFS(Chicks!$O:$O,Chicks!$F:$F,A471))</f>
        <v/>
      </c>
      <c r="M471" s="6" t="str">
        <f>IF(A471="","",SUMIFS(Chicks!$P:$P,Chicks!$F:$F,A471))</f>
        <v/>
      </c>
      <c r="N471" s="6" t="str">
        <f t="shared" si="2"/>
        <v/>
      </c>
    </row>
    <row r="472" spans="1:14" ht="14.25" customHeight="1" x14ac:dyDescent="0.3">
      <c r="A472" s="4"/>
      <c r="B472" s="4"/>
      <c r="C472" s="4"/>
      <c r="D472" s="4"/>
      <c r="E472" s="4"/>
      <c r="F472" s="6" t="str">
        <f>IF(A472="","",COUNTIF(Chicks!$F:$F,A472))</f>
        <v/>
      </c>
      <c r="G472" s="6" t="str">
        <f>IF(A472="","",COUNTIFS(Chicks!$F:$F,A472,Chicks!$I:$I,"Yes"))</f>
        <v/>
      </c>
      <c r="H472" s="6" t="str">
        <f>IF(A472="","",SUMIFS(Chicks!$J:$J,Chicks!$F:$F,A472))</f>
        <v/>
      </c>
      <c r="I472" s="6" t="str">
        <f>IF(A472="","",COUNTIFS(Chicks!$F:$F,A472,Chicks!$I:$I,"No"))</f>
        <v/>
      </c>
      <c r="J472" s="6" t="str">
        <f>IF(A472="","",IFERROR(AVERAGEIF(Chicks!$F:$F,A472,Chicks!$M:$M),""))</f>
        <v/>
      </c>
      <c r="K472" s="6" t="str">
        <f>IF(A472="","",SUMIFS(Chicks!$N:$N,Chicks!$F:$F,A472))</f>
        <v/>
      </c>
      <c r="L472" s="6" t="str">
        <f>IF(A472="","",SUMIFS(Chicks!$O:$O,Chicks!$F:$F,A472))</f>
        <v/>
      </c>
      <c r="M472" s="6" t="str">
        <f>IF(A472="","",SUMIFS(Chicks!$P:$P,Chicks!$F:$F,A472))</f>
        <v/>
      </c>
      <c r="N472" s="6" t="str">
        <f t="shared" si="2"/>
        <v/>
      </c>
    </row>
    <row r="473" spans="1:14" ht="14.25" customHeight="1" x14ac:dyDescent="0.3">
      <c r="A473" s="4"/>
      <c r="B473" s="4"/>
      <c r="C473" s="4"/>
      <c r="D473" s="4"/>
      <c r="E473" s="4"/>
      <c r="F473" s="6" t="str">
        <f>IF(A473="","",COUNTIF(Chicks!$F:$F,A473))</f>
        <v/>
      </c>
      <c r="G473" s="6" t="str">
        <f>IF(A473="","",COUNTIFS(Chicks!$F:$F,A473,Chicks!$I:$I,"Yes"))</f>
        <v/>
      </c>
      <c r="H473" s="6" t="str">
        <f>IF(A473="","",SUMIFS(Chicks!$J:$J,Chicks!$F:$F,A473))</f>
        <v/>
      </c>
      <c r="I473" s="6" t="str">
        <f>IF(A473="","",COUNTIFS(Chicks!$F:$F,A473,Chicks!$I:$I,"No"))</f>
        <v/>
      </c>
      <c r="J473" s="6" t="str">
        <f>IF(A473="","",IFERROR(AVERAGEIF(Chicks!$F:$F,A473,Chicks!$M:$M),""))</f>
        <v/>
      </c>
      <c r="K473" s="6" t="str">
        <f>IF(A473="","",SUMIFS(Chicks!$N:$N,Chicks!$F:$F,A473))</f>
        <v/>
      </c>
      <c r="L473" s="6" t="str">
        <f>IF(A473="","",SUMIFS(Chicks!$O:$O,Chicks!$F:$F,A473))</f>
        <v/>
      </c>
      <c r="M473" s="6" t="str">
        <f>IF(A473="","",SUMIFS(Chicks!$P:$P,Chicks!$F:$F,A473))</f>
        <v/>
      </c>
      <c r="N473" s="6" t="str">
        <f t="shared" si="2"/>
        <v/>
      </c>
    </row>
    <row r="474" spans="1:14" ht="14.25" customHeight="1" x14ac:dyDescent="0.3">
      <c r="A474" s="4"/>
      <c r="B474" s="4"/>
      <c r="C474" s="4"/>
      <c r="D474" s="4"/>
      <c r="E474" s="4"/>
      <c r="F474" s="6" t="str">
        <f>IF(A474="","",COUNTIF(Chicks!$F:$F,A474))</f>
        <v/>
      </c>
      <c r="G474" s="6" t="str">
        <f>IF(A474="","",COUNTIFS(Chicks!$F:$F,A474,Chicks!$I:$I,"Yes"))</f>
        <v/>
      </c>
      <c r="H474" s="6" t="str">
        <f>IF(A474="","",SUMIFS(Chicks!$J:$J,Chicks!$F:$F,A474))</f>
        <v/>
      </c>
      <c r="I474" s="6" t="str">
        <f>IF(A474="","",COUNTIFS(Chicks!$F:$F,A474,Chicks!$I:$I,"No"))</f>
        <v/>
      </c>
      <c r="J474" s="6" t="str">
        <f>IF(A474="","",IFERROR(AVERAGEIF(Chicks!$F:$F,A474,Chicks!$M:$M),""))</f>
        <v/>
      </c>
      <c r="K474" s="6" t="str">
        <f>IF(A474="","",SUMIFS(Chicks!$N:$N,Chicks!$F:$F,A474))</f>
        <v/>
      </c>
      <c r="L474" s="6" t="str">
        <f>IF(A474="","",SUMIFS(Chicks!$O:$O,Chicks!$F:$F,A474))</f>
        <v/>
      </c>
      <c r="M474" s="6" t="str">
        <f>IF(A474="","",SUMIFS(Chicks!$P:$P,Chicks!$F:$F,A474))</f>
        <v/>
      </c>
      <c r="N474" s="6" t="str">
        <f t="shared" si="2"/>
        <v/>
      </c>
    </row>
    <row r="475" spans="1:14" ht="14.25" customHeight="1" x14ac:dyDescent="0.3">
      <c r="A475" s="4"/>
      <c r="B475" s="4"/>
      <c r="C475" s="4"/>
      <c r="D475" s="4"/>
      <c r="E475" s="4"/>
      <c r="F475" s="6" t="str">
        <f>IF(A475="","",COUNTIF(Chicks!$F:$F,A475))</f>
        <v/>
      </c>
      <c r="G475" s="6" t="str">
        <f>IF(A475="","",COUNTIFS(Chicks!$F:$F,A475,Chicks!$I:$I,"Yes"))</f>
        <v/>
      </c>
      <c r="H475" s="6" t="str">
        <f>IF(A475="","",SUMIFS(Chicks!$J:$J,Chicks!$F:$F,A475))</f>
        <v/>
      </c>
      <c r="I475" s="6" t="str">
        <f>IF(A475="","",COUNTIFS(Chicks!$F:$F,A475,Chicks!$I:$I,"No"))</f>
        <v/>
      </c>
      <c r="J475" s="6" t="str">
        <f>IF(A475="","",IFERROR(AVERAGEIF(Chicks!$F:$F,A475,Chicks!$M:$M),""))</f>
        <v/>
      </c>
      <c r="K475" s="6" t="str">
        <f>IF(A475="","",SUMIFS(Chicks!$N:$N,Chicks!$F:$F,A475))</f>
        <v/>
      </c>
      <c r="L475" s="6" t="str">
        <f>IF(A475="","",SUMIFS(Chicks!$O:$O,Chicks!$F:$F,A475))</f>
        <v/>
      </c>
      <c r="M475" s="6" t="str">
        <f>IF(A475="","",SUMIFS(Chicks!$P:$P,Chicks!$F:$F,A475))</f>
        <v/>
      </c>
      <c r="N475" s="6" t="str">
        <f t="shared" si="2"/>
        <v/>
      </c>
    </row>
    <row r="476" spans="1:14" ht="14.25" customHeight="1" x14ac:dyDescent="0.3">
      <c r="A476" s="4"/>
      <c r="B476" s="4"/>
      <c r="C476" s="4"/>
      <c r="D476" s="4"/>
      <c r="E476" s="4"/>
      <c r="F476" s="6" t="str">
        <f>IF(A476="","",COUNTIF(Chicks!$F:$F,A476))</f>
        <v/>
      </c>
      <c r="G476" s="6" t="str">
        <f>IF(A476="","",COUNTIFS(Chicks!$F:$F,A476,Chicks!$I:$I,"Yes"))</f>
        <v/>
      </c>
      <c r="H476" s="6" t="str">
        <f>IF(A476="","",SUMIFS(Chicks!$J:$J,Chicks!$F:$F,A476))</f>
        <v/>
      </c>
      <c r="I476" s="6" t="str">
        <f>IF(A476="","",COUNTIFS(Chicks!$F:$F,A476,Chicks!$I:$I,"No"))</f>
        <v/>
      </c>
      <c r="J476" s="6" t="str">
        <f>IF(A476="","",IFERROR(AVERAGEIF(Chicks!$F:$F,A476,Chicks!$M:$M),""))</f>
        <v/>
      </c>
      <c r="K476" s="6" t="str">
        <f>IF(A476="","",SUMIFS(Chicks!$N:$N,Chicks!$F:$F,A476))</f>
        <v/>
      </c>
      <c r="L476" s="6" t="str">
        <f>IF(A476="","",SUMIFS(Chicks!$O:$O,Chicks!$F:$F,A476))</f>
        <v/>
      </c>
      <c r="M476" s="6" t="str">
        <f>IF(A476="","",SUMIFS(Chicks!$P:$P,Chicks!$F:$F,A476))</f>
        <v/>
      </c>
      <c r="N476" s="6" t="str">
        <f t="shared" si="2"/>
        <v/>
      </c>
    </row>
    <row r="477" spans="1:14" ht="14.25" customHeight="1" x14ac:dyDescent="0.3">
      <c r="A477" s="4"/>
      <c r="B477" s="4"/>
      <c r="C477" s="4"/>
      <c r="D477" s="4"/>
      <c r="E477" s="4"/>
      <c r="F477" s="6" t="str">
        <f>IF(A477="","",COUNTIF(Chicks!$F:$F,A477))</f>
        <v/>
      </c>
      <c r="G477" s="6" t="str">
        <f>IF(A477="","",COUNTIFS(Chicks!$F:$F,A477,Chicks!$I:$I,"Yes"))</f>
        <v/>
      </c>
      <c r="H477" s="6" t="str">
        <f>IF(A477="","",SUMIFS(Chicks!$J:$J,Chicks!$F:$F,A477))</f>
        <v/>
      </c>
      <c r="I477" s="6" t="str">
        <f>IF(A477="","",COUNTIFS(Chicks!$F:$F,A477,Chicks!$I:$I,"No"))</f>
        <v/>
      </c>
      <c r="J477" s="6" t="str">
        <f>IF(A477="","",IFERROR(AVERAGEIF(Chicks!$F:$F,A477,Chicks!$M:$M),""))</f>
        <v/>
      </c>
      <c r="K477" s="6" t="str">
        <f>IF(A477="","",SUMIFS(Chicks!$N:$N,Chicks!$F:$F,A477))</f>
        <v/>
      </c>
      <c r="L477" s="6" t="str">
        <f>IF(A477="","",SUMIFS(Chicks!$O:$O,Chicks!$F:$F,A477))</f>
        <v/>
      </c>
      <c r="M477" s="6" t="str">
        <f>IF(A477="","",SUMIFS(Chicks!$P:$P,Chicks!$F:$F,A477))</f>
        <v/>
      </c>
      <c r="N477" s="6" t="str">
        <f t="shared" si="2"/>
        <v/>
      </c>
    </row>
    <row r="478" spans="1:14" ht="14.25" customHeight="1" x14ac:dyDescent="0.3">
      <c r="A478" s="4"/>
      <c r="B478" s="4"/>
      <c r="C478" s="4"/>
      <c r="D478" s="4"/>
      <c r="E478" s="4"/>
      <c r="F478" s="6" t="str">
        <f>IF(A478="","",COUNTIF(Chicks!$F:$F,A478))</f>
        <v/>
      </c>
      <c r="G478" s="6" t="str">
        <f>IF(A478="","",COUNTIFS(Chicks!$F:$F,A478,Chicks!$I:$I,"Yes"))</f>
        <v/>
      </c>
      <c r="H478" s="6" t="str">
        <f>IF(A478="","",SUMIFS(Chicks!$J:$J,Chicks!$F:$F,A478))</f>
        <v/>
      </c>
      <c r="I478" s="6" t="str">
        <f>IF(A478="","",COUNTIFS(Chicks!$F:$F,A478,Chicks!$I:$I,"No"))</f>
        <v/>
      </c>
      <c r="J478" s="6" t="str">
        <f>IF(A478="","",IFERROR(AVERAGEIF(Chicks!$F:$F,A478,Chicks!$M:$M),""))</f>
        <v/>
      </c>
      <c r="K478" s="6" t="str">
        <f>IF(A478="","",SUMIFS(Chicks!$N:$N,Chicks!$F:$F,A478))</f>
        <v/>
      </c>
      <c r="L478" s="6" t="str">
        <f>IF(A478="","",SUMIFS(Chicks!$O:$O,Chicks!$F:$F,A478))</f>
        <v/>
      </c>
      <c r="M478" s="6" t="str">
        <f>IF(A478="","",SUMIFS(Chicks!$P:$P,Chicks!$F:$F,A478))</f>
        <v/>
      </c>
      <c r="N478" s="6" t="str">
        <f t="shared" si="2"/>
        <v/>
      </c>
    </row>
    <row r="479" spans="1:14" ht="14.25" customHeight="1" x14ac:dyDescent="0.3">
      <c r="A479" s="4"/>
      <c r="B479" s="4"/>
      <c r="C479" s="4"/>
      <c r="D479" s="4"/>
      <c r="E479" s="4"/>
      <c r="F479" s="6" t="str">
        <f>IF(A479="","",COUNTIF(Chicks!$F:$F,A479))</f>
        <v/>
      </c>
      <c r="G479" s="6" t="str">
        <f>IF(A479="","",COUNTIFS(Chicks!$F:$F,A479,Chicks!$I:$I,"Yes"))</f>
        <v/>
      </c>
      <c r="H479" s="6" t="str">
        <f>IF(A479="","",SUMIFS(Chicks!$J:$J,Chicks!$F:$F,A479))</f>
        <v/>
      </c>
      <c r="I479" s="6" t="str">
        <f>IF(A479="","",COUNTIFS(Chicks!$F:$F,A479,Chicks!$I:$I,"No"))</f>
        <v/>
      </c>
      <c r="J479" s="6" t="str">
        <f>IF(A479="","",IFERROR(AVERAGEIF(Chicks!$F:$F,A479,Chicks!$M:$M),""))</f>
        <v/>
      </c>
      <c r="K479" s="6" t="str">
        <f>IF(A479="","",SUMIFS(Chicks!$N:$N,Chicks!$F:$F,A479))</f>
        <v/>
      </c>
      <c r="L479" s="6" t="str">
        <f>IF(A479="","",SUMIFS(Chicks!$O:$O,Chicks!$F:$F,A479))</f>
        <v/>
      </c>
      <c r="M479" s="6" t="str">
        <f>IF(A479="","",SUMIFS(Chicks!$P:$P,Chicks!$F:$F,A479))</f>
        <v/>
      </c>
      <c r="N479" s="6" t="str">
        <f t="shared" si="2"/>
        <v/>
      </c>
    </row>
    <row r="480" spans="1:14" ht="14.25" customHeight="1" x14ac:dyDescent="0.3">
      <c r="A480" s="4"/>
      <c r="B480" s="4"/>
      <c r="C480" s="4"/>
      <c r="D480" s="4"/>
      <c r="E480" s="4"/>
      <c r="F480" s="6" t="str">
        <f>IF(A480="","",COUNTIF(Chicks!$F:$F,A480))</f>
        <v/>
      </c>
      <c r="G480" s="6" t="str">
        <f>IF(A480="","",COUNTIFS(Chicks!$F:$F,A480,Chicks!$I:$I,"Yes"))</f>
        <v/>
      </c>
      <c r="H480" s="6" t="str">
        <f>IF(A480="","",SUMIFS(Chicks!$J:$J,Chicks!$F:$F,A480))</f>
        <v/>
      </c>
      <c r="I480" s="6" t="str">
        <f>IF(A480="","",COUNTIFS(Chicks!$F:$F,A480,Chicks!$I:$I,"No"))</f>
        <v/>
      </c>
      <c r="J480" s="6" t="str">
        <f>IF(A480="","",IFERROR(AVERAGEIF(Chicks!$F:$F,A480,Chicks!$M:$M),""))</f>
        <v/>
      </c>
      <c r="K480" s="6" t="str">
        <f>IF(A480="","",SUMIFS(Chicks!$N:$N,Chicks!$F:$F,A480))</f>
        <v/>
      </c>
      <c r="L480" s="6" t="str">
        <f>IF(A480="","",SUMIFS(Chicks!$O:$O,Chicks!$F:$F,A480))</f>
        <v/>
      </c>
      <c r="M480" s="6" t="str">
        <f>IF(A480="","",SUMIFS(Chicks!$P:$P,Chicks!$F:$F,A480))</f>
        <v/>
      </c>
      <c r="N480" s="6" t="str">
        <f t="shared" si="2"/>
        <v/>
      </c>
    </row>
    <row r="481" spans="1:14" ht="14.25" customHeight="1" x14ac:dyDescent="0.3">
      <c r="A481" s="4"/>
      <c r="B481" s="4"/>
      <c r="C481" s="4"/>
      <c r="D481" s="4"/>
      <c r="E481" s="4"/>
      <c r="F481" s="6" t="str">
        <f>IF(A481="","",COUNTIF(Chicks!$F:$F,A481))</f>
        <v/>
      </c>
      <c r="G481" s="6" t="str">
        <f>IF(A481="","",COUNTIFS(Chicks!$F:$F,A481,Chicks!$I:$I,"Yes"))</f>
        <v/>
      </c>
      <c r="H481" s="6" t="str">
        <f>IF(A481="","",SUMIFS(Chicks!$J:$J,Chicks!$F:$F,A481))</f>
        <v/>
      </c>
      <c r="I481" s="6" t="str">
        <f>IF(A481="","",COUNTIFS(Chicks!$F:$F,A481,Chicks!$I:$I,"No"))</f>
        <v/>
      </c>
      <c r="J481" s="6" t="str">
        <f>IF(A481="","",IFERROR(AVERAGEIF(Chicks!$F:$F,A481,Chicks!$M:$M),""))</f>
        <v/>
      </c>
      <c r="K481" s="6" t="str">
        <f>IF(A481="","",SUMIFS(Chicks!$N:$N,Chicks!$F:$F,A481))</f>
        <v/>
      </c>
      <c r="L481" s="6" t="str">
        <f>IF(A481="","",SUMIFS(Chicks!$O:$O,Chicks!$F:$F,A481))</f>
        <v/>
      </c>
      <c r="M481" s="6" t="str">
        <f>IF(A481="","",SUMIFS(Chicks!$P:$P,Chicks!$F:$F,A481))</f>
        <v/>
      </c>
      <c r="N481" s="6" t="str">
        <f t="shared" si="2"/>
        <v/>
      </c>
    </row>
    <row r="482" spans="1:14" ht="14.25" customHeight="1" x14ac:dyDescent="0.3">
      <c r="A482" s="4"/>
      <c r="B482" s="4"/>
      <c r="C482" s="4"/>
      <c r="D482" s="4"/>
      <c r="E482" s="4"/>
      <c r="F482" s="6" t="str">
        <f>IF(A482="","",COUNTIF(Chicks!$F:$F,A482))</f>
        <v/>
      </c>
      <c r="G482" s="6" t="str">
        <f>IF(A482="","",COUNTIFS(Chicks!$F:$F,A482,Chicks!$I:$I,"Yes"))</f>
        <v/>
      </c>
      <c r="H482" s="6" t="str">
        <f>IF(A482="","",SUMIFS(Chicks!$J:$J,Chicks!$F:$F,A482))</f>
        <v/>
      </c>
      <c r="I482" s="6" t="str">
        <f>IF(A482="","",COUNTIFS(Chicks!$F:$F,A482,Chicks!$I:$I,"No"))</f>
        <v/>
      </c>
      <c r="J482" s="6" t="str">
        <f>IF(A482="","",IFERROR(AVERAGEIF(Chicks!$F:$F,A482,Chicks!$M:$M),""))</f>
        <v/>
      </c>
      <c r="K482" s="6" t="str">
        <f>IF(A482="","",SUMIFS(Chicks!$N:$N,Chicks!$F:$F,A482))</f>
        <v/>
      </c>
      <c r="L482" s="6" t="str">
        <f>IF(A482="","",SUMIFS(Chicks!$O:$O,Chicks!$F:$F,A482))</f>
        <v/>
      </c>
      <c r="M482" s="6" t="str">
        <f>IF(A482="","",SUMIFS(Chicks!$P:$P,Chicks!$F:$F,A482))</f>
        <v/>
      </c>
      <c r="N482" s="6" t="str">
        <f t="shared" si="2"/>
        <v/>
      </c>
    </row>
    <row r="483" spans="1:14" ht="14.25" customHeight="1" x14ac:dyDescent="0.3">
      <c r="A483" s="4"/>
      <c r="B483" s="4"/>
      <c r="C483" s="4"/>
      <c r="D483" s="4"/>
      <c r="E483" s="4"/>
      <c r="F483" s="6" t="str">
        <f>IF(A483="","",COUNTIF(Chicks!$F:$F,A483))</f>
        <v/>
      </c>
      <c r="G483" s="6" t="str">
        <f>IF(A483="","",COUNTIFS(Chicks!$F:$F,A483,Chicks!$I:$I,"Yes"))</f>
        <v/>
      </c>
      <c r="H483" s="6" t="str">
        <f>IF(A483="","",SUMIFS(Chicks!$J:$J,Chicks!$F:$F,A483))</f>
        <v/>
      </c>
      <c r="I483" s="6" t="str">
        <f>IF(A483="","",COUNTIFS(Chicks!$F:$F,A483,Chicks!$I:$I,"No"))</f>
        <v/>
      </c>
      <c r="J483" s="6" t="str">
        <f>IF(A483="","",IFERROR(AVERAGEIF(Chicks!$F:$F,A483,Chicks!$M:$M),""))</f>
        <v/>
      </c>
      <c r="K483" s="6" t="str">
        <f>IF(A483="","",SUMIFS(Chicks!$N:$N,Chicks!$F:$F,A483))</f>
        <v/>
      </c>
      <c r="L483" s="6" t="str">
        <f>IF(A483="","",SUMIFS(Chicks!$O:$O,Chicks!$F:$F,A483))</f>
        <v/>
      </c>
      <c r="M483" s="6" t="str">
        <f>IF(A483="","",SUMIFS(Chicks!$P:$P,Chicks!$F:$F,A483))</f>
        <v/>
      </c>
      <c r="N483" s="6" t="str">
        <f t="shared" si="2"/>
        <v/>
      </c>
    </row>
    <row r="484" spans="1:14" ht="14.25" customHeight="1" x14ac:dyDescent="0.3">
      <c r="A484" s="4"/>
      <c r="B484" s="4"/>
      <c r="C484" s="4"/>
      <c r="D484" s="4"/>
      <c r="E484" s="4"/>
      <c r="F484" s="6" t="str">
        <f>IF(A484="","",COUNTIF(Chicks!$F:$F,A484))</f>
        <v/>
      </c>
      <c r="G484" s="6" t="str">
        <f>IF(A484="","",COUNTIFS(Chicks!$F:$F,A484,Chicks!$I:$I,"Yes"))</f>
        <v/>
      </c>
      <c r="H484" s="6" t="str">
        <f>IF(A484="","",SUMIFS(Chicks!$J:$J,Chicks!$F:$F,A484))</f>
        <v/>
      </c>
      <c r="I484" s="6" t="str">
        <f>IF(A484="","",COUNTIFS(Chicks!$F:$F,A484,Chicks!$I:$I,"No"))</f>
        <v/>
      </c>
      <c r="J484" s="6" t="str">
        <f>IF(A484="","",IFERROR(AVERAGEIF(Chicks!$F:$F,A484,Chicks!$M:$M),""))</f>
        <v/>
      </c>
      <c r="K484" s="6" t="str">
        <f>IF(A484="","",SUMIFS(Chicks!$N:$N,Chicks!$F:$F,A484))</f>
        <v/>
      </c>
      <c r="L484" s="6" t="str">
        <f>IF(A484="","",SUMIFS(Chicks!$O:$O,Chicks!$F:$F,A484))</f>
        <v/>
      </c>
      <c r="M484" s="6" t="str">
        <f>IF(A484="","",SUMIFS(Chicks!$P:$P,Chicks!$F:$F,A484))</f>
        <v/>
      </c>
      <c r="N484" s="6" t="str">
        <f t="shared" si="2"/>
        <v/>
      </c>
    </row>
    <row r="485" spans="1:14" ht="14.25" customHeight="1" x14ac:dyDescent="0.3">
      <c r="A485" s="4"/>
      <c r="B485" s="4"/>
      <c r="C485" s="4"/>
      <c r="D485" s="4"/>
      <c r="E485" s="4"/>
      <c r="F485" s="6" t="str">
        <f>IF(A485="","",COUNTIF(Chicks!$F:$F,A485))</f>
        <v/>
      </c>
      <c r="G485" s="6" t="str">
        <f>IF(A485="","",COUNTIFS(Chicks!$F:$F,A485,Chicks!$I:$I,"Yes"))</f>
        <v/>
      </c>
      <c r="H485" s="6" t="str">
        <f>IF(A485="","",SUMIFS(Chicks!$J:$J,Chicks!$F:$F,A485))</f>
        <v/>
      </c>
      <c r="I485" s="6" t="str">
        <f>IF(A485="","",COUNTIFS(Chicks!$F:$F,A485,Chicks!$I:$I,"No"))</f>
        <v/>
      </c>
      <c r="J485" s="6" t="str">
        <f>IF(A485="","",IFERROR(AVERAGEIF(Chicks!$F:$F,A485,Chicks!$M:$M),""))</f>
        <v/>
      </c>
      <c r="K485" s="6" t="str">
        <f>IF(A485="","",SUMIFS(Chicks!$N:$N,Chicks!$F:$F,A485))</f>
        <v/>
      </c>
      <c r="L485" s="6" t="str">
        <f>IF(A485="","",SUMIFS(Chicks!$O:$O,Chicks!$F:$F,A485))</f>
        <v/>
      </c>
      <c r="M485" s="6" t="str">
        <f>IF(A485="","",SUMIFS(Chicks!$P:$P,Chicks!$F:$F,A485))</f>
        <v/>
      </c>
      <c r="N485" s="6" t="str">
        <f t="shared" si="2"/>
        <v/>
      </c>
    </row>
    <row r="486" spans="1:14" ht="14.25" customHeight="1" x14ac:dyDescent="0.3">
      <c r="A486" s="4"/>
      <c r="B486" s="4"/>
      <c r="C486" s="4"/>
      <c r="D486" s="4"/>
      <c r="E486" s="4"/>
      <c r="F486" s="6" t="str">
        <f>IF(A486="","",COUNTIF(Chicks!$F:$F,A486))</f>
        <v/>
      </c>
      <c r="G486" s="6" t="str">
        <f>IF(A486="","",COUNTIFS(Chicks!$F:$F,A486,Chicks!$I:$I,"Yes"))</f>
        <v/>
      </c>
      <c r="H486" s="6" t="str">
        <f>IF(A486="","",SUMIFS(Chicks!$J:$J,Chicks!$F:$F,A486))</f>
        <v/>
      </c>
      <c r="I486" s="6" t="str">
        <f>IF(A486="","",COUNTIFS(Chicks!$F:$F,A486,Chicks!$I:$I,"No"))</f>
        <v/>
      </c>
      <c r="J486" s="6" t="str">
        <f>IF(A486="","",IFERROR(AVERAGEIF(Chicks!$F:$F,A486,Chicks!$M:$M),""))</f>
        <v/>
      </c>
      <c r="K486" s="6" t="str">
        <f>IF(A486="","",SUMIFS(Chicks!$N:$N,Chicks!$F:$F,A486))</f>
        <v/>
      </c>
      <c r="L486" s="6" t="str">
        <f>IF(A486="","",SUMIFS(Chicks!$O:$O,Chicks!$F:$F,A486))</f>
        <v/>
      </c>
      <c r="M486" s="6" t="str">
        <f>IF(A486="","",SUMIFS(Chicks!$P:$P,Chicks!$F:$F,A486))</f>
        <v/>
      </c>
      <c r="N486" s="6" t="str">
        <f t="shared" si="2"/>
        <v/>
      </c>
    </row>
    <row r="487" spans="1:14" ht="14.25" customHeight="1" x14ac:dyDescent="0.3">
      <c r="A487" s="4"/>
      <c r="B487" s="4"/>
      <c r="C487" s="4"/>
      <c r="D487" s="4"/>
      <c r="E487" s="4"/>
      <c r="F487" s="6" t="str">
        <f>IF(A487="","",COUNTIF(Chicks!$F:$F,A487))</f>
        <v/>
      </c>
      <c r="G487" s="6" t="str">
        <f>IF(A487="","",COUNTIFS(Chicks!$F:$F,A487,Chicks!$I:$I,"Yes"))</f>
        <v/>
      </c>
      <c r="H487" s="6" t="str">
        <f>IF(A487="","",SUMIFS(Chicks!$J:$J,Chicks!$F:$F,A487))</f>
        <v/>
      </c>
      <c r="I487" s="6" t="str">
        <f>IF(A487="","",COUNTIFS(Chicks!$F:$F,A487,Chicks!$I:$I,"No"))</f>
        <v/>
      </c>
      <c r="J487" s="6" t="str">
        <f>IF(A487="","",IFERROR(AVERAGEIF(Chicks!$F:$F,A487,Chicks!$M:$M),""))</f>
        <v/>
      </c>
      <c r="K487" s="6" t="str">
        <f>IF(A487="","",SUMIFS(Chicks!$N:$N,Chicks!$F:$F,A487))</f>
        <v/>
      </c>
      <c r="L487" s="6" t="str">
        <f>IF(A487="","",SUMIFS(Chicks!$O:$O,Chicks!$F:$F,A487))</f>
        <v/>
      </c>
      <c r="M487" s="6" t="str">
        <f>IF(A487="","",SUMIFS(Chicks!$P:$P,Chicks!$F:$F,A487))</f>
        <v/>
      </c>
      <c r="N487" s="6" t="str">
        <f t="shared" si="2"/>
        <v/>
      </c>
    </row>
    <row r="488" spans="1:14" ht="14.25" customHeight="1" x14ac:dyDescent="0.3">
      <c r="A488" s="4"/>
      <c r="B488" s="4"/>
      <c r="C488" s="4"/>
      <c r="D488" s="4"/>
      <c r="E488" s="4"/>
      <c r="F488" s="6" t="str">
        <f>IF(A488="","",COUNTIF(Chicks!$F:$F,A488))</f>
        <v/>
      </c>
      <c r="G488" s="6" t="str">
        <f>IF(A488="","",COUNTIFS(Chicks!$F:$F,A488,Chicks!$I:$I,"Yes"))</f>
        <v/>
      </c>
      <c r="H488" s="6" t="str">
        <f>IF(A488="","",SUMIFS(Chicks!$J:$J,Chicks!$F:$F,A488))</f>
        <v/>
      </c>
      <c r="I488" s="6" t="str">
        <f>IF(A488="","",COUNTIFS(Chicks!$F:$F,A488,Chicks!$I:$I,"No"))</f>
        <v/>
      </c>
      <c r="J488" s="6" t="str">
        <f>IF(A488="","",IFERROR(AVERAGEIF(Chicks!$F:$F,A488,Chicks!$M:$M),""))</f>
        <v/>
      </c>
      <c r="K488" s="6" t="str">
        <f>IF(A488="","",SUMIFS(Chicks!$N:$N,Chicks!$F:$F,A488))</f>
        <v/>
      </c>
      <c r="L488" s="6" t="str">
        <f>IF(A488="","",SUMIFS(Chicks!$O:$O,Chicks!$F:$F,A488))</f>
        <v/>
      </c>
      <c r="M488" s="6" t="str">
        <f>IF(A488="","",SUMIFS(Chicks!$P:$P,Chicks!$F:$F,A488))</f>
        <v/>
      </c>
      <c r="N488" s="6" t="str">
        <f t="shared" si="2"/>
        <v/>
      </c>
    </row>
    <row r="489" spans="1:14" ht="14.25" customHeight="1" x14ac:dyDescent="0.3">
      <c r="A489" s="4"/>
      <c r="B489" s="4"/>
      <c r="C489" s="4"/>
      <c r="D489" s="4"/>
      <c r="E489" s="4"/>
      <c r="F489" s="6" t="str">
        <f>IF(A489="","",COUNTIF(Chicks!$F:$F,A489))</f>
        <v/>
      </c>
      <c r="G489" s="6" t="str">
        <f>IF(A489="","",COUNTIFS(Chicks!$F:$F,A489,Chicks!$I:$I,"Yes"))</f>
        <v/>
      </c>
      <c r="H489" s="6" t="str">
        <f>IF(A489="","",SUMIFS(Chicks!$J:$J,Chicks!$F:$F,A489))</f>
        <v/>
      </c>
      <c r="I489" s="6" t="str">
        <f>IF(A489="","",COUNTIFS(Chicks!$F:$F,A489,Chicks!$I:$I,"No"))</f>
        <v/>
      </c>
      <c r="J489" s="6" t="str">
        <f>IF(A489="","",IFERROR(AVERAGEIF(Chicks!$F:$F,A489,Chicks!$M:$M),""))</f>
        <v/>
      </c>
      <c r="K489" s="6" t="str">
        <f>IF(A489="","",SUMIFS(Chicks!$N:$N,Chicks!$F:$F,A489))</f>
        <v/>
      </c>
      <c r="L489" s="6" t="str">
        <f>IF(A489="","",SUMIFS(Chicks!$O:$O,Chicks!$F:$F,A489))</f>
        <v/>
      </c>
      <c r="M489" s="6" t="str">
        <f>IF(A489="","",SUMIFS(Chicks!$P:$P,Chicks!$F:$F,A489))</f>
        <v/>
      </c>
      <c r="N489" s="6" t="str">
        <f t="shared" si="2"/>
        <v/>
      </c>
    </row>
    <row r="490" spans="1:14" ht="14.25" customHeight="1" x14ac:dyDescent="0.3">
      <c r="A490" s="4"/>
      <c r="B490" s="4"/>
      <c r="C490" s="4"/>
      <c r="D490" s="4"/>
      <c r="E490" s="4"/>
      <c r="F490" s="6" t="str">
        <f>IF(A490="","",COUNTIF(Chicks!$F:$F,A490))</f>
        <v/>
      </c>
      <c r="G490" s="6" t="str">
        <f>IF(A490="","",COUNTIFS(Chicks!$F:$F,A490,Chicks!$I:$I,"Yes"))</f>
        <v/>
      </c>
      <c r="H490" s="6" t="str">
        <f>IF(A490="","",SUMIFS(Chicks!$J:$J,Chicks!$F:$F,A490))</f>
        <v/>
      </c>
      <c r="I490" s="6" t="str">
        <f>IF(A490="","",COUNTIFS(Chicks!$F:$F,A490,Chicks!$I:$I,"No"))</f>
        <v/>
      </c>
      <c r="J490" s="6" t="str">
        <f>IF(A490="","",IFERROR(AVERAGEIF(Chicks!$F:$F,A490,Chicks!$M:$M),""))</f>
        <v/>
      </c>
      <c r="K490" s="6" t="str">
        <f>IF(A490="","",SUMIFS(Chicks!$N:$N,Chicks!$F:$F,A490))</f>
        <v/>
      </c>
      <c r="L490" s="6" t="str">
        <f>IF(A490="","",SUMIFS(Chicks!$O:$O,Chicks!$F:$F,A490))</f>
        <v/>
      </c>
      <c r="M490" s="6" t="str">
        <f>IF(A490="","",SUMIFS(Chicks!$P:$P,Chicks!$F:$F,A490))</f>
        <v/>
      </c>
      <c r="N490" s="6" t="str">
        <f t="shared" si="2"/>
        <v/>
      </c>
    </row>
    <row r="491" spans="1:14" ht="14.25" customHeight="1" x14ac:dyDescent="0.3">
      <c r="A491" s="4"/>
      <c r="B491" s="4"/>
      <c r="C491" s="4"/>
      <c r="D491" s="4"/>
      <c r="E491" s="4"/>
      <c r="F491" s="6" t="str">
        <f>IF(A491="","",COUNTIF(Chicks!$F:$F,A491))</f>
        <v/>
      </c>
      <c r="G491" s="6" t="str">
        <f>IF(A491="","",COUNTIFS(Chicks!$F:$F,A491,Chicks!$I:$I,"Yes"))</f>
        <v/>
      </c>
      <c r="H491" s="6" t="str">
        <f>IF(A491="","",SUMIFS(Chicks!$J:$J,Chicks!$F:$F,A491))</f>
        <v/>
      </c>
      <c r="I491" s="6" t="str">
        <f>IF(A491="","",COUNTIFS(Chicks!$F:$F,A491,Chicks!$I:$I,"No"))</f>
        <v/>
      </c>
      <c r="J491" s="6" t="str">
        <f>IF(A491="","",IFERROR(AVERAGEIF(Chicks!$F:$F,A491,Chicks!$M:$M),""))</f>
        <v/>
      </c>
      <c r="K491" s="6" t="str">
        <f>IF(A491="","",SUMIFS(Chicks!$N:$N,Chicks!$F:$F,A491))</f>
        <v/>
      </c>
      <c r="L491" s="6" t="str">
        <f>IF(A491="","",SUMIFS(Chicks!$O:$O,Chicks!$F:$F,A491))</f>
        <v/>
      </c>
      <c r="M491" s="6" t="str">
        <f>IF(A491="","",SUMIFS(Chicks!$P:$P,Chicks!$F:$F,A491))</f>
        <v/>
      </c>
      <c r="N491" s="6" t="str">
        <f t="shared" si="2"/>
        <v/>
      </c>
    </row>
    <row r="492" spans="1:14" ht="14.25" customHeight="1" x14ac:dyDescent="0.3">
      <c r="A492" s="4"/>
      <c r="B492" s="4"/>
      <c r="C492" s="4"/>
      <c r="D492" s="4"/>
      <c r="E492" s="4"/>
      <c r="F492" s="6" t="str">
        <f>IF(A492="","",COUNTIF(Chicks!$F:$F,A492))</f>
        <v/>
      </c>
      <c r="G492" s="6" t="str">
        <f>IF(A492="","",COUNTIFS(Chicks!$F:$F,A492,Chicks!$I:$I,"Yes"))</f>
        <v/>
      </c>
      <c r="H492" s="6" t="str">
        <f>IF(A492="","",SUMIFS(Chicks!$J:$J,Chicks!$F:$F,A492))</f>
        <v/>
      </c>
      <c r="I492" s="6" t="str">
        <f>IF(A492="","",COUNTIFS(Chicks!$F:$F,A492,Chicks!$I:$I,"No"))</f>
        <v/>
      </c>
      <c r="J492" s="6" t="str">
        <f>IF(A492="","",IFERROR(AVERAGEIF(Chicks!$F:$F,A492,Chicks!$M:$M),""))</f>
        <v/>
      </c>
      <c r="K492" s="6" t="str">
        <f>IF(A492="","",SUMIFS(Chicks!$N:$N,Chicks!$F:$F,A492))</f>
        <v/>
      </c>
      <c r="L492" s="6" t="str">
        <f>IF(A492="","",SUMIFS(Chicks!$O:$O,Chicks!$F:$F,A492))</f>
        <v/>
      </c>
      <c r="M492" s="6" t="str">
        <f>IF(A492="","",SUMIFS(Chicks!$P:$P,Chicks!$F:$F,A492))</f>
        <v/>
      </c>
      <c r="N492" s="6" t="str">
        <f t="shared" si="2"/>
        <v/>
      </c>
    </row>
    <row r="493" spans="1:14" ht="14.25" customHeight="1" x14ac:dyDescent="0.3">
      <c r="A493" s="4"/>
      <c r="B493" s="4"/>
      <c r="C493" s="4"/>
      <c r="D493" s="4"/>
      <c r="E493" s="4"/>
      <c r="F493" s="6" t="str">
        <f>IF(A493="","",COUNTIF(Chicks!$F:$F,A493))</f>
        <v/>
      </c>
      <c r="G493" s="6" t="str">
        <f>IF(A493="","",COUNTIFS(Chicks!$F:$F,A493,Chicks!$I:$I,"Yes"))</f>
        <v/>
      </c>
      <c r="H493" s="6" t="str">
        <f>IF(A493="","",SUMIFS(Chicks!$J:$J,Chicks!$F:$F,A493))</f>
        <v/>
      </c>
      <c r="I493" s="6" t="str">
        <f>IF(A493="","",COUNTIFS(Chicks!$F:$F,A493,Chicks!$I:$I,"No"))</f>
        <v/>
      </c>
      <c r="J493" s="6" t="str">
        <f>IF(A493="","",IFERROR(AVERAGEIF(Chicks!$F:$F,A493,Chicks!$M:$M),""))</f>
        <v/>
      </c>
      <c r="K493" s="6" t="str">
        <f>IF(A493="","",SUMIFS(Chicks!$N:$N,Chicks!$F:$F,A493))</f>
        <v/>
      </c>
      <c r="L493" s="6" t="str">
        <f>IF(A493="","",SUMIFS(Chicks!$O:$O,Chicks!$F:$F,A493))</f>
        <v/>
      </c>
      <c r="M493" s="6" t="str">
        <f>IF(A493="","",SUMIFS(Chicks!$P:$P,Chicks!$F:$F,A493))</f>
        <v/>
      </c>
      <c r="N493" s="6" t="str">
        <f t="shared" si="2"/>
        <v/>
      </c>
    </row>
    <row r="494" spans="1:14" ht="14.25" customHeight="1" x14ac:dyDescent="0.3">
      <c r="A494" s="4"/>
      <c r="B494" s="4"/>
      <c r="C494" s="4"/>
      <c r="D494" s="4"/>
      <c r="E494" s="4"/>
      <c r="F494" s="6" t="str">
        <f>IF(A494="","",COUNTIF(Chicks!$F:$F,A494))</f>
        <v/>
      </c>
      <c r="G494" s="6" t="str">
        <f>IF(A494="","",COUNTIFS(Chicks!$F:$F,A494,Chicks!$I:$I,"Yes"))</f>
        <v/>
      </c>
      <c r="H494" s="6" t="str">
        <f>IF(A494="","",SUMIFS(Chicks!$J:$J,Chicks!$F:$F,A494))</f>
        <v/>
      </c>
      <c r="I494" s="6" t="str">
        <f>IF(A494="","",COUNTIFS(Chicks!$F:$F,A494,Chicks!$I:$I,"No"))</f>
        <v/>
      </c>
      <c r="J494" s="6" t="str">
        <f>IF(A494="","",IFERROR(AVERAGEIF(Chicks!$F:$F,A494,Chicks!$M:$M),""))</f>
        <v/>
      </c>
      <c r="K494" s="6" t="str">
        <f>IF(A494="","",SUMIFS(Chicks!$N:$N,Chicks!$F:$F,A494))</f>
        <v/>
      </c>
      <c r="L494" s="6" t="str">
        <f>IF(A494="","",SUMIFS(Chicks!$O:$O,Chicks!$F:$F,A494))</f>
        <v/>
      </c>
      <c r="M494" s="6" t="str">
        <f>IF(A494="","",SUMIFS(Chicks!$P:$P,Chicks!$F:$F,A494))</f>
        <v/>
      </c>
      <c r="N494" s="6" t="str">
        <f t="shared" si="2"/>
        <v/>
      </c>
    </row>
    <row r="495" spans="1:14" ht="14.25" customHeight="1" x14ac:dyDescent="0.3">
      <c r="A495" s="4"/>
      <c r="B495" s="4"/>
      <c r="C495" s="4"/>
      <c r="D495" s="4"/>
      <c r="E495" s="4"/>
      <c r="F495" s="6" t="str">
        <f>IF(A495="","",COUNTIF(Chicks!$F:$F,A495))</f>
        <v/>
      </c>
      <c r="G495" s="6" t="str">
        <f>IF(A495="","",COUNTIFS(Chicks!$F:$F,A495,Chicks!$I:$I,"Yes"))</f>
        <v/>
      </c>
      <c r="H495" s="6" t="str">
        <f>IF(A495="","",SUMIFS(Chicks!$J:$J,Chicks!$F:$F,A495))</f>
        <v/>
      </c>
      <c r="I495" s="6" t="str">
        <f>IF(A495="","",COUNTIFS(Chicks!$F:$F,A495,Chicks!$I:$I,"No"))</f>
        <v/>
      </c>
      <c r="J495" s="6" t="str">
        <f>IF(A495="","",IFERROR(AVERAGEIF(Chicks!$F:$F,A495,Chicks!$M:$M),""))</f>
        <v/>
      </c>
      <c r="K495" s="6" t="str">
        <f>IF(A495="","",SUMIFS(Chicks!$N:$N,Chicks!$F:$F,A495))</f>
        <v/>
      </c>
      <c r="L495" s="6" t="str">
        <f>IF(A495="","",SUMIFS(Chicks!$O:$O,Chicks!$F:$F,A495))</f>
        <v/>
      </c>
      <c r="M495" s="6" t="str">
        <f>IF(A495="","",SUMIFS(Chicks!$P:$P,Chicks!$F:$F,A495))</f>
        <v/>
      </c>
      <c r="N495" s="6" t="str">
        <f t="shared" si="2"/>
        <v/>
      </c>
    </row>
    <row r="496" spans="1:14" ht="14.25" customHeight="1" x14ac:dyDescent="0.3">
      <c r="A496" s="4"/>
      <c r="B496" s="4"/>
      <c r="C496" s="4"/>
      <c r="D496" s="4"/>
      <c r="E496" s="4"/>
      <c r="F496" s="6" t="str">
        <f>IF(A496="","",COUNTIF(Chicks!$F:$F,A496))</f>
        <v/>
      </c>
      <c r="G496" s="6" t="str">
        <f>IF(A496="","",COUNTIFS(Chicks!$F:$F,A496,Chicks!$I:$I,"Yes"))</f>
        <v/>
      </c>
      <c r="H496" s="6" t="str">
        <f>IF(A496="","",SUMIFS(Chicks!$J:$J,Chicks!$F:$F,A496))</f>
        <v/>
      </c>
      <c r="I496" s="6" t="str">
        <f>IF(A496="","",COUNTIFS(Chicks!$F:$F,A496,Chicks!$I:$I,"No"))</f>
        <v/>
      </c>
      <c r="J496" s="6" t="str">
        <f>IF(A496="","",IFERROR(AVERAGEIF(Chicks!$F:$F,A496,Chicks!$M:$M),""))</f>
        <v/>
      </c>
      <c r="K496" s="6" t="str">
        <f>IF(A496="","",SUMIFS(Chicks!$N:$N,Chicks!$F:$F,A496))</f>
        <v/>
      </c>
      <c r="L496" s="6" t="str">
        <f>IF(A496="","",SUMIFS(Chicks!$O:$O,Chicks!$F:$F,A496))</f>
        <v/>
      </c>
      <c r="M496" s="6" t="str">
        <f>IF(A496="","",SUMIFS(Chicks!$P:$P,Chicks!$F:$F,A496))</f>
        <v/>
      </c>
      <c r="N496" s="6" t="str">
        <f t="shared" si="2"/>
        <v/>
      </c>
    </row>
    <row r="497" spans="1:14" ht="14.25" customHeight="1" x14ac:dyDescent="0.3">
      <c r="A497" s="4"/>
      <c r="B497" s="4"/>
      <c r="C497" s="4"/>
      <c r="D497" s="4"/>
      <c r="E497" s="4"/>
      <c r="F497" s="6" t="str">
        <f>IF(A497="","",COUNTIF(Chicks!$F:$F,A497))</f>
        <v/>
      </c>
      <c r="G497" s="6" t="str">
        <f>IF(A497="","",COUNTIFS(Chicks!$F:$F,A497,Chicks!$I:$I,"Yes"))</f>
        <v/>
      </c>
      <c r="H497" s="6" t="str">
        <f>IF(A497="","",SUMIFS(Chicks!$J:$J,Chicks!$F:$F,A497))</f>
        <v/>
      </c>
      <c r="I497" s="6" t="str">
        <f>IF(A497="","",COUNTIFS(Chicks!$F:$F,A497,Chicks!$I:$I,"No"))</f>
        <v/>
      </c>
      <c r="J497" s="6" t="str">
        <f>IF(A497="","",IFERROR(AVERAGEIF(Chicks!$F:$F,A497,Chicks!$M:$M),""))</f>
        <v/>
      </c>
      <c r="K497" s="6" t="str">
        <f>IF(A497="","",SUMIFS(Chicks!$N:$N,Chicks!$F:$F,A497))</f>
        <v/>
      </c>
      <c r="L497" s="6" t="str">
        <f>IF(A497="","",SUMIFS(Chicks!$O:$O,Chicks!$F:$F,A497))</f>
        <v/>
      </c>
      <c r="M497" s="6" t="str">
        <f>IF(A497="","",SUMIFS(Chicks!$P:$P,Chicks!$F:$F,A497))</f>
        <v/>
      </c>
      <c r="N497" s="6" t="str">
        <f t="shared" si="2"/>
        <v/>
      </c>
    </row>
    <row r="498" spans="1:14" ht="14.25" customHeight="1" x14ac:dyDescent="0.3">
      <c r="F498" s="6" t="str">
        <f>IF(A498="","",COUNTIF(Chicks!$F:$F,A498))</f>
        <v/>
      </c>
      <c r="G498" s="6" t="str">
        <f>IF(A498="","",COUNTIFS(Chicks!$F:$F,A498,Chicks!$I:$I,"Yes"))</f>
        <v/>
      </c>
      <c r="H498" s="6" t="str">
        <f>IF(A498="","",SUMIFS(Chicks!$J:$J,Chicks!$F:$F,A498))</f>
        <v/>
      </c>
      <c r="I498" s="6" t="str">
        <f>IF(A498="","",COUNTIFS(Chicks!$F:$F,A498,Chicks!$I:$I,"No"))</f>
        <v/>
      </c>
      <c r="J498" s="6" t="str">
        <f>IF(A498="","",IFERROR(AVERAGEIF(Chicks!$F:$F,A498,Chicks!$M:$M),""))</f>
        <v/>
      </c>
      <c r="K498" s="6" t="str">
        <f>IF(A498="","",SUMIFS(Chicks!$N:$N,Chicks!$F:$F,A498))</f>
        <v/>
      </c>
      <c r="L498" s="6" t="str">
        <f>IF(A498="","",SUMIFS(Chicks!$O:$O,Chicks!$F:$F,A498))</f>
        <v/>
      </c>
      <c r="M498" s="6" t="str">
        <f>IF(A498="","",SUMIFS(Chicks!$P:$P,Chicks!$F:$F,A498))</f>
        <v/>
      </c>
      <c r="N498" s="6" t="str">
        <f t="shared" si="2"/>
        <v/>
      </c>
    </row>
    <row r="499" spans="1:14" ht="14.25" customHeight="1" x14ac:dyDescent="0.3">
      <c r="F499" s="6" t="str">
        <f>IF(A499="","",COUNTIF(Chicks!$F:$F,A499))</f>
        <v/>
      </c>
      <c r="G499" s="6" t="str">
        <f>IF(A499="","",COUNTIFS(Chicks!$F:$F,A499,Chicks!$I:$I,"Yes"))</f>
        <v/>
      </c>
      <c r="H499" s="6" t="str">
        <f>IF(A499="","",SUMIFS(Chicks!$J:$J,Chicks!$F:$F,A499))</f>
        <v/>
      </c>
      <c r="I499" s="6" t="str">
        <f>IF(A499="","",COUNTIFS(Chicks!$F:$F,A499,Chicks!$I:$I,"No"))</f>
        <v/>
      </c>
      <c r="J499" s="6" t="str">
        <f>IF(A499="","",IFERROR(AVERAGEIF(Chicks!$F:$F,A499,Chicks!$M:$M),""))</f>
        <v/>
      </c>
      <c r="K499" s="6" t="str">
        <f>IF(A499="","",SUMIFS(Chicks!$N:$N,Chicks!$F:$F,A499))</f>
        <v/>
      </c>
      <c r="L499" s="6" t="str">
        <f>IF(A499="","",SUMIFS(Chicks!$O:$O,Chicks!$F:$F,A499))</f>
        <v/>
      </c>
      <c r="M499" s="6" t="str">
        <f>IF(A499="","",SUMIFS(Chicks!$P:$P,Chicks!$F:$F,A499))</f>
        <v/>
      </c>
      <c r="N499" s="6" t="str">
        <f t="shared" si="2"/>
        <v/>
      </c>
    </row>
    <row r="500" spans="1:14" ht="14.25" customHeight="1" x14ac:dyDescent="0.3">
      <c r="F500" s="6" t="str">
        <f>IF(A500="","",COUNTIF(Chicks!$F:$F,A500))</f>
        <v/>
      </c>
      <c r="G500" s="6" t="str">
        <f>IF(A500="","",COUNTIFS(Chicks!$F:$F,A500,Chicks!$I:$I,"Yes"))</f>
        <v/>
      </c>
      <c r="H500" s="6" t="str">
        <f>IF(A500="","",SUMIFS(Chicks!$J:$J,Chicks!$F:$F,A500))</f>
        <v/>
      </c>
      <c r="I500" s="6" t="str">
        <f>IF(A500="","",COUNTIFS(Chicks!$F:$F,A500,Chicks!$I:$I,"No"))</f>
        <v/>
      </c>
      <c r="J500" s="6" t="str">
        <f>IF(A500="","",IFERROR(AVERAGEIF(Chicks!$F:$F,A500,Chicks!$M:$M),""))</f>
        <v/>
      </c>
      <c r="K500" s="6" t="str">
        <f>IF(A500="","",SUMIFS(Chicks!$N:$N,Chicks!$F:$F,A500))</f>
        <v/>
      </c>
      <c r="L500" s="6" t="str">
        <f>IF(A500="","",SUMIFS(Chicks!$O:$O,Chicks!$F:$F,A500))</f>
        <v/>
      </c>
      <c r="M500" s="6" t="str">
        <f>IF(A500="","",SUMIFS(Chicks!$P:$P,Chicks!$F:$F,A500))</f>
        <v/>
      </c>
      <c r="N500" s="6" t="str">
        <f t="shared" si="2"/>
        <v/>
      </c>
    </row>
    <row r="501" spans="1:14" ht="14.25" customHeight="1" x14ac:dyDescent="0.3">
      <c r="F501" s="6" t="str">
        <f>IF(A501="","",COUNTIF(Chicks!$F:$F,A501))</f>
        <v/>
      </c>
      <c r="G501" s="6" t="str">
        <f>IF(A501="","",COUNTIFS(Chicks!$F:$F,A501,Chicks!$I:$I,"Yes"))</f>
        <v/>
      </c>
      <c r="H501" s="6" t="str">
        <f>IF(A501="","",SUMIFS(Chicks!$J:$J,Chicks!$F:$F,A501))</f>
        <v/>
      </c>
      <c r="I501" s="6" t="str">
        <f>IF(A501="","",COUNTIFS(Chicks!$F:$F,A501,Chicks!$I:$I,"No"))</f>
        <v/>
      </c>
      <c r="J501" s="6" t="str">
        <f>IF(A501="","",IFERROR(AVERAGEIF(Chicks!$F:$F,A501,Chicks!$M:$M),""))</f>
        <v/>
      </c>
      <c r="K501" s="6" t="str">
        <f>IF(A501="","",SUMIFS(Chicks!$N:$N,Chicks!$F:$F,A501))</f>
        <v/>
      </c>
      <c r="L501" s="6" t="str">
        <f>IF(A501="","",SUMIFS(Chicks!$O:$O,Chicks!$F:$F,A501))</f>
        <v/>
      </c>
      <c r="M501" s="6" t="str">
        <f>IF(A501="","",SUMIFS(Chicks!$P:$P,Chicks!$F:$F,A501))</f>
        <v/>
      </c>
      <c r="N501" s="6" t="str">
        <f t="shared" si="2"/>
        <v/>
      </c>
    </row>
    <row r="502" spans="1:14" ht="14.25" customHeight="1" x14ac:dyDescent="0.3">
      <c r="F502" s="6" t="str">
        <f>IF(A502="","",COUNTIF(Chicks!$F:$F,A502))</f>
        <v/>
      </c>
      <c r="G502" s="6" t="str">
        <f>IF(A502="","",COUNTIFS(Chicks!$F:$F,A502,Chicks!$I:$I,"Yes"))</f>
        <v/>
      </c>
      <c r="H502" s="6" t="str">
        <f>IF(A502="","",SUMIFS(Chicks!$J:$J,Chicks!$F:$F,A502))</f>
        <v/>
      </c>
      <c r="I502" s="6" t="str">
        <f>IF(A502="","",COUNTIFS(Chicks!$F:$F,A502,Chicks!$I:$I,"No"))</f>
        <v/>
      </c>
      <c r="J502" s="6" t="str">
        <f>IF(A502="","",IFERROR(AVERAGEIF(Chicks!$F:$F,A502,Chicks!$M:$M),""))</f>
        <v/>
      </c>
      <c r="K502" s="6" t="str">
        <f>IF(A502="","",SUMIFS(Chicks!$N:$N,Chicks!$F:$F,A502))</f>
        <v/>
      </c>
      <c r="L502" s="6" t="str">
        <f>IF(A502="","",SUMIFS(Chicks!$O:$O,Chicks!$F:$F,A502))</f>
        <v/>
      </c>
      <c r="M502" s="6" t="str">
        <f>IF(A502="","",SUMIFS(Chicks!$P:$P,Chicks!$F:$F,A502))</f>
        <v/>
      </c>
      <c r="N502" s="6" t="str">
        <f t="shared" si="2"/>
        <v/>
      </c>
    </row>
    <row r="503" spans="1:14" ht="14.25" customHeight="1" x14ac:dyDescent="0.3">
      <c r="F503" s="6" t="str">
        <f>IF(A503="","",COUNTIF(Chicks!$F:$F,A503))</f>
        <v/>
      </c>
      <c r="G503" s="6" t="str">
        <f>IF(A503="","",COUNTIFS(Chicks!$F:$F,A503,Chicks!$I:$I,"Yes"))</f>
        <v/>
      </c>
      <c r="H503" s="6" t="str">
        <f>IF(A503="","",SUMIFS(Chicks!$J:$J,Chicks!$F:$F,A503))</f>
        <v/>
      </c>
      <c r="I503" s="6" t="str">
        <f>IF(A503="","",COUNTIFS(Chicks!$F:$F,A503,Chicks!$I:$I,"No"))</f>
        <v/>
      </c>
      <c r="J503" s="6" t="str">
        <f>IF(A503="","",IFERROR(AVERAGEIF(Chicks!$F:$F,A503,Chicks!$M:$M),""))</f>
        <v/>
      </c>
      <c r="K503" s="6" t="str">
        <f>IF(A503="","",SUMIFS(Chicks!$N:$N,Chicks!$F:$F,A503))</f>
        <v/>
      </c>
      <c r="L503" s="6" t="str">
        <f>IF(A503="","",SUMIFS(Chicks!$O:$O,Chicks!$F:$F,A503))</f>
        <v/>
      </c>
      <c r="M503" s="6" t="str">
        <f>IF(A503="","",SUMIFS(Chicks!$P:$P,Chicks!$F:$F,A503))</f>
        <v/>
      </c>
      <c r="N503" s="6" t="str">
        <f t="shared" si="2"/>
        <v/>
      </c>
    </row>
    <row r="504" spans="1:14" ht="14.25" customHeight="1" x14ac:dyDescent="0.3">
      <c r="F504" s="6" t="str">
        <f>IF(A504="","",COUNTIF(Chicks!$F:$F,A504))</f>
        <v/>
      </c>
      <c r="G504" s="6" t="str">
        <f>IF(A504="","",COUNTIFS(Chicks!$F:$F,A504,Chicks!$I:$I,"Yes"))</f>
        <v/>
      </c>
      <c r="H504" s="6" t="str">
        <f>IF(A504="","",SUMIFS(Chicks!$J:$J,Chicks!$F:$F,A504))</f>
        <v/>
      </c>
      <c r="I504" s="6" t="str">
        <f>IF(A504="","",COUNTIFS(Chicks!$F:$F,A504,Chicks!$I:$I,"No"))</f>
        <v/>
      </c>
      <c r="J504" s="6" t="str">
        <f>IF(A504="","",IFERROR(AVERAGEIF(Chicks!$F:$F,A504,Chicks!$M:$M),""))</f>
        <v/>
      </c>
      <c r="K504" s="6" t="str">
        <f>IF(A504="","",SUMIFS(Chicks!$N:$N,Chicks!$F:$F,A504))</f>
        <v/>
      </c>
      <c r="L504" s="6" t="str">
        <f>IF(A504="","",SUMIFS(Chicks!$O:$O,Chicks!$F:$F,A504))</f>
        <v/>
      </c>
      <c r="M504" s="6" t="str">
        <f>IF(A504="","",SUMIFS(Chicks!$P:$P,Chicks!$F:$F,A504))</f>
        <v/>
      </c>
      <c r="N504" s="6" t="str">
        <f t="shared" si="2"/>
        <v/>
      </c>
    </row>
    <row r="505" spans="1:14" ht="14.25" customHeight="1" x14ac:dyDescent="0.3">
      <c r="F505" s="6" t="str">
        <f>IF(A505="","",COUNTIF(Chicks!$F:$F,A505))</f>
        <v/>
      </c>
      <c r="G505" s="6" t="str">
        <f>IF(A505="","",COUNTIFS(Chicks!$F:$F,A505,Chicks!$I:$I,"Yes"))</f>
        <v/>
      </c>
      <c r="H505" s="6" t="str">
        <f>IF(A505="","",SUMIFS(Chicks!$J:$J,Chicks!$F:$F,A505))</f>
        <v/>
      </c>
      <c r="I505" s="6" t="str">
        <f>IF(A505="","",COUNTIFS(Chicks!$F:$F,A505,Chicks!$I:$I,"No"))</f>
        <v/>
      </c>
      <c r="J505" s="6" t="str">
        <f>IF(A505="","",IFERROR(AVERAGEIF(Chicks!$F:$F,A505,Chicks!$M:$M),""))</f>
        <v/>
      </c>
      <c r="K505" s="6" t="str">
        <f>IF(A505="","",SUMIFS(Chicks!$N:$N,Chicks!$F:$F,A505))</f>
        <v/>
      </c>
      <c r="L505" s="6" t="str">
        <f>IF(A505="","",SUMIFS(Chicks!$O:$O,Chicks!$F:$F,A505))</f>
        <v/>
      </c>
      <c r="M505" s="6" t="str">
        <f>IF(A505="","",SUMIFS(Chicks!$P:$P,Chicks!$F:$F,A505))</f>
        <v/>
      </c>
      <c r="N505" s="6" t="str">
        <f t="shared" si="2"/>
        <v/>
      </c>
    </row>
    <row r="506" spans="1:14" ht="14.25" customHeight="1" x14ac:dyDescent="0.3">
      <c r="F506" s="6" t="str">
        <f>IF(A506="","",COUNTIF(Chicks!$F:$F,A506))</f>
        <v/>
      </c>
      <c r="G506" s="6" t="str">
        <f>IF(A506="","",COUNTIFS(Chicks!$F:$F,A506,Chicks!$I:$I,"Yes"))</f>
        <v/>
      </c>
      <c r="H506" s="6" t="str">
        <f>IF(A506="","",SUMIFS(Chicks!$J:$J,Chicks!$F:$F,A506))</f>
        <v/>
      </c>
      <c r="I506" s="6" t="str">
        <f>IF(A506="","",COUNTIFS(Chicks!$F:$F,A506,Chicks!$I:$I,"No"))</f>
        <v/>
      </c>
      <c r="J506" s="6" t="str">
        <f>IF(A506="","",IFERROR(AVERAGEIF(Chicks!$F:$F,A506,Chicks!$M:$M),""))</f>
        <v/>
      </c>
      <c r="K506" s="6" t="str">
        <f>IF(A506="","",SUMIFS(Chicks!$N:$N,Chicks!$F:$F,A506))</f>
        <v/>
      </c>
      <c r="L506" s="6" t="str">
        <f>IF(A506="","",SUMIFS(Chicks!$O:$O,Chicks!$F:$F,A506))</f>
        <v/>
      </c>
      <c r="M506" s="6" t="str">
        <f>IF(A506="","",SUMIFS(Chicks!$P:$P,Chicks!$F:$F,A506))</f>
        <v/>
      </c>
      <c r="N506" s="6" t="str">
        <f t="shared" si="2"/>
        <v/>
      </c>
    </row>
    <row r="507" spans="1:14" ht="14.25" customHeight="1" x14ac:dyDescent="0.3">
      <c r="F507" s="6" t="str">
        <f>IF(A507="","",COUNTIF(Chicks!$F:$F,A507))</f>
        <v/>
      </c>
      <c r="G507" s="6" t="str">
        <f>IF(A507="","",COUNTIFS(Chicks!$F:$F,A507,Chicks!$I:$I,"Yes"))</f>
        <v/>
      </c>
      <c r="H507" s="6" t="str">
        <f>IF(A507="","",SUMIFS(Chicks!$J:$J,Chicks!$F:$F,A507))</f>
        <v/>
      </c>
      <c r="I507" s="6" t="str">
        <f>IF(A507="","",COUNTIFS(Chicks!$F:$F,A507,Chicks!$I:$I,"No"))</f>
        <v/>
      </c>
      <c r="J507" s="6" t="str">
        <f>IF(A507="","",IFERROR(AVERAGEIF(Chicks!$F:$F,A507,Chicks!$M:$M),""))</f>
        <v/>
      </c>
      <c r="K507" s="6" t="str">
        <f>IF(A507="","",SUMIFS(Chicks!$N:$N,Chicks!$F:$F,A507))</f>
        <v/>
      </c>
      <c r="L507" s="6" t="str">
        <f>IF(A507="","",SUMIFS(Chicks!$O:$O,Chicks!$F:$F,A507))</f>
        <v/>
      </c>
      <c r="M507" s="6" t="str">
        <f>IF(A507="","",SUMIFS(Chicks!$P:$P,Chicks!$F:$F,A507))</f>
        <v/>
      </c>
      <c r="N507" s="6" t="str">
        <f t="shared" si="2"/>
        <v/>
      </c>
    </row>
    <row r="508" spans="1:14" ht="14.25" customHeight="1" x14ac:dyDescent="0.3">
      <c r="F508" s="6" t="str">
        <f>IF(A508="","",COUNTIF(Chicks!$F:$F,A508))</f>
        <v/>
      </c>
      <c r="G508" s="6" t="str">
        <f>IF(A508="","",COUNTIFS(Chicks!$F:$F,A508,Chicks!$I:$I,"Yes"))</f>
        <v/>
      </c>
      <c r="H508" s="6" t="str">
        <f>IF(A508="","",SUMIFS(Chicks!$J:$J,Chicks!$F:$F,A508))</f>
        <v/>
      </c>
      <c r="I508" s="6" t="str">
        <f>IF(A508="","",COUNTIFS(Chicks!$F:$F,A508,Chicks!$I:$I,"No"))</f>
        <v/>
      </c>
      <c r="J508" s="6" t="str">
        <f>IF(A508="","",IFERROR(AVERAGEIF(Chicks!$F:$F,A508,Chicks!$M:$M),""))</f>
        <v/>
      </c>
      <c r="K508" s="6" t="str">
        <f>IF(A508="","",SUMIFS(Chicks!$N:$N,Chicks!$F:$F,A508))</f>
        <v/>
      </c>
      <c r="L508" s="6" t="str">
        <f>IF(A508="","",SUMIFS(Chicks!$O:$O,Chicks!$F:$F,A508))</f>
        <v/>
      </c>
      <c r="M508" s="6" t="str">
        <f>IF(A508="","",SUMIFS(Chicks!$P:$P,Chicks!$F:$F,A508))</f>
        <v/>
      </c>
      <c r="N508" s="6" t="str">
        <f t="shared" si="2"/>
        <v/>
      </c>
    </row>
    <row r="509" spans="1:14" ht="14.25" customHeight="1" x14ac:dyDescent="0.3">
      <c r="F509" s="6" t="str">
        <f>IF(A509="","",COUNTIF(Chicks!$F:$F,A509))</f>
        <v/>
      </c>
      <c r="G509" s="6" t="str">
        <f>IF(A509="","",COUNTIFS(Chicks!$F:$F,A509,Chicks!$I:$I,"Yes"))</f>
        <v/>
      </c>
      <c r="H509" s="6" t="str">
        <f>IF(A509="","",SUMIFS(Chicks!$J:$J,Chicks!$F:$F,A509))</f>
        <v/>
      </c>
      <c r="I509" s="6" t="str">
        <f>IF(A509="","",COUNTIFS(Chicks!$F:$F,A509,Chicks!$I:$I,"No"))</f>
        <v/>
      </c>
      <c r="J509" s="6" t="str">
        <f>IF(A509="","",IFERROR(AVERAGEIF(Chicks!$F:$F,A509,Chicks!$M:$M),""))</f>
        <v/>
      </c>
      <c r="K509" s="6" t="str">
        <f>IF(A509="","",SUMIFS(Chicks!$N:$N,Chicks!$F:$F,A509))</f>
        <v/>
      </c>
      <c r="L509" s="6" t="str">
        <f>IF(A509="","",SUMIFS(Chicks!$O:$O,Chicks!$F:$F,A509))</f>
        <v/>
      </c>
      <c r="M509" s="6" t="str">
        <f>IF(A509="","",SUMIFS(Chicks!$P:$P,Chicks!$F:$F,A509))</f>
        <v/>
      </c>
      <c r="N509" s="6" t="str">
        <f t="shared" si="2"/>
        <v/>
      </c>
    </row>
    <row r="510" spans="1:14" ht="14.25" customHeight="1" x14ac:dyDescent="0.3">
      <c r="F510" s="6" t="str">
        <f>IF(A510="","",COUNTIF(Chicks!$F:$F,A510))</f>
        <v/>
      </c>
      <c r="G510" s="6" t="str">
        <f>IF(A510="","",COUNTIFS(Chicks!$F:$F,A510,Chicks!$I:$I,"Yes"))</f>
        <v/>
      </c>
      <c r="H510" s="6" t="str">
        <f>IF(A510="","",SUMIFS(Chicks!$J:$J,Chicks!$F:$F,A510))</f>
        <v/>
      </c>
      <c r="I510" s="6" t="str">
        <f>IF(A510="","",COUNTIFS(Chicks!$F:$F,A510,Chicks!$I:$I,"No"))</f>
        <v/>
      </c>
      <c r="J510" s="6" t="str">
        <f>IF(A510="","",IFERROR(AVERAGEIF(Chicks!$F:$F,A510,Chicks!$M:$M),""))</f>
        <v/>
      </c>
      <c r="K510" s="6" t="str">
        <f>IF(A510="","",SUMIFS(Chicks!$N:$N,Chicks!$F:$F,A510))</f>
        <v/>
      </c>
      <c r="L510" s="6" t="str">
        <f>IF(A510="","",SUMIFS(Chicks!$O:$O,Chicks!$F:$F,A510))</f>
        <v/>
      </c>
      <c r="M510" s="6" t="str">
        <f>IF(A510="","",SUMIFS(Chicks!$P:$P,Chicks!$F:$F,A510))</f>
        <v/>
      </c>
      <c r="N510" s="6" t="str">
        <f t="shared" si="2"/>
        <v/>
      </c>
    </row>
    <row r="511" spans="1:14" ht="14.25" customHeight="1" x14ac:dyDescent="0.3">
      <c r="F511" s="6" t="str">
        <f>IF(A511="","",COUNTIF(Chicks!$F:$F,A511))</f>
        <v/>
      </c>
      <c r="G511" s="6" t="str">
        <f>IF(A511="","",COUNTIFS(Chicks!$F:$F,A511,Chicks!$I:$I,"Yes"))</f>
        <v/>
      </c>
      <c r="H511" s="6" t="str">
        <f>IF(A511="","",SUMIFS(Chicks!$J:$J,Chicks!$F:$F,A511))</f>
        <v/>
      </c>
      <c r="I511" s="6" t="str">
        <f>IF(A511="","",COUNTIFS(Chicks!$F:$F,A511,Chicks!$I:$I,"No"))</f>
        <v/>
      </c>
      <c r="J511" s="6" t="str">
        <f>IF(A511="","",IFERROR(AVERAGEIF(Chicks!$F:$F,A511,Chicks!$M:$M),""))</f>
        <v/>
      </c>
      <c r="K511" s="6" t="str">
        <f>IF(A511="","",SUMIFS(Chicks!$N:$N,Chicks!$F:$F,A511))</f>
        <v/>
      </c>
      <c r="L511" s="6" t="str">
        <f>IF(A511="","",SUMIFS(Chicks!$O:$O,Chicks!$F:$F,A511))</f>
        <v/>
      </c>
      <c r="M511" s="6" t="str">
        <f>IF(A511="","",SUMIFS(Chicks!$P:$P,Chicks!$F:$F,A511))</f>
        <v/>
      </c>
      <c r="N511" s="6" t="str">
        <f t="shared" si="2"/>
        <v/>
      </c>
    </row>
    <row r="512" spans="1:14" ht="14.25" customHeight="1" x14ac:dyDescent="0.3">
      <c r="F512" s="6" t="str">
        <f>IF(A512="","",COUNTIF(Chicks!$F:$F,A512))</f>
        <v/>
      </c>
      <c r="G512" s="6" t="str">
        <f>IF(A512="","",COUNTIFS(Chicks!$F:$F,A512,Chicks!$I:$I,"Yes"))</f>
        <v/>
      </c>
      <c r="H512" s="6" t="str">
        <f>IF(A512="","",SUMIFS(Chicks!$J:$J,Chicks!$F:$F,A512))</f>
        <v/>
      </c>
      <c r="I512" s="6" t="str">
        <f>IF(A512="","",COUNTIFS(Chicks!$F:$F,A512,Chicks!$I:$I,"No"))</f>
        <v/>
      </c>
      <c r="J512" s="6" t="str">
        <f>IF(A512="","",IFERROR(AVERAGEIF(Chicks!$F:$F,A512,Chicks!$M:$M),""))</f>
        <v/>
      </c>
      <c r="K512" s="6" t="str">
        <f>IF(A512="","",SUMIFS(Chicks!$N:$N,Chicks!$F:$F,A512))</f>
        <v/>
      </c>
      <c r="L512" s="6" t="str">
        <f>IF(A512="","",SUMIFS(Chicks!$O:$O,Chicks!$F:$F,A512))</f>
        <v/>
      </c>
      <c r="M512" s="6" t="str">
        <f>IF(A512="","",SUMIFS(Chicks!$P:$P,Chicks!$F:$F,A512))</f>
        <v/>
      </c>
      <c r="N512" s="6" t="str">
        <f t="shared" ref="N512:N766" si="3">IF($J512="","",RANK($J512,$J$2:$J$997,0))</f>
        <v/>
      </c>
    </row>
    <row r="513" spans="6:14" ht="14.25" customHeight="1" x14ac:dyDescent="0.3">
      <c r="F513" s="6" t="str">
        <f>IF(A513="","",COUNTIF(Chicks!$F:$F,A513))</f>
        <v/>
      </c>
      <c r="G513" s="6" t="str">
        <f>IF(A513="","",COUNTIFS(Chicks!$F:$F,A513,Chicks!$I:$I,"Yes"))</f>
        <v/>
      </c>
      <c r="H513" s="6" t="str">
        <f>IF(A513="","",SUMIFS(Chicks!$J:$J,Chicks!$F:$F,A513))</f>
        <v/>
      </c>
      <c r="I513" s="6" t="str">
        <f>IF(A513="","",COUNTIFS(Chicks!$F:$F,A513,Chicks!$I:$I,"No"))</f>
        <v/>
      </c>
      <c r="J513" s="6" t="str">
        <f>IF(A513="","",IFERROR(AVERAGEIF(Chicks!$F:$F,A513,Chicks!$M:$M),""))</f>
        <v/>
      </c>
      <c r="K513" s="6" t="str">
        <f>IF(A513="","",SUMIFS(Chicks!$N:$N,Chicks!$F:$F,A513))</f>
        <v/>
      </c>
      <c r="L513" s="6" t="str">
        <f>IF(A513="","",SUMIFS(Chicks!$O:$O,Chicks!$F:$F,A513))</f>
        <v/>
      </c>
      <c r="M513" s="6" t="str">
        <f>IF(A513="","",SUMIFS(Chicks!$P:$P,Chicks!$F:$F,A513))</f>
        <v/>
      </c>
      <c r="N513" s="6" t="str">
        <f t="shared" si="3"/>
        <v/>
      </c>
    </row>
    <row r="514" spans="6:14" ht="14.25" customHeight="1" x14ac:dyDescent="0.3">
      <c r="F514" s="6" t="str">
        <f>IF(A514="","",COUNTIF(Chicks!$F:$F,A514))</f>
        <v/>
      </c>
      <c r="G514" s="6" t="str">
        <f>IF(A514="","",COUNTIFS(Chicks!$F:$F,A514,Chicks!$I:$I,"Yes"))</f>
        <v/>
      </c>
      <c r="H514" s="6" t="str">
        <f>IF(A514="","",SUMIFS(Chicks!$J:$J,Chicks!$F:$F,A514))</f>
        <v/>
      </c>
      <c r="I514" s="6" t="str">
        <f>IF(A514="","",COUNTIFS(Chicks!$F:$F,A514,Chicks!$I:$I,"No"))</f>
        <v/>
      </c>
      <c r="J514" s="6" t="str">
        <f>IF(A514="","",IFERROR(AVERAGEIF(Chicks!$F:$F,A514,Chicks!$M:$M),""))</f>
        <v/>
      </c>
      <c r="K514" s="6" t="str">
        <f>IF(A514="","",SUMIFS(Chicks!$N:$N,Chicks!$F:$F,A514))</f>
        <v/>
      </c>
      <c r="L514" s="6" t="str">
        <f>IF(A514="","",SUMIFS(Chicks!$O:$O,Chicks!$F:$F,A514))</f>
        <v/>
      </c>
      <c r="M514" s="6" t="str">
        <f>IF(A514="","",SUMIFS(Chicks!$P:$P,Chicks!$F:$F,A514))</f>
        <v/>
      </c>
      <c r="N514" s="6" t="str">
        <f t="shared" si="3"/>
        <v/>
      </c>
    </row>
    <row r="515" spans="6:14" ht="14.25" customHeight="1" x14ac:dyDescent="0.3">
      <c r="F515" s="6" t="str">
        <f>IF(A515="","",COUNTIF(Chicks!$F:$F,A515))</f>
        <v/>
      </c>
      <c r="G515" s="6" t="str">
        <f>IF(A515="","",COUNTIFS(Chicks!$F:$F,A515,Chicks!$I:$I,"Yes"))</f>
        <v/>
      </c>
      <c r="H515" s="6" t="str">
        <f>IF(A515="","",SUMIFS(Chicks!$J:$J,Chicks!$F:$F,A515))</f>
        <v/>
      </c>
      <c r="I515" s="6" t="str">
        <f>IF(A515="","",COUNTIFS(Chicks!$F:$F,A515,Chicks!$I:$I,"No"))</f>
        <v/>
      </c>
      <c r="J515" s="6" t="str">
        <f>IF(A515="","",IFERROR(AVERAGEIF(Chicks!$F:$F,A515,Chicks!$M:$M),""))</f>
        <v/>
      </c>
      <c r="K515" s="6" t="str">
        <f>IF(A515="","",SUMIFS(Chicks!$N:$N,Chicks!$F:$F,A515))</f>
        <v/>
      </c>
      <c r="L515" s="6" t="str">
        <f>IF(A515="","",SUMIFS(Chicks!$O:$O,Chicks!$F:$F,A515))</f>
        <v/>
      </c>
      <c r="M515" s="6" t="str">
        <f>IF(A515="","",SUMIFS(Chicks!$P:$P,Chicks!$F:$F,A515))</f>
        <v/>
      </c>
      <c r="N515" s="6" t="str">
        <f t="shared" si="3"/>
        <v/>
      </c>
    </row>
    <row r="516" spans="6:14" ht="14.25" customHeight="1" x14ac:dyDescent="0.3">
      <c r="F516" s="6" t="str">
        <f>IF(A516="","",COUNTIF(Chicks!$F:$F,A516))</f>
        <v/>
      </c>
      <c r="G516" s="6" t="str">
        <f>IF(A516="","",COUNTIFS(Chicks!$F:$F,A516,Chicks!$I:$I,"Yes"))</f>
        <v/>
      </c>
      <c r="H516" s="6" t="str">
        <f>IF(A516="","",SUMIFS(Chicks!$J:$J,Chicks!$F:$F,A516))</f>
        <v/>
      </c>
      <c r="I516" s="6" t="str">
        <f>IF(A516="","",COUNTIFS(Chicks!$F:$F,A516,Chicks!$I:$I,"No"))</f>
        <v/>
      </c>
      <c r="J516" s="6" t="str">
        <f>IF(A516="","",IFERROR(AVERAGEIF(Chicks!$F:$F,A516,Chicks!$M:$M),""))</f>
        <v/>
      </c>
      <c r="K516" s="6" t="str">
        <f>IF(A516="","",SUMIFS(Chicks!$N:$N,Chicks!$F:$F,A516))</f>
        <v/>
      </c>
      <c r="L516" s="6" t="str">
        <f>IF(A516="","",SUMIFS(Chicks!$O:$O,Chicks!$F:$F,A516))</f>
        <v/>
      </c>
      <c r="M516" s="6" t="str">
        <f>IF(A516="","",SUMIFS(Chicks!$P:$P,Chicks!$F:$F,A516))</f>
        <v/>
      </c>
      <c r="N516" s="6" t="str">
        <f t="shared" si="3"/>
        <v/>
      </c>
    </row>
    <row r="517" spans="6:14" ht="14.25" customHeight="1" x14ac:dyDescent="0.3">
      <c r="F517" s="6" t="str">
        <f>IF(A517="","",COUNTIF(Chicks!$F:$F,A517))</f>
        <v/>
      </c>
      <c r="G517" s="6" t="str">
        <f>IF(A517="","",COUNTIFS(Chicks!$F:$F,A517,Chicks!$I:$I,"Yes"))</f>
        <v/>
      </c>
      <c r="H517" s="6" t="str">
        <f>IF(A517="","",SUMIFS(Chicks!$J:$J,Chicks!$F:$F,A517))</f>
        <v/>
      </c>
      <c r="I517" s="6" t="str">
        <f>IF(A517="","",COUNTIFS(Chicks!$F:$F,A517,Chicks!$I:$I,"No"))</f>
        <v/>
      </c>
      <c r="J517" s="6" t="str">
        <f>IF(A517="","",IFERROR(AVERAGEIF(Chicks!$F:$F,A517,Chicks!$M:$M),""))</f>
        <v/>
      </c>
      <c r="K517" s="6" t="str">
        <f>IF(A517="","",SUMIFS(Chicks!$N:$N,Chicks!$F:$F,A517))</f>
        <v/>
      </c>
      <c r="L517" s="6" t="str">
        <f>IF(A517="","",SUMIFS(Chicks!$O:$O,Chicks!$F:$F,A517))</f>
        <v/>
      </c>
      <c r="M517" s="6" t="str">
        <f>IF(A517="","",SUMIFS(Chicks!$P:$P,Chicks!$F:$F,A517))</f>
        <v/>
      </c>
      <c r="N517" s="6" t="str">
        <f t="shared" si="3"/>
        <v/>
      </c>
    </row>
    <row r="518" spans="6:14" ht="14.25" customHeight="1" x14ac:dyDescent="0.3">
      <c r="F518" s="6" t="str">
        <f>IF(A518="","",COUNTIF(Chicks!$F:$F,A518))</f>
        <v/>
      </c>
      <c r="G518" s="6" t="str">
        <f>IF(A518="","",COUNTIFS(Chicks!$F:$F,A518,Chicks!$I:$I,"Yes"))</f>
        <v/>
      </c>
      <c r="H518" s="6" t="str">
        <f>IF(A518="","",SUMIFS(Chicks!$J:$J,Chicks!$F:$F,A518))</f>
        <v/>
      </c>
      <c r="I518" s="6" t="str">
        <f>IF(A518="","",COUNTIFS(Chicks!$F:$F,A518,Chicks!$I:$I,"No"))</f>
        <v/>
      </c>
      <c r="J518" s="6" t="str">
        <f>IF(A518="","",IFERROR(AVERAGEIF(Chicks!$F:$F,A518,Chicks!$M:$M),""))</f>
        <v/>
      </c>
      <c r="K518" s="6" t="str">
        <f>IF(A518="","",SUMIFS(Chicks!$N:$N,Chicks!$F:$F,A518))</f>
        <v/>
      </c>
      <c r="L518" s="6" t="str">
        <f>IF(A518="","",SUMIFS(Chicks!$O:$O,Chicks!$F:$F,A518))</f>
        <v/>
      </c>
      <c r="M518" s="6" t="str">
        <f>IF(A518="","",SUMIFS(Chicks!$P:$P,Chicks!$F:$F,A518))</f>
        <v/>
      </c>
      <c r="N518" s="6" t="str">
        <f t="shared" si="3"/>
        <v/>
      </c>
    </row>
    <row r="519" spans="6:14" ht="14.25" customHeight="1" x14ac:dyDescent="0.3">
      <c r="F519" s="6" t="str">
        <f>IF(A519="","",COUNTIF(Chicks!$F:$F,A519))</f>
        <v/>
      </c>
      <c r="G519" s="6" t="str">
        <f>IF(A519="","",COUNTIFS(Chicks!$F:$F,A519,Chicks!$I:$I,"Yes"))</f>
        <v/>
      </c>
      <c r="H519" s="6" t="str">
        <f>IF(A519="","",SUMIFS(Chicks!$J:$J,Chicks!$F:$F,A519))</f>
        <v/>
      </c>
      <c r="I519" s="6" t="str">
        <f>IF(A519="","",COUNTIFS(Chicks!$F:$F,A519,Chicks!$I:$I,"No"))</f>
        <v/>
      </c>
      <c r="J519" s="6" t="str">
        <f>IF(A519="","",IFERROR(AVERAGEIF(Chicks!$F:$F,A519,Chicks!$M:$M),""))</f>
        <v/>
      </c>
      <c r="K519" s="6" t="str">
        <f>IF(A519="","",SUMIFS(Chicks!$N:$N,Chicks!$F:$F,A519))</f>
        <v/>
      </c>
      <c r="L519" s="6" t="str">
        <f>IF(A519="","",SUMIFS(Chicks!$O:$O,Chicks!$F:$F,A519))</f>
        <v/>
      </c>
      <c r="M519" s="6" t="str">
        <f>IF(A519="","",SUMIFS(Chicks!$P:$P,Chicks!$F:$F,A519))</f>
        <v/>
      </c>
      <c r="N519" s="6" t="str">
        <f t="shared" si="3"/>
        <v/>
      </c>
    </row>
    <row r="520" spans="6:14" ht="14.25" customHeight="1" x14ac:dyDescent="0.3">
      <c r="F520" s="6" t="str">
        <f>IF(A520="","",COUNTIF(Chicks!$F:$F,A520))</f>
        <v/>
      </c>
      <c r="G520" s="6" t="str">
        <f>IF(A520="","",COUNTIFS(Chicks!$F:$F,A520,Chicks!$I:$I,"Yes"))</f>
        <v/>
      </c>
      <c r="H520" s="6" t="str">
        <f>IF(A520="","",SUMIFS(Chicks!$J:$J,Chicks!$F:$F,A520))</f>
        <v/>
      </c>
      <c r="I520" s="6" t="str">
        <f>IF(A520="","",COUNTIFS(Chicks!$F:$F,A520,Chicks!$I:$I,"No"))</f>
        <v/>
      </c>
      <c r="J520" s="6" t="str">
        <f>IF(A520="","",IFERROR(AVERAGEIF(Chicks!$F:$F,A520,Chicks!$M:$M),""))</f>
        <v/>
      </c>
      <c r="K520" s="6" t="str">
        <f>IF(A520="","",SUMIFS(Chicks!$N:$N,Chicks!$F:$F,A520))</f>
        <v/>
      </c>
      <c r="L520" s="6" t="str">
        <f>IF(A520="","",SUMIFS(Chicks!$O:$O,Chicks!$F:$F,A520))</f>
        <v/>
      </c>
      <c r="M520" s="6" t="str">
        <f>IF(A520="","",SUMIFS(Chicks!$P:$P,Chicks!$F:$F,A520))</f>
        <v/>
      </c>
      <c r="N520" s="6" t="str">
        <f t="shared" si="3"/>
        <v/>
      </c>
    </row>
    <row r="521" spans="6:14" ht="14.25" customHeight="1" x14ac:dyDescent="0.3">
      <c r="F521" s="6" t="str">
        <f>IF(A521="","",COUNTIF(Chicks!$F:$F,A521))</f>
        <v/>
      </c>
      <c r="G521" s="6" t="str">
        <f>IF(A521="","",COUNTIFS(Chicks!$F:$F,A521,Chicks!$I:$I,"Yes"))</f>
        <v/>
      </c>
      <c r="H521" s="6" t="str">
        <f>IF(A521="","",SUMIFS(Chicks!$J:$J,Chicks!$F:$F,A521))</f>
        <v/>
      </c>
      <c r="I521" s="6" t="str">
        <f>IF(A521="","",COUNTIFS(Chicks!$F:$F,A521,Chicks!$I:$I,"No"))</f>
        <v/>
      </c>
      <c r="J521" s="6" t="str">
        <f>IF(A521="","",IFERROR(AVERAGEIF(Chicks!$F:$F,A521,Chicks!$M:$M),""))</f>
        <v/>
      </c>
      <c r="K521" s="6" t="str">
        <f>IF(A521="","",SUMIFS(Chicks!$N:$N,Chicks!$F:$F,A521))</f>
        <v/>
      </c>
      <c r="L521" s="6" t="str">
        <f>IF(A521="","",SUMIFS(Chicks!$O:$O,Chicks!$F:$F,A521))</f>
        <v/>
      </c>
      <c r="M521" s="6" t="str">
        <f>IF(A521="","",SUMIFS(Chicks!$P:$P,Chicks!$F:$F,A521))</f>
        <v/>
      </c>
      <c r="N521" s="6" t="str">
        <f t="shared" si="3"/>
        <v/>
      </c>
    </row>
    <row r="522" spans="6:14" ht="14.25" customHeight="1" x14ac:dyDescent="0.3">
      <c r="F522" s="6" t="str">
        <f>IF(A522="","",COUNTIF(Chicks!$F:$F,A522))</f>
        <v/>
      </c>
      <c r="G522" s="6" t="str">
        <f>IF(A522="","",COUNTIFS(Chicks!$F:$F,A522,Chicks!$I:$I,"Yes"))</f>
        <v/>
      </c>
      <c r="H522" s="6" t="str">
        <f>IF(A522="","",SUMIFS(Chicks!$J:$J,Chicks!$F:$F,A522))</f>
        <v/>
      </c>
      <c r="I522" s="6" t="str">
        <f>IF(A522="","",COUNTIFS(Chicks!$F:$F,A522,Chicks!$I:$I,"No"))</f>
        <v/>
      </c>
      <c r="J522" s="6" t="str">
        <f>IF(A522="","",IFERROR(AVERAGEIF(Chicks!$F:$F,A522,Chicks!$M:$M),""))</f>
        <v/>
      </c>
      <c r="K522" s="6" t="str">
        <f>IF(A522="","",SUMIFS(Chicks!$N:$N,Chicks!$F:$F,A522))</f>
        <v/>
      </c>
      <c r="L522" s="6" t="str">
        <f>IF(A522="","",SUMIFS(Chicks!$O:$O,Chicks!$F:$F,A522))</f>
        <v/>
      </c>
      <c r="M522" s="6" t="str">
        <f>IF(A522="","",SUMIFS(Chicks!$P:$P,Chicks!$F:$F,A522))</f>
        <v/>
      </c>
      <c r="N522" s="6" t="str">
        <f t="shared" si="3"/>
        <v/>
      </c>
    </row>
    <row r="523" spans="6:14" ht="14.25" customHeight="1" x14ac:dyDescent="0.3">
      <c r="F523" s="6" t="str">
        <f>IF(A523="","",COUNTIF(Chicks!$F:$F,A523))</f>
        <v/>
      </c>
      <c r="G523" s="6" t="str">
        <f>IF(A523="","",COUNTIFS(Chicks!$F:$F,A523,Chicks!$I:$I,"Yes"))</f>
        <v/>
      </c>
      <c r="H523" s="6" t="str">
        <f>IF(A523="","",SUMIFS(Chicks!$J:$J,Chicks!$F:$F,A523))</f>
        <v/>
      </c>
      <c r="I523" s="6" t="str">
        <f>IF(A523="","",COUNTIFS(Chicks!$F:$F,A523,Chicks!$I:$I,"No"))</f>
        <v/>
      </c>
      <c r="J523" s="6" t="str">
        <f>IF(A523="","",IFERROR(AVERAGEIF(Chicks!$F:$F,A523,Chicks!$M:$M),""))</f>
        <v/>
      </c>
      <c r="K523" s="6" t="str">
        <f>IF(A523="","",SUMIFS(Chicks!$N:$N,Chicks!$F:$F,A523))</f>
        <v/>
      </c>
      <c r="L523" s="6" t="str">
        <f>IF(A523="","",SUMIFS(Chicks!$O:$O,Chicks!$F:$F,A523))</f>
        <v/>
      </c>
      <c r="M523" s="6" t="str">
        <f>IF(A523="","",SUMIFS(Chicks!$P:$P,Chicks!$F:$F,A523))</f>
        <v/>
      </c>
      <c r="N523" s="6" t="str">
        <f t="shared" si="3"/>
        <v/>
      </c>
    </row>
    <row r="524" spans="6:14" ht="14.25" customHeight="1" x14ac:dyDescent="0.3">
      <c r="F524" s="6" t="str">
        <f>IF(A524="","",COUNTIF(Chicks!$F:$F,A524))</f>
        <v/>
      </c>
      <c r="G524" s="6" t="str">
        <f>IF(A524="","",COUNTIFS(Chicks!$F:$F,A524,Chicks!$I:$I,"Yes"))</f>
        <v/>
      </c>
      <c r="H524" s="6" t="str">
        <f>IF(A524="","",SUMIFS(Chicks!$J:$J,Chicks!$F:$F,A524))</f>
        <v/>
      </c>
      <c r="I524" s="6" t="str">
        <f>IF(A524="","",COUNTIFS(Chicks!$F:$F,A524,Chicks!$I:$I,"No"))</f>
        <v/>
      </c>
      <c r="J524" s="6" t="str">
        <f>IF(A524="","",IFERROR(AVERAGEIF(Chicks!$F:$F,A524,Chicks!$M:$M),""))</f>
        <v/>
      </c>
      <c r="K524" s="6" t="str">
        <f>IF(A524="","",SUMIFS(Chicks!$N:$N,Chicks!$F:$F,A524))</f>
        <v/>
      </c>
      <c r="L524" s="6" t="str">
        <f>IF(A524="","",SUMIFS(Chicks!$O:$O,Chicks!$F:$F,A524))</f>
        <v/>
      </c>
      <c r="M524" s="6" t="str">
        <f>IF(A524="","",SUMIFS(Chicks!$P:$P,Chicks!$F:$F,A524))</f>
        <v/>
      </c>
      <c r="N524" s="6" t="str">
        <f t="shared" si="3"/>
        <v/>
      </c>
    </row>
    <row r="525" spans="6:14" ht="14.25" customHeight="1" x14ac:dyDescent="0.3">
      <c r="F525" s="6" t="str">
        <f>IF(A525="","",COUNTIF(Chicks!$F:$F,A525))</f>
        <v/>
      </c>
      <c r="G525" s="6" t="str">
        <f>IF(A525="","",COUNTIFS(Chicks!$F:$F,A525,Chicks!$I:$I,"Yes"))</f>
        <v/>
      </c>
      <c r="H525" s="6" t="str">
        <f>IF(A525="","",SUMIFS(Chicks!$J:$J,Chicks!$F:$F,A525))</f>
        <v/>
      </c>
      <c r="I525" s="6" t="str">
        <f>IF(A525="","",COUNTIFS(Chicks!$F:$F,A525,Chicks!$I:$I,"No"))</f>
        <v/>
      </c>
      <c r="J525" s="6" t="str">
        <f>IF(A525="","",IFERROR(AVERAGEIF(Chicks!$F:$F,A525,Chicks!$M:$M),""))</f>
        <v/>
      </c>
      <c r="K525" s="6" t="str">
        <f>IF(A525="","",SUMIFS(Chicks!$N:$N,Chicks!$F:$F,A525))</f>
        <v/>
      </c>
      <c r="L525" s="6" t="str">
        <f>IF(A525="","",SUMIFS(Chicks!$O:$O,Chicks!$F:$F,A525))</f>
        <v/>
      </c>
      <c r="M525" s="6" t="str">
        <f>IF(A525="","",SUMIFS(Chicks!$P:$P,Chicks!$F:$F,A525))</f>
        <v/>
      </c>
      <c r="N525" s="6" t="str">
        <f t="shared" si="3"/>
        <v/>
      </c>
    </row>
    <row r="526" spans="6:14" ht="14.25" customHeight="1" x14ac:dyDescent="0.3">
      <c r="F526" s="6" t="str">
        <f>IF(A526="","",COUNTIF(Chicks!$F:$F,A526))</f>
        <v/>
      </c>
      <c r="G526" s="6" t="str">
        <f>IF(A526="","",COUNTIFS(Chicks!$F:$F,A526,Chicks!$I:$I,"Yes"))</f>
        <v/>
      </c>
      <c r="H526" s="6" t="str">
        <f>IF(A526="","",SUMIFS(Chicks!$J:$J,Chicks!$F:$F,A526))</f>
        <v/>
      </c>
      <c r="I526" s="6" t="str">
        <f>IF(A526="","",COUNTIFS(Chicks!$F:$F,A526,Chicks!$I:$I,"No"))</f>
        <v/>
      </c>
      <c r="J526" s="6" t="str">
        <f>IF(A526="","",IFERROR(AVERAGEIF(Chicks!$F:$F,A526,Chicks!$M:$M),""))</f>
        <v/>
      </c>
      <c r="K526" s="6" t="str">
        <f>IF(A526="","",SUMIFS(Chicks!$N:$N,Chicks!$F:$F,A526))</f>
        <v/>
      </c>
      <c r="L526" s="6" t="str">
        <f>IF(A526="","",SUMIFS(Chicks!$O:$O,Chicks!$F:$F,A526))</f>
        <v/>
      </c>
      <c r="M526" s="6" t="str">
        <f>IF(A526="","",SUMIFS(Chicks!$P:$P,Chicks!$F:$F,A526))</f>
        <v/>
      </c>
      <c r="N526" s="6" t="str">
        <f t="shared" si="3"/>
        <v/>
      </c>
    </row>
    <row r="527" spans="6:14" ht="14.25" customHeight="1" x14ac:dyDescent="0.3">
      <c r="F527" s="6" t="str">
        <f>IF(A527="","",COUNTIF(Chicks!$F:$F,A527))</f>
        <v/>
      </c>
      <c r="G527" s="6" t="str">
        <f>IF(A527="","",COUNTIFS(Chicks!$F:$F,A527,Chicks!$I:$I,"Yes"))</f>
        <v/>
      </c>
      <c r="H527" s="6" t="str">
        <f>IF(A527="","",SUMIFS(Chicks!$J:$J,Chicks!$F:$F,A527))</f>
        <v/>
      </c>
      <c r="I527" s="6" t="str">
        <f>IF(A527="","",COUNTIFS(Chicks!$F:$F,A527,Chicks!$I:$I,"No"))</f>
        <v/>
      </c>
      <c r="J527" s="6" t="str">
        <f>IF(A527="","",IFERROR(AVERAGEIF(Chicks!$F:$F,A527,Chicks!$M:$M),""))</f>
        <v/>
      </c>
      <c r="K527" s="6" t="str">
        <f>IF(A527="","",SUMIFS(Chicks!$N:$N,Chicks!$F:$F,A527))</f>
        <v/>
      </c>
      <c r="L527" s="6" t="str">
        <f>IF(A527="","",SUMIFS(Chicks!$O:$O,Chicks!$F:$F,A527))</f>
        <v/>
      </c>
      <c r="M527" s="6" t="str">
        <f>IF(A527="","",SUMIFS(Chicks!$P:$P,Chicks!$F:$F,A527))</f>
        <v/>
      </c>
      <c r="N527" s="6" t="str">
        <f t="shared" si="3"/>
        <v/>
      </c>
    </row>
    <row r="528" spans="6:14" ht="14.25" customHeight="1" x14ac:dyDescent="0.3">
      <c r="F528" s="6" t="str">
        <f>IF(A528="","",COUNTIF(Chicks!$F:$F,A528))</f>
        <v/>
      </c>
      <c r="G528" s="6" t="str">
        <f>IF(A528="","",COUNTIFS(Chicks!$F:$F,A528,Chicks!$I:$I,"Yes"))</f>
        <v/>
      </c>
      <c r="H528" s="6" t="str">
        <f>IF(A528="","",SUMIFS(Chicks!$J:$J,Chicks!$F:$F,A528))</f>
        <v/>
      </c>
      <c r="I528" s="6" t="str">
        <f>IF(A528="","",COUNTIFS(Chicks!$F:$F,A528,Chicks!$I:$I,"No"))</f>
        <v/>
      </c>
      <c r="J528" s="6" t="str">
        <f>IF(A528="","",IFERROR(AVERAGEIF(Chicks!$F:$F,A528,Chicks!$M:$M),""))</f>
        <v/>
      </c>
      <c r="K528" s="6" t="str">
        <f>IF(A528="","",SUMIFS(Chicks!$N:$N,Chicks!$F:$F,A528))</f>
        <v/>
      </c>
      <c r="L528" s="6" t="str">
        <f>IF(A528="","",SUMIFS(Chicks!$O:$O,Chicks!$F:$F,A528))</f>
        <v/>
      </c>
      <c r="M528" s="6" t="str">
        <f>IF(A528="","",SUMIFS(Chicks!$P:$P,Chicks!$F:$F,A528))</f>
        <v/>
      </c>
      <c r="N528" s="6" t="str">
        <f t="shared" si="3"/>
        <v/>
      </c>
    </row>
    <row r="529" spans="6:14" ht="14.25" customHeight="1" x14ac:dyDescent="0.3">
      <c r="F529" s="6" t="str">
        <f>IF(A529="","",COUNTIF(Chicks!$F:$F,A529))</f>
        <v/>
      </c>
      <c r="G529" s="6" t="str">
        <f>IF(A529="","",COUNTIFS(Chicks!$F:$F,A529,Chicks!$I:$I,"Yes"))</f>
        <v/>
      </c>
      <c r="H529" s="6" t="str">
        <f>IF(A529="","",SUMIFS(Chicks!$J:$J,Chicks!$F:$F,A529))</f>
        <v/>
      </c>
      <c r="I529" s="6" t="str">
        <f>IF(A529="","",COUNTIFS(Chicks!$F:$F,A529,Chicks!$I:$I,"No"))</f>
        <v/>
      </c>
      <c r="J529" s="6" t="str">
        <f>IF(A529="","",IFERROR(AVERAGEIF(Chicks!$F:$F,A529,Chicks!$M:$M),""))</f>
        <v/>
      </c>
      <c r="K529" s="6" t="str">
        <f>IF(A529="","",SUMIFS(Chicks!$N:$N,Chicks!$F:$F,A529))</f>
        <v/>
      </c>
      <c r="L529" s="6" t="str">
        <f>IF(A529="","",SUMIFS(Chicks!$O:$O,Chicks!$F:$F,A529))</f>
        <v/>
      </c>
      <c r="M529" s="6" t="str">
        <f>IF(A529="","",SUMIFS(Chicks!$P:$P,Chicks!$F:$F,A529))</f>
        <v/>
      </c>
      <c r="N529" s="6" t="str">
        <f t="shared" si="3"/>
        <v/>
      </c>
    </row>
    <row r="530" spans="6:14" ht="14.25" customHeight="1" x14ac:dyDescent="0.3">
      <c r="F530" s="6" t="str">
        <f>IF(A530="","",COUNTIF(Chicks!$F:$F,A530))</f>
        <v/>
      </c>
      <c r="G530" s="6" t="str">
        <f>IF(A530="","",COUNTIFS(Chicks!$F:$F,A530,Chicks!$I:$I,"Yes"))</f>
        <v/>
      </c>
      <c r="H530" s="6" t="str">
        <f>IF(A530="","",SUMIFS(Chicks!$J:$J,Chicks!$F:$F,A530))</f>
        <v/>
      </c>
      <c r="I530" s="6" t="str">
        <f>IF(A530="","",COUNTIFS(Chicks!$F:$F,A530,Chicks!$I:$I,"No"))</f>
        <v/>
      </c>
      <c r="J530" s="6" t="str">
        <f>IF(A530="","",IFERROR(AVERAGEIF(Chicks!$F:$F,A530,Chicks!$M:$M),""))</f>
        <v/>
      </c>
      <c r="K530" s="6" t="str">
        <f>IF(A530="","",SUMIFS(Chicks!$N:$N,Chicks!$F:$F,A530))</f>
        <v/>
      </c>
      <c r="L530" s="6" t="str">
        <f>IF(A530="","",SUMIFS(Chicks!$O:$O,Chicks!$F:$F,A530))</f>
        <v/>
      </c>
      <c r="M530" s="6" t="str">
        <f>IF(A530="","",SUMIFS(Chicks!$P:$P,Chicks!$F:$F,A530))</f>
        <v/>
      </c>
      <c r="N530" s="6" t="str">
        <f t="shared" si="3"/>
        <v/>
      </c>
    </row>
    <row r="531" spans="6:14" ht="14.25" customHeight="1" x14ac:dyDescent="0.3">
      <c r="F531" s="6" t="str">
        <f>IF(A531="","",COUNTIF(Chicks!$F:$F,A531))</f>
        <v/>
      </c>
      <c r="G531" s="6" t="str">
        <f>IF(A531="","",COUNTIFS(Chicks!$F:$F,A531,Chicks!$I:$I,"Yes"))</f>
        <v/>
      </c>
      <c r="H531" s="6" t="str">
        <f>IF(A531="","",SUMIFS(Chicks!$J:$J,Chicks!$F:$F,A531))</f>
        <v/>
      </c>
      <c r="I531" s="6" t="str">
        <f>IF(A531="","",COUNTIFS(Chicks!$F:$F,A531,Chicks!$I:$I,"No"))</f>
        <v/>
      </c>
      <c r="J531" s="6" t="str">
        <f>IF(A531="","",IFERROR(AVERAGEIF(Chicks!$F:$F,A531,Chicks!$M:$M),""))</f>
        <v/>
      </c>
      <c r="K531" s="6" t="str">
        <f>IF(A531="","",SUMIFS(Chicks!$N:$N,Chicks!$F:$F,A531))</f>
        <v/>
      </c>
      <c r="L531" s="6" t="str">
        <f>IF(A531="","",SUMIFS(Chicks!$O:$O,Chicks!$F:$F,A531))</f>
        <v/>
      </c>
      <c r="M531" s="6" t="str">
        <f>IF(A531="","",SUMIFS(Chicks!$P:$P,Chicks!$F:$F,A531))</f>
        <v/>
      </c>
      <c r="N531" s="6" t="str">
        <f t="shared" si="3"/>
        <v/>
      </c>
    </row>
    <row r="532" spans="6:14" ht="14.25" customHeight="1" x14ac:dyDescent="0.3">
      <c r="F532" s="6" t="str">
        <f>IF(A532="","",COUNTIF(Chicks!$F:$F,A532))</f>
        <v/>
      </c>
      <c r="G532" s="6" t="str">
        <f>IF(A532="","",COUNTIFS(Chicks!$F:$F,A532,Chicks!$I:$I,"Yes"))</f>
        <v/>
      </c>
      <c r="H532" s="6" t="str">
        <f>IF(A532="","",SUMIFS(Chicks!$J:$J,Chicks!$F:$F,A532))</f>
        <v/>
      </c>
      <c r="I532" s="6" t="str">
        <f>IF(A532="","",COUNTIFS(Chicks!$F:$F,A532,Chicks!$I:$I,"No"))</f>
        <v/>
      </c>
      <c r="J532" s="6" t="str">
        <f>IF(A532="","",IFERROR(AVERAGEIF(Chicks!$F:$F,A532,Chicks!$M:$M),""))</f>
        <v/>
      </c>
      <c r="K532" s="6" t="str">
        <f>IF(A532="","",SUMIFS(Chicks!$N:$N,Chicks!$F:$F,A532))</f>
        <v/>
      </c>
      <c r="L532" s="6" t="str">
        <f>IF(A532="","",SUMIFS(Chicks!$O:$O,Chicks!$F:$F,A532))</f>
        <v/>
      </c>
      <c r="M532" s="6" t="str">
        <f>IF(A532="","",SUMIFS(Chicks!$P:$P,Chicks!$F:$F,A532))</f>
        <v/>
      </c>
      <c r="N532" s="6" t="str">
        <f t="shared" si="3"/>
        <v/>
      </c>
    </row>
    <row r="533" spans="6:14" ht="14.25" customHeight="1" x14ac:dyDescent="0.3">
      <c r="F533" s="6" t="str">
        <f>IF(A533="","",COUNTIF(Chicks!$F:$F,A533))</f>
        <v/>
      </c>
      <c r="G533" s="6" t="str">
        <f>IF(A533="","",COUNTIFS(Chicks!$F:$F,A533,Chicks!$I:$I,"Yes"))</f>
        <v/>
      </c>
      <c r="H533" s="6" t="str">
        <f>IF(A533="","",SUMIFS(Chicks!$J:$J,Chicks!$F:$F,A533))</f>
        <v/>
      </c>
      <c r="I533" s="6" t="str">
        <f>IF(A533="","",COUNTIFS(Chicks!$F:$F,A533,Chicks!$I:$I,"No"))</f>
        <v/>
      </c>
      <c r="J533" s="6" t="str">
        <f>IF(A533="","",IFERROR(AVERAGEIF(Chicks!$F:$F,A533,Chicks!$M:$M),""))</f>
        <v/>
      </c>
      <c r="K533" s="6" t="str">
        <f>IF(A533="","",SUMIFS(Chicks!$N:$N,Chicks!$F:$F,A533))</f>
        <v/>
      </c>
      <c r="L533" s="6" t="str">
        <f>IF(A533="","",SUMIFS(Chicks!$O:$O,Chicks!$F:$F,A533))</f>
        <v/>
      </c>
      <c r="M533" s="6" t="str">
        <f>IF(A533="","",SUMIFS(Chicks!$P:$P,Chicks!$F:$F,A533))</f>
        <v/>
      </c>
      <c r="N533" s="6" t="str">
        <f t="shared" si="3"/>
        <v/>
      </c>
    </row>
    <row r="534" spans="6:14" ht="14.25" customHeight="1" x14ac:dyDescent="0.3">
      <c r="F534" s="6" t="str">
        <f>IF(A534="","",COUNTIF(Chicks!$F:$F,A534))</f>
        <v/>
      </c>
      <c r="G534" s="6" t="str">
        <f>IF(A534="","",COUNTIFS(Chicks!$F:$F,A534,Chicks!$I:$I,"Yes"))</f>
        <v/>
      </c>
      <c r="H534" s="6" t="str">
        <f>IF(A534="","",SUMIFS(Chicks!$J:$J,Chicks!$F:$F,A534))</f>
        <v/>
      </c>
      <c r="I534" s="6" t="str">
        <f>IF(A534="","",COUNTIFS(Chicks!$F:$F,A534,Chicks!$I:$I,"No"))</f>
        <v/>
      </c>
      <c r="J534" s="6" t="str">
        <f>IF(A534="","",IFERROR(AVERAGEIF(Chicks!$F:$F,A534,Chicks!$M:$M),""))</f>
        <v/>
      </c>
      <c r="K534" s="6" t="str">
        <f>IF(A534="","",SUMIFS(Chicks!$N:$N,Chicks!$F:$F,A534))</f>
        <v/>
      </c>
      <c r="L534" s="6" t="str">
        <f>IF(A534="","",SUMIFS(Chicks!$O:$O,Chicks!$F:$F,A534))</f>
        <v/>
      </c>
      <c r="M534" s="6" t="str">
        <f>IF(A534="","",SUMIFS(Chicks!$P:$P,Chicks!$F:$F,A534))</f>
        <v/>
      </c>
      <c r="N534" s="6" t="str">
        <f t="shared" si="3"/>
        <v/>
      </c>
    </row>
    <row r="535" spans="6:14" ht="14.25" customHeight="1" x14ac:dyDescent="0.3">
      <c r="F535" s="6" t="str">
        <f>IF(A535="","",COUNTIF(Chicks!$F:$F,A535))</f>
        <v/>
      </c>
      <c r="G535" s="6" t="str">
        <f>IF(A535="","",COUNTIFS(Chicks!$F:$F,A535,Chicks!$I:$I,"Yes"))</f>
        <v/>
      </c>
      <c r="H535" s="6" t="str">
        <f>IF(A535="","",SUMIFS(Chicks!$J:$J,Chicks!$F:$F,A535))</f>
        <v/>
      </c>
      <c r="I535" s="6" t="str">
        <f>IF(A535="","",COUNTIFS(Chicks!$F:$F,A535,Chicks!$I:$I,"No"))</f>
        <v/>
      </c>
      <c r="J535" s="6" t="str">
        <f>IF(A535="","",IFERROR(AVERAGEIF(Chicks!$F:$F,A535,Chicks!$M:$M),""))</f>
        <v/>
      </c>
      <c r="K535" s="6" t="str">
        <f>IF(A535="","",SUMIFS(Chicks!$N:$N,Chicks!$F:$F,A535))</f>
        <v/>
      </c>
      <c r="L535" s="6" t="str">
        <f>IF(A535="","",SUMIFS(Chicks!$O:$O,Chicks!$F:$F,A535))</f>
        <v/>
      </c>
      <c r="M535" s="6" t="str">
        <f>IF(A535="","",SUMIFS(Chicks!$P:$P,Chicks!$F:$F,A535))</f>
        <v/>
      </c>
      <c r="N535" s="6" t="str">
        <f t="shared" si="3"/>
        <v/>
      </c>
    </row>
    <row r="536" spans="6:14" ht="14.25" customHeight="1" x14ac:dyDescent="0.3">
      <c r="F536" s="6" t="str">
        <f>IF(A536="","",COUNTIF(Chicks!$F:$F,A536))</f>
        <v/>
      </c>
      <c r="G536" s="6" t="str">
        <f>IF(A536="","",COUNTIFS(Chicks!$F:$F,A536,Chicks!$I:$I,"Yes"))</f>
        <v/>
      </c>
      <c r="H536" s="6" t="str">
        <f>IF(A536="","",SUMIFS(Chicks!$J:$J,Chicks!$F:$F,A536))</f>
        <v/>
      </c>
      <c r="I536" s="6" t="str">
        <f>IF(A536="","",COUNTIFS(Chicks!$F:$F,A536,Chicks!$I:$I,"No"))</f>
        <v/>
      </c>
      <c r="J536" s="6" t="str">
        <f>IF(A536="","",IFERROR(AVERAGEIF(Chicks!$F:$F,A536,Chicks!$M:$M),""))</f>
        <v/>
      </c>
      <c r="K536" s="6" t="str">
        <f>IF(A536="","",SUMIFS(Chicks!$N:$N,Chicks!$F:$F,A536))</f>
        <v/>
      </c>
      <c r="L536" s="6" t="str">
        <f>IF(A536="","",SUMIFS(Chicks!$O:$O,Chicks!$F:$F,A536))</f>
        <v/>
      </c>
      <c r="M536" s="6" t="str">
        <f>IF(A536="","",SUMIFS(Chicks!$P:$P,Chicks!$F:$F,A536))</f>
        <v/>
      </c>
      <c r="N536" s="6" t="str">
        <f t="shared" si="3"/>
        <v/>
      </c>
    </row>
    <row r="537" spans="6:14" ht="14.25" customHeight="1" x14ac:dyDescent="0.3">
      <c r="F537" s="6" t="str">
        <f>IF(A537="","",COUNTIF(Chicks!$F:$F,A537))</f>
        <v/>
      </c>
      <c r="G537" s="6" t="str">
        <f>IF(A537="","",COUNTIFS(Chicks!$F:$F,A537,Chicks!$I:$I,"Yes"))</f>
        <v/>
      </c>
      <c r="H537" s="6" t="str">
        <f>IF(A537="","",SUMIFS(Chicks!$J:$J,Chicks!$F:$F,A537))</f>
        <v/>
      </c>
      <c r="I537" s="6" t="str">
        <f>IF(A537="","",COUNTIFS(Chicks!$F:$F,A537,Chicks!$I:$I,"No"))</f>
        <v/>
      </c>
      <c r="J537" s="6" t="str">
        <f>IF(A537="","",IFERROR(AVERAGEIF(Chicks!$F:$F,A537,Chicks!$M:$M),""))</f>
        <v/>
      </c>
      <c r="K537" s="6" t="str">
        <f>IF(A537="","",SUMIFS(Chicks!$N:$N,Chicks!$F:$F,A537))</f>
        <v/>
      </c>
      <c r="L537" s="6" t="str">
        <f>IF(A537="","",SUMIFS(Chicks!$O:$O,Chicks!$F:$F,A537))</f>
        <v/>
      </c>
      <c r="M537" s="6" t="str">
        <f>IF(A537="","",SUMIFS(Chicks!$P:$P,Chicks!$F:$F,A537))</f>
        <v/>
      </c>
      <c r="N537" s="6" t="str">
        <f t="shared" si="3"/>
        <v/>
      </c>
    </row>
    <row r="538" spans="6:14" ht="14.25" customHeight="1" x14ac:dyDescent="0.3">
      <c r="F538" s="6" t="str">
        <f>IF(A538="","",COUNTIF(Chicks!$F:$F,A538))</f>
        <v/>
      </c>
      <c r="G538" s="6" t="str">
        <f>IF(A538="","",COUNTIFS(Chicks!$F:$F,A538,Chicks!$I:$I,"Yes"))</f>
        <v/>
      </c>
      <c r="H538" s="6" t="str">
        <f>IF(A538="","",SUMIFS(Chicks!$J:$J,Chicks!$F:$F,A538))</f>
        <v/>
      </c>
      <c r="I538" s="6" t="str">
        <f>IF(A538="","",COUNTIFS(Chicks!$F:$F,A538,Chicks!$I:$I,"No"))</f>
        <v/>
      </c>
      <c r="J538" s="6" t="str">
        <f>IF(A538="","",IFERROR(AVERAGEIF(Chicks!$F:$F,A538,Chicks!$M:$M),""))</f>
        <v/>
      </c>
      <c r="K538" s="6" t="str">
        <f>IF(A538="","",SUMIFS(Chicks!$N:$N,Chicks!$F:$F,A538))</f>
        <v/>
      </c>
      <c r="L538" s="6" t="str">
        <f>IF(A538="","",SUMIFS(Chicks!$O:$O,Chicks!$F:$F,A538))</f>
        <v/>
      </c>
      <c r="M538" s="6" t="str">
        <f>IF(A538="","",SUMIFS(Chicks!$P:$P,Chicks!$F:$F,A538))</f>
        <v/>
      </c>
      <c r="N538" s="6" t="str">
        <f t="shared" si="3"/>
        <v/>
      </c>
    </row>
    <row r="539" spans="6:14" ht="14.25" customHeight="1" x14ac:dyDescent="0.3">
      <c r="F539" s="6" t="str">
        <f>IF(A539="","",COUNTIF(Chicks!$F:$F,A539))</f>
        <v/>
      </c>
      <c r="G539" s="6" t="str">
        <f>IF(A539="","",COUNTIFS(Chicks!$F:$F,A539,Chicks!$I:$I,"Yes"))</f>
        <v/>
      </c>
      <c r="H539" s="6" t="str">
        <f>IF(A539="","",SUMIFS(Chicks!$J:$J,Chicks!$F:$F,A539))</f>
        <v/>
      </c>
      <c r="I539" s="6" t="str">
        <f>IF(A539="","",COUNTIFS(Chicks!$F:$F,A539,Chicks!$I:$I,"No"))</f>
        <v/>
      </c>
      <c r="J539" s="6" t="str">
        <f>IF(A539="","",IFERROR(AVERAGEIF(Chicks!$F:$F,A539,Chicks!$M:$M),""))</f>
        <v/>
      </c>
      <c r="K539" s="6" t="str">
        <f>IF(A539="","",SUMIFS(Chicks!$N:$N,Chicks!$F:$F,A539))</f>
        <v/>
      </c>
      <c r="L539" s="6" t="str">
        <f>IF(A539="","",SUMIFS(Chicks!$O:$O,Chicks!$F:$F,A539))</f>
        <v/>
      </c>
      <c r="M539" s="6" t="str">
        <f>IF(A539="","",SUMIFS(Chicks!$P:$P,Chicks!$F:$F,A539))</f>
        <v/>
      </c>
      <c r="N539" s="6" t="str">
        <f t="shared" si="3"/>
        <v/>
      </c>
    </row>
    <row r="540" spans="6:14" ht="14.25" customHeight="1" x14ac:dyDescent="0.3">
      <c r="F540" s="6" t="str">
        <f>IF(A540="","",COUNTIF(Chicks!$F:$F,A540))</f>
        <v/>
      </c>
      <c r="G540" s="6" t="str">
        <f>IF(A540="","",COUNTIFS(Chicks!$F:$F,A540,Chicks!$I:$I,"Yes"))</f>
        <v/>
      </c>
      <c r="H540" s="6" t="str">
        <f>IF(A540="","",SUMIFS(Chicks!$J:$J,Chicks!$F:$F,A540))</f>
        <v/>
      </c>
      <c r="I540" s="6" t="str">
        <f>IF(A540="","",COUNTIFS(Chicks!$F:$F,A540,Chicks!$I:$I,"No"))</f>
        <v/>
      </c>
      <c r="J540" s="6" t="str">
        <f>IF(A540="","",IFERROR(AVERAGEIF(Chicks!$F:$F,A540,Chicks!$M:$M),""))</f>
        <v/>
      </c>
      <c r="K540" s="6" t="str">
        <f>IF(A540="","",SUMIFS(Chicks!$N:$N,Chicks!$F:$F,A540))</f>
        <v/>
      </c>
      <c r="L540" s="6" t="str">
        <f>IF(A540="","",SUMIFS(Chicks!$O:$O,Chicks!$F:$F,A540))</f>
        <v/>
      </c>
      <c r="M540" s="6" t="str">
        <f>IF(A540="","",SUMIFS(Chicks!$P:$P,Chicks!$F:$F,A540))</f>
        <v/>
      </c>
      <c r="N540" s="6" t="str">
        <f t="shared" si="3"/>
        <v/>
      </c>
    </row>
    <row r="541" spans="6:14" ht="14.25" customHeight="1" x14ac:dyDescent="0.3">
      <c r="F541" s="6" t="str">
        <f>IF(A541="","",COUNTIF(Chicks!$F:$F,A541))</f>
        <v/>
      </c>
      <c r="G541" s="6" t="str">
        <f>IF(A541="","",COUNTIFS(Chicks!$F:$F,A541,Chicks!$I:$I,"Yes"))</f>
        <v/>
      </c>
      <c r="H541" s="6" t="str">
        <f>IF(A541="","",SUMIFS(Chicks!$J:$J,Chicks!$F:$F,A541))</f>
        <v/>
      </c>
      <c r="I541" s="6" t="str">
        <f>IF(A541="","",COUNTIFS(Chicks!$F:$F,A541,Chicks!$I:$I,"No"))</f>
        <v/>
      </c>
      <c r="J541" s="6" t="str">
        <f>IF(A541="","",IFERROR(AVERAGEIF(Chicks!$F:$F,A541,Chicks!$M:$M),""))</f>
        <v/>
      </c>
      <c r="K541" s="6" t="str">
        <f>IF(A541="","",SUMIFS(Chicks!$N:$N,Chicks!$F:$F,A541))</f>
        <v/>
      </c>
      <c r="L541" s="6" t="str">
        <f>IF(A541="","",SUMIFS(Chicks!$O:$O,Chicks!$F:$F,A541))</f>
        <v/>
      </c>
      <c r="M541" s="6" t="str">
        <f>IF(A541="","",SUMIFS(Chicks!$P:$P,Chicks!$F:$F,A541))</f>
        <v/>
      </c>
      <c r="N541" s="6" t="str">
        <f t="shared" si="3"/>
        <v/>
      </c>
    </row>
    <row r="542" spans="6:14" ht="14.25" customHeight="1" x14ac:dyDescent="0.3">
      <c r="F542" s="6" t="str">
        <f>IF(A542="","",COUNTIF(Chicks!$F:$F,A542))</f>
        <v/>
      </c>
      <c r="G542" s="6" t="str">
        <f>IF(A542="","",COUNTIFS(Chicks!$F:$F,A542,Chicks!$I:$I,"Yes"))</f>
        <v/>
      </c>
      <c r="H542" s="6" t="str">
        <f>IF(A542="","",SUMIFS(Chicks!$J:$J,Chicks!$F:$F,A542))</f>
        <v/>
      </c>
      <c r="I542" s="6" t="str">
        <f>IF(A542="","",COUNTIFS(Chicks!$F:$F,A542,Chicks!$I:$I,"No"))</f>
        <v/>
      </c>
      <c r="J542" s="6" t="str">
        <f>IF(A542="","",IFERROR(AVERAGEIF(Chicks!$F:$F,A542,Chicks!$M:$M),""))</f>
        <v/>
      </c>
      <c r="K542" s="6" t="str">
        <f>IF(A542="","",SUMIFS(Chicks!$N:$N,Chicks!$F:$F,A542))</f>
        <v/>
      </c>
      <c r="L542" s="6" t="str">
        <f>IF(A542="","",SUMIFS(Chicks!$O:$O,Chicks!$F:$F,A542))</f>
        <v/>
      </c>
      <c r="M542" s="6" t="str">
        <f>IF(A542="","",SUMIFS(Chicks!$P:$P,Chicks!$F:$F,A542))</f>
        <v/>
      </c>
      <c r="N542" s="6" t="str">
        <f t="shared" si="3"/>
        <v/>
      </c>
    </row>
    <row r="543" spans="6:14" ht="14.25" customHeight="1" x14ac:dyDescent="0.3">
      <c r="F543" s="6" t="str">
        <f>IF(A543="","",COUNTIF(Chicks!$F:$F,A543))</f>
        <v/>
      </c>
      <c r="G543" s="6" t="str">
        <f>IF(A543="","",COUNTIFS(Chicks!$F:$F,A543,Chicks!$I:$I,"Yes"))</f>
        <v/>
      </c>
      <c r="H543" s="6" t="str">
        <f>IF(A543="","",SUMIFS(Chicks!$J:$J,Chicks!$F:$F,A543))</f>
        <v/>
      </c>
      <c r="I543" s="6" t="str">
        <f>IF(A543="","",COUNTIFS(Chicks!$F:$F,A543,Chicks!$I:$I,"No"))</f>
        <v/>
      </c>
      <c r="J543" s="6" t="str">
        <f>IF(A543="","",IFERROR(AVERAGEIF(Chicks!$F:$F,A543,Chicks!$M:$M),""))</f>
        <v/>
      </c>
      <c r="K543" s="6" t="str">
        <f>IF(A543="","",SUMIFS(Chicks!$N:$N,Chicks!$F:$F,A543))</f>
        <v/>
      </c>
      <c r="L543" s="6" t="str">
        <f>IF(A543="","",SUMIFS(Chicks!$O:$O,Chicks!$F:$F,A543))</f>
        <v/>
      </c>
      <c r="M543" s="6" t="str">
        <f>IF(A543="","",SUMIFS(Chicks!$P:$P,Chicks!$F:$F,A543))</f>
        <v/>
      </c>
      <c r="N543" s="6" t="str">
        <f t="shared" si="3"/>
        <v/>
      </c>
    </row>
    <row r="544" spans="6:14" ht="14.25" customHeight="1" x14ac:dyDescent="0.3">
      <c r="F544" s="6" t="str">
        <f>IF(A544="","",COUNTIF(Chicks!$F:$F,A544))</f>
        <v/>
      </c>
      <c r="G544" s="6" t="str">
        <f>IF(A544="","",COUNTIFS(Chicks!$F:$F,A544,Chicks!$I:$I,"Yes"))</f>
        <v/>
      </c>
      <c r="H544" s="6" t="str">
        <f>IF(A544="","",SUMIFS(Chicks!$J:$J,Chicks!$F:$F,A544))</f>
        <v/>
      </c>
      <c r="I544" s="6" t="str">
        <f>IF(A544="","",COUNTIFS(Chicks!$F:$F,A544,Chicks!$I:$I,"No"))</f>
        <v/>
      </c>
      <c r="J544" s="6" t="str">
        <f>IF(A544="","",IFERROR(AVERAGEIF(Chicks!$F:$F,A544,Chicks!$M:$M),""))</f>
        <v/>
      </c>
      <c r="K544" s="6" t="str">
        <f>IF(A544="","",SUMIFS(Chicks!$N:$N,Chicks!$F:$F,A544))</f>
        <v/>
      </c>
      <c r="L544" s="6" t="str">
        <f>IF(A544="","",SUMIFS(Chicks!$O:$O,Chicks!$F:$F,A544))</f>
        <v/>
      </c>
      <c r="M544" s="6" t="str">
        <f>IF(A544="","",SUMIFS(Chicks!$P:$P,Chicks!$F:$F,A544))</f>
        <v/>
      </c>
      <c r="N544" s="6" t="str">
        <f t="shared" si="3"/>
        <v/>
      </c>
    </row>
    <row r="545" spans="6:14" ht="14.25" customHeight="1" x14ac:dyDescent="0.3">
      <c r="F545" s="6" t="str">
        <f>IF(A545="","",COUNTIF(Chicks!$F:$F,A545))</f>
        <v/>
      </c>
      <c r="G545" s="6" t="str">
        <f>IF(A545="","",COUNTIFS(Chicks!$F:$F,A545,Chicks!$I:$I,"Yes"))</f>
        <v/>
      </c>
      <c r="H545" s="6" t="str">
        <f>IF(A545="","",SUMIFS(Chicks!$J:$J,Chicks!$F:$F,A545))</f>
        <v/>
      </c>
      <c r="I545" s="6" t="str">
        <f>IF(A545="","",COUNTIFS(Chicks!$F:$F,A545,Chicks!$I:$I,"No"))</f>
        <v/>
      </c>
      <c r="J545" s="6" t="str">
        <f>IF(A545="","",IFERROR(AVERAGEIF(Chicks!$F:$F,A545,Chicks!$M:$M),""))</f>
        <v/>
      </c>
      <c r="K545" s="6" t="str">
        <f>IF(A545="","",SUMIFS(Chicks!$N:$N,Chicks!$F:$F,A545))</f>
        <v/>
      </c>
      <c r="L545" s="6" t="str">
        <f>IF(A545="","",SUMIFS(Chicks!$O:$O,Chicks!$F:$F,A545))</f>
        <v/>
      </c>
      <c r="M545" s="6" t="str">
        <f>IF(A545="","",SUMIFS(Chicks!$P:$P,Chicks!$F:$F,A545))</f>
        <v/>
      </c>
      <c r="N545" s="6" t="str">
        <f t="shared" si="3"/>
        <v/>
      </c>
    </row>
    <row r="546" spans="6:14" ht="14.25" customHeight="1" x14ac:dyDescent="0.3">
      <c r="F546" s="6" t="str">
        <f>IF(A546="","",COUNTIF(Chicks!$F:$F,A546))</f>
        <v/>
      </c>
      <c r="G546" s="6" t="str">
        <f>IF(A546="","",COUNTIFS(Chicks!$F:$F,A546,Chicks!$I:$I,"Yes"))</f>
        <v/>
      </c>
      <c r="H546" s="6" t="str">
        <f>IF(A546="","",SUMIFS(Chicks!$J:$J,Chicks!$F:$F,A546))</f>
        <v/>
      </c>
      <c r="I546" s="6" t="str">
        <f>IF(A546="","",COUNTIFS(Chicks!$F:$F,A546,Chicks!$I:$I,"No"))</f>
        <v/>
      </c>
      <c r="J546" s="6" t="str">
        <f>IF(A546="","",IFERROR(AVERAGEIF(Chicks!$F:$F,A546,Chicks!$M:$M),""))</f>
        <v/>
      </c>
      <c r="K546" s="6" t="str">
        <f>IF(A546="","",SUMIFS(Chicks!$N:$N,Chicks!$F:$F,A546))</f>
        <v/>
      </c>
      <c r="L546" s="6" t="str">
        <f>IF(A546="","",SUMIFS(Chicks!$O:$O,Chicks!$F:$F,A546))</f>
        <v/>
      </c>
      <c r="M546" s="6" t="str">
        <f>IF(A546="","",SUMIFS(Chicks!$P:$P,Chicks!$F:$F,A546))</f>
        <v/>
      </c>
      <c r="N546" s="6" t="str">
        <f t="shared" si="3"/>
        <v/>
      </c>
    </row>
    <row r="547" spans="6:14" ht="14.25" customHeight="1" x14ac:dyDescent="0.3">
      <c r="F547" s="6" t="str">
        <f>IF(A547="","",COUNTIF(Chicks!$F:$F,A547))</f>
        <v/>
      </c>
      <c r="G547" s="6" t="str">
        <f>IF(A547="","",COUNTIFS(Chicks!$F:$F,A547,Chicks!$I:$I,"Yes"))</f>
        <v/>
      </c>
      <c r="H547" s="6" t="str">
        <f>IF(A547="","",SUMIFS(Chicks!$J:$J,Chicks!$F:$F,A547))</f>
        <v/>
      </c>
      <c r="I547" s="6" t="str">
        <f>IF(A547="","",COUNTIFS(Chicks!$F:$F,A547,Chicks!$I:$I,"No"))</f>
        <v/>
      </c>
      <c r="J547" s="6" t="str">
        <f>IF(A547="","",IFERROR(AVERAGEIF(Chicks!$F:$F,A547,Chicks!$M:$M),""))</f>
        <v/>
      </c>
      <c r="K547" s="6" t="str">
        <f>IF(A547="","",SUMIFS(Chicks!$N:$N,Chicks!$F:$F,A547))</f>
        <v/>
      </c>
      <c r="L547" s="6" t="str">
        <f>IF(A547="","",SUMIFS(Chicks!$O:$O,Chicks!$F:$F,A547))</f>
        <v/>
      </c>
      <c r="M547" s="6" t="str">
        <f>IF(A547="","",SUMIFS(Chicks!$P:$P,Chicks!$F:$F,A547))</f>
        <v/>
      </c>
      <c r="N547" s="6" t="str">
        <f t="shared" si="3"/>
        <v/>
      </c>
    </row>
    <row r="548" spans="6:14" ht="14.25" customHeight="1" x14ac:dyDescent="0.3">
      <c r="F548" s="6" t="str">
        <f>IF(A548="","",COUNTIF(Chicks!$F:$F,A548))</f>
        <v/>
      </c>
      <c r="G548" s="6" t="str">
        <f>IF(A548="","",COUNTIFS(Chicks!$F:$F,A548,Chicks!$I:$I,"Yes"))</f>
        <v/>
      </c>
      <c r="H548" s="6" t="str">
        <f>IF(A548="","",SUMIFS(Chicks!$J:$J,Chicks!$F:$F,A548))</f>
        <v/>
      </c>
      <c r="I548" s="6" t="str">
        <f>IF(A548="","",COUNTIFS(Chicks!$F:$F,A548,Chicks!$I:$I,"No"))</f>
        <v/>
      </c>
      <c r="J548" s="6" t="str">
        <f>IF(A548="","",IFERROR(AVERAGEIF(Chicks!$F:$F,A548,Chicks!$M:$M),""))</f>
        <v/>
      </c>
      <c r="K548" s="6" t="str">
        <f>IF(A548="","",SUMIFS(Chicks!$N:$N,Chicks!$F:$F,A548))</f>
        <v/>
      </c>
      <c r="L548" s="6" t="str">
        <f>IF(A548="","",SUMIFS(Chicks!$O:$O,Chicks!$F:$F,A548))</f>
        <v/>
      </c>
      <c r="M548" s="6" t="str">
        <f>IF(A548="","",SUMIFS(Chicks!$P:$P,Chicks!$F:$F,A548))</f>
        <v/>
      </c>
      <c r="N548" s="6" t="str">
        <f t="shared" si="3"/>
        <v/>
      </c>
    </row>
    <row r="549" spans="6:14" ht="14.25" customHeight="1" x14ac:dyDescent="0.3">
      <c r="F549" s="6" t="str">
        <f>IF(A549="","",COUNTIF(Chicks!$F:$F,A549))</f>
        <v/>
      </c>
      <c r="G549" s="6" t="str">
        <f>IF(A549="","",COUNTIFS(Chicks!$F:$F,A549,Chicks!$I:$I,"Yes"))</f>
        <v/>
      </c>
      <c r="H549" s="6" t="str">
        <f>IF(A549="","",SUMIFS(Chicks!$J:$J,Chicks!$F:$F,A549))</f>
        <v/>
      </c>
      <c r="I549" s="6" t="str">
        <f>IF(A549="","",COUNTIFS(Chicks!$F:$F,A549,Chicks!$I:$I,"No"))</f>
        <v/>
      </c>
      <c r="J549" s="6" t="str">
        <f>IF(A549="","",IFERROR(AVERAGEIF(Chicks!$F:$F,A549,Chicks!$M:$M),""))</f>
        <v/>
      </c>
      <c r="K549" s="6" t="str">
        <f>IF(A549="","",SUMIFS(Chicks!$N:$N,Chicks!$F:$F,A549))</f>
        <v/>
      </c>
      <c r="L549" s="6" t="str">
        <f>IF(A549="","",SUMIFS(Chicks!$O:$O,Chicks!$F:$F,A549))</f>
        <v/>
      </c>
      <c r="M549" s="6" t="str">
        <f>IF(A549="","",SUMIFS(Chicks!$P:$P,Chicks!$F:$F,A549))</f>
        <v/>
      </c>
      <c r="N549" s="6" t="str">
        <f t="shared" si="3"/>
        <v/>
      </c>
    </row>
    <row r="550" spans="6:14" ht="14.25" customHeight="1" x14ac:dyDescent="0.3">
      <c r="F550" s="6" t="str">
        <f>IF(A550="","",COUNTIF(Chicks!$F:$F,A550))</f>
        <v/>
      </c>
      <c r="G550" s="6" t="str">
        <f>IF(A550="","",COUNTIFS(Chicks!$F:$F,A550,Chicks!$I:$I,"Yes"))</f>
        <v/>
      </c>
      <c r="H550" s="6" t="str">
        <f>IF(A550="","",SUMIFS(Chicks!$J:$J,Chicks!$F:$F,A550))</f>
        <v/>
      </c>
      <c r="I550" s="6" t="str">
        <f>IF(A550="","",COUNTIFS(Chicks!$F:$F,A550,Chicks!$I:$I,"No"))</f>
        <v/>
      </c>
      <c r="J550" s="6" t="str">
        <f>IF(A550="","",IFERROR(AVERAGEIF(Chicks!$F:$F,A550,Chicks!$M:$M),""))</f>
        <v/>
      </c>
      <c r="K550" s="6" t="str">
        <f>IF(A550="","",SUMIFS(Chicks!$N:$N,Chicks!$F:$F,A550))</f>
        <v/>
      </c>
      <c r="L550" s="6" t="str">
        <f>IF(A550="","",SUMIFS(Chicks!$O:$O,Chicks!$F:$F,A550))</f>
        <v/>
      </c>
      <c r="M550" s="6" t="str">
        <f>IF(A550="","",SUMIFS(Chicks!$P:$P,Chicks!$F:$F,A550))</f>
        <v/>
      </c>
      <c r="N550" s="6" t="str">
        <f t="shared" si="3"/>
        <v/>
      </c>
    </row>
    <row r="551" spans="6:14" ht="14.25" customHeight="1" x14ac:dyDescent="0.3">
      <c r="F551" s="6" t="str">
        <f>IF(A551="","",COUNTIF(Chicks!$F:$F,A551))</f>
        <v/>
      </c>
      <c r="G551" s="6" t="str">
        <f>IF(A551="","",COUNTIFS(Chicks!$F:$F,A551,Chicks!$I:$I,"Yes"))</f>
        <v/>
      </c>
      <c r="H551" s="6" t="str">
        <f>IF(A551="","",SUMIFS(Chicks!$J:$J,Chicks!$F:$F,A551))</f>
        <v/>
      </c>
      <c r="I551" s="6" t="str">
        <f>IF(A551="","",COUNTIFS(Chicks!$F:$F,A551,Chicks!$I:$I,"No"))</f>
        <v/>
      </c>
      <c r="J551" s="6" t="str">
        <f>IF(A551="","",IFERROR(AVERAGEIF(Chicks!$F:$F,A551,Chicks!$M:$M),""))</f>
        <v/>
      </c>
      <c r="K551" s="6" t="str">
        <f>IF(A551="","",SUMIFS(Chicks!$N:$N,Chicks!$F:$F,A551))</f>
        <v/>
      </c>
      <c r="L551" s="6" t="str">
        <f>IF(A551="","",SUMIFS(Chicks!$O:$O,Chicks!$F:$F,A551))</f>
        <v/>
      </c>
      <c r="M551" s="6" t="str">
        <f>IF(A551="","",SUMIFS(Chicks!$P:$P,Chicks!$F:$F,A551))</f>
        <v/>
      </c>
      <c r="N551" s="6" t="str">
        <f t="shared" si="3"/>
        <v/>
      </c>
    </row>
    <row r="552" spans="6:14" ht="14.25" customHeight="1" x14ac:dyDescent="0.3">
      <c r="F552" s="6" t="str">
        <f>IF(A552="","",COUNTIF(Chicks!$F:$F,A552))</f>
        <v/>
      </c>
      <c r="G552" s="6" t="str">
        <f>IF(A552="","",COUNTIFS(Chicks!$F:$F,A552,Chicks!$I:$I,"Yes"))</f>
        <v/>
      </c>
      <c r="H552" s="6" t="str">
        <f>IF(A552="","",SUMIFS(Chicks!$J:$J,Chicks!$F:$F,A552))</f>
        <v/>
      </c>
      <c r="I552" s="6" t="str">
        <f>IF(A552="","",COUNTIFS(Chicks!$F:$F,A552,Chicks!$I:$I,"No"))</f>
        <v/>
      </c>
      <c r="J552" s="6" t="str">
        <f>IF(A552="","",IFERROR(AVERAGEIF(Chicks!$F:$F,A552,Chicks!$M:$M),""))</f>
        <v/>
      </c>
      <c r="K552" s="6" t="str">
        <f>IF(A552="","",SUMIFS(Chicks!$N:$N,Chicks!$F:$F,A552))</f>
        <v/>
      </c>
      <c r="L552" s="6" t="str">
        <f>IF(A552="","",SUMIFS(Chicks!$O:$O,Chicks!$F:$F,A552))</f>
        <v/>
      </c>
      <c r="M552" s="6" t="str">
        <f>IF(A552="","",SUMIFS(Chicks!$P:$P,Chicks!$F:$F,A552))</f>
        <v/>
      </c>
      <c r="N552" s="6" t="str">
        <f t="shared" si="3"/>
        <v/>
      </c>
    </row>
    <row r="553" spans="6:14" ht="14.25" customHeight="1" x14ac:dyDescent="0.3">
      <c r="F553" s="6" t="str">
        <f>IF(A553="","",COUNTIF(Chicks!$F:$F,A553))</f>
        <v/>
      </c>
      <c r="G553" s="6" t="str">
        <f>IF(A553="","",COUNTIFS(Chicks!$F:$F,A553,Chicks!$I:$I,"Yes"))</f>
        <v/>
      </c>
      <c r="H553" s="6" t="str">
        <f>IF(A553="","",SUMIFS(Chicks!$J:$J,Chicks!$F:$F,A553))</f>
        <v/>
      </c>
      <c r="I553" s="6" t="str">
        <f>IF(A553="","",COUNTIFS(Chicks!$F:$F,A553,Chicks!$I:$I,"No"))</f>
        <v/>
      </c>
      <c r="J553" s="6" t="str">
        <f>IF(A553="","",IFERROR(AVERAGEIF(Chicks!$F:$F,A553,Chicks!$M:$M),""))</f>
        <v/>
      </c>
      <c r="K553" s="6" t="str">
        <f>IF(A553="","",SUMIFS(Chicks!$N:$N,Chicks!$F:$F,A553))</f>
        <v/>
      </c>
      <c r="L553" s="6" t="str">
        <f>IF(A553="","",SUMIFS(Chicks!$O:$O,Chicks!$F:$F,A553))</f>
        <v/>
      </c>
      <c r="M553" s="6" t="str">
        <f>IF(A553="","",SUMIFS(Chicks!$P:$P,Chicks!$F:$F,A553))</f>
        <v/>
      </c>
      <c r="N553" s="6" t="str">
        <f t="shared" si="3"/>
        <v/>
      </c>
    </row>
    <row r="554" spans="6:14" ht="14.25" customHeight="1" x14ac:dyDescent="0.3">
      <c r="F554" s="6" t="str">
        <f>IF(A554="","",COUNTIF(Chicks!$F:$F,A554))</f>
        <v/>
      </c>
      <c r="G554" s="6" t="str">
        <f>IF(A554="","",COUNTIFS(Chicks!$F:$F,A554,Chicks!$I:$I,"Yes"))</f>
        <v/>
      </c>
      <c r="H554" s="6" t="str">
        <f>IF(A554="","",SUMIFS(Chicks!$J:$J,Chicks!$F:$F,A554))</f>
        <v/>
      </c>
      <c r="I554" s="6" t="str">
        <f>IF(A554="","",COUNTIFS(Chicks!$F:$F,A554,Chicks!$I:$I,"No"))</f>
        <v/>
      </c>
      <c r="J554" s="6" t="str">
        <f>IF(A554="","",IFERROR(AVERAGEIF(Chicks!$F:$F,A554,Chicks!$M:$M),""))</f>
        <v/>
      </c>
      <c r="K554" s="6" t="str">
        <f>IF(A554="","",SUMIFS(Chicks!$N:$N,Chicks!$F:$F,A554))</f>
        <v/>
      </c>
      <c r="L554" s="6" t="str">
        <f>IF(A554="","",SUMIFS(Chicks!$O:$O,Chicks!$F:$F,A554))</f>
        <v/>
      </c>
      <c r="M554" s="6" t="str">
        <f>IF(A554="","",SUMIFS(Chicks!$P:$P,Chicks!$F:$F,A554))</f>
        <v/>
      </c>
      <c r="N554" s="6" t="str">
        <f t="shared" si="3"/>
        <v/>
      </c>
    </row>
    <row r="555" spans="6:14" ht="14.25" customHeight="1" x14ac:dyDescent="0.3">
      <c r="F555" s="6" t="str">
        <f>IF(A555="","",COUNTIF(Chicks!$F:$F,A555))</f>
        <v/>
      </c>
      <c r="G555" s="6" t="str">
        <f>IF(A555="","",COUNTIFS(Chicks!$F:$F,A555,Chicks!$I:$I,"Yes"))</f>
        <v/>
      </c>
      <c r="H555" s="6" t="str">
        <f>IF(A555="","",SUMIFS(Chicks!$J:$J,Chicks!$F:$F,A555))</f>
        <v/>
      </c>
      <c r="I555" s="6" t="str">
        <f>IF(A555="","",COUNTIFS(Chicks!$F:$F,A555,Chicks!$I:$I,"No"))</f>
        <v/>
      </c>
      <c r="J555" s="6" t="str">
        <f>IF(A555="","",IFERROR(AVERAGEIF(Chicks!$F:$F,A555,Chicks!$M:$M),""))</f>
        <v/>
      </c>
      <c r="K555" s="6" t="str">
        <f>IF(A555="","",SUMIFS(Chicks!$N:$N,Chicks!$F:$F,A555))</f>
        <v/>
      </c>
      <c r="L555" s="6" t="str">
        <f>IF(A555="","",SUMIFS(Chicks!$O:$O,Chicks!$F:$F,A555))</f>
        <v/>
      </c>
      <c r="M555" s="6" t="str">
        <f>IF(A555="","",SUMIFS(Chicks!$P:$P,Chicks!$F:$F,A555))</f>
        <v/>
      </c>
      <c r="N555" s="6" t="str">
        <f t="shared" si="3"/>
        <v/>
      </c>
    </row>
    <row r="556" spans="6:14" ht="14.25" customHeight="1" x14ac:dyDescent="0.3">
      <c r="F556" s="6" t="str">
        <f>IF(A556="","",COUNTIF(Chicks!$F:$F,A556))</f>
        <v/>
      </c>
      <c r="G556" s="6" t="str">
        <f>IF(A556="","",COUNTIFS(Chicks!$F:$F,A556,Chicks!$I:$I,"Yes"))</f>
        <v/>
      </c>
      <c r="H556" s="6" t="str">
        <f>IF(A556="","",SUMIFS(Chicks!$J:$J,Chicks!$F:$F,A556))</f>
        <v/>
      </c>
      <c r="I556" s="6" t="str">
        <f>IF(A556="","",COUNTIFS(Chicks!$F:$F,A556,Chicks!$I:$I,"No"))</f>
        <v/>
      </c>
      <c r="J556" s="6" t="str">
        <f>IF(A556="","",IFERROR(AVERAGEIF(Chicks!$F:$F,A556,Chicks!$M:$M),""))</f>
        <v/>
      </c>
      <c r="K556" s="6" t="str">
        <f>IF(A556="","",SUMIFS(Chicks!$N:$N,Chicks!$F:$F,A556))</f>
        <v/>
      </c>
      <c r="L556" s="6" t="str">
        <f>IF(A556="","",SUMIFS(Chicks!$O:$O,Chicks!$F:$F,A556))</f>
        <v/>
      </c>
      <c r="M556" s="6" t="str">
        <f>IF(A556="","",SUMIFS(Chicks!$P:$P,Chicks!$F:$F,A556))</f>
        <v/>
      </c>
      <c r="N556" s="6" t="str">
        <f t="shared" si="3"/>
        <v/>
      </c>
    </row>
    <row r="557" spans="6:14" ht="14.25" customHeight="1" x14ac:dyDescent="0.3">
      <c r="F557" s="6" t="str">
        <f>IF(A557="","",COUNTIF(Chicks!$F:$F,A557))</f>
        <v/>
      </c>
      <c r="G557" s="6" t="str">
        <f>IF(A557="","",COUNTIFS(Chicks!$F:$F,A557,Chicks!$I:$I,"Yes"))</f>
        <v/>
      </c>
      <c r="H557" s="6" t="str">
        <f>IF(A557="","",SUMIFS(Chicks!$J:$J,Chicks!$F:$F,A557))</f>
        <v/>
      </c>
      <c r="I557" s="6" t="str">
        <f>IF(A557="","",COUNTIFS(Chicks!$F:$F,A557,Chicks!$I:$I,"No"))</f>
        <v/>
      </c>
      <c r="J557" s="6" t="str">
        <f>IF(A557="","",IFERROR(AVERAGEIF(Chicks!$F:$F,A557,Chicks!$M:$M),""))</f>
        <v/>
      </c>
      <c r="K557" s="6" t="str">
        <f>IF(A557="","",SUMIFS(Chicks!$N:$N,Chicks!$F:$F,A557))</f>
        <v/>
      </c>
      <c r="L557" s="6" t="str">
        <f>IF(A557="","",SUMIFS(Chicks!$O:$O,Chicks!$F:$F,A557))</f>
        <v/>
      </c>
      <c r="M557" s="6" t="str">
        <f>IF(A557="","",SUMIFS(Chicks!$P:$P,Chicks!$F:$F,A557))</f>
        <v/>
      </c>
      <c r="N557" s="6" t="str">
        <f t="shared" si="3"/>
        <v/>
      </c>
    </row>
    <row r="558" spans="6:14" ht="14.25" customHeight="1" x14ac:dyDescent="0.3">
      <c r="F558" s="6" t="str">
        <f>IF(A558="","",COUNTIF(Chicks!$F:$F,A558))</f>
        <v/>
      </c>
      <c r="G558" s="6" t="str">
        <f>IF(A558="","",COUNTIFS(Chicks!$F:$F,A558,Chicks!$I:$I,"Yes"))</f>
        <v/>
      </c>
      <c r="H558" s="6" t="str">
        <f>IF(A558="","",SUMIFS(Chicks!$J:$J,Chicks!$F:$F,A558))</f>
        <v/>
      </c>
      <c r="I558" s="6" t="str">
        <f>IF(A558="","",COUNTIFS(Chicks!$F:$F,A558,Chicks!$I:$I,"No"))</f>
        <v/>
      </c>
      <c r="J558" s="6" t="str">
        <f>IF(A558="","",IFERROR(AVERAGEIF(Chicks!$F:$F,A558,Chicks!$M:$M),""))</f>
        <v/>
      </c>
      <c r="K558" s="6" t="str">
        <f>IF(A558="","",SUMIFS(Chicks!$N:$N,Chicks!$F:$F,A558))</f>
        <v/>
      </c>
      <c r="L558" s="6" t="str">
        <f>IF(A558="","",SUMIFS(Chicks!$O:$O,Chicks!$F:$F,A558))</f>
        <v/>
      </c>
      <c r="M558" s="6" t="str">
        <f>IF(A558="","",SUMIFS(Chicks!$P:$P,Chicks!$F:$F,A558))</f>
        <v/>
      </c>
      <c r="N558" s="6" t="str">
        <f t="shared" si="3"/>
        <v/>
      </c>
    </row>
    <row r="559" spans="6:14" ht="14.25" customHeight="1" x14ac:dyDescent="0.3">
      <c r="F559" s="6" t="str">
        <f>IF(A559="","",COUNTIF(Chicks!$F:$F,A559))</f>
        <v/>
      </c>
      <c r="G559" s="6" t="str">
        <f>IF(A559="","",COUNTIFS(Chicks!$F:$F,A559,Chicks!$I:$I,"Yes"))</f>
        <v/>
      </c>
      <c r="H559" s="6" t="str">
        <f>IF(A559="","",SUMIFS(Chicks!$J:$J,Chicks!$F:$F,A559))</f>
        <v/>
      </c>
      <c r="I559" s="6" t="str">
        <f>IF(A559="","",COUNTIFS(Chicks!$F:$F,A559,Chicks!$I:$I,"No"))</f>
        <v/>
      </c>
      <c r="J559" s="6" t="str">
        <f>IF(A559="","",IFERROR(AVERAGEIF(Chicks!$F:$F,A559,Chicks!$M:$M),""))</f>
        <v/>
      </c>
      <c r="K559" s="6" t="str">
        <f>IF(A559="","",SUMIFS(Chicks!$N:$N,Chicks!$F:$F,A559))</f>
        <v/>
      </c>
      <c r="L559" s="6" t="str">
        <f>IF(A559="","",SUMIFS(Chicks!$O:$O,Chicks!$F:$F,A559))</f>
        <v/>
      </c>
      <c r="M559" s="6" t="str">
        <f>IF(A559="","",SUMIFS(Chicks!$P:$P,Chicks!$F:$F,A559))</f>
        <v/>
      </c>
      <c r="N559" s="6" t="str">
        <f t="shared" si="3"/>
        <v/>
      </c>
    </row>
    <row r="560" spans="6:14" ht="14.25" customHeight="1" x14ac:dyDescent="0.3">
      <c r="F560" s="6" t="str">
        <f>IF(A560="","",COUNTIF(Chicks!$F:$F,A560))</f>
        <v/>
      </c>
      <c r="G560" s="6" t="str">
        <f>IF(A560="","",COUNTIFS(Chicks!$F:$F,A560,Chicks!$I:$I,"Yes"))</f>
        <v/>
      </c>
      <c r="H560" s="6" t="str">
        <f>IF(A560="","",SUMIFS(Chicks!$J:$J,Chicks!$F:$F,A560))</f>
        <v/>
      </c>
      <c r="I560" s="6" t="str">
        <f>IF(A560="","",COUNTIFS(Chicks!$F:$F,A560,Chicks!$I:$I,"No"))</f>
        <v/>
      </c>
      <c r="J560" s="6" t="str">
        <f>IF(A560="","",IFERROR(AVERAGEIF(Chicks!$F:$F,A560,Chicks!$M:$M),""))</f>
        <v/>
      </c>
      <c r="K560" s="6" t="str">
        <f>IF(A560="","",SUMIFS(Chicks!$N:$N,Chicks!$F:$F,A560))</f>
        <v/>
      </c>
      <c r="L560" s="6" t="str">
        <f>IF(A560="","",SUMIFS(Chicks!$O:$O,Chicks!$F:$F,A560))</f>
        <v/>
      </c>
      <c r="M560" s="6" t="str">
        <f>IF(A560="","",SUMIFS(Chicks!$P:$P,Chicks!$F:$F,A560))</f>
        <v/>
      </c>
      <c r="N560" s="6" t="str">
        <f t="shared" si="3"/>
        <v/>
      </c>
    </row>
    <row r="561" spans="6:14" ht="14.25" customHeight="1" x14ac:dyDescent="0.3">
      <c r="F561" s="6" t="str">
        <f>IF(A561="","",COUNTIF(Chicks!$F:$F,A561))</f>
        <v/>
      </c>
      <c r="G561" s="6" t="str">
        <f>IF(A561="","",COUNTIFS(Chicks!$F:$F,A561,Chicks!$I:$I,"Yes"))</f>
        <v/>
      </c>
      <c r="H561" s="6" t="str">
        <f>IF(A561="","",SUMIFS(Chicks!$J:$J,Chicks!$F:$F,A561))</f>
        <v/>
      </c>
      <c r="I561" s="6" t="str">
        <f>IF(A561="","",COUNTIFS(Chicks!$F:$F,A561,Chicks!$I:$I,"No"))</f>
        <v/>
      </c>
      <c r="J561" s="6" t="str">
        <f>IF(A561="","",IFERROR(AVERAGEIF(Chicks!$F:$F,A561,Chicks!$M:$M),""))</f>
        <v/>
      </c>
      <c r="K561" s="6" t="str">
        <f>IF(A561="","",SUMIFS(Chicks!$N:$N,Chicks!$F:$F,A561))</f>
        <v/>
      </c>
      <c r="L561" s="6" t="str">
        <f>IF(A561="","",SUMIFS(Chicks!$O:$O,Chicks!$F:$F,A561))</f>
        <v/>
      </c>
      <c r="M561" s="6" t="str">
        <f>IF(A561="","",SUMIFS(Chicks!$P:$P,Chicks!$F:$F,A561))</f>
        <v/>
      </c>
      <c r="N561" s="6" t="str">
        <f t="shared" si="3"/>
        <v/>
      </c>
    </row>
    <row r="562" spans="6:14" ht="14.25" customHeight="1" x14ac:dyDescent="0.3">
      <c r="F562" s="6" t="str">
        <f>IF(A562="","",COUNTIF(Chicks!$F:$F,A562))</f>
        <v/>
      </c>
      <c r="G562" s="6" t="str">
        <f>IF(A562="","",COUNTIFS(Chicks!$F:$F,A562,Chicks!$I:$I,"Yes"))</f>
        <v/>
      </c>
      <c r="H562" s="6" t="str">
        <f>IF(A562="","",SUMIFS(Chicks!$J:$J,Chicks!$F:$F,A562))</f>
        <v/>
      </c>
      <c r="I562" s="6" t="str">
        <f>IF(A562="","",COUNTIFS(Chicks!$F:$F,A562,Chicks!$I:$I,"No"))</f>
        <v/>
      </c>
      <c r="J562" s="6" t="str">
        <f>IF(A562="","",IFERROR(AVERAGEIF(Chicks!$F:$F,A562,Chicks!$M:$M),""))</f>
        <v/>
      </c>
      <c r="K562" s="6" t="str">
        <f>IF(A562="","",SUMIFS(Chicks!$N:$N,Chicks!$F:$F,A562))</f>
        <v/>
      </c>
      <c r="L562" s="6" t="str">
        <f>IF(A562="","",SUMIFS(Chicks!$O:$O,Chicks!$F:$F,A562))</f>
        <v/>
      </c>
      <c r="M562" s="6" t="str">
        <f>IF(A562="","",SUMIFS(Chicks!$P:$P,Chicks!$F:$F,A562))</f>
        <v/>
      </c>
      <c r="N562" s="6" t="str">
        <f t="shared" si="3"/>
        <v/>
      </c>
    </row>
    <row r="563" spans="6:14" ht="14.25" customHeight="1" x14ac:dyDescent="0.3">
      <c r="F563" s="6" t="str">
        <f>IF(A563="","",COUNTIF(Chicks!$F:$F,A563))</f>
        <v/>
      </c>
      <c r="G563" s="6" t="str">
        <f>IF(A563="","",COUNTIFS(Chicks!$F:$F,A563,Chicks!$I:$I,"Yes"))</f>
        <v/>
      </c>
      <c r="H563" s="6" t="str">
        <f>IF(A563="","",SUMIFS(Chicks!$J:$J,Chicks!$F:$F,A563))</f>
        <v/>
      </c>
      <c r="I563" s="6" t="str">
        <f>IF(A563="","",COUNTIFS(Chicks!$F:$F,A563,Chicks!$I:$I,"No"))</f>
        <v/>
      </c>
      <c r="J563" s="6" t="str">
        <f>IF(A563="","",IFERROR(AVERAGEIF(Chicks!$F:$F,A563,Chicks!$M:$M),""))</f>
        <v/>
      </c>
      <c r="K563" s="6" t="str">
        <f>IF(A563="","",SUMIFS(Chicks!$N:$N,Chicks!$F:$F,A563))</f>
        <v/>
      </c>
      <c r="L563" s="6" t="str">
        <f>IF(A563="","",SUMIFS(Chicks!$O:$O,Chicks!$F:$F,A563))</f>
        <v/>
      </c>
      <c r="M563" s="6" t="str">
        <f>IF(A563="","",SUMIFS(Chicks!$P:$P,Chicks!$F:$F,A563))</f>
        <v/>
      </c>
      <c r="N563" s="6" t="str">
        <f t="shared" si="3"/>
        <v/>
      </c>
    </row>
    <row r="564" spans="6:14" ht="14.25" customHeight="1" x14ac:dyDescent="0.3">
      <c r="F564" s="6" t="str">
        <f>IF(A564="","",COUNTIF(Chicks!$F:$F,A564))</f>
        <v/>
      </c>
      <c r="G564" s="6" t="str">
        <f>IF(A564="","",COUNTIFS(Chicks!$F:$F,A564,Chicks!$I:$I,"Yes"))</f>
        <v/>
      </c>
      <c r="H564" s="6" t="str">
        <f>IF(A564="","",SUMIFS(Chicks!$J:$J,Chicks!$F:$F,A564))</f>
        <v/>
      </c>
      <c r="I564" s="6" t="str">
        <f>IF(A564="","",COUNTIFS(Chicks!$F:$F,A564,Chicks!$I:$I,"No"))</f>
        <v/>
      </c>
      <c r="J564" s="6" t="str">
        <f>IF(A564="","",IFERROR(AVERAGEIF(Chicks!$F:$F,A564,Chicks!$M:$M),""))</f>
        <v/>
      </c>
      <c r="K564" s="6" t="str">
        <f>IF(A564="","",SUMIFS(Chicks!$N:$N,Chicks!$F:$F,A564))</f>
        <v/>
      </c>
      <c r="L564" s="6" t="str">
        <f>IF(A564="","",SUMIFS(Chicks!$O:$O,Chicks!$F:$F,A564))</f>
        <v/>
      </c>
      <c r="M564" s="6" t="str">
        <f>IF(A564="","",SUMIFS(Chicks!$P:$P,Chicks!$F:$F,A564))</f>
        <v/>
      </c>
      <c r="N564" s="6" t="str">
        <f t="shared" si="3"/>
        <v/>
      </c>
    </row>
    <row r="565" spans="6:14" ht="14.25" customHeight="1" x14ac:dyDescent="0.3">
      <c r="F565" s="6" t="str">
        <f>IF(A565="","",COUNTIF(Chicks!$F:$F,A565))</f>
        <v/>
      </c>
      <c r="G565" s="6" t="str">
        <f>IF(A565="","",COUNTIFS(Chicks!$F:$F,A565,Chicks!$I:$I,"Yes"))</f>
        <v/>
      </c>
      <c r="H565" s="6" t="str">
        <f>IF(A565="","",SUMIFS(Chicks!$J:$J,Chicks!$F:$F,A565))</f>
        <v/>
      </c>
      <c r="I565" s="6" t="str">
        <f>IF(A565="","",COUNTIFS(Chicks!$F:$F,A565,Chicks!$I:$I,"No"))</f>
        <v/>
      </c>
      <c r="J565" s="6" t="str">
        <f>IF(A565="","",IFERROR(AVERAGEIF(Chicks!$F:$F,A565,Chicks!$M:$M),""))</f>
        <v/>
      </c>
      <c r="K565" s="6" t="str">
        <f>IF(A565="","",SUMIFS(Chicks!$N:$N,Chicks!$F:$F,A565))</f>
        <v/>
      </c>
      <c r="L565" s="6" t="str">
        <f>IF(A565="","",SUMIFS(Chicks!$O:$O,Chicks!$F:$F,A565))</f>
        <v/>
      </c>
      <c r="M565" s="6" t="str">
        <f>IF(A565="","",SUMIFS(Chicks!$P:$P,Chicks!$F:$F,A565))</f>
        <v/>
      </c>
      <c r="N565" s="6" t="str">
        <f t="shared" si="3"/>
        <v/>
      </c>
    </row>
    <row r="566" spans="6:14" ht="14.25" customHeight="1" x14ac:dyDescent="0.3">
      <c r="F566" s="6" t="str">
        <f>IF(A566="","",COUNTIF(Chicks!$F:$F,A566))</f>
        <v/>
      </c>
      <c r="G566" s="6" t="str">
        <f>IF(A566="","",COUNTIFS(Chicks!$F:$F,A566,Chicks!$I:$I,"Yes"))</f>
        <v/>
      </c>
      <c r="H566" s="6" t="str">
        <f>IF(A566="","",SUMIFS(Chicks!$J:$J,Chicks!$F:$F,A566))</f>
        <v/>
      </c>
      <c r="I566" s="6" t="str">
        <f>IF(A566="","",COUNTIFS(Chicks!$F:$F,A566,Chicks!$I:$I,"No"))</f>
        <v/>
      </c>
      <c r="J566" s="6" t="str">
        <f>IF(A566="","",IFERROR(AVERAGEIF(Chicks!$F:$F,A566,Chicks!$M:$M),""))</f>
        <v/>
      </c>
      <c r="K566" s="6" t="str">
        <f>IF(A566="","",SUMIFS(Chicks!$N:$N,Chicks!$F:$F,A566))</f>
        <v/>
      </c>
      <c r="L566" s="6" t="str">
        <f>IF(A566="","",SUMIFS(Chicks!$O:$O,Chicks!$F:$F,A566))</f>
        <v/>
      </c>
      <c r="M566" s="6" t="str">
        <f>IF(A566="","",SUMIFS(Chicks!$P:$P,Chicks!$F:$F,A566))</f>
        <v/>
      </c>
      <c r="N566" s="6" t="str">
        <f t="shared" si="3"/>
        <v/>
      </c>
    </row>
    <row r="567" spans="6:14" ht="14.25" customHeight="1" x14ac:dyDescent="0.3">
      <c r="F567" s="6" t="str">
        <f>IF(A567="","",COUNTIF(Chicks!$F:$F,A567))</f>
        <v/>
      </c>
      <c r="G567" s="6" t="str">
        <f>IF(A567="","",COUNTIFS(Chicks!$F:$F,A567,Chicks!$I:$I,"Yes"))</f>
        <v/>
      </c>
      <c r="H567" s="6" t="str">
        <f>IF(A567="","",SUMIFS(Chicks!$J:$J,Chicks!$F:$F,A567))</f>
        <v/>
      </c>
      <c r="I567" s="6" t="str">
        <f>IF(A567="","",COUNTIFS(Chicks!$F:$F,A567,Chicks!$I:$I,"No"))</f>
        <v/>
      </c>
      <c r="J567" s="6" t="str">
        <f>IF(A567="","",IFERROR(AVERAGEIF(Chicks!$F:$F,A567,Chicks!$M:$M),""))</f>
        <v/>
      </c>
      <c r="K567" s="6" t="str">
        <f>IF(A567="","",SUMIFS(Chicks!$N:$N,Chicks!$F:$F,A567))</f>
        <v/>
      </c>
      <c r="L567" s="6" t="str">
        <f>IF(A567="","",SUMIFS(Chicks!$O:$O,Chicks!$F:$F,A567))</f>
        <v/>
      </c>
      <c r="M567" s="6" t="str">
        <f>IF(A567="","",SUMIFS(Chicks!$P:$P,Chicks!$F:$F,A567))</f>
        <v/>
      </c>
      <c r="N567" s="6" t="str">
        <f t="shared" si="3"/>
        <v/>
      </c>
    </row>
    <row r="568" spans="6:14" ht="14.25" customHeight="1" x14ac:dyDescent="0.3">
      <c r="F568" s="6" t="str">
        <f>IF(A568="","",COUNTIF(Chicks!$F:$F,A568))</f>
        <v/>
      </c>
      <c r="G568" s="6" t="str">
        <f>IF(A568="","",COUNTIFS(Chicks!$F:$F,A568,Chicks!$I:$I,"Yes"))</f>
        <v/>
      </c>
      <c r="H568" s="6" t="str">
        <f>IF(A568="","",SUMIFS(Chicks!$J:$J,Chicks!$F:$F,A568))</f>
        <v/>
      </c>
      <c r="I568" s="6" t="str">
        <f>IF(A568="","",COUNTIFS(Chicks!$F:$F,A568,Chicks!$I:$I,"No"))</f>
        <v/>
      </c>
      <c r="J568" s="6" t="str">
        <f>IF(A568="","",IFERROR(AVERAGEIF(Chicks!$F:$F,A568,Chicks!$M:$M),""))</f>
        <v/>
      </c>
      <c r="K568" s="6" t="str">
        <f>IF(A568="","",SUMIFS(Chicks!$N:$N,Chicks!$F:$F,A568))</f>
        <v/>
      </c>
      <c r="L568" s="6" t="str">
        <f>IF(A568="","",SUMIFS(Chicks!$O:$O,Chicks!$F:$F,A568))</f>
        <v/>
      </c>
      <c r="M568" s="6" t="str">
        <f>IF(A568="","",SUMIFS(Chicks!$P:$P,Chicks!$F:$F,A568))</f>
        <v/>
      </c>
      <c r="N568" s="6" t="str">
        <f t="shared" si="3"/>
        <v/>
      </c>
    </row>
    <row r="569" spans="6:14" ht="14.25" customHeight="1" x14ac:dyDescent="0.3">
      <c r="F569" s="6" t="str">
        <f>IF(A569="","",COUNTIF(Chicks!$F:$F,A569))</f>
        <v/>
      </c>
      <c r="G569" s="6" t="str">
        <f>IF(A569="","",COUNTIFS(Chicks!$F:$F,A569,Chicks!$I:$I,"Yes"))</f>
        <v/>
      </c>
      <c r="H569" s="6" t="str">
        <f>IF(A569="","",SUMIFS(Chicks!$J:$J,Chicks!$F:$F,A569))</f>
        <v/>
      </c>
      <c r="I569" s="6" t="str">
        <f>IF(A569="","",COUNTIFS(Chicks!$F:$F,A569,Chicks!$I:$I,"No"))</f>
        <v/>
      </c>
      <c r="J569" s="6" t="str">
        <f>IF(A569="","",IFERROR(AVERAGEIF(Chicks!$F:$F,A569,Chicks!$M:$M),""))</f>
        <v/>
      </c>
      <c r="K569" s="6" t="str">
        <f>IF(A569="","",SUMIFS(Chicks!$N:$N,Chicks!$F:$F,A569))</f>
        <v/>
      </c>
      <c r="L569" s="6" t="str">
        <f>IF(A569="","",SUMIFS(Chicks!$O:$O,Chicks!$F:$F,A569))</f>
        <v/>
      </c>
      <c r="M569" s="6" t="str">
        <f>IF(A569="","",SUMIFS(Chicks!$P:$P,Chicks!$F:$F,A569))</f>
        <v/>
      </c>
      <c r="N569" s="6" t="str">
        <f t="shared" si="3"/>
        <v/>
      </c>
    </row>
    <row r="570" spans="6:14" ht="14.25" customHeight="1" x14ac:dyDescent="0.3">
      <c r="F570" s="6" t="str">
        <f>IF(A570="","",COUNTIF(Chicks!$F:$F,A570))</f>
        <v/>
      </c>
      <c r="G570" s="6" t="str">
        <f>IF(A570="","",COUNTIFS(Chicks!$F:$F,A570,Chicks!$I:$I,"Yes"))</f>
        <v/>
      </c>
      <c r="H570" s="6" t="str">
        <f>IF(A570="","",SUMIFS(Chicks!$J:$J,Chicks!$F:$F,A570))</f>
        <v/>
      </c>
      <c r="I570" s="6" t="str">
        <f>IF(A570="","",COUNTIFS(Chicks!$F:$F,A570,Chicks!$I:$I,"No"))</f>
        <v/>
      </c>
      <c r="J570" s="6" t="str">
        <f>IF(A570="","",IFERROR(AVERAGEIF(Chicks!$F:$F,A570,Chicks!$M:$M),""))</f>
        <v/>
      </c>
      <c r="K570" s="6" t="str">
        <f>IF(A570="","",SUMIFS(Chicks!$N:$N,Chicks!$F:$F,A570))</f>
        <v/>
      </c>
      <c r="L570" s="6" t="str">
        <f>IF(A570="","",SUMIFS(Chicks!$O:$O,Chicks!$F:$F,A570))</f>
        <v/>
      </c>
      <c r="M570" s="6" t="str">
        <f>IF(A570="","",SUMIFS(Chicks!$P:$P,Chicks!$F:$F,A570))</f>
        <v/>
      </c>
      <c r="N570" s="6" t="str">
        <f t="shared" si="3"/>
        <v/>
      </c>
    </row>
    <row r="571" spans="6:14" ht="14.25" customHeight="1" x14ac:dyDescent="0.3">
      <c r="F571" s="6" t="str">
        <f>IF(A571="","",COUNTIF(Chicks!$F:$F,A571))</f>
        <v/>
      </c>
      <c r="G571" s="6" t="str">
        <f>IF(A571="","",COUNTIFS(Chicks!$F:$F,A571,Chicks!$I:$I,"Yes"))</f>
        <v/>
      </c>
      <c r="H571" s="6" t="str">
        <f>IF(A571="","",SUMIFS(Chicks!$J:$J,Chicks!$F:$F,A571))</f>
        <v/>
      </c>
      <c r="I571" s="6" t="str">
        <f>IF(A571="","",COUNTIFS(Chicks!$F:$F,A571,Chicks!$I:$I,"No"))</f>
        <v/>
      </c>
      <c r="J571" s="6" t="str">
        <f>IF(A571="","",IFERROR(AVERAGEIF(Chicks!$F:$F,A571,Chicks!$M:$M),""))</f>
        <v/>
      </c>
      <c r="K571" s="6" t="str">
        <f>IF(A571="","",SUMIFS(Chicks!$N:$N,Chicks!$F:$F,A571))</f>
        <v/>
      </c>
      <c r="L571" s="6" t="str">
        <f>IF(A571="","",SUMIFS(Chicks!$O:$O,Chicks!$F:$F,A571))</f>
        <v/>
      </c>
      <c r="M571" s="6" t="str">
        <f>IF(A571="","",SUMIFS(Chicks!$P:$P,Chicks!$F:$F,A571))</f>
        <v/>
      </c>
      <c r="N571" s="6" t="str">
        <f t="shared" si="3"/>
        <v/>
      </c>
    </row>
    <row r="572" spans="6:14" ht="14.25" customHeight="1" x14ac:dyDescent="0.3">
      <c r="F572" s="6" t="str">
        <f>IF(A572="","",COUNTIF(Chicks!$F:$F,A572))</f>
        <v/>
      </c>
      <c r="G572" s="6" t="str">
        <f>IF(A572="","",COUNTIFS(Chicks!$F:$F,A572,Chicks!$I:$I,"Yes"))</f>
        <v/>
      </c>
      <c r="H572" s="6" t="str">
        <f>IF(A572="","",SUMIFS(Chicks!$J:$J,Chicks!$F:$F,A572))</f>
        <v/>
      </c>
      <c r="I572" s="6" t="str">
        <f>IF(A572="","",COUNTIFS(Chicks!$F:$F,A572,Chicks!$I:$I,"No"))</f>
        <v/>
      </c>
      <c r="J572" s="6" t="str">
        <f>IF(A572="","",IFERROR(AVERAGEIF(Chicks!$F:$F,A572,Chicks!$M:$M),""))</f>
        <v/>
      </c>
      <c r="K572" s="6" t="str">
        <f>IF(A572="","",SUMIFS(Chicks!$N:$N,Chicks!$F:$F,A572))</f>
        <v/>
      </c>
      <c r="L572" s="6" t="str">
        <f>IF(A572="","",SUMIFS(Chicks!$O:$O,Chicks!$F:$F,A572))</f>
        <v/>
      </c>
      <c r="M572" s="6" t="str">
        <f>IF(A572="","",SUMIFS(Chicks!$P:$P,Chicks!$F:$F,A572))</f>
        <v/>
      </c>
      <c r="N572" s="6" t="str">
        <f t="shared" si="3"/>
        <v/>
      </c>
    </row>
    <row r="573" spans="6:14" ht="14.25" customHeight="1" x14ac:dyDescent="0.3">
      <c r="F573" s="6" t="str">
        <f>IF(A573="","",COUNTIF(Chicks!$F:$F,A573))</f>
        <v/>
      </c>
      <c r="G573" s="6" t="str">
        <f>IF(A573="","",COUNTIFS(Chicks!$F:$F,A573,Chicks!$I:$I,"Yes"))</f>
        <v/>
      </c>
      <c r="H573" s="6" t="str">
        <f>IF(A573="","",SUMIFS(Chicks!$J:$J,Chicks!$F:$F,A573))</f>
        <v/>
      </c>
      <c r="I573" s="6" t="str">
        <f>IF(A573="","",COUNTIFS(Chicks!$F:$F,A573,Chicks!$I:$I,"No"))</f>
        <v/>
      </c>
      <c r="J573" s="6" t="str">
        <f>IF(A573="","",IFERROR(AVERAGEIF(Chicks!$F:$F,A573,Chicks!$M:$M),""))</f>
        <v/>
      </c>
      <c r="K573" s="6" t="str">
        <f>IF(A573="","",SUMIFS(Chicks!$N:$N,Chicks!$F:$F,A573))</f>
        <v/>
      </c>
      <c r="L573" s="6" t="str">
        <f>IF(A573="","",SUMIFS(Chicks!$O:$O,Chicks!$F:$F,A573))</f>
        <v/>
      </c>
      <c r="M573" s="6" t="str">
        <f>IF(A573="","",SUMIFS(Chicks!$P:$P,Chicks!$F:$F,A573))</f>
        <v/>
      </c>
      <c r="N573" s="6" t="str">
        <f t="shared" si="3"/>
        <v/>
      </c>
    </row>
    <row r="574" spans="6:14" ht="14.25" customHeight="1" x14ac:dyDescent="0.3">
      <c r="F574" s="6" t="str">
        <f>IF(A574="","",COUNTIF(Chicks!$F:$F,A574))</f>
        <v/>
      </c>
      <c r="G574" s="6" t="str">
        <f>IF(A574="","",COUNTIFS(Chicks!$F:$F,A574,Chicks!$I:$I,"Yes"))</f>
        <v/>
      </c>
      <c r="H574" s="6" t="str">
        <f>IF(A574="","",SUMIFS(Chicks!$J:$J,Chicks!$F:$F,A574))</f>
        <v/>
      </c>
      <c r="I574" s="6" t="str">
        <f>IF(A574="","",COUNTIFS(Chicks!$F:$F,A574,Chicks!$I:$I,"No"))</f>
        <v/>
      </c>
      <c r="J574" s="6" t="str">
        <f>IF(A574="","",IFERROR(AVERAGEIF(Chicks!$F:$F,A574,Chicks!$M:$M),""))</f>
        <v/>
      </c>
      <c r="K574" s="6" t="str">
        <f>IF(A574="","",SUMIFS(Chicks!$N:$N,Chicks!$F:$F,A574))</f>
        <v/>
      </c>
      <c r="L574" s="6" t="str">
        <f>IF(A574="","",SUMIFS(Chicks!$O:$O,Chicks!$F:$F,A574))</f>
        <v/>
      </c>
      <c r="M574" s="6" t="str">
        <f>IF(A574="","",SUMIFS(Chicks!$P:$P,Chicks!$F:$F,A574))</f>
        <v/>
      </c>
      <c r="N574" s="6" t="str">
        <f t="shared" si="3"/>
        <v/>
      </c>
    </row>
    <row r="575" spans="6:14" ht="14.25" customHeight="1" x14ac:dyDescent="0.3">
      <c r="F575" s="6" t="str">
        <f>IF(A575="","",COUNTIF(Chicks!$F:$F,A575))</f>
        <v/>
      </c>
      <c r="G575" s="6" t="str">
        <f>IF(A575="","",COUNTIFS(Chicks!$F:$F,A575,Chicks!$I:$I,"Yes"))</f>
        <v/>
      </c>
      <c r="H575" s="6" t="str">
        <f>IF(A575="","",SUMIFS(Chicks!$J:$J,Chicks!$F:$F,A575))</f>
        <v/>
      </c>
      <c r="I575" s="6" t="str">
        <f>IF(A575="","",COUNTIFS(Chicks!$F:$F,A575,Chicks!$I:$I,"No"))</f>
        <v/>
      </c>
      <c r="J575" s="6" t="str">
        <f>IF(A575="","",IFERROR(AVERAGEIF(Chicks!$F:$F,A575,Chicks!$M:$M),""))</f>
        <v/>
      </c>
      <c r="K575" s="6" t="str">
        <f>IF(A575="","",SUMIFS(Chicks!$N:$N,Chicks!$F:$F,A575))</f>
        <v/>
      </c>
      <c r="L575" s="6" t="str">
        <f>IF(A575="","",SUMIFS(Chicks!$O:$O,Chicks!$F:$F,A575))</f>
        <v/>
      </c>
      <c r="M575" s="6" t="str">
        <f>IF(A575="","",SUMIFS(Chicks!$P:$P,Chicks!$F:$F,A575))</f>
        <v/>
      </c>
      <c r="N575" s="6" t="str">
        <f t="shared" si="3"/>
        <v/>
      </c>
    </row>
    <row r="576" spans="6:14" ht="14.25" customHeight="1" x14ac:dyDescent="0.3">
      <c r="F576" s="6" t="str">
        <f>IF(A576="","",COUNTIF(Chicks!$F:$F,A576))</f>
        <v/>
      </c>
      <c r="G576" s="6" t="str">
        <f>IF(A576="","",COUNTIFS(Chicks!$F:$F,A576,Chicks!$I:$I,"Yes"))</f>
        <v/>
      </c>
      <c r="H576" s="6" t="str">
        <f>IF(A576="","",SUMIFS(Chicks!$J:$J,Chicks!$F:$F,A576))</f>
        <v/>
      </c>
      <c r="I576" s="6" t="str">
        <f>IF(A576="","",COUNTIFS(Chicks!$F:$F,A576,Chicks!$I:$I,"No"))</f>
        <v/>
      </c>
      <c r="J576" s="6" t="str">
        <f>IF(A576="","",IFERROR(AVERAGEIF(Chicks!$F:$F,A576,Chicks!$M:$M),""))</f>
        <v/>
      </c>
      <c r="K576" s="6" t="str">
        <f>IF(A576="","",SUMIFS(Chicks!$N:$N,Chicks!$F:$F,A576))</f>
        <v/>
      </c>
      <c r="L576" s="6" t="str">
        <f>IF(A576="","",SUMIFS(Chicks!$O:$O,Chicks!$F:$F,A576))</f>
        <v/>
      </c>
      <c r="M576" s="6" t="str">
        <f>IF(A576="","",SUMIFS(Chicks!$P:$P,Chicks!$F:$F,A576))</f>
        <v/>
      </c>
      <c r="N576" s="6" t="str">
        <f t="shared" si="3"/>
        <v/>
      </c>
    </row>
    <row r="577" spans="6:14" ht="14.25" customHeight="1" x14ac:dyDescent="0.3">
      <c r="F577" s="6" t="str">
        <f>IF(A577="","",COUNTIF(Chicks!$F:$F,A577))</f>
        <v/>
      </c>
      <c r="G577" s="6" t="str">
        <f>IF(A577="","",COUNTIFS(Chicks!$F:$F,A577,Chicks!$I:$I,"Yes"))</f>
        <v/>
      </c>
      <c r="H577" s="6" t="str">
        <f>IF(A577="","",SUMIFS(Chicks!$J:$J,Chicks!$F:$F,A577))</f>
        <v/>
      </c>
      <c r="I577" s="6" t="str">
        <f>IF(A577="","",COUNTIFS(Chicks!$F:$F,A577,Chicks!$I:$I,"No"))</f>
        <v/>
      </c>
      <c r="J577" s="6" t="str">
        <f>IF(A577="","",IFERROR(AVERAGEIF(Chicks!$F:$F,A577,Chicks!$M:$M),""))</f>
        <v/>
      </c>
      <c r="K577" s="6" t="str">
        <f>IF(A577="","",SUMIFS(Chicks!$N:$N,Chicks!$F:$F,A577))</f>
        <v/>
      </c>
      <c r="L577" s="6" t="str">
        <f>IF(A577="","",SUMIFS(Chicks!$O:$O,Chicks!$F:$F,A577))</f>
        <v/>
      </c>
      <c r="M577" s="6" t="str">
        <f>IF(A577="","",SUMIFS(Chicks!$P:$P,Chicks!$F:$F,A577))</f>
        <v/>
      </c>
      <c r="N577" s="6" t="str">
        <f t="shared" si="3"/>
        <v/>
      </c>
    </row>
    <row r="578" spans="6:14" ht="14.25" customHeight="1" x14ac:dyDescent="0.3">
      <c r="F578" s="6" t="str">
        <f>IF(A578="","",COUNTIF(Chicks!$F:$F,A578))</f>
        <v/>
      </c>
      <c r="G578" s="6" t="str">
        <f>IF(A578="","",COUNTIFS(Chicks!$F:$F,A578,Chicks!$I:$I,"Yes"))</f>
        <v/>
      </c>
      <c r="H578" s="6" t="str">
        <f>IF(A578="","",SUMIFS(Chicks!$J:$J,Chicks!$F:$F,A578))</f>
        <v/>
      </c>
      <c r="I578" s="6" t="str">
        <f>IF(A578="","",COUNTIFS(Chicks!$F:$F,A578,Chicks!$I:$I,"No"))</f>
        <v/>
      </c>
      <c r="J578" s="6" t="str">
        <f>IF(A578="","",IFERROR(AVERAGEIF(Chicks!$F:$F,A578,Chicks!$M:$M),""))</f>
        <v/>
      </c>
      <c r="K578" s="6" t="str">
        <f>IF(A578="","",SUMIFS(Chicks!$N:$N,Chicks!$F:$F,A578))</f>
        <v/>
      </c>
      <c r="L578" s="6" t="str">
        <f>IF(A578="","",SUMIFS(Chicks!$O:$O,Chicks!$F:$F,A578))</f>
        <v/>
      </c>
      <c r="M578" s="6" t="str">
        <f>IF(A578="","",SUMIFS(Chicks!$P:$P,Chicks!$F:$F,A578))</f>
        <v/>
      </c>
      <c r="N578" s="6" t="str">
        <f t="shared" si="3"/>
        <v/>
      </c>
    </row>
    <row r="579" spans="6:14" ht="14.25" customHeight="1" x14ac:dyDescent="0.3">
      <c r="F579" s="6" t="str">
        <f>IF(A579="","",COUNTIF(Chicks!$F:$F,A579))</f>
        <v/>
      </c>
      <c r="G579" s="6" t="str">
        <f>IF(A579="","",COUNTIFS(Chicks!$F:$F,A579,Chicks!$I:$I,"Yes"))</f>
        <v/>
      </c>
      <c r="H579" s="6" t="str">
        <f>IF(A579="","",SUMIFS(Chicks!$J:$J,Chicks!$F:$F,A579))</f>
        <v/>
      </c>
      <c r="I579" s="6" t="str">
        <f>IF(A579="","",COUNTIFS(Chicks!$F:$F,A579,Chicks!$I:$I,"No"))</f>
        <v/>
      </c>
      <c r="J579" s="6" t="str">
        <f>IF(A579="","",IFERROR(AVERAGEIF(Chicks!$F:$F,A579,Chicks!$M:$M),""))</f>
        <v/>
      </c>
      <c r="K579" s="6" t="str">
        <f>IF(A579="","",SUMIFS(Chicks!$N:$N,Chicks!$F:$F,A579))</f>
        <v/>
      </c>
      <c r="L579" s="6" t="str">
        <f>IF(A579="","",SUMIFS(Chicks!$O:$O,Chicks!$F:$F,A579))</f>
        <v/>
      </c>
      <c r="M579" s="6" t="str">
        <f>IF(A579="","",SUMIFS(Chicks!$P:$P,Chicks!$F:$F,A579))</f>
        <v/>
      </c>
      <c r="N579" s="6" t="str">
        <f t="shared" si="3"/>
        <v/>
      </c>
    </row>
    <row r="580" spans="6:14" ht="14.25" customHeight="1" x14ac:dyDescent="0.3">
      <c r="F580" s="6" t="str">
        <f>IF(A580="","",COUNTIF(Chicks!$F:$F,A580))</f>
        <v/>
      </c>
      <c r="G580" s="6" t="str">
        <f>IF(A580="","",COUNTIFS(Chicks!$F:$F,A580,Chicks!$I:$I,"Yes"))</f>
        <v/>
      </c>
      <c r="H580" s="6" t="str">
        <f>IF(A580="","",SUMIFS(Chicks!$J:$J,Chicks!$F:$F,A580))</f>
        <v/>
      </c>
      <c r="I580" s="6" t="str">
        <f>IF(A580="","",COUNTIFS(Chicks!$F:$F,A580,Chicks!$I:$I,"No"))</f>
        <v/>
      </c>
      <c r="J580" s="6" t="str">
        <f>IF(A580="","",IFERROR(AVERAGEIF(Chicks!$F:$F,A580,Chicks!$M:$M),""))</f>
        <v/>
      </c>
      <c r="K580" s="6" t="str">
        <f>IF(A580="","",SUMIFS(Chicks!$N:$N,Chicks!$F:$F,A580))</f>
        <v/>
      </c>
      <c r="L580" s="6" t="str">
        <f>IF(A580="","",SUMIFS(Chicks!$O:$O,Chicks!$F:$F,A580))</f>
        <v/>
      </c>
      <c r="M580" s="6" t="str">
        <f>IF(A580="","",SUMIFS(Chicks!$P:$P,Chicks!$F:$F,A580))</f>
        <v/>
      </c>
      <c r="N580" s="6" t="str">
        <f t="shared" si="3"/>
        <v/>
      </c>
    </row>
    <row r="581" spans="6:14" ht="14.25" customHeight="1" x14ac:dyDescent="0.3">
      <c r="F581" s="6" t="str">
        <f>IF(A581="","",COUNTIF(Chicks!$F:$F,A581))</f>
        <v/>
      </c>
      <c r="G581" s="6" t="str">
        <f>IF(A581="","",COUNTIFS(Chicks!$F:$F,A581,Chicks!$I:$I,"Yes"))</f>
        <v/>
      </c>
      <c r="H581" s="6" t="str">
        <f>IF(A581="","",SUMIFS(Chicks!$J:$J,Chicks!$F:$F,A581))</f>
        <v/>
      </c>
      <c r="I581" s="6" t="str">
        <f>IF(A581="","",COUNTIFS(Chicks!$F:$F,A581,Chicks!$I:$I,"No"))</f>
        <v/>
      </c>
      <c r="J581" s="6" t="str">
        <f>IF(A581="","",IFERROR(AVERAGEIF(Chicks!$F:$F,A581,Chicks!$M:$M),""))</f>
        <v/>
      </c>
      <c r="K581" s="6" t="str">
        <f>IF(A581="","",SUMIFS(Chicks!$N:$N,Chicks!$F:$F,A581))</f>
        <v/>
      </c>
      <c r="L581" s="6" t="str">
        <f>IF(A581="","",SUMIFS(Chicks!$O:$O,Chicks!$F:$F,A581))</f>
        <v/>
      </c>
      <c r="M581" s="6" t="str">
        <f>IF(A581="","",SUMIFS(Chicks!$P:$P,Chicks!$F:$F,A581))</f>
        <v/>
      </c>
      <c r="N581" s="6" t="str">
        <f t="shared" si="3"/>
        <v/>
      </c>
    </row>
    <row r="582" spans="6:14" ht="14.25" customHeight="1" x14ac:dyDescent="0.3">
      <c r="F582" s="6" t="str">
        <f>IF(A582="","",COUNTIF(Chicks!$F:$F,A582))</f>
        <v/>
      </c>
      <c r="G582" s="6" t="str">
        <f>IF(A582="","",COUNTIFS(Chicks!$F:$F,A582,Chicks!$I:$I,"Yes"))</f>
        <v/>
      </c>
      <c r="H582" s="6" t="str">
        <f>IF(A582="","",SUMIFS(Chicks!$J:$J,Chicks!$F:$F,A582))</f>
        <v/>
      </c>
      <c r="I582" s="6" t="str">
        <f>IF(A582="","",COUNTIFS(Chicks!$F:$F,A582,Chicks!$I:$I,"No"))</f>
        <v/>
      </c>
      <c r="J582" s="6" t="str">
        <f>IF(A582="","",IFERROR(AVERAGEIF(Chicks!$F:$F,A582,Chicks!$M:$M),""))</f>
        <v/>
      </c>
      <c r="K582" s="6" t="str">
        <f>IF(A582="","",SUMIFS(Chicks!$N:$N,Chicks!$F:$F,A582))</f>
        <v/>
      </c>
      <c r="L582" s="6" t="str">
        <f>IF(A582="","",SUMIFS(Chicks!$O:$O,Chicks!$F:$F,A582))</f>
        <v/>
      </c>
      <c r="M582" s="6" t="str">
        <f>IF(A582="","",SUMIFS(Chicks!$P:$P,Chicks!$F:$F,A582))</f>
        <v/>
      </c>
      <c r="N582" s="6" t="str">
        <f t="shared" si="3"/>
        <v/>
      </c>
    </row>
    <row r="583" spans="6:14" ht="14.25" customHeight="1" x14ac:dyDescent="0.3">
      <c r="F583" s="6" t="str">
        <f>IF(A583="","",COUNTIF(Chicks!$F:$F,A583))</f>
        <v/>
      </c>
      <c r="G583" s="6" t="str">
        <f>IF(A583="","",COUNTIFS(Chicks!$F:$F,A583,Chicks!$I:$I,"Yes"))</f>
        <v/>
      </c>
      <c r="H583" s="6" t="str">
        <f>IF(A583="","",SUMIFS(Chicks!$J:$J,Chicks!$F:$F,A583))</f>
        <v/>
      </c>
      <c r="I583" s="6" t="str">
        <f>IF(A583="","",COUNTIFS(Chicks!$F:$F,A583,Chicks!$I:$I,"No"))</f>
        <v/>
      </c>
      <c r="J583" s="6" t="str">
        <f>IF(A583="","",IFERROR(AVERAGEIF(Chicks!$F:$F,A583,Chicks!$M:$M),""))</f>
        <v/>
      </c>
      <c r="K583" s="6" t="str">
        <f>IF(A583="","",SUMIFS(Chicks!$N:$N,Chicks!$F:$F,A583))</f>
        <v/>
      </c>
      <c r="L583" s="6" t="str">
        <f>IF(A583="","",SUMIFS(Chicks!$O:$O,Chicks!$F:$F,A583))</f>
        <v/>
      </c>
      <c r="M583" s="6" t="str">
        <f>IF(A583="","",SUMIFS(Chicks!$P:$P,Chicks!$F:$F,A583))</f>
        <v/>
      </c>
      <c r="N583" s="6" t="str">
        <f t="shared" si="3"/>
        <v/>
      </c>
    </row>
    <row r="584" spans="6:14" ht="14.25" customHeight="1" x14ac:dyDescent="0.3">
      <c r="F584" s="6" t="str">
        <f>IF(A584="","",COUNTIF(Chicks!$F:$F,A584))</f>
        <v/>
      </c>
      <c r="G584" s="6" t="str">
        <f>IF(A584="","",COUNTIFS(Chicks!$F:$F,A584,Chicks!$I:$I,"Yes"))</f>
        <v/>
      </c>
      <c r="H584" s="6" t="str">
        <f>IF(A584="","",SUMIFS(Chicks!$J:$J,Chicks!$F:$F,A584))</f>
        <v/>
      </c>
      <c r="I584" s="6" t="str">
        <f>IF(A584="","",COUNTIFS(Chicks!$F:$F,A584,Chicks!$I:$I,"No"))</f>
        <v/>
      </c>
      <c r="J584" s="6" t="str">
        <f>IF(A584="","",IFERROR(AVERAGEIF(Chicks!$F:$F,A584,Chicks!$M:$M),""))</f>
        <v/>
      </c>
      <c r="K584" s="6" t="str">
        <f>IF(A584="","",SUMIFS(Chicks!$N:$N,Chicks!$F:$F,A584))</f>
        <v/>
      </c>
      <c r="L584" s="6" t="str">
        <f>IF(A584="","",SUMIFS(Chicks!$O:$O,Chicks!$F:$F,A584))</f>
        <v/>
      </c>
      <c r="M584" s="6" t="str">
        <f>IF(A584="","",SUMIFS(Chicks!$P:$P,Chicks!$F:$F,A584))</f>
        <v/>
      </c>
      <c r="N584" s="6" t="str">
        <f t="shared" si="3"/>
        <v/>
      </c>
    </row>
    <row r="585" spans="6:14" ht="14.25" customHeight="1" x14ac:dyDescent="0.3">
      <c r="F585" s="6" t="str">
        <f>IF(A585="","",COUNTIF(Chicks!$F:$F,A585))</f>
        <v/>
      </c>
      <c r="G585" s="6" t="str">
        <f>IF(A585="","",COUNTIFS(Chicks!$F:$F,A585,Chicks!$I:$I,"Yes"))</f>
        <v/>
      </c>
      <c r="H585" s="6" t="str">
        <f>IF(A585="","",SUMIFS(Chicks!$J:$J,Chicks!$F:$F,A585))</f>
        <v/>
      </c>
      <c r="I585" s="6" t="str">
        <f>IF(A585="","",COUNTIFS(Chicks!$F:$F,A585,Chicks!$I:$I,"No"))</f>
        <v/>
      </c>
      <c r="J585" s="6" t="str">
        <f>IF(A585="","",IFERROR(AVERAGEIF(Chicks!$F:$F,A585,Chicks!$M:$M),""))</f>
        <v/>
      </c>
      <c r="K585" s="6" t="str">
        <f>IF(A585="","",SUMIFS(Chicks!$N:$N,Chicks!$F:$F,A585))</f>
        <v/>
      </c>
      <c r="L585" s="6" t="str">
        <f>IF(A585="","",SUMIFS(Chicks!$O:$O,Chicks!$F:$F,A585))</f>
        <v/>
      </c>
      <c r="M585" s="6" t="str">
        <f>IF(A585="","",SUMIFS(Chicks!$P:$P,Chicks!$F:$F,A585))</f>
        <v/>
      </c>
      <c r="N585" s="6" t="str">
        <f t="shared" si="3"/>
        <v/>
      </c>
    </row>
    <row r="586" spans="6:14" ht="14.25" customHeight="1" x14ac:dyDescent="0.3">
      <c r="F586" s="6" t="str">
        <f>IF(A586="","",COUNTIF(Chicks!$F:$F,A586))</f>
        <v/>
      </c>
      <c r="G586" s="6" t="str">
        <f>IF(A586="","",COUNTIFS(Chicks!$F:$F,A586,Chicks!$I:$I,"Yes"))</f>
        <v/>
      </c>
      <c r="H586" s="6" t="str">
        <f>IF(A586="","",SUMIFS(Chicks!$J:$J,Chicks!$F:$F,A586))</f>
        <v/>
      </c>
      <c r="I586" s="6" t="str">
        <f>IF(A586="","",COUNTIFS(Chicks!$F:$F,A586,Chicks!$I:$I,"No"))</f>
        <v/>
      </c>
      <c r="J586" s="6" t="str">
        <f>IF(A586="","",IFERROR(AVERAGEIF(Chicks!$F:$F,A586,Chicks!$M:$M),""))</f>
        <v/>
      </c>
      <c r="K586" s="6" t="str">
        <f>IF(A586="","",SUMIFS(Chicks!$N:$N,Chicks!$F:$F,A586))</f>
        <v/>
      </c>
      <c r="L586" s="6" t="str">
        <f>IF(A586="","",SUMIFS(Chicks!$O:$O,Chicks!$F:$F,A586))</f>
        <v/>
      </c>
      <c r="M586" s="6" t="str">
        <f>IF(A586="","",SUMIFS(Chicks!$P:$P,Chicks!$F:$F,A586))</f>
        <v/>
      </c>
      <c r="N586" s="6" t="str">
        <f t="shared" si="3"/>
        <v/>
      </c>
    </row>
    <row r="587" spans="6:14" ht="14.25" customHeight="1" x14ac:dyDescent="0.3">
      <c r="F587" s="6" t="str">
        <f>IF(A587="","",COUNTIF(Chicks!$F:$F,A587))</f>
        <v/>
      </c>
      <c r="G587" s="6" t="str">
        <f>IF(A587="","",COUNTIFS(Chicks!$F:$F,A587,Chicks!$I:$I,"Yes"))</f>
        <v/>
      </c>
      <c r="H587" s="6" t="str">
        <f>IF(A587="","",SUMIFS(Chicks!$J:$J,Chicks!$F:$F,A587))</f>
        <v/>
      </c>
      <c r="I587" s="6" t="str">
        <f>IF(A587="","",COUNTIFS(Chicks!$F:$F,A587,Chicks!$I:$I,"No"))</f>
        <v/>
      </c>
      <c r="J587" s="6" t="str">
        <f>IF(A587="","",IFERROR(AVERAGEIF(Chicks!$F:$F,A587,Chicks!$M:$M),""))</f>
        <v/>
      </c>
      <c r="K587" s="6" t="str">
        <f>IF(A587="","",SUMIFS(Chicks!$N:$N,Chicks!$F:$F,A587))</f>
        <v/>
      </c>
      <c r="L587" s="6" t="str">
        <f>IF(A587="","",SUMIFS(Chicks!$O:$O,Chicks!$F:$F,A587))</f>
        <v/>
      </c>
      <c r="M587" s="6" t="str">
        <f>IF(A587="","",SUMIFS(Chicks!$P:$P,Chicks!$F:$F,A587))</f>
        <v/>
      </c>
      <c r="N587" s="6" t="str">
        <f t="shared" si="3"/>
        <v/>
      </c>
    </row>
    <row r="588" spans="6:14" ht="14.25" customHeight="1" x14ac:dyDescent="0.3">
      <c r="F588" s="6" t="str">
        <f>IF(A588="","",COUNTIF(Chicks!$F:$F,A588))</f>
        <v/>
      </c>
      <c r="G588" s="6" t="str">
        <f>IF(A588="","",COUNTIFS(Chicks!$F:$F,A588,Chicks!$I:$I,"Yes"))</f>
        <v/>
      </c>
      <c r="H588" s="6" t="str">
        <f>IF(A588="","",SUMIFS(Chicks!$J:$J,Chicks!$F:$F,A588))</f>
        <v/>
      </c>
      <c r="I588" s="6" t="str">
        <f>IF(A588="","",COUNTIFS(Chicks!$F:$F,A588,Chicks!$I:$I,"No"))</f>
        <v/>
      </c>
      <c r="J588" s="6" t="str">
        <f>IF(A588="","",IFERROR(AVERAGEIF(Chicks!$F:$F,A588,Chicks!$M:$M),""))</f>
        <v/>
      </c>
      <c r="K588" s="6" t="str">
        <f>IF(A588="","",SUMIFS(Chicks!$N:$N,Chicks!$F:$F,A588))</f>
        <v/>
      </c>
      <c r="L588" s="6" t="str">
        <f>IF(A588="","",SUMIFS(Chicks!$O:$O,Chicks!$F:$F,A588))</f>
        <v/>
      </c>
      <c r="M588" s="6" t="str">
        <f>IF(A588="","",SUMIFS(Chicks!$P:$P,Chicks!$F:$F,A588))</f>
        <v/>
      </c>
      <c r="N588" s="6" t="str">
        <f t="shared" si="3"/>
        <v/>
      </c>
    </row>
    <row r="589" spans="6:14" ht="14.25" customHeight="1" x14ac:dyDescent="0.3">
      <c r="F589" s="6" t="str">
        <f>IF(A589="","",COUNTIF(Chicks!$F:$F,A589))</f>
        <v/>
      </c>
      <c r="G589" s="6" t="str">
        <f>IF(A589="","",COUNTIFS(Chicks!$F:$F,A589,Chicks!$I:$I,"Yes"))</f>
        <v/>
      </c>
      <c r="H589" s="6" t="str">
        <f>IF(A589="","",SUMIFS(Chicks!$J:$J,Chicks!$F:$F,A589))</f>
        <v/>
      </c>
      <c r="I589" s="6" t="str">
        <f>IF(A589="","",COUNTIFS(Chicks!$F:$F,A589,Chicks!$I:$I,"No"))</f>
        <v/>
      </c>
      <c r="J589" s="6" t="str">
        <f>IF(A589="","",IFERROR(AVERAGEIF(Chicks!$F:$F,A589,Chicks!$M:$M),""))</f>
        <v/>
      </c>
      <c r="K589" s="6" t="str">
        <f>IF(A589="","",SUMIFS(Chicks!$N:$N,Chicks!$F:$F,A589))</f>
        <v/>
      </c>
      <c r="L589" s="6" t="str">
        <f>IF(A589="","",SUMIFS(Chicks!$O:$O,Chicks!$F:$F,A589))</f>
        <v/>
      </c>
      <c r="M589" s="6" t="str">
        <f>IF(A589="","",SUMIFS(Chicks!$P:$P,Chicks!$F:$F,A589))</f>
        <v/>
      </c>
      <c r="N589" s="6" t="str">
        <f t="shared" si="3"/>
        <v/>
      </c>
    </row>
    <row r="590" spans="6:14" ht="14.25" customHeight="1" x14ac:dyDescent="0.3">
      <c r="F590" s="6" t="str">
        <f>IF(A590="","",COUNTIF(Chicks!$F:$F,A590))</f>
        <v/>
      </c>
      <c r="G590" s="6" t="str">
        <f>IF(A590="","",COUNTIFS(Chicks!$F:$F,A590,Chicks!$I:$I,"Yes"))</f>
        <v/>
      </c>
      <c r="H590" s="6" t="str">
        <f>IF(A590="","",SUMIFS(Chicks!$J:$J,Chicks!$F:$F,A590))</f>
        <v/>
      </c>
      <c r="I590" s="6" t="str">
        <f>IF(A590="","",COUNTIFS(Chicks!$F:$F,A590,Chicks!$I:$I,"No"))</f>
        <v/>
      </c>
      <c r="J590" s="6" t="str">
        <f>IF(A590="","",IFERROR(AVERAGEIF(Chicks!$F:$F,A590,Chicks!$M:$M),""))</f>
        <v/>
      </c>
      <c r="K590" s="6" t="str">
        <f>IF(A590="","",SUMIFS(Chicks!$N:$N,Chicks!$F:$F,A590))</f>
        <v/>
      </c>
      <c r="L590" s="6" t="str">
        <f>IF(A590="","",SUMIFS(Chicks!$O:$O,Chicks!$F:$F,A590))</f>
        <v/>
      </c>
      <c r="M590" s="6" t="str">
        <f>IF(A590="","",SUMIFS(Chicks!$P:$P,Chicks!$F:$F,A590))</f>
        <v/>
      </c>
      <c r="N590" s="6" t="str">
        <f t="shared" si="3"/>
        <v/>
      </c>
    </row>
    <row r="591" spans="6:14" ht="14.25" customHeight="1" x14ac:dyDescent="0.3">
      <c r="F591" s="6" t="str">
        <f>IF(A591="","",COUNTIF(Chicks!$F:$F,A591))</f>
        <v/>
      </c>
      <c r="G591" s="6" t="str">
        <f>IF(A591="","",COUNTIFS(Chicks!$F:$F,A591,Chicks!$I:$I,"Yes"))</f>
        <v/>
      </c>
      <c r="H591" s="6" t="str">
        <f>IF(A591="","",SUMIFS(Chicks!$J:$J,Chicks!$F:$F,A591))</f>
        <v/>
      </c>
      <c r="I591" s="6" t="str">
        <f>IF(A591="","",COUNTIFS(Chicks!$F:$F,A591,Chicks!$I:$I,"No"))</f>
        <v/>
      </c>
      <c r="J591" s="6" t="str">
        <f>IF(A591="","",IFERROR(AVERAGEIF(Chicks!$F:$F,A591,Chicks!$M:$M),""))</f>
        <v/>
      </c>
      <c r="K591" s="6" t="str">
        <f>IF(A591="","",SUMIFS(Chicks!$N:$N,Chicks!$F:$F,A591))</f>
        <v/>
      </c>
      <c r="L591" s="6" t="str">
        <f>IF(A591="","",SUMIFS(Chicks!$O:$O,Chicks!$F:$F,A591))</f>
        <v/>
      </c>
      <c r="M591" s="6" t="str">
        <f>IF(A591="","",SUMIFS(Chicks!$P:$P,Chicks!$F:$F,A591))</f>
        <v/>
      </c>
      <c r="N591" s="6" t="str">
        <f t="shared" si="3"/>
        <v/>
      </c>
    </row>
    <row r="592" spans="6:14" ht="14.25" customHeight="1" x14ac:dyDescent="0.3">
      <c r="F592" s="6" t="str">
        <f>IF(A592="","",COUNTIF(Chicks!$F:$F,A592))</f>
        <v/>
      </c>
      <c r="G592" s="6" t="str">
        <f>IF(A592="","",COUNTIFS(Chicks!$F:$F,A592,Chicks!$I:$I,"Yes"))</f>
        <v/>
      </c>
      <c r="H592" s="6" t="str">
        <f>IF(A592="","",SUMIFS(Chicks!$J:$J,Chicks!$F:$F,A592))</f>
        <v/>
      </c>
      <c r="I592" s="6" t="str">
        <f>IF(A592="","",COUNTIFS(Chicks!$F:$F,A592,Chicks!$I:$I,"No"))</f>
        <v/>
      </c>
      <c r="J592" s="6" t="str">
        <f>IF(A592="","",IFERROR(AVERAGEIF(Chicks!$F:$F,A592,Chicks!$M:$M),""))</f>
        <v/>
      </c>
      <c r="K592" s="6" t="str">
        <f>IF(A592="","",SUMIFS(Chicks!$N:$N,Chicks!$F:$F,A592))</f>
        <v/>
      </c>
      <c r="L592" s="6" t="str">
        <f>IF(A592="","",SUMIFS(Chicks!$O:$O,Chicks!$F:$F,A592))</f>
        <v/>
      </c>
      <c r="M592" s="6" t="str">
        <f>IF(A592="","",SUMIFS(Chicks!$P:$P,Chicks!$F:$F,A592))</f>
        <v/>
      </c>
      <c r="N592" s="6" t="str">
        <f t="shared" si="3"/>
        <v/>
      </c>
    </row>
    <row r="593" spans="6:14" ht="14.25" customHeight="1" x14ac:dyDescent="0.3">
      <c r="F593" s="6" t="str">
        <f>IF(A593="","",COUNTIF(Chicks!$F:$F,A593))</f>
        <v/>
      </c>
      <c r="G593" s="6" t="str">
        <f>IF(A593="","",COUNTIFS(Chicks!$F:$F,A593,Chicks!$I:$I,"Yes"))</f>
        <v/>
      </c>
      <c r="H593" s="6" t="str">
        <f>IF(A593="","",SUMIFS(Chicks!$J:$J,Chicks!$F:$F,A593))</f>
        <v/>
      </c>
      <c r="I593" s="6" t="str">
        <f>IF(A593="","",COUNTIFS(Chicks!$F:$F,A593,Chicks!$I:$I,"No"))</f>
        <v/>
      </c>
      <c r="J593" s="6" t="str">
        <f>IF(A593="","",IFERROR(AVERAGEIF(Chicks!$F:$F,A593,Chicks!$M:$M),""))</f>
        <v/>
      </c>
      <c r="K593" s="6" t="str">
        <f>IF(A593="","",SUMIFS(Chicks!$N:$N,Chicks!$F:$F,A593))</f>
        <v/>
      </c>
      <c r="L593" s="6" t="str">
        <f>IF(A593="","",SUMIFS(Chicks!$O:$O,Chicks!$F:$F,A593))</f>
        <v/>
      </c>
      <c r="M593" s="6" t="str">
        <f>IF(A593="","",SUMIFS(Chicks!$P:$P,Chicks!$F:$F,A593))</f>
        <v/>
      </c>
      <c r="N593" s="6" t="str">
        <f t="shared" si="3"/>
        <v/>
      </c>
    </row>
    <row r="594" spans="6:14" ht="14.25" customHeight="1" x14ac:dyDescent="0.3">
      <c r="F594" s="6" t="str">
        <f>IF(A594="","",COUNTIF(Chicks!$F:$F,A594))</f>
        <v/>
      </c>
      <c r="G594" s="6" t="str">
        <f>IF(A594="","",COUNTIFS(Chicks!$F:$F,A594,Chicks!$I:$I,"Yes"))</f>
        <v/>
      </c>
      <c r="H594" s="6" t="str">
        <f>IF(A594="","",SUMIFS(Chicks!$J:$J,Chicks!$F:$F,A594))</f>
        <v/>
      </c>
      <c r="I594" s="6" t="str">
        <f>IF(A594="","",COUNTIFS(Chicks!$F:$F,A594,Chicks!$I:$I,"No"))</f>
        <v/>
      </c>
      <c r="J594" s="6" t="str">
        <f>IF(A594="","",IFERROR(AVERAGEIF(Chicks!$F:$F,A594,Chicks!$M:$M),""))</f>
        <v/>
      </c>
      <c r="K594" s="6" t="str">
        <f>IF(A594="","",SUMIFS(Chicks!$N:$N,Chicks!$F:$F,A594))</f>
        <v/>
      </c>
      <c r="L594" s="6" t="str">
        <f>IF(A594="","",SUMIFS(Chicks!$O:$O,Chicks!$F:$F,A594))</f>
        <v/>
      </c>
      <c r="M594" s="6" t="str">
        <f>IF(A594="","",SUMIFS(Chicks!$P:$P,Chicks!$F:$F,A594))</f>
        <v/>
      </c>
      <c r="N594" s="6" t="str">
        <f t="shared" si="3"/>
        <v/>
      </c>
    </row>
    <row r="595" spans="6:14" ht="14.25" customHeight="1" x14ac:dyDescent="0.3">
      <c r="F595" s="6" t="str">
        <f>IF(A595="","",COUNTIF(Chicks!$F:$F,A595))</f>
        <v/>
      </c>
      <c r="G595" s="6" t="str">
        <f>IF(A595="","",COUNTIFS(Chicks!$F:$F,A595,Chicks!$I:$I,"Yes"))</f>
        <v/>
      </c>
      <c r="H595" s="6" t="str">
        <f>IF(A595="","",SUMIFS(Chicks!$J:$J,Chicks!$F:$F,A595))</f>
        <v/>
      </c>
      <c r="I595" s="6" t="str">
        <f>IF(A595="","",COUNTIFS(Chicks!$F:$F,A595,Chicks!$I:$I,"No"))</f>
        <v/>
      </c>
      <c r="J595" s="6" t="str">
        <f>IF(A595="","",IFERROR(AVERAGEIF(Chicks!$F:$F,A595,Chicks!$M:$M),""))</f>
        <v/>
      </c>
      <c r="K595" s="6" t="str">
        <f>IF(A595="","",SUMIFS(Chicks!$N:$N,Chicks!$F:$F,A595))</f>
        <v/>
      </c>
      <c r="L595" s="6" t="str">
        <f>IF(A595="","",SUMIFS(Chicks!$O:$O,Chicks!$F:$F,A595))</f>
        <v/>
      </c>
      <c r="M595" s="6" t="str">
        <f>IF(A595="","",SUMIFS(Chicks!$P:$P,Chicks!$F:$F,A595))</f>
        <v/>
      </c>
      <c r="N595" s="6" t="str">
        <f t="shared" si="3"/>
        <v/>
      </c>
    </row>
    <row r="596" spans="6:14" ht="14.25" customHeight="1" x14ac:dyDescent="0.3">
      <c r="F596" s="6" t="str">
        <f>IF(A596="","",COUNTIF(Chicks!$F:$F,A596))</f>
        <v/>
      </c>
      <c r="G596" s="6" t="str">
        <f>IF(A596="","",COUNTIFS(Chicks!$F:$F,A596,Chicks!$I:$I,"Yes"))</f>
        <v/>
      </c>
      <c r="H596" s="6" t="str">
        <f>IF(A596="","",SUMIFS(Chicks!$J:$J,Chicks!$F:$F,A596))</f>
        <v/>
      </c>
      <c r="I596" s="6" t="str">
        <f>IF(A596="","",COUNTIFS(Chicks!$F:$F,A596,Chicks!$I:$I,"No"))</f>
        <v/>
      </c>
      <c r="J596" s="6" t="str">
        <f>IF(A596="","",IFERROR(AVERAGEIF(Chicks!$F:$F,A596,Chicks!$M:$M),""))</f>
        <v/>
      </c>
      <c r="K596" s="6" t="str">
        <f>IF(A596="","",SUMIFS(Chicks!$N:$N,Chicks!$F:$F,A596))</f>
        <v/>
      </c>
      <c r="L596" s="6" t="str">
        <f>IF(A596="","",SUMIFS(Chicks!$O:$O,Chicks!$F:$F,A596))</f>
        <v/>
      </c>
      <c r="M596" s="6" t="str">
        <f>IF(A596="","",SUMIFS(Chicks!$P:$P,Chicks!$F:$F,A596))</f>
        <v/>
      </c>
      <c r="N596" s="6" t="str">
        <f t="shared" si="3"/>
        <v/>
      </c>
    </row>
    <row r="597" spans="6:14" ht="14.25" customHeight="1" x14ac:dyDescent="0.3">
      <c r="F597" s="6" t="str">
        <f>IF(A597="","",COUNTIF(Chicks!$F:$F,A597))</f>
        <v/>
      </c>
      <c r="G597" s="6" t="str">
        <f>IF(A597="","",COUNTIFS(Chicks!$F:$F,A597,Chicks!$I:$I,"Yes"))</f>
        <v/>
      </c>
      <c r="H597" s="6" t="str">
        <f>IF(A597="","",SUMIFS(Chicks!$J:$J,Chicks!$F:$F,A597))</f>
        <v/>
      </c>
      <c r="I597" s="6" t="str">
        <f>IF(A597="","",COUNTIFS(Chicks!$F:$F,A597,Chicks!$I:$I,"No"))</f>
        <v/>
      </c>
      <c r="J597" s="6" t="str">
        <f>IF(A597="","",IFERROR(AVERAGEIF(Chicks!$F:$F,A597,Chicks!$M:$M),""))</f>
        <v/>
      </c>
      <c r="K597" s="6" t="str">
        <f>IF(A597="","",SUMIFS(Chicks!$N:$N,Chicks!$F:$F,A597))</f>
        <v/>
      </c>
      <c r="L597" s="6" t="str">
        <f>IF(A597="","",SUMIFS(Chicks!$O:$O,Chicks!$F:$F,A597))</f>
        <v/>
      </c>
      <c r="M597" s="6" t="str">
        <f>IF(A597="","",SUMIFS(Chicks!$P:$P,Chicks!$F:$F,A597))</f>
        <v/>
      </c>
      <c r="N597" s="6" t="str">
        <f t="shared" si="3"/>
        <v/>
      </c>
    </row>
    <row r="598" spans="6:14" ht="14.25" customHeight="1" x14ac:dyDescent="0.3">
      <c r="F598" s="6" t="str">
        <f>IF(A598="","",COUNTIF(Chicks!$F:$F,A598))</f>
        <v/>
      </c>
      <c r="G598" s="6" t="str">
        <f>IF(A598="","",COUNTIFS(Chicks!$F:$F,A598,Chicks!$I:$I,"Yes"))</f>
        <v/>
      </c>
      <c r="H598" s="6" t="str">
        <f>IF(A598="","",SUMIFS(Chicks!$J:$J,Chicks!$F:$F,A598))</f>
        <v/>
      </c>
      <c r="I598" s="6" t="str">
        <f>IF(A598="","",COUNTIFS(Chicks!$F:$F,A598,Chicks!$I:$I,"No"))</f>
        <v/>
      </c>
      <c r="J598" s="6" t="str">
        <f>IF(A598="","",IFERROR(AVERAGEIF(Chicks!$F:$F,A598,Chicks!$M:$M),""))</f>
        <v/>
      </c>
      <c r="K598" s="6" t="str">
        <f>IF(A598="","",SUMIFS(Chicks!$N:$N,Chicks!$F:$F,A598))</f>
        <v/>
      </c>
      <c r="L598" s="6" t="str">
        <f>IF(A598="","",SUMIFS(Chicks!$O:$O,Chicks!$F:$F,A598))</f>
        <v/>
      </c>
      <c r="M598" s="6" t="str">
        <f>IF(A598="","",SUMIFS(Chicks!$P:$P,Chicks!$F:$F,A598))</f>
        <v/>
      </c>
      <c r="N598" s="6" t="str">
        <f t="shared" si="3"/>
        <v/>
      </c>
    </row>
    <row r="599" spans="6:14" ht="14.25" customHeight="1" x14ac:dyDescent="0.3">
      <c r="F599" s="6" t="str">
        <f>IF(A599="","",COUNTIF(Chicks!$F:$F,A599))</f>
        <v/>
      </c>
      <c r="G599" s="6" t="str">
        <f>IF(A599="","",COUNTIFS(Chicks!$F:$F,A599,Chicks!$I:$I,"Yes"))</f>
        <v/>
      </c>
      <c r="H599" s="6" t="str">
        <f>IF(A599="","",SUMIFS(Chicks!$J:$J,Chicks!$F:$F,A599))</f>
        <v/>
      </c>
      <c r="I599" s="6" t="str">
        <f>IF(A599="","",COUNTIFS(Chicks!$F:$F,A599,Chicks!$I:$I,"No"))</f>
        <v/>
      </c>
      <c r="J599" s="6" t="str">
        <f>IF(A599="","",IFERROR(AVERAGEIF(Chicks!$F:$F,A599,Chicks!$M:$M),""))</f>
        <v/>
      </c>
      <c r="K599" s="6" t="str">
        <f>IF(A599="","",SUMIFS(Chicks!$N:$N,Chicks!$F:$F,A599))</f>
        <v/>
      </c>
      <c r="L599" s="6" t="str">
        <f>IF(A599="","",SUMIFS(Chicks!$O:$O,Chicks!$F:$F,A599))</f>
        <v/>
      </c>
      <c r="M599" s="6" t="str">
        <f>IF(A599="","",SUMIFS(Chicks!$P:$P,Chicks!$F:$F,A599))</f>
        <v/>
      </c>
      <c r="N599" s="6" t="str">
        <f t="shared" si="3"/>
        <v/>
      </c>
    </row>
    <row r="600" spans="6:14" ht="14.25" customHeight="1" x14ac:dyDescent="0.3">
      <c r="F600" s="6" t="str">
        <f>IF(A600="","",COUNTIF(Chicks!$F:$F,A600))</f>
        <v/>
      </c>
      <c r="G600" s="6" t="str">
        <f>IF(A600="","",COUNTIFS(Chicks!$F:$F,A600,Chicks!$I:$I,"Yes"))</f>
        <v/>
      </c>
      <c r="H600" s="6" t="str">
        <f>IF(A600="","",SUMIFS(Chicks!$J:$J,Chicks!$F:$F,A600))</f>
        <v/>
      </c>
      <c r="I600" s="6" t="str">
        <f>IF(A600="","",COUNTIFS(Chicks!$F:$F,A600,Chicks!$I:$I,"No"))</f>
        <v/>
      </c>
      <c r="J600" s="6" t="str">
        <f>IF(A600="","",IFERROR(AVERAGEIF(Chicks!$F:$F,A600,Chicks!$M:$M),""))</f>
        <v/>
      </c>
      <c r="K600" s="6" t="str">
        <f>IF(A600="","",SUMIFS(Chicks!$N:$N,Chicks!$F:$F,A600))</f>
        <v/>
      </c>
      <c r="L600" s="6" t="str">
        <f>IF(A600="","",SUMIFS(Chicks!$O:$O,Chicks!$F:$F,A600))</f>
        <v/>
      </c>
      <c r="M600" s="6" t="str">
        <f>IF(A600="","",SUMIFS(Chicks!$P:$P,Chicks!$F:$F,A600))</f>
        <v/>
      </c>
      <c r="N600" s="6" t="str">
        <f t="shared" si="3"/>
        <v/>
      </c>
    </row>
    <row r="601" spans="6:14" ht="14.25" customHeight="1" x14ac:dyDescent="0.3">
      <c r="F601" s="6" t="str">
        <f>IF(A601="","",COUNTIF(Chicks!$F:$F,A601))</f>
        <v/>
      </c>
      <c r="G601" s="6" t="str">
        <f>IF(A601="","",COUNTIFS(Chicks!$F:$F,A601,Chicks!$I:$I,"Yes"))</f>
        <v/>
      </c>
      <c r="H601" s="6" t="str">
        <f>IF(A601="","",SUMIFS(Chicks!$J:$J,Chicks!$F:$F,A601))</f>
        <v/>
      </c>
      <c r="I601" s="6" t="str">
        <f>IF(A601="","",COUNTIFS(Chicks!$F:$F,A601,Chicks!$I:$I,"No"))</f>
        <v/>
      </c>
      <c r="J601" s="6" t="str">
        <f>IF(A601="","",IFERROR(AVERAGEIF(Chicks!$F:$F,A601,Chicks!$M:$M),""))</f>
        <v/>
      </c>
      <c r="K601" s="6" t="str">
        <f>IF(A601="","",SUMIFS(Chicks!$N:$N,Chicks!$F:$F,A601))</f>
        <v/>
      </c>
      <c r="L601" s="6" t="str">
        <f>IF(A601="","",SUMIFS(Chicks!$O:$O,Chicks!$F:$F,A601))</f>
        <v/>
      </c>
      <c r="M601" s="6" t="str">
        <f>IF(A601="","",SUMIFS(Chicks!$P:$P,Chicks!$F:$F,A601))</f>
        <v/>
      </c>
      <c r="N601" s="6" t="str">
        <f t="shared" si="3"/>
        <v/>
      </c>
    </row>
    <row r="602" spans="6:14" ht="14.25" customHeight="1" x14ac:dyDescent="0.3">
      <c r="F602" s="6" t="str">
        <f>IF(A602="","",COUNTIF(Chicks!$F:$F,A602))</f>
        <v/>
      </c>
      <c r="G602" s="6" t="str">
        <f>IF(A602="","",COUNTIFS(Chicks!$F:$F,A602,Chicks!$I:$I,"Yes"))</f>
        <v/>
      </c>
      <c r="H602" s="6" t="str">
        <f>IF(A602="","",SUMIFS(Chicks!$J:$J,Chicks!$F:$F,A602))</f>
        <v/>
      </c>
      <c r="I602" s="6" t="str">
        <f>IF(A602="","",COUNTIFS(Chicks!$F:$F,A602,Chicks!$I:$I,"No"))</f>
        <v/>
      </c>
      <c r="J602" s="6" t="str">
        <f>IF(A602="","",IFERROR(AVERAGEIF(Chicks!$F:$F,A602,Chicks!$M:$M),""))</f>
        <v/>
      </c>
      <c r="K602" s="6" t="str">
        <f>IF(A602="","",SUMIFS(Chicks!$N:$N,Chicks!$F:$F,A602))</f>
        <v/>
      </c>
      <c r="L602" s="6" t="str">
        <f>IF(A602="","",SUMIFS(Chicks!$O:$O,Chicks!$F:$F,A602))</f>
        <v/>
      </c>
      <c r="M602" s="6" t="str">
        <f>IF(A602="","",SUMIFS(Chicks!$P:$P,Chicks!$F:$F,A602))</f>
        <v/>
      </c>
      <c r="N602" s="6" t="str">
        <f t="shared" si="3"/>
        <v/>
      </c>
    </row>
    <row r="603" spans="6:14" ht="14.25" customHeight="1" x14ac:dyDescent="0.3">
      <c r="F603" s="6" t="str">
        <f>IF(A603="","",COUNTIF(Chicks!$F:$F,A603))</f>
        <v/>
      </c>
      <c r="G603" s="6" t="str">
        <f>IF(A603="","",COUNTIFS(Chicks!$F:$F,A603,Chicks!$I:$I,"Yes"))</f>
        <v/>
      </c>
      <c r="H603" s="6" t="str">
        <f>IF(A603="","",SUMIFS(Chicks!$J:$J,Chicks!$F:$F,A603))</f>
        <v/>
      </c>
      <c r="I603" s="6" t="str">
        <f>IF(A603="","",COUNTIFS(Chicks!$F:$F,A603,Chicks!$I:$I,"No"))</f>
        <v/>
      </c>
      <c r="J603" s="6" t="str">
        <f>IF(A603="","",IFERROR(AVERAGEIF(Chicks!$F:$F,A603,Chicks!$M:$M),""))</f>
        <v/>
      </c>
      <c r="K603" s="6" t="str">
        <f>IF(A603="","",SUMIFS(Chicks!$N:$N,Chicks!$F:$F,A603))</f>
        <v/>
      </c>
      <c r="L603" s="6" t="str">
        <f>IF(A603="","",SUMIFS(Chicks!$O:$O,Chicks!$F:$F,A603))</f>
        <v/>
      </c>
      <c r="M603" s="6" t="str">
        <f>IF(A603="","",SUMIFS(Chicks!$P:$P,Chicks!$F:$F,A603))</f>
        <v/>
      </c>
      <c r="N603" s="6" t="str">
        <f t="shared" si="3"/>
        <v/>
      </c>
    </row>
    <row r="604" spans="6:14" ht="14.25" customHeight="1" x14ac:dyDescent="0.3">
      <c r="F604" s="6" t="str">
        <f>IF(A604="","",COUNTIF(Chicks!$F:$F,A604))</f>
        <v/>
      </c>
      <c r="G604" s="6" t="str">
        <f>IF(A604="","",COUNTIFS(Chicks!$F:$F,A604,Chicks!$I:$I,"Yes"))</f>
        <v/>
      </c>
      <c r="H604" s="6" t="str">
        <f>IF(A604="","",SUMIFS(Chicks!$J:$J,Chicks!$F:$F,A604))</f>
        <v/>
      </c>
      <c r="I604" s="6" t="str">
        <f>IF(A604="","",COUNTIFS(Chicks!$F:$F,A604,Chicks!$I:$I,"No"))</f>
        <v/>
      </c>
      <c r="J604" s="6" t="str">
        <f>IF(A604="","",IFERROR(AVERAGEIF(Chicks!$F:$F,A604,Chicks!$M:$M),""))</f>
        <v/>
      </c>
      <c r="K604" s="6" t="str">
        <f>IF(A604="","",SUMIFS(Chicks!$N:$N,Chicks!$F:$F,A604))</f>
        <v/>
      </c>
      <c r="L604" s="6" t="str">
        <f>IF(A604="","",SUMIFS(Chicks!$O:$O,Chicks!$F:$F,A604))</f>
        <v/>
      </c>
      <c r="M604" s="6" t="str">
        <f>IF(A604="","",SUMIFS(Chicks!$P:$P,Chicks!$F:$F,A604))</f>
        <v/>
      </c>
      <c r="N604" s="6" t="str">
        <f t="shared" si="3"/>
        <v/>
      </c>
    </row>
    <row r="605" spans="6:14" ht="14.25" customHeight="1" x14ac:dyDescent="0.3">
      <c r="F605" s="6" t="str">
        <f>IF(A605="","",COUNTIF(Chicks!$F:$F,A605))</f>
        <v/>
      </c>
      <c r="G605" s="6" t="str">
        <f>IF(A605="","",COUNTIFS(Chicks!$F:$F,A605,Chicks!$I:$I,"Yes"))</f>
        <v/>
      </c>
      <c r="H605" s="6" t="str">
        <f>IF(A605="","",SUMIFS(Chicks!$J:$J,Chicks!$F:$F,A605))</f>
        <v/>
      </c>
      <c r="I605" s="6" t="str">
        <f>IF(A605="","",COUNTIFS(Chicks!$F:$F,A605,Chicks!$I:$I,"No"))</f>
        <v/>
      </c>
      <c r="J605" s="6" t="str">
        <f>IF(A605="","",IFERROR(AVERAGEIF(Chicks!$F:$F,A605,Chicks!$M:$M),""))</f>
        <v/>
      </c>
      <c r="K605" s="6" t="str">
        <f>IF(A605="","",SUMIFS(Chicks!$N:$N,Chicks!$F:$F,A605))</f>
        <v/>
      </c>
      <c r="L605" s="6" t="str">
        <f>IF(A605="","",SUMIFS(Chicks!$O:$O,Chicks!$F:$F,A605))</f>
        <v/>
      </c>
      <c r="M605" s="6" t="str">
        <f>IF(A605="","",SUMIFS(Chicks!$P:$P,Chicks!$F:$F,A605))</f>
        <v/>
      </c>
      <c r="N605" s="6" t="str">
        <f t="shared" si="3"/>
        <v/>
      </c>
    </row>
    <row r="606" spans="6:14" ht="14.25" customHeight="1" x14ac:dyDescent="0.3">
      <c r="F606" s="6" t="str">
        <f>IF(A606="","",COUNTIF(Chicks!$F:$F,A606))</f>
        <v/>
      </c>
      <c r="G606" s="6" t="str">
        <f>IF(A606="","",COUNTIFS(Chicks!$F:$F,A606,Chicks!$I:$I,"Yes"))</f>
        <v/>
      </c>
      <c r="H606" s="6" t="str">
        <f>IF(A606="","",SUMIFS(Chicks!$J:$J,Chicks!$F:$F,A606))</f>
        <v/>
      </c>
      <c r="I606" s="6" t="str">
        <f>IF(A606="","",COUNTIFS(Chicks!$F:$F,A606,Chicks!$I:$I,"No"))</f>
        <v/>
      </c>
      <c r="J606" s="6" t="str">
        <f>IF(A606="","",IFERROR(AVERAGEIF(Chicks!$F:$F,A606,Chicks!$M:$M),""))</f>
        <v/>
      </c>
      <c r="K606" s="6" t="str">
        <f>IF(A606="","",SUMIFS(Chicks!$N:$N,Chicks!$F:$F,A606))</f>
        <v/>
      </c>
      <c r="L606" s="6" t="str">
        <f>IF(A606="","",SUMIFS(Chicks!$O:$O,Chicks!$F:$F,A606))</f>
        <v/>
      </c>
      <c r="M606" s="6" t="str">
        <f>IF(A606="","",SUMIFS(Chicks!$P:$P,Chicks!$F:$F,A606))</f>
        <v/>
      </c>
      <c r="N606" s="6" t="str">
        <f t="shared" si="3"/>
        <v/>
      </c>
    </row>
    <row r="607" spans="6:14" ht="14.25" customHeight="1" x14ac:dyDescent="0.3">
      <c r="F607" s="6" t="str">
        <f>IF(A607="","",COUNTIF(Chicks!$F:$F,A607))</f>
        <v/>
      </c>
      <c r="G607" s="6" t="str">
        <f>IF(A607="","",COUNTIFS(Chicks!$F:$F,A607,Chicks!$I:$I,"Yes"))</f>
        <v/>
      </c>
      <c r="H607" s="6" t="str">
        <f>IF(A607="","",SUMIFS(Chicks!$J:$J,Chicks!$F:$F,A607))</f>
        <v/>
      </c>
      <c r="I607" s="6" t="str">
        <f>IF(A607="","",COUNTIFS(Chicks!$F:$F,A607,Chicks!$I:$I,"No"))</f>
        <v/>
      </c>
      <c r="J607" s="6" t="str">
        <f>IF(A607="","",IFERROR(AVERAGEIF(Chicks!$F:$F,A607,Chicks!$M:$M),""))</f>
        <v/>
      </c>
      <c r="K607" s="6" t="str">
        <f>IF(A607="","",SUMIFS(Chicks!$N:$N,Chicks!$F:$F,A607))</f>
        <v/>
      </c>
      <c r="L607" s="6" t="str">
        <f>IF(A607="","",SUMIFS(Chicks!$O:$O,Chicks!$F:$F,A607))</f>
        <v/>
      </c>
      <c r="M607" s="6" t="str">
        <f>IF(A607="","",SUMIFS(Chicks!$P:$P,Chicks!$F:$F,A607))</f>
        <v/>
      </c>
      <c r="N607" s="6" t="str">
        <f t="shared" si="3"/>
        <v/>
      </c>
    </row>
    <row r="608" spans="6:14" ht="14.25" customHeight="1" x14ac:dyDescent="0.3">
      <c r="F608" s="6" t="str">
        <f>IF(A608="","",COUNTIF(Chicks!$F:$F,A608))</f>
        <v/>
      </c>
      <c r="G608" s="6" t="str">
        <f>IF(A608="","",COUNTIFS(Chicks!$F:$F,A608,Chicks!$I:$I,"Yes"))</f>
        <v/>
      </c>
      <c r="H608" s="6" t="str">
        <f>IF(A608="","",SUMIFS(Chicks!$J:$J,Chicks!$F:$F,A608))</f>
        <v/>
      </c>
      <c r="I608" s="6" t="str">
        <f>IF(A608="","",COUNTIFS(Chicks!$F:$F,A608,Chicks!$I:$I,"No"))</f>
        <v/>
      </c>
      <c r="J608" s="6" t="str">
        <f>IF(A608="","",IFERROR(AVERAGEIF(Chicks!$F:$F,A608,Chicks!$M:$M),""))</f>
        <v/>
      </c>
      <c r="K608" s="6" t="str">
        <f>IF(A608="","",SUMIFS(Chicks!$N:$N,Chicks!$F:$F,A608))</f>
        <v/>
      </c>
      <c r="L608" s="6" t="str">
        <f>IF(A608="","",SUMIFS(Chicks!$O:$O,Chicks!$F:$F,A608))</f>
        <v/>
      </c>
      <c r="M608" s="6" t="str">
        <f>IF(A608="","",SUMIFS(Chicks!$P:$P,Chicks!$F:$F,A608))</f>
        <v/>
      </c>
      <c r="N608" s="6" t="str">
        <f t="shared" si="3"/>
        <v/>
      </c>
    </row>
    <row r="609" spans="6:14" ht="14.25" customHeight="1" x14ac:dyDescent="0.3">
      <c r="F609" s="6" t="str">
        <f>IF(A609="","",COUNTIF(Chicks!$F:$F,A609))</f>
        <v/>
      </c>
      <c r="G609" s="6" t="str">
        <f>IF(A609="","",COUNTIFS(Chicks!$F:$F,A609,Chicks!$I:$I,"Yes"))</f>
        <v/>
      </c>
      <c r="H609" s="6" t="str">
        <f>IF(A609="","",SUMIFS(Chicks!$J:$J,Chicks!$F:$F,A609))</f>
        <v/>
      </c>
      <c r="I609" s="6" t="str">
        <f>IF(A609="","",COUNTIFS(Chicks!$F:$F,A609,Chicks!$I:$I,"No"))</f>
        <v/>
      </c>
      <c r="J609" s="6" t="str">
        <f>IF(A609="","",IFERROR(AVERAGEIF(Chicks!$F:$F,A609,Chicks!$M:$M),""))</f>
        <v/>
      </c>
      <c r="K609" s="6" t="str">
        <f>IF(A609="","",SUMIFS(Chicks!$N:$N,Chicks!$F:$F,A609))</f>
        <v/>
      </c>
      <c r="L609" s="6" t="str">
        <f>IF(A609="","",SUMIFS(Chicks!$O:$O,Chicks!$F:$F,A609))</f>
        <v/>
      </c>
      <c r="M609" s="6" t="str">
        <f>IF(A609="","",SUMIFS(Chicks!$P:$P,Chicks!$F:$F,A609))</f>
        <v/>
      </c>
      <c r="N609" s="6" t="str">
        <f t="shared" si="3"/>
        <v/>
      </c>
    </row>
    <row r="610" spans="6:14" ht="14.25" customHeight="1" x14ac:dyDescent="0.3">
      <c r="F610" s="6" t="str">
        <f>IF(A610="","",COUNTIF(Chicks!$F:$F,A610))</f>
        <v/>
      </c>
      <c r="G610" s="6" t="str">
        <f>IF(A610="","",COUNTIFS(Chicks!$F:$F,A610,Chicks!$I:$I,"Yes"))</f>
        <v/>
      </c>
      <c r="H610" s="6" t="str">
        <f>IF(A610="","",SUMIFS(Chicks!$J:$J,Chicks!$F:$F,A610))</f>
        <v/>
      </c>
      <c r="I610" s="6" t="str">
        <f>IF(A610="","",COUNTIFS(Chicks!$F:$F,A610,Chicks!$I:$I,"No"))</f>
        <v/>
      </c>
      <c r="J610" s="6" t="str">
        <f>IF(A610="","",IFERROR(AVERAGEIF(Chicks!$F:$F,A610,Chicks!$M:$M),""))</f>
        <v/>
      </c>
      <c r="K610" s="6" t="str">
        <f>IF(A610="","",SUMIFS(Chicks!$N:$N,Chicks!$F:$F,A610))</f>
        <v/>
      </c>
      <c r="L610" s="6" t="str">
        <f>IF(A610="","",SUMIFS(Chicks!$O:$O,Chicks!$F:$F,A610))</f>
        <v/>
      </c>
      <c r="M610" s="6" t="str">
        <f>IF(A610="","",SUMIFS(Chicks!$P:$P,Chicks!$F:$F,A610))</f>
        <v/>
      </c>
      <c r="N610" s="6" t="str">
        <f t="shared" si="3"/>
        <v/>
      </c>
    </row>
    <row r="611" spans="6:14" ht="14.25" customHeight="1" x14ac:dyDescent="0.3">
      <c r="F611" s="6" t="str">
        <f>IF(A611="","",COUNTIF(Chicks!$F:$F,A611))</f>
        <v/>
      </c>
      <c r="G611" s="6" t="str">
        <f>IF(A611="","",COUNTIFS(Chicks!$F:$F,A611,Chicks!$I:$I,"Yes"))</f>
        <v/>
      </c>
      <c r="H611" s="6" t="str">
        <f>IF(A611="","",SUMIFS(Chicks!$J:$J,Chicks!$F:$F,A611))</f>
        <v/>
      </c>
      <c r="I611" s="6" t="str">
        <f>IF(A611="","",COUNTIFS(Chicks!$F:$F,A611,Chicks!$I:$I,"No"))</f>
        <v/>
      </c>
      <c r="J611" s="6" t="str">
        <f>IF(A611="","",IFERROR(AVERAGEIF(Chicks!$F:$F,A611,Chicks!$M:$M),""))</f>
        <v/>
      </c>
      <c r="K611" s="6" t="str">
        <f>IF(A611="","",SUMIFS(Chicks!$N:$N,Chicks!$F:$F,A611))</f>
        <v/>
      </c>
      <c r="L611" s="6" t="str">
        <f>IF(A611="","",SUMIFS(Chicks!$O:$O,Chicks!$F:$F,A611))</f>
        <v/>
      </c>
      <c r="M611" s="6" t="str">
        <f>IF(A611="","",SUMIFS(Chicks!$P:$P,Chicks!$F:$F,A611))</f>
        <v/>
      </c>
      <c r="N611" s="6" t="str">
        <f t="shared" si="3"/>
        <v/>
      </c>
    </row>
    <row r="612" spans="6:14" ht="14.25" customHeight="1" x14ac:dyDescent="0.3">
      <c r="F612" s="6" t="str">
        <f>IF(A612="","",COUNTIF(Chicks!$F:$F,A612))</f>
        <v/>
      </c>
      <c r="G612" s="6" t="str">
        <f>IF(A612="","",COUNTIFS(Chicks!$F:$F,A612,Chicks!$I:$I,"Yes"))</f>
        <v/>
      </c>
      <c r="H612" s="6" t="str">
        <f>IF(A612="","",SUMIFS(Chicks!$J:$J,Chicks!$F:$F,A612))</f>
        <v/>
      </c>
      <c r="I612" s="6" t="str">
        <f>IF(A612="","",COUNTIFS(Chicks!$F:$F,A612,Chicks!$I:$I,"No"))</f>
        <v/>
      </c>
      <c r="J612" s="6" t="str">
        <f>IF(A612="","",IFERROR(AVERAGEIF(Chicks!$F:$F,A612,Chicks!$M:$M),""))</f>
        <v/>
      </c>
      <c r="K612" s="6" t="str">
        <f>IF(A612="","",SUMIFS(Chicks!$N:$N,Chicks!$F:$F,A612))</f>
        <v/>
      </c>
      <c r="L612" s="6" t="str">
        <f>IF(A612="","",SUMIFS(Chicks!$O:$O,Chicks!$F:$F,A612))</f>
        <v/>
      </c>
      <c r="M612" s="6" t="str">
        <f>IF(A612="","",SUMIFS(Chicks!$P:$P,Chicks!$F:$F,A612))</f>
        <v/>
      </c>
      <c r="N612" s="6" t="str">
        <f t="shared" si="3"/>
        <v/>
      </c>
    </row>
    <row r="613" spans="6:14" ht="14.25" customHeight="1" x14ac:dyDescent="0.3">
      <c r="F613" s="6" t="str">
        <f>IF(A613="","",COUNTIF(Chicks!$F:$F,A613))</f>
        <v/>
      </c>
      <c r="G613" s="6" t="str">
        <f>IF(A613="","",COUNTIFS(Chicks!$F:$F,A613,Chicks!$I:$I,"Yes"))</f>
        <v/>
      </c>
      <c r="H613" s="6" t="str">
        <f>IF(A613="","",SUMIFS(Chicks!$J:$J,Chicks!$F:$F,A613))</f>
        <v/>
      </c>
      <c r="I613" s="6" t="str">
        <f>IF(A613="","",COUNTIFS(Chicks!$F:$F,A613,Chicks!$I:$I,"No"))</f>
        <v/>
      </c>
      <c r="J613" s="6" t="str">
        <f>IF(A613="","",IFERROR(AVERAGEIF(Chicks!$F:$F,A613,Chicks!$M:$M),""))</f>
        <v/>
      </c>
      <c r="K613" s="6" t="str">
        <f>IF(A613="","",SUMIFS(Chicks!$N:$N,Chicks!$F:$F,A613))</f>
        <v/>
      </c>
      <c r="L613" s="6" t="str">
        <f>IF(A613="","",SUMIFS(Chicks!$O:$O,Chicks!$F:$F,A613))</f>
        <v/>
      </c>
      <c r="M613" s="6" t="str">
        <f>IF(A613="","",SUMIFS(Chicks!$P:$P,Chicks!$F:$F,A613))</f>
        <v/>
      </c>
      <c r="N613" s="6" t="str">
        <f t="shared" si="3"/>
        <v/>
      </c>
    </row>
    <row r="614" spans="6:14" ht="14.25" customHeight="1" x14ac:dyDescent="0.3">
      <c r="F614" s="6" t="str">
        <f>IF(A614="","",COUNTIF(Chicks!$F:$F,A614))</f>
        <v/>
      </c>
      <c r="G614" s="6" t="str">
        <f>IF(A614="","",COUNTIFS(Chicks!$F:$F,A614,Chicks!$I:$I,"Yes"))</f>
        <v/>
      </c>
      <c r="H614" s="6" t="str">
        <f>IF(A614="","",SUMIFS(Chicks!$J:$J,Chicks!$F:$F,A614))</f>
        <v/>
      </c>
      <c r="I614" s="6" t="str">
        <f>IF(A614="","",COUNTIFS(Chicks!$F:$F,A614,Chicks!$I:$I,"No"))</f>
        <v/>
      </c>
      <c r="J614" s="6" t="str">
        <f>IF(A614="","",IFERROR(AVERAGEIF(Chicks!$F:$F,A614,Chicks!$M:$M),""))</f>
        <v/>
      </c>
      <c r="K614" s="6" t="str">
        <f>IF(A614="","",SUMIFS(Chicks!$N:$N,Chicks!$F:$F,A614))</f>
        <v/>
      </c>
      <c r="L614" s="6" t="str">
        <f>IF(A614="","",SUMIFS(Chicks!$O:$O,Chicks!$F:$F,A614))</f>
        <v/>
      </c>
      <c r="M614" s="6" t="str">
        <f>IF(A614="","",SUMIFS(Chicks!$P:$P,Chicks!$F:$F,A614))</f>
        <v/>
      </c>
      <c r="N614" s="6" t="str">
        <f t="shared" si="3"/>
        <v/>
      </c>
    </row>
    <row r="615" spans="6:14" ht="14.25" customHeight="1" x14ac:dyDescent="0.3">
      <c r="F615" s="6" t="str">
        <f>IF(A615="","",COUNTIF(Chicks!$F:$F,A615))</f>
        <v/>
      </c>
      <c r="G615" s="6" t="str">
        <f>IF(A615="","",COUNTIFS(Chicks!$F:$F,A615,Chicks!$I:$I,"Yes"))</f>
        <v/>
      </c>
      <c r="H615" s="6" t="str">
        <f>IF(A615="","",SUMIFS(Chicks!$J:$J,Chicks!$F:$F,A615))</f>
        <v/>
      </c>
      <c r="I615" s="6" t="str">
        <f>IF(A615="","",COUNTIFS(Chicks!$F:$F,A615,Chicks!$I:$I,"No"))</f>
        <v/>
      </c>
      <c r="J615" s="6" t="str">
        <f>IF(A615="","",IFERROR(AVERAGEIF(Chicks!$F:$F,A615,Chicks!$M:$M),""))</f>
        <v/>
      </c>
      <c r="K615" s="6" t="str">
        <f>IF(A615="","",SUMIFS(Chicks!$N:$N,Chicks!$F:$F,A615))</f>
        <v/>
      </c>
      <c r="L615" s="6" t="str">
        <f>IF(A615="","",SUMIFS(Chicks!$O:$O,Chicks!$F:$F,A615))</f>
        <v/>
      </c>
      <c r="M615" s="6" t="str">
        <f>IF(A615="","",SUMIFS(Chicks!$P:$P,Chicks!$F:$F,A615))</f>
        <v/>
      </c>
      <c r="N615" s="6" t="str">
        <f t="shared" si="3"/>
        <v/>
      </c>
    </row>
    <row r="616" spans="6:14" ht="14.25" customHeight="1" x14ac:dyDescent="0.3">
      <c r="F616" s="6" t="str">
        <f>IF(A616="","",COUNTIF(Chicks!$F:$F,A616))</f>
        <v/>
      </c>
      <c r="G616" s="6" t="str">
        <f>IF(A616="","",COUNTIFS(Chicks!$F:$F,A616,Chicks!$I:$I,"Yes"))</f>
        <v/>
      </c>
      <c r="H616" s="6" t="str">
        <f>IF(A616="","",SUMIFS(Chicks!$J:$J,Chicks!$F:$F,A616))</f>
        <v/>
      </c>
      <c r="I616" s="6" t="str">
        <f>IF(A616="","",COUNTIFS(Chicks!$F:$F,A616,Chicks!$I:$I,"No"))</f>
        <v/>
      </c>
      <c r="J616" s="6" t="str">
        <f>IF(A616="","",IFERROR(AVERAGEIF(Chicks!$F:$F,A616,Chicks!$M:$M),""))</f>
        <v/>
      </c>
      <c r="K616" s="6" t="str">
        <f>IF(A616="","",SUMIFS(Chicks!$N:$N,Chicks!$F:$F,A616))</f>
        <v/>
      </c>
      <c r="L616" s="6" t="str">
        <f>IF(A616="","",SUMIFS(Chicks!$O:$O,Chicks!$F:$F,A616))</f>
        <v/>
      </c>
      <c r="M616" s="6" t="str">
        <f>IF(A616="","",SUMIFS(Chicks!$P:$P,Chicks!$F:$F,A616))</f>
        <v/>
      </c>
      <c r="N616" s="6" t="str">
        <f t="shared" si="3"/>
        <v/>
      </c>
    </row>
    <row r="617" spans="6:14" ht="14.25" customHeight="1" x14ac:dyDescent="0.3">
      <c r="F617" s="6" t="str">
        <f>IF(A617="","",COUNTIF(Chicks!$F:$F,A617))</f>
        <v/>
      </c>
      <c r="G617" s="6" t="str">
        <f>IF(A617="","",COUNTIFS(Chicks!$F:$F,A617,Chicks!$I:$I,"Yes"))</f>
        <v/>
      </c>
      <c r="H617" s="6" t="str">
        <f>IF(A617="","",SUMIFS(Chicks!$J:$J,Chicks!$F:$F,A617))</f>
        <v/>
      </c>
      <c r="I617" s="6" t="str">
        <f>IF(A617="","",COUNTIFS(Chicks!$F:$F,A617,Chicks!$I:$I,"No"))</f>
        <v/>
      </c>
      <c r="J617" s="6" t="str">
        <f>IF(A617="","",IFERROR(AVERAGEIF(Chicks!$F:$F,A617,Chicks!$M:$M),""))</f>
        <v/>
      </c>
      <c r="K617" s="6" t="str">
        <f>IF(A617="","",SUMIFS(Chicks!$N:$N,Chicks!$F:$F,A617))</f>
        <v/>
      </c>
      <c r="L617" s="6" t="str">
        <f>IF(A617="","",SUMIFS(Chicks!$O:$O,Chicks!$F:$F,A617))</f>
        <v/>
      </c>
      <c r="M617" s="6" t="str">
        <f>IF(A617="","",SUMIFS(Chicks!$P:$P,Chicks!$F:$F,A617))</f>
        <v/>
      </c>
      <c r="N617" s="6" t="str">
        <f t="shared" si="3"/>
        <v/>
      </c>
    </row>
    <row r="618" spans="6:14" ht="14.25" customHeight="1" x14ac:dyDescent="0.3">
      <c r="F618" s="6" t="str">
        <f>IF(A618="","",COUNTIF(Chicks!$F:$F,A618))</f>
        <v/>
      </c>
      <c r="G618" s="6" t="str">
        <f>IF(A618="","",COUNTIFS(Chicks!$F:$F,A618,Chicks!$I:$I,"Yes"))</f>
        <v/>
      </c>
      <c r="H618" s="6" t="str">
        <f>IF(A618="","",SUMIFS(Chicks!$J:$J,Chicks!$F:$F,A618))</f>
        <v/>
      </c>
      <c r="I618" s="6" t="str">
        <f>IF(A618="","",COUNTIFS(Chicks!$F:$F,A618,Chicks!$I:$I,"No"))</f>
        <v/>
      </c>
      <c r="J618" s="6" t="str">
        <f>IF(A618="","",IFERROR(AVERAGEIF(Chicks!$F:$F,A618,Chicks!$M:$M),""))</f>
        <v/>
      </c>
      <c r="K618" s="6" t="str">
        <f>IF(A618="","",SUMIFS(Chicks!$N:$N,Chicks!$F:$F,A618))</f>
        <v/>
      </c>
      <c r="L618" s="6" t="str">
        <f>IF(A618="","",SUMIFS(Chicks!$O:$O,Chicks!$F:$F,A618))</f>
        <v/>
      </c>
      <c r="M618" s="6" t="str">
        <f>IF(A618="","",SUMIFS(Chicks!$P:$P,Chicks!$F:$F,A618))</f>
        <v/>
      </c>
      <c r="N618" s="6" t="str">
        <f t="shared" si="3"/>
        <v/>
      </c>
    </row>
    <row r="619" spans="6:14" ht="14.25" customHeight="1" x14ac:dyDescent="0.3">
      <c r="F619" s="6" t="str">
        <f>IF(A619="","",COUNTIF(Chicks!$F:$F,A619))</f>
        <v/>
      </c>
      <c r="G619" s="6" t="str">
        <f>IF(A619="","",COUNTIFS(Chicks!$F:$F,A619,Chicks!$I:$I,"Yes"))</f>
        <v/>
      </c>
      <c r="H619" s="6" t="str">
        <f>IF(A619="","",SUMIFS(Chicks!$J:$J,Chicks!$F:$F,A619))</f>
        <v/>
      </c>
      <c r="I619" s="6" t="str">
        <f>IF(A619="","",COUNTIFS(Chicks!$F:$F,A619,Chicks!$I:$I,"No"))</f>
        <v/>
      </c>
      <c r="J619" s="6" t="str">
        <f>IF(A619="","",IFERROR(AVERAGEIF(Chicks!$F:$F,A619,Chicks!$M:$M),""))</f>
        <v/>
      </c>
      <c r="K619" s="6" t="str">
        <f>IF(A619="","",SUMIFS(Chicks!$N:$N,Chicks!$F:$F,A619))</f>
        <v/>
      </c>
      <c r="L619" s="6" t="str">
        <f>IF(A619="","",SUMIFS(Chicks!$O:$O,Chicks!$F:$F,A619))</f>
        <v/>
      </c>
      <c r="M619" s="6" t="str">
        <f>IF(A619="","",SUMIFS(Chicks!$P:$P,Chicks!$F:$F,A619))</f>
        <v/>
      </c>
      <c r="N619" s="6" t="str">
        <f t="shared" si="3"/>
        <v/>
      </c>
    </row>
    <row r="620" spans="6:14" ht="14.25" customHeight="1" x14ac:dyDescent="0.3">
      <c r="F620" s="6" t="str">
        <f>IF(A620="","",COUNTIF(Chicks!$F:$F,A620))</f>
        <v/>
      </c>
      <c r="G620" s="6" t="str">
        <f>IF(A620="","",COUNTIFS(Chicks!$F:$F,A620,Chicks!$I:$I,"Yes"))</f>
        <v/>
      </c>
      <c r="H620" s="6" t="str">
        <f>IF(A620="","",SUMIFS(Chicks!$J:$J,Chicks!$F:$F,A620))</f>
        <v/>
      </c>
      <c r="I620" s="6" t="str">
        <f>IF(A620="","",COUNTIFS(Chicks!$F:$F,A620,Chicks!$I:$I,"No"))</f>
        <v/>
      </c>
      <c r="J620" s="6" t="str">
        <f>IF(A620="","",IFERROR(AVERAGEIF(Chicks!$F:$F,A620,Chicks!$M:$M),""))</f>
        <v/>
      </c>
      <c r="K620" s="6" t="str">
        <f>IF(A620="","",SUMIFS(Chicks!$N:$N,Chicks!$F:$F,A620))</f>
        <v/>
      </c>
      <c r="L620" s="6" t="str">
        <f>IF(A620="","",SUMIFS(Chicks!$O:$O,Chicks!$F:$F,A620))</f>
        <v/>
      </c>
      <c r="M620" s="6" t="str">
        <f>IF(A620="","",SUMIFS(Chicks!$P:$P,Chicks!$F:$F,A620))</f>
        <v/>
      </c>
      <c r="N620" s="6" t="str">
        <f t="shared" si="3"/>
        <v/>
      </c>
    </row>
    <row r="621" spans="6:14" ht="14.25" customHeight="1" x14ac:dyDescent="0.3">
      <c r="F621" s="6" t="str">
        <f>IF(A621="","",COUNTIF(Chicks!$F:$F,A621))</f>
        <v/>
      </c>
      <c r="G621" s="6" t="str">
        <f>IF(A621="","",COUNTIFS(Chicks!$F:$F,A621,Chicks!$I:$I,"Yes"))</f>
        <v/>
      </c>
      <c r="H621" s="6" t="str">
        <f>IF(A621="","",SUMIFS(Chicks!$J:$J,Chicks!$F:$F,A621))</f>
        <v/>
      </c>
      <c r="I621" s="6" t="str">
        <f>IF(A621="","",COUNTIFS(Chicks!$F:$F,A621,Chicks!$I:$I,"No"))</f>
        <v/>
      </c>
      <c r="J621" s="6" t="str">
        <f>IF(A621="","",IFERROR(AVERAGEIF(Chicks!$F:$F,A621,Chicks!$M:$M),""))</f>
        <v/>
      </c>
      <c r="K621" s="6" t="str">
        <f>IF(A621="","",SUMIFS(Chicks!$N:$N,Chicks!$F:$F,A621))</f>
        <v/>
      </c>
      <c r="L621" s="6" t="str">
        <f>IF(A621="","",SUMIFS(Chicks!$O:$O,Chicks!$F:$F,A621))</f>
        <v/>
      </c>
      <c r="M621" s="6" t="str">
        <f>IF(A621="","",SUMIFS(Chicks!$P:$P,Chicks!$F:$F,A621))</f>
        <v/>
      </c>
      <c r="N621" s="6" t="str">
        <f t="shared" si="3"/>
        <v/>
      </c>
    </row>
    <row r="622" spans="6:14" ht="14.25" customHeight="1" x14ac:dyDescent="0.3">
      <c r="F622" s="6" t="str">
        <f>IF(A622="","",COUNTIF(Chicks!$F:$F,A622))</f>
        <v/>
      </c>
      <c r="G622" s="6" t="str">
        <f>IF(A622="","",COUNTIFS(Chicks!$F:$F,A622,Chicks!$I:$I,"Yes"))</f>
        <v/>
      </c>
      <c r="H622" s="6" t="str">
        <f>IF(A622="","",SUMIFS(Chicks!$J:$J,Chicks!$F:$F,A622))</f>
        <v/>
      </c>
      <c r="I622" s="6" t="str">
        <f>IF(A622="","",COUNTIFS(Chicks!$F:$F,A622,Chicks!$I:$I,"No"))</f>
        <v/>
      </c>
      <c r="J622" s="6" t="str">
        <f>IF(A622="","",IFERROR(AVERAGEIF(Chicks!$F:$F,A622,Chicks!$M:$M),""))</f>
        <v/>
      </c>
      <c r="K622" s="6" t="str">
        <f>IF(A622="","",SUMIFS(Chicks!$N:$N,Chicks!$F:$F,A622))</f>
        <v/>
      </c>
      <c r="L622" s="6" t="str">
        <f>IF(A622="","",SUMIFS(Chicks!$O:$O,Chicks!$F:$F,A622))</f>
        <v/>
      </c>
      <c r="M622" s="6" t="str">
        <f>IF(A622="","",SUMIFS(Chicks!$P:$P,Chicks!$F:$F,A622))</f>
        <v/>
      </c>
      <c r="N622" s="6" t="str">
        <f t="shared" si="3"/>
        <v/>
      </c>
    </row>
    <row r="623" spans="6:14" ht="14.25" customHeight="1" x14ac:dyDescent="0.3">
      <c r="F623" s="6" t="str">
        <f>IF(A623="","",COUNTIF(Chicks!$F:$F,A623))</f>
        <v/>
      </c>
      <c r="G623" s="6" t="str">
        <f>IF(A623="","",COUNTIFS(Chicks!$F:$F,A623,Chicks!$I:$I,"Yes"))</f>
        <v/>
      </c>
      <c r="H623" s="6" t="str">
        <f>IF(A623="","",SUMIFS(Chicks!$J:$J,Chicks!$F:$F,A623))</f>
        <v/>
      </c>
      <c r="I623" s="6" t="str">
        <f>IF(A623="","",COUNTIFS(Chicks!$F:$F,A623,Chicks!$I:$I,"No"))</f>
        <v/>
      </c>
      <c r="J623" s="6" t="str">
        <f>IF(A623="","",IFERROR(AVERAGEIF(Chicks!$F:$F,A623,Chicks!$M:$M),""))</f>
        <v/>
      </c>
      <c r="K623" s="6" t="str">
        <f>IF(A623="","",SUMIFS(Chicks!$N:$N,Chicks!$F:$F,A623))</f>
        <v/>
      </c>
      <c r="L623" s="6" t="str">
        <f>IF(A623="","",SUMIFS(Chicks!$O:$O,Chicks!$F:$F,A623))</f>
        <v/>
      </c>
      <c r="M623" s="6" t="str">
        <f>IF(A623="","",SUMIFS(Chicks!$P:$P,Chicks!$F:$F,A623))</f>
        <v/>
      </c>
      <c r="N623" s="6" t="str">
        <f t="shared" si="3"/>
        <v/>
      </c>
    </row>
    <row r="624" spans="6:14" ht="14.25" customHeight="1" x14ac:dyDescent="0.3">
      <c r="F624" s="6" t="str">
        <f>IF(A624="","",COUNTIF(Chicks!$F:$F,A624))</f>
        <v/>
      </c>
      <c r="G624" s="6" t="str">
        <f>IF(A624="","",COUNTIFS(Chicks!$F:$F,A624,Chicks!$I:$I,"Yes"))</f>
        <v/>
      </c>
      <c r="H624" s="6" t="str">
        <f>IF(A624="","",SUMIFS(Chicks!$J:$J,Chicks!$F:$F,A624))</f>
        <v/>
      </c>
      <c r="I624" s="6" t="str">
        <f>IF(A624="","",COUNTIFS(Chicks!$F:$F,A624,Chicks!$I:$I,"No"))</f>
        <v/>
      </c>
      <c r="J624" s="6" t="str">
        <f>IF(A624="","",IFERROR(AVERAGEIF(Chicks!$F:$F,A624,Chicks!$M:$M),""))</f>
        <v/>
      </c>
      <c r="K624" s="6" t="str">
        <f>IF(A624="","",SUMIFS(Chicks!$N:$N,Chicks!$F:$F,A624))</f>
        <v/>
      </c>
      <c r="L624" s="6" t="str">
        <f>IF(A624="","",SUMIFS(Chicks!$O:$O,Chicks!$F:$F,A624))</f>
        <v/>
      </c>
      <c r="M624" s="6" t="str">
        <f>IF(A624="","",SUMIFS(Chicks!$P:$P,Chicks!$F:$F,A624))</f>
        <v/>
      </c>
      <c r="N624" s="6" t="str">
        <f t="shared" si="3"/>
        <v/>
      </c>
    </row>
    <row r="625" spans="6:14" ht="14.25" customHeight="1" x14ac:dyDescent="0.3">
      <c r="F625" s="6" t="str">
        <f>IF(A625="","",COUNTIF(Chicks!$F:$F,A625))</f>
        <v/>
      </c>
      <c r="G625" s="6" t="str">
        <f>IF(A625="","",COUNTIFS(Chicks!$F:$F,A625,Chicks!$I:$I,"Yes"))</f>
        <v/>
      </c>
      <c r="H625" s="6" t="str">
        <f>IF(A625="","",SUMIFS(Chicks!$J:$J,Chicks!$F:$F,A625))</f>
        <v/>
      </c>
      <c r="I625" s="6" t="str">
        <f>IF(A625="","",COUNTIFS(Chicks!$F:$F,A625,Chicks!$I:$I,"No"))</f>
        <v/>
      </c>
      <c r="J625" s="6" t="str">
        <f>IF(A625="","",IFERROR(AVERAGEIF(Chicks!$F:$F,A625,Chicks!$M:$M),""))</f>
        <v/>
      </c>
      <c r="K625" s="6" t="str">
        <f>IF(A625="","",SUMIFS(Chicks!$N:$N,Chicks!$F:$F,A625))</f>
        <v/>
      </c>
      <c r="L625" s="6" t="str">
        <f>IF(A625="","",SUMIFS(Chicks!$O:$O,Chicks!$F:$F,A625))</f>
        <v/>
      </c>
      <c r="M625" s="6" t="str">
        <f>IF(A625="","",SUMIFS(Chicks!$P:$P,Chicks!$F:$F,A625))</f>
        <v/>
      </c>
      <c r="N625" s="6" t="str">
        <f t="shared" si="3"/>
        <v/>
      </c>
    </row>
    <row r="626" spans="6:14" ht="14.25" customHeight="1" x14ac:dyDescent="0.3">
      <c r="F626" s="6" t="str">
        <f>IF(A626="","",COUNTIF(Chicks!$F:$F,A626))</f>
        <v/>
      </c>
      <c r="G626" s="6" t="str">
        <f>IF(A626="","",COUNTIFS(Chicks!$F:$F,A626,Chicks!$I:$I,"Yes"))</f>
        <v/>
      </c>
      <c r="H626" s="6" t="str">
        <f>IF(A626="","",SUMIFS(Chicks!$J:$J,Chicks!$F:$F,A626))</f>
        <v/>
      </c>
      <c r="I626" s="6" t="str">
        <f>IF(A626="","",COUNTIFS(Chicks!$F:$F,A626,Chicks!$I:$I,"No"))</f>
        <v/>
      </c>
      <c r="J626" s="6" t="str">
        <f>IF(A626="","",IFERROR(AVERAGEIF(Chicks!$F:$F,A626,Chicks!$M:$M),""))</f>
        <v/>
      </c>
      <c r="K626" s="6" t="str">
        <f>IF(A626="","",SUMIFS(Chicks!$N:$N,Chicks!$F:$F,A626))</f>
        <v/>
      </c>
      <c r="L626" s="6" t="str">
        <f>IF(A626="","",SUMIFS(Chicks!$O:$O,Chicks!$F:$F,A626))</f>
        <v/>
      </c>
      <c r="M626" s="6" t="str">
        <f>IF(A626="","",SUMIFS(Chicks!$P:$P,Chicks!$F:$F,A626))</f>
        <v/>
      </c>
      <c r="N626" s="6" t="str">
        <f t="shared" si="3"/>
        <v/>
      </c>
    </row>
    <row r="627" spans="6:14" ht="14.25" customHeight="1" x14ac:dyDescent="0.3">
      <c r="F627" s="6" t="str">
        <f>IF(A627="","",COUNTIF(Chicks!$F:$F,A627))</f>
        <v/>
      </c>
      <c r="G627" s="6" t="str">
        <f>IF(A627="","",COUNTIFS(Chicks!$F:$F,A627,Chicks!$I:$I,"Yes"))</f>
        <v/>
      </c>
      <c r="H627" s="6" t="str">
        <f>IF(A627="","",SUMIFS(Chicks!$J:$J,Chicks!$F:$F,A627))</f>
        <v/>
      </c>
      <c r="I627" s="6" t="str">
        <f>IF(A627="","",COUNTIFS(Chicks!$F:$F,A627,Chicks!$I:$I,"No"))</f>
        <v/>
      </c>
      <c r="J627" s="6" t="str">
        <f>IF(A627="","",IFERROR(AVERAGEIF(Chicks!$F:$F,A627,Chicks!$M:$M),""))</f>
        <v/>
      </c>
      <c r="K627" s="6" t="str">
        <f>IF(A627="","",SUMIFS(Chicks!$N:$N,Chicks!$F:$F,A627))</f>
        <v/>
      </c>
      <c r="L627" s="6" t="str">
        <f>IF(A627="","",SUMIFS(Chicks!$O:$O,Chicks!$F:$F,A627))</f>
        <v/>
      </c>
      <c r="M627" s="6" t="str">
        <f>IF(A627="","",SUMIFS(Chicks!$P:$P,Chicks!$F:$F,A627))</f>
        <v/>
      </c>
      <c r="N627" s="6" t="str">
        <f t="shared" si="3"/>
        <v/>
      </c>
    </row>
    <row r="628" spans="6:14" ht="14.25" customHeight="1" x14ac:dyDescent="0.3">
      <c r="F628" s="6" t="str">
        <f>IF(A628="","",COUNTIF(Chicks!$F:$F,A628))</f>
        <v/>
      </c>
      <c r="G628" s="6" t="str">
        <f>IF(A628="","",COUNTIFS(Chicks!$F:$F,A628,Chicks!$I:$I,"Yes"))</f>
        <v/>
      </c>
      <c r="H628" s="6" t="str">
        <f>IF(A628="","",SUMIFS(Chicks!$J:$J,Chicks!$F:$F,A628))</f>
        <v/>
      </c>
      <c r="I628" s="6" t="str">
        <f>IF(A628="","",COUNTIFS(Chicks!$F:$F,A628,Chicks!$I:$I,"No"))</f>
        <v/>
      </c>
      <c r="J628" s="6" t="str">
        <f>IF(A628="","",IFERROR(AVERAGEIF(Chicks!$F:$F,A628,Chicks!$M:$M),""))</f>
        <v/>
      </c>
      <c r="K628" s="6" t="str">
        <f>IF(A628="","",SUMIFS(Chicks!$N:$N,Chicks!$F:$F,A628))</f>
        <v/>
      </c>
      <c r="L628" s="6" t="str">
        <f>IF(A628="","",SUMIFS(Chicks!$O:$O,Chicks!$F:$F,A628))</f>
        <v/>
      </c>
      <c r="M628" s="6" t="str">
        <f>IF(A628="","",SUMIFS(Chicks!$P:$P,Chicks!$F:$F,A628))</f>
        <v/>
      </c>
      <c r="N628" s="6" t="str">
        <f t="shared" si="3"/>
        <v/>
      </c>
    </row>
    <row r="629" spans="6:14" ht="14.25" customHeight="1" x14ac:dyDescent="0.3">
      <c r="F629" s="6" t="str">
        <f>IF(A629="","",COUNTIF(Chicks!$F:$F,A629))</f>
        <v/>
      </c>
      <c r="G629" s="6" t="str">
        <f>IF(A629="","",COUNTIFS(Chicks!$F:$F,A629,Chicks!$I:$I,"Yes"))</f>
        <v/>
      </c>
      <c r="H629" s="6" t="str">
        <f>IF(A629="","",SUMIFS(Chicks!$J:$J,Chicks!$F:$F,A629))</f>
        <v/>
      </c>
      <c r="I629" s="6" t="str">
        <f>IF(A629="","",COUNTIFS(Chicks!$F:$F,A629,Chicks!$I:$I,"No"))</f>
        <v/>
      </c>
      <c r="J629" s="6" t="str">
        <f>IF(A629="","",IFERROR(AVERAGEIF(Chicks!$F:$F,A629,Chicks!$M:$M),""))</f>
        <v/>
      </c>
      <c r="K629" s="6" t="str">
        <f>IF(A629="","",SUMIFS(Chicks!$N:$N,Chicks!$F:$F,A629))</f>
        <v/>
      </c>
      <c r="L629" s="6" t="str">
        <f>IF(A629="","",SUMIFS(Chicks!$O:$O,Chicks!$F:$F,A629))</f>
        <v/>
      </c>
      <c r="M629" s="6" t="str">
        <f>IF(A629="","",SUMIFS(Chicks!$P:$P,Chicks!$F:$F,A629))</f>
        <v/>
      </c>
      <c r="N629" s="6" t="str">
        <f t="shared" si="3"/>
        <v/>
      </c>
    </row>
    <row r="630" spans="6:14" ht="14.25" customHeight="1" x14ac:dyDescent="0.3">
      <c r="F630" s="6" t="str">
        <f>IF(A630="","",COUNTIF(Chicks!$F:$F,A630))</f>
        <v/>
      </c>
      <c r="G630" s="6" t="str">
        <f>IF(A630="","",COUNTIFS(Chicks!$F:$F,A630,Chicks!$I:$I,"Yes"))</f>
        <v/>
      </c>
      <c r="H630" s="6" t="str">
        <f>IF(A630="","",SUMIFS(Chicks!$J:$J,Chicks!$F:$F,A630))</f>
        <v/>
      </c>
      <c r="I630" s="6" t="str">
        <f>IF(A630="","",COUNTIFS(Chicks!$F:$F,A630,Chicks!$I:$I,"No"))</f>
        <v/>
      </c>
      <c r="J630" s="6" t="str">
        <f>IF(A630="","",IFERROR(AVERAGEIF(Chicks!$F:$F,A630,Chicks!$M:$M),""))</f>
        <v/>
      </c>
      <c r="K630" s="6" t="str">
        <f>IF(A630="","",SUMIFS(Chicks!$N:$N,Chicks!$F:$F,A630))</f>
        <v/>
      </c>
      <c r="L630" s="6" t="str">
        <f>IF(A630="","",SUMIFS(Chicks!$O:$O,Chicks!$F:$F,A630))</f>
        <v/>
      </c>
      <c r="M630" s="6" t="str">
        <f>IF(A630="","",SUMIFS(Chicks!$P:$P,Chicks!$F:$F,A630))</f>
        <v/>
      </c>
      <c r="N630" s="6" t="str">
        <f t="shared" si="3"/>
        <v/>
      </c>
    </row>
    <row r="631" spans="6:14" ht="14.25" customHeight="1" x14ac:dyDescent="0.3">
      <c r="F631" s="6" t="str">
        <f>IF(A631="","",COUNTIF(Chicks!$F:$F,A631))</f>
        <v/>
      </c>
      <c r="G631" s="6" t="str">
        <f>IF(A631="","",COUNTIFS(Chicks!$F:$F,A631,Chicks!$I:$I,"Yes"))</f>
        <v/>
      </c>
      <c r="H631" s="6" t="str">
        <f>IF(A631="","",SUMIFS(Chicks!$J:$J,Chicks!$F:$F,A631))</f>
        <v/>
      </c>
      <c r="I631" s="6" t="str">
        <f>IF(A631="","",COUNTIFS(Chicks!$F:$F,A631,Chicks!$I:$I,"No"))</f>
        <v/>
      </c>
      <c r="J631" s="6" t="str">
        <f>IF(A631="","",IFERROR(AVERAGEIF(Chicks!$F:$F,A631,Chicks!$M:$M),""))</f>
        <v/>
      </c>
      <c r="K631" s="6" t="str">
        <f>IF(A631="","",SUMIFS(Chicks!$N:$N,Chicks!$F:$F,A631))</f>
        <v/>
      </c>
      <c r="L631" s="6" t="str">
        <f>IF(A631="","",SUMIFS(Chicks!$O:$O,Chicks!$F:$F,A631))</f>
        <v/>
      </c>
      <c r="M631" s="6" t="str">
        <f>IF(A631="","",SUMIFS(Chicks!$P:$P,Chicks!$F:$F,A631))</f>
        <v/>
      </c>
      <c r="N631" s="6" t="str">
        <f t="shared" si="3"/>
        <v/>
      </c>
    </row>
    <row r="632" spans="6:14" ht="14.25" customHeight="1" x14ac:dyDescent="0.3">
      <c r="F632" s="6" t="str">
        <f>IF(A632="","",COUNTIF(Chicks!$F:$F,A632))</f>
        <v/>
      </c>
      <c r="G632" s="6" t="str">
        <f>IF(A632="","",COUNTIFS(Chicks!$F:$F,A632,Chicks!$I:$I,"Yes"))</f>
        <v/>
      </c>
      <c r="H632" s="6" t="str">
        <f>IF(A632="","",SUMIFS(Chicks!$J:$J,Chicks!$F:$F,A632))</f>
        <v/>
      </c>
      <c r="I632" s="6" t="str">
        <f>IF(A632="","",COUNTIFS(Chicks!$F:$F,A632,Chicks!$I:$I,"No"))</f>
        <v/>
      </c>
      <c r="J632" s="6" t="str">
        <f>IF(A632="","",IFERROR(AVERAGEIF(Chicks!$F:$F,A632,Chicks!$M:$M),""))</f>
        <v/>
      </c>
      <c r="K632" s="6" t="str">
        <f>IF(A632="","",SUMIFS(Chicks!$N:$N,Chicks!$F:$F,A632))</f>
        <v/>
      </c>
      <c r="L632" s="6" t="str">
        <f>IF(A632="","",SUMIFS(Chicks!$O:$O,Chicks!$F:$F,A632))</f>
        <v/>
      </c>
      <c r="M632" s="6" t="str">
        <f>IF(A632="","",SUMIFS(Chicks!$P:$P,Chicks!$F:$F,A632))</f>
        <v/>
      </c>
      <c r="N632" s="6" t="str">
        <f t="shared" si="3"/>
        <v/>
      </c>
    </row>
    <row r="633" spans="6:14" ht="14.25" customHeight="1" x14ac:dyDescent="0.3">
      <c r="F633" s="6" t="str">
        <f>IF(A633="","",COUNTIF(Chicks!$F:$F,A633))</f>
        <v/>
      </c>
      <c r="G633" s="6" t="str">
        <f>IF(A633="","",COUNTIFS(Chicks!$F:$F,A633,Chicks!$I:$I,"Yes"))</f>
        <v/>
      </c>
      <c r="H633" s="6" t="str">
        <f>IF(A633="","",SUMIFS(Chicks!$J:$J,Chicks!$F:$F,A633))</f>
        <v/>
      </c>
      <c r="I633" s="6" t="str">
        <f>IF(A633="","",COUNTIFS(Chicks!$F:$F,A633,Chicks!$I:$I,"No"))</f>
        <v/>
      </c>
      <c r="J633" s="6" t="str">
        <f>IF(A633="","",IFERROR(AVERAGEIF(Chicks!$F:$F,A633,Chicks!$M:$M),""))</f>
        <v/>
      </c>
      <c r="K633" s="6" t="str">
        <f>IF(A633="","",SUMIFS(Chicks!$N:$N,Chicks!$F:$F,A633))</f>
        <v/>
      </c>
      <c r="L633" s="6" t="str">
        <f>IF(A633="","",SUMIFS(Chicks!$O:$O,Chicks!$F:$F,A633))</f>
        <v/>
      </c>
      <c r="M633" s="6" t="str">
        <f>IF(A633="","",SUMIFS(Chicks!$P:$P,Chicks!$F:$F,A633))</f>
        <v/>
      </c>
      <c r="N633" s="6" t="str">
        <f t="shared" si="3"/>
        <v/>
      </c>
    </row>
    <row r="634" spans="6:14" ht="14.25" customHeight="1" x14ac:dyDescent="0.3">
      <c r="F634" s="6" t="str">
        <f>IF(A634="","",COUNTIF(Chicks!$F:$F,A634))</f>
        <v/>
      </c>
      <c r="G634" s="6" t="str">
        <f>IF(A634="","",COUNTIFS(Chicks!$F:$F,A634,Chicks!$I:$I,"Yes"))</f>
        <v/>
      </c>
      <c r="H634" s="6" t="str">
        <f>IF(A634="","",SUMIFS(Chicks!$J:$J,Chicks!$F:$F,A634))</f>
        <v/>
      </c>
      <c r="I634" s="6" t="str">
        <f>IF(A634="","",COUNTIFS(Chicks!$F:$F,A634,Chicks!$I:$I,"No"))</f>
        <v/>
      </c>
      <c r="J634" s="6" t="str">
        <f>IF(A634="","",IFERROR(AVERAGEIF(Chicks!$F:$F,A634,Chicks!$M:$M),""))</f>
        <v/>
      </c>
      <c r="K634" s="6" t="str">
        <f>IF(A634="","",SUMIFS(Chicks!$N:$N,Chicks!$F:$F,A634))</f>
        <v/>
      </c>
      <c r="L634" s="6" t="str">
        <f>IF(A634="","",SUMIFS(Chicks!$O:$O,Chicks!$F:$F,A634))</f>
        <v/>
      </c>
      <c r="M634" s="6" t="str">
        <f>IF(A634="","",SUMIFS(Chicks!$P:$P,Chicks!$F:$F,A634))</f>
        <v/>
      </c>
      <c r="N634" s="6" t="str">
        <f t="shared" si="3"/>
        <v/>
      </c>
    </row>
    <row r="635" spans="6:14" ht="14.25" customHeight="1" x14ac:dyDescent="0.3">
      <c r="F635" s="6" t="str">
        <f>IF(A635="","",COUNTIF(Chicks!$F:$F,A635))</f>
        <v/>
      </c>
      <c r="G635" s="6" t="str">
        <f>IF(A635="","",COUNTIFS(Chicks!$F:$F,A635,Chicks!$I:$I,"Yes"))</f>
        <v/>
      </c>
      <c r="H635" s="6" t="str">
        <f>IF(A635="","",SUMIFS(Chicks!$J:$J,Chicks!$F:$F,A635))</f>
        <v/>
      </c>
      <c r="I635" s="6" t="str">
        <f>IF(A635="","",COUNTIFS(Chicks!$F:$F,A635,Chicks!$I:$I,"No"))</f>
        <v/>
      </c>
      <c r="J635" s="6" t="str">
        <f>IF(A635="","",IFERROR(AVERAGEIF(Chicks!$F:$F,A635,Chicks!$M:$M),""))</f>
        <v/>
      </c>
      <c r="K635" s="6" t="str">
        <f>IF(A635="","",SUMIFS(Chicks!$N:$N,Chicks!$F:$F,A635))</f>
        <v/>
      </c>
      <c r="L635" s="6" t="str">
        <f>IF(A635="","",SUMIFS(Chicks!$O:$O,Chicks!$F:$F,A635))</f>
        <v/>
      </c>
      <c r="M635" s="6" t="str">
        <f>IF(A635="","",SUMIFS(Chicks!$P:$P,Chicks!$F:$F,A635))</f>
        <v/>
      </c>
      <c r="N635" s="6" t="str">
        <f t="shared" si="3"/>
        <v/>
      </c>
    </row>
    <row r="636" spans="6:14" ht="14.25" customHeight="1" x14ac:dyDescent="0.3">
      <c r="F636" s="6" t="str">
        <f>IF(A636="","",COUNTIF(Chicks!$F:$F,A636))</f>
        <v/>
      </c>
      <c r="G636" s="6" t="str">
        <f>IF(A636="","",COUNTIFS(Chicks!$F:$F,A636,Chicks!$I:$I,"Yes"))</f>
        <v/>
      </c>
      <c r="H636" s="6" t="str">
        <f>IF(A636="","",SUMIFS(Chicks!$J:$J,Chicks!$F:$F,A636))</f>
        <v/>
      </c>
      <c r="I636" s="6" t="str">
        <f>IF(A636="","",COUNTIFS(Chicks!$F:$F,A636,Chicks!$I:$I,"No"))</f>
        <v/>
      </c>
      <c r="J636" s="6" t="str">
        <f>IF(A636="","",IFERROR(AVERAGEIF(Chicks!$F:$F,A636,Chicks!$M:$M),""))</f>
        <v/>
      </c>
      <c r="K636" s="6" t="str">
        <f>IF(A636="","",SUMIFS(Chicks!$N:$N,Chicks!$F:$F,A636))</f>
        <v/>
      </c>
      <c r="L636" s="6" t="str">
        <f>IF(A636="","",SUMIFS(Chicks!$O:$O,Chicks!$F:$F,A636))</f>
        <v/>
      </c>
      <c r="M636" s="6" t="str">
        <f>IF(A636="","",SUMIFS(Chicks!$P:$P,Chicks!$F:$F,A636))</f>
        <v/>
      </c>
      <c r="N636" s="6" t="str">
        <f t="shared" si="3"/>
        <v/>
      </c>
    </row>
    <row r="637" spans="6:14" ht="14.25" customHeight="1" x14ac:dyDescent="0.3">
      <c r="F637" s="6" t="str">
        <f>IF(A637="","",COUNTIF(Chicks!$F:$F,A637))</f>
        <v/>
      </c>
      <c r="G637" s="6" t="str">
        <f>IF(A637="","",COUNTIFS(Chicks!$F:$F,A637,Chicks!$I:$I,"Yes"))</f>
        <v/>
      </c>
      <c r="H637" s="6" t="str">
        <f>IF(A637="","",SUMIFS(Chicks!$J:$J,Chicks!$F:$F,A637))</f>
        <v/>
      </c>
      <c r="I637" s="6" t="str">
        <f>IF(A637="","",COUNTIFS(Chicks!$F:$F,A637,Chicks!$I:$I,"No"))</f>
        <v/>
      </c>
      <c r="J637" s="6" t="str">
        <f>IF(A637="","",IFERROR(AVERAGEIF(Chicks!$F:$F,A637,Chicks!$M:$M),""))</f>
        <v/>
      </c>
      <c r="K637" s="6" t="str">
        <f>IF(A637="","",SUMIFS(Chicks!$N:$N,Chicks!$F:$F,A637))</f>
        <v/>
      </c>
      <c r="L637" s="6" t="str">
        <f>IF(A637="","",SUMIFS(Chicks!$O:$O,Chicks!$F:$F,A637))</f>
        <v/>
      </c>
      <c r="M637" s="6" t="str">
        <f>IF(A637="","",SUMIFS(Chicks!$P:$P,Chicks!$F:$F,A637))</f>
        <v/>
      </c>
      <c r="N637" s="6" t="str">
        <f t="shared" si="3"/>
        <v/>
      </c>
    </row>
    <row r="638" spans="6:14" ht="14.25" customHeight="1" x14ac:dyDescent="0.3">
      <c r="F638" s="6" t="str">
        <f>IF(A638="","",COUNTIF(Chicks!$F:$F,A638))</f>
        <v/>
      </c>
      <c r="G638" s="6" t="str">
        <f>IF(A638="","",COUNTIFS(Chicks!$F:$F,A638,Chicks!$I:$I,"Yes"))</f>
        <v/>
      </c>
      <c r="H638" s="6" t="str">
        <f>IF(A638="","",SUMIFS(Chicks!$J:$J,Chicks!$F:$F,A638))</f>
        <v/>
      </c>
      <c r="I638" s="6" t="str">
        <f>IF(A638="","",COUNTIFS(Chicks!$F:$F,A638,Chicks!$I:$I,"No"))</f>
        <v/>
      </c>
      <c r="J638" s="6" t="str">
        <f>IF(A638="","",IFERROR(AVERAGEIF(Chicks!$F:$F,A638,Chicks!$M:$M),""))</f>
        <v/>
      </c>
      <c r="K638" s="6" t="str">
        <f>IF(A638="","",SUMIFS(Chicks!$N:$N,Chicks!$F:$F,A638))</f>
        <v/>
      </c>
      <c r="L638" s="6" t="str">
        <f>IF(A638="","",SUMIFS(Chicks!$O:$O,Chicks!$F:$F,A638))</f>
        <v/>
      </c>
      <c r="M638" s="6" t="str">
        <f>IF(A638="","",SUMIFS(Chicks!$P:$P,Chicks!$F:$F,A638))</f>
        <v/>
      </c>
      <c r="N638" s="6" t="str">
        <f t="shared" si="3"/>
        <v/>
      </c>
    </row>
    <row r="639" spans="6:14" ht="14.25" customHeight="1" x14ac:dyDescent="0.3">
      <c r="F639" s="6" t="str">
        <f>IF(A639="","",COUNTIF(Chicks!$F:$F,A639))</f>
        <v/>
      </c>
      <c r="G639" s="6" t="str">
        <f>IF(A639="","",COUNTIFS(Chicks!$F:$F,A639,Chicks!$I:$I,"Yes"))</f>
        <v/>
      </c>
      <c r="H639" s="6" t="str">
        <f>IF(A639="","",SUMIFS(Chicks!$J:$J,Chicks!$F:$F,A639))</f>
        <v/>
      </c>
      <c r="I639" s="6" t="str">
        <f>IF(A639="","",COUNTIFS(Chicks!$F:$F,A639,Chicks!$I:$I,"No"))</f>
        <v/>
      </c>
      <c r="J639" s="6" t="str">
        <f>IF(A639="","",IFERROR(AVERAGEIF(Chicks!$F:$F,A639,Chicks!$M:$M),""))</f>
        <v/>
      </c>
      <c r="K639" s="6" t="str">
        <f>IF(A639="","",SUMIFS(Chicks!$N:$N,Chicks!$F:$F,A639))</f>
        <v/>
      </c>
      <c r="L639" s="6" t="str">
        <f>IF(A639="","",SUMIFS(Chicks!$O:$O,Chicks!$F:$F,A639))</f>
        <v/>
      </c>
      <c r="M639" s="6" t="str">
        <f>IF(A639="","",SUMIFS(Chicks!$P:$P,Chicks!$F:$F,A639))</f>
        <v/>
      </c>
      <c r="N639" s="6" t="str">
        <f t="shared" si="3"/>
        <v/>
      </c>
    </row>
    <row r="640" spans="6:14" ht="14.25" customHeight="1" x14ac:dyDescent="0.3">
      <c r="F640" s="6" t="str">
        <f>IF(A640="","",COUNTIF(Chicks!$F:$F,A640))</f>
        <v/>
      </c>
      <c r="G640" s="6" t="str">
        <f>IF(A640="","",COUNTIFS(Chicks!$F:$F,A640,Chicks!$I:$I,"Yes"))</f>
        <v/>
      </c>
      <c r="H640" s="6" t="str">
        <f>IF(A640="","",SUMIFS(Chicks!$J:$J,Chicks!$F:$F,A640))</f>
        <v/>
      </c>
      <c r="I640" s="6" t="str">
        <f>IF(A640="","",COUNTIFS(Chicks!$F:$F,A640,Chicks!$I:$I,"No"))</f>
        <v/>
      </c>
      <c r="J640" s="6" t="str">
        <f>IF(A640="","",IFERROR(AVERAGEIF(Chicks!$F:$F,A640,Chicks!$M:$M),""))</f>
        <v/>
      </c>
      <c r="K640" s="6" t="str">
        <f>IF(A640="","",SUMIFS(Chicks!$N:$N,Chicks!$F:$F,A640))</f>
        <v/>
      </c>
      <c r="L640" s="6" t="str">
        <f>IF(A640="","",SUMIFS(Chicks!$O:$O,Chicks!$F:$F,A640))</f>
        <v/>
      </c>
      <c r="M640" s="6" t="str">
        <f>IF(A640="","",SUMIFS(Chicks!$P:$P,Chicks!$F:$F,A640))</f>
        <v/>
      </c>
      <c r="N640" s="6" t="str">
        <f t="shared" si="3"/>
        <v/>
      </c>
    </row>
    <row r="641" spans="6:14" ht="14.25" customHeight="1" x14ac:dyDescent="0.3">
      <c r="F641" s="6" t="str">
        <f>IF(A641="","",COUNTIF(Chicks!$F:$F,A641))</f>
        <v/>
      </c>
      <c r="G641" s="6" t="str">
        <f>IF(A641="","",COUNTIFS(Chicks!$F:$F,A641,Chicks!$I:$I,"Yes"))</f>
        <v/>
      </c>
      <c r="H641" s="6" t="str">
        <f>IF(A641="","",SUMIFS(Chicks!$J:$J,Chicks!$F:$F,A641))</f>
        <v/>
      </c>
      <c r="I641" s="6" t="str">
        <f>IF(A641="","",COUNTIFS(Chicks!$F:$F,A641,Chicks!$I:$I,"No"))</f>
        <v/>
      </c>
      <c r="J641" s="6" t="str">
        <f>IF(A641="","",IFERROR(AVERAGEIF(Chicks!$F:$F,A641,Chicks!$M:$M),""))</f>
        <v/>
      </c>
      <c r="K641" s="6" t="str">
        <f>IF(A641="","",SUMIFS(Chicks!$N:$N,Chicks!$F:$F,A641))</f>
        <v/>
      </c>
      <c r="L641" s="6" t="str">
        <f>IF(A641="","",SUMIFS(Chicks!$O:$O,Chicks!$F:$F,A641))</f>
        <v/>
      </c>
      <c r="M641" s="6" t="str">
        <f>IF(A641="","",SUMIFS(Chicks!$P:$P,Chicks!$F:$F,A641))</f>
        <v/>
      </c>
      <c r="N641" s="6" t="str">
        <f t="shared" si="3"/>
        <v/>
      </c>
    </row>
    <row r="642" spans="6:14" ht="14.25" customHeight="1" x14ac:dyDescent="0.3">
      <c r="F642" s="6" t="str">
        <f>IF(A642="","",COUNTIF(Chicks!$F:$F,A642))</f>
        <v/>
      </c>
      <c r="G642" s="6" t="str">
        <f>IF(A642="","",COUNTIFS(Chicks!$F:$F,A642,Chicks!$I:$I,"Yes"))</f>
        <v/>
      </c>
      <c r="H642" s="6" t="str">
        <f>IF(A642="","",SUMIFS(Chicks!$J:$J,Chicks!$F:$F,A642))</f>
        <v/>
      </c>
      <c r="I642" s="6" t="str">
        <f>IF(A642="","",COUNTIFS(Chicks!$F:$F,A642,Chicks!$I:$I,"No"))</f>
        <v/>
      </c>
      <c r="J642" s="6" t="str">
        <f>IF(A642="","",IFERROR(AVERAGEIF(Chicks!$F:$F,A642,Chicks!$M:$M),""))</f>
        <v/>
      </c>
      <c r="K642" s="6" t="str">
        <f>IF(A642="","",SUMIFS(Chicks!$N:$N,Chicks!$F:$F,A642))</f>
        <v/>
      </c>
      <c r="L642" s="6" t="str">
        <f>IF(A642="","",SUMIFS(Chicks!$O:$O,Chicks!$F:$F,A642))</f>
        <v/>
      </c>
      <c r="M642" s="6" t="str">
        <f>IF(A642="","",SUMIFS(Chicks!$P:$P,Chicks!$F:$F,A642))</f>
        <v/>
      </c>
      <c r="N642" s="6" t="str">
        <f t="shared" si="3"/>
        <v/>
      </c>
    </row>
    <row r="643" spans="6:14" ht="14.25" customHeight="1" x14ac:dyDescent="0.3">
      <c r="F643" s="6" t="str">
        <f>IF(A643="","",COUNTIF(Chicks!$F:$F,A643))</f>
        <v/>
      </c>
      <c r="G643" s="6" t="str">
        <f>IF(A643="","",COUNTIFS(Chicks!$F:$F,A643,Chicks!$I:$I,"Yes"))</f>
        <v/>
      </c>
      <c r="H643" s="6" t="str">
        <f>IF(A643="","",SUMIFS(Chicks!$J:$J,Chicks!$F:$F,A643))</f>
        <v/>
      </c>
      <c r="I643" s="6" t="str">
        <f>IF(A643="","",COUNTIFS(Chicks!$F:$F,A643,Chicks!$I:$I,"No"))</f>
        <v/>
      </c>
      <c r="J643" s="6" t="str">
        <f>IF(A643="","",IFERROR(AVERAGEIF(Chicks!$F:$F,A643,Chicks!$M:$M),""))</f>
        <v/>
      </c>
      <c r="K643" s="6" t="str">
        <f>IF(A643="","",SUMIFS(Chicks!$N:$N,Chicks!$F:$F,A643))</f>
        <v/>
      </c>
      <c r="L643" s="6" t="str">
        <f>IF(A643="","",SUMIFS(Chicks!$O:$O,Chicks!$F:$F,A643))</f>
        <v/>
      </c>
      <c r="M643" s="6" t="str">
        <f>IF(A643="","",SUMIFS(Chicks!$P:$P,Chicks!$F:$F,A643))</f>
        <v/>
      </c>
      <c r="N643" s="6" t="str">
        <f t="shared" si="3"/>
        <v/>
      </c>
    </row>
    <row r="644" spans="6:14" ht="14.25" customHeight="1" x14ac:dyDescent="0.3">
      <c r="F644" s="6" t="str">
        <f>IF(A644="","",COUNTIF(Chicks!$F:$F,A644))</f>
        <v/>
      </c>
      <c r="G644" s="6" t="str">
        <f>IF(A644="","",COUNTIFS(Chicks!$F:$F,A644,Chicks!$I:$I,"Yes"))</f>
        <v/>
      </c>
      <c r="H644" s="6" t="str">
        <f>IF(A644="","",SUMIFS(Chicks!$J:$J,Chicks!$F:$F,A644))</f>
        <v/>
      </c>
      <c r="I644" s="6" t="str">
        <f>IF(A644="","",COUNTIFS(Chicks!$F:$F,A644,Chicks!$I:$I,"No"))</f>
        <v/>
      </c>
      <c r="J644" s="6" t="str">
        <f>IF(A644="","",IFERROR(AVERAGEIF(Chicks!$F:$F,A644,Chicks!$M:$M),""))</f>
        <v/>
      </c>
      <c r="K644" s="6" t="str">
        <f>IF(A644="","",SUMIFS(Chicks!$N:$N,Chicks!$F:$F,A644))</f>
        <v/>
      </c>
      <c r="L644" s="6" t="str">
        <f>IF(A644="","",SUMIFS(Chicks!$O:$O,Chicks!$F:$F,A644))</f>
        <v/>
      </c>
      <c r="M644" s="6" t="str">
        <f>IF(A644="","",SUMIFS(Chicks!$P:$P,Chicks!$F:$F,A644))</f>
        <v/>
      </c>
      <c r="N644" s="6" t="str">
        <f t="shared" si="3"/>
        <v/>
      </c>
    </row>
    <row r="645" spans="6:14" ht="14.25" customHeight="1" x14ac:dyDescent="0.3">
      <c r="F645" s="6" t="str">
        <f>IF(A645="","",COUNTIF(Chicks!$F:$F,A645))</f>
        <v/>
      </c>
      <c r="G645" s="6" t="str">
        <f>IF(A645="","",COUNTIFS(Chicks!$F:$F,A645,Chicks!$I:$I,"Yes"))</f>
        <v/>
      </c>
      <c r="H645" s="6" t="str">
        <f>IF(A645="","",SUMIFS(Chicks!$J:$J,Chicks!$F:$F,A645))</f>
        <v/>
      </c>
      <c r="I645" s="6" t="str">
        <f>IF(A645="","",COUNTIFS(Chicks!$F:$F,A645,Chicks!$I:$I,"No"))</f>
        <v/>
      </c>
      <c r="J645" s="6" t="str">
        <f>IF(A645="","",IFERROR(AVERAGEIF(Chicks!$F:$F,A645,Chicks!$M:$M),""))</f>
        <v/>
      </c>
      <c r="K645" s="6" t="str">
        <f>IF(A645="","",SUMIFS(Chicks!$N:$N,Chicks!$F:$F,A645))</f>
        <v/>
      </c>
      <c r="L645" s="6" t="str">
        <f>IF(A645="","",SUMIFS(Chicks!$O:$O,Chicks!$F:$F,A645))</f>
        <v/>
      </c>
      <c r="M645" s="6" t="str">
        <f>IF(A645="","",SUMIFS(Chicks!$P:$P,Chicks!$F:$F,A645))</f>
        <v/>
      </c>
      <c r="N645" s="6" t="str">
        <f t="shared" si="3"/>
        <v/>
      </c>
    </row>
    <row r="646" spans="6:14" ht="14.25" customHeight="1" x14ac:dyDescent="0.3">
      <c r="F646" s="6" t="str">
        <f>IF(A646="","",COUNTIF(Chicks!$F:$F,A646))</f>
        <v/>
      </c>
      <c r="G646" s="6" t="str">
        <f>IF(A646="","",COUNTIFS(Chicks!$F:$F,A646,Chicks!$I:$I,"Yes"))</f>
        <v/>
      </c>
      <c r="H646" s="6" t="str">
        <f>IF(A646="","",SUMIFS(Chicks!$J:$J,Chicks!$F:$F,A646))</f>
        <v/>
      </c>
      <c r="I646" s="6" t="str">
        <f>IF(A646="","",COUNTIFS(Chicks!$F:$F,A646,Chicks!$I:$I,"No"))</f>
        <v/>
      </c>
      <c r="J646" s="6" t="str">
        <f>IF(A646="","",IFERROR(AVERAGEIF(Chicks!$F:$F,A646,Chicks!$M:$M),""))</f>
        <v/>
      </c>
      <c r="K646" s="6" t="str">
        <f>IF(A646="","",SUMIFS(Chicks!$N:$N,Chicks!$F:$F,A646))</f>
        <v/>
      </c>
      <c r="L646" s="6" t="str">
        <f>IF(A646="","",SUMIFS(Chicks!$O:$O,Chicks!$F:$F,A646))</f>
        <v/>
      </c>
      <c r="M646" s="6" t="str">
        <f>IF(A646="","",SUMIFS(Chicks!$P:$P,Chicks!$F:$F,A646))</f>
        <v/>
      </c>
      <c r="N646" s="6" t="str">
        <f t="shared" si="3"/>
        <v/>
      </c>
    </row>
    <row r="647" spans="6:14" ht="14.25" customHeight="1" x14ac:dyDescent="0.3">
      <c r="F647" s="6" t="str">
        <f>IF(A647="","",COUNTIF(Chicks!$F:$F,A647))</f>
        <v/>
      </c>
      <c r="G647" s="6" t="str">
        <f>IF(A647="","",COUNTIFS(Chicks!$F:$F,A647,Chicks!$I:$I,"Yes"))</f>
        <v/>
      </c>
      <c r="H647" s="6" t="str">
        <f>IF(A647="","",SUMIFS(Chicks!$J:$J,Chicks!$F:$F,A647))</f>
        <v/>
      </c>
      <c r="I647" s="6" t="str">
        <f>IF(A647="","",COUNTIFS(Chicks!$F:$F,A647,Chicks!$I:$I,"No"))</f>
        <v/>
      </c>
      <c r="J647" s="6" t="str">
        <f>IF(A647="","",IFERROR(AVERAGEIF(Chicks!$F:$F,A647,Chicks!$M:$M),""))</f>
        <v/>
      </c>
      <c r="K647" s="6" t="str">
        <f>IF(A647="","",SUMIFS(Chicks!$N:$N,Chicks!$F:$F,A647))</f>
        <v/>
      </c>
      <c r="L647" s="6" t="str">
        <f>IF(A647="","",SUMIFS(Chicks!$O:$O,Chicks!$F:$F,A647))</f>
        <v/>
      </c>
      <c r="M647" s="6" t="str">
        <f>IF(A647="","",SUMIFS(Chicks!$P:$P,Chicks!$F:$F,A647))</f>
        <v/>
      </c>
      <c r="N647" s="6" t="str">
        <f t="shared" si="3"/>
        <v/>
      </c>
    </row>
    <row r="648" spans="6:14" ht="14.25" customHeight="1" x14ac:dyDescent="0.3">
      <c r="F648" s="6" t="str">
        <f>IF(A648="","",COUNTIF(Chicks!$F:$F,A648))</f>
        <v/>
      </c>
      <c r="G648" s="6" t="str">
        <f>IF(A648="","",COUNTIFS(Chicks!$F:$F,A648,Chicks!$I:$I,"Yes"))</f>
        <v/>
      </c>
      <c r="H648" s="6" t="str">
        <f>IF(A648="","",SUMIFS(Chicks!$J:$J,Chicks!$F:$F,A648))</f>
        <v/>
      </c>
      <c r="I648" s="6" t="str">
        <f>IF(A648="","",COUNTIFS(Chicks!$F:$F,A648,Chicks!$I:$I,"No"))</f>
        <v/>
      </c>
      <c r="J648" s="6" t="str">
        <f>IF(A648="","",IFERROR(AVERAGEIF(Chicks!$F:$F,A648,Chicks!$M:$M),""))</f>
        <v/>
      </c>
      <c r="K648" s="6" t="str">
        <f>IF(A648="","",SUMIFS(Chicks!$N:$N,Chicks!$F:$F,A648))</f>
        <v/>
      </c>
      <c r="L648" s="6" t="str">
        <f>IF(A648="","",SUMIFS(Chicks!$O:$O,Chicks!$F:$F,A648))</f>
        <v/>
      </c>
      <c r="M648" s="6" t="str">
        <f>IF(A648="","",SUMIFS(Chicks!$P:$P,Chicks!$F:$F,A648))</f>
        <v/>
      </c>
      <c r="N648" s="6" t="str">
        <f t="shared" si="3"/>
        <v/>
      </c>
    </row>
    <row r="649" spans="6:14" ht="14.25" customHeight="1" x14ac:dyDescent="0.3">
      <c r="F649" s="6" t="str">
        <f>IF(A649="","",COUNTIF(Chicks!$F:$F,A649))</f>
        <v/>
      </c>
      <c r="G649" s="6" t="str">
        <f>IF(A649="","",COUNTIFS(Chicks!$F:$F,A649,Chicks!$I:$I,"Yes"))</f>
        <v/>
      </c>
      <c r="H649" s="6" t="str">
        <f>IF(A649="","",SUMIFS(Chicks!$J:$J,Chicks!$F:$F,A649))</f>
        <v/>
      </c>
      <c r="I649" s="6" t="str">
        <f>IF(A649="","",COUNTIFS(Chicks!$F:$F,A649,Chicks!$I:$I,"No"))</f>
        <v/>
      </c>
      <c r="J649" s="6" t="str">
        <f>IF(A649="","",IFERROR(AVERAGEIF(Chicks!$F:$F,A649,Chicks!$M:$M),""))</f>
        <v/>
      </c>
      <c r="K649" s="6" t="str">
        <f>IF(A649="","",SUMIFS(Chicks!$N:$N,Chicks!$F:$F,A649))</f>
        <v/>
      </c>
      <c r="L649" s="6" t="str">
        <f>IF(A649="","",SUMIFS(Chicks!$O:$O,Chicks!$F:$F,A649))</f>
        <v/>
      </c>
      <c r="M649" s="6" t="str">
        <f>IF(A649="","",SUMIFS(Chicks!$P:$P,Chicks!$F:$F,A649))</f>
        <v/>
      </c>
      <c r="N649" s="6" t="str">
        <f t="shared" si="3"/>
        <v/>
      </c>
    </row>
    <row r="650" spans="6:14" ht="14.25" customHeight="1" x14ac:dyDescent="0.3">
      <c r="F650" s="6" t="str">
        <f>IF(A650="","",COUNTIF(Chicks!$F:$F,A650))</f>
        <v/>
      </c>
      <c r="G650" s="6" t="str">
        <f>IF(A650="","",COUNTIFS(Chicks!$F:$F,A650,Chicks!$I:$I,"Yes"))</f>
        <v/>
      </c>
      <c r="H650" s="6" t="str">
        <f>IF(A650="","",SUMIFS(Chicks!$J:$J,Chicks!$F:$F,A650))</f>
        <v/>
      </c>
      <c r="I650" s="6" t="str">
        <f>IF(A650="","",COUNTIFS(Chicks!$F:$F,A650,Chicks!$I:$I,"No"))</f>
        <v/>
      </c>
      <c r="J650" s="6" t="str">
        <f>IF(A650="","",IFERROR(AVERAGEIF(Chicks!$F:$F,A650,Chicks!$M:$M),""))</f>
        <v/>
      </c>
      <c r="K650" s="6" t="str">
        <f>IF(A650="","",SUMIFS(Chicks!$N:$N,Chicks!$F:$F,A650))</f>
        <v/>
      </c>
      <c r="L650" s="6" t="str">
        <f>IF(A650="","",SUMIFS(Chicks!$O:$O,Chicks!$F:$F,A650))</f>
        <v/>
      </c>
      <c r="M650" s="6" t="str">
        <f>IF(A650="","",SUMIFS(Chicks!$P:$P,Chicks!$F:$F,A650))</f>
        <v/>
      </c>
      <c r="N650" s="6" t="str">
        <f t="shared" si="3"/>
        <v/>
      </c>
    </row>
    <row r="651" spans="6:14" ht="14.25" customHeight="1" x14ac:dyDescent="0.3">
      <c r="F651" s="6" t="str">
        <f>IF(A651="","",COUNTIF(Chicks!$F:$F,A651))</f>
        <v/>
      </c>
      <c r="G651" s="6" t="str">
        <f>IF(A651="","",COUNTIFS(Chicks!$F:$F,A651,Chicks!$I:$I,"Yes"))</f>
        <v/>
      </c>
      <c r="H651" s="6" t="str">
        <f>IF(A651="","",SUMIFS(Chicks!$J:$J,Chicks!$F:$F,A651))</f>
        <v/>
      </c>
      <c r="I651" s="6" t="str">
        <f>IF(A651="","",COUNTIFS(Chicks!$F:$F,A651,Chicks!$I:$I,"No"))</f>
        <v/>
      </c>
      <c r="J651" s="6" t="str">
        <f>IF(A651="","",IFERROR(AVERAGEIF(Chicks!$F:$F,A651,Chicks!$M:$M),""))</f>
        <v/>
      </c>
      <c r="K651" s="6" t="str">
        <f>IF(A651="","",SUMIFS(Chicks!$N:$N,Chicks!$F:$F,A651))</f>
        <v/>
      </c>
      <c r="L651" s="6" t="str">
        <f>IF(A651="","",SUMIFS(Chicks!$O:$O,Chicks!$F:$F,A651))</f>
        <v/>
      </c>
      <c r="M651" s="6" t="str">
        <f>IF(A651="","",SUMIFS(Chicks!$P:$P,Chicks!$F:$F,A651))</f>
        <v/>
      </c>
      <c r="N651" s="6" t="str">
        <f t="shared" si="3"/>
        <v/>
      </c>
    </row>
    <row r="652" spans="6:14" ht="14.25" customHeight="1" x14ac:dyDescent="0.3">
      <c r="F652" s="6" t="str">
        <f>IF(A652="","",COUNTIF(Chicks!$F:$F,A652))</f>
        <v/>
      </c>
      <c r="G652" s="6" t="str">
        <f>IF(A652="","",COUNTIFS(Chicks!$F:$F,A652,Chicks!$I:$I,"Yes"))</f>
        <v/>
      </c>
      <c r="H652" s="6" t="str">
        <f>IF(A652="","",SUMIFS(Chicks!$J:$J,Chicks!$F:$F,A652))</f>
        <v/>
      </c>
      <c r="I652" s="6" t="str">
        <f>IF(A652="","",COUNTIFS(Chicks!$F:$F,A652,Chicks!$I:$I,"No"))</f>
        <v/>
      </c>
      <c r="J652" s="6" t="str">
        <f>IF(A652="","",IFERROR(AVERAGEIF(Chicks!$F:$F,A652,Chicks!$M:$M),""))</f>
        <v/>
      </c>
      <c r="K652" s="6" t="str">
        <f>IF(A652="","",SUMIFS(Chicks!$N:$N,Chicks!$F:$F,A652))</f>
        <v/>
      </c>
      <c r="L652" s="6" t="str">
        <f>IF(A652="","",SUMIFS(Chicks!$O:$O,Chicks!$F:$F,A652))</f>
        <v/>
      </c>
      <c r="M652" s="6" t="str">
        <f>IF(A652="","",SUMIFS(Chicks!$P:$P,Chicks!$F:$F,A652))</f>
        <v/>
      </c>
      <c r="N652" s="6" t="str">
        <f t="shared" si="3"/>
        <v/>
      </c>
    </row>
    <row r="653" spans="6:14" ht="14.25" customHeight="1" x14ac:dyDescent="0.3">
      <c r="F653" s="6" t="str">
        <f>IF(A653="","",COUNTIF(Chicks!$F:$F,A653))</f>
        <v/>
      </c>
      <c r="G653" s="6" t="str">
        <f>IF(A653="","",COUNTIFS(Chicks!$F:$F,A653,Chicks!$I:$I,"Yes"))</f>
        <v/>
      </c>
      <c r="H653" s="6" t="str">
        <f>IF(A653="","",SUMIFS(Chicks!$J:$J,Chicks!$F:$F,A653))</f>
        <v/>
      </c>
      <c r="I653" s="6" t="str">
        <f>IF(A653="","",COUNTIFS(Chicks!$F:$F,A653,Chicks!$I:$I,"No"))</f>
        <v/>
      </c>
      <c r="J653" s="6" t="str">
        <f>IF(A653="","",IFERROR(AVERAGEIF(Chicks!$F:$F,A653,Chicks!$M:$M),""))</f>
        <v/>
      </c>
      <c r="K653" s="6" t="str">
        <f>IF(A653="","",SUMIFS(Chicks!$N:$N,Chicks!$F:$F,A653))</f>
        <v/>
      </c>
      <c r="L653" s="6" t="str">
        <f>IF(A653="","",SUMIFS(Chicks!$O:$O,Chicks!$F:$F,A653))</f>
        <v/>
      </c>
      <c r="M653" s="6" t="str">
        <f>IF(A653="","",SUMIFS(Chicks!$P:$P,Chicks!$F:$F,A653))</f>
        <v/>
      </c>
      <c r="N653" s="6" t="str">
        <f t="shared" si="3"/>
        <v/>
      </c>
    </row>
    <row r="654" spans="6:14" ht="14.25" customHeight="1" x14ac:dyDescent="0.3">
      <c r="F654" s="6" t="str">
        <f>IF(A654="","",COUNTIF(Chicks!$F:$F,A654))</f>
        <v/>
      </c>
      <c r="G654" s="6" t="str">
        <f>IF(A654="","",COUNTIFS(Chicks!$F:$F,A654,Chicks!$I:$I,"Yes"))</f>
        <v/>
      </c>
      <c r="H654" s="6" t="str">
        <f>IF(A654="","",SUMIFS(Chicks!$J:$J,Chicks!$F:$F,A654))</f>
        <v/>
      </c>
      <c r="I654" s="6" t="str">
        <f>IF(A654="","",COUNTIFS(Chicks!$F:$F,A654,Chicks!$I:$I,"No"))</f>
        <v/>
      </c>
      <c r="J654" s="6" t="str">
        <f>IF(A654="","",IFERROR(AVERAGEIF(Chicks!$F:$F,A654,Chicks!$M:$M),""))</f>
        <v/>
      </c>
      <c r="K654" s="6" t="str">
        <f>IF(A654="","",SUMIFS(Chicks!$N:$N,Chicks!$F:$F,A654))</f>
        <v/>
      </c>
      <c r="L654" s="6" t="str">
        <f>IF(A654="","",SUMIFS(Chicks!$O:$O,Chicks!$F:$F,A654))</f>
        <v/>
      </c>
      <c r="M654" s="6" t="str">
        <f>IF(A654="","",SUMIFS(Chicks!$P:$P,Chicks!$F:$F,A654))</f>
        <v/>
      </c>
      <c r="N654" s="6" t="str">
        <f t="shared" si="3"/>
        <v/>
      </c>
    </row>
    <row r="655" spans="6:14" ht="14.25" customHeight="1" x14ac:dyDescent="0.3">
      <c r="F655" s="6" t="str">
        <f>IF(A655="","",COUNTIF(Chicks!$F:$F,A655))</f>
        <v/>
      </c>
      <c r="G655" s="6" t="str">
        <f>IF(A655="","",COUNTIFS(Chicks!$F:$F,A655,Chicks!$I:$I,"Yes"))</f>
        <v/>
      </c>
      <c r="H655" s="6" t="str">
        <f>IF(A655="","",SUMIFS(Chicks!$J:$J,Chicks!$F:$F,A655))</f>
        <v/>
      </c>
      <c r="I655" s="6" t="str">
        <f>IF(A655="","",COUNTIFS(Chicks!$F:$F,A655,Chicks!$I:$I,"No"))</f>
        <v/>
      </c>
      <c r="J655" s="6" t="str">
        <f>IF(A655="","",IFERROR(AVERAGEIF(Chicks!$F:$F,A655,Chicks!$M:$M),""))</f>
        <v/>
      </c>
      <c r="K655" s="6" t="str">
        <f>IF(A655="","",SUMIFS(Chicks!$N:$N,Chicks!$F:$F,A655))</f>
        <v/>
      </c>
      <c r="L655" s="6" t="str">
        <f>IF(A655="","",SUMIFS(Chicks!$O:$O,Chicks!$F:$F,A655))</f>
        <v/>
      </c>
      <c r="M655" s="6" t="str">
        <f>IF(A655="","",SUMIFS(Chicks!$P:$P,Chicks!$F:$F,A655))</f>
        <v/>
      </c>
      <c r="N655" s="6" t="str">
        <f t="shared" si="3"/>
        <v/>
      </c>
    </row>
    <row r="656" spans="6:14" ht="14.25" customHeight="1" x14ac:dyDescent="0.3">
      <c r="F656" s="6" t="str">
        <f>IF(A656="","",COUNTIF(Chicks!$F:$F,A656))</f>
        <v/>
      </c>
      <c r="G656" s="6" t="str">
        <f>IF(A656="","",COUNTIFS(Chicks!$F:$F,A656,Chicks!$I:$I,"Yes"))</f>
        <v/>
      </c>
      <c r="H656" s="6" t="str">
        <f>IF(A656="","",SUMIFS(Chicks!$J:$J,Chicks!$F:$F,A656))</f>
        <v/>
      </c>
      <c r="I656" s="6" t="str">
        <f>IF(A656="","",COUNTIFS(Chicks!$F:$F,A656,Chicks!$I:$I,"No"))</f>
        <v/>
      </c>
      <c r="J656" s="6" t="str">
        <f>IF(A656="","",IFERROR(AVERAGEIF(Chicks!$F:$F,A656,Chicks!$M:$M),""))</f>
        <v/>
      </c>
      <c r="K656" s="6" t="str">
        <f>IF(A656="","",SUMIFS(Chicks!$N:$N,Chicks!$F:$F,A656))</f>
        <v/>
      </c>
      <c r="L656" s="6" t="str">
        <f>IF(A656="","",SUMIFS(Chicks!$O:$O,Chicks!$F:$F,A656))</f>
        <v/>
      </c>
      <c r="M656" s="6" t="str">
        <f>IF(A656="","",SUMIFS(Chicks!$P:$P,Chicks!$F:$F,A656))</f>
        <v/>
      </c>
      <c r="N656" s="6" t="str">
        <f t="shared" si="3"/>
        <v/>
      </c>
    </row>
    <row r="657" spans="6:14" ht="14.25" customHeight="1" x14ac:dyDescent="0.3">
      <c r="F657" s="6" t="str">
        <f>IF(A657="","",COUNTIF(Chicks!$F:$F,A657))</f>
        <v/>
      </c>
      <c r="G657" s="6" t="str">
        <f>IF(A657="","",COUNTIFS(Chicks!$F:$F,A657,Chicks!$I:$I,"Yes"))</f>
        <v/>
      </c>
      <c r="H657" s="6" t="str">
        <f>IF(A657="","",SUMIFS(Chicks!$J:$J,Chicks!$F:$F,A657))</f>
        <v/>
      </c>
      <c r="I657" s="6" t="str">
        <f>IF(A657="","",COUNTIFS(Chicks!$F:$F,A657,Chicks!$I:$I,"No"))</f>
        <v/>
      </c>
      <c r="J657" s="6" t="str">
        <f>IF(A657="","",IFERROR(AVERAGEIF(Chicks!$F:$F,A657,Chicks!$M:$M),""))</f>
        <v/>
      </c>
      <c r="K657" s="6" t="str">
        <f>IF(A657="","",SUMIFS(Chicks!$N:$N,Chicks!$F:$F,A657))</f>
        <v/>
      </c>
      <c r="L657" s="6" t="str">
        <f>IF(A657="","",SUMIFS(Chicks!$O:$O,Chicks!$F:$F,A657))</f>
        <v/>
      </c>
      <c r="M657" s="6" t="str">
        <f>IF(A657="","",SUMIFS(Chicks!$P:$P,Chicks!$F:$F,A657))</f>
        <v/>
      </c>
      <c r="N657" s="6" t="str">
        <f t="shared" si="3"/>
        <v/>
      </c>
    </row>
    <row r="658" spans="6:14" ht="14.25" customHeight="1" x14ac:dyDescent="0.3">
      <c r="F658" s="6" t="str">
        <f>IF(A658="","",COUNTIF(Chicks!$F:$F,A658))</f>
        <v/>
      </c>
      <c r="G658" s="6" t="str">
        <f>IF(A658="","",COUNTIFS(Chicks!$F:$F,A658,Chicks!$I:$I,"Yes"))</f>
        <v/>
      </c>
      <c r="H658" s="6" t="str">
        <f>IF(A658="","",SUMIFS(Chicks!$J:$J,Chicks!$F:$F,A658))</f>
        <v/>
      </c>
      <c r="I658" s="6" t="str">
        <f>IF(A658="","",COUNTIFS(Chicks!$F:$F,A658,Chicks!$I:$I,"No"))</f>
        <v/>
      </c>
      <c r="J658" s="6" t="str">
        <f>IF(A658="","",IFERROR(AVERAGEIF(Chicks!$F:$F,A658,Chicks!$M:$M),""))</f>
        <v/>
      </c>
      <c r="K658" s="6" t="str">
        <f>IF(A658="","",SUMIFS(Chicks!$N:$N,Chicks!$F:$F,A658))</f>
        <v/>
      </c>
      <c r="L658" s="6" t="str">
        <f>IF(A658="","",SUMIFS(Chicks!$O:$O,Chicks!$F:$F,A658))</f>
        <v/>
      </c>
      <c r="M658" s="6" t="str">
        <f>IF(A658="","",SUMIFS(Chicks!$P:$P,Chicks!$F:$F,A658))</f>
        <v/>
      </c>
      <c r="N658" s="6" t="str">
        <f t="shared" si="3"/>
        <v/>
      </c>
    </row>
    <row r="659" spans="6:14" ht="14.25" customHeight="1" x14ac:dyDescent="0.3">
      <c r="F659" s="6" t="str">
        <f>IF(A659="","",COUNTIF(Chicks!$F:$F,A659))</f>
        <v/>
      </c>
      <c r="G659" s="6" t="str">
        <f>IF(A659="","",COUNTIFS(Chicks!$F:$F,A659,Chicks!$I:$I,"Yes"))</f>
        <v/>
      </c>
      <c r="H659" s="6" t="str">
        <f>IF(A659="","",SUMIFS(Chicks!$J:$J,Chicks!$F:$F,A659))</f>
        <v/>
      </c>
      <c r="I659" s="6" t="str">
        <f>IF(A659="","",COUNTIFS(Chicks!$F:$F,A659,Chicks!$I:$I,"No"))</f>
        <v/>
      </c>
      <c r="J659" s="6" t="str">
        <f>IF(A659="","",IFERROR(AVERAGEIF(Chicks!$F:$F,A659,Chicks!$M:$M),""))</f>
        <v/>
      </c>
      <c r="K659" s="6" t="str">
        <f>IF(A659="","",SUMIFS(Chicks!$N:$N,Chicks!$F:$F,A659))</f>
        <v/>
      </c>
      <c r="L659" s="6" t="str">
        <f>IF(A659="","",SUMIFS(Chicks!$O:$O,Chicks!$F:$F,A659))</f>
        <v/>
      </c>
      <c r="M659" s="6" t="str">
        <f>IF(A659="","",SUMIFS(Chicks!$P:$P,Chicks!$F:$F,A659))</f>
        <v/>
      </c>
      <c r="N659" s="6" t="str">
        <f t="shared" si="3"/>
        <v/>
      </c>
    </row>
    <row r="660" spans="6:14" ht="14.25" customHeight="1" x14ac:dyDescent="0.3">
      <c r="F660" s="6" t="str">
        <f>IF(A660="","",COUNTIF(Chicks!$F:$F,A660))</f>
        <v/>
      </c>
      <c r="G660" s="6" t="str">
        <f>IF(A660="","",COUNTIFS(Chicks!$F:$F,A660,Chicks!$I:$I,"Yes"))</f>
        <v/>
      </c>
      <c r="H660" s="6" t="str">
        <f>IF(A660="","",SUMIFS(Chicks!$J:$J,Chicks!$F:$F,A660))</f>
        <v/>
      </c>
      <c r="I660" s="6" t="str">
        <f>IF(A660="","",COUNTIFS(Chicks!$F:$F,A660,Chicks!$I:$I,"No"))</f>
        <v/>
      </c>
      <c r="J660" s="6" t="str">
        <f>IF(A660="","",IFERROR(AVERAGEIF(Chicks!$F:$F,A660,Chicks!$M:$M),""))</f>
        <v/>
      </c>
      <c r="K660" s="6" t="str">
        <f>IF(A660="","",SUMIFS(Chicks!$N:$N,Chicks!$F:$F,A660))</f>
        <v/>
      </c>
      <c r="L660" s="6" t="str">
        <f>IF(A660="","",SUMIFS(Chicks!$O:$O,Chicks!$F:$F,A660))</f>
        <v/>
      </c>
      <c r="M660" s="6" t="str">
        <f>IF(A660="","",SUMIFS(Chicks!$P:$P,Chicks!$F:$F,A660))</f>
        <v/>
      </c>
      <c r="N660" s="6" t="str">
        <f t="shared" si="3"/>
        <v/>
      </c>
    </row>
    <row r="661" spans="6:14" ht="14.25" customHeight="1" x14ac:dyDescent="0.3">
      <c r="F661" s="6" t="str">
        <f>IF(A661="","",COUNTIF(Chicks!$F:$F,A661))</f>
        <v/>
      </c>
      <c r="G661" s="6" t="str">
        <f>IF(A661="","",COUNTIFS(Chicks!$F:$F,A661,Chicks!$I:$I,"Yes"))</f>
        <v/>
      </c>
      <c r="H661" s="6" t="str">
        <f>IF(A661="","",SUMIFS(Chicks!$J:$J,Chicks!$F:$F,A661))</f>
        <v/>
      </c>
      <c r="I661" s="6" t="str">
        <f>IF(A661="","",COUNTIFS(Chicks!$F:$F,A661,Chicks!$I:$I,"No"))</f>
        <v/>
      </c>
      <c r="J661" s="6" t="str">
        <f>IF(A661="","",IFERROR(AVERAGEIF(Chicks!$F:$F,A661,Chicks!$M:$M),""))</f>
        <v/>
      </c>
      <c r="K661" s="6" t="str">
        <f>IF(A661="","",SUMIFS(Chicks!$N:$N,Chicks!$F:$F,A661))</f>
        <v/>
      </c>
      <c r="L661" s="6" t="str">
        <f>IF(A661="","",SUMIFS(Chicks!$O:$O,Chicks!$F:$F,A661))</f>
        <v/>
      </c>
      <c r="M661" s="6" t="str">
        <f>IF(A661="","",SUMIFS(Chicks!$P:$P,Chicks!$F:$F,A661))</f>
        <v/>
      </c>
      <c r="N661" s="6" t="str">
        <f t="shared" si="3"/>
        <v/>
      </c>
    </row>
    <row r="662" spans="6:14" ht="14.25" customHeight="1" x14ac:dyDescent="0.3">
      <c r="F662" s="6" t="str">
        <f>IF(A662="","",COUNTIF(Chicks!$F:$F,A662))</f>
        <v/>
      </c>
      <c r="G662" s="6" t="str">
        <f>IF(A662="","",COUNTIFS(Chicks!$F:$F,A662,Chicks!$I:$I,"Yes"))</f>
        <v/>
      </c>
      <c r="H662" s="6" t="str">
        <f>IF(A662="","",SUMIFS(Chicks!$J:$J,Chicks!$F:$F,A662))</f>
        <v/>
      </c>
      <c r="I662" s="6" t="str">
        <f>IF(A662="","",COUNTIFS(Chicks!$F:$F,A662,Chicks!$I:$I,"No"))</f>
        <v/>
      </c>
      <c r="J662" s="6" t="str">
        <f>IF(A662="","",IFERROR(AVERAGEIF(Chicks!$F:$F,A662,Chicks!$M:$M),""))</f>
        <v/>
      </c>
      <c r="K662" s="6" t="str">
        <f>IF(A662="","",SUMIFS(Chicks!$N:$N,Chicks!$F:$F,A662))</f>
        <v/>
      </c>
      <c r="L662" s="6" t="str">
        <f>IF(A662="","",SUMIFS(Chicks!$O:$O,Chicks!$F:$F,A662))</f>
        <v/>
      </c>
      <c r="M662" s="6" t="str">
        <f>IF(A662="","",SUMIFS(Chicks!$P:$P,Chicks!$F:$F,A662))</f>
        <v/>
      </c>
      <c r="N662" s="6" t="str">
        <f t="shared" si="3"/>
        <v/>
      </c>
    </row>
    <row r="663" spans="6:14" ht="14.25" customHeight="1" x14ac:dyDescent="0.3">
      <c r="F663" s="6" t="str">
        <f>IF(A663="","",COUNTIF(Chicks!$F:$F,A663))</f>
        <v/>
      </c>
      <c r="G663" s="6" t="str">
        <f>IF(A663="","",COUNTIFS(Chicks!$F:$F,A663,Chicks!$I:$I,"Yes"))</f>
        <v/>
      </c>
      <c r="H663" s="6" t="str">
        <f>IF(A663="","",SUMIFS(Chicks!$J:$J,Chicks!$F:$F,A663))</f>
        <v/>
      </c>
      <c r="I663" s="6" t="str">
        <f>IF(A663="","",COUNTIFS(Chicks!$F:$F,A663,Chicks!$I:$I,"No"))</f>
        <v/>
      </c>
      <c r="J663" s="6" t="str">
        <f>IF(A663="","",IFERROR(AVERAGEIF(Chicks!$F:$F,A663,Chicks!$M:$M),""))</f>
        <v/>
      </c>
      <c r="K663" s="6" t="str">
        <f>IF(A663="","",SUMIFS(Chicks!$N:$N,Chicks!$F:$F,A663))</f>
        <v/>
      </c>
      <c r="L663" s="6" t="str">
        <f>IF(A663="","",SUMIFS(Chicks!$O:$O,Chicks!$F:$F,A663))</f>
        <v/>
      </c>
      <c r="M663" s="6" t="str">
        <f>IF(A663="","",SUMIFS(Chicks!$P:$P,Chicks!$F:$F,A663))</f>
        <v/>
      </c>
      <c r="N663" s="6" t="str">
        <f t="shared" si="3"/>
        <v/>
      </c>
    </row>
    <row r="664" spans="6:14" ht="14.25" customHeight="1" x14ac:dyDescent="0.3">
      <c r="F664" s="6" t="str">
        <f>IF(A664="","",COUNTIF(Chicks!$F:$F,A664))</f>
        <v/>
      </c>
      <c r="G664" s="6" t="str">
        <f>IF(A664="","",COUNTIFS(Chicks!$F:$F,A664,Chicks!$I:$I,"Yes"))</f>
        <v/>
      </c>
      <c r="H664" s="6" t="str">
        <f>IF(A664="","",SUMIFS(Chicks!$J:$J,Chicks!$F:$F,A664))</f>
        <v/>
      </c>
      <c r="I664" s="6" t="str">
        <f>IF(A664="","",COUNTIFS(Chicks!$F:$F,A664,Chicks!$I:$I,"No"))</f>
        <v/>
      </c>
      <c r="J664" s="6" t="str">
        <f>IF(A664="","",IFERROR(AVERAGEIF(Chicks!$F:$F,A664,Chicks!$M:$M),""))</f>
        <v/>
      </c>
      <c r="K664" s="6" t="str">
        <f>IF(A664="","",SUMIFS(Chicks!$N:$N,Chicks!$F:$F,A664))</f>
        <v/>
      </c>
      <c r="L664" s="6" t="str">
        <f>IF(A664="","",SUMIFS(Chicks!$O:$O,Chicks!$F:$F,A664))</f>
        <v/>
      </c>
      <c r="M664" s="6" t="str">
        <f>IF(A664="","",SUMIFS(Chicks!$P:$P,Chicks!$F:$F,A664))</f>
        <v/>
      </c>
      <c r="N664" s="6" t="str">
        <f t="shared" si="3"/>
        <v/>
      </c>
    </row>
    <row r="665" spans="6:14" ht="14.25" customHeight="1" x14ac:dyDescent="0.3">
      <c r="F665" s="6" t="str">
        <f>IF(A665="","",COUNTIF(Chicks!$F:$F,A665))</f>
        <v/>
      </c>
      <c r="G665" s="6" t="str">
        <f>IF(A665="","",COUNTIFS(Chicks!$F:$F,A665,Chicks!$I:$I,"Yes"))</f>
        <v/>
      </c>
      <c r="H665" s="6" t="str">
        <f>IF(A665="","",SUMIFS(Chicks!$J:$J,Chicks!$F:$F,A665))</f>
        <v/>
      </c>
      <c r="I665" s="6" t="str">
        <f>IF(A665="","",COUNTIFS(Chicks!$F:$F,A665,Chicks!$I:$I,"No"))</f>
        <v/>
      </c>
      <c r="J665" s="6" t="str">
        <f>IF(A665="","",IFERROR(AVERAGEIF(Chicks!$F:$F,A665,Chicks!$M:$M),""))</f>
        <v/>
      </c>
      <c r="K665" s="6" t="str">
        <f>IF(A665="","",SUMIFS(Chicks!$N:$N,Chicks!$F:$F,A665))</f>
        <v/>
      </c>
      <c r="L665" s="6" t="str">
        <f>IF(A665="","",SUMIFS(Chicks!$O:$O,Chicks!$F:$F,A665))</f>
        <v/>
      </c>
      <c r="M665" s="6" t="str">
        <f>IF(A665="","",SUMIFS(Chicks!$P:$P,Chicks!$F:$F,A665))</f>
        <v/>
      </c>
      <c r="N665" s="6" t="str">
        <f t="shared" si="3"/>
        <v/>
      </c>
    </row>
    <row r="666" spans="6:14" ht="14.25" customHeight="1" x14ac:dyDescent="0.3">
      <c r="F666" s="6" t="str">
        <f>IF(A666="","",COUNTIF(Chicks!$F:$F,A666))</f>
        <v/>
      </c>
      <c r="G666" s="6" t="str">
        <f>IF(A666="","",COUNTIFS(Chicks!$F:$F,A666,Chicks!$I:$I,"Yes"))</f>
        <v/>
      </c>
      <c r="H666" s="6" t="str">
        <f>IF(A666="","",SUMIFS(Chicks!$J:$J,Chicks!$F:$F,A666))</f>
        <v/>
      </c>
      <c r="I666" s="6" t="str">
        <f>IF(A666="","",COUNTIFS(Chicks!$F:$F,A666,Chicks!$I:$I,"No"))</f>
        <v/>
      </c>
      <c r="J666" s="6" t="str">
        <f>IF(A666="","",IFERROR(AVERAGEIF(Chicks!$F:$F,A666,Chicks!$M:$M),""))</f>
        <v/>
      </c>
      <c r="K666" s="6" t="str">
        <f>IF(A666="","",SUMIFS(Chicks!$N:$N,Chicks!$F:$F,A666))</f>
        <v/>
      </c>
      <c r="L666" s="6" t="str">
        <f>IF(A666="","",SUMIFS(Chicks!$O:$O,Chicks!$F:$F,A666))</f>
        <v/>
      </c>
      <c r="M666" s="6" t="str">
        <f>IF(A666="","",SUMIFS(Chicks!$P:$P,Chicks!$F:$F,A666))</f>
        <v/>
      </c>
      <c r="N666" s="6" t="str">
        <f t="shared" si="3"/>
        <v/>
      </c>
    </row>
    <row r="667" spans="6:14" ht="14.25" customHeight="1" x14ac:dyDescent="0.3">
      <c r="F667" s="6" t="str">
        <f>IF(A667="","",COUNTIF(Chicks!$F:$F,A667))</f>
        <v/>
      </c>
      <c r="G667" s="6" t="str">
        <f>IF(A667="","",COUNTIFS(Chicks!$F:$F,A667,Chicks!$I:$I,"Yes"))</f>
        <v/>
      </c>
      <c r="H667" s="6" t="str">
        <f>IF(A667="","",SUMIFS(Chicks!$J:$J,Chicks!$F:$F,A667))</f>
        <v/>
      </c>
      <c r="I667" s="6" t="str">
        <f>IF(A667="","",COUNTIFS(Chicks!$F:$F,A667,Chicks!$I:$I,"No"))</f>
        <v/>
      </c>
      <c r="J667" s="6" t="str">
        <f>IF(A667="","",IFERROR(AVERAGEIF(Chicks!$F:$F,A667,Chicks!$M:$M),""))</f>
        <v/>
      </c>
      <c r="K667" s="6" t="str">
        <f>IF(A667="","",SUMIFS(Chicks!$N:$N,Chicks!$F:$F,A667))</f>
        <v/>
      </c>
      <c r="L667" s="6" t="str">
        <f>IF(A667="","",SUMIFS(Chicks!$O:$O,Chicks!$F:$F,A667))</f>
        <v/>
      </c>
      <c r="M667" s="6" t="str">
        <f>IF(A667="","",SUMIFS(Chicks!$P:$P,Chicks!$F:$F,A667))</f>
        <v/>
      </c>
      <c r="N667" s="6" t="str">
        <f t="shared" si="3"/>
        <v/>
      </c>
    </row>
    <row r="668" spans="6:14" ht="14.25" customHeight="1" x14ac:dyDescent="0.3">
      <c r="F668" s="6" t="str">
        <f>IF(A668="","",COUNTIF(Chicks!$F:$F,A668))</f>
        <v/>
      </c>
      <c r="G668" s="6" t="str">
        <f>IF(A668="","",COUNTIFS(Chicks!$F:$F,A668,Chicks!$I:$I,"Yes"))</f>
        <v/>
      </c>
      <c r="H668" s="6" t="str">
        <f>IF(A668="","",SUMIFS(Chicks!$J:$J,Chicks!$F:$F,A668))</f>
        <v/>
      </c>
      <c r="I668" s="6" t="str">
        <f>IF(A668="","",COUNTIFS(Chicks!$F:$F,A668,Chicks!$I:$I,"No"))</f>
        <v/>
      </c>
      <c r="J668" s="6" t="str">
        <f>IF(A668="","",IFERROR(AVERAGEIF(Chicks!$F:$F,A668,Chicks!$M:$M),""))</f>
        <v/>
      </c>
      <c r="K668" s="6" t="str">
        <f>IF(A668="","",SUMIFS(Chicks!$N:$N,Chicks!$F:$F,A668))</f>
        <v/>
      </c>
      <c r="L668" s="6" t="str">
        <f>IF(A668="","",SUMIFS(Chicks!$O:$O,Chicks!$F:$F,A668))</f>
        <v/>
      </c>
      <c r="M668" s="6" t="str">
        <f>IF(A668="","",SUMIFS(Chicks!$P:$P,Chicks!$F:$F,A668))</f>
        <v/>
      </c>
      <c r="N668" s="6" t="str">
        <f t="shared" si="3"/>
        <v/>
      </c>
    </row>
    <row r="669" spans="6:14" ht="14.25" customHeight="1" x14ac:dyDescent="0.3">
      <c r="F669" s="6" t="str">
        <f>IF(A669="","",COUNTIF(Chicks!$F:$F,A669))</f>
        <v/>
      </c>
      <c r="G669" s="6" t="str">
        <f>IF(A669="","",COUNTIFS(Chicks!$F:$F,A669,Chicks!$I:$I,"Yes"))</f>
        <v/>
      </c>
      <c r="H669" s="6" t="str">
        <f>IF(A669="","",SUMIFS(Chicks!$J:$J,Chicks!$F:$F,A669))</f>
        <v/>
      </c>
      <c r="I669" s="6" t="str">
        <f>IF(A669="","",COUNTIFS(Chicks!$F:$F,A669,Chicks!$I:$I,"No"))</f>
        <v/>
      </c>
      <c r="J669" s="6" t="str">
        <f>IF(A669="","",IFERROR(AVERAGEIF(Chicks!$F:$F,A669,Chicks!$M:$M),""))</f>
        <v/>
      </c>
      <c r="K669" s="6" t="str">
        <f>IF(A669="","",SUMIFS(Chicks!$N:$N,Chicks!$F:$F,A669))</f>
        <v/>
      </c>
      <c r="L669" s="6" t="str">
        <f>IF(A669="","",SUMIFS(Chicks!$O:$O,Chicks!$F:$F,A669))</f>
        <v/>
      </c>
      <c r="M669" s="6" t="str">
        <f>IF(A669="","",SUMIFS(Chicks!$P:$P,Chicks!$F:$F,A669))</f>
        <v/>
      </c>
      <c r="N669" s="6" t="str">
        <f t="shared" si="3"/>
        <v/>
      </c>
    </row>
    <row r="670" spans="6:14" ht="14.25" customHeight="1" x14ac:dyDescent="0.3">
      <c r="F670" s="6" t="str">
        <f>IF(A670="","",COUNTIF(Chicks!$F:$F,A670))</f>
        <v/>
      </c>
      <c r="G670" s="6" t="str">
        <f>IF(A670="","",COUNTIFS(Chicks!$F:$F,A670,Chicks!$I:$I,"Yes"))</f>
        <v/>
      </c>
      <c r="H670" s="6" t="str">
        <f>IF(A670="","",SUMIFS(Chicks!$J:$J,Chicks!$F:$F,A670))</f>
        <v/>
      </c>
      <c r="I670" s="6" t="str">
        <f>IF(A670="","",COUNTIFS(Chicks!$F:$F,A670,Chicks!$I:$I,"No"))</f>
        <v/>
      </c>
      <c r="J670" s="6" t="str">
        <f>IF(A670="","",IFERROR(AVERAGEIF(Chicks!$F:$F,A670,Chicks!$M:$M),""))</f>
        <v/>
      </c>
      <c r="K670" s="6" t="str">
        <f>IF(A670="","",SUMIFS(Chicks!$N:$N,Chicks!$F:$F,A670))</f>
        <v/>
      </c>
      <c r="L670" s="6" t="str">
        <f>IF(A670="","",SUMIFS(Chicks!$O:$O,Chicks!$F:$F,A670))</f>
        <v/>
      </c>
      <c r="M670" s="6" t="str">
        <f>IF(A670="","",SUMIFS(Chicks!$P:$P,Chicks!$F:$F,A670))</f>
        <v/>
      </c>
      <c r="N670" s="6" t="str">
        <f t="shared" si="3"/>
        <v/>
      </c>
    </row>
    <row r="671" spans="6:14" ht="14.25" customHeight="1" x14ac:dyDescent="0.3">
      <c r="F671" s="6" t="str">
        <f>IF(A671="","",COUNTIF(Chicks!$F:$F,A671))</f>
        <v/>
      </c>
      <c r="G671" s="6" t="str">
        <f>IF(A671="","",COUNTIFS(Chicks!$F:$F,A671,Chicks!$I:$I,"Yes"))</f>
        <v/>
      </c>
      <c r="H671" s="6" t="str">
        <f>IF(A671="","",SUMIFS(Chicks!$J:$J,Chicks!$F:$F,A671))</f>
        <v/>
      </c>
      <c r="I671" s="6" t="str">
        <f>IF(A671="","",COUNTIFS(Chicks!$F:$F,A671,Chicks!$I:$I,"No"))</f>
        <v/>
      </c>
      <c r="J671" s="6" t="str">
        <f>IF(A671="","",IFERROR(AVERAGEIF(Chicks!$F:$F,A671,Chicks!$M:$M),""))</f>
        <v/>
      </c>
      <c r="K671" s="6" t="str">
        <f>IF(A671="","",SUMIFS(Chicks!$N:$N,Chicks!$F:$F,A671))</f>
        <v/>
      </c>
      <c r="L671" s="6" t="str">
        <f>IF(A671="","",SUMIFS(Chicks!$O:$O,Chicks!$F:$F,A671))</f>
        <v/>
      </c>
      <c r="M671" s="6" t="str">
        <f>IF(A671="","",SUMIFS(Chicks!$P:$P,Chicks!$F:$F,A671))</f>
        <v/>
      </c>
      <c r="N671" s="6" t="str">
        <f t="shared" si="3"/>
        <v/>
      </c>
    </row>
    <row r="672" spans="6:14" ht="14.25" customHeight="1" x14ac:dyDescent="0.3">
      <c r="F672" s="6" t="str">
        <f>IF(A672="","",COUNTIF(Chicks!$F:$F,A672))</f>
        <v/>
      </c>
      <c r="G672" s="6" t="str">
        <f>IF(A672="","",COUNTIFS(Chicks!$F:$F,A672,Chicks!$I:$I,"Yes"))</f>
        <v/>
      </c>
      <c r="H672" s="6" t="str">
        <f>IF(A672="","",SUMIFS(Chicks!$J:$J,Chicks!$F:$F,A672))</f>
        <v/>
      </c>
      <c r="I672" s="6" t="str">
        <f>IF(A672="","",COUNTIFS(Chicks!$F:$F,A672,Chicks!$I:$I,"No"))</f>
        <v/>
      </c>
      <c r="J672" s="6" t="str">
        <f>IF(A672="","",IFERROR(AVERAGEIF(Chicks!$F:$F,A672,Chicks!$M:$M),""))</f>
        <v/>
      </c>
      <c r="K672" s="6" t="str">
        <f>IF(A672="","",SUMIFS(Chicks!$N:$N,Chicks!$F:$F,A672))</f>
        <v/>
      </c>
      <c r="L672" s="6" t="str">
        <f>IF(A672="","",SUMIFS(Chicks!$O:$O,Chicks!$F:$F,A672))</f>
        <v/>
      </c>
      <c r="M672" s="6" t="str">
        <f>IF(A672="","",SUMIFS(Chicks!$P:$P,Chicks!$F:$F,A672))</f>
        <v/>
      </c>
      <c r="N672" s="6" t="str">
        <f t="shared" si="3"/>
        <v/>
      </c>
    </row>
    <row r="673" spans="6:14" ht="14.25" customHeight="1" x14ac:dyDescent="0.3">
      <c r="F673" s="6" t="str">
        <f>IF(A673="","",COUNTIF(Chicks!$F:$F,A673))</f>
        <v/>
      </c>
      <c r="G673" s="6" t="str">
        <f>IF(A673="","",COUNTIFS(Chicks!$F:$F,A673,Chicks!$I:$I,"Yes"))</f>
        <v/>
      </c>
      <c r="H673" s="6" t="str">
        <f>IF(A673="","",SUMIFS(Chicks!$J:$J,Chicks!$F:$F,A673))</f>
        <v/>
      </c>
      <c r="I673" s="6" t="str">
        <f>IF(A673="","",COUNTIFS(Chicks!$F:$F,A673,Chicks!$I:$I,"No"))</f>
        <v/>
      </c>
      <c r="J673" s="6" t="str">
        <f>IF(A673="","",IFERROR(AVERAGEIF(Chicks!$F:$F,A673,Chicks!$M:$M),""))</f>
        <v/>
      </c>
      <c r="K673" s="6" t="str">
        <f>IF(A673="","",SUMIFS(Chicks!$N:$N,Chicks!$F:$F,A673))</f>
        <v/>
      </c>
      <c r="L673" s="6" t="str">
        <f>IF(A673="","",SUMIFS(Chicks!$O:$O,Chicks!$F:$F,A673))</f>
        <v/>
      </c>
      <c r="M673" s="6" t="str">
        <f>IF(A673="","",SUMIFS(Chicks!$P:$P,Chicks!$F:$F,A673))</f>
        <v/>
      </c>
      <c r="N673" s="6" t="str">
        <f t="shared" si="3"/>
        <v/>
      </c>
    </row>
    <row r="674" spans="6:14" ht="14.25" customHeight="1" x14ac:dyDescent="0.3">
      <c r="F674" s="6" t="str">
        <f>IF(A674="","",COUNTIF(Chicks!$F:$F,A674))</f>
        <v/>
      </c>
      <c r="G674" s="6" t="str">
        <f>IF(A674="","",COUNTIFS(Chicks!$F:$F,A674,Chicks!$I:$I,"Yes"))</f>
        <v/>
      </c>
      <c r="H674" s="6" t="str">
        <f>IF(A674="","",SUMIFS(Chicks!$J:$J,Chicks!$F:$F,A674))</f>
        <v/>
      </c>
      <c r="I674" s="6" t="str">
        <f>IF(A674="","",COUNTIFS(Chicks!$F:$F,A674,Chicks!$I:$I,"No"))</f>
        <v/>
      </c>
      <c r="J674" s="6" t="str">
        <f>IF(A674="","",IFERROR(AVERAGEIF(Chicks!$F:$F,A674,Chicks!$M:$M),""))</f>
        <v/>
      </c>
      <c r="K674" s="6" t="str">
        <f>IF(A674="","",SUMIFS(Chicks!$N:$N,Chicks!$F:$F,A674))</f>
        <v/>
      </c>
      <c r="L674" s="6" t="str">
        <f>IF(A674="","",SUMIFS(Chicks!$O:$O,Chicks!$F:$F,A674))</f>
        <v/>
      </c>
      <c r="M674" s="6" t="str">
        <f>IF(A674="","",SUMIFS(Chicks!$P:$P,Chicks!$F:$F,A674))</f>
        <v/>
      </c>
      <c r="N674" s="6" t="str">
        <f t="shared" si="3"/>
        <v/>
      </c>
    </row>
    <row r="675" spans="6:14" ht="14.25" customHeight="1" x14ac:dyDescent="0.3">
      <c r="F675" s="6" t="str">
        <f>IF(A675="","",COUNTIF(Chicks!$F:$F,A675))</f>
        <v/>
      </c>
      <c r="G675" s="6" t="str">
        <f>IF(A675="","",COUNTIFS(Chicks!$F:$F,A675,Chicks!$I:$I,"Yes"))</f>
        <v/>
      </c>
      <c r="H675" s="6" t="str">
        <f>IF(A675="","",SUMIFS(Chicks!$J:$J,Chicks!$F:$F,A675))</f>
        <v/>
      </c>
      <c r="I675" s="6" t="str">
        <f>IF(A675="","",COUNTIFS(Chicks!$F:$F,A675,Chicks!$I:$I,"No"))</f>
        <v/>
      </c>
      <c r="J675" s="6" t="str">
        <f>IF(A675="","",IFERROR(AVERAGEIF(Chicks!$F:$F,A675,Chicks!$M:$M),""))</f>
        <v/>
      </c>
      <c r="K675" s="6" t="str">
        <f>IF(A675="","",SUMIFS(Chicks!$N:$N,Chicks!$F:$F,A675))</f>
        <v/>
      </c>
      <c r="L675" s="6" t="str">
        <f>IF(A675="","",SUMIFS(Chicks!$O:$O,Chicks!$F:$F,A675))</f>
        <v/>
      </c>
      <c r="M675" s="6" t="str">
        <f>IF(A675="","",SUMIFS(Chicks!$P:$P,Chicks!$F:$F,A675))</f>
        <v/>
      </c>
      <c r="N675" s="6" t="str">
        <f t="shared" si="3"/>
        <v/>
      </c>
    </row>
    <row r="676" spans="6:14" ht="14.25" customHeight="1" x14ac:dyDescent="0.3">
      <c r="F676" s="6" t="str">
        <f>IF(A676="","",COUNTIF(Chicks!$F:$F,A676))</f>
        <v/>
      </c>
      <c r="G676" s="6" t="str">
        <f>IF(A676="","",COUNTIFS(Chicks!$F:$F,A676,Chicks!$I:$I,"Yes"))</f>
        <v/>
      </c>
      <c r="H676" s="6" t="str">
        <f>IF(A676="","",SUMIFS(Chicks!$J:$J,Chicks!$F:$F,A676))</f>
        <v/>
      </c>
      <c r="I676" s="6" t="str">
        <f>IF(A676="","",COUNTIFS(Chicks!$F:$F,A676,Chicks!$I:$I,"No"))</f>
        <v/>
      </c>
      <c r="J676" s="6" t="str">
        <f>IF(A676="","",IFERROR(AVERAGEIF(Chicks!$F:$F,A676,Chicks!$M:$M),""))</f>
        <v/>
      </c>
      <c r="K676" s="6" t="str">
        <f>IF(A676="","",SUMIFS(Chicks!$N:$N,Chicks!$F:$F,A676))</f>
        <v/>
      </c>
      <c r="L676" s="6" t="str">
        <f>IF(A676="","",SUMIFS(Chicks!$O:$O,Chicks!$F:$F,A676))</f>
        <v/>
      </c>
      <c r="M676" s="6" t="str">
        <f>IF(A676="","",SUMIFS(Chicks!$P:$P,Chicks!$F:$F,A676))</f>
        <v/>
      </c>
      <c r="N676" s="6" t="str">
        <f t="shared" si="3"/>
        <v/>
      </c>
    </row>
    <row r="677" spans="6:14" ht="14.25" customHeight="1" x14ac:dyDescent="0.3">
      <c r="F677" s="6" t="str">
        <f>IF(A677="","",COUNTIF(Chicks!$F:$F,A677))</f>
        <v/>
      </c>
      <c r="G677" s="6" t="str">
        <f>IF(A677="","",COUNTIFS(Chicks!$F:$F,A677,Chicks!$I:$I,"Yes"))</f>
        <v/>
      </c>
      <c r="H677" s="6" t="str">
        <f>IF(A677="","",SUMIFS(Chicks!$J:$J,Chicks!$F:$F,A677))</f>
        <v/>
      </c>
      <c r="I677" s="6" t="str">
        <f>IF(A677="","",COUNTIFS(Chicks!$F:$F,A677,Chicks!$I:$I,"No"))</f>
        <v/>
      </c>
      <c r="J677" s="6" t="str">
        <f>IF(A677="","",IFERROR(AVERAGEIF(Chicks!$F:$F,A677,Chicks!$M:$M),""))</f>
        <v/>
      </c>
      <c r="K677" s="6" t="str">
        <f>IF(A677="","",SUMIFS(Chicks!$N:$N,Chicks!$F:$F,A677))</f>
        <v/>
      </c>
      <c r="L677" s="6" t="str">
        <f>IF(A677="","",SUMIFS(Chicks!$O:$O,Chicks!$F:$F,A677))</f>
        <v/>
      </c>
      <c r="M677" s="6" t="str">
        <f>IF(A677="","",SUMIFS(Chicks!$P:$P,Chicks!$F:$F,A677))</f>
        <v/>
      </c>
      <c r="N677" s="6" t="str">
        <f t="shared" si="3"/>
        <v/>
      </c>
    </row>
    <row r="678" spans="6:14" ht="14.25" customHeight="1" x14ac:dyDescent="0.3">
      <c r="F678" s="6" t="str">
        <f>IF(A678="","",COUNTIF(Chicks!$F:$F,A678))</f>
        <v/>
      </c>
      <c r="G678" s="6" t="str">
        <f>IF(A678="","",COUNTIFS(Chicks!$F:$F,A678,Chicks!$I:$I,"Yes"))</f>
        <v/>
      </c>
      <c r="H678" s="6" t="str">
        <f>IF(A678="","",SUMIFS(Chicks!$J:$J,Chicks!$F:$F,A678))</f>
        <v/>
      </c>
      <c r="I678" s="6" t="str">
        <f>IF(A678="","",COUNTIFS(Chicks!$F:$F,A678,Chicks!$I:$I,"No"))</f>
        <v/>
      </c>
      <c r="J678" s="6" t="str">
        <f>IF(A678="","",IFERROR(AVERAGEIF(Chicks!$F:$F,A678,Chicks!$M:$M),""))</f>
        <v/>
      </c>
      <c r="K678" s="6" t="str">
        <f>IF(A678="","",SUMIFS(Chicks!$N:$N,Chicks!$F:$F,A678))</f>
        <v/>
      </c>
      <c r="L678" s="6" t="str">
        <f>IF(A678="","",SUMIFS(Chicks!$O:$O,Chicks!$F:$F,A678))</f>
        <v/>
      </c>
      <c r="M678" s="6" t="str">
        <f>IF(A678="","",SUMIFS(Chicks!$P:$P,Chicks!$F:$F,A678))</f>
        <v/>
      </c>
      <c r="N678" s="6" t="str">
        <f t="shared" si="3"/>
        <v/>
      </c>
    </row>
    <row r="679" spans="6:14" ht="14.25" customHeight="1" x14ac:dyDescent="0.3">
      <c r="F679" s="6" t="str">
        <f>IF(A679="","",COUNTIF(Chicks!$F:$F,A679))</f>
        <v/>
      </c>
      <c r="G679" s="6" t="str">
        <f>IF(A679="","",COUNTIFS(Chicks!$F:$F,A679,Chicks!$I:$I,"Yes"))</f>
        <v/>
      </c>
      <c r="H679" s="6" t="str">
        <f>IF(A679="","",SUMIFS(Chicks!$J:$J,Chicks!$F:$F,A679))</f>
        <v/>
      </c>
      <c r="I679" s="6" t="str">
        <f>IF(A679="","",COUNTIFS(Chicks!$F:$F,A679,Chicks!$I:$I,"No"))</f>
        <v/>
      </c>
      <c r="J679" s="6" t="str">
        <f>IF(A679="","",IFERROR(AVERAGEIF(Chicks!$F:$F,A679,Chicks!$M:$M),""))</f>
        <v/>
      </c>
      <c r="K679" s="6" t="str">
        <f>IF(A679="","",SUMIFS(Chicks!$N:$N,Chicks!$F:$F,A679))</f>
        <v/>
      </c>
      <c r="L679" s="6" t="str">
        <f>IF(A679="","",SUMIFS(Chicks!$O:$O,Chicks!$F:$F,A679))</f>
        <v/>
      </c>
      <c r="M679" s="6" t="str">
        <f>IF(A679="","",SUMIFS(Chicks!$P:$P,Chicks!$F:$F,A679))</f>
        <v/>
      </c>
      <c r="N679" s="6" t="str">
        <f t="shared" si="3"/>
        <v/>
      </c>
    </row>
    <row r="680" spans="6:14" ht="14.25" customHeight="1" x14ac:dyDescent="0.3">
      <c r="F680" s="6" t="str">
        <f>IF(A680="","",COUNTIF(Chicks!$F:$F,A680))</f>
        <v/>
      </c>
      <c r="G680" s="6" t="str">
        <f>IF(A680="","",COUNTIFS(Chicks!$F:$F,A680,Chicks!$I:$I,"Yes"))</f>
        <v/>
      </c>
      <c r="H680" s="6" t="str">
        <f>IF(A680="","",SUMIFS(Chicks!$J:$J,Chicks!$F:$F,A680))</f>
        <v/>
      </c>
      <c r="I680" s="6" t="str">
        <f>IF(A680="","",COUNTIFS(Chicks!$F:$F,A680,Chicks!$I:$I,"No"))</f>
        <v/>
      </c>
      <c r="J680" s="6" t="str">
        <f>IF(A680="","",IFERROR(AVERAGEIF(Chicks!$F:$F,A680,Chicks!$M:$M),""))</f>
        <v/>
      </c>
      <c r="K680" s="6" t="str">
        <f>IF(A680="","",SUMIFS(Chicks!$N:$N,Chicks!$F:$F,A680))</f>
        <v/>
      </c>
      <c r="L680" s="6" t="str">
        <f>IF(A680="","",SUMIFS(Chicks!$O:$O,Chicks!$F:$F,A680))</f>
        <v/>
      </c>
      <c r="M680" s="6" t="str">
        <f>IF(A680="","",SUMIFS(Chicks!$P:$P,Chicks!$F:$F,A680))</f>
        <v/>
      </c>
      <c r="N680" s="6" t="str">
        <f t="shared" si="3"/>
        <v/>
      </c>
    </row>
    <row r="681" spans="6:14" ht="14.25" customHeight="1" x14ac:dyDescent="0.3">
      <c r="F681" s="6" t="str">
        <f>IF(A681="","",COUNTIF(Chicks!$F:$F,A681))</f>
        <v/>
      </c>
      <c r="G681" s="6" t="str">
        <f>IF(A681="","",COUNTIFS(Chicks!$F:$F,A681,Chicks!$I:$I,"Yes"))</f>
        <v/>
      </c>
      <c r="H681" s="6" t="str">
        <f>IF(A681="","",SUMIFS(Chicks!$J:$J,Chicks!$F:$F,A681))</f>
        <v/>
      </c>
      <c r="I681" s="6" t="str">
        <f>IF(A681="","",COUNTIFS(Chicks!$F:$F,A681,Chicks!$I:$I,"No"))</f>
        <v/>
      </c>
      <c r="J681" s="6" t="str">
        <f>IF(A681="","",IFERROR(AVERAGEIF(Chicks!$F:$F,A681,Chicks!$M:$M),""))</f>
        <v/>
      </c>
      <c r="K681" s="6" t="str">
        <f>IF(A681="","",SUMIFS(Chicks!$N:$N,Chicks!$F:$F,A681))</f>
        <v/>
      </c>
      <c r="L681" s="6" t="str">
        <f>IF(A681="","",SUMIFS(Chicks!$O:$O,Chicks!$F:$F,A681))</f>
        <v/>
      </c>
      <c r="M681" s="6" t="str">
        <f>IF(A681="","",SUMIFS(Chicks!$P:$P,Chicks!$F:$F,A681))</f>
        <v/>
      </c>
      <c r="N681" s="6" t="str">
        <f t="shared" si="3"/>
        <v/>
      </c>
    </row>
    <row r="682" spans="6:14" ht="14.25" customHeight="1" x14ac:dyDescent="0.3">
      <c r="F682" s="6" t="str">
        <f>IF(A682="","",COUNTIF(Chicks!$F:$F,A682))</f>
        <v/>
      </c>
      <c r="G682" s="6" t="str">
        <f>IF(A682="","",COUNTIFS(Chicks!$F:$F,A682,Chicks!$I:$I,"Yes"))</f>
        <v/>
      </c>
      <c r="H682" s="6" t="str">
        <f>IF(A682="","",SUMIFS(Chicks!$J:$J,Chicks!$F:$F,A682))</f>
        <v/>
      </c>
      <c r="I682" s="6" t="str">
        <f>IF(A682="","",COUNTIFS(Chicks!$F:$F,A682,Chicks!$I:$I,"No"))</f>
        <v/>
      </c>
      <c r="J682" s="6" t="str">
        <f>IF(A682="","",IFERROR(AVERAGEIF(Chicks!$F:$F,A682,Chicks!$M:$M),""))</f>
        <v/>
      </c>
      <c r="K682" s="6" t="str">
        <f>IF(A682="","",SUMIFS(Chicks!$N:$N,Chicks!$F:$F,A682))</f>
        <v/>
      </c>
      <c r="L682" s="6" t="str">
        <f>IF(A682="","",SUMIFS(Chicks!$O:$O,Chicks!$F:$F,A682))</f>
        <v/>
      </c>
      <c r="M682" s="6" t="str">
        <f>IF(A682="","",SUMIFS(Chicks!$P:$P,Chicks!$F:$F,A682))</f>
        <v/>
      </c>
      <c r="N682" s="6" t="str">
        <f t="shared" si="3"/>
        <v/>
      </c>
    </row>
    <row r="683" spans="6:14" ht="14.25" customHeight="1" x14ac:dyDescent="0.3">
      <c r="F683" s="6" t="str">
        <f>IF(A683="","",COUNTIF(Chicks!$F:$F,A683))</f>
        <v/>
      </c>
      <c r="G683" s="6" t="str">
        <f>IF(A683="","",COUNTIFS(Chicks!$F:$F,A683,Chicks!$I:$I,"Yes"))</f>
        <v/>
      </c>
      <c r="H683" s="6" t="str">
        <f>IF(A683="","",SUMIFS(Chicks!$J:$J,Chicks!$F:$F,A683))</f>
        <v/>
      </c>
      <c r="I683" s="6" t="str">
        <f>IF(A683="","",COUNTIFS(Chicks!$F:$F,A683,Chicks!$I:$I,"No"))</f>
        <v/>
      </c>
      <c r="J683" s="6" t="str">
        <f>IF(A683="","",IFERROR(AVERAGEIF(Chicks!$F:$F,A683,Chicks!$M:$M),""))</f>
        <v/>
      </c>
      <c r="K683" s="6" t="str">
        <f>IF(A683="","",SUMIFS(Chicks!$N:$N,Chicks!$F:$F,A683))</f>
        <v/>
      </c>
      <c r="L683" s="6" t="str">
        <f>IF(A683="","",SUMIFS(Chicks!$O:$O,Chicks!$F:$F,A683))</f>
        <v/>
      </c>
      <c r="M683" s="6" t="str">
        <f>IF(A683="","",SUMIFS(Chicks!$P:$P,Chicks!$F:$F,A683))</f>
        <v/>
      </c>
      <c r="N683" s="6" t="str">
        <f t="shared" si="3"/>
        <v/>
      </c>
    </row>
    <row r="684" spans="6:14" ht="14.25" customHeight="1" x14ac:dyDescent="0.3">
      <c r="F684" s="6" t="str">
        <f>IF(A684="","",COUNTIF(Chicks!$F:$F,A684))</f>
        <v/>
      </c>
      <c r="G684" s="6" t="str">
        <f>IF(A684="","",COUNTIFS(Chicks!$F:$F,A684,Chicks!$I:$I,"Yes"))</f>
        <v/>
      </c>
      <c r="H684" s="6" t="str">
        <f>IF(A684="","",SUMIFS(Chicks!$J:$J,Chicks!$F:$F,A684))</f>
        <v/>
      </c>
      <c r="I684" s="6" t="str">
        <f>IF(A684="","",COUNTIFS(Chicks!$F:$F,A684,Chicks!$I:$I,"No"))</f>
        <v/>
      </c>
      <c r="J684" s="6" t="str">
        <f>IF(A684="","",IFERROR(AVERAGEIF(Chicks!$F:$F,A684,Chicks!$M:$M),""))</f>
        <v/>
      </c>
      <c r="K684" s="6" t="str">
        <f>IF(A684="","",SUMIFS(Chicks!$N:$N,Chicks!$F:$F,A684))</f>
        <v/>
      </c>
      <c r="L684" s="6" t="str">
        <f>IF(A684="","",SUMIFS(Chicks!$O:$O,Chicks!$F:$F,A684))</f>
        <v/>
      </c>
      <c r="M684" s="6" t="str">
        <f>IF(A684="","",SUMIFS(Chicks!$P:$P,Chicks!$F:$F,A684))</f>
        <v/>
      </c>
      <c r="N684" s="6" t="str">
        <f t="shared" si="3"/>
        <v/>
      </c>
    </row>
    <row r="685" spans="6:14" ht="14.25" customHeight="1" x14ac:dyDescent="0.3">
      <c r="F685" s="6" t="str">
        <f>IF(A685="","",COUNTIF(Chicks!$F:$F,A685))</f>
        <v/>
      </c>
      <c r="G685" s="6" t="str">
        <f>IF(A685="","",COUNTIFS(Chicks!$F:$F,A685,Chicks!$I:$I,"Yes"))</f>
        <v/>
      </c>
      <c r="H685" s="6" t="str">
        <f>IF(A685="","",SUMIFS(Chicks!$J:$J,Chicks!$F:$F,A685))</f>
        <v/>
      </c>
      <c r="I685" s="6" t="str">
        <f>IF(A685="","",COUNTIFS(Chicks!$F:$F,A685,Chicks!$I:$I,"No"))</f>
        <v/>
      </c>
      <c r="J685" s="6" t="str">
        <f>IF(A685="","",IFERROR(AVERAGEIF(Chicks!$F:$F,A685,Chicks!$M:$M),""))</f>
        <v/>
      </c>
      <c r="K685" s="6" t="str">
        <f>IF(A685="","",SUMIFS(Chicks!$N:$N,Chicks!$F:$F,A685))</f>
        <v/>
      </c>
      <c r="L685" s="6" t="str">
        <f>IF(A685="","",SUMIFS(Chicks!$O:$O,Chicks!$F:$F,A685))</f>
        <v/>
      </c>
      <c r="M685" s="6" t="str">
        <f>IF(A685="","",SUMIFS(Chicks!$P:$P,Chicks!$F:$F,A685))</f>
        <v/>
      </c>
      <c r="N685" s="6" t="str">
        <f t="shared" si="3"/>
        <v/>
      </c>
    </row>
    <row r="686" spans="6:14" ht="14.25" customHeight="1" x14ac:dyDescent="0.3">
      <c r="F686" s="6" t="str">
        <f>IF(A686="","",COUNTIF(Chicks!$F:$F,A686))</f>
        <v/>
      </c>
      <c r="G686" s="6" t="str">
        <f>IF(A686="","",COUNTIFS(Chicks!$F:$F,A686,Chicks!$I:$I,"Yes"))</f>
        <v/>
      </c>
      <c r="H686" s="6" t="str">
        <f>IF(A686="","",SUMIFS(Chicks!$J:$J,Chicks!$F:$F,A686))</f>
        <v/>
      </c>
      <c r="I686" s="6" t="str">
        <f>IF(A686="","",COUNTIFS(Chicks!$F:$F,A686,Chicks!$I:$I,"No"))</f>
        <v/>
      </c>
      <c r="J686" s="6" t="str">
        <f>IF(A686="","",IFERROR(AVERAGEIF(Chicks!$F:$F,A686,Chicks!$M:$M),""))</f>
        <v/>
      </c>
      <c r="K686" s="6" t="str">
        <f>IF(A686="","",SUMIFS(Chicks!$N:$N,Chicks!$F:$F,A686))</f>
        <v/>
      </c>
      <c r="L686" s="6" t="str">
        <f>IF(A686="","",SUMIFS(Chicks!$O:$O,Chicks!$F:$F,A686))</f>
        <v/>
      </c>
      <c r="M686" s="6" t="str">
        <f>IF(A686="","",SUMIFS(Chicks!$P:$P,Chicks!$F:$F,A686))</f>
        <v/>
      </c>
      <c r="N686" s="6" t="str">
        <f t="shared" si="3"/>
        <v/>
      </c>
    </row>
    <row r="687" spans="6:14" ht="14.25" customHeight="1" x14ac:dyDescent="0.3">
      <c r="F687" s="6" t="str">
        <f>IF(A687="","",COUNTIF(Chicks!$F:$F,A687))</f>
        <v/>
      </c>
      <c r="G687" s="6" t="str">
        <f>IF(A687="","",COUNTIFS(Chicks!$F:$F,A687,Chicks!$I:$I,"Yes"))</f>
        <v/>
      </c>
      <c r="H687" s="6" t="str">
        <f>IF(A687="","",SUMIFS(Chicks!$J:$J,Chicks!$F:$F,A687))</f>
        <v/>
      </c>
      <c r="I687" s="6" t="str">
        <f>IF(A687="","",COUNTIFS(Chicks!$F:$F,A687,Chicks!$I:$I,"No"))</f>
        <v/>
      </c>
      <c r="J687" s="6" t="str">
        <f>IF(A687="","",IFERROR(AVERAGEIF(Chicks!$F:$F,A687,Chicks!$M:$M),""))</f>
        <v/>
      </c>
      <c r="K687" s="6" t="str">
        <f>IF(A687="","",SUMIFS(Chicks!$N:$N,Chicks!$F:$F,A687))</f>
        <v/>
      </c>
      <c r="L687" s="6" t="str">
        <f>IF(A687="","",SUMIFS(Chicks!$O:$O,Chicks!$F:$F,A687))</f>
        <v/>
      </c>
      <c r="M687" s="6" t="str">
        <f>IF(A687="","",SUMIFS(Chicks!$P:$P,Chicks!$F:$F,A687))</f>
        <v/>
      </c>
      <c r="N687" s="6" t="str">
        <f t="shared" si="3"/>
        <v/>
      </c>
    </row>
    <row r="688" spans="6:14" ht="14.25" customHeight="1" x14ac:dyDescent="0.3">
      <c r="F688" s="6" t="str">
        <f>IF(A688="","",COUNTIF(Chicks!$F:$F,A688))</f>
        <v/>
      </c>
      <c r="G688" s="6" t="str">
        <f>IF(A688="","",COUNTIFS(Chicks!$F:$F,A688,Chicks!$I:$I,"Yes"))</f>
        <v/>
      </c>
      <c r="H688" s="6" t="str">
        <f>IF(A688="","",SUMIFS(Chicks!$J:$J,Chicks!$F:$F,A688))</f>
        <v/>
      </c>
      <c r="I688" s="6" t="str">
        <f>IF(A688="","",COUNTIFS(Chicks!$F:$F,A688,Chicks!$I:$I,"No"))</f>
        <v/>
      </c>
      <c r="J688" s="6" t="str">
        <f>IF(A688="","",IFERROR(AVERAGEIF(Chicks!$F:$F,A688,Chicks!$M:$M),""))</f>
        <v/>
      </c>
      <c r="K688" s="6" t="str">
        <f>IF(A688="","",SUMIFS(Chicks!$N:$N,Chicks!$F:$F,A688))</f>
        <v/>
      </c>
      <c r="L688" s="6" t="str">
        <f>IF(A688="","",SUMIFS(Chicks!$O:$O,Chicks!$F:$F,A688))</f>
        <v/>
      </c>
      <c r="M688" s="6" t="str">
        <f>IF(A688="","",SUMIFS(Chicks!$P:$P,Chicks!$F:$F,A688))</f>
        <v/>
      </c>
      <c r="N688" s="6" t="str">
        <f t="shared" si="3"/>
        <v/>
      </c>
    </row>
    <row r="689" spans="6:14" ht="14.25" customHeight="1" x14ac:dyDescent="0.3">
      <c r="F689" s="6" t="str">
        <f>IF(A689="","",COUNTIF(Chicks!$F:$F,A689))</f>
        <v/>
      </c>
      <c r="G689" s="6" t="str">
        <f>IF(A689="","",COUNTIFS(Chicks!$F:$F,A689,Chicks!$I:$I,"Yes"))</f>
        <v/>
      </c>
      <c r="H689" s="6" t="str">
        <f>IF(A689="","",SUMIFS(Chicks!$J:$J,Chicks!$F:$F,A689))</f>
        <v/>
      </c>
      <c r="I689" s="6" t="str">
        <f>IF(A689="","",COUNTIFS(Chicks!$F:$F,A689,Chicks!$I:$I,"No"))</f>
        <v/>
      </c>
      <c r="J689" s="6" t="str">
        <f>IF(A689="","",IFERROR(AVERAGEIF(Chicks!$F:$F,A689,Chicks!$M:$M),""))</f>
        <v/>
      </c>
      <c r="K689" s="6" t="str">
        <f>IF(A689="","",SUMIFS(Chicks!$N:$N,Chicks!$F:$F,A689))</f>
        <v/>
      </c>
      <c r="L689" s="6" t="str">
        <f>IF(A689="","",SUMIFS(Chicks!$O:$O,Chicks!$F:$F,A689))</f>
        <v/>
      </c>
      <c r="M689" s="6" t="str">
        <f>IF(A689="","",SUMIFS(Chicks!$P:$P,Chicks!$F:$F,A689))</f>
        <v/>
      </c>
      <c r="N689" s="6" t="str">
        <f t="shared" si="3"/>
        <v/>
      </c>
    </row>
    <row r="690" spans="6:14" ht="14.25" customHeight="1" x14ac:dyDescent="0.3">
      <c r="F690" s="6" t="str">
        <f>IF(A690="","",COUNTIF(Chicks!$F:$F,A690))</f>
        <v/>
      </c>
      <c r="G690" s="6" t="str">
        <f>IF(A690="","",COUNTIFS(Chicks!$F:$F,A690,Chicks!$I:$I,"Yes"))</f>
        <v/>
      </c>
      <c r="H690" s="6" t="str">
        <f>IF(A690="","",SUMIFS(Chicks!$J:$J,Chicks!$F:$F,A690))</f>
        <v/>
      </c>
      <c r="I690" s="6" t="str">
        <f>IF(A690="","",COUNTIFS(Chicks!$F:$F,A690,Chicks!$I:$I,"No"))</f>
        <v/>
      </c>
      <c r="J690" s="6" t="str">
        <f>IF(A690="","",IFERROR(AVERAGEIF(Chicks!$F:$F,A690,Chicks!$M:$M),""))</f>
        <v/>
      </c>
      <c r="K690" s="6" t="str">
        <f>IF(A690="","",SUMIFS(Chicks!$N:$N,Chicks!$F:$F,A690))</f>
        <v/>
      </c>
      <c r="L690" s="6" t="str">
        <f>IF(A690="","",SUMIFS(Chicks!$O:$O,Chicks!$F:$F,A690))</f>
        <v/>
      </c>
      <c r="M690" s="6" t="str">
        <f>IF(A690="","",SUMIFS(Chicks!$P:$P,Chicks!$F:$F,A690))</f>
        <v/>
      </c>
      <c r="N690" s="6" t="str">
        <f t="shared" si="3"/>
        <v/>
      </c>
    </row>
    <row r="691" spans="6:14" ht="14.25" customHeight="1" x14ac:dyDescent="0.3">
      <c r="F691" s="6" t="str">
        <f>IF(A691="","",COUNTIF(Chicks!$F:$F,A691))</f>
        <v/>
      </c>
      <c r="G691" s="6" t="str">
        <f>IF(A691="","",COUNTIFS(Chicks!$F:$F,A691,Chicks!$I:$I,"Yes"))</f>
        <v/>
      </c>
      <c r="H691" s="6" t="str">
        <f>IF(A691="","",SUMIFS(Chicks!$J:$J,Chicks!$F:$F,A691))</f>
        <v/>
      </c>
      <c r="I691" s="6" t="str">
        <f>IF(A691="","",COUNTIFS(Chicks!$F:$F,A691,Chicks!$I:$I,"No"))</f>
        <v/>
      </c>
      <c r="J691" s="6" t="str">
        <f>IF(A691="","",IFERROR(AVERAGEIF(Chicks!$F:$F,A691,Chicks!$M:$M),""))</f>
        <v/>
      </c>
      <c r="K691" s="6" t="str">
        <f>IF(A691="","",SUMIFS(Chicks!$N:$N,Chicks!$F:$F,A691))</f>
        <v/>
      </c>
      <c r="L691" s="6" t="str">
        <f>IF(A691="","",SUMIFS(Chicks!$O:$O,Chicks!$F:$F,A691))</f>
        <v/>
      </c>
      <c r="M691" s="6" t="str">
        <f>IF(A691="","",SUMIFS(Chicks!$P:$P,Chicks!$F:$F,A691))</f>
        <v/>
      </c>
      <c r="N691" s="6" t="str">
        <f t="shared" si="3"/>
        <v/>
      </c>
    </row>
    <row r="692" spans="6:14" ht="14.25" customHeight="1" x14ac:dyDescent="0.3">
      <c r="F692" s="6" t="str">
        <f>IF(A692="","",COUNTIF(Chicks!$F:$F,A692))</f>
        <v/>
      </c>
      <c r="G692" s="6" t="str">
        <f>IF(A692="","",COUNTIFS(Chicks!$F:$F,A692,Chicks!$I:$I,"Yes"))</f>
        <v/>
      </c>
      <c r="H692" s="6" t="str">
        <f>IF(A692="","",SUMIFS(Chicks!$J:$J,Chicks!$F:$F,A692))</f>
        <v/>
      </c>
      <c r="I692" s="6" t="str">
        <f>IF(A692="","",COUNTIFS(Chicks!$F:$F,A692,Chicks!$I:$I,"No"))</f>
        <v/>
      </c>
      <c r="J692" s="6" t="str">
        <f>IF(A692="","",IFERROR(AVERAGEIF(Chicks!$F:$F,A692,Chicks!$M:$M),""))</f>
        <v/>
      </c>
      <c r="K692" s="6" t="str">
        <f>IF(A692="","",SUMIFS(Chicks!$N:$N,Chicks!$F:$F,A692))</f>
        <v/>
      </c>
      <c r="L692" s="6" t="str">
        <f>IF(A692="","",SUMIFS(Chicks!$O:$O,Chicks!$F:$F,A692))</f>
        <v/>
      </c>
      <c r="M692" s="6" t="str">
        <f>IF(A692="","",SUMIFS(Chicks!$P:$P,Chicks!$F:$F,A692))</f>
        <v/>
      </c>
      <c r="N692" s="6" t="str">
        <f t="shared" si="3"/>
        <v/>
      </c>
    </row>
    <row r="693" spans="6:14" ht="14.25" customHeight="1" x14ac:dyDescent="0.3">
      <c r="F693" s="6" t="str">
        <f>IF(A693="","",COUNTIF(Chicks!$F:$F,A693))</f>
        <v/>
      </c>
      <c r="G693" s="6" t="str">
        <f>IF(A693="","",COUNTIFS(Chicks!$F:$F,A693,Chicks!$I:$I,"Yes"))</f>
        <v/>
      </c>
      <c r="H693" s="6" t="str">
        <f>IF(A693="","",SUMIFS(Chicks!$J:$J,Chicks!$F:$F,A693))</f>
        <v/>
      </c>
      <c r="I693" s="6" t="str">
        <f>IF(A693="","",COUNTIFS(Chicks!$F:$F,A693,Chicks!$I:$I,"No"))</f>
        <v/>
      </c>
      <c r="J693" s="6" t="str">
        <f>IF(A693="","",IFERROR(AVERAGEIF(Chicks!$F:$F,A693,Chicks!$M:$M),""))</f>
        <v/>
      </c>
      <c r="K693" s="6" t="str">
        <f>IF(A693="","",SUMIFS(Chicks!$N:$N,Chicks!$F:$F,A693))</f>
        <v/>
      </c>
      <c r="L693" s="6" t="str">
        <f>IF(A693="","",SUMIFS(Chicks!$O:$O,Chicks!$F:$F,A693))</f>
        <v/>
      </c>
      <c r="M693" s="6" t="str">
        <f>IF(A693="","",SUMIFS(Chicks!$P:$P,Chicks!$F:$F,A693))</f>
        <v/>
      </c>
      <c r="N693" s="6" t="str">
        <f t="shared" si="3"/>
        <v/>
      </c>
    </row>
    <row r="694" spans="6:14" ht="14.25" customHeight="1" x14ac:dyDescent="0.3">
      <c r="F694" s="6" t="str">
        <f>IF(A694="","",COUNTIF(Chicks!$F:$F,A694))</f>
        <v/>
      </c>
      <c r="G694" s="6" t="str">
        <f>IF(A694="","",COUNTIFS(Chicks!$F:$F,A694,Chicks!$I:$I,"Yes"))</f>
        <v/>
      </c>
      <c r="H694" s="6" t="str">
        <f>IF(A694="","",SUMIFS(Chicks!$J:$J,Chicks!$F:$F,A694))</f>
        <v/>
      </c>
      <c r="I694" s="6" t="str">
        <f>IF(A694="","",COUNTIFS(Chicks!$F:$F,A694,Chicks!$I:$I,"No"))</f>
        <v/>
      </c>
      <c r="J694" s="6" t="str">
        <f>IF(A694="","",IFERROR(AVERAGEIF(Chicks!$F:$F,A694,Chicks!$M:$M),""))</f>
        <v/>
      </c>
      <c r="K694" s="6" t="str">
        <f>IF(A694="","",SUMIFS(Chicks!$N:$N,Chicks!$F:$F,A694))</f>
        <v/>
      </c>
      <c r="L694" s="6" t="str">
        <f>IF(A694="","",SUMIFS(Chicks!$O:$O,Chicks!$F:$F,A694))</f>
        <v/>
      </c>
      <c r="M694" s="6" t="str">
        <f>IF(A694="","",SUMIFS(Chicks!$P:$P,Chicks!$F:$F,A694))</f>
        <v/>
      </c>
      <c r="N694" s="6" t="str">
        <f t="shared" si="3"/>
        <v/>
      </c>
    </row>
    <row r="695" spans="6:14" ht="14.25" customHeight="1" x14ac:dyDescent="0.3">
      <c r="F695" s="6" t="str">
        <f>IF(A695="","",COUNTIF(Chicks!$F:$F,A695))</f>
        <v/>
      </c>
      <c r="G695" s="6" t="str">
        <f>IF(A695="","",COUNTIFS(Chicks!$F:$F,A695,Chicks!$I:$I,"Yes"))</f>
        <v/>
      </c>
      <c r="H695" s="6" t="str">
        <f>IF(A695="","",SUMIFS(Chicks!$J:$J,Chicks!$F:$F,A695))</f>
        <v/>
      </c>
      <c r="I695" s="6" t="str">
        <f>IF(A695="","",COUNTIFS(Chicks!$F:$F,A695,Chicks!$I:$I,"No"))</f>
        <v/>
      </c>
      <c r="J695" s="6" t="str">
        <f>IF(A695="","",IFERROR(AVERAGEIF(Chicks!$F:$F,A695,Chicks!$M:$M),""))</f>
        <v/>
      </c>
      <c r="K695" s="6" t="str">
        <f>IF(A695="","",SUMIFS(Chicks!$N:$N,Chicks!$F:$F,A695))</f>
        <v/>
      </c>
      <c r="L695" s="6" t="str">
        <f>IF(A695="","",SUMIFS(Chicks!$O:$O,Chicks!$F:$F,A695))</f>
        <v/>
      </c>
      <c r="M695" s="6" t="str">
        <f>IF(A695="","",SUMIFS(Chicks!$P:$P,Chicks!$F:$F,A695))</f>
        <v/>
      </c>
      <c r="N695" s="6" t="str">
        <f t="shared" si="3"/>
        <v/>
      </c>
    </row>
    <row r="696" spans="6:14" ht="14.25" customHeight="1" x14ac:dyDescent="0.3">
      <c r="F696" s="6" t="str">
        <f>IF(A696="","",COUNTIF(Chicks!$F:$F,A696))</f>
        <v/>
      </c>
      <c r="G696" s="6" t="str">
        <f>IF(A696="","",COUNTIFS(Chicks!$F:$F,A696,Chicks!$I:$I,"Yes"))</f>
        <v/>
      </c>
      <c r="H696" s="6" t="str">
        <f>IF(A696="","",SUMIFS(Chicks!$J:$J,Chicks!$F:$F,A696))</f>
        <v/>
      </c>
      <c r="I696" s="6" t="str">
        <f>IF(A696="","",COUNTIFS(Chicks!$F:$F,A696,Chicks!$I:$I,"No"))</f>
        <v/>
      </c>
      <c r="J696" s="6" t="str">
        <f>IF(A696="","",IFERROR(AVERAGEIF(Chicks!$F:$F,A696,Chicks!$M:$M),""))</f>
        <v/>
      </c>
      <c r="K696" s="6" t="str">
        <f>IF(A696="","",SUMIFS(Chicks!$N:$N,Chicks!$F:$F,A696))</f>
        <v/>
      </c>
      <c r="L696" s="6" t="str">
        <f>IF(A696="","",SUMIFS(Chicks!$O:$O,Chicks!$F:$F,A696))</f>
        <v/>
      </c>
      <c r="M696" s="6" t="str">
        <f>IF(A696="","",SUMIFS(Chicks!$P:$P,Chicks!$F:$F,A696))</f>
        <v/>
      </c>
      <c r="N696" s="6" t="str">
        <f t="shared" si="3"/>
        <v/>
      </c>
    </row>
    <row r="697" spans="6:14" ht="14.25" customHeight="1" x14ac:dyDescent="0.3">
      <c r="F697" s="6" t="str">
        <f>IF(A697="","",COUNTIF(Chicks!$F:$F,A697))</f>
        <v/>
      </c>
      <c r="G697" s="6" t="str">
        <f>IF(A697="","",COUNTIFS(Chicks!$F:$F,A697,Chicks!$I:$I,"Yes"))</f>
        <v/>
      </c>
      <c r="H697" s="6" t="str">
        <f>IF(A697="","",SUMIFS(Chicks!$J:$J,Chicks!$F:$F,A697))</f>
        <v/>
      </c>
      <c r="I697" s="6" t="str">
        <f>IF(A697="","",COUNTIFS(Chicks!$F:$F,A697,Chicks!$I:$I,"No"))</f>
        <v/>
      </c>
      <c r="J697" s="6" t="str">
        <f>IF(A697="","",IFERROR(AVERAGEIF(Chicks!$F:$F,A697,Chicks!$M:$M),""))</f>
        <v/>
      </c>
      <c r="K697" s="6" t="str">
        <f>IF(A697="","",SUMIFS(Chicks!$N:$N,Chicks!$F:$F,A697))</f>
        <v/>
      </c>
      <c r="L697" s="6" t="str">
        <f>IF(A697="","",SUMIFS(Chicks!$O:$O,Chicks!$F:$F,A697))</f>
        <v/>
      </c>
      <c r="M697" s="6" t="str">
        <f>IF(A697="","",SUMIFS(Chicks!$P:$P,Chicks!$F:$F,A697))</f>
        <v/>
      </c>
      <c r="N697" s="6" t="str">
        <f t="shared" si="3"/>
        <v/>
      </c>
    </row>
    <row r="698" spans="6:14" ht="14.25" customHeight="1" x14ac:dyDescent="0.3">
      <c r="F698" s="6" t="str">
        <f>IF(A698="","",COUNTIF(Chicks!$F:$F,A698))</f>
        <v/>
      </c>
      <c r="G698" s="6" t="str">
        <f>IF(A698="","",COUNTIFS(Chicks!$F:$F,A698,Chicks!$I:$I,"Yes"))</f>
        <v/>
      </c>
      <c r="H698" s="6" t="str">
        <f>IF(A698="","",SUMIFS(Chicks!$J:$J,Chicks!$F:$F,A698))</f>
        <v/>
      </c>
      <c r="I698" s="6" t="str">
        <f>IF(A698="","",COUNTIFS(Chicks!$F:$F,A698,Chicks!$I:$I,"No"))</f>
        <v/>
      </c>
      <c r="J698" s="6" t="str">
        <f>IF(A698="","",IFERROR(AVERAGEIF(Chicks!$F:$F,A698,Chicks!$M:$M),""))</f>
        <v/>
      </c>
      <c r="K698" s="6" t="str">
        <f>IF(A698="","",SUMIFS(Chicks!$N:$N,Chicks!$F:$F,A698))</f>
        <v/>
      </c>
      <c r="L698" s="6" t="str">
        <f>IF(A698="","",SUMIFS(Chicks!$O:$O,Chicks!$F:$F,A698))</f>
        <v/>
      </c>
      <c r="M698" s="6" t="str">
        <f>IF(A698="","",SUMIFS(Chicks!$P:$P,Chicks!$F:$F,A698))</f>
        <v/>
      </c>
      <c r="N698" s="6" t="str">
        <f t="shared" si="3"/>
        <v/>
      </c>
    </row>
    <row r="699" spans="6:14" ht="14.25" customHeight="1" x14ac:dyDescent="0.3">
      <c r="F699" s="6" t="str">
        <f>IF(A699="","",COUNTIF(Chicks!$F:$F,A699))</f>
        <v/>
      </c>
      <c r="G699" s="6" t="str">
        <f>IF(A699="","",COUNTIFS(Chicks!$F:$F,A699,Chicks!$I:$I,"Yes"))</f>
        <v/>
      </c>
      <c r="H699" s="6" t="str">
        <f>IF(A699="","",SUMIFS(Chicks!$J:$J,Chicks!$F:$F,A699))</f>
        <v/>
      </c>
      <c r="I699" s="6" t="str">
        <f>IF(A699="","",COUNTIFS(Chicks!$F:$F,A699,Chicks!$I:$I,"No"))</f>
        <v/>
      </c>
      <c r="J699" s="6" t="str">
        <f>IF(A699="","",IFERROR(AVERAGEIF(Chicks!$F:$F,A699,Chicks!$M:$M),""))</f>
        <v/>
      </c>
      <c r="K699" s="6" t="str">
        <f>IF(A699="","",SUMIFS(Chicks!$N:$N,Chicks!$F:$F,A699))</f>
        <v/>
      </c>
      <c r="L699" s="6" t="str">
        <f>IF(A699="","",SUMIFS(Chicks!$O:$O,Chicks!$F:$F,A699))</f>
        <v/>
      </c>
      <c r="M699" s="6" t="str">
        <f>IF(A699="","",SUMIFS(Chicks!$P:$P,Chicks!$F:$F,A699))</f>
        <v/>
      </c>
      <c r="N699" s="6" t="str">
        <f t="shared" si="3"/>
        <v/>
      </c>
    </row>
    <row r="700" spans="6:14" ht="14.25" customHeight="1" x14ac:dyDescent="0.3">
      <c r="F700" s="6" t="str">
        <f>IF(A700="","",COUNTIF(Chicks!$F:$F,A700))</f>
        <v/>
      </c>
      <c r="G700" s="6" t="str">
        <f>IF(A700="","",COUNTIFS(Chicks!$F:$F,A700,Chicks!$I:$I,"Yes"))</f>
        <v/>
      </c>
      <c r="H700" s="6" t="str">
        <f>IF(A700="","",SUMIFS(Chicks!$J:$J,Chicks!$F:$F,A700))</f>
        <v/>
      </c>
      <c r="I700" s="6" t="str">
        <f>IF(A700="","",COUNTIFS(Chicks!$F:$F,A700,Chicks!$I:$I,"No"))</f>
        <v/>
      </c>
      <c r="J700" s="6" t="str">
        <f>IF(A700="","",IFERROR(AVERAGEIF(Chicks!$F:$F,A700,Chicks!$M:$M),""))</f>
        <v/>
      </c>
      <c r="K700" s="6" t="str">
        <f>IF(A700="","",SUMIFS(Chicks!$N:$N,Chicks!$F:$F,A700))</f>
        <v/>
      </c>
      <c r="L700" s="6" t="str">
        <f>IF(A700="","",SUMIFS(Chicks!$O:$O,Chicks!$F:$F,A700))</f>
        <v/>
      </c>
      <c r="M700" s="6" t="str">
        <f>IF(A700="","",SUMIFS(Chicks!$P:$P,Chicks!$F:$F,A700))</f>
        <v/>
      </c>
      <c r="N700" s="6" t="str">
        <f t="shared" si="3"/>
        <v/>
      </c>
    </row>
    <row r="701" spans="6:14" ht="14.25" customHeight="1" x14ac:dyDescent="0.3">
      <c r="F701" s="6" t="str">
        <f>IF(A701="","",COUNTIF(Chicks!$F:$F,A701))</f>
        <v/>
      </c>
      <c r="G701" s="6" t="str">
        <f>IF(A701="","",COUNTIFS(Chicks!$F:$F,A701,Chicks!$I:$I,"Yes"))</f>
        <v/>
      </c>
      <c r="H701" s="6" t="str">
        <f>IF(A701="","",SUMIFS(Chicks!$J:$J,Chicks!$F:$F,A701))</f>
        <v/>
      </c>
      <c r="I701" s="6" t="str">
        <f>IF(A701="","",COUNTIFS(Chicks!$F:$F,A701,Chicks!$I:$I,"No"))</f>
        <v/>
      </c>
      <c r="J701" s="6" t="str">
        <f>IF(A701="","",IFERROR(AVERAGEIF(Chicks!$F:$F,A701,Chicks!$M:$M),""))</f>
        <v/>
      </c>
      <c r="K701" s="6" t="str">
        <f>IF(A701="","",SUMIFS(Chicks!$N:$N,Chicks!$F:$F,A701))</f>
        <v/>
      </c>
      <c r="L701" s="6" t="str">
        <f>IF(A701="","",SUMIFS(Chicks!$O:$O,Chicks!$F:$F,A701))</f>
        <v/>
      </c>
      <c r="M701" s="6" t="str">
        <f>IF(A701="","",SUMIFS(Chicks!$P:$P,Chicks!$F:$F,A701))</f>
        <v/>
      </c>
      <c r="N701" s="6" t="str">
        <f t="shared" si="3"/>
        <v/>
      </c>
    </row>
    <row r="702" spans="6:14" ht="14.25" customHeight="1" x14ac:dyDescent="0.3">
      <c r="F702" s="6" t="str">
        <f>IF(A702="","",COUNTIF(Chicks!$F:$F,A702))</f>
        <v/>
      </c>
      <c r="G702" s="6" t="str">
        <f>IF(A702="","",COUNTIFS(Chicks!$F:$F,A702,Chicks!$I:$I,"Yes"))</f>
        <v/>
      </c>
      <c r="H702" s="6" t="str">
        <f>IF(A702="","",SUMIFS(Chicks!$J:$J,Chicks!$F:$F,A702))</f>
        <v/>
      </c>
      <c r="I702" s="6" t="str">
        <f>IF(A702="","",COUNTIFS(Chicks!$F:$F,A702,Chicks!$I:$I,"No"))</f>
        <v/>
      </c>
      <c r="J702" s="6" t="str">
        <f>IF(A702="","",IFERROR(AVERAGEIF(Chicks!$F:$F,A702,Chicks!$M:$M),""))</f>
        <v/>
      </c>
      <c r="K702" s="6" t="str">
        <f>IF(A702="","",SUMIFS(Chicks!$N:$N,Chicks!$F:$F,A702))</f>
        <v/>
      </c>
      <c r="L702" s="6" t="str">
        <f>IF(A702="","",SUMIFS(Chicks!$O:$O,Chicks!$F:$F,A702))</f>
        <v/>
      </c>
      <c r="M702" s="6" t="str">
        <f>IF(A702="","",SUMIFS(Chicks!$P:$P,Chicks!$F:$F,A702))</f>
        <v/>
      </c>
      <c r="N702" s="6" t="str">
        <f t="shared" si="3"/>
        <v/>
      </c>
    </row>
    <row r="703" spans="6:14" ht="14.25" customHeight="1" x14ac:dyDescent="0.3">
      <c r="F703" s="6" t="str">
        <f>IF(A703="","",COUNTIF(Chicks!$F:$F,A703))</f>
        <v/>
      </c>
      <c r="G703" s="6" t="str">
        <f>IF(A703="","",COUNTIFS(Chicks!$F:$F,A703,Chicks!$I:$I,"Yes"))</f>
        <v/>
      </c>
      <c r="H703" s="6" t="str">
        <f>IF(A703="","",SUMIFS(Chicks!$J:$J,Chicks!$F:$F,A703))</f>
        <v/>
      </c>
      <c r="I703" s="6" t="str">
        <f>IF(A703="","",COUNTIFS(Chicks!$F:$F,A703,Chicks!$I:$I,"No"))</f>
        <v/>
      </c>
      <c r="J703" s="6" t="str">
        <f>IF(A703="","",IFERROR(AVERAGEIF(Chicks!$F:$F,A703,Chicks!$M:$M),""))</f>
        <v/>
      </c>
      <c r="K703" s="6" t="str">
        <f>IF(A703="","",SUMIFS(Chicks!$N:$N,Chicks!$F:$F,A703))</f>
        <v/>
      </c>
      <c r="L703" s="6" t="str">
        <f>IF(A703="","",SUMIFS(Chicks!$O:$O,Chicks!$F:$F,A703))</f>
        <v/>
      </c>
      <c r="M703" s="6" t="str">
        <f>IF(A703="","",SUMIFS(Chicks!$P:$P,Chicks!$F:$F,A703))</f>
        <v/>
      </c>
      <c r="N703" s="6" t="str">
        <f t="shared" si="3"/>
        <v/>
      </c>
    </row>
    <row r="704" spans="6:14" ht="14.25" customHeight="1" x14ac:dyDescent="0.3">
      <c r="F704" s="6" t="str">
        <f>IF(A704="","",COUNTIF(Chicks!$F:$F,A704))</f>
        <v/>
      </c>
      <c r="G704" s="6" t="str">
        <f>IF(A704="","",COUNTIFS(Chicks!$F:$F,A704,Chicks!$I:$I,"Yes"))</f>
        <v/>
      </c>
      <c r="H704" s="6" t="str">
        <f>IF(A704="","",SUMIFS(Chicks!$J:$J,Chicks!$F:$F,A704))</f>
        <v/>
      </c>
      <c r="I704" s="6" t="str">
        <f>IF(A704="","",COUNTIFS(Chicks!$F:$F,A704,Chicks!$I:$I,"No"))</f>
        <v/>
      </c>
      <c r="J704" s="6" t="str">
        <f>IF(A704="","",IFERROR(AVERAGEIF(Chicks!$F:$F,A704,Chicks!$M:$M),""))</f>
        <v/>
      </c>
      <c r="K704" s="6" t="str">
        <f>IF(A704="","",SUMIFS(Chicks!$N:$N,Chicks!$F:$F,A704))</f>
        <v/>
      </c>
      <c r="L704" s="6" t="str">
        <f>IF(A704="","",SUMIFS(Chicks!$O:$O,Chicks!$F:$F,A704))</f>
        <v/>
      </c>
      <c r="M704" s="6" t="str">
        <f>IF(A704="","",SUMIFS(Chicks!$P:$P,Chicks!$F:$F,A704))</f>
        <v/>
      </c>
      <c r="N704" s="6" t="str">
        <f t="shared" si="3"/>
        <v/>
      </c>
    </row>
    <row r="705" spans="6:14" ht="14.25" customHeight="1" x14ac:dyDescent="0.3">
      <c r="F705" s="6" t="str">
        <f>IF(A705="","",COUNTIF(Chicks!$F:$F,A705))</f>
        <v/>
      </c>
      <c r="G705" s="6" t="str">
        <f>IF(A705="","",COUNTIFS(Chicks!$F:$F,A705,Chicks!$I:$I,"Yes"))</f>
        <v/>
      </c>
      <c r="H705" s="6" t="str">
        <f>IF(A705="","",SUMIFS(Chicks!$J:$J,Chicks!$F:$F,A705))</f>
        <v/>
      </c>
      <c r="I705" s="6" t="str">
        <f>IF(A705="","",COUNTIFS(Chicks!$F:$F,A705,Chicks!$I:$I,"No"))</f>
        <v/>
      </c>
      <c r="J705" s="6" t="str">
        <f>IF(A705="","",IFERROR(AVERAGEIF(Chicks!$F:$F,A705,Chicks!$M:$M),""))</f>
        <v/>
      </c>
      <c r="K705" s="6" t="str">
        <f>IF(A705="","",SUMIFS(Chicks!$N:$N,Chicks!$F:$F,A705))</f>
        <v/>
      </c>
      <c r="L705" s="6" t="str">
        <f>IF(A705="","",SUMIFS(Chicks!$O:$O,Chicks!$F:$F,A705))</f>
        <v/>
      </c>
      <c r="M705" s="6" t="str">
        <f>IF(A705="","",SUMIFS(Chicks!$P:$P,Chicks!$F:$F,A705))</f>
        <v/>
      </c>
      <c r="N705" s="6" t="str">
        <f t="shared" si="3"/>
        <v/>
      </c>
    </row>
    <row r="706" spans="6:14" ht="14.25" customHeight="1" x14ac:dyDescent="0.3">
      <c r="F706" s="6" t="str">
        <f>IF(A706="","",COUNTIF(Chicks!$F:$F,A706))</f>
        <v/>
      </c>
      <c r="G706" s="6" t="str">
        <f>IF(A706="","",COUNTIFS(Chicks!$F:$F,A706,Chicks!$I:$I,"Yes"))</f>
        <v/>
      </c>
      <c r="H706" s="6" t="str">
        <f>IF(A706="","",SUMIFS(Chicks!$J:$J,Chicks!$F:$F,A706))</f>
        <v/>
      </c>
      <c r="I706" s="6" t="str">
        <f>IF(A706="","",COUNTIFS(Chicks!$F:$F,A706,Chicks!$I:$I,"No"))</f>
        <v/>
      </c>
      <c r="J706" s="6" t="str">
        <f>IF(A706="","",IFERROR(AVERAGEIF(Chicks!$F:$F,A706,Chicks!$M:$M),""))</f>
        <v/>
      </c>
      <c r="K706" s="6" t="str">
        <f>IF(A706="","",SUMIFS(Chicks!$N:$N,Chicks!$F:$F,A706))</f>
        <v/>
      </c>
      <c r="L706" s="6" t="str">
        <f>IF(A706="","",SUMIFS(Chicks!$O:$O,Chicks!$F:$F,A706))</f>
        <v/>
      </c>
      <c r="M706" s="6" t="str">
        <f>IF(A706="","",SUMIFS(Chicks!$P:$P,Chicks!$F:$F,A706))</f>
        <v/>
      </c>
      <c r="N706" s="6" t="str">
        <f t="shared" si="3"/>
        <v/>
      </c>
    </row>
    <row r="707" spans="6:14" ht="14.25" customHeight="1" x14ac:dyDescent="0.3">
      <c r="F707" s="6" t="str">
        <f>IF(A707="","",COUNTIF(Chicks!$F:$F,A707))</f>
        <v/>
      </c>
      <c r="G707" s="6" t="str">
        <f>IF(A707="","",COUNTIFS(Chicks!$F:$F,A707,Chicks!$I:$I,"Yes"))</f>
        <v/>
      </c>
      <c r="H707" s="6" t="str">
        <f>IF(A707="","",SUMIFS(Chicks!$J:$J,Chicks!$F:$F,A707))</f>
        <v/>
      </c>
      <c r="I707" s="6" t="str">
        <f>IF(A707="","",COUNTIFS(Chicks!$F:$F,A707,Chicks!$I:$I,"No"))</f>
        <v/>
      </c>
      <c r="J707" s="6" t="str">
        <f>IF(A707="","",IFERROR(AVERAGEIF(Chicks!$F:$F,A707,Chicks!$M:$M),""))</f>
        <v/>
      </c>
      <c r="K707" s="6" t="str">
        <f>IF(A707="","",SUMIFS(Chicks!$N:$N,Chicks!$F:$F,A707))</f>
        <v/>
      </c>
      <c r="L707" s="6" t="str">
        <f>IF(A707="","",SUMIFS(Chicks!$O:$O,Chicks!$F:$F,A707))</f>
        <v/>
      </c>
      <c r="M707" s="6" t="str">
        <f>IF(A707="","",SUMIFS(Chicks!$P:$P,Chicks!$F:$F,A707))</f>
        <v/>
      </c>
      <c r="N707" s="6" t="str">
        <f t="shared" si="3"/>
        <v/>
      </c>
    </row>
    <row r="708" spans="6:14" ht="14.25" customHeight="1" x14ac:dyDescent="0.3">
      <c r="F708" s="6" t="str">
        <f>IF(A708="","",COUNTIF(Chicks!$F:$F,A708))</f>
        <v/>
      </c>
      <c r="G708" s="6" t="str">
        <f>IF(A708="","",COUNTIFS(Chicks!$F:$F,A708,Chicks!$I:$I,"Yes"))</f>
        <v/>
      </c>
      <c r="H708" s="6" t="str">
        <f>IF(A708="","",SUMIFS(Chicks!$J:$J,Chicks!$F:$F,A708))</f>
        <v/>
      </c>
      <c r="I708" s="6" t="str">
        <f>IF(A708="","",COUNTIFS(Chicks!$F:$F,A708,Chicks!$I:$I,"No"))</f>
        <v/>
      </c>
      <c r="J708" s="6" t="str">
        <f>IF(A708="","",IFERROR(AVERAGEIF(Chicks!$F:$F,A708,Chicks!$M:$M),""))</f>
        <v/>
      </c>
      <c r="K708" s="6" t="str">
        <f>IF(A708="","",SUMIFS(Chicks!$N:$N,Chicks!$F:$F,A708))</f>
        <v/>
      </c>
      <c r="L708" s="6" t="str">
        <f>IF(A708="","",SUMIFS(Chicks!$O:$O,Chicks!$F:$F,A708))</f>
        <v/>
      </c>
      <c r="M708" s="6" t="str">
        <f>IF(A708="","",SUMIFS(Chicks!$P:$P,Chicks!$F:$F,A708))</f>
        <v/>
      </c>
      <c r="N708" s="6" t="str">
        <f t="shared" si="3"/>
        <v/>
      </c>
    </row>
    <row r="709" spans="6:14" ht="14.25" customHeight="1" x14ac:dyDescent="0.3">
      <c r="F709" s="6" t="str">
        <f>IF(A709="","",COUNTIF(Chicks!$F:$F,A709))</f>
        <v/>
      </c>
      <c r="G709" s="6" t="str">
        <f>IF(A709="","",COUNTIFS(Chicks!$F:$F,A709,Chicks!$I:$I,"Yes"))</f>
        <v/>
      </c>
      <c r="H709" s="6" t="str">
        <f>IF(A709="","",SUMIFS(Chicks!$J:$J,Chicks!$F:$F,A709))</f>
        <v/>
      </c>
      <c r="I709" s="6" t="str">
        <f>IF(A709="","",COUNTIFS(Chicks!$F:$F,A709,Chicks!$I:$I,"No"))</f>
        <v/>
      </c>
      <c r="J709" s="6" t="str">
        <f>IF(A709="","",IFERROR(AVERAGEIF(Chicks!$F:$F,A709,Chicks!$M:$M),""))</f>
        <v/>
      </c>
      <c r="K709" s="6" t="str">
        <f>IF(A709="","",SUMIFS(Chicks!$N:$N,Chicks!$F:$F,A709))</f>
        <v/>
      </c>
      <c r="L709" s="6" t="str">
        <f>IF(A709="","",SUMIFS(Chicks!$O:$O,Chicks!$F:$F,A709))</f>
        <v/>
      </c>
      <c r="M709" s="6" t="str">
        <f>IF(A709="","",SUMIFS(Chicks!$P:$P,Chicks!$F:$F,A709))</f>
        <v/>
      </c>
      <c r="N709" s="6" t="str">
        <f t="shared" si="3"/>
        <v/>
      </c>
    </row>
    <row r="710" spans="6:14" ht="14.25" customHeight="1" x14ac:dyDescent="0.3">
      <c r="F710" s="6" t="str">
        <f>IF(A710="","",COUNTIF(Chicks!$F:$F,A710))</f>
        <v/>
      </c>
      <c r="G710" s="6" t="str">
        <f>IF(A710="","",COUNTIFS(Chicks!$F:$F,A710,Chicks!$I:$I,"Yes"))</f>
        <v/>
      </c>
      <c r="H710" s="6" t="str">
        <f>IF(A710="","",SUMIFS(Chicks!$J:$J,Chicks!$F:$F,A710))</f>
        <v/>
      </c>
      <c r="I710" s="6" t="str">
        <f>IF(A710="","",COUNTIFS(Chicks!$F:$F,A710,Chicks!$I:$I,"No"))</f>
        <v/>
      </c>
      <c r="J710" s="6" t="str">
        <f>IF(A710="","",IFERROR(AVERAGEIF(Chicks!$F:$F,A710,Chicks!$M:$M),""))</f>
        <v/>
      </c>
      <c r="K710" s="6" t="str">
        <f>IF(A710="","",SUMIFS(Chicks!$N:$N,Chicks!$F:$F,A710))</f>
        <v/>
      </c>
      <c r="L710" s="6" t="str">
        <f>IF(A710="","",SUMIFS(Chicks!$O:$O,Chicks!$F:$F,A710))</f>
        <v/>
      </c>
      <c r="M710" s="6" t="str">
        <f>IF(A710="","",SUMIFS(Chicks!$P:$P,Chicks!$F:$F,A710))</f>
        <v/>
      </c>
      <c r="N710" s="6" t="str">
        <f t="shared" si="3"/>
        <v/>
      </c>
    </row>
    <row r="711" spans="6:14" ht="14.25" customHeight="1" x14ac:dyDescent="0.3">
      <c r="F711" s="6" t="str">
        <f>IF(A711="","",COUNTIF(Chicks!$F:$F,A711))</f>
        <v/>
      </c>
      <c r="G711" s="6" t="str">
        <f>IF(A711="","",COUNTIFS(Chicks!$F:$F,A711,Chicks!$I:$I,"Yes"))</f>
        <v/>
      </c>
      <c r="H711" s="6" t="str">
        <f>IF(A711="","",SUMIFS(Chicks!$J:$J,Chicks!$F:$F,A711))</f>
        <v/>
      </c>
      <c r="I711" s="6" t="str">
        <f>IF(A711="","",COUNTIFS(Chicks!$F:$F,A711,Chicks!$I:$I,"No"))</f>
        <v/>
      </c>
      <c r="J711" s="6" t="str">
        <f>IF(A711="","",IFERROR(AVERAGEIF(Chicks!$F:$F,A711,Chicks!$M:$M),""))</f>
        <v/>
      </c>
      <c r="K711" s="6" t="str">
        <f>IF(A711="","",SUMIFS(Chicks!$N:$N,Chicks!$F:$F,A711))</f>
        <v/>
      </c>
      <c r="L711" s="6" t="str">
        <f>IF(A711="","",SUMIFS(Chicks!$O:$O,Chicks!$F:$F,A711))</f>
        <v/>
      </c>
      <c r="M711" s="6" t="str">
        <f>IF(A711="","",SUMIFS(Chicks!$P:$P,Chicks!$F:$F,A711))</f>
        <v/>
      </c>
      <c r="N711" s="6" t="str">
        <f t="shared" si="3"/>
        <v/>
      </c>
    </row>
    <row r="712" spans="6:14" ht="14.25" customHeight="1" x14ac:dyDescent="0.3">
      <c r="F712" s="6" t="str">
        <f>IF(A712="","",COUNTIF(Chicks!$F:$F,A712))</f>
        <v/>
      </c>
      <c r="G712" s="6" t="str">
        <f>IF(A712="","",COUNTIFS(Chicks!$F:$F,A712,Chicks!$I:$I,"Yes"))</f>
        <v/>
      </c>
      <c r="H712" s="6" t="str">
        <f>IF(A712="","",SUMIFS(Chicks!$J:$J,Chicks!$F:$F,A712))</f>
        <v/>
      </c>
      <c r="I712" s="6" t="str">
        <f>IF(A712="","",COUNTIFS(Chicks!$F:$F,A712,Chicks!$I:$I,"No"))</f>
        <v/>
      </c>
      <c r="J712" s="6" t="str">
        <f>IF(A712="","",IFERROR(AVERAGEIF(Chicks!$F:$F,A712,Chicks!$M:$M),""))</f>
        <v/>
      </c>
      <c r="K712" s="6" t="str">
        <f>IF(A712="","",SUMIFS(Chicks!$N:$N,Chicks!$F:$F,A712))</f>
        <v/>
      </c>
      <c r="L712" s="6" t="str">
        <f>IF(A712="","",SUMIFS(Chicks!$O:$O,Chicks!$F:$F,A712))</f>
        <v/>
      </c>
      <c r="M712" s="6" t="str">
        <f>IF(A712="","",SUMIFS(Chicks!$P:$P,Chicks!$F:$F,A712))</f>
        <v/>
      </c>
      <c r="N712" s="6" t="str">
        <f t="shared" si="3"/>
        <v/>
      </c>
    </row>
    <row r="713" spans="6:14" ht="14.25" customHeight="1" x14ac:dyDescent="0.3">
      <c r="F713" s="6" t="str">
        <f>IF(A713="","",COUNTIF(Chicks!$F:$F,A713))</f>
        <v/>
      </c>
      <c r="G713" s="6" t="str">
        <f>IF(A713="","",COUNTIFS(Chicks!$F:$F,A713,Chicks!$I:$I,"Yes"))</f>
        <v/>
      </c>
      <c r="H713" s="6" t="str">
        <f>IF(A713="","",SUMIFS(Chicks!$J:$J,Chicks!$F:$F,A713))</f>
        <v/>
      </c>
      <c r="I713" s="6" t="str">
        <f>IF(A713="","",COUNTIFS(Chicks!$F:$F,A713,Chicks!$I:$I,"No"))</f>
        <v/>
      </c>
      <c r="J713" s="6" t="str">
        <f>IF(A713="","",IFERROR(AVERAGEIF(Chicks!$F:$F,A713,Chicks!$M:$M),""))</f>
        <v/>
      </c>
      <c r="K713" s="6" t="str">
        <f>IF(A713="","",SUMIFS(Chicks!$N:$N,Chicks!$F:$F,A713))</f>
        <v/>
      </c>
      <c r="L713" s="6" t="str">
        <f>IF(A713="","",SUMIFS(Chicks!$O:$O,Chicks!$F:$F,A713))</f>
        <v/>
      </c>
      <c r="M713" s="6" t="str">
        <f>IF(A713="","",SUMIFS(Chicks!$P:$P,Chicks!$F:$F,A713))</f>
        <v/>
      </c>
      <c r="N713" s="6" t="str">
        <f t="shared" si="3"/>
        <v/>
      </c>
    </row>
    <row r="714" spans="6:14" ht="14.25" customHeight="1" x14ac:dyDescent="0.3">
      <c r="F714" s="6" t="str">
        <f>IF(A714="","",COUNTIF(Chicks!$F:$F,A714))</f>
        <v/>
      </c>
      <c r="G714" s="6" t="str">
        <f>IF(A714="","",COUNTIFS(Chicks!$F:$F,A714,Chicks!$I:$I,"Yes"))</f>
        <v/>
      </c>
      <c r="H714" s="6" t="str">
        <f>IF(A714="","",SUMIFS(Chicks!$J:$J,Chicks!$F:$F,A714))</f>
        <v/>
      </c>
      <c r="I714" s="6" t="str">
        <f>IF(A714="","",COUNTIFS(Chicks!$F:$F,A714,Chicks!$I:$I,"No"))</f>
        <v/>
      </c>
      <c r="J714" s="6" t="str">
        <f>IF(A714="","",IFERROR(AVERAGEIF(Chicks!$F:$F,A714,Chicks!$M:$M),""))</f>
        <v/>
      </c>
      <c r="K714" s="6" t="str">
        <f>IF(A714="","",SUMIFS(Chicks!$N:$N,Chicks!$F:$F,A714))</f>
        <v/>
      </c>
      <c r="L714" s="6" t="str">
        <f>IF(A714="","",SUMIFS(Chicks!$O:$O,Chicks!$F:$F,A714))</f>
        <v/>
      </c>
      <c r="M714" s="6" t="str">
        <f>IF(A714="","",SUMIFS(Chicks!$P:$P,Chicks!$F:$F,A714))</f>
        <v/>
      </c>
      <c r="N714" s="6" t="str">
        <f t="shared" si="3"/>
        <v/>
      </c>
    </row>
    <row r="715" spans="6:14" ht="14.25" customHeight="1" x14ac:dyDescent="0.3">
      <c r="F715" s="6" t="str">
        <f>IF(A715="","",COUNTIF(Chicks!$F:$F,A715))</f>
        <v/>
      </c>
      <c r="G715" s="6" t="str">
        <f>IF(A715="","",COUNTIFS(Chicks!$F:$F,A715,Chicks!$I:$I,"Yes"))</f>
        <v/>
      </c>
      <c r="H715" s="6" t="str">
        <f>IF(A715="","",SUMIFS(Chicks!$J:$J,Chicks!$F:$F,A715))</f>
        <v/>
      </c>
      <c r="I715" s="6" t="str">
        <f>IF(A715="","",COUNTIFS(Chicks!$F:$F,A715,Chicks!$I:$I,"No"))</f>
        <v/>
      </c>
      <c r="J715" s="6" t="str">
        <f>IF(A715="","",IFERROR(AVERAGEIF(Chicks!$F:$F,A715,Chicks!$M:$M),""))</f>
        <v/>
      </c>
      <c r="K715" s="6" t="str">
        <f>IF(A715="","",SUMIFS(Chicks!$N:$N,Chicks!$F:$F,A715))</f>
        <v/>
      </c>
      <c r="L715" s="6" t="str">
        <f>IF(A715="","",SUMIFS(Chicks!$O:$O,Chicks!$F:$F,A715))</f>
        <v/>
      </c>
      <c r="M715" s="6" t="str">
        <f>IF(A715="","",SUMIFS(Chicks!$P:$P,Chicks!$F:$F,A715))</f>
        <v/>
      </c>
      <c r="N715" s="6" t="str">
        <f t="shared" si="3"/>
        <v/>
      </c>
    </row>
    <row r="716" spans="6:14" ht="14.25" customHeight="1" x14ac:dyDescent="0.3">
      <c r="F716" s="6" t="str">
        <f>IF(A716="","",COUNTIF(Chicks!$F:$F,A716))</f>
        <v/>
      </c>
      <c r="G716" s="6" t="str">
        <f>IF(A716="","",COUNTIFS(Chicks!$F:$F,A716,Chicks!$I:$I,"Yes"))</f>
        <v/>
      </c>
      <c r="H716" s="6" t="str">
        <f>IF(A716="","",SUMIFS(Chicks!$J:$J,Chicks!$F:$F,A716))</f>
        <v/>
      </c>
      <c r="I716" s="6" t="str">
        <f>IF(A716="","",COUNTIFS(Chicks!$F:$F,A716,Chicks!$I:$I,"No"))</f>
        <v/>
      </c>
      <c r="J716" s="6" t="str">
        <f>IF(A716="","",IFERROR(AVERAGEIF(Chicks!$F:$F,A716,Chicks!$M:$M),""))</f>
        <v/>
      </c>
      <c r="K716" s="6" t="str">
        <f>IF(A716="","",SUMIFS(Chicks!$N:$N,Chicks!$F:$F,A716))</f>
        <v/>
      </c>
      <c r="L716" s="6" t="str">
        <f>IF(A716="","",SUMIFS(Chicks!$O:$O,Chicks!$F:$F,A716))</f>
        <v/>
      </c>
      <c r="M716" s="6" t="str">
        <f>IF(A716="","",SUMIFS(Chicks!$P:$P,Chicks!$F:$F,A716))</f>
        <v/>
      </c>
      <c r="N716" s="6" t="str">
        <f t="shared" si="3"/>
        <v/>
      </c>
    </row>
    <row r="717" spans="6:14" ht="14.25" customHeight="1" x14ac:dyDescent="0.3">
      <c r="F717" s="6" t="str">
        <f>IF(A717="","",COUNTIF(Chicks!$F:$F,A717))</f>
        <v/>
      </c>
      <c r="G717" s="6" t="str">
        <f>IF(A717="","",COUNTIFS(Chicks!$F:$F,A717,Chicks!$I:$I,"Yes"))</f>
        <v/>
      </c>
      <c r="H717" s="6" t="str">
        <f>IF(A717="","",SUMIFS(Chicks!$J:$J,Chicks!$F:$F,A717))</f>
        <v/>
      </c>
      <c r="I717" s="6" t="str">
        <f>IF(A717="","",COUNTIFS(Chicks!$F:$F,A717,Chicks!$I:$I,"No"))</f>
        <v/>
      </c>
      <c r="J717" s="6" t="str">
        <f>IF(A717="","",IFERROR(AVERAGEIF(Chicks!$F:$F,A717,Chicks!$M:$M),""))</f>
        <v/>
      </c>
      <c r="K717" s="6" t="str">
        <f>IF(A717="","",SUMIFS(Chicks!$N:$N,Chicks!$F:$F,A717))</f>
        <v/>
      </c>
      <c r="L717" s="6" t="str">
        <f>IF(A717="","",SUMIFS(Chicks!$O:$O,Chicks!$F:$F,A717))</f>
        <v/>
      </c>
      <c r="M717" s="6" t="str">
        <f>IF(A717="","",SUMIFS(Chicks!$P:$P,Chicks!$F:$F,A717))</f>
        <v/>
      </c>
      <c r="N717" s="6" t="str">
        <f t="shared" si="3"/>
        <v/>
      </c>
    </row>
    <row r="718" spans="6:14" ht="14.25" customHeight="1" x14ac:dyDescent="0.3">
      <c r="F718" s="6" t="str">
        <f>IF(A718="","",COUNTIF(Chicks!$F:$F,A718))</f>
        <v/>
      </c>
      <c r="G718" s="6" t="str">
        <f>IF(A718="","",COUNTIFS(Chicks!$F:$F,A718,Chicks!$I:$I,"Yes"))</f>
        <v/>
      </c>
      <c r="H718" s="6" t="str">
        <f>IF(A718="","",SUMIFS(Chicks!$J:$J,Chicks!$F:$F,A718))</f>
        <v/>
      </c>
      <c r="I718" s="6" t="str">
        <f>IF(A718="","",COUNTIFS(Chicks!$F:$F,A718,Chicks!$I:$I,"No"))</f>
        <v/>
      </c>
      <c r="J718" s="6" t="str">
        <f>IF(A718="","",IFERROR(AVERAGEIF(Chicks!$F:$F,A718,Chicks!$M:$M),""))</f>
        <v/>
      </c>
      <c r="K718" s="6" t="str">
        <f>IF(A718="","",SUMIFS(Chicks!$N:$N,Chicks!$F:$F,A718))</f>
        <v/>
      </c>
      <c r="L718" s="6" t="str">
        <f>IF(A718="","",SUMIFS(Chicks!$O:$O,Chicks!$F:$F,A718))</f>
        <v/>
      </c>
      <c r="M718" s="6" t="str">
        <f>IF(A718="","",SUMIFS(Chicks!$P:$P,Chicks!$F:$F,A718))</f>
        <v/>
      </c>
      <c r="N718" s="6" t="str">
        <f t="shared" si="3"/>
        <v/>
      </c>
    </row>
    <row r="719" spans="6:14" ht="14.25" customHeight="1" x14ac:dyDescent="0.3">
      <c r="F719" s="6" t="str">
        <f>IF(A719="","",COUNTIF(Chicks!$F:$F,A719))</f>
        <v/>
      </c>
      <c r="G719" s="6" t="str">
        <f>IF(A719="","",COUNTIFS(Chicks!$F:$F,A719,Chicks!$I:$I,"Yes"))</f>
        <v/>
      </c>
      <c r="H719" s="6" t="str">
        <f>IF(A719="","",SUMIFS(Chicks!$J:$J,Chicks!$F:$F,A719))</f>
        <v/>
      </c>
      <c r="I719" s="6" t="str">
        <f>IF(A719="","",COUNTIFS(Chicks!$F:$F,A719,Chicks!$I:$I,"No"))</f>
        <v/>
      </c>
      <c r="J719" s="6" t="str">
        <f>IF(A719="","",IFERROR(AVERAGEIF(Chicks!$F:$F,A719,Chicks!$M:$M),""))</f>
        <v/>
      </c>
      <c r="K719" s="6" t="str">
        <f>IF(A719="","",SUMIFS(Chicks!$N:$N,Chicks!$F:$F,A719))</f>
        <v/>
      </c>
      <c r="L719" s="6" t="str">
        <f>IF(A719="","",SUMIFS(Chicks!$O:$O,Chicks!$F:$F,A719))</f>
        <v/>
      </c>
      <c r="M719" s="6" t="str">
        <f>IF(A719="","",SUMIFS(Chicks!$P:$P,Chicks!$F:$F,A719))</f>
        <v/>
      </c>
      <c r="N719" s="6" t="str">
        <f t="shared" si="3"/>
        <v/>
      </c>
    </row>
    <row r="720" spans="6:14" ht="14.25" customHeight="1" x14ac:dyDescent="0.3">
      <c r="F720" s="6" t="str">
        <f>IF(A720="","",COUNTIF(Chicks!$F:$F,A720))</f>
        <v/>
      </c>
      <c r="G720" s="6" t="str">
        <f>IF(A720="","",COUNTIFS(Chicks!$F:$F,A720,Chicks!$I:$I,"Yes"))</f>
        <v/>
      </c>
      <c r="H720" s="6" t="str">
        <f>IF(A720="","",SUMIFS(Chicks!$J:$J,Chicks!$F:$F,A720))</f>
        <v/>
      </c>
      <c r="I720" s="6" t="str">
        <f>IF(A720="","",COUNTIFS(Chicks!$F:$F,A720,Chicks!$I:$I,"No"))</f>
        <v/>
      </c>
      <c r="J720" s="6" t="str">
        <f>IF(A720="","",IFERROR(AVERAGEIF(Chicks!$F:$F,A720,Chicks!$M:$M),""))</f>
        <v/>
      </c>
      <c r="K720" s="6" t="str">
        <f>IF(A720="","",SUMIFS(Chicks!$N:$N,Chicks!$F:$F,A720))</f>
        <v/>
      </c>
      <c r="L720" s="6" t="str">
        <f>IF(A720="","",SUMIFS(Chicks!$O:$O,Chicks!$F:$F,A720))</f>
        <v/>
      </c>
      <c r="M720" s="6" t="str">
        <f>IF(A720="","",SUMIFS(Chicks!$P:$P,Chicks!$F:$F,A720))</f>
        <v/>
      </c>
      <c r="N720" s="6" t="str">
        <f t="shared" si="3"/>
        <v/>
      </c>
    </row>
    <row r="721" spans="6:14" ht="14.25" customHeight="1" x14ac:dyDescent="0.3">
      <c r="F721" s="6" t="str">
        <f>IF(A721="","",COUNTIF(Chicks!$F:$F,A721))</f>
        <v/>
      </c>
      <c r="G721" s="6" t="str">
        <f>IF(A721="","",COUNTIFS(Chicks!$F:$F,A721,Chicks!$I:$I,"Yes"))</f>
        <v/>
      </c>
      <c r="H721" s="6" t="str">
        <f>IF(A721="","",SUMIFS(Chicks!$J:$J,Chicks!$F:$F,A721))</f>
        <v/>
      </c>
      <c r="I721" s="6" t="str">
        <f>IF(A721="","",COUNTIFS(Chicks!$F:$F,A721,Chicks!$I:$I,"No"))</f>
        <v/>
      </c>
      <c r="J721" s="6" t="str">
        <f>IF(A721="","",IFERROR(AVERAGEIF(Chicks!$F:$F,A721,Chicks!$M:$M),""))</f>
        <v/>
      </c>
      <c r="K721" s="6" t="str">
        <f>IF(A721="","",SUMIFS(Chicks!$N:$N,Chicks!$F:$F,A721))</f>
        <v/>
      </c>
      <c r="L721" s="6" t="str">
        <f>IF(A721="","",SUMIFS(Chicks!$O:$O,Chicks!$F:$F,A721))</f>
        <v/>
      </c>
      <c r="M721" s="6" t="str">
        <f>IF(A721="","",SUMIFS(Chicks!$P:$P,Chicks!$F:$F,A721))</f>
        <v/>
      </c>
      <c r="N721" s="6" t="str">
        <f t="shared" si="3"/>
        <v/>
      </c>
    </row>
    <row r="722" spans="6:14" ht="14.25" customHeight="1" x14ac:dyDescent="0.3">
      <c r="F722" s="6" t="str">
        <f>IF(A722="","",COUNTIF(Chicks!$F:$F,A722))</f>
        <v/>
      </c>
      <c r="G722" s="6" t="str">
        <f>IF(A722="","",COUNTIFS(Chicks!$F:$F,A722,Chicks!$I:$I,"Yes"))</f>
        <v/>
      </c>
      <c r="H722" s="6" t="str">
        <f>IF(A722="","",SUMIFS(Chicks!$J:$J,Chicks!$F:$F,A722))</f>
        <v/>
      </c>
      <c r="I722" s="6" t="str">
        <f>IF(A722="","",COUNTIFS(Chicks!$F:$F,A722,Chicks!$I:$I,"No"))</f>
        <v/>
      </c>
      <c r="J722" s="6" t="str">
        <f>IF(A722="","",IFERROR(AVERAGEIF(Chicks!$F:$F,A722,Chicks!$M:$M),""))</f>
        <v/>
      </c>
      <c r="K722" s="6" t="str">
        <f>IF(A722="","",SUMIFS(Chicks!$N:$N,Chicks!$F:$F,A722))</f>
        <v/>
      </c>
      <c r="L722" s="6" t="str">
        <f>IF(A722="","",SUMIFS(Chicks!$O:$O,Chicks!$F:$F,A722))</f>
        <v/>
      </c>
      <c r="M722" s="6" t="str">
        <f>IF(A722="","",SUMIFS(Chicks!$P:$P,Chicks!$F:$F,A722))</f>
        <v/>
      </c>
      <c r="N722" s="6" t="str">
        <f t="shared" si="3"/>
        <v/>
      </c>
    </row>
    <row r="723" spans="6:14" ht="14.25" customHeight="1" x14ac:dyDescent="0.3">
      <c r="F723" s="6" t="str">
        <f>IF(A723="","",COUNTIF(Chicks!$F:$F,A723))</f>
        <v/>
      </c>
      <c r="G723" s="6" t="str">
        <f>IF(A723="","",COUNTIFS(Chicks!$F:$F,A723,Chicks!$I:$I,"Yes"))</f>
        <v/>
      </c>
      <c r="H723" s="6" t="str">
        <f>IF(A723="","",SUMIFS(Chicks!$J:$J,Chicks!$F:$F,A723))</f>
        <v/>
      </c>
      <c r="I723" s="6" t="str">
        <f>IF(A723="","",COUNTIFS(Chicks!$F:$F,A723,Chicks!$I:$I,"No"))</f>
        <v/>
      </c>
      <c r="J723" s="6" t="str">
        <f>IF(A723="","",IFERROR(AVERAGEIF(Chicks!$F:$F,A723,Chicks!$M:$M),""))</f>
        <v/>
      </c>
      <c r="K723" s="6" t="str">
        <f>IF(A723="","",SUMIFS(Chicks!$N:$N,Chicks!$F:$F,A723))</f>
        <v/>
      </c>
      <c r="L723" s="6" t="str">
        <f>IF(A723="","",SUMIFS(Chicks!$O:$O,Chicks!$F:$F,A723))</f>
        <v/>
      </c>
      <c r="M723" s="6" t="str">
        <f>IF(A723="","",SUMIFS(Chicks!$P:$P,Chicks!$F:$F,A723))</f>
        <v/>
      </c>
      <c r="N723" s="6" t="str">
        <f t="shared" si="3"/>
        <v/>
      </c>
    </row>
    <row r="724" spans="6:14" ht="14.25" customHeight="1" x14ac:dyDescent="0.3">
      <c r="F724" s="6" t="str">
        <f>IF(A724="","",COUNTIF(Chicks!$F:$F,A724))</f>
        <v/>
      </c>
      <c r="G724" s="6" t="str">
        <f>IF(A724="","",COUNTIFS(Chicks!$F:$F,A724,Chicks!$I:$I,"Yes"))</f>
        <v/>
      </c>
      <c r="H724" s="6" t="str">
        <f>IF(A724="","",SUMIFS(Chicks!$J:$J,Chicks!$F:$F,A724))</f>
        <v/>
      </c>
      <c r="I724" s="6" t="str">
        <f>IF(A724="","",COUNTIFS(Chicks!$F:$F,A724,Chicks!$I:$I,"No"))</f>
        <v/>
      </c>
      <c r="J724" s="6" t="str">
        <f>IF(A724="","",IFERROR(AVERAGEIF(Chicks!$F:$F,A724,Chicks!$M:$M),""))</f>
        <v/>
      </c>
      <c r="K724" s="6" t="str">
        <f>IF(A724="","",SUMIFS(Chicks!$N:$N,Chicks!$F:$F,A724))</f>
        <v/>
      </c>
      <c r="L724" s="6" t="str">
        <f>IF(A724="","",SUMIFS(Chicks!$O:$O,Chicks!$F:$F,A724))</f>
        <v/>
      </c>
      <c r="M724" s="6" t="str">
        <f>IF(A724="","",SUMIFS(Chicks!$P:$P,Chicks!$F:$F,A724))</f>
        <v/>
      </c>
      <c r="N724" s="6" t="str">
        <f t="shared" si="3"/>
        <v/>
      </c>
    </row>
    <row r="725" spans="6:14" ht="14.25" customHeight="1" x14ac:dyDescent="0.3">
      <c r="F725" s="6" t="str">
        <f>IF(A725="","",COUNTIF(Chicks!$F:$F,A725))</f>
        <v/>
      </c>
      <c r="G725" s="6" t="str">
        <f>IF(A725="","",COUNTIFS(Chicks!$F:$F,A725,Chicks!$I:$I,"Yes"))</f>
        <v/>
      </c>
      <c r="H725" s="6" t="str">
        <f>IF(A725="","",SUMIFS(Chicks!$J:$J,Chicks!$F:$F,A725))</f>
        <v/>
      </c>
      <c r="I725" s="6" t="str">
        <f>IF(A725="","",COUNTIFS(Chicks!$F:$F,A725,Chicks!$I:$I,"No"))</f>
        <v/>
      </c>
      <c r="J725" s="6" t="str">
        <f>IF(A725="","",IFERROR(AVERAGEIF(Chicks!$F:$F,A725,Chicks!$M:$M),""))</f>
        <v/>
      </c>
      <c r="K725" s="6" t="str">
        <f>IF(A725="","",SUMIFS(Chicks!$N:$N,Chicks!$F:$F,A725))</f>
        <v/>
      </c>
      <c r="L725" s="6" t="str">
        <f>IF(A725="","",SUMIFS(Chicks!$O:$O,Chicks!$F:$F,A725))</f>
        <v/>
      </c>
      <c r="M725" s="6" t="str">
        <f>IF(A725="","",SUMIFS(Chicks!$P:$P,Chicks!$F:$F,A725))</f>
        <v/>
      </c>
      <c r="N725" s="6" t="str">
        <f t="shared" si="3"/>
        <v/>
      </c>
    </row>
    <row r="726" spans="6:14" ht="14.25" customHeight="1" x14ac:dyDescent="0.3">
      <c r="F726" s="6" t="str">
        <f>IF(A726="","",COUNTIF(Chicks!$F:$F,A726))</f>
        <v/>
      </c>
      <c r="G726" s="6" t="str">
        <f>IF(A726="","",COUNTIFS(Chicks!$F:$F,A726,Chicks!$I:$I,"Yes"))</f>
        <v/>
      </c>
      <c r="H726" s="6" t="str">
        <f>IF(A726="","",SUMIFS(Chicks!$J:$J,Chicks!$F:$F,A726))</f>
        <v/>
      </c>
      <c r="I726" s="6" t="str">
        <f>IF(A726="","",COUNTIFS(Chicks!$F:$F,A726,Chicks!$I:$I,"No"))</f>
        <v/>
      </c>
      <c r="J726" s="6" t="str">
        <f>IF(A726="","",IFERROR(AVERAGEIF(Chicks!$F:$F,A726,Chicks!$M:$M),""))</f>
        <v/>
      </c>
      <c r="K726" s="6" t="str">
        <f>IF(A726="","",SUMIFS(Chicks!$N:$N,Chicks!$F:$F,A726))</f>
        <v/>
      </c>
      <c r="L726" s="6" t="str">
        <f>IF(A726="","",SUMIFS(Chicks!$O:$O,Chicks!$F:$F,A726))</f>
        <v/>
      </c>
      <c r="M726" s="6" t="str">
        <f>IF(A726="","",SUMIFS(Chicks!$P:$P,Chicks!$F:$F,A726))</f>
        <v/>
      </c>
      <c r="N726" s="6" t="str">
        <f t="shared" si="3"/>
        <v/>
      </c>
    </row>
    <row r="727" spans="6:14" ht="14.25" customHeight="1" x14ac:dyDescent="0.3">
      <c r="F727" s="6" t="str">
        <f>IF(A727="","",COUNTIF(Chicks!$F:$F,A727))</f>
        <v/>
      </c>
      <c r="G727" s="6" t="str">
        <f>IF(A727="","",COUNTIFS(Chicks!$F:$F,A727,Chicks!$I:$I,"Yes"))</f>
        <v/>
      </c>
      <c r="H727" s="6" t="str">
        <f>IF(A727="","",SUMIFS(Chicks!$J:$J,Chicks!$F:$F,A727))</f>
        <v/>
      </c>
      <c r="I727" s="6" t="str">
        <f>IF(A727="","",COUNTIFS(Chicks!$F:$F,A727,Chicks!$I:$I,"No"))</f>
        <v/>
      </c>
      <c r="J727" s="6" t="str">
        <f>IF(A727="","",IFERROR(AVERAGEIF(Chicks!$F:$F,A727,Chicks!$M:$M),""))</f>
        <v/>
      </c>
      <c r="K727" s="6" t="str">
        <f>IF(A727="","",SUMIFS(Chicks!$N:$N,Chicks!$F:$F,A727))</f>
        <v/>
      </c>
      <c r="L727" s="6" t="str">
        <f>IF(A727="","",SUMIFS(Chicks!$O:$O,Chicks!$F:$F,A727))</f>
        <v/>
      </c>
      <c r="M727" s="6" t="str">
        <f>IF(A727="","",SUMIFS(Chicks!$P:$P,Chicks!$F:$F,A727))</f>
        <v/>
      </c>
      <c r="N727" s="6" t="str">
        <f t="shared" si="3"/>
        <v/>
      </c>
    </row>
    <row r="728" spans="6:14" ht="14.25" customHeight="1" x14ac:dyDescent="0.3">
      <c r="F728" s="6" t="str">
        <f>IF(A728="","",COUNTIF(Chicks!$F:$F,A728))</f>
        <v/>
      </c>
      <c r="G728" s="6" t="str">
        <f>IF(A728="","",COUNTIFS(Chicks!$F:$F,A728,Chicks!$I:$I,"Yes"))</f>
        <v/>
      </c>
      <c r="H728" s="6" t="str">
        <f>IF(A728="","",SUMIFS(Chicks!$J:$J,Chicks!$F:$F,A728))</f>
        <v/>
      </c>
      <c r="I728" s="6" t="str">
        <f>IF(A728="","",COUNTIFS(Chicks!$F:$F,A728,Chicks!$I:$I,"No"))</f>
        <v/>
      </c>
      <c r="J728" s="6" t="str">
        <f>IF(A728="","",IFERROR(AVERAGEIF(Chicks!$F:$F,A728,Chicks!$M:$M),""))</f>
        <v/>
      </c>
      <c r="K728" s="6" t="str">
        <f>IF(A728="","",SUMIFS(Chicks!$N:$N,Chicks!$F:$F,A728))</f>
        <v/>
      </c>
      <c r="L728" s="6" t="str">
        <f>IF(A728="","",SUMIFS(Chicks!$O:$O,Chicks!$F:$F,A728))</f>
        <v/>
      </c>
      <c r="M728" s="6" t="str">
        <f>IF(A728="","",SUMIFS(Chicks!$P:$P,Chicks!$F:$F,A728))</f>
        <v/>
      </c>
      <c r="N728" s="6" t="str">
        <f t="shared" si="3"/>
        <v/>
      </c>
    </row>
    <row r="729" spans="6:14" ht="14.25" customHeight="1" x14ac:dyDescent="0.3">
      <c r="F729" s="6" t="str">
        <f>IF(A729="","",COUNTIF(Chicks!$F:$F,A729))</f>
        <v/>
      </c>
      <c r="G729" s="6" t="str">
        <f>IF(A729="","",COUNTIFS(Chicks!$F:$F,A729,Chicks!$I:$I,"Yes"))</f>
        <v/>
      </c>
      <c r="H729" s="6" t="str">
        <f>IF(A729="","",SUMIFS(Chicks!$J:$J,Chicks!$F:$F,A729))</f>
        <v/>
      </c>
      <c r="I729" s="6" t="str">
        <f>IF(A729="","",COUNTIFS(Chicks!$F:$F,A729,Chicks!$I:$I,"No"))</f>
        <v/>
      </c>
      <c r="J729" s="6" t="str">
        <f>IF(A729="","",IFERROR(AVERAGEIF(Chicks!$F:$F,A729,Chicks!$M:$M),""))</f>
        <v/>
      </c>
      <c r="K729" s="6" t="str">
        <f>IF(A729="","",SUMIFS(Chicks!$N:$N,Chicks!$F:$F,A729))</f>
        <v/>
      </c>
      <c r="L729" s="6" t="str">
        <f>IF(A729="","",SUMIFS(Chicks!$O:$O,Chicks!$F:$F,A729))</f>
        <v/>
      </c>
      <c r="M729" s="6" t="str">
        <f>IF(A729="","",SUMIFS(Chicks!$P:$P,Chicks!$F:$F,A729))</f>
        <v/>
      </c>
      <c r="N729" s="6" t="str">
        <f t="shared" si="3"/>
        <v/>
      </c>
    </row>
    <row r="730" spans="6:14" ht="14.25" customHeight="1" x14ac:dyDescent="0.3">
      <c r="F730" s="6" t="str">
        <f>IF(A730="","",COUNTIF(Chicks!$F:$F,A730))</f>
        <v/>
      </c>
      <c r="G730" s="6" t="str">
        <f>IF(A730="","",COUNTIFS(Chicks!$F:$F,A730,Chicks!$I:$I,"Yes"))</f>
        <v/>
      </c>
      <c r="H730" s="6" t="str">
        <f>IF(A730="","",SUMIFS(Chicks!$J:$J,Chicks!$F:$F,A730))</f>
        <v/>
      </c>
      <c r="I730" s="6" t="str">
        <f>IF(A730="","",COUNTIFS(Chicks!$F:$F,A730,Chicks!$I:$I,"No"))</f>
        <v/>
      </c>
      <c r="J730" s="6" t="str">
        <f>IF(A730="","",IFERROR(AVERAGEIF(Chicks!$F:$F,A730,Chicks!$M:$M),""))</f>
        <v/>
      </c>
      <c r="K730" s="6" t="str">
        <f>IF(A730="","",SUMIFS(Chicks!$N:$N,Chicks!$F:$F,A730))</f>
        <v/>
      </c>
      <c r="L730" s="6" t="str">
        <f>IF(A730="","",SUMIFS(Chicks!$O:$O,Chicks!$F:$F,A730))</f>
        <v/>
      </c>
      <c r="M730" s="6" t="str">
        <f>IF(A730="","",SUMIFS(Chicks!$P:$P,Chicks!$F:$F,A730))</f>
        <v/>
      </c>
      <c r="N730" s="6" t="str">
        <f t="shared" si="3"/>
        <v/>
      </c>
    </row>
    <row r="731" spans="6:14" ht="14.25" customHeight="1" x14ac:dyDescent="0.3">
      <c r="F731" s="6" t="str">
        <f>IF(A731="","",COUNTIF(Chicks!$F:$F,A731))</f>
        <v/>
      </c>
      <c r="G731" s="6" t="str">
        <f>IF(A731="","",COUNTIFS(Chicks!$F:$F,A731,Chicks!$I:$I,"Yes"))</f>
        <v/>
      </c>
      <c r="H731" s="6" t="str">
        <f>IF(A731="","",SUMIFS(Chicks!$J:$J,Chicks!$F:$F,A731))</f>
        <v/>
      </c>
      <c r="I731" s="6" t="str">
        <f>IF(A731="","",COUNTIFS(Chicks!$F:$F,A731,Chicks!$I:$I,"No"))</f>
        <v/>
      </c>
      <c r="J731" s="6" t="str">
        <f>IF(A731="","",IFERROR(AVERAGEIF(Chicks!$F:$F,A731,Chicks!$M:$M),""))</f>
        <v/>
      </c>
      <c r="K731" s="6" t="str">
        <f>IF(A731="","",SUMIFS(Chicks!$N:$N,Chicks!$F:$F,A731))</f>
        <v/>
      </c>
      <c r="L731" s="6" t="str">
        <f>IF(A731="","",SUMIFS(Chicks!$O:$O,Chicks!$F:$F,A731))</f>
        <v/>
      </c>
      <c r="M731" s="6" t="str">
        <f>IF(A731="","",SUMIFS(Chicks!$P:$P,Chicks!$F:$F,A731))</f>
        <v/>
      </c>
      <c r="N731" s="6" t="str">
        <f t="shared" si="3"/>
        <v/>
      </c>
    </row>
    <row r="732" spans="6:14" ht="14.25" customHeight="1" x14ac:dyDescent="0.3">
      <c r="F732" s="6" t="str">
        <f>IF(A732="","",COUNTIF(Chicks!$F:$F,A732))</f>
        <v/>
      </c>
      <c r="G732" s="6" t="str">
        <f>IF(A732="","",COUNTIFS(Chicks!$F:$F,A732,Chicks!$I:$I,"Yes"))</f>
        <v/>
      </c>
      <c r="H732" s="6" t="str">
        <f>IF(A732="","",SUMIFS(Chicks!$J:$J,Chicks!$F:$F,A732))</f>
        <v/>
      </c>
      <c r="I732" s="6" t="str">
        <f>IF(A732="","",COUNTIFS(Chicks!$F:$F,A732,Chicks!$I:$I,"No"))</f>
        <v/>
      </c>
      <c r="J732" s="6" t="str">
        <f>IF(A732="","",IFERROR(AVERAGEIF(Chicks!$F:$F,A732,Chicks!$M:$M),""))</f>
        <v/>
      </c>
      <c r="K732" s="6" t="str">
        <f>IF(A732="","",SUMIFS(Chicks!$N:$N,Chicks!$F:$F,A732))</f>
        <v/>
      </c>
      <c r="L732" s="6" t="str">
        <f>IF(A732="","",SUMIFS(Chicks!$O:$O,Chicks!$F:$F,A732))</f>
        <v/>
      </c>
      <c r="M732" s="6" t="str">
        <f>IF(A732="","",SUMIFS(Chicks!$P:$P,Chicks!$F:$F,A732))</f>
        <v/>
      </c>
      <c r="N732" s="6" t="str">
        <f t="shared" si="3"/>
        <v/>
      </c>
    </row>
    <row r="733" spans="6:14" ht="14.25" customHeight="1" x14ac:dyDescent="0.3">
      <c r="F733" s="6" t="str">
        <f>IF(A733="","",COUNTIF(Chicks!$F:$F,A733))</f>
        <v/>
      </c>
      <c r="G733" s="6" t="str">
        <f>IF(A733="","",COUNTIFS(Chicks!$F:$F,A733,Chicks!$I:$I,"Yes"))</f>
        <v/>
      </c>
      <c r="H733" s="6" t="str">
        <f>IF(A733="","",SUMIFS(Chicks!$J:$J,Chicks!$F:$F,A733))</f>
        <v/>
      </c>
      <c r="I733" s="6" t="str">
        <f>IF(A733="","",COUNTIFS(Chicks!$F:$F,A733,Chicks!$I:$I,"No"))</f>
        <v/>
      </c>
      <c r="J733" s="6" t="str">
        <f>IF(A733="","",IFERROR(AVERAGEIF(Chicks!$F:$F,A733,Chicks!$M:$M),""))</f>
        <v/>
      </c>
      <c r="K733" s="6" t="str">
        <f>IF(A733="","",SUMIFS(Chicks!$N:$N,Chicks!$F:$F,A733))</f>
        <v/>
      </c>
      <c r="L733" s="6" t="str">
        <f>IF(A733="","",SUMIFS(Chicks!$O:$O,Chicks!$F:$F,A733))</f>
        <v/>
      </c>
      <c r="M733" s="6" t="str">
        <f>IF(A733="","",SUMIFS(Chicks!$P:$P,Chicks!$F:$F,A733))</f>
        <v/>
      </c>
      <c r="N733" s="6" t="str">
        <f t="shared" si="3"/>
        <v/>
      </c>
    </row>
    <row r="734" spans="6:14" ht="14.25" customHeight="1" x14ac:dyDescent="0.3">
      <c r="F734" s="6" t="str">
        <f>IF(A734="","",COUNTIF(Chicks!$F:$F,A734))</f>
        <v/>
      </c>
      <c r="G734" s="6" t="str">
        <f>IF(A734="","",COUNTIFS(Chicks!$F:$F,A734,Chicks!$I:$I,"Yes"))</f>
        <v/>
      </c>
      <c r="H734" s="6" t="str">
        <f>IF(A734="","",SUMIFS(Chicks!$J:$J,Chicks!$F:$F,A734))</f>
        <v/>
      </c>
      <c r="I734" s="6" t="str">
        <f>IF(A734="","",COUNTIFS(Chicks!$F:$F,A734,Chicks!$I:$I,"No"))</f>
        <v/>
      </c>
      <c r="J734" s="6" t="str">
        <f>IF(A734="","",IFERROR(AVERAGEIF(Chicks!$F:$F,A734,Chicks!$M:$M),""))</f>
        <v/>
      </c>
      <c r="K734" s="6" t="str">
        <f>IF(A734="","",SUMIFS(Chicks!$N:$N,Chicks!$F:$F,A734))</f>
        <v/>
      </c>
      <c r="L734" s="6" t="str">
        <f>IF(A734="","",SUMIFS(Chicks!$O:$O,Chicks!$F:$F,A734))</f>
        <v/>
      </c>
      <c r="M734" s="6" t="str">
        <f>IF(A734="","",SUMIFS(Chicks!$P:$P,Chicks!$F:$F,A734))</f>
        <v/>
      </c>
      <c r="N734" s="6" t="str">
        <f t="shared" si="3"/>
        <v/>
      </c>
    </row>
    <row r="735" spans="6:14" ht="14.25" customHeight="1" x14ac:dyDescent="0.3">
      <c r="F735" s="6" t="str">
        <f>IF(A735="","",COUNTIF(Chicks!$F:$F,A735))</f>
        <v/>
      </c>
      <c r="G735" s="6" t="str">
        <f>IF(A735="","",COUNTIFS(Chicks!$F:$F,A735,Chicks!$I:$I,"Yes"))</f>
        <v/>
      </c>
      <c r="H735" s="6" t="str">
        <f>IF(A735="","",SUMIFS(Chicks!$J:$J,Chicks!$F:$F,A735))</f>
        <v/>
      </c>
      <c r="I735" s="6" t="str">
        <f>IF(A735="","",COUNTIFS(Chicks!$F:$F,A735,Chicks!$I:$I,"No"))</f>
        <v/>
      </c>
      <c r="J735" s="6" t="str">
        <f>IF(A735="","",IFERROR(AVERAGEIF(Chicks!$F:$F,A735,Chicks!$M:$M),""))</f>
        <v/>
      </c>
      <c r="K735" s="6" t="str">
        <f>IF(A735="","",SUMIFS(Chicks!$N:$N,Chicks!$F:$F,A735))</f>
        <v/>
      </c>
      <c r="L735" s="6" t="str">
        <f>IF(A735="","",SUMIFS(Chicks!$O:$O,Chicks!$F:$F,A735))</f>
        <v/>
      </c>
      <c r="M735" s="6" t="str">
        <f>IF(A735="","",SUMIFS(Chicks!$P:$P,Chicks!$F:$F,A735))</f>
        <v/>
      </c>
      <c r="N735" s="6" t="str">
        <f t="shared" si="3"/>
        <v/>
      </c>
    </row>
    <row r="736" spans="6:14" ht="14.25" customHeight="1" x14ac:dyDescent="0.3">
      <c r="F736" s="6" t="str">
        <f>IF(A736="","",COUNTIF(Chicks!$F:$F,A736))</f>
        <v/>
      </c>
      <c r="G736" s="6" t="str">
        <f>IF(A736="","",COUNTIFS(Chicks!$F:$F,A736,Chicks!$I:$I,"Yes"))</f>
        <v/>
      </c>
      <c r="H736" s="6" t="str">
        <f>IF(A736="","",SUMIFS(Chicks!$J:$J,Chicks!$F:$F,A736))</f>
        <v/>
      </c>
      <c r="I736" s="6" t="str">
        <f>IF(A736="","",COUNTIFS(Chicks!$F:$F,A736,Chicks!$I:$I,"No"))</f>
        <v/>
      </c>
      <c r="J736" s="6" t="str">
        <f>IF(A736="","",IFERROR(AVERAGEIF(Chicks!$F:$F,A736,Chicks!$M:$M),""))</f>
        <v/>
      </c>
      <c r="K736" s="6" t="str">
        <f>IF(A736="","",SUMIFS(Chicks!$N:$N,Chicks!$F:$F,A736))</f>
        <v/>
      </c>
      <c r="L736" s="6" t="str">
        <f>IF(A736="","",SUMIFS(Chicks!$O:$O,Chicks!$F:$F,A736))</f>
        <v/>
      </c>
      <c r="M736" s="6" t="str">
        <f>IF(A736="","",SUMIFS(Chicks!$P:$P,Chicks!$F:$F,A736))</f>
        <v/>
      </c>
      <c r="N736" s="6" t="str">
        <f t="shared" si="3"/>
        <v/>
      </c>
    </row>
    <row r="737" spans="6:14" ht="14.25" customHeight="1" x14ac:dyDescent="0.3">
      <c r="F737" s="6" t="str">
        <f>IF(A737="","",COUNTIF(Chicks!$F:$F,A737))</f>
        <v/>
      </c>
      <c r="G737" s="6" t="str">
        <f>IF(A737="","",COUNTIFS(Chicks!$F:$F,A737,Chicks!$I:$I,"Yes"))</f>
        <v/>
      </c>
      <c r="H737" s="6" t="str">
        <f>IF(A737="","",SUMIFS(Chicks!$J:$J,Chicks!$F:$F,A737))</f>
        <v/>
      </c>
      <c r="I737" s="6" t="str">
        <f>IF(A737="","",COUNTIFS(Chicks!$F:$F,A737,Chicks!$I:$I,"No"))</f>
        <v/>
      </c>
      <c r="J737" s="6" t="str">
        <f>IF(A737="","",IFERROR(AVERAGEIF(Chicks!$F:$F,A737,Chicks!$M:$M),""))</f>
        <v/>
      </c>
      <c r="K737" s="6" t="str">
        <f>IF(A737="","",SUMIFS(Chicks!$N:$N,Chicks!$F:$F,A737))</f>
        <v/>
      </c>
      <c r="L737" s="6" t="str">
        <f>IF(A737="","",SUMIFS(Chicks!$O:$O,Chicks!$F:$F,A737))</f>
        <v/>
      </c>
      <c r="M737" s="6" t="str">
        <f>IF(A737="","",SUMIFS(Chicks!$P:$P,Chicks!$F:$F,A737))</f>
        <v/>
      </c>
      <c r="N737" s="6" t="str">
        <f t="shared" si="3"/>
        <v/>
      </c>
    </row>
    <row r="738" spans="6:14" ht="14.25" customHeight="1" x14ac:dyDescent="0.3">
      <c r="F738" s="6" t="str">
        <f>IF(A738="","",COUNTIF(Chicks!$F:$F,A738))</f>
        <v/>
      </c>
      <c r="G738" s="6" t="str">
        <f>IF(A738="","",COUNTIFS(Chicks!$F:$F,A738,Chicks!$I:$I,"Yes"))</f>
        <v/>
      </c>
      <c r="H738" s="6" t="str">
        <f>IF(A738="","",SUMIFS(Chicks!$J:$J,Chicks!$F:$F,A738))</f>
        <v/>
      </c>
      <c r="I738" s="6" t="str">
        <f>IF(A738="","",COUNTIFS(Chicks!$F:$F,A738,Chicks!$I:$I,"No"))</f>
        <v/>
      </c>
      <c r="J738" s="6" t="str">
        <f>IF(A738="","",IFERROR(AVERAGEIF(Chicks!$F:$F,A738,Chicks!$M:$M),""))</f>
        <v/>
      </c>
      <c r="K738" s="6" t="str">
        <f>IF(A738="","",SUMIFS(Chicks!$N:$N,Chicks!$F:$F,A738))</f>
        <v/>
      </c>
      <c r="L738" s="6" t="str">
        <f>IF(A738="","",SUMIFS(Chicks!$O:$O,Chicks!$F:$F,A738))</f>
        <v/>
      </c>
      <c r="M738" s="6" t="str">
        <f>IF(A738="","",SUMIFS(Chicks!$P:$P,Chicks!$F:$F,A738))</f>
        <v/>
      </c>
      <c r="N738" s="6" t="str">
        <f t="shared" si="3"/>
        <v/>
      </c>
    </row>
    <row r="739" spans="6:14" ht="14.25" customHeight="1" x14ac:dyDescent="0.3">
      <c r="F739" s="6" t="str">
        <f>IF(A739="","",COUNTIF(Chicks!$F:$F,A739))</f>
        <v/>
      </c>
      <c r="G739" s="6" t="str">
        <f>IF(A739="","",COUNTIFS(Chicks!$F:$F,A739,Chicks!$I:$I,"Yes"))</f>
        <v/>
      </c>
      <c r="H739" s="6" t="str">
        <f>IF(A739="","",SUMIFS(Chicks!$J:$J,Chicks!$F:$F,A739))</f>
        <v/>
      </c>
      <c r="I739" s="6" t="str">
        <f>IF(A739="","",COUNTIFS(Chicks!$F:$F,A739,Chicks!$I:$I,"No"))</f>
        <v/>
      </c>
      <c r="J739" s="6" t="str">
        <f>IF(A739="","",IFERROR(AVERAGEIF(Chicks!$F:$F,A739,Chicks!$M:$M),""))</f>
        <v/>
      </c>
      <c r="K739" s="6" t="str">
        <f>IF(A739="","",SUMIFS(Chicks!$N:$N,Chicks!$F:$F,A739))</f>
        <v/>
      </c>
      <c r="L739" s="6" t="str">
        <f>IF(A739="","",SUMIFS(Chicks!$O:$O,Chicks!$F:$F,A739))</f>
        <v/>
      </c>
      <c r="M739" s="6" t="str">
        <f>IF(A739="","",SUMIFS(Chicks!$P:$P,Chicks!$F:$F,A739))</f>
        <v/>
      </c>
      <c r="N739" s="6" t="str">
        <f t="shared" si="3"/>
        <v/>
      </c>
    </row>
    <row r="740" spans="6:14" ht="14.25" customHeight="1" x14ac:dyDescent="0.3">
      <c r="F740" s="6" t="str">
        <f>IF(A740="","",COUNTIF(Chicks!$F:$F,A740))</f>
        <v/>
      </c>
      <c r="G740" s="6" t="str">
        <f>IF(A740="","",COUNTIFS(Chicks!$F:$F,A740,Chicks!$I:$I,"Yes"))</f>
        <v/>
      </c>
      <c r="H740" s="6" t="str">
        <f>IF(A740="","",SUMIFS(Chicks!$J:$J,Chicks!$F:$F,A740))</f>
        <v/>
      </c>
      <c r="I740" s="6" t="str">
        <f>IF(A740="","",COUNTIFS(Chicks!$F:$F,A740,Chicks!$I:$I,"No"))</f>
        <v/>
      </c>
      <c r="J740" s="6" t="str">
        <f>IF(A740="","",IFERROR(AVERAGEIF(Chicks!$F:$F,A740,Chicks!$M:$M),""))</f>
        <v/>
      </c>
      <c r="K740" s="6" t="str">
        <f>IF(A740="","",SUMIFS(Chicks!$N:$N,Chicks!$F:$F,A740))</f>
        <v/>
      </c>
      <c r="L740" s="6" t="str">
        <f>IF(A740="","",SUMIFS(Chicks!$O:$O,Chicks!$F:$F,A740))</f>
        <v/>
      </c>
      <c r="M740" s="6" t="str">
        <f>IF(A740="","",SUMIFS(Chicks!$P:$P,Chicks!$F:$F,A740))</f>
        <v/>
      </c>
      <c r="N740" s="6" t="str">
        <f t="shared" si="3"/>
        <v/>
      </c>
    </row>
    <row r="741" spans="6:14" ht="14.25" customHeight="1" x14ac:dyDescent="0.3">
      <c r="F741" s="6" t="str">
        <f>IF(A741="","",COUNTIF(Chicks!$F:$F,A741))</f>
        <v/>
      </c>
      <c r="G741" s="6" t="str">
        <f>IF(A741="","",COUNTIFS(Chicks!$F:$F,A741,Chicks!$I:$I,"Yes"))</f>
        <v/>
      </c>
      <c r="H741" s="6" t="str">
        <f>IF(A741="","",SUMIFS(Chicks!$J:$J,Chicks!$F:$F,A741))</f>
        <v/>
      </c>
      <c r="I741" s="6" t="str">
        <f>IF(A741="","",COUNTIFS(Chicks!$F:$F,A741,Chicks!$I:$I,"No"))</f>
        <v/>
      </c>
      <c r="J741" s="6" t="str">
        <f>IF(A741="","",IFERROR(AVERAGEIF(Chicks!$F:$F,A741,Chicks!$M:$M),""))</f>
        <v/>
      </c>
      <c r="K741" s="6" t="str">
        <f>IF(A741="","",SUMIFS(Chicks!$N:$N,Chicks!$F:$F,A741))</f>
        <v/>
      </c>
      <c r="L741" s="6" t="str">
        <f>IF(A741="","",SUMIFS(Chicks!$O:$O,Chicks!$F:$F,A741))</f>
        <v/>
      </c>
      <c r="M741" s="6" t="str">
        <f>IF(A741="","",SUMIFS(Chicks!$P:$P,Chicks!$F:$F,A741))</f>
        <v/>
      </c>
      <c r="N741" s="6" t="str">
        <f t="shared" si="3"/>
        <v/>
      </c>
    </row>
    <row r="742" spans="6:14" ht="14.25" customHeight="1" x14ac:dyDescent="0.3">
      <c r="F742" s="6" t="str">
        <f>IF(A742="","",COUNTIF(Chicks!$F:$F,A742))</f>
        <v/>
      </c>
      <c r="G742" s="6" t="str">
        <f>IF(A742="","",COUNTIFS(Chicks!$F:$F,A742,Chicks!$I:$I,"Yes"))</f>
        <v/>
      </c>
      <c r="H742" s="6" t="str">
        <f>IF(A742="","",SUMIFS(Chicks!$J:$J,Chicks!$F:$F,A742))</f>
        <v/>
      </c>
      <c r="I742" s="6" t="str">
        <f>IF(A742="","",COUNTIFS(Chicks!$F:$F,A742,Chicks!$I:$I,"No"))</f>
        <v/>
      </c>
      <c r="J742" s="6" t="str">
        <f>IF(A742="","",IFERROR(AVERAGEIF(Chicks!$F:$F,A742,Chicks!$M:$M),""))</f>
        <v/>
      </c>
      <c r="K742" s="6" t="str">
        <f>IF(A742="","",SUMIFS(Chicks!$N:$N,Chicks!$F:$F,A742))</f>
        <v/>
      </c>
      <c r="L742" s="6" t="str">
        <f>IF(A742="","",SUMIFS(Chicks!$O:$O,Chicks!$F:$F,A742))</f>
        <v/>
      </c>
      <c r="M742" s="6" t="str">
        <f>IF(A742="","",SUMIFS(Chicks!$P:$P,Chicks!$F:$F,A742))</f>
        <v/>
      </c>
      <c r="N742" s="6" t="str">
        <f t="shared" si="3"/>
        <v/>
      </c>
    </row>
    <row r="743" spans="6:14" ht="14.25" customHeight="1" x14ac:dyDescent="0.3">
      <c r="F743" s="6" t="str">
        <f>IF(A743="","",COUNTIF(Chicks!$F:$F,A743))</f>
        <v/>
      </c>
      <c r="G743" s="6" t="str">
        <f>IF(A743="","",COUNTIFS(Chicks!$F:$F,A743,Chicks!$I:$I,"Yes"))</f>
        <v/>
      </c>
      <c r="H743" s="6" t="str">
        <f>IF(A743="","",SUMIFS(Chicks!$J:$J,Chicks!$F:$F,A743))</f>
        <v/>
      </c>
      <c r="I743" s="6" t="str">
        <f>IF(A743="","",COUNTIFS(Chicks!$F:$F,A743,Chicks!$I:$I,"No"))</f>
        <v/>
      </c>
      <c r="J743" s="6" t="str">
        <f>IF(A743="","",IFERROR(AVERAGEIF(Chicks!$F:$F,A743,Chicks!$M:$M),""))</f>
        <v/>
      </c>
      <c r="K743" s="6" t="str">
        <f>IF(A743="","",SUMIFS(Chicks!$N:$N,Chicks!$F:$F,A743))</f>
        <v/>
      </c>
      <c r="L743" s="6" t="str">
        <f>IF(A743="","",SUMIFS(Chicks!$O:$O,Chicks!$F:$F,A743))</f>
        <v/>
      </c>
      <c r="M743" s="6" t="str">
        <f>IF(A743="","",SUMIFS(Chicks!$P:$P,Chicks!$F:$F,A743))</f>
        <v/>
      </c>
      <c r="N743" s="6" t="str">
        <f t="shared" si="3"/>
        <v/>
      </c>
    </row>
    <row r="744" spans="6:14" ht="14.25" customHeight="1" x14ac:dyDescent="0.3">
      <c r="F744" s="6" t="str">
        <f>IF(A744="","",COUNTIF(Chicks!$F:$F,A744))</f>
        <v/>
      </c>
      <c r="G744" s="6" t="str">
        <f>IF(A744="","",COUNTIFS(Chicks!$F:$F,A744,Chicks!$I:$I,"Yes"))</f>
        <v/>
      </c>
      <c r="H744" s="6" t="str">
        <f>IF(A744="","",SUMIFS(Chicks!$J:$J,Chicks!$F:$F,A744))</f>
        <v/>
      </c>
      <c r="I744" s="6" t="str">
        <f>IF(A744="","",COUNTIFS(Chicks!$F:$F,A744,Chicks!$I:$I,"No"))</f>
        <v/>
      </c>
      <c r="J744" s="6" t="str">
        <f>IF(A744="","",IFERROR(AVERAGEIF(Chicks!$F:$F,A744,Chicks!$M:$M),""))</f>
        <v/>
      </c>
      <c r="K744" s="6" t="str">
        <f>IF(A744="","",SUMIFS(Chicks!$N:$N,Chicks!$F:$F,A744))</f>
        <v/>
      </c>
      <c r="L744" s="6" t="str">
        <f>IF(A744="","",SUMIFS(Chicks!$O:$O,Chicks!$F:$F,A744))</f>
        <v/>
      </c>
      <c r="M744" s="6" t="str">
        <f>IF(A744="","",SUMIFS(Chicks!$P:$P,Chicks!$F:$F,A744))</f>
        <v/>
      </c>
      <c r="N744" s="6" t="str">
        <f t="shared" si="3"/>
        <v/>
      </c>
    </row>
    <row r="745" spans="6:14" ht="14.25" customHeight="1" x14ac:dyDescent="0.3">
      <c r="F745" s="6" t="str">
        <f>IF(A745="","",COUNTIF(Chicks!$F:$F,A745))</f>
        <v/>
      </c>
      <c r="G745" s="6" t="str">
        <f>IF(A745="","",COUNTIFS(Chicks!$F:$F,A745,Chicks!$I:$I,"Yes"))</f>
        <v/>
      </c>
      <c r="H745" s="6" t="str">
        <f>IF(A745="","",SUMIFS(Chicks!$J:$J,Chicks!$F:$F,A745))</f>
        <v/>
      </c>
      <c r="I745" s="6" t="str">
        <f>IF(A745="","",COUNTIFS(Chicks!$F:$F,A745,Chicks!$I:$I,"No"))</f>
        <v/>
      </c>
      <c r="J745" s="6" t="str">
        <f>IF(A745="","",IFERROR(AVERAGEIF(Chicks!$F:$F,A745,Chicks!$M:$M),""))</f>
        <v/>
      </c>
      <c r="K745" s="6" t="str">
        <f>IF(A745="","",SUMIFS(Chicks!$N:$N,Chicks!$F:$F,A745))</f>
        <v/>
      </c>
      <c r="L745" s="6" t="str">
        <f>IF(A745="","",SUMIFS(Chicks!$O:$O,Chicks!$F:$F,A745))</f>
        <v/>
      </c>
      <c r="M745" s="6" t="str">
        <f>IF(A745="","",SUMIFS(Chicks!$P:$P,Chicks!$F:$F,A745))</f>
        <v/>
      </c>
      <c r="N745" s="6" t="str">
        <f t="shared" si="3"/>
        <v/>
      </c>
    </row>
    <row r="746" spans="6:14" ht="14.25" customHeight="1" x14ac:dyDescent="0.3">
      <c r="F746" s="6" t="str">
        <f>IF(A746="","",COUNTIF(Chicks!$F:$F,A746))</f>
        <v/>
      </c>
      <c r="G746" s="6" t="str">
        <f>IF(A746="","",COUNTIFS(Chicks!$F:$F,A746,Chicks!$I:$I,"Yes"))</f>
        <v/>
      </c>
      <c r="H746" s="6" t="str">
        <f>IF(A746="","",SUMIFS(Chicks!$J:$J,Chicks!$F:$F,A746))</f>
        <v/>
      </c>
      <c r="I746" s="6" t="str">
        <f>IF(A746="","",COUNTIFS(Chicks!$F:$F,A746,Chicks!$I:$I,"No"))</f>
        <v/>
      </c>
      <c r="J746" s="6" t="str">
        <f>IF(A746="","",IFERROR(AVERAGEIF(Chicks!$F:$F,A746,Chicks!$M:$M),""))</f>
        <v/>
      </c>
      <c r="K746" s="6" t="str">
        <f>IF(A746="","",SUMIFS(Chicks!$N:$N,Chicks!$F:$F,A746))</f>
        <v/>
      </c>
      <c r="L746" s="6" t="str">
        <f>IF(A746="","",SUMIFS(Chicks!$O:$O,Chicks!$F:$F,A746))</f>
        <v/>
      </c>
      <c r="M746" s="6" t="str">
        <f>IF(A746="","",SUMIFS(Chicks!$P:$P,Chicks!$F:$F,A746))</f>
        <v/>
      </c>
      <c r="N746" s="6" t="str">
        <f t="shared" si="3"/>
        <v/>
      </c>
    </row>
    <row r="747" spans="6:14" ht="14.25" customHeight="1" x14ac:dyDescent="0.3">
      <c r="F747" s="6" t="str">
        <f>IF(A747="","",COUNTIF(Chicks!$F:$F,A747))</f>
        <v/>
      </c>
      <c r="G747" s="6" t="str">
        <f>IF(A747="","",COUNTIFS(Chicks!$F:$F,A747,Chicks!$I:$I,"Yes"))</f>
        <v/>
      </c>
      <c r="H747" s="6" t="str">
        <f>IF(A747="","",SUMIFS(Chicks!$J:$J,Chicks!$F:$F,A747))</f>
        <v/>
      </c>
      <c r="I747" s="6" t="str">
        <f>IF(A747="","",COUNTIFS(Chicks!$F:$F,A747,Chicks!$I:$I,"No"))</f>
        <v/>
      </c>
      <c r="J747" s="6" t="str">
        <f>IF(A747="","",IFERROR(AVERAGEIF(Chicks!$F:$F,A747,Chicks!$M:$M),""))</f>
        <v/>
      </c>
      <c r="K747" s="6" t="str">
        <f>IF(A747="","",SUMIFS(Chicks!$N:$N,Chicks!$F:$F,A747))</f>
        <v/>
      </c>
      <c r="L747" s="6" t="str">
        <f>IF(A747="","",SUMIFS(Chicks!$O:$O,Chicks!$F:$F,A747))</f>
        <v/>
      </c>
      <c r="M747" s="6" t="str">
        <f>IF(A747="","",SUMIFS(Chicks!$P:$P,Chicks!$F:$F,A747))</f>
        <v/>
      </c>
      <c r="N747" s="6" t="str">
        <f t="shared" si="3"/>
        <v/>
      </c>
    </row>
    <row r="748" spans="6:14" ht="14.25" customHeight="1" x14ac:dyDescent="0.3">
      <c r="F748" s="6" t="str">
        <f>IF(A748="","",COUNTIF(Chicks!$F:$F,A748))</f>
        <v/>
      </c>
      <c r="G748" s="6" t="str">
        <f>IF(A748="","",COUNTIFS(Chicks!$F:$F,A748,Chicks!$I:$I,"Yes"))</f>
        <v/>
      </c>
      <c r="H748" s="6" t="str">
        <f>IF(A748="","",SUMIFS(Chicks!$J:$J,Chicks!$F:$F,A748))</f>
        <v/>
      </c>
      <c r="I748" s="6" t="str">
        <f>IF(A748="","",COUNTIFS(Chicks!$F:$F,A748,Chicks!$I:$I,"No"))</f>
        <v/>
      </c>
      <c r="J748" s="6" t="str">
        <f>IF(A748="","",IFERROR(AVERAGEIF(Chicks!$F:$F,A748,Chicks!$M:$M),""))</f>
        <v/>
      </c>
      <c r="K748" s="6" t="str">
        <f>IF(A748="","",SUMIFS(Chicks!$N:$N,Chicks!$F:$F,A748))</f>
        <v/>
      </c>
      <c r="L748" s="6" t="str">
        <f>IF(A748="","",SUMIFS(Chicks!$O:$O,Chicks!$F:$F,A748))</f>
        <v/>
      </c>
      <c r="M748" s="6" t="str">
        <f>IF(A748="","",SUMIFS(Chicks!$P:$P,Chicks!$F:$F,A748))</f>
        <v/>
      </c>
      <c r="N748" s="6" t="str">
        <f t="shared" si="3"/>
        <v/>
      </c>
    </row>
    <row r="749" spans="6:14" ht="14.25" customHeight="1" x14ac:dyDescent="0.3">
      <c r="F749" s="6" t="str">
        <f>IF(A749="","",COUNTIF(Chicks!$F:$F,A749))</f>
        <v/>
      </c>
      <c r="G749" s="6" t="str">
        <f>IF(A749="","",COUNTIFS(Chicks!$F:$F,A749,Chicks!$I:$I,"Yes"))</f>
        <v/>
      </c>
      <c r="H749" s="6" t="str">
        <f>IF(A749="","",SUMIFS(Chicks!$J:$J,Chicks!$F:$F,A749))</f>
        <v/>
      </c>
      <c r="I749" s="6" t="str">
        <f>IF(A749="","",COUNTIFS(Chicks!$F:$F,A749,Chicks!$I:$I,"No"))</f>
        <v/>
      </c>
      <c r="J749" s="6" t="str">
        <f>IF(A749="","",IFERROR(AVERAGEIF(Chicks!$F:$F,A749,Chicks!$M:$M),""))</f>
        <v/>
      </c>
      <c r="K749" s="6" t="str">
        <f>IF(A749="","",SUMIFS(Chicks!$N:$N,Chicks!$F:$F,A749))</f>
        <v/>
      </c>
      <c r="L749" s="6" t="str">
        <f>IF(A749="","",SUMIFS(Chicks!$O:$O,Chicks!$F:$F,A749))</f>
        <v/>
      </c>
      <c r="M749" s="6" t="str">
        <f>IF(A749="","",SUMIFS(Chicks!$P:$P,Chicks!$F:$F,A749))</f>
        <v/>
      </c>
      <c r="N749" s="6" t="str">
        <f t="shared" si="3"/>
        <v/>
      </c>
    </row>
    <row r="750" spans="6:14" ht="14.25" customHeight="1" x14ac:dyDescent="0.3">
      <c r="F750" s="6" t="str">
        <f>IF(A750="","",COUNTIF(Chicks!$F:$F,A750))</f>
        <v/>
      </c>
      <c r="G750" s="6" t="str">
        <f>IF(A750="","",COUNTIFS(Chicks!$F:$F,A750,Chicks!$I:$I,"Yes"))</f>
        <v/>
      </c>
      <c r="H750" s="6" t="str">
        <f>IF(A750="","",SUMIFS(Chicks!$J:$J,Chicks!$F:$F,A750))</f>
        <v/>
      </c>
      <c r="I750" s="6" t="str">
        <f>IF(A750="","",COUNTIFS(Chicks!$F:$F,A750,Chicks!$I:$I,"No"))</f>
        <v/>
      </c>
      <c r="J750" s="6" t="str">
        <f>IF(A750="","",IFERROR(AVERAGEIF(Chicks!$F:$F,A750,Chicks!$M:$M),""))</f>
        <v/>
      </c>
      <c r="K750" s="6" t="str">
        <f>IF(A750="","",SUMIFS(Chicks!$N:$N,Chicks!$F:$F,A750))</f>
        <v/>
      </c>
      <c r="L750" s="6" t="str">
        <f>IF(A750="","",SUMIFS(Chicks!$O:$O,Chicks!$F:$F,A750))</f>
        <v/>
      </c>
      <c r="M750" s="6" t="str">
        <f>IF(A750="","",SUMIFS(Chicks!$P:$P,Chicks!$F:$F,A750))</f>
        <v/>
      </c>
      <c r="N750" s="6" t="str">
        <f t="shared" si="3"/>
        <v/>
      </c>
    </row>
    <row r="751" spans="6:14" ht="14.25" customHeight="1" x14ac:dyDescent="0.3">
      <c r="F751" s="6" t="str">
        <f>IF(A751="","",COUNTIF(Chicks!$F:$F,A751))</f>
        <v/>
      </c>
      <c r="G751" s="6" t="str">
        <f>IF(A751="","",COUNTIFS(Chicks!$F:$F,A751,Chicks!$I:$I,"Yes"))</f>
        <v/>
      </c>
      <c r="H751" s="6" t="str">
        <f>IF(A751="","",SUMIFS(Chicks!$J:$J,Chicks!$F:$F,A751))</f>
        <v/>
      </c>
      <c r="I751" s="6" t="str">
        <f>IF(A751="","",COUNTIFS(Chicks!$F:$F,A751,Chicks!$I:$I,"No"))</f>
        <v/>
      </c>
      <c r="J751" s="6" t="str">
        <f>IF(A751="","",IFERROR(AVERAGEIF(Chicks!$F:$F,A751,Chicks!$M:$M),""))</f>
        <v/>
      </c>
      <c r="K751" s="6" t="str">
        <f>IF(A751="","",SUMIFS(Chicks!$N:$N,Chicks!$F:$F,A751))</f>
        <v/>
      </c>
      <c r="L751" s="6" t="str">
        <f>IF(A751="","",SUMIFS(Chicks!$O:$O,Chicks!$F:$F,A751))</f>
        <v/>
      </c>
      <c r="M751" s="6" t="str">
        <f>IF(A751="","",SUMIFS(Chicks!$P:$P,Chicks!$F:$F,A751))</f>
        <v/>
      </c>
      <c r="N751" s="6" t="str">
        <f t="shared" si="3"/>
        <v/>
      </c>
    </row>
    <row r="752" spans="6:14" ht="14.25" customHeight="1" x14ac:dyDescent="0.3">
      <c r="F752" s="6" t="str">
        <f>IF(A752="","",COUNTIF(Chicks!$F:$F,A752))</f>
        <v/>
      </c>
      <c r="G752" s="6" t="str">
        <f>IF(A752="","",COUNTIFS(Chicks!$F:$F,A752,Chicks!$I:$I,"Yes"))</f>
        <v/>
      </c>
      <c r="H752" s="6" t="str">
        <f>IF(A752="","",SUMIFS(Chicks!$J:$J,Chicks!$F:$F,A752))</f>
        <v/>
      </c>
      <c r="I752" s="6" t="str">
        <f>IF(A752="","",COUNTIFS(Chicks!$F:$F,A752,Chicks!$I:$I,"No"))</f>
        <v/>
      </c>
      <c r="J752" s="6" t="str">
        <f>IF(A752="","",IFERROR(AVERAGEIF(Chicks!$F:$F,A752,Chicks!$M:$M),""))</f>
        <v/>
      </c>
      <c r="K752" s="6" t="str">
        <f>IF(A752="","",SUMIFS(Chicks!$N:$N,Chicks!$F:$F,A752))</f>
        <v/>
      </c>
      <c r="L752" s="6" t="str">
        <f>IF(A752="","",SUMIFS(Chicks!$O:$O,Chicks!$F:$F,A752))</f>
        <v/>
      </c>
      <c r="M752" s="6" t="str">
        <f>IF(A752="","",SUMIFS(Chicks!$P:$P,Chicks!$F:$F,A752))</f>
        <v/>
      </c>
      <c r="N752" s="6" t="str">
        <f t="shared" si="3"/>
        <v/>
      </c>
    </row>
    <row r="753" spans="6:14" ht="14.25" customHeight="1" x14ac:dyDescent="0.3">
      <c r="F753" s="6" t="str">
        <f>IF(A753="","",COUNTIF(Chicks!$F:$F,A753))</f>
        <v/>
      </c>
      <c r="G753" s="6" t="str">
        <f>IF(A753="","",COUNTIFS(Chicks!$F:$F,A753,Chicks!$I:$I,"Yes"))</f>
        <v/>
      </c>
      <c r="H753" s="6" t="str">
        <f>IF(A753="","",SUMIFS(Chicks!$J:$J,Chicks!$F:$F,A753))</f>
        <v/>
      </c>
      <c r="I753" s="6" t="str">
        <f>IF(A753="","",COUNTIFS(Chicks!$F:$F,A753,Chicks!$I:$I,"No"))</f>
        <v/>
      </c>
      <c r="J753" s="6" t="str">
        <f>IF(A753="","",IFERROR(AVERAGEIF(Chicks!$F:$F,A753,Chicks!$M:$M),""))</f>
        <v/>
      </c>
      <c r="K753" s="6" t="str">
        <f>IF(A753="","",SUMIFS(Chicks!$N:$N,Chicks!$F:$F,A753))</f>
        <v/>
      </c>
      <c r="L753" s="6" t="str">
        <f>IF(A753="","",SUMIFS(Chicks!$O:$O,Chicks!$F:$F,A753))</f>
        <v/>
      </c>
      <c r="M753" s="6" t="str">
        <f>IF(A753="","",SUMIFS(Chicks!$P:$P,Chicks!$F:$F,A753))</f>
        <v/>
      </c>
      <c r="N753" s="6" t="str">
        <f t="shared" si="3"/>
        <v/>
      </c>
    </row>
    <row r="754" spans="6:14" ht="14.25" customHeight="1" x14ac:dyDescent="0.3">
      <c r="F754" s="6" t="str">
        <f>IF(A754="","",COUNTIF(Chicks!$F:$F,A754))</f>
        <v/>
      </c>
      <c r="G754" s="6" t="str">
        <f>IF(A754="","",COUNTIFS(Chicks!$F:$F,A754,Chicks!$I:$I,"Yes"))</f>
        <v/>
      </c>
      <c r="H754" s="6" t="str">
        <f>IF(A754="","",SUMIFS(Chicks!$J:$J,Chicks!$F:$F,A754))</f>
        <v/>
      </c>
      <c r="I754" s="6" t="str">
        <f>IF(A754="","",COUNTIFS(Chicks!$F:$F,A754,Chicks!$I:$I,"No"))</f>
        <v/>
      </c>
      <c r="J754" s="6" t="str">
        <f>IF(A754="","",IFERROR(AVERAGEIF(Chicks!$F:$F,A754,Chicks!$M:$M),""))</f>
        <v/>
      </c>
      <c r="K754" s="6" t="str">
        <f>IF(A754="","",SUMIFS(Chicks!$N:$N,Chicks!$F:$F,A754))</f>
        <v/>
      </c>
      <c r="L754" s="6" t="str">
        <f>IF(A754="","",SUMIFS(Chicks!$O:$O,Chicks!$F:$F,A754))</f>
        <v/>
      </c>
      <c r="M754" s="6" t="str">
        <f>IF(A754="","",SUMIFS(Chicks!$P:$P,Chicks!$F:$F,A754))</f>
        <v/>
      </c>
      <c r="N754" s="6" t="str">
        <f t="shared" si="3"/>
        <v/>
      </c>
    </row>
    <row r="755" spans="6:14" ht="14.25" customHeight="1" x14ac:dyDescent="0.3">
      <c r="F755" s="6" t="str">
        <f>IF(A755="","",COUNTIF(Chicks!$F:$F,A755))</f>
        <v/>
      </c>
      <c r="G755" s="6" t="str">
        <f>IF(A755="","",COUNTIFS(Chicks!$F:$F,A755,Chicks!$I:$I,"Yes"))</f>
        <v/>
      </c>
      <c r="H755" s="6" t="str">
        <f>IF(A755="","",SUMIFS(Chicks!$J:$J,Chicks!$F:$F,A755))</f>
        <v/>
      </c>
      <c r="I755" s="6" t="str">
        <f>IF(A755="","",COUNTIFS(Chicks!$F:$F,A755,Chicks!$I:$I,"No"))</f>
        <v/>
      </c>
      <c r="J755" s="6" t="str">
        <f>IF(A755="","",IFERROR(AVERAGEIF(Chicks!$F:$F,A755,Chicks!$M:$M),""))</f>
        <v/>
      </c>
      <c r="K755" s="6" t="str">
        <f>IF(A755="","",SUMIFS(Chicks!$N:$N,Chicks!$F:$F,A755))</f>
        <v/>
      </c>
      <c r="L755" s="6" t="str">
        <f>IF(A755="","",SUMIFS(Chicks!$O:$O,Chicks!$F:$F,A755))</f>
        <v/>
      </c>
      <c r="M755" s="6" t="str">
        <f>IF(A755="","",SUMIFS(Chicks!$P:$P,Chicks!$F:$F,A755))</f>
        <v/>
      </c>
      <c r="N755" s="6" t="str">
        <f t="shared" si="3"/>
        <v/>
      </c>
    </row>
    <row r="756" spans="6:14" ht="14.25" customHeight="1" x14ac:dyDescent="0.3">
      <c r="F756" s="6" t="str">
        <f>IF(A756="","",COUNTIF(Chicks!$F:$F,A756))</f>
        <v/>
      </c>
      <c r="G756" s="6" t="str">
        <f>IF(A756="","",COUNTIFS(Chicks!$F:$F,A756,Chicks!$I:$I,"Yes"))</f>
        <v/>
      </c>
      <c r="H756" s="6" t="str">
        <f>IF(A756="","",SUMIFS(Chicks!$J:$J,Chicks!$F:$F,A756))</f>
        <v/>
      </c>
      <c r="I756" s="6" t="str">
        <f>IF(A756="","",COUNTIFS(Chicks!$F:$F,A756,Chicks!$I:$I,"No"))</f>
        <v/>
      </c>
      <c r="J756" s="6" t="str">
        <f>IF(A756="","",IFERROR(AVERAGEIF(Chicks!$F:$F,A756,Chicks!$M:$M),""))</f>
        <v/>
      </c>
      <c r="K756" s="6" t="str">
        <f>IF(A756="","",SUMIFS(Chicks!$N:$N,Chicks!$F:$F,A756))</f>
        <v/>
      </c>
      <c r="L756" s="6" t="str">
        <f>IF(A756="","",SUMIFS(Chicks!$O:$O,Chicks!$F:$F,A756))</f>
        <v/>
      </c>
      <c r="M756" s="6" t="str">
        <f>IF(A756="","",SUMIFS(Chicks!$P:$P,Chicks!$F:$F,A756))</f>
        <v/>
      </c>
      <c r="N756" s="6" t="str">
        <f t="shared" si="3"/>
        <v/>
      </c>
    </row>
    <row r="757" spans="6:14" ht="14.25" customHeight="1" x14ac:dyDescent="0.3">
      <c r="F757" s="6" t="str">
        <f>IF(A757="","",COUNTIF(Chicks!$F:$F,A757))</f>
        <v/>
      </c>
      <c r="G757" s="6" t="str">
        <f>IF(A757="","",COUNTIFS(Chicks!$F:$F,A757,Chicks!$I:$I,"Yes"))</f>
        <v/>
      </c>
      <c r="H757" s="6" t="str">
        <f>IF(A757="","",SUMIFS(Chicks!$J:$J,Chicks!$F:$F,A757))</f>
        <v/>
      </c>
      <c r="I757" s="6" t="str">
        <f>IF(A757="","",COUNTIFS(Chicks!$F:$F,A757,Chicks!$I:$I,"No"))</f>
        <v/>
      </c>
      <c r="J757" s="6" t="str">
        <f>IF(A757="","",IFERROR(AVERAGEIF(Chicks!$F:$F,A757,Chicks!$M:$M),""))</f>
        <v/>
      </c>
      <c r="K757" s="6" t="str">
        <f>IF(A757="","",SUMIFS(Chicks!$N:$N,Chicks!$F:$F,A757))</f>
        <v/>
      </c>
      <c r="L757" s="6" t="str">
        <f>IF(A757="","",SUMIFS(Chicks!$O:$O,Chicks!$F:$F,A757))</f>
        <v/>
      </c>
      <c r="M757" s="6" t="str">
        <f>IF(A757="","",SUMIFS(Chicks!$P:$P,Chicks!$F:$F,A757))</f>
        <v/>
      </c>
      <c r="N757" s="6" t="str">
        <f t="shared" si="3"/>
        <v/>
      </c>
    </row>
    <row r="758" spans="6:14" ht="14.25" customHeight="1" x14ac:dyDescent="0.3">
      <c r="F758" s="6" t="str">
        <f>IF(A758="","",COUNTIF(Chicks!$F:$F,A758))</f>
        <v/>
      </c>
      <c r="G758" s="6" t="str">
        <f>IF(A758="","",COUNTIFS(Chicks!$F:$F,A758,Chicks!$I:$I,"Yes"))</f>
        <v/>
      </c>
      <c r="H758" s="6" t="str">
        <f>IF(A758="","",SUMIFS(Chicks!$J:$J,Chicks!$F:$F,A758))</f>
        <v/>
      </c>
      <c r="I758" s="6" t="str">
        <f>IF(A758="","",COUNTIFS(Chicks!$F:$F,A758,Chicks!$I:$I,"No"))</f>
        <v/>
      </c>
      <c r="J758" s="6" t="str">
        <f>IF(A758="","",IFERROR(AVERAGEIF(Chicks!$F:$F,A758,Chicks!$M:$M),""))</f>
        <v/>
      </c>
      <c r="K758" s="6" t="str">
        <f>IF(A758="","",SUMIFS(Chicks!$N:$N,Chicks!$F:$F,A758))</f>
        <v/>
      </c>
      <c r="L758" s="6" t="str">
        <f>IF(A758="","",SUMIFS(Chicks!$O:$O,Chicks!$F:$F,A758))</f>
        <v/>
      </c>
      <c r="M758" s="6" t="str">
        <f>IF(A758="","",SUMIFS(Chicks!$P:$P,Chicks!$F:$F,A758))</f>
        <v/>
      </c>
      <c r="N758" s="6" t="str">
        <f t="shared" si="3"/>
        <v/>
      </c>
    </row>
    <row r="759" spans="6:14" ht="14.25" customHeight="1" x14ac:dyDescent="0.3">
      <c r="F759" s="6" t="str">
        <f>IF(A759="","",COUNTIF(Chicks!$F:$F,A759))</f>
        <v/>
      </c>
      <c r="G759" s="6" t="str">
        <f>IF(A759="","",COUNTIFS(Chicks!$F:$F,A759,Chicks!$I:$I,"Yes"))</f>
        <v/>
      </c>
      <c r="H759" s="6" t="str">
        <f>IF(A759="","",SUMIFS(Chicks!$J:$J,Chicks!$F:$F,A759))</f>
        <v/>
      </c>
      <c r="I759" s="6" t="str">
        <f>IF(A759="","",COUNTIFS(Chicks!$F:$F,A759,Chicks!$I:$I,"No"))</f>
        <v/>
      </c>
      <c r="J759" s="6" t="str">
        <f>IF(A759="","",IFERROR(AVERAGEIF(Chicks!$F:$F,A759,Chicks!$M:$M),""))</f>
        <v/>
      </c>
      <c r="K759" s="6" t="str">
        <f>IF(A759="","",SUMIFS(Chicks!$N:$N,Chicks!$F:$F,A759))</f>
        <v/>
      </c>
      <c r="L759" s="6" t="str">
        <f>IF(A759="","",SUMIFS(Chicks!$O:$O,Chicks!$F:$F,A759))</f>
        <v/>
      </c>
      <c r="M759" s="6" t="str">
        <f>IF(A759="","",SUMIFS(Chicks!$P:$P,Chicks!$F:$F,A759))</f>
        <v/>
      </c>
      <c r="N759" s="6" t="str">
        <f t="shared" si="3"/>
        <v/>
      </c>
    </row>
    <row r="760" spans="6:14" ht="14.25" customHeight="1" x14ac:dyDescent="0.3">
      <c r="F760" s="6" t="str">
        <f>IF(A760="","",COUNTIF(Chicks!$F:$F,A760))</f>
        <v/>
      </c>
      <c r="G760" s="6" t="str">
        <f>IF(A760="","",COUNTIFS(Chicks!$F:$F,A760,Chicks!$I:$I,"Yes"))</f>
        <v/>
      </c>
      <c r="H760" s="6" t="str">
        <f>IF(A760="","",SUMIFS(Chicks!$J:$J,Chicks!$F:$F,A760))</f>
        <v/>
      </c>
      <c r="I760" s="6" t="str">
        <f>IF(A760="","",COUNTIFS(Chicks!$F:$F,A760,Chicks!$I:$I,"No"))</f>
        <v/>
      </c>
      <c r="J760" s="6" t="str">
        <f>IF(A760="","",IFERROR(AVERAGEIF(Chicks!$F:$F,A760,Chicks!$M:$M),""))</f>
        <v/>
      </c>
      <c r="K760" s="6" t="str">
        <f>IF(A760="","",SUMIFS(Chicks!$N:$N,Chicks!$F:$F,A760))</f>
        <v/>
      </c>
      <c r="L760" s="6" t="str">
        <f>IF(A760="","",SUMIFS(Chicks!$O:$O,Chicks!$F:$F,A760))</f>
        <v/>
      </c>
      <c r="M760" s="6" t="str">
        <f>IF(A760="","",SUMIFS(Chicks!$P:$P,Chicks!$F:$F,A760))</f>
        <v/>
      </c>
      <c r="N760" s="6" t="str">
        <f t="shared" si="3"/>
        <v/>
      </c>
    </row>
    <row r="761" spans="6:14" ht="14.25" customHeight="1" x14ac:dyDescent="0.3">
      <c r="F761" s="6" t="str">
        <f>IF(A761="","",COUNTIF(Chicks!$F:$F,A761))</f>
        <v/>
      </c>
      <c r="G761" s="6" t="str">
        <f>IF(A761="","",COUNTIFS(Chicks!$F:$F,A761,Chicks!$I:$I,"Yes"))</f>
        <v/>
      </c>
      <c r="H761" s="6" t="str">
        <f>IF(A761="","",SUMIFS(Chicks!$J:$J,Chicks!$F:$F,A761))</f>
        <v/>
      </c>
      <c r="I761" s="6" t="str">
        <f>IF(A761="","",COUNTIFS(Chicks!$F:$F,A761,Chicks!$I:$I,"No"))</f>
        <v/>
      </c>
      <c r="J761" s="6" t="str">
        <f>IF(A761="","",IFERROR(AVERAGEIF(Chicks!$F:$F,A761,Chicks!$M:$M),""))</f>
        <v/>
      </c>
      <c r="K761" s="6" t="str">
        <f>IF(A761="","",SUMIFS(Chicks!$N:$N,Chicks!$F:$F,A761))</f>
        <v/>
      </c>
      <c r="L761" s="6" t="str">
        <f>IF(A761="","",SUMIFS(Chicks!$O:$O,Chicks!$F:$F,A761))</f>
        <v/>
      </c>
      <c r="M761" s="6" t="str">
        <f>IF(A761="","",SUMIFS(Chicks!$P:$P,Chicks!$F:$F,A761))</f>
        <v/>
      </c>
      <c r="N761" s="6" t="str">
        <f t="shared" si="3"/>
        <v/>
      </c>
    </row>
    <row r="762" spans="6:14" ht="14.25" customHeight="1" x14ac:dyDescent="0.3">
      <c r="F762" s="6" t="str">
        <f>IF(A762="","",COUNTIF(Chicks!$F:$F,A762))</f>
        <v/>
      </c>
      <c r="G762" s="6" t="str">
        <f>IF(A762="","",COUNTIFS(Chicks!$F:$F,A762,Chicks!$I:$I,"Yes"))</f>
        <v/>
      </c>
      <c r="H762" s="6" t="str">
        <f>IF(A762="","",SUMIFS(Chicks!$J:$J,Chicks!$F:$F,A762))</f>
        <v/>
      </c>
      <c r="I762" s="6" t="str">
        <f>IF(A762="","",COUNTIFS(Chicks!$F:$F,A762,Chicks!$I:$I,"No"))</f>
        <v/>
      </c>
      <c r="J762" s="6" t="str">
        <f>IF(A762="","",IFERROR(AVERAGEIF(Chicks!$F:$F,A762,Chicks!$M:$M),""))</f>
        <v/>
      </c>
      <c r="K762" s="6" t="str">
        <f>IF(A762="","",SUMIFS(Chicks!$N:$N,Chicks!$F:$F,A762))</f>
        <v/>
      </c>
      <c r="L762" s="6" t="str">
        <f>IF(A762="","",SUMIFS(Chicks!$O:$O,Chicks!$F:$F,A762))</f>
        <v/>
      </c>
      <c r="M762" s="6" t="str">
        <f>IF(A762="","",SUMIFS(Chicks!$P:$P,Chicks!$F:$F,A762))</f>
        <v/>
      </c>
      <c r="N762" s="6" t="str">
        <f t="shared" si="3"/>
        <v/>
      </c>
    </row>
    <row r="763" spans="6:14" ht="14.25" customHeight="1" x14ac:dyDescent="0.3">
      <c r="F763" s="6" t="str">
        <f>IF(A763="","",COUNTIF(Chicks!$F:$F,A763))</f>
        <v/>
      </c>
      <c r="G763" s="6" t="str">
        <f>IF(A763="","",COUNTIFS(Chicks!$F:$F,A763,Chicks!$I:$I,"Yes"))</f>
        <v/>
      </c>
      <c r="H763" s="6" t="str">
        <f>IF(A763="","",SUMIFS(Chicks!$J:$J,Chicks!$F:$F,A763))</f>
        <v/>
      </c>
      <c r="I763" s="6" t="str">
        <f>IF(A763="","",COUNTIFS(Chicks!$F:$F,A763,Chicks!$I:$I,"No"))</f>
        <v/>
      </c>
      <c r="J763" s="6" t="str">
        <f>IF(A763="","",IFERROR(AVERAGEIF(Chicks!$F:$F,A763,Chicks!$M:$M),""))</f>
        <v/>
      </c>
      <c r="K763" s="6" t="str">
        <f>IF(A763="","",SUMIFS(Chicks!$N:$N,Chicks!$F:$F,A763))</f>
        <v/>
      </c>
      <c r="L763" s="6" t="str">
        <f>IF(A763="","",SUMIFS(Chicks!$O:$O,Chicks!$F:$F,A763))</f>
        <v/>
      </c>
      <c r="M763" s="6" t="str">
        <f>IF(A763="","",SUMIFS(Chicks!$P:$P,Chicks!$F:$F,A763))</f>
        <v/>
      </c>
      <c r="N763" s="6" t="str">
        <f t="shared" si="3"/>
        <v/>
      </c>
    </row>
    <row r="764" spans="6:14" ht="14.25" customHeight="1" x14ac:dyDescent="0.3">
      <c r="F764" s="6" t="str">
        <f>IF(A764="","",COUNTIF(Chicks!$F:$F,A764))</f>
        <v/>
      </c>
      <c r="G764" s="6" t="str">
        <f>IF(A764="","",COUNTIFS(Chicks!$F:$F,A764,Chicks!$I:$I,"Yes"))</f>
        <v/>
      </c>
      <c r="H764" s="6" t="str">
        <f>IF(A764="","",SUMIFS(Chicks!$J:$J,Chicks!$F:$F,A764))</f>
        <v/>
      </c>
      <c r="I764" s="6" t="str">
        <f>IF(A764="","",COUNTIFS(Chicks!$F:$F,A764,Chicks!$I:$I,"No"))</f>
        <v/>
      </c>
      <c r="J764" s="6" t="str">
        <f>IF(A764="","",IFERROR(AVERAGEIF(Chicks!$F:$F,A764,Chicks!$M:$M),""))</f>
        <v/>
      </c>
      <c r="K764" s="6" t="str">
        <f>IF(A764="","",SUMIFS(Chicks!$N:$N,Chicks!$F:$F,A764))</f>
        <v/>
      </c>
      <c r="L764" s="6" t="str">
        <f>IF(A764="","",SUMIFS(Chicks!$O:$O,Chicks!$F:$F,A764))</f>
        <v/>
      </c>
      <c r="M764" s="6" t="str">
        <f>IF(A764="","",SUMIFS(Chicks!$P:$P,Chicks!$F:$F,A764))</f>
        <v/>
      </c>
      <c r="N764" s="6" t="str">
        <f t="shared" si="3"/>
        <v/>
      </c>
    </row>
    <row r="765" spans="6:14" ht="14.25" customHeight="1" x14ac:dyDescent="0.3">
      <c r="F765" s="6" t="str">
        <f>IF(A765="","",COUNTIF(Chicks!$F:$F,A765))</f>
        <v/>
      </c>
      <c r="G765" s="6" t="str">
        <f>IF(A765="","",COUNTIFS(Chicks!$F:$F,A765,Chicks!$I:$I,"Yes"))</f>
        <v/>
      </c>
      <c r="H765" s="6" t="str">
        <f>IF(A765="","",SUMIFS(Chicks!$J:$J,Chicks!$F:$F,A765))</f>
        <v/>
      </c>
      <c r="I765" s="6" t="str">
        <f>IF(A765="","",COUNTIFS(Chicks!$F:$F,A765,Chicks!$I:$I,"No"))</f>
        <v/>
      </c>
      <c r="J765" s="6" t="str">
        <f>IF(A765="","",IFERROR(AVERAGEIF(Chicks!$F:$F,A765,Chicks!$M:$M),""))</f>
        <v/>
      </c>
      <c r="K765" s="6" t="str">
        <f>IF(A765="","",SUMIFS(Chicks!$N:$N,Chicks!$F:$F,A765))</f>
        <v/>
      </c>
      <c r="L765" s="6" t="str">
        <f>IF(A765="","",SUMIFS(Chicks!$O:$O,Chicks!$F:$F,A765))</f>
        <v/>
      </c>
      <c r="M765" s="6" t="str">
        <f>IF(A765="","",SUMIFS(Chicks!$P:$P,Chicks!$F:$F,A765))</f>
        <v/>
      </c>
      <c r="N765" s="6" t="str">
        <f t="shared" si="3"/>
        <v/>
      </c>
    </row>
    <row r="766" spans="6:14" ht="14.25" customHeight="1" x14ac:dyDescent="0.3">
      <c r="F766" s="6" t="str">
        <f>IF(A766="","",COUNTIF(Chicks!$F:$F,A766))</f>
        <v/>
      </c>
      <c r="G766" s="6" t="str">
        <f>IF(A766="","",COUNTIFS(Chicks!$F:$F,A766,Chicks!$I:$I,"Yes"))</f>
        <v/>
      </c>
      <c r="H766" s="6" t="str">
        <f>IF(A766="","",SUMIFS(Chicks!$J:$J,Chicks!$F:$F,A766))</f>
        <v/>
      </c>
      <c r="I766" s="6" t="str">
        <f>IF(A766="","",COUNTIFS(Chicks!$F:$F,A766,Chicks!$I:$I,"No"))</f>
        <v/>
      </c>
      <c r="J766" s="6" t="str">
        <f>IF(A766="","",IFERROR(AVERAGEIF(Chicks!$F:$F,A766,Chicks!$M:$M),""))</f>
        <v/>
      </c>
      <c r="K766" s="6" t="str">
        <f>IF(A766="","",SUMIFS(Chicks!$N:$N,Chicks!$F:$F,A766))</f>
        <v/>
      </c>
      <c r="L766" s="6" t="str">
        <f>IF(A766="","",SUMIFS(Chicks!$O:$O,Chicks!$F:$F,A766))</f>
        <v/>
      </c>
      <c r="M766" s="6" t="str">
        <f>IF(A766="","",SUMIFS(Chicks!$P:$P,Chicks!$F:$F,A766))</f>
        <v/>
      </c>
      <c r="N766" s="6" t="str">
        <f t="shared" si="3"/>
        <v/>
      </c>
    </row>
    <row r="767" spans="6:14" ht="14.25" customHeight="1" x14ac:dyDescent="0.3">
      <c r="F767" s="6" t="str">
        <f>IF(A767="","",COUNTIF(Chicks!$F:$F,A767))</f>
        <v/>
      </c>
      <c r="G767" s="6" t="str">
        <f>IF(A767="","",COUNTIFS(Chicks!$F:$F,A767,Chicks!$I:$I,"Yes"))</f>
        <v/>
      </c>
      <c r="H767" s="6" t="str">
        <f>IF(A767="","",SUMIFS(Chicks!$J:$J,Chicks!$F:$F,A767))</f>
        <v/>
      </c>
      <c r="I767" s="6" t="str">
        <f>IF(A767="","",COUNTIFS(Chicks!$F:$F,A767,Chicks!$I:$I,"No"))</f>
        <v/>
      </c>
      <c r="J767" s="6" t="str">
        <f>IF(A767="","",IFERROR(AVERAGEIF(Chicks!$F:$F,A767,Chicks!$M:$M),""))</f>
        <v/>
      </c>
      <c r="K767" s="6" t="str">
        <f>IF(A767="","",SUMIFS(Chicks!$N:$N,Chicks!$F:$F,A767))</f>
        <v/>
      </c>
      <c r="L767" s="6" t="str">
        <f>IF(A767="","",SUMIFS(Chicks!$O:$O,Chicks!$F:$F,A767))</f>
        <v/>
      </c>
      <c r="M767" s="6" t="str">
        <f>IF(A767="","",SUMIFS(Chicks!$P:$P,Chicks!$F:$F,A767))</f>
        <v/>
      </c>
      <c r="N767" s="6" t="str">
        <f t="shared" ref="N767:N997" si="4">IF($J767="","",RANK($J767,$J$2:$J$997,0))</f>
        <v/>
      </c>
    </row>
    <row r="768" spans="6:14" ht="14.25" customHeight="1" x14ac:dyDescent="0.3">
      <c r="F768" s="6" t="str">
        <f>IF(A768="","",COUNTIF(Chicks!$F:$F,A768))</f>
        <v/>
      </c>
      <c r="G768" s="6" t="str">
        <f>IF(A768="","",COUNTIFS(Chicks!$F:$F,A768,Chicks!$I:$I,"Yes"))</f>
        <v/>
      </c>
      <c r="H768" s="6" t="str">
        <f>IF(A768="","",SUMIFS(Chicks!$J:$J,Chicks!$F:$F,A768))</f>
        <v/>
      </c>
      <c r="I768" s="6" t="str">
        <f>IF(A768="","",COUNTIFS(Chicks!$F:$F,A768,Chicks!$I:$I,"No"))</f>
        <v/>
      </c>
      <c r="J768" s="6" t="str">
        <f>IF(A768="","",IFERROR(AVERAGEIF(Chicks!$F:$F,A768,Chicks!$M:$M),""))</f>
        <v/>
      </c>
      <c r="K768" s="6" t="str">
        <f>IF(A768="","",SUMIFS(Chicks!$N:$N,Chicks!$F:$F,A768))</f>
        <v/>
      </c>
      <c r="L768" s="6" t="str">
        <f>IF(A768="","",SUMIFS(Chicks!$O:$O,Chicks!$F:$F,A768))</f>
        <v/>
      </c>
      <c r="M768" s="6" t="str">
        <f>IF(A768="","",SUMIFS(Chicks!$P:$P,Chicks!$F:$F,A768))</f>
        <v/>
      </c>
      <c r="N768" s="6" t="str">
        <f t="shared" si="4"/>
        <v/>
      </c>
    </row>
    <row r="769" spans="6:14" ht="14.25" customHeight="1" x14ac:dyDescent="0.3">
      <c r="F769" s="6" t="str">
        <f>IF(A769="","",COUNTIF(Chicks!$F:$F,A769))</f>
        <v/>
      </c>
      <c r="G769" s="6" t="str">
        <f>IF(A769="","",COUNTIFS(Chicks!$F:$F,A769,Chicks!$I:$I,"Yes"))</f>
        <v/>
      </c>
      <c r="H769" s="6" t="str">
        <f>IF(A769="","",SUMIFS(Chicks!$J:$J,Chicks!$F:$F,A769))</f>
        <v/>
      </c>
      <c r="I769" s="6" t="str">
        <f>IF(A769="","",COUNTIFS(Chicks!$F:$F,A769,Chicks!$I:$I,"No"))</f>
        <v/>
      </c>
      <c r="J769" s="6" t="str">
        <f>IF(A769="","",IFERROR(AVERAGEIF(Chicks!$F:$F,A769,Chicks!$M:$M),""))</f>
        <v/>
      </c>
      <c r="K769" s="6" t="str">
        <f>IF(A769="","",SUMIFS(Chicks!$N:$N,Chicks!$F:$F,A769))</f>
        <v/>
      </c>
      <c r="L769" s="6" t="str">
        <f>IF(A769="","",SUMIFS(Chicks!$O:$O,Chicks!$F:$F,A769))</f>
        <v/>
      </c>
      <c r="M769" s="6" t="str">
        <f>IF(A769="","",SUMIFS(Chicks!$P:$P,Chicks!$F:$F,A769))</f>
        <v/>
      </c>
      <c r="N769" s="6" t="str">
        <f t="shared" si="4"/>
        <v/>
      </c>
    </row>
    <row r="770" spans="6:14" ht="14.25" customHeight="1" x14ac:dyDescent="0.3">
      <c r="F770" s="6" t="str">
        <f>IF(A770="","",COUNTIF(Chicks!$F:$F,A770))</f>
        <v/>
      </c>
      <c r="G770" s="6" t="str">
        <f>IF(A770="","",COUNTIFS(Chicks!$F:$F,A770,Chicks!$I:$I,"Yes"))</f>
        <v/>
      </c>
      <c r="H770" s="6" t="str">
        <f>IF(A770="","",SUMIFS(Chicks!$J:$J,Chicks!$F:$F,A770))</f>
        <v/>
      </c>
      <c r="I770" s="6" t="str">
        <f>IF(A770="","",COUNTIFS(Chicks!$F:$F,A770,Chicks!$I:$I,"No"))</f>
        <v/>
      </c>
      <c r="J770" s="6" t="str">
        <f>IF(A770="","",IFERROR(AVERAGEIF(Chicks!$F:$F,A770,Chicks!$M:$M),""))</f>
        <v/>
      </c>
      <c r="K770" s="6" t="str">
        <f>IF(A770="","",SUMIFS(Chicks!$N:$N,Chicks!$F:$F,A770))</f>
        <v/>
      </c>
      <c r="L770" s="6" t="str">
        <f>IF(A770="","",SUMIFS(Chicks!$O:$O,Chicks!$F:$F,A770))</f>
        <v/>
      </c>
      <c r="M770" s="6" t="str">
        <f>IF(A770="","",SUMIFS(Chicks!$P:$P,Chicks!$F:$F,A770))</f>
        <v/>
      </c>
      <c r="N770" s="6" t="str">
        <f t="shared" si="4"/>
        <v/>
      </c>
    </row>
    <row r="771" spans="6:14" ht="14.25" customHeight="1" x14ac:dyDescent="0.3">
      <c r="F771" s="6" t="str">
        <f>IF(A771="","",COUNTIF(Chicks!$F:$F,A771))</f>
        <v/>
      </c>
      <c r="G771" s="6" t="str">
        <f>IF(A771="","",COUNTIFS(Chicks!$F:$F,A771,Chicks!$I:$I,"Yes"))</f>
        <v/>
      </c>
      <c r="H771" s="6" t="str">
        <f>IF(A771="","",SUMIFS(Chicks!$J:$J,Chicks!$F:$F,A771))</f>
        <v/>
      </c>
      <c r="I771" s="6" t="str">
        <f>IF(A771="","",COUNTIFS(Chicks!$F:$F,A771,Chicks!$I:$I,"No"))</f>
        <v/>
      </c>
      <c r="J771" s="6" t="str">
        <f>IF(A771="","",IFERROR(AVERAGEIF(Chicks!$F:$F,A771,Chicks!$M:$M),""))</f>
        <v/>
      </c>
      <c r="K771" s="6" t="str">
        <f>IF(A771="","",SUMIFS(Chicks!$N:$N,Chicks!$F:$F,A771))</f>
        <v/>
      </c>
      <c r="L771" s="6" t="str">
        <f>IF(A771="","",SUMIFS(Chicks!$O:$O,Chicks!$F:$F,A771))</f>
        <v/>
      </c>
      <c r="M771" s="6" t="str">
        <f>IF(A771="","",SUMIFS(Chicks!$P:$P,Chicks!$F:$F,A771))</f>
        <v/>
      </c>
      <c r="N771" s="6" t="str">
        <f t="shared" si="4"/>
        <v/>
      </c>
    </row>
    <row r="772" spans="6:14" ht="14.25" customHeight="1" x14ac:dyDescent="0.3">
      <c r="F772" s="6" t="str">
        <f>IF(A772="","",COUNTIF(Chicks!$F:$F,A772))</f>
        <v/>
      </c>
      <c r="G772" s="6" t="str">
        <f>IF(A772="","",COUNTIFS(Chicks!$F:$F,A772,Chicks!$I:$I,"Yes"))</f>
        <v/>
      </c>
      <c r="H772" s="6" t="str">
        <f>IF(A772="","",SUMIFS(Chicks!$J:$J,Chicks!$F:$F,A772))</f>
        <v/>
      </c>
      <c r="I772" s="6" t="str">
        <f>IF(A772="","",COUNTIFS(Chicks!$F:$F,A772,Chicks!$I:$I,"No"))</f>
        <v/>
      </c>
      <c r="J772" s="6" t="str">
        <f>IF(A772="","",IFERROR(AVERAGEIF(Chicks!$F:$F,A772,Chicks!$M:$M),""))</f>
        <v/>
      </c>
      <c r="K772" s="6" t="str">
        <f>IF(A772="","",SUMIFS(Chicks!$N:$N,Chicks!$F:$F,A772))</f>
        <v/>
      </c>
      <c r="L772" s="6" t="str">
        <f>IF(A772="","",SUMIFS(Chicks!$O:$O,Chicks!$F:$F,A772))</f>
        <v/>
      </c>
      <c r="M772" s="6" t="str">
        <f>IF(A772="","",SUMIFS(Chicks!$P:$P,Chicks!$F:$F,A772))</f>
        <v/>
      </c>
      <c r="N772" s="6" t="str">
        <f t="shared" si="4"/>
        <v/>
      </c>
    </row>
    <row r="773" spans="6:14" ht="14.25" customHeight="1" x14ac:dyDescent="0.3">
      <c r="F773" s="6" t="str">
        <f>IF(A773="","",COUNTIF(Chicks!$F:$F,A773))</f>
        <v/>
      </c>
      <c r="G773" s="6" t="str">
        <f>IF(A773="","",COUNTIFS(Chicks!$F:$F,A773,Chicks!$I:$I,"Yes"))</f>
        <v/>
      </c>
      <c r="H773" s="6" t="str">
        <f>IF(A773="","",SUMIFS(Chicks!$J:$J,Chicks!$F:$F,A773))</f>
        <v/>
      </c>
      <c r="I773" s="6" t="str">
        <f>IF(A773="","",COUNTIFS(Chicks!$F:$F,A773,Chicks!$I:$I,"No"))</f>
        <v/>
      </c>
      <c r="J773" s="6" t="str">
        <f>IF(A773="","",IFERROR(AVERAGEIF(Chicks!$F:$F,A773,Chicks!$M:$M),""))</f>
        <v/>
      </c>
      <c r="K773" s="6" t="str">
        <f>IF(A773="","",SUMIFS(Chicks!$N:$N,Chicks!$F:$F,A773))</f>
        <v/>
      </c>
      <c r="L773" s="6" t="str">
        <f>IF(A773="","",SUMIFS(Chicks!$O:$O,Chicks!$F:$F,A773))</f>
        <v/>
      </c>
      <c r="M773" s="6" t="str">
        <f>IF(A773="","",SUMIFS(Chicks!$P:$P,Chicks!$F:$F,A773))</f>
        <v/>
      </c>
      <c r="N773" s="6" t="str">
        <f t="shared" si="4"/>
        <v/>
      </c>
    </row>
    <row r="774" spans="6:14" ht="14.25" customHeight="1" x14ac:dyDescent="0.3">
      <c r="F774" s="6" t="str">
        <f>IF(A774="","",COUNTIF(Chicks!$F:$F,A774))</f>
        <v/>
      </c>
      <c r="G774" s="6" t="str">
        <f>IF(A774="","",COUNTIFS(Chicks!$F:$F,A774,Chicks!$I:$I,"Yes"))</f>
        <v/>
      </c>
      <c r="H774" s="6" t="str">
        <f>IF(A774="","",SUMIFS(Chicks!$J:$J,Chicks!$F:$F,A774))</f>
        <v/>
      </c>
      <c r="I774" s="6" t="str">
        <f>IF(A774="","",COUNTIFS(Chicks!$F:$F,A774,Chicks!$I:$I,"No"))</f>
        <v/>
      </c>
      <c r="J774" s="6" t="str">
        <f>IF(A774="","",IFERROR(AVERAGEIF(Chicks!$F:$F,A774,Chicks!$M:$M),""))</f>
        <v/>
      </c>
      <c r="K774" s="6" t="str">
        <f>IF(A774="","",SUMIFS(Chicks!$N:$N,Chicks!$F:$F,A774))</f>
        <v/>
      </c>
      <c r="L774" s="6" t="str">
        <f>IF(A774="","",SUMIFS(Chicks!$O:$O,Chicks!$F:$F,A774))</f>
        <v/>
      </c>
      <c r="M774" s="6" t="str">
        <f>IF(A774="","",SUMIFS(Chicks!$P:$P,Chicks!$F:$F,A774))</f>
        <v/>
      </c>
      <c r="N774" s="6" t="str">
        <f t="shared" si="4"/>
        <v/>
      </c>
    </row>
    <row r="775" spans="6:14" ht="14.25" customHeight="1" x14ac:dyDescent="0.3">
      <c r="F775" s="6" t="str">
        <f>IF(A775="","",COUNTIF(Chicks!$F:$F,A775))</f>
        <v/>
      </c>
      <c r="G775" s="6" t="str">
        <f>IF(A775="","",COUNTIFS(Chicks!$F:$F,A775,Chicks!$I:$I,"Yes"))</f>
        <v/>
      </c>
      <c r="H775" s="6" t="str">
        <f>IF(A775="","",SUMIFS(Chicks!$J:$J,Chicks!$F:$F,A775))</f>
        <v/>
      </c>
      <c r="I775" s="6" t="str">
        <f>IF(A775="","",COUNTIFS(Chicks!$F:$F,A775,Chicks!$I:$I,"No"))</f>
        <v/>
      </c>
      <c r="J775" s="6" t="str">
        <f>IF(A775="","",IFERROR(AVERAGEIF(Chicks!$F:$F,A775,Chicks!$M:$M),""))</f>
        <v/>
      </c>
      <c r="K775" s="6" t="str">
        <f>IF(A775="","",SUMIFS(Chicks!$N:$N,Chicks!$F:$F,A775))</f>
        <v/>
      </c>
      <c r="L775" s="6" t="str">
        <f>IF(A775="","",SUMIFS(Chicks!$O:$O,Chicks!$F:$F,A775))</f>
        <v/>
      </c>
      <c r="M775" s="6" t="str">
        <f>IF(A775="","",SUMIFS(Chicks!$P:$P,Chicks!$F:$F,A775))</f>
        <v/>
      </c>
      <c r="N775" s="6" t="str">
        <f t="shared" si="4"/>
        <v/>
      </c>
    </row>
    <row r="776" spans="6:14" ht="14.25" customHeight="1" x14ac:dyDescent="0.3">
      <c r="F776" s="6" t="str">
        <f>IF(A776="","",COUNTIF(Chicks!$F:$F,A776))</f>
        <v/>
      </c>
      <c r="G776" s="6" t="str">
        <f>IF(A776="","",COUNTIFS(Chicks!$F:$F,A776,Chicks!$I:$I,"Yes"))</f>
        <v/>
      </c>
      <c r="H776" s="6" t="str">
        <f>IF(A776="","",SUMIFS(Chicks!$J:$J,Chicks!$F:$F,A776))</f>
        <v/>
      </c>
      <c r="I776" s="6" t="str">
        <f>IF(A776="","",COUNTIFS(Chicks!$F:$F,A776,Chicks!$I:$I,"No"))</f>
        <v/>
      </c>
      <c r="J776" s="6" t="str">
        <f>IF(A776="","",IFERROR(AVERAGEIF(Chicks!$F:$F,A776,Chicks!$M:$M),""))</f>
        <v/>
      </c>
      <c r="K776" s="6" t="str">
        <f>IF(A776="","",SUMIFS(Chicks!$N:$N,Chicks!$F:$F,A776))</f>
        <v/>
      </c>
      <c r="L776" s="6" t="str">
        <f>IF(A776="","",SUMIFS(Chicks!$O:$O,Chicks!$F:$F,A776))</f>
        <v/>
      </c>
      <c r="M776" s="6" t="str">
        <f>IF(A776="","",SUMIFS(Chicks!$P:$P,Chicks!$F:$F,A776))</f>
        <v/>
      </c>
      <c r="N776" s="6" t="str">
        <f t="shared" si="4"/>
        <v/>
      </c>
    </row>
    <row r="777" spans="6:14" ht="14.25" customHeight="1" x14ac:dyDescent="0.3">
      <c r="F777" s="6" t="str">
        <f>IF(A777="","",COUNTIF(Chicks!$F:$F,A777))</f>
        <v/>
      </c>
      <c r="G777" s="6" t="str">
        <f>IF(A777="","",COUNTIFS(Chicks!$F:$F,A777,Chicks!$I:$I,"Yes"))</f>
        <v/>
      </c>
      <c r="H777" s="6" t="str">
        <f>IF(A777="","",SUMIFS(Chicks!$J:$J,Chicks!$F:$F,A777))</f>
        <v/>
      </c>
      <c r="I777" s="6" t="str">
        <f>IF(A777="","",COUNTIFS(Chicks!$F:$F,A777,Chicks!$I:$I,"No"))</f>
        <v/>
      </c>
      <c r="J777" s="6" t="str">
        <f>IF(A777="","",IFERROR(AVERAGEIF(Chicks!$F:$F,A777,Chicks!$M:$M),""))</f>
        <v/>
      </c>
      <c r="K777" s="6" t="str">
        <f>IF(A777="","",SUMIFS(Chicks!$N:$N,Chicks!$F:$F,A777))</f>
        <v/>
      </c>
      <c r="L777" s="6" t="str">
        <f>IF(A777="","",SUMIFS(Chicks!$O:$O,Chicks!$F:$F,A777))</f>
        <v/>
      </c>
      <c r="M777" s="6" t="str">
        <f>IF(A777="","",SUMIFS(Chicks!$P:$P,Chicks!$F:$F,A777))</f>
        <v/>
      </c>
      <c r="N777" s="6" t="str">
        <f t="shared" si="4"/>
        <v/>
      </c>
    </row>
    <row r="778" spans="6:14" ht="14.25" customHeight="1" x14ac:dyDescent="0.3">
      <c r="F778" s="6" t="str">
        <f>IF(A778="","",COUNTIF(Chicks!$F:$F,A778))</f>
        <v/>
      </c>
      <c r="G778" s="6" t="str">
        <f>IF(A778="","",COUNTIFS(Chicks!$F:$F,A778,Chicks!$I:$I,"Yes"))</f>
        <v/>
      </c>
      <c r="H778" s="6" t="str">
        <f>IF(A778="","",SUMIFS(Chicks!$J:$J,Chicks!$F:$F,A778))</f>
        <v/>
      </c>
      <c r="I778" s="6" t="str">
        <f>IF(A778="","",COUNTIFS(Chicks!$F:$F,A778,Chicks!$I:$I,"No"))</f>
        <v/>
      </c>
      <c r="J778" s="6" t="str">
        <f>IF(A778="","",IFERROR(AVERAGEIF(Chicks!$F:$F,A778,Chicks!$M:$M),""))</f>
        <v/>
      </c>
      <c r="K778" s="6" t="str">
        <f>IF(A778="","",SUMIFS(Chicks!$N:$N,Chicks!$F:$F,A778))</f>
        <v/>
      </c>
      <c r="L778" s="6" t="str">
        <f>IF(A778="","",SUMIFS(Chicks!$O:$O,Chicks!$F:$F,A778))</f>
        <v/>
      </c>
      <c r="M778" s="6" t="str">
        <f>IF(A778="","",SUMIFS(Chicks!$P:$P,Chicks!$F:$F,A778))</f>
        <v/>
      </c>
      <c r="N778" s="6" t="str">
        <f t="shared" si="4"/>
        <v/>
      </c>
    </row>
    <row r="779" spans="6:14" ht="14.25" customHeight="1" x14ac:dyDescent="0.3">
      <c r="F779" s="6" t="str">
        <f>IF(A779="","",COUNTIF(Chicks!$F:$F,A779))</f>
        <v/>
      </c>
      <c r="G779" s="6" t="str">
        <f>IF(A779="","",COUNTIFS(Chicks!$F:$F,A779,Chicks!$I:$I,"Yes"))</f>
        <v/>
      </c>
      <c r="H779" s="6" t="str">
        <f>IF(A779="","",SUMIFS(Chicks!$J:$J,Chicks!$F:$F,A779))</f>
        <v/>
      </c>
      <c r="I779" s="6" t="str">
        <f>IF(A779="","",COUNTIFS(Chicks!$F:$F,A779,Chicks!$I:$I,"No"))</f>
        <v/>
      </c>
      <c r="J779" s="6" t="str">
        <f>IF(A779="","",IFERROR(AVERAGEIF(Chicks!$F:$F,A779,Chicks!$M:$M),""))</f>
        <v/>
      </c>
      <c r="K779" s="6" t="str">
        <f>IF(A779="","",SUMIFS(Chicks!$N:$N,Chicks!$F:$F,A779))</f>
        <v/>
      </c>
      <c r="L779" s="6" t="str">
        <f>IF(A779="","",SUMIFS(Chicks!$O:$O,Chicks!$F:$F,A779))</f>
        <v/>
      </c>
      <c r="M779" s="6" t="str">
        <f>IF(A779="","",SUMIFS(Chicks!$P:$P,Chicks!$F:$F,A779))</f>
        <v/>
      </c>
      <c r="N779" s="6" t="str">
        <f t="shared" si="4"/>
        <v/>
      </c>
    </row>
    <row r="780" spans="6:14" ht="14.25" customHeight="1" x14ac:dyDescent="0.3">
      <c r="F780" s="6" t="str">
        <f>IF(A780="","",COUNTIF(Chicks!$F:$F,A780))</f>
        <v/>
      </c>
      <c r="G780" s="6" t="str">
        <f>IF(A780="","",COUNTIFS(Chicks!$F:$F,A780,Chicks!$I:$I,"Yes"))</f>
        <v/>
      </c>
      <c r="H780" s="6" t="str">
        <f>IF(A780="","",SUMIFS(Chicks!$J:$J,Chicks!$F:$F,A780))</f>
        <v/>
      </c>
      <c r="I780" s="6" t="str">
        <f>IF(A780="","",COUNTIFS(Chicks!$F:$F,A780,Chicks!$I:$I,"No"))</f>
        <v/>
      </c>
      <c r="J780" s="6" t="str">
        <f>IF(A780="","",IFERROR(AVERAGEIF(Chicks!$F:$F,A780,Chicks!$M:$M),""))</f>
        <v/>
      </c>
      <c r="K780" s="6" t="str">
        <f>IF(A780="","",SUMIFS(Chicks!$N:$N,Chicks!$F:$F,A780))</f>
        <v/>
      </c>
      <c r="L780" s="6" t="str">
        <f>IF(A780="","",SUMIFS(Chicks!$O:$O,Chicks!$F:$F,A780))</f>
        <v/>
      </c>
      <c r="M780" s="6" t="str">
        <f>IF(A780="","",SUMIFS(Chicks!$P:$P,Chicks!$F:$F,A780))</f>
        <v/>
      </c>
      <c r="N780" s="6" t="str">
        <f t="shared" si="4"/>
        <v/>
      </c>
    </row>
    <row r="781" spans="6:14" ht="14.25" customHeight="1" x14ac:dyDescent="0.3">
      <c r="F781" s="6" t="str">
        <f>IF(A781="","",COUNTIF(Chicks!$F:$F,A781))</f>
        <v/>
      </c>
      <c r="G781" s="6" t="str">
        <f>IF(A781="","",COUNTIFS(Chicks!$F:$F,A781,Chicks!$I:$I,"Yes"))</f>
        <v/>
      </c>
      <c r="H781" s="6" t="str">
        <f>IF(A781="","",SUMIFS(Chicks!$J:$J,Chicks!$F:$F,A781))</f>
        <v/>
      </c>
      <c r="I781" s="6" t="str">
        <f>IF(A781="","",COUNTIFS(Chicks!$F:$F,A781,Chicks!$I:$I,"No"))</f>
        <v/>
      </c>
      <c r="J781" s="6" t="str">
        <f>IF(A781="","",IFERROR(AVERAGEIF(Chicks!$F:$F,A781,Chicks!$M:$M),""))</f>
        <v/>
      </c>
      <c r="K781" s="6" t="str">
        <f>IF(A781="","",SUMIFS(Chicks!$N:$N,Chicks!$F:$F,A781))</f>
        <v/>
      </c>
      <c r="L781" s="6" t="str">
        <f>IF(A781="","",SUMIFS(Chicks!$O:$O,Chicks!$F:$F,A781))</f>
        <v/>
      </c>
      <c r="M781" s="6" t="str">
        <f>IF(A781="","",SUMIFS(Chicks!$P:$P,Chicks!$F:$F,A781))</f>
        <v/>
      </c>
      <c r="N781" s="6" t="str">
        <f t="shared" si="4"/>
        <v/>
      </c>
    </row>
    <row r="782" spans="6:14" ht="14.25" customHeight="1" x14ac:dyDescent="0.3">
      <c r="F782" s="6" t="str">
        <f>IF(A782="","",COUNTIF(Chicks!$F:$F,A782))</f>
        <v/>
      </c>
      <c r="G782" s="6" t="str">
        <f>IF(A782="","",COUNTIFS(Chicks!$F:$F,A782,Chicks!$I:$I,"Yes"))</f>
        <v/>
      </c>
      <c r="H782" s="6" t="str">
        <f>IF(A782="","",SUMIFS(Chicks!$J:$J,Chicks!$F:$F,A782))</f>
        <v/>
      </c>
      <c r="I782" s="6" t="str">
        <f>IF(A782="","",COUNTIFS(Chicks!$F:$F,A782,Chicks!$I:$I,"No"))</f>
        <v/>
      </c>
      <c r="J782" s="6" t="str">
        <f>IF(A782="","",IFERROR(AVERAGEIF(Chicks!$F:$F,A782,Chicks!$M:$M),""))</f>
        <v/>
      </c>
      <c r="K782" s="6" t="str">
        <f>IF(A782="","",SUMIFS(Chicks!$N:$N,Chicks!$F:$F,A782))</f>
        <v/>
      </c>
      <c r="L782" s="6" t="str">
        <f>IF(A782="","",SUMIFS(Chicks!$O:$O,Chicks!$F:$F,A782))</f>
        <v/>
      </c>
      <c r="M782" s="6" t="str">
        <f>IF(A782="","",SUMIFS(Chicks!$P:$P,Chicks!$F:$F,A782))</f>
        <v/>
      </c>
      <c r="N782" s="6" t="str">
        <f t="shared" si="4"/>
        <v/>
      </c>
    </row>
    <row r="783" spans="6:14" ht="14.25" customHeight="1" x14ac:dyDescent="0.3">
      <c r="F783" s="6" t="str">
        <f>IF(A783="","",COUNTIF(Chicks!$F:$F,A783))</f>
        <v/>
      </c>
      <c r="G783" s="6" t="str">
        <f>IF(A783="","",COUNTIFS(Chicks!$F:$F,A783,Chicks!$I:$I,"Yes"))</f>
        <v/>
      </c>
      <c r="H783" s="6" t="str">
        <f>IF(A783="","",SUMIFS(Chicks!$J:$J,Chicks!$F:$F,A783))</f>
        <v/>
      </c>
      <c r="I783" s="6" t="str">
        <f>IF(A783="","",COUNTIFS(Chicks!$F:$F,A783,Chicks!$I:$I,"No"))</f>
        <v/>
      </c>
      <c r="J783" s="6" t="str">
        <f>IF(A783="","",IFERROR(AVERAGEIF(Chicks!$F:$F,A783,Chicks!$M:$M),""))</f>
        <v/>
      </c>
      <c r="K783" s="6" t="str">
        <f>IF(A783="","",SUMIFS(Chicks!$N:$N,Chicks!$F:$F,A783))</f>
        <v/>
      </c>
      <c r="L783" s="6" t="str">
        <f>IF(A783="","",SUMIFS(Chicks!$O:$O,Chicks!$F:$F,A783))</f>
        <v/>
      </c>
      <c r="M783" s="6" t="str">
        <f>IF(A783="","",SUMIFS(Chicks!$P:$P,Chicks!$F:$F,A783))</f>
        <v/>
      </c>
      <c r="N783" s="6" t="str">
        <f t="shared" si="4"/>
        <v/>
      </c>
    </row>
    <row r="784" spans="6:14" ht="14.25" customHeight="1" x14ac:dyDescent="0.3">
      <c r="F784" s="6" t="str">
        <f>IF(A784="","",COUNTIF(Chicks!$F:$F,A784))</f>
        <v/>
      </c>
      <c r="G784" s="6" t="str">
        <f>IF(A784="","",COUNTIFS(Chicks!$F:$F,A784,Chicks!$I:$I,"Yes"))</f>
        <v/>
      </c>
      <c r="H784" s="6" t="str">
        <f>IF(A784="","",SUMIFS(Chicks!$J:$J,Chicks!$F:$F,A784))</f>
        <v/>
      </c>
      <c r="I784" s="6" t="str">
        <f>IF(A784="","",COUNTIFS(Chicks!$F:$F,A784,Chicks!$I:$I,"No"))</f>
        <v/>
      </c>
      <c r="J784" s="6" t="str">
        <f>IF(A784="","",IFERROR(AVERAGEIF(Chicks!$F:$F,A784,Chicks!$M:$M),""))</f>
        <v/>
      </c>
      <c r="K784" s="6" t="str">
        <f>IF(A784="","",SUMIFS(Chicks!$N:$N,Chicks!$F:$F,A784))</f>
        <v/>
      </c>
      <c r="L784" s="6" t="str">
        <f>IF(A784="","",SUMIFS(Chicks!$O:$O,Chicks!$F:$F,A784))</f>
        <v/>
      </c>
      <c r="M784" s="6" t="str">
        <f>IF(A784="","",SUMIFS(Chicks!$P:$P,Chicks!$F:$F,A784))</f>
        <v/>
      </c>
      <c r="N784" s="6" t="str">
        <f t="shared" si="4"/>
        <v/>
      </c>
    </row>
    <row r="785" spans="6:14" ht="14.25" customHeight="1" x14ac:dyDescent="0.3">
      <c r="F785" s="6" t="str">
        <f>IF(A785="","",COUNTIF(Chicks!$F:$F,A785))</f>
        <v/>
      </c>
      <c r="G785" s="6" t="str">
        <f>IF(A785="","",COUNTIFS(Chicks!$F:$F,A785,Chicks!$I:$I,"Yes"))</f>
        <v/>
      </c>
      <c r="H785" s="6" t="str">
        <f>IF(A785="","",SUMIFS(Chicks!$J:$J,Chicks!$F:$F,A785))</f>
        <v/>
      </c>
      <c r="I785" s="6" t="str">
        <f>IF(A785="","",COUNTIFS(Chicks!$F:$F,A785,Chicks!$I:$I,"No"))</f>
        <v/>
      </c>
      <c r="J785" s="6" t="str">
        <f>IF(A785="","",IFERROR(AVERAGEIF(Chicks!$F:$F,A785,Chicks!$M:$M),""))</f>
        <v/>
      </c>
      <c r="K785" s="6" t="str">
        <f>IF(A785="","",SUMIFS(Chicks!$N:$N,Chicks!$F:$F,A785))</f>
        <v/>
      </c>
      <c r="L785" s="6" t="str">
        <f>IF(A785="","",SUMIFS(Chicks!$O:$O,Chicks!$F:$F,A785))</f>
        <v/>
      </c>
      <c r="M785" s="6" t="str">
        <f>IF(A785="","",SUMIFS(Chicks!$P:$P,Chicks!$F:$F,A785))</f>
        <v/>
      </c>
      <c r="N785" s="6" t="str">
        <f t="shared" si="4"/>
        <v/>
      </c>
    </row>
    <row r="786" spans="6:14" ht="14.25" customHeight="1" x14ac:dyDescent="0.3">
      <c r="F786" s="6" t="str">
        <f>IF(A786="","",COUNTIF(Chicks!$F:$F,A786))</f>
        <v/>
      </c>
      <c r="G786" s="6" t="str">
        <f>IF(A786="","",COUNTIFS(Chicks!$F:$F,A786,Chicks!$I:$I,"Yes"))</f>
        <v/>
      </c>
      <c r="H786" s="6" t="str">
        <f>IF(A786="","",SUMIFS(Chicks!$J:$J,Chicks!$F:$F,A786))</f>
        <v/>
      </c>
      <c r="I786" s="6" t="str">
        <f>IF(A786="","",COUNTIFS(Chicks!$F:$F,A786,Chicks!$I:$I,"No"))</f>
        <v/>
      </c>
      <c r="J786" s="6" t="str">
        <f>IF(A786="","",IFERROR(AVERAGEIF(Chicks!$F:$F,A786,Chicks!$M:$M),""))</f>
        <v/>
      </c>
      <c r="K786" s="6" t="str">
        <f>IF(A786="","",SUMIFS(Chicks!$N:$N,Chicks!$F:$F,A786))</f>
        <v/>
      </c>
      <c r="L786" s="6" t="str">
        <f>IF(A786="","",SUMIFS(Chicks!$O:$O,Chicks!$F:$F,A786))</f>
        <v/>
      </c>
      <c r="M786" s="6" t="str">
        <f>IF(A786="","",SUMIFS(Chicks!$P:$P,Chicks!$F:$F,A786))</f>
        <v/>
      </c>
      <c r="N786" s="6" t="str">
        <f t="shared" si="4"/>
        <v/>
      </c>
    </row>
    <row r="787" spans="6:14" ht="14.25" customHeight="1" x14ac:dyDescent="0.3">
      <c r="F787" s="6" t="str">
        <f>IF(A787="","",COUNTIF(Chicks!$F:$F,A787))</f>
        <v/>
      </c>
      <c r="G787" s="6" t="str">
        <f>IF(A787="","",COUNTIFS(Chicks!$F:$F,A787,Chicks!$I:$I,"Yes"))</f>
        <v/>
      </c>
      <c r="H787" s="6" t="str">
        <f>IF(A787="","",SUMIFS(Chicks!$J:$J,Chicks!$F:$F,A787))</f>
        <v/>
      </c>
      <c r="I787" s="6" t="str">
        <f>IF(A787="","",COUNTIFS(Chicks!$F:$F,A787,Chicks!$I:$I,"No"))</f>
        <v/>
      </c>
      <c r="J787" s="6" t="str">
        <f>IF(A787="","",IFERROR(AVERAGEIF(Chicks!$F:$F,A787,Chicks!$M:$M),""))</f>
        <v/>
      </c>
      <c r="K787" s="6" t="str">
        <f>IF(A787="","",SUMIFS(Chicks!$N:$N,Chicks!$F:$F,A787))</f>
        <v/>
      </c>
      <c r="L787" s="6" t="str">
        <f>IF(A787="","",SUMIFS(Chicks!$O:$O,Chicks!$F:$F,A787))</f>
        <v/>
      </c>
      <c r="M787" s="6" t="str">
        <f>IF(A787="","",SUMIFS(Chicks!$P:$P,Chicks!$F:$F,A787))</f>
        <v/>
      </c>
      <c r="N787" s="6" t="str">
        <f t="shared" si="4"/>
        <v/>
      </c>
    </row>
    <row r="788" spans="6:14" ht="14.25" customHeight="1" x14ac:dyDescent="0.3">
      <c r="F788" s="6" t="str">
        <f>IF(A788="","",COUNTIF(Chicks!$F:$F,A788))</f>
        <v/>
      </c>
      <c r="G788" s="6" t="str">
        <f>IF(A788="","",COUNTIFS(Chicks!$F:$F,A788,Chicks!$I:$I,"Yes"))</f>
        <v/>
      </c>
      <c r="H788" s="6" t="str">
        <f>IF(A788="","",SUMIFS(Chicks!$J:$J,Chicks!$F:$F,A788))</f>
        <v/>
      </c>
      <c r="I788" s="6" t="str">
        <f>IF(A788="","",COUNTIFS(Chicks!$F:$F,A788,Chicks!$I:$I,"No"))</f>
        <v/>
      </c>
      <c r="J788" s="6" t="str">
        <f>IF(A788="","",IFERROR(AVERAGEIF(Chicks!$F:$F,A788,Chicks!$M:$M),""))</f>
        <v/>
      </c>
      <c r="K788" s="6" t="str">
        <f>IF(A788="","",SUMIFS(Chicks!$N:$N,Chicks!$F:$F,A788))</f>
        <v/>
      </c>
      <c r="L788" s="6" t="str">
        <f>IF(A788="","",SUMIFS(Chicks!$O:$O,Chicks!$F:$F,A788))</f>
        <v/>
      </c>
      <c r="M788" s="6" t="str">
        <f>IF(A788="","",SUMIFS(Chicks!$P:$P,Chicks!$F:$F,A788))</f>
        <v/>
      </c>
      <c r="N788" s="6" t="str">
        <f t="shared" si="4"/>
        <v/>
      </c>
    </row>
    <row r="789" spans="6:14" ht="14.25" customHeight="1" x14ac:dyDescent="0.3">
      <c r="F789" s="6" t="str">
        <f>IF(A789="","",COUNTIF(Chicks!$F:$F,A789))</f>
        <v/>
      </c>
      <c r="G789" s="6" t="str">
        <f>IF(A789="","",COUNTIFS(Chicks!$F:$F,A789,Chicks!$I:$I,"Yes"))</f>
        <v/>
      </c>
      <c r="H789" s="6" t="str">
        <f>IF(A789="","",SUMIFS(Chicks!$J:$J,Chicks!$F:$F,A789))</f>
        <v/>
      </c>
      <c r="I789" s="6" t="str">
        <f>IF(A789="","",COUNTIFS(Chicks!$F:$F,A789,Chicks!$I:$I,"No"))</f>
        <v/>
      </c>
      <c r="J789" s="6" t="str">
        <f>IF(A789="","",IFERROR(AVERAGEIF(Chicks!$F:$F,A789,Chicks!$M:$M),""))</f>
        <v/>
      </c>
      <c r="K789" s="6" t="str">
        <f>IF(A789="","",SUMIFS(Chicks!$N:$N,Chicks!$F:$F,A789))</f>
        <v/>
      </c>
      <c r="L789" s="6" t="str">
        <f>IF(A789="","",SUMIFS(Chicks!$O:$O,Chicks!$F:$F,A789))</f>
        <v/>
      </c>
      <c r="M789" s="6" t="str">
        <f>IF(A789="","",SUMIFS(Chicks!$P:$P,Chicks!$F:$F,A789))</f>
        <v/>
      </c>
      <c r="N789" s="6" t="str">
        <f t="shared" si="4"/>
        <v/>
      </c>
    </row>
    <row r="790" spans="6:14" ht="14.25" customHeight="1" x14ac:dyDescent="0.3">
      <c r="F790" s="6" t="str">
        <f>IF(A790="","",COUNTIF(Chicks!$F:$F,A790))</f>
        <v/>
      </c>
      <c r="G790" s="6" t="str">
        <f>IF(A790="","",COUNTIFS(Chicks!$F:$F,A790,Chicks!$I:$I,"Yes"))</f>
        <v/>
      </c>
      <c r="H790" s="6" t="str">
        <f>IF(A790="","",SUMIFS(Chicks!$J:$J,Chicks!$F:$F,A790))</f>
        <v/>
      </c>
      <c r="I790" s="6" t="str">
        <f>IF(A790="","",COUNTIFS(Chicks!$F:$F,A790,Chicks!$I:$I,"No"))</f>
        <v/>
      </c>
      <c r="J790" s="6" t="str">
        <f>IF(A790="","",IFERROR(AVERAGEIF(Chicks!$F:$F,A790,Chicks!$M:$M),""))</f>
        <v/>
      </c>
      <c r="K790" s="6" t="str">
        <f>IF(A790="","",SUMIFS(Chicks!$N:$N,Chicks!$F:$F,A790))</f>
        <v/>
      </c>
      <c r="L790" s="6" t="str">
        <f>IF(A790="","",SUMIFS(Chicks!$O:$O,Chicks!$F:$F,A790))</f>
        <v/>
      </c>
      <c r="M790" s="6" t="str">
        <f>IF(A790="","",SUMIFS(Chicks!$P:$P,Chicks!$F:$F,A790))</f>
        <v/>
      </c>
      <c r="N790" s="6" t="str">
        <f t="shared" si="4"/>
        <v/>
      </c>
    </row>
    <row r="791" spans="6:14" ht="14.25" customHeight="1" x14ac:dyDescent="0.3">
      <c r="F791" s="6" t="str">
        <f>IF(A791="","",COUNTIF(Chicks!$F:$F,A791))</f>
        <v/>
      </c>
      <c r="G791" s="6" t="str">
        <f>IF(A791="","",COUNTIFS(Chicks!$F:$F,A791,Chicks!$I:$I,"Yes"))</f>
        <v/>
      </c>
      <c r="H791" s="6" t="str">
        <f>IF(A791="","",SUMIFS(Chicks!$J:$J,Chicks!$F:$F,A791))</f>
        <v/>
      </c>
      <c r="I791" s="6" t="str">
        <f>IF(A791="","",COUNTIFS(Chicks!$F:$F,A791,Chicks!$I:$I,"No"))</f>
        <v/>
      </c>
      <c r="J791" s="6" t="str">
        <f>IF(A791="","",IFERROR(AVERAGEIF(Chicks!$F:$F,A791,Chicks!$M:$M),""))</f>
        <v/>
      </c>
      <c r="K791" s="6" t="str">
        <f>IF(A791="","",SUMIFS(Chicks!$N:$N,Chicks!$F:$F,A791))</f>
        <v/>
      </c>
      <c r="L791" s="6" t="str">
        <f>IF(A791="","",SUMIFS(Chicks!$O:$O,Chicks!$F:$F,A791))</f>
        <v/>
      </c>
      <c r="M791" s="6" t="str">
        <f>IF(A791="","",SUMIFS(Chicks!$P:$P,Chicks!$F:$F,A791))</f>
        <v/>
      </c>
      <c r="N791" s="6" t="str">
        <f t="shared" si="4"/>
        <v/>
      </c>
    </row>
    <row r="792" spans="6:14" ht="14.25" customHeight="1" x14ac:dyDescent="0.3">
      <c r="F792" s="6" t="str">
        <f>IF(A792="","",COUNTIF(Chicks!$F:$F,A792))</f>
        <v/>
      </c>
      <c r="G792" s="6" t="str">
        <f>IF(A792="","",COUNTIFS(Chicks!$F:$F,A792,Chicks!$I:$I,"Yes"))</f>
        <v/>
      </c>
      <c r="H792" s="6" t="str">
        <f>IF(A792="","",SUMIFS(Chicks!$J:$J,Chicks!$F:$F,A792))</f>
        <v/>
      </c>
      <c r="I792" s="6" t="str">
        <f>IF(A792="","",COUNTIFS(Chicks!$F:$F,A792,Chicks!$I:$I,"No"))</f>
        <v/>
      </c>
      <c r="J792" s="6" t="str">
        <f>IF(A792="","",IFERROR(AVERAGEIF(Chicks!$F:$F,A792,Chicks!$M:$M),""))</f>
        <v/>
      </c>
      <c r="K792" s="6" t="str">
        <f>IF(A792="","",SUMIFS(Chicks!$N:$N,Chicks!$F:$F,A792))</f>
        <v/>
      </c>
      <c r="L792" s="6" t="str">
        <f>IF(A792="","",SUMIFS(Chicks!$O:$O,Chicks!$F:$F,A792))</f>
        <v/>
      </c>
      <c r="M792" s="6" t="str">
        <f>IF(A792="","",SUMIFS(Chicks!$P:$P,Chicks!$F:$F,A792))</f>
        <v/>
      </c>
      <c r="N792" s="6" t="str">
        <f t="shared" si="4"/>
        <v/>
      </c>
    </row>
    <row r="793" spans="6:14" ht="14.25" customHeight="1" x14ac:dyDescent="0.3">
      <c r="F793" s="6" t="str">
        <f>IF(A793="","",COUNTIF(Chicks!$F:$F,A793))</f>
        <v/>
      </c>
      <c r="G793" s="6" t="str">
        <f>IF(A793="","",COUNTIFS(Chicks!$F:$F,A793,Chicks!$I:$I,"Yes"))</f>
        <v/>
      </c>
      <c r="H793" s="6" t="str">
        <f>IF(A793="","",SUMIFS(Chicks!$J:$J,Chicks!$F:$F,A793))</f>
        <v/>
      </c>
      <c r="I793" s="6" t="str">
        <f>IF(A793="","",COUNTIFS(Chicks!$F:$F,A793,Chicks!$I:$I,"No"))</f>
        <v/>
      </c>
      <c r="J793" s="6" t="str">
        <f>IF(A793="","",IFERROR(AVERAGEIF(Chicks!$F:$F,A793,Chicks!$M:$M),""))</f>
        <v/>
      </c>
      <c r="K793" s="6" t="str">
        <f>IF(A793="","",SUMIFS(Chicks!$N:$N,Chicks!$F:$F,A793))</f>
        <v/>
      </c>
      <c r="L793" s="6" t="str">
        <f>IF(A793="","",SUMIFS(Chicks!$O:$O,Chicks!$F:$F,A793))</f>
        <v/>
      </c>
      <c r="M793" s="6" t="str">
        <f>IF(A793="","",SUMIFS(Chicks!$P:$P,Chicks!$F:$F,A793))</f>
        <v/>
      </c>
      <c r="N793" s="6" t="str">
        <f t="shared" si="4"/>
        <v/>
      </c>
    </row>
    <row r="794" spans="6:14" ht="14.25" customHeight="1" x14ac:dyDescent="0.3">
      <c r="F794" s="6" t="str">
        <f>IF(A794="","",COUNTIF(Chicks!$F:$F,A794))</f>
        <v/>
      </c>
      <c r="G794" s="6" t="str">
        <f>IF(A794="","",COUNTIFS(Chicks!$F:$F,A794,Chicks!$I:$I,"Yes"))</f>
        <v/>
      </c>
      <c r="H794" s="6" t="str">
        <f>IF(A794="","",SUMIFS(Chicks!$J:$J,Chicks!$F:$F,A794))</f>
        <v/>
      </c>
      <c r="I794" s="6" t="str">
        <f>IF(A794="","",COUNTIFS(Chicks!$F:$F,A794,Chicks!$I:$I,"No"))</f>
        <v/>
      </c>
      <c r="J794" s="6" t="str">
        <f>IF(A794="","",IFERROR(AVERAGEIF(Chicks!$F:$F,A794,Chicks!$M:$M),""))</f>
        <v/>
      </c>
      <c r="K794" s="6" t="str">
        <f>IF(A794="","",SUMIFS(Chicks!$N:$N,Chicks!$F:$F,A794))</f>
        <v/>
      </c>
      <c r="L794" s="6" t="str">
        <f>IF(A794="","",SUMIFS(Chicks!$O:$O,Chicks!$F:$F,A794))</f>
        <v/>
      </c>
      <c r="M794" s="6" t="str">
        <f>IF(A794="","",SUMIFS(Chicks!$P:$P,Chicks!$F:$F,A794))</f>
        <v/>
      </c>
      <c r="N794" s="6" t="str">
        <f t="shared" si="4"/>
        <v/>
      </c>
    </row>
    <row r="795" spans="6:14" ht="14.25" customHeight="1" x14ac:dyDescent="0.3">
      <c r="F795" s="6" t="str">
        <f>IF(A795="","",COUNTIF(Chicks!$F:$F,A795))</f>
        <v/>
      </c>
      <c r="G795" s="6" t="str">
        <f>IF(A795="","",COUNTIFS(Chicks!$F:$F,A795,Chicks!$I:$I,"Yes"))</f>
        <v/>
      </c>
      <c r="H795" s="6" t="str">
        <f>IF(A795="","",SUMIFS(Chicks!$J:$J,Chicks!$F:$F,A795))</f>
        <v/>
      </c>
      <c r="I795" s="6" t="str">
        <f>IF(A795="","",COUNTIFS(Chicks!$F:$F,A795,Chicks!$I:$I,"No"))</f>
        <v/>
      </c>
      <c r="J795" s="6" t="str">
        <f>IF(A795="","",IFERROR(AVERAGEIF(Chicks!$F:$F,A795,Chicks!$M:$M),""))</f>
        <v/>
      </c>
      <c r="K795" s="6" t="str">
        <f>IF(A795="","",SUMIFS(Chicks!$N:$N,Chicks!$F:$F,A795))</f>
        <v/>
      </c>
      <c r="L795" s="6" t="str">
        <f>IF(A795="","",SUMIFS(Chicks!$O:$O,Chicks!$F:$F,A795))</f>
        <v/>
      </c>
      <c r="M795" s="6" t="str">
        <f>IF(A795="","",SUMIFS(Chicks!$P:$P,Chicks!$F:$F,A795))</f>
        <v/>
      </c>
      <c r="N795" s="6" t="str">
        <f t="shared" si="4"/>
        <v/>
      </c>
    </row>
    <row r="796" spans="6:14" ht="14.25" customHeight="1" x14ac:dyDescent="0.3">
      <c r="F796" s="6" t="str">
        <f>IF(A796="","",COUNTIF(Chicks!$F:$F,A796))</f>
        <v/>
      </c>
      <c r="G796" s="6" t="str">
        <f>IF(A796="","",COUNTIFS(Chicks!$F:$F,A796,Chicks!$I:$I,"Yes"))</f>
        <v/>
      </c>
      <c r="H796" s="6" t="str">
        <f>IF(A796="","",SUMIFS(Chicks!$J:$J,Chicks!$F:$F,A796))</f>
        <v/>
      </c>
      <c r="I796" s="6" t="str">
        <f>IF(A796="","",COUNTIFS(Chicks!$F:$F,A796,Chicks!$I:$I,"No"))</f>
        <v/>
      </c>
      <c r="J796" s="6" t="str">
        <f>IF(A796="","",IFERROR(AVERAGEIF(Chicks!$F:$F,A796,Chicks!$M:$M),""))</f>
        <v/>
      </c>
      <c r="K796" s="6" t="str">
        <f>IF(A796="","",SUMIFS(Chicks!$N:$N,Chicks!$F:$F,A796))</f>
        <v/>
      </c>
      <c r="L796" s="6" t="str">
        <f>IF(A796="","",SUMIFS(Chicks!$O:$O,Chicks!$F:$F,A796))</f>
        <v/>
      </c>
      <c r="M796" s="6" t="str">
        <f>IF(A796="","",SUMIFS(Chicks!$P:$P,Chicks!$F:$F,A796))</f>
        <v/>
      </c>
      <c r="N796" s="6" t="str">
        <f t="shared" si="4"/>
        <v/>
      </c>
    </row>
    <row r="797" spans="6:14" ht="14.25" customHeight="1" x14ac:dyDescent="0.3">
      <c r="F797" s="6" t="str">
        <f>IF(A797="","",COUNTIF(Chicks!$F:$F,A797))</f>
        <v/>
      </c>
      <c r="G797" s="6" t="str">
        <f>IF(A797="","",COUNTIFS(Chicks!$F:$F,A797,Chicks!$I:$I,"Yes"))</f>
        <v/>
      </c>
      <c r="H797" s="6" t="str">
        <f>IF(A797="","",SUMIFS(Chicks!$J:$J,Chicks!$F:$F,A797))</f>
        <v/>
      </c>
      <c r="I797" s="6" t="str">
        <f>IF(A797="","",COUNTIFS(Chicks!$F:$F,A797,Chicks!$I:$I,"No"))</f>
        <v/>
      </c>
      <c r="J797" s="6" t="str">
        <f>IF(A797="","",IFERROR(AVERAGEIF(Chicks!$F:$F,A797,Chicks!$M:$M),""))</f>
        <v/>
      </c>
      <c r="K797" s="6" t="str">
        <f>IF(A797="","",SUMIFS(Chicks!$N:$N,Chicks!$F:$F,A797))</f>
        <v/>
      </c>
      <c r="L797" s="6" t="str">
        <f>IF(A797="","",SUMIFS(Chicks!$O:$O,Chicks!$F:$F,A797))</f>
        <v/>
      </c>
      <c r="M797" s="6" t="str">
        <f>IF(A797="","",SUMIFS(Chicks!$P:$P,Chicks!$F:$F,A797))</f>
        <v/>
      </c>
      <c r="N797" s="6" t="str">
        <f t="shared" si="4"/>
        <v/>
      </c>
    </row>
    <row r="798" spans="6:14" ht="14.25" customHeight="1" x14ac:dyDescent="0.3">
      <c r="F798" s="6" t="str">
        <f>IF(A798="","",COUNTIF(Chicks!$F:$F,A798))</f>
        <v/>
      </c>
      <c r="G798" s="6" t="str">
        <f>IF(A798="","",COUNTIFS(Chicks!$F:$F,A798,Chicks!$I:$I,"Yes"))</f>
        <v/>
      </c>
      <c r="H798" s="6" t="str">
        <f>IF(A798="","",SUMIFS(Chicks!$J:$J,Chicks!$F:$F,A798))</f>
        <v/>
      </c>
      <c r="I798" s="6" t="str">
        <f>IF(A798="","",COUNTIFS(Chicks!$F:$F,A798,Chicks!$I:$I,"No"))</f>
        <v/>
      </c>
      <c r="J798" s="6" t="str">
        <f>IF(A798="","",IFERROR(AVERAGEIF(Chicks!$F:$F,A798,Chicks!$M:$M),""))</f>
        <v/>
      </c>
      <c r="K798" s="6" t="str">
        <f>IF(A798="","",SUMIFS(Chicks!$N:$N,Chicks!$F:$F,A798))</f>
        <v/>
      </c>
      <c r="L798" s="6" t="str">
        <f>IF(A798="","",SUMIFS(Chicks!$O:$O,Chicks!$F:$F,A798))</f>
        <v/>
      </c>
      <c r="M798" s="6" t="str">
        <f>IF(A798="","",SUMIFS(Chicks!$P:$P,Chicks!$F:$F,A798))</f>
        <v/>
      </c>
      <c r="N798" s="6" t="str">
        <f t="shared" si="4"/>
        <v/>
      </c>
    </row>
    <row r="799" spans="6:14" ht="14.25" customHeight="1" x14ac:dyDescent="0.3">
      <c r="F799" s="6" t="str">
        <f>IF(A799="","",COUNTIF(Chicks!$F:$F,A799))</f>
        <v/>
      </c>
      <c r="G799" s="6" t="str">
        <f>IF(A799="","",COUNTIFS(Chicks!$F:$F,A799,Chicks!$I:$I,"Yes"))</f>
        <v/>
      </c>
      <c r="H799" s="6" t="str">
        <f>IF(A799="","",SUMIFS(Chicks!$J:$J,Chicks!$F:$F,A799))</f>
        <v/>
      </c>
      <c r="I799" s="6" t="str">
        <f>IF(A799="","",COUNTIFS(Chicks!$F:$F,A799,Chicks!$I:$I,"No"))</f>
        <v/>
      </c>
      <c r="J799" s="6" t="str">
        <f>IF(A799="","",IFERROR(AVERAGEIF(Chicks!$F:$F,A799,Chicks!$M:$M),""))</f>
        <v/>
      </c>
      <c r="K799" s="6" t="str">
        <f>IF(A799="","",SUMIFS(Chicks!$N:$N,Chicks!$F:$F,A799))</f>
        <v/>
      </c>
      <c r="L799" s="6" t="str">
        <f>IF(A799="","",SUMIFS(Chicks!$O:$O,Chicks!$F:$F,A799))</f>
        <v/>
      </c>
      <c r="M799" s="6" t="str">
        <f>IF(A799="","",SUMIFS(Chicks!$P:$P,Chicks!$F:$F,A799))</f>
        <v/>
      </c>
      <c r="N799" s="6" t="str">
        <f t="shared" si="4"/>
        <v/>
      </c>
    </row>
    <row r="800" spans="6:14" ht="14.25" customHeight="1" x14ac:dyDescent="0.3">
      <c r="F800" s="6" t="str">
        <f>IF(A800="","",COUNTIF(Chicks!$F:$F,A800))</f>
        <v/>
      </c>
      <c r="G800" s="6" t="str">
        <f>IF(A800="","",COUNTIFS(Chicks!$F:$F,A800,Chicks!$I:$I,"Yes"))</f>
        <v/>
      </c>
      <c r="H800" s="6" t="str">
        <f>IF(A800="","",SUMIFS(Chicks!$J:$J,Chicks!$F:$F,A800))</f>
        <v/>
      </c>
      <c r="I800" s="6" t="str">
        <f>IF(A800="","",COUNTIFS(Chicks!$F:$F,A800,Chicks!$I:$I,"No"))</f>
        <v/>
      </c>
      <c r="J800" s="6" t="str">
        <f>IF(A800="","",IFERROR(AVERAGEIF(Chicks!$F:$F,A800,Chicks!$M:$M),""))</f>
        <v/>
      </c>
      <c r="K800" s="6" t="str">
        <f>IF(A800="","",SUMIFS(Chicks!$N:$N,Chicks!$F:$F,A800))</f>
        <v/>
      </c>
      <c r="L800" s="6" t="str">
        <f>IF(A800="","",SUMIFS(Chicks!$O:$O,Chicks!$F:$F,A800))</f>
        <v/>
      </c>
      <c r="M800" s="6" t="str">
        <f>IF(A800="","",SUMIFS(Chicks!$P:$P,Chicks!$F:$F,A800))</f>
        <v/>
      </c>
      <c r="N800" s="6" t="str">
        <f t="shared" si="4"/>
        <v/>
      </c>
    </row>
    <row r="801" spans="6:14" ht="14.25" customHeight="1" x14ac:dyDescent="0.3">
      <c r="F801" s="6" t="str">
        <f>IF(A801="","",COUNTIF(Chicks!$F:$F,A801))</f>
        <v/>
      </c>
      <c r="G801" s="6" t="str">
        <f>IF(A801="","",COUNTIFS(Chicks!$F:$F,A801,Chicks!$I:$I,"Yes"))</f>
        <v/>
      </c>
      <c r="H801" s="6" t="str">
        <f>IF(A801="","",SUMIFS(Chicks!$J:$J,Chicks!$F:$F,A801))</f>
        <v/>
      </c>
      <c r="I801" s="6" t="str">
        <f>IF(A801="","",COUNTIFS(Chicks!$F:$F,A801,Chicks!$I:$I,"No"))</f>
        <v/>
      </c>
      <c r="J801" s="6" t="str">
        <f>IF(A801="","",IFERROR(AVERAGEIF(Chicks!$F:$F,A801,Chicks!$M:$M),""))</f>
        <v/>
      </c>
      <c r="K801" s="6" t="str">
        <f>IF(A801="","",SUMIFS(Chicks!$N:$N,Chicks!$F:$F,A801))</f>
        <v/>
      </c>
      <c r="L801" s="6" t="str">
        <f>IF(A801="","",SUMIFS(Chicks!$O:$O,Chicks!$F:$F,A801))</f>
        <v/>
      </c>
      <c r="M801" s="6" t="str">
        <f>IF(A801="","",SUMIFS(Chicks!$P:$P,Chicks!$F:$F,A801))</f>
        <v/>
      </c>
      <c r="N801" s="6" t="str">
        <f t="shared" si="4"/>
        <v/>
      </c>
    </row>
    <row r="802" spans="6:14" ht="14.25" customHeight="1" x14ac:dyDescent="0.3">
      <c r="F802" s="6" t="str">
        <f>IF(A802="","",COUNTIF(Chicks!$F:$F,A802))</f>
        <v/>
      </c>
      <c r="G802" s="6" t="str">
        <f>IF(A802="","",COUNTIFS(Chicks!$F:$F,A802,Chicks!$I:$I,"Yes"))</f>
        <v/>
      </c>
      <c r="H802" s="6" t="str">
        <f>IF(A802="","",SUMIFS(Chicks!$J:$J,Chicks!$F:$F,A802))</f>
        <v/>
      </c>
      <c r="I802" s="6" t="str">
        <f>IF(A802="","",COUNTIFS(Chicks!$F:$F,A802,Chicks!$I:$I,"No"))</f>
        <v/>
      </c>
      <c r="J802" s="6" t="str">
        <f>IF(A802="","",IFERROR(AVERAGEIF(Chicks!$F:$F,A802,Chicks!$M:$M),""))</f>
        <v/>
      </c>
      <c r="K802" s="6" t="str">
        <f>IF(A802="","",SUMIFS(Chicks!$N:$N,Chicks!$F:$F,A802))</f>
        <v/>
      </c>
      <c r="L802" s="6" t="str">
        <f>IF(A802="","",SUMIFS(Chicks!$O:$O,Chicks!$F:$F,A802))</f>
        <v/>
      </c>
      <c r="M802" s="6" t="str">
        <f>IF(A802="","",SUMIFS(Chicks!$P:$P,Chicks!$F:$F,A802))</f>
        <v/>
      </c>
      <c r="N802" s="6" t="str">
        <f t="shared" si="4"/>
        <v/>
      </c>
    </row>
    <row r="803" spans="6:14" ht="14.25" customHeight="1" x14ac:dyDescent="0.3">
      <c r="F803" s="6" t="str">
        <f>IF(A803="","",COUNTIF(Chicks!$F:$F,A803))</f>
        <v/>
      </c>
      <c r="G803" s="6" t="str">
        <f>IF(A803="","",COUNTIFS(Chicks!$F:$F,A803,Chicks!$I:$I,"Yes"))</f>
        <v/>
      </c>
      <c r="H803" s="6" t="str">
        <f>IF(A803="","",SUMIFS(Chicks!$J:$J,Chicks!$F:$F,A803))</f>
        <v/>
      </c>
      <c r="I803" s="6" t="str">
        <f>IF(A803="","",COUNTIFS(Chicks!$F:$F,A803,Chicks!$I:$I,"No"))</f>
        <v/>
      </c>
      <c r="J803" s="6" t="str">
        <f>IF(A803="","",IFERROR(AVERAGEIF(Chicks!$F:$F,A803,Chicks!$M:$M),""))</f>
        <v/>
      </c>
      <c r="K803" s="6" t="str">
        <f>IF(A803="","",SUMIFS(Chicks!$N:$N,Chicks!$F:$F,A803))</f>
        <v/>
      </c>
      <c r="L803" s="6" t="str">
        <f>IF(A803="","",SUMIFS(Chicks!$O:$O,Chicks!$F:$F,A803))</f>
        <v/>
      </c>
      <c r="M803" s="6" t="str">
        <f>IF(A803="","",SUMIFS(Chicks!$P:$P,Chicks!$F:$F,A803))</f>
        <v/>
      </c>
      <c r="N803" s="6" t="str">
        <f t="shared" si="4"/>
        <v/>
      </c>
    </row>
    <row r="804" spans="6:14" ht="14.25" customHeight="1" x14ac:dyDescent="0.3">
      <c r="F804" s="6" t="str">
        <f>IF(A804="","",COUNTIF(Chicks!$F:$F,A804))</f>
        <v/>
      </c>
      <c r="G804" s="6" t="str">
        <f>IF(A804="","",COUNTIFS(Chicks!$F:$F,A804,Chicks!$I:$I,"Yes"))</f>
        <v/>
      </c>
      <c r="H804" s="6" t="str">
        <f>IF(A804="","",SUMIFS(Chicks!$J:$J,Chicks!$F:$F,A804))</f>
        <v/>
      </c>
      <c r="I804" s="6" t="str">
        <f>IF(A804="","",COUNTIFS(Chicks!$F:$F,A804,Chicks!$I:$I,"No"))</f>
        <v/>
      </c>
      <c r="J804" s="6" t="str">
        <f>IF(A804="","",IFERROR(AVERAGEIF(Chicks!$F:$F,A804,Chicks!$M:$M),""))</f>
        <v/>
      </c>
      <c r="K804" s="6" t="str">
        <f>IF(A804="","",SUMIFS(Chicks!$N:$N,Chicks!$F:$F,A804))</f>
        <v/>
      </c>
      <c r="L804" s="6" t="str">
        <f>IF(A804="","",SUMIFS(Chicks!$O:$O,Chicks!$F:$F,A804))</f>
        <v/>
      </c>
      <c r="M804" s="6" t="str">
        <f>IF(A804="","",SUMIFS(Chicks!$P:$P,Chicks!$F:$F,A804))</f>
        <v/>
      </c>
      <c r="N804" s="6" t="str">
        <f t="shared" si="4"/>
        <v/>
      </c>
    </row>
    <row r="805" spans="6:14" ht="14.25" customHeight="1" x14ac:dyDescent="0.3">
      <c r="F805" s="6" t="str">
        <f>IF(A805="","",COUNTIF(Chicks!$F:$F,A805))</f>
        <v/>
      </c>
      <c r="G805" s="6" t="str">
        <f>IF(A805="","",COUNTIFS(Chicks!$F:$F,A805,Chicks!$I:$I,"Yes"))</f>
        <v/>
      </c>
      <c r="H805" s="6" t="str">
        <f>IF(A805="","",SUMIFS(Chicks!$J:$J,Chicks!$F:$F,A805))</f>
        <v/>
      </c>
      <c r="I805" s="6" t="str">
        <f>IF(A805="","",COUNTIFS(Chicks!$F:$F,A805,Chicks!$I:$I,"No"))</f>
        <v/>
      </c>
      <c r="J805" s="6" t="str">
        <f>IF(A805="","",IFERROR(AVERAGEIF(Chicks!$F:$F,A805,Chicks!$M:$M),""))</f>
        <v/>
      </c>
      <c r="K805" s="6" t="str">
        <f>IF(A805="","",SUMIFS(Chicks!$N:$N,Chicks!$F:$F,A805))</f>
        <v/>
      </c>
      <c r="L805" s="6" t="str">
        <f>IF(A805="","",SUMIFS(Chicks!$O:$O,Chicks!$F:$F,A805))</f>
        <v/>
      </c>
      <c r="M805" s="6" t="str">
        <f>IF(A805="","",SUMIFS(Chicks!$P:$P,Chicks!$F:$F,A805))</f>
        <v/>
      </c>
      <c r="N805" s="6" t="str">
        <f t="shared" si="4"/>
        <v/>
      </c>
    </row>
    <row r="806" spans="6:14" ht="14.25" customHeight="1" x14ac:dyDescent="0.3">
      <c r="F806" s="6" t="str">
        <f>IF(A806="","",COUNTIF(Chicks!$F:$F,A806))</f>
        <v/>
      </c>
      <c r="G806" s="6" t="str">
        <f>IF(A806="","",COUNTIFS(Chicks!$F:$F,A806,Chicks!$I:$I,"Yes"))</f>
        <v/>
      </c>
      <c r="H806" s="6" t="str">
        <f>IF(A806="","",SUMIFS(Chicks!$J:$J,Chicks!$F:$F,A806))</f>
        <v/>
      </c>
      <c r="I806" s="6" t="str">
        <f>IF(A806="","",COUNTIFS(Chicks!$F:$F,A806,Chicks!$I:$I,"No"))</f>
        <v/>
      </c>
      <c r="J806" s="6" t="str">
        <f>IF(A806="","",IFERROR(AVERAGEIF(Chicks!$F:$F,A806,Chicks!$M:$M),""))</f>
        <v/>
      </c>
      <c r="K806" s="6" t="str">
        <f>IF(A806="","",SUMIFS(Chicks!$N:$N,Chicks!$F:$F,A806))</f>
        <v/>
      </c>
      <c r="L806" s="6" t="str">
        <f>IF(A806="","",SUMIFS(Chicks!$O:$O,Chicks!$F:$F,A806))</f>
        <v/>
      </c>
      <c r="M806" s="6" t="str">
        <f>IF(A806="","",SUMIFS(Chicks!$P:$P,Chicks!$F:$F,A806))</f>
        <v/>
      </c>
      <c r="N806" s="6" t="str">
        <f t="shared" si="4"/>
        <v/>
      </c>
    </row>
    <row r="807" spans="6:14" ht="14.25" customHeight="1" x14ac:dyDescent="0.3">
      <c r="F807" s="6" t="str">
        <f>IF(A807="","",COUNTIF(Chicks!$F:$F,A807))</f>
        <v/>
      </c>
      <c r="G807" s="6" t="str">
        <f>IF(A807="","",COUNTIFS(Chicks!$F:$F,A807,Chicks!$I:$I,"Yes"))</f>
        <v/>
      </c>
      <c r="H807" s="6" t="str">
        <f>IF(A807="","",SUMIFS(Chicks!$J:$J,Chicks!$F:$F,A807))</f>
        <v/>
      </c>
      <c r="I807" s="6" t="str">
        <f>IF(A807="","",COUNTIFS(Chicks!$F:$F,A807,Chicks!$I:$I,"No"))</f>
        <v/>
      </c>
      <c r="J807" s="6" t="str">
        <f>IF(A807="","",IFERROR(AVERAGEIF(Chicks!$F:$F,A807,Chicks!$M:$M),""))</f>
        <v/>
      </c>
      <c r="K807" s="6" t="str">
        <f>IF(A807="","",SUMIFS(Chicks!$N:$N,Chicks!$F:$F,A807))</f>
        <v/>
      </c>
      <c r="L807" s="6" t="str">
        <f>IF(A807="","",SUMIFS(Chicks!$O:$O,Chicks!$F:$F,A807))</f>
        <v/>
      </c>
      <c r="M807" s="6" t="str">
        <f>IF(A807="","",SUMIFS(Chicks!$P:$P,Chicks!$F:$F,A807))</f>
        <v/>
      </c>
      <c r="N807" s="6" t="str">
        <f t="shared" si="4"/>
        <v/>
      </c>
    </row>
    <row r="808" spans="6:14" ht="14.25" customHeight="1" x14ac:dyDescent="0.3">
      <c r="F808" s="6" t="str">
        <f>IF(A808="","",COUNTIF(Chicks!$F:$F,A808))</f>
        <v/>
      </c>
      <c r="G808" s="6" t="str">
        <f>IF(A808="","",COUNTIFS(Chicks!$F:$F,A808,Chicks!$I:$I,"Yes"))</f>
        <v/>
      </c>
      <c r="H808" s="6" t="str">
        <f>IF(A808="","",SUMIFS(Chicks!$J:$J,Chicks!$F:$F,A808))</f>
        <v/>
      </c>
      <c r="I808" s="6" t="str">
        <f>IF(A808="","",COUNTIFS(Chicks!$F:$F,A808,Chicks!$I:$I,"No"))</f>
        <v/>
      </c>
      <c r="J808" s="6" t="str">
        <f>IF(A808="","",IFERROR(AVERAGEIF(Chicks!$F:$F,A808,Chicks!$M:$M),""))</f>
        <v/>
      </c>
      <c r="K808" s="6" t="str">
        <f>IF(A808="","",SUMIFS(Chicks!$N:$N,Chicks!$F:$F,A808))</f>
        <v/>
      </c>
      <c r="L808" s="6" t="str">
        <f>IF(A808="","",SUMIFS(Chicks!$O:$O,Chicks!$F:$F,A808))</f>
        <v/>
      </c>
      <c r="M808" s="6" t="str">
        <f>IF(A808="","",SUMIFS(Chicks!$P:$P,Chicks!$F:$F,A808))</f>
        <v/>
      </c>
      <c r="N808" s="6" t="str">
        <f t="shared" si="4"/>
        <v/>
      </c>
    </row>
    <row r="809" spans="6:14" ht="14.25" customHeight="1" x14ac:dyDescent="0.3">
      <c r="F809" s="6" t="str">
        <f>IF(A809="","",COUNTIF(Chicks!$F:$F,A809))</f>
        <v/>
      </c>
      <c r="G809" s="6" t="str">
        <f>IF(A809="","",COUNTIFS(Chicks!$F:$F,A809,Chicks!$I:$I,"Yes"))</f>
        <v/>
      </c>
      <c r="H809" s="6" t="str">
        <f>IF(A809="","",SUMIFS(Chicks!$J:$J,Chicks!$F:$F,A809))</f>
        <v/>
      </c>
      <c r="I809" s="6" t="str">
        <f>IF(A809="","",COUNTIFS(Chicks!$F:$F,A809,Chicks!$I:$I,"No"))</f>
        <v/>
      </c>
      <c r="J809" s="6" t="str">
        <f>IF(A809="","",IFERROR(AVERAGEIF(Chicks!$F:$F,A809,Chicks!$M:$M),""))</f>
        <v/>
      </c>
      <c r="K809" s="6" t="str">
        <f>IF(A809="","",SUMIFS(Chicks!$N:$N,Chicks!$F:$F,A809))</f>
        <v/>
      </c>
      <c r="L809" s="6" t="str">
        <f>IF(A809="","",SUMIFS(Chicks!$O:$O,Chicks!$F:$F,A809))</f>
        <v/>
      </c>
      <c r="M809" s="6" t="str">
        <f>IF(A809="","",SUMIFS(Chicks!$P:$P,Chicks!$F:$F,A809))</f>
        <v/>
      </c>
      <c r="N809" s="6" t="str">
        <f t="shared" si="4"/>
        <v/>
      </c>
    </row>
    <row r="810" spans="6:14" ht="14.25" customHeight="1" x14ac:dyDescent="0.3">
      <c r="F810" s="6" t="str">
        <f>IF(A810="","",COUNTIF(Chicks!$F:$F,A810))</f>
        <v/>
      </c>
      <c r="G810" s="6" t="str">
        <f>IF(A810="","",COUNTIFS(Chicks!$F:$F,A810,Chicks!$I:$I,"Yes"))</f>
        <v/>
      </c>
      <c r="H810" s="6" t="str">
        <f>IF(A810="","",SUMIFS(Chicks!$J:$J,Chicks!$F:$F,A810))</f>
        <v/>
      </c>
      <c r="I810" s="6" t="str">
        <f>IF(A810="","",COUNTIFS(Chicks!$F:$F,A810,Chicks!$I:$I,"No"))</f>
        <v/>
      </c>
      <c r="J810" s="6" t="str">
        <f>IF(A810="","",IFERROR(AVERAGEIF(Chicks!$F:$F,A810,Chicks!$M:$M),""))</f>
        <v/>
      </c>
      <c r="K810" s="6" t="str">
        <f>IF(A810="","",SUMIFS(Chicks!$N:$N,Chicks!$F:$F,A810))</f>
        <v/>
      </c>
      <c r="L810" s="6" t="str">
        <f>IF(A810="","",SUMIFS(Chicks!$O:$O,Chicks!$F:$F,A810))</f>
        <v/>
      </c>
      <c r="M810" s="6" t="str">
        <f>IF(A810="","",SUMIFS(Chicks!$P:$P,Chicks!$F:$F,A810))</f>
        <v/>
      </c>
      <c r="N810" s="6" t="str">
        <f t="shared" si="4"/>
        <v/>
      </c>
    </row>
    <row r="811" spans="6:14" ht="14.25" customHeight="1" x14ac:dyDescent="0.3">
      <c r="F811" s="6" t="str">
        <f>IF(A811="","",COUNTIF(Chicks!$F:$F,A811))</f>
        <v/>
      </c>
      <c r="G811" s="6" t="str">
        <f>IF(A811="","",COUNTIFS(Chicks!$F:$F,A811,Chicks!$I:$I,"Yes"))</f>
        <v/>
      </c>
      <c r="H811" s="6" t="str">
        <f>IF(A811="","",SUMIFS(Chicks!$J:$J,Chicks!$F:$F,A811))</f>
        <v/>
      </c>
      <c r="I811" s="6" t="str">
        <f>IF(A811="","",COUNTIFS(Chicks!$F:$F,A811,Chicks!$I:$I,"No"))</f>
        <v/>
      </c>
      <c r="J811" s="6" t="str">
        <f>IF(A811="","",IFERROR(AVERAGEIF(Chicks!$F:$F,A811,Chicks!$M:$M),""))</f>
        <v/>
      </c>
      <c r="K811" s="6" t="str">
        <f>IF(A811="","",SUMIFS(Chicks!$N:$N,Chicks!$F:$F,A811))</f>
        <v/>
      </c>
      <c r="L811" s="6" t="str">
        <f>IF(A811="","",SUMIFS(Chicks!$O:$O,Chicks!$F:$F,A811))</f>
        <v/>
      </c>
      <c r="M811" s="6" t="str">
        <f>IF(A811="","",SUMIFS(Chicks!$P:$P,Chicks!$F:$F,A811))</f>
        <v/>
      </c>
      <c r="N811" s="6" t="str">
        <f t="shared" si="4"/>
        <v/>
      </c>
    </row>
    <row r="812" spans="6:14" ht="14.25" customHeight="1" x14ac:dyDescent="0.3">
      <c r="F812" s="6" t="str">
        <f>IF(A812="","",COUNTIF(Chicks!$F:$F,A812))</f>
        <v/>
      </c>
      <c r="G812" s="6" t="str">
        <f>IF(A812="","",COUNTIFS(Chicks!$F:$F,A812,Chicks!$I:$I,"Yes"))</f>
        <v/>
      </c>
      <c r="H812" s="6" t="str">
        <f>IF(A812="","",SUMIFS(Chicks!$J:$J,Chicks!$F:$F,A812))</f>
        <v/>
      </c>
      <c r="I812" s="6" t="str">
        <f>IF(A812="","",COUNTIFS(Chicks!$F:$F,A812,Chicks!$I:$I,"No"))</f>
        <v/>
      </c>
      <c r="J812" s="6" t="str">
        <f>IF(A812="","",IFERROR(AVERAGEIF(Chicks!$F:$F,A812,Chicks!$M:$M),""))</f>
        <v/>
      </c>
      <c r="K812" s="6" t="str">
        <f>IF(A812="","",SUMIFS(Chicks!$N:$N,Chicks!$F:$F,A812))</f>
        <v/>
      </c>
      <c r="L812" s="6" t="str">
        <f>IF(A812="","",SUMIFS(Chicks!$O:$O,Chicks!$F:$F,A812))</f>
        <v/>
      </c>
      <c r="M812" s="6" t="str">
        <f>IF(A812="","",SUMIFS(Chicks!$P:$P,Chicks!$F:$F,A812))</f>
        <v/>
      </c>
      <c r="N812" s="6" t="str">
        <f t="shared" si="4"/>
        <v/>
      </c>
    </row>
    <row r="813" spans="6:14" ht="14.25" customHeight="1" x14ac:dyDescent="0.3">
      <c r="F813" s="6" t="str">
        <f>IF(A813="","",COUNTIF(Chicks!$F:$F,A813))</f>
        <v/>
      </c>
      <c r="G813" s="6" t="str">
        <f>IF(A813="","",COUNTIFS(Chicks!$F:$F,A813,Chicks!$I:$I,"Yes"))</f>
        <v/>
      </c>
      <c r="H813" s="6" t="str">
        <f>IF(A813="","",SUMIFS(Chicks!$J:$J,Chicks!$F:$F,A813))</f>
        <v/>
      </c>
      <c r="I813" s="6" t="str">
        <f>IF(A813="","",COUNTIFS(Chicks!$F:$F,A813,Chicks!$I:$I,"No"))</f>
        <v/>
      </c>
      <c r="J813" s="6" t="str">
        <f>IF(A813="","",IFERROR(AVERAGEIF(Chicks!$F:$F,A813,Chicks!$M:$M),""))</f>
        <v/>
      </c>
      <c r="K813" s="6" t="str">
        <f>IF(A813="","",SUMIFS(Chicks!$N:$N,Chicks!$F:$F,A813))</f>
        <v/>
      </c>
      <c r="L813" s="6" t="str">
        <f>IF(A813="","",SUMIFS(Chicks!$O:$O,Chicks!$F:$F,A813))</f>
        <v/>
      </c>
      <c r="M813" s="6" t="str">
        <f>IF(A813="","",SUMIFS(Chicks!$P:$P,Chicks!$F:$F,A813))</f>
        <v/>
      </c>
      <c r="N813" s="6" t="str">
        <f t="shared" si="4"/>
        <v/>
      </c>
    </row>
    <row r="814" spans="6:14" ht="14.25" customHeight="1" x14ac:dyDescent="0.3">
      <c r="F814" s="6" t="str">
        <f>IF(A814="","",COUNTIF(Chicks!$F:$F,A814))</f>
        <v/>
      </c>
      <c r="G814" s="6" t="str">
        <f>IF(A814="","",COUNTIFS(Chicks!$F:$F,A814,Chicks!$I:$I,"Yes"))</f>
        <v/>
      </c>
      <c r="H814" s="6" t="str">
        <f>IF(A814="","",SUMIFS(Chicks!$J:$J,Chicks!$F:$F,A814))</f>
        <v/>
      </c>
      <c r="I814" s="6" t="str">
        <f>IF(A814="","",COUNTIFS(Chicks!$F:$F,A814,Chicks!$I:$I,"No"))</f>
        <v/>
      </c>
      <c r="J814" s="6" t="str">
        <f>IF(A814="","",IFERROR(AVERAGEIF(Chicks!$F:$F,A814,Chicks!$M:$M),""))</f>
        <v/>
      </c>
      <c r="K814" s="6" t="str">
        <f>IF(A814="","",SUMIFS(Chicks!$N:$N,Chicks!$F:$F,A814))</f>
        <v/>
      </c>
      <c r="L814" s="6" t="str">
        <f>IF(A814="","",SUMIFS(Chicks!$O:$O,Chicks!$F:$F,A814))</f>
        <v/>
      </c>
      <c r="M814" s="6" t="str">
        <f>IF(A814="","",SUMIFS(Chicks!$P:$P,Chicks!$F:$F,A814))</f>
        <v/>
      </c>
      <c r="N814" s="6" t="str">
        <f t="shared" si="4"/>
        <v/>
      </c>
    </row>
    <row r="815" spans="6:14" ht="14.25" customHeight="1" x14ac:dyDescent="0.3">
      <c r="F815" s="6" t="str">
        <f>IF(A815="","",COUNTIF(Chicks!$F:$F,A815))</f>
        <v/>
      </c>
      <c r="G815" s="6" t="str">
        <f>IF(A815="","",COUNTIFS(Chicks!$F:$F,A815,Chicks!$I:$I,"Yes"))</f>
        <v/>
      </c>
      <c r="H815" s="6" t="str">
        <f>IF(A815="","",SUMIFS(Chicks!$J:$J,Chicks!$F:$F,A815))</f>
        <v/>
      </c>
      <c r="I815" s="6" t="str">
        <f>IF(A815="","",COUNTIFS(Chicks!$F:$F,A815,Chicks!$I:$I,"No"))</f>
        <v/>
      </c>
      <c r="J815" s="6" t="str">
        <f>IF(A815="","",IFERROR(AVERAGEIF(Chicks!$F:$F,A815,Chicks!$M:$M),""))</f>
        <v/>
      </c>
      <c r="K815" s="6" t="str">
        <f>IF(A815="","",SUMIFS(Chicks!$N:$N,Chicks!$F:$F,A815))</f>
        <v/>
      </c>
      <c r="L815" s="6" t="str">
        <f>IF(A815="","",SUMIFS(Chicks!$O:$O,Chicks!$F:$F,A815))</f>
        <v/>
      </c>
      <c r="M815" s="6" t="str">
        <f>IF(A815="","",SUMIFS(Chicks!$P:$P,Chicks!$F:$F,A815))</f>
        <v/>
      </c>
      <c r="N815" s="6" t="str">
        <f t="shared" si="4"/>
        <v/>
      </c>
    </row>
    <row r="816" spans="6:14" ht="14.25" customHeight="1" x14ac:dyDescent="0.3">
      <c r="F816" s="6" t="str">
        <f>IF(A816="","",COUNTIF(Chicks!$F:$F,A816))</f>
        <v/>
      </c>
      <c r="G816" s="6" t="str">
        <f>IF(A816="","",COUNTIFS(Chicks!$F:$F,A816,Chicks!$I:$I,"Yes"))</f>
        <v/>
      </c>
      <c r="H816" s="6" t="str">
        <f>IF(A816="","",SUMIFS(Chicks!$J:$J,Chicks!$F:$F,A816))</f>
        <v/>
      </c>
      <c r="I816" s="6" t="str">
        <f>IF(A816="","",COUNTIFS(Chicks!$F:$F,A816,Chicks!$I:$I,"No"))</f>
        <v/>
      </c>
      <c r="J816" s="6" t="str">
        <f>IF(A816="","",IFERROR(AVERAGEIF(Chicks!$F:$F,A816,Chicks!$M:$M),""))</f>
        <v/>
      </c>
      <c r="K816" s="6" t="str">
        <f>IF(A816="","",SUMIFS(Chicks!$N:$N,Chicks!$F:$F,A816))</f>
        <v/>
      </c>
      <c r="L816" s="6" t="str">
        <f>IF(A816="","",SUMIFS(Chicks!$O:$O,Chicks!$F:$F,A816))</f>
        <v/>
      </c>
      <c r="M816" s="6" t="str">
        <f>IF(A816="","",SUMIFS(Chicks!$P:$P,Chicks!$F:$F,A816))</f>
        <v/>
      </c>
      <c r="N816" s="6" t="str">
        <f t="shared" si="4"/>
        <v/>
      </c>
    </row>
    <row r="817" spans="6:14" ht="14.25" customHeight="1" x14ac:dyDescent="0.3">
      <c r="F817" s="6" t="str">
        <f>IF(A817="","",COUNTIF(Chicks!$F:$F,A817))</f>
        <v/>
      </c>
      <c r="G817" s="6" t="str">
        <f>IF(A817="","",COUNTIFS(Chicks!$F:$F,A817,Chicks!$I:$I,"Yes"))</f>
        <v/>
      </c>
      <c r="H817" s="6" t="str">
        <f>IF(A817="","",SUMIFS(Chicks!$J:$J,Chicks!$F:$F,A817))</f>
        <v/>
      </c>
      <c r="I817" s="6" t="str">
        <f>IF(A817="","",COUNTIFS(Chicks!$F:$F,A817,Chicks!$I:$I,"No"))</f>
        <v/>
      </c>
      <c r="J817" s="6" t="str">
        <f>IF(A817="","",IFERROR(AVERAGEIF(Chicks!$F:$F,A817,Chicks!$M:$M),""))</f>
        <v/>
      </c>
      <c r="K817" s="6" t="str">
        <f>IF(A817="","",SUMIFS(Chicks!$N:$N,Chicks!$F:$F,A817))</f>
        <v/>
      </c>
      <c r="L817" s="6" t="str">
        <f>IF(A817="","",SUMIFS(Chicks!$O:$O,Chicks!$F:$F,A817))</f>
        <v/>
      </c>
      <c r="M817" s="6" t="str">
        <f>IF(A817="","",SUMIFS(Chicks!$P:$P,Chicks!$F:$F,A817))</f>
        <v/>
      </c>
      <c r="N817" s="6" t="str">
        <f t="shared" si="4"/>
        <v/>
      </c>
    </row>
    <row r="818" spans="6:14" ht="14.25" customHeight="1" x14ac:dyDescent="0.3">
      <c r="F818" s="6" t="str">
        <f>IF(A818="","",COUNTIF(Chicks!$F:$F,A818))</f>
        <v/>
      </c>
      <c r="G818" s="6" t="str">
        <f>IF(A818="","",COUNTIFS(Chicks!$F:$F,A818,Chicks!$I:$I,"Yes"))</f>
        <v/>
      </c>
      <c r="H818" s="6" t="str">
        <f>IF(A818="","",SUMIFS(Chicks!$J:$J,Chicks!$F:$F,A818))</f>
        <v/>
      </c>
      <c r="I818" s="6" t="str">
        <f>IF(A818="","",COUNTIFS(Chicks!$F:$F,A818,Chicks!$I:$I,"No"))</f>
        <v/>
      </c>
      <c r="J818" s="6" t="str">
        <f>IF(A818="","",IFERROR(AVERAGEIF(Chicks!$F:$F,A818,Chicks!$M:$M),""))</f>
        <v/>
      </c>
      <c r="K818" s="6" t="str">
        <f>IF(A818="","",SUMIFS(Chicks!$N:$N,Chicks!$F:$F,A818))</f>
        <v/>
      </c>
      <c r="L818" s="6" t="str">
        <f>IF(A818="","",SUMIFS(Chicks!$O:$O,Chicks!$F:$F,A818))</f>
        <v/>
      </c>
      <c r="M818" s="6" t="str">
        <f>IF(A818="","",SUMIFS(Chicks!$P:$P,Chicks!$F:$F,A818))</f>
        <v/>
      </c>
      <c r="N818" s="6" t="str">
        <f t="shared" si="4"/>
        <v/>
      </c>
    </row>
    <row r="819" spans="6:14" ht="14.25" customHeight="1" x14ac:dyDescent="0.3">
      <c r="F819" s="6" t="str">
        <f>IF(A819="","",COUNTIF(Chicks!$F:$F,A819))</f>
        <v/>
      </c>
      <c r="G819" s="6" t="str">
        <f>IF(A819="","",COUNTIFS(Chicks!$F:$F,A819,Chicks!$I:$I,"Yes"))</f>
        <v/>
      </c>
      <c r="H819" s="6" t="str">
        <f>IF(A819="","",SUMIFS(Chicks!$J:$J,Chicks!$F:$F,A819))</f>
        <v/>
      </c>
      <c r="I819" s="6" t="str">
        <f>IF(A819="","",COUNTIFS(Chicks!$F:$F,A819,Chicks!$I:$I,"No"))</f>
        <v/>
      </c>
      <c r="J819" s="6" t="str">
        <f>IF(A819="","",IFERROR(AVERAGEIF(Chicks!$F:$F,A819,Chicks!$M:$M),""))</f>
        <v/>
      </c>
      <c r="K819" s="6" t="str">
        <f>IF(A819="","",SUMIFS(Chicks!$N:$N,Chicks!$F:$F,A819))</f>
        <v/>
      </c>
      <c r="L819" s="6" t="str">
        <f>IF(A819="","",SUMIFS(Chicks!$O:$O,Chicks!$F:$F,A819))</f>
        <v/>
      </c>
      <c r="M819" s="6" t="str">
        <f>IF(A819="","",SUMIFS(Chicks!$P:$P,Chicks!$F:$F,A819))</f>
        <v/>
      </c>
      <c r="N819" s="6" t="str">
        <f t="shared" si="4"/>
        <v/>
      </c>
    </row>
    <row r="820" spans="6:14" ht="14.25" customHeight="1" x14ac:dyDescent="0.3">
      <c r="F820" s="6" t="str">
        <f>IF(A820="","",COUNTIF(Chicks!$F:$F,A820))</f>
        <v/>
      </c>
      <c r="G820" s="6" t="str">
        <f>IF(A820="","",COUNTIFS(Chicks!$F:$F,A820,Chicks!$I:$I,"Yes"))</f>
        <v/>
      </c>
      <c r="H820" s="6" t="str">
        <f>IF(A820="","",SUMIFS(Chicks!$J:$J,Chicks!$F:$F,A820))</f>
        <v/>
      </c>
      <c r="I820" s="6" t="str">
        <f>IF(A820="","",COUNTIFS(Chicks!$F:$F,A820,Chicks!$I:$I,"No"))</f>
        <v/>
      </c>
      <c r="J820" s="6" t="str">
        <f>IF(A820="","",IFERROR(AVERAGEIF(Chicks!$F:$F,A820,Chicks!$M:$M),""))</f>
        <v/>
      </c>
      <c r="K820" s="6" t="str">
        <f>IF(A820="","",SUMIFS(Chicks!$N:$N,Chicks!$F:$F,A820))</f>
        <v/>
      </c>
      <c r="L820" s="6" t="str">
        <f>IF(A820="","",SUMIFS(Chicks!$O:$O,Chicks!$F:$F,A820))</f>
        <v/>
      </c>
      <c r="M820" s="6" t="str">
        <f>IF(A820="","",SUMIFS(Chicks!$P:$P,Chicks!$F:$F,A820))</f>
        <v/>
      </c>
      <c r="N820" s="6" t="str">
        <f t="shared" si="4"/>
        <v/>
      </c>
    </row>
    <row r="821" spans="6:14" ht="14.25" customHeight="1" x14ac:dyDescent="0.3">
      <c r="F821" s="6" t="str">
        <f>IF(A821="","",COUNTIF(Chicks!$F:$F,A821))</f>
        <v/>
      </c>
      <c r="G821" s="6" t="str">
        <f>IF(A821="","",COUNTIFS(Chicks!$F:$F,A821,Chicks!$I:$I,"Yes"))</f>
        <v/>
      </c>
      <c r="H821" s="6" t="str">
        <f>IF(A821="","",SUMIFS(Chicks!$J:$J,Chicks!$F:$F,A821))</f>
        <v/>
      </c>
      <c r="I821" s="6" t="str">
        <f>IF(A821="","",COUNTIFS(Chicks!$F:$F,A821,Chicks!$I:$I,"No"))</f>
        <v/>
      </c>
      <c r="J821" s="6" t="str">
        <f>IF(A821="","",IFERROR(AVERAGEIF(Chicks!$F:$F,A821,Chicks!$M:$M),""))</f>
        <v/>
      </c>
      <c r="K821" s="6" t="str">
        <f>IF(A821="","",SUMIFS(Chicks!$N:$N,Chicks!$F:$F,A821))</f>
        <v/>
      </c>
      <c r="L821" s="6" t="str">
        <f>IF(A821="","",SUMIFS(Chicks!$O:$O,Chicks!$F:$F,A821))</f>
        <v/>
      </c>
      <c r="M821" s="6" t="str">
        <f>IF(A821="","",SUMIFS(Chicks!$P:$P,Chicks!$F:$F,A821))</f>
        <v/>
      </c>
      <c r="N821" s="6" t="str">
        <f t="shared" si="4"/>
        <v/>
      </c>
    </row>
    <row r="822" spans="6:14" ht="14.25" customHeight="1" x14ac:dyDescent="0.3">
      <c r="F822" s="6" t="str">
        <f>IF(A822="","",COUNTIF(Chicks!$F:$F,A822))</f>
        <v/>
      </c>
      <c r="G822" s="6" t="str">
        <f>IF(A822="","",COUNTIFS(Chicks!$F:$F,A822,Chicks!$I:$I,"Yes"))</f>
        <v/>
      </c>
      <c r="H822" s="6" t="str">
        <f>IF(A822="","",SUMIFS(Chicks!$J:$J,Chicks!$F:$F,A822))</f>
        <v/>
      </c>
      <c r="I822" s="6" t="str">
        <f>IF(A822="","",COUNTIFS(Chicks!$F:$F,A822,Chicks!$I:$I,"No"))</f>
        <v/>
      </c>
      <c r="J822" s="6" t="str">
        <f>IF(A822="","",IFERROR(AVERAGEIF(Chicks!$F:$F,A822,Chicks!$M:$M),""))</f>
        <v/>
      </c>
      <c r="K822" s="6" t="str">
        <f>IF(A822="","",SUMIFS(Chicks!$N:$N,Chicks!$F:$F,A822))</f>
        <v/>
      </c>
      <c r="L822" s="6" t="str">
        <f>IF(A822="","",SUMIFS(Chicks!$O:$O,Chicks!$F:$F,A822))</f>
        <v/>
      </c>
      <c r="M822" s="6" t="str">
        <f>IF(A822="","",SUMIFS(Chicks!$P:$P,Chicks!$F:$F,A822))</f>
        <v/>
      </c>
      <c r="N822" s="6" t="str">
        <f t="shared" si="4"/>
        <v/>
      </c>
    </row>
    <row r="823" spans="6:14" ht="14.25" customHeight="1" x14ac:dyDescent="0.3">
      <c r="F823" s="6" t="str">
        <f>IF(A823="","",COUNTIF(Chicks!$F:$F,A823))</f>
        <v/>
      </c>
      <c r="G823" s="6" t="str">
        <f>IF(A823="","",COUNTIFS(Chicks!$F:$F,A823,Chicks!$I:$I,"Yes"))</f>
        <v/>
      </c>
      <c r="H823" s="6" t="str">
        <f>IF(A823="","",SUMIFS(Chicks!$J:$J,Chicks!$F:$F,A823))</f>
        <v/>
      </c>
      <c r="I823" s="6" t="str">
        <f>IF(A823="","",COUNTIFS(Chicks!$F:$F,A823,Chicks!$I:$I,"No"))</f>
        <v/>
      </c>
      <c r="J823" s="6" t="str">
        <f>IF(A823="","",IFERROR(AVERAGEIF(Chicks!$F:$F,A823,Chicks!$M:$M),""))</f>
        <v/>
      </c>
      <c r="K823" s="6" t="str">
        <f>IF(A823="","",SUMIFS(Chicks!$N:$N,Chicks!$F:$F,A823))</f>
        <v/>
      </c>
      <c r="L823" s="6" t="str">
        <f>IF(A823="","",SUMIFS(Chicks!$O:$O,Chicks!$F:$F,A823))</f>
        <v/>
      </c>
      <c r="M823" s="6" t="str">
        <f>IF(A823="","",SUMIFS(Chicks!$P:$P,Chicks!$F:$F,A823))</f>
        <v/>
      </c>
      <c r="N823" s="6" t="str">
        <f t="shared" si="4"/>
        <v/>
      </c>
    </row>
    <row r="824" spans="6:14" ht="14.25" customHeight="1" x14ac:dyDescent="0.3">
      <c r="F824" s="6" t="str">
        <f>IF(A824="","",COUNTIF(Chicks!$F:$F,A824))</f>
        <v/>
      </c>
      <c r="G824" s="6" t="str">
        <f>IF(A824="","",COUNTIFS(Chicks!$F:$F,A824,Chicks!$I:$I,"Yes"))</f>
        <v/>
      </c>
      <c r="H824" s="6" t="str">
        <f>IF(A824="","",SUMIFS(Chicks!$J:$J,Chicks!$F:$F,A824))</f>
        <v/>
      </c>
      <c r="I824" s="6" t="str">
        <f>IF(A824="","",COUNTIFS(Chicks!$F:$F,A824,Chicks!$I:$I,"No"))</f>
        <v/>
      </c>
      <c r="J824" s="6" t="str">
        <f>IF(A824="","",IFERROR(AVERAGEIF(Chicks!$F:$F,A824,Chicks!$M:$M),""))</f>
        <v/>
      </c>
      <c r="K824" s="6" t="str">
        <f>IF(A824="","",SUMIFS(Chicks!$N:$N,Chicks!$F:$F,A824))</f>
        <v/>
      </c>
      <c r="L824" s="6" t="str">
        <f>IF(A824="","",SUMIFS(Chicks!$O:$O,Chicks!$F:$F,A824))</f>
        <v/>
      </c>
      <c r="M824" s="6" t="str">
        <f>IF(A824="","",SUMIFS(Chicks!$P:$P,Chicks!$F:$F,A824))</f>
        <v/>
      </c>
      <c r="N824" s="6" t="str">
        <f t="shared" si="4"/>
        <v/>
      </c>
    </row>
    <row r="825" spans="6:14" ht="14.25" customHeight="1" x14ac:dyDescent="0.3">
      <c r="F825" s="6" t="str">
        <f>IF(A825="","",COUNTIF(Chicks!$F:$F,A825))</f>
        <v/>
      </c>
      <c r="G825" s="6" t="str">
        <f>IF(A825="","",COUNTIFS(Chicks!$F:$F,A825,Chicks!$I:$I,"Yes"))</f>
        <v/>
      </c>
      <c r="H825" s="6" t="str">
        <f>IF(A825="","",SUMIFS(Chicks!$J:$J,Chicks!$F:$F,A825))</f>
        <v/>
      </c>
      <c r="I825" s="6" t="str">
        <f>IF(A825="","",COUNTIFS(Chicks!$F:$F,A825,Chicks!$I:$I,"No"))</f>
        <v/>
      </c>
      <c r="J825" s="6" t="str">
        <f>IF(A825="","",IFERROR(AVERAGEIF(Chicks!$F:$F,A825,Chicks!$M:$M),""))</f>
        <v/>
      </c>
      <c r="K825" s="6" t="str">
        <f>IF(A825="","",SUMIFS(Chicks!$N:$N,Chicks!$F:$F,A825))</f>
        <v/>
      </c>
      <c r="L825" s="6" t="str">
        <f>IF(A825="","",SUMIFS(Chicks!$O:$O,Chicks!$F:$F,A825))</f>
        <v/>
      </c>
      <c r="M825" s="6" t="str">
        <f>IF(A825="","",SUMIFS(Chicks!$P:$P,Chicks!$F:$F,A825))</f>
        <v/>
      </c>
      <c r="N825" s="6" t="str">
        <f t="shared" si="4"/>
        <v/>
      </c>
    </row>
    <row r="826" spans="6:14" ht="14.25" customHeight="1" x14ac:dyDescent="0.3">
      <c r="F826" s="6" t="str">
        <f>IF(A826="","",COUNTIF(Chicks!$F:$F,A826))</f>
        <v/>
      </c>
      <c r="G826" s="6" t="str">
        <f>IF(A826="","",COUNTIFS(Chicks!$F:$F,A826,Chicks!$I:$I,"Yes"))</f>
        <v/>
      </c>
      <c r="H826" s="6" t="str">
        <f>IF(A826="","",SUMIFS(Chicks!$J:$J,Chicks!$F:$F,A826))</f>
        <v/>
      </c>
      <c r="I826" s="6" t="str">
        <f>IF(A826="","",COUNTIFS(Chicks!$F:$F,A826,Chicks!$I:$I,"No"))</f>
        <v/>
      </c>
      <c r="J826" s="6" t="str">
        <f>IF(A826="","",IFERROR(AVERAGEIF(Chicks!$F:$F,A826,Chicks!$M:$M),""))</f>
        <v/>
      </c>
      <c r="K826" s="6" t="str">
        <f>IF(A826="","",SUMIFS(Chicks!$N:$N,Chicks!$F:$F,A826))</f>
        <v/>
      </c>
      <c r="L826" s="6" t="str">
        <f>IF(A826="","",SUMIFS(Chicks!$O:$O,Chicks!$F:$F,A826))</f>
        <v/>
      </c>
      <c r="M826" s="6" t="str">
        <f>IF(A826="","",SUMIFS(Chicks!$P:$P,Chicks!$F:$F,A826))</f>
        <v/>
      </c>
      <c r="N826" s="6" t="str">
        <f t="shared" si="4"/>
        <v/>
      </c>
    </row>
    <row r="827" spans="6:14" ht="14.25" customHeight="1" x14ac:dyDescent="0.3">
      <c r="F827" s="6" t="str">
        <f>IF(A827="","",COUNTIF(Chicks!$F:$F,A827))</f>
        <v/>
      </c>
      <c r="G827" s="6" t="str">
        <f>IF(A827="","",COUNTIFS(Chicks!$F:$F,A827,Chicks!$I:$I,"Yes"))</f>
        <v/>
      </c>
      <c r="H827" s="6" t="str">
        <f>IF(A827="","",SUMIFS(Chicks!$J:$J,Chicks!$F:$F,A827))</f>
        <v/>
      </c>
      <c r="I827" s="6" t="str">
        <f>IF(A827="","",COUNTIFS(Chicks!$F:$F,A827,Chicks!$I:$I,"No"))</f>
        <v/>
      </c>
      <c r="J827" s="6" t="str">
        <f>IF(A827="","",IFERROR(AVERAGEIF(Chicks!$F:$F,A827,Chicks!$M:$M),""))</f>
        <v/>
      </c>
      <c r="K827" s="6" t="str">
        <f>IF(A827="","",SUMIFS(Chicks!$N:$N,Chicks!$F:$F,A827))</f>
        <v/>
      </c>
      <c r="L827" s="6" t="str">
        <f>IF(A827="","",SUMIFS(Chicks!$O:$O,Chicks!$F:$F,A827))</f>
        <v/>
      </c>
      <c r="M827" s="6" t="str">
        <f>IF(A827="","",SUMIFS(Chicks!$P:$P,Chicks!$F:$F,A827))</f>
        <v/>
      </c>
      <c r="N827" s="6" t="str">
        <f t="shared" si="4"/>
        <v/>
      </c>
    </row>
    <row r="828" spans="6:14" ht="14.25" customHeight="1" x14ac:dyDescent="0.3">
      <c r="F828" s="6" t="str">
        <f>IF(A828="","",COUNTIF(Chicks!$F:$F,A828))</f>
        <v/>
      </c>
      <c r="G828" s="6" t="str">
        <f>IF(A828="","",COUNTIFS(Chicks!$F:$F,A828,Chicks!$I:$I,"Yes"))</f>
        <v/>
      </c>
      <c r="H828" s="6" t="str">
        <f>IF(A828="","",SUMIFS(Chicks!$J:$J,Chicks!$F:$F,A828))</f>
        <v/>
      </c>
      <c r="I828" s="6" t="str">
        <f>IF(A828="","",COUNTIFS(Chicks!$F:$F,A828,Chicks!$I:$I,"No"))</f>
        <v/>
      </c>
      <c r="J828" s="6" t="str">
        <f>IF(A828="","",IFERROR(AVERAGEIF(Chicks!$F:$F,A828,Chicks!$M:$M),""))</f>
        <v/>
      </c>
      <c r="K828" s="6" t="str">
        <f>IF(A828="","",SUMIFS(Chicks!$N:$N,Chicks!$F:$F,A828))</f>
        <v/>
      </c>
      <c r="L828" s="6" t="str">
        <f>IF(A828="","",SUMIFS(Chicks!$O:$O,Chicks!$F:$F,A828))</f>
        <v/>
      </c>
      <c r="M828" s="6" t="str">
        <f>IF(A828="","",SUMIFS(Chicks!$P:$P,Chicks!$F:$F,A828))</f>
        <v/>
      </c>
      <c r="N828" s="6" t="str">
        <f t="shared" si="4"/>
        <v/>
      </c>
    </row>
    <row r="829" spans="6:14" ht="14.25" customHeight="1" x14ac:dyDescent="0.3">
      <c r="F829" s="6" t="str">
        <f>IF(A829="","",COUNTIF(Chicks!$F:$F,A829))</f>
        <v/>
      </c>
      <c r="G829" s="6" t="str">
        <f>IF(A829="","",COUNTIFS(Chicks!$F:$F,A829,Chicks!$I:$I,"Yes"))</f>
        <v/>
      </c>
      <c r="H829" s="6" t="str">
        <f>IF(A829="","",SUMIFS(Chicks!$J:$J,Chicks!$F:$F,A829))</f>
        <v/>
      </c>
      <c r="I829" s="6" t="str">
        <f>IF(A829="","",COUNTIFS(Chicks!$F:$F,A829,Chicks!$I:$I,"No"))</f>
        <v/>
      </c>
      <c r="J829" s="6" t="str">
        <f>IF(A829="","",IFERROR(AVERAGEIF(Chicks!$F:$F,A829,Chicks!$M:$M),""))</f>
        <v/>
      </c>
      <c r="K829" s="6" t="str">
        <f>IF(A829="","",SUMIFS(Chicks!$N:$N,Chicks!$F:$F,A829))</f>
        <v/>
      </c>
      <c r="L829" s="6" t="str">
        <f>IF(A829="","",SUMIFS(Chicks!$O:$O,Chicks!$F:$F,A829))</f>
        <v/>
      </c>
      <c r="M829" s="6" t="str">
        <f>IF(A829="","",SUMIFS(Chicks!$P:$P,Chicks!$F:$F,A829))</f>
        <v/>
      </c>
      <c r="N829" s="6" t="str">
        <f t="shared" si="4"/>
        <v/>
      </c>
    </row>
    <row r="830" spans="6:14" ht="14.25" customHeight="1" x14ac:dyDescent="0.3">
      <c r="F830" s="6" t="str">
        <f>IF(A830="","",COUNTIF(Chicks!$F:$F,A830))</f>
        <v/>
      </c>
      <c r="G830" s="6" t="str">
        <f>IF(A830="","",COUNTIFS(Chicks!$F:$F,A830,Chicks!$I:$I,"Yes"))</f>
        <v/>
      </c>
      <c r="H830" s="6" t="str">
        <f>IF(A830="","",SUMIFS(Chicks!$J:$J,Chicks!$F:$F,A830))</f>
        <v/>
      </c>
      <c r="I830" s="6" t="str">
        <f>IF(A830="","",COUNTIFS(Chicks!$F:$F,A830,Chicks!$I:$I,"No"))</f>
        <v/>
      </c>
      <c r="J830" s="6" t="str">
        <f>IF(A830="","",IFERROR(AVERAGEIF(Chicks!$F:$F,A830,Chicks!$M:$M),""))</f>
        <v/>
      </c>
      <c r="K830" s="6" t="str">
        <f>IF(A830="","",SUMIFS(Chicks!$N:$N,Chicks!$F:$F,A830))</f>
        <v/>
      </c>
      <c r="L830" s="6" t="str">
        <f>IF(A830="","",SUMIFS(Chicks!$O:$O,Chicks!$F:$F,A830))</f>
        <v/>
      </c>
      <c r="M830" s="6" t="str">
        <f>IF(A830="","",SUMIFS(Chicks!$P:$P,Chicks!$F:$F,A830))</f>
        <v/>
      </c>
      <c r="N830" s="6" t="str">
        <f t="shared" si="4"/>
        <v/>
      </c>
    </row>
    <row r="831" spans="6:14" ht="14.25" customHeight="1" x14ac:dyDescent="0.3">
      <c r="F831" s="6" t="str">
        <f>IF(A831="","",COUNTIF(Chicks!$F:$F,A831))</f>
        <v/>
      </c>
      <c r="G831" s="6" t="str">
        <f>IF(A831="","",COUNTIFS(Chicks!$F:$F,A831,Chicks!$I:$I,"Yes"))</f>
        <v/>
      </c>
      <c r="H831" s="6" t="str">
        <f>IF(A831="","",SUMIFS(Chicks!$J:$J,Chicks!$F:$F,A831))</f>
        <v/>
      </c>
      <c r="I831" s="6" t="str">
        <f>IF(A831="","",COUNTIFS(Chicks!$F:$F,A831,Chicks!$I:$I,"No"))</f>
        <v/>
      </c>
      <c r="J831" s="6" t="str">
        <f>IF(A831="","",IFERROR(AVERAGEIF(Chicks!$F:$F,A831,Chicks!$M:$M),""))</f>
        <v/>
      </c>
      <c r="K831" s="6" t="str">
        <f>IF(A831="","",SUMIFS(Chicks!$N:$N,Chicks!$F:$F,A831))</f>
        <v/>
      </c>
      <c r="L831" s="6" t="str">
        <f>IF(A831="","",SUMIFS(Chicks!$O:$O,Chicks!$F:$F,A831))</f>
        <v/>
      </c>
      <c r="M831" s="6" t="str">
        <f>IF(A831="","",SUMIFS(Chicks!$P:$P,Chicks!$F:$F,A831))</f>
        <v/>
      </c>
      <c r="N831" s="6" t="str">
        <f t="shared" si="4"/>
        <v/>
      </c>
    </row>
    <row r="832" spans="6:14" ht="14.25" customHeight="1" x14ac:dyDescent="0.3">
      <c r="F832" s="6" t="str">
        <f>IF(A832="","",COUNTIF(Chicks!$F:$F,A832))</f>
        <v/>
      </c>
      <c r="G832" s="6" t="str">
        <f>IF(A832="","",COUNTIFS(Chicks!$F:$F,A832,Chicks!$I:$I,"Yes"))</f>
        <v/>
      </c>
      <c r="H832" s="6" t="str">
        <f>IF(A832="","",SUMIFS(Chicks!$J:$J,Chicks!$F:$F,A832))</f>
        <v/>
      </c>
      <c r="I832" s="6" t="str">
        <f>IF(A832="","",COUNTIFS(Chicks!$F:$F,A832,Chicks!$I:$I,"No"))</f>
        <v/>
      </c>
      <c r="J832" s="6" t="str">
        <f>IF(A832="","",IFERROR(AVERAGEIF(Chicks!$F:$F,A832,Chicks!$M:$M),""))</f>
        <v/>
      </c>
      <c r="K832" s="6" t="str">
        <f>IF(A832="","",SUMIFS(Chicks!$N:$N,Chicks!$F:$F,A832))</f>
        <v/>
      </c>
      <c r="L832" s="6" t="str">
        <f>IF(A832="","",SUMIFS(Chicks!$O:$O,Chicks!$F:$F,A832))</f>
        <v/>
      </c>
      <c r="M832" s="6" t="str">
        <f>IF(A832="","",SUMIFS(Chicks!$P:$P,Chicks!$F:$F,A832))</f>
        <v/>
      </c>
      <c r="N832" s="6" t="str">
        <f t="shared" si="4"/>
        <v/>
      </c>
    </row>
    <row r="833" spans="6:14" ht="14.25" customHeight="1" x14ac:dyDescent="0.3">
      <c r="F833" s="6" t="str">
        <f>IF(A833="","",COUNTIF(Chicks!$F:$F,A833))</f>
        <v/>
      </c>
      <c r="G833" s="6" t="str">
        <f>IF(A833="","",COUNTIFS(Chicks!$F:$F,A833,Chicks!$I:$I,"Yes"))</f>
        <v/>
      </c>
      <c r="H833" s="6" t="str">
        <f>IF(A833="","",SUMIFS(Chicks!$J:$J,Chicks!$F:$F,A833))</f>
        <v/>
      </c>
      <c r="I833" s="6" t="str">
        <f>IF(A833="","",COUNTIFS(Chicks!$F:$F,A833,Chicks!$I:$I,"No"))</f>
        <v/>
      </c>
      <c r="J833" s="6" t="str">
        <f>IF(A833="","",IFERROR(AVERAGEIF(Chicks!$F:$F,A833,Chicks!$M:$M),""))</f>
        <v/>
      </c>
      <c r="K833" s="6" t="str">
        <f>IF(A833="","",SUMIFS(Chicks!$N:$N,Chicks!$F:$F,A833))</f>
        <v/>
      </c>
      <c r="L833" s="6" t="str">
        <f>IF(A833="","",SUMIFS(Chicks!$O:$O,Chicks!$F:$F,A833))</f>
        <v/>
      </c>
      <c r="M833" s="6" t="str">
        <f>IF(A833="","",SUMIFS(Chicks!$P:$P,Chicks!$F:$F,A833))</f>
        <v/>
      </c>
      <c r="N833" s="6" t="str">
        <f t="shared" si="4"/>
        <v/>
      </c>
    </row>
    <row r="834" spans="6:14" ht="14.25" customHeight="1" x14ac:dyDescent="0.3">
      <c r="F834" s="6" t="str">
        <f>IF(A834="","",COUNTIF(Chicks!$F:$F,A834))</f>
        <v/>
      </c>
      <c r="G834" s="6" t="str">
        <f>IF(A834="","",COUNTIFS(Chicks!$F:$F,A834,Chicks!$I:$I,"Yes"))</f>
        <v/>
      </c>
      <c r="H834" s="6" t="str">
        <f>IF(A834="","",SUMIFS(Chicks!$J:$J,Chicks!$F:$F,A834))</f>
        <v/>
      </c>
      <c r="I834" s="6" t="str">
        <f>IF(A834="","",COUNTIFS(Chicks!$F:$F,A834,Chicks!$I:$I,"No"))</f>
        <v/>
      </c>
      <c r="J834" s="6" t="str">
        <f>IF(A834="","",IFERROR(AVERAGEIF(Chicks!$F:$F,A834,Chicks!$M:$M),""))</f>
        <v/>
      </c>
      <c r="K834" s="6" t="str">
        <f>IF(A834="","",SUMIFS(Chicks!$N:$N,Chicks!$F:$F,A834))</f>
        <v/>
      </c>
      <c r="L834" s="6" t="str">
        <f>IF(A834="","",SUMIFS(Chicks!$O:$O,Chicks!$F:$F,A834))</f>
        <v/>
      </c>
      <c r="M834" s="6" t="str">
        <f>IF(A834="","",SUMIFS(Chicks!$P:$P,Chicks!$F:$F,A834))</f>
        <v/>
      </c>
      <c r="N834" s="6" t="str">
        <f t="shared" si="4"/>
        <v/>
      </c>
    </row>
    <row r="835" spans="6:14" ht="14.25" customHeight="1" x14ac:dyDescent="0.3">
      <c r="F835" s="6" t="str">
        <f>IF(A835="","",COUNTIF(Chicks!$F:$F,A835))</f>
        <v/>
      </c>
      <c r="G835" s="6" t="str">
        <f>IF(A835="","",COUNTIFS(Chicks!$F:$F,A835,Chicks!$I:$I,"Yes"))</f>
        <v/>
      </c>
      <c r="H835" s="6" t="str">
        <f>IF(A835="","",SUMIFS(Chicks!$J:$J,Chicks!$F:$F,A835))</f>
        <v/>
      </c>
      <c r="I835" s="6" t="str">
        <f>IF(A835="","",COUNTIFS(Chicks!$F:$F,A835,Chicks!$I:$I,"No"))</f>
        <v/>
      </c>
      <c r="J835" s="6" t="str">
        <f>IF(A835="","",IFERROR(AVERAGEIF(Chicks!$F:$F,A835,Chicks!$M:$M),""))</f>
        <v/>
      </c>
      <c r="K835" s="6" t="str">
        <f>IF(A835="","",SUMIFS(Chicks!$N:$N,Chicks!$F:$F,A835))</f>
        <v/>
      </c>
      <c r="L835" s="6" t="str">
        <f>IF(A835="","",SUMIFS(Chicks!$O:$O,Chicks!$F:$F,A835))</f>
        <v/>
      </c>
      <c r="M835" s="6" t="str">
        <f>IF(A835="","",SUMIFS(Chicks!$P:$P,Chicks!$F:$F,A835))</f>
        <v/>
      </c>
      <c r="N835" s="6" t="str">
        <f t="shared" si="4"/>
        <v/>
      </c>
    </row>
    <row r="836" spans="6:14" ht="14.25" customHeight="1" x14ac:dyDescent="0.3">
      <c r="F836" s="6" t="str">
        <f>IF(A836="","",COUNTIF(Chicks!$F:$F,A836))</f>
        <v/>
      </c>
      <c r="G836" s="6" t="str">
        <f>IF(A836="","",COUNTIFS(Chicks!$F:$F,A836,Chicks!$I:$I,"Yes"))</f>
        <v/>
      </c>
      <c r="H836" s="6" t="str">
        <f>IF(A836="","",SUMIFS(Chicks!$J:$J,Chicks!$F:$F,A836))</f>
        <v/>
      </c>
      <c r="I836" s="6" t="str">
        <f>IF(A836="","",COUNTIFS(Chicks!$F:$F,A836,Chicks!$I:$I,"No"))</f>
        <v/>
      </c>
      <c r="J836" s="6" t="str">
        <f>IF(A836="","",IFERROR(AVERAGEIF(Chicks!$F:$F,A836,Chicks!$M:$M),""))</f>
        <v/>
      </c>
      <c r="K836" s="6" t="str">
        <f>IF(A836="","",SUMIFS(Chicks!$N:$N,Chicks!$F:$F,A836))</f>
        <v/>
      </c>
      <c r="L836" s="6" t="str">
        <f>IF(A836="","",SUMIFS(Chicks!$O:$O,Chicks!$F:$F,A836))</f>
        <v/>
      </c>
      <c r="M836" s="6" t="str">
        <f>IF(A836="","",SUMIFS(Chicks!$P:$P,Chicks!$F:$F,A836))</f>
        <v/>
      </c>
      <c r="N836" s="6" t="str">
        <f t="shared" si="4"/>
        <v/>
      </c>
    </row>
    <row r="837" spans="6:14" ht="14.25" customHeight="1" x14ac:dyDescent="0.3">
      <c r="F837" s="6" t="str">
        <f>IF(A837="","",COUNTIF(Chicks!$F:$F,A837))</f>
        <v/>
      </c>
      <c r="G837" s="6" t="str">
        <f>IF(A837="","",COUNTIFS(Chicks!$F:$F,A837,Chicks!$I:$I,"Yes"))</f>
        <v/>
      </c>
      <c r="H837" s="6" t="str">
        <f>IF(A837="","",SUMIFS(Chicks!$J:$J,Chicks!$F:$F,A837))</f>
        <v/>
      </c>
      <c r="I837" s="6" t="str">
        <f>IF(A837="","",COUNTIFS(Chicks!$F:$F,A837,Chicks!$I:$I,"No"))</f>
        <v/>
      </c>
      <c r="J837" s="6" t="str">
        <f>IF(A837="","",IFERROR(AVERAGEIF(Chicks!$F:$F,A837,Chicks!$M:$M),""))</f>
        <v/>
      </c>
      <c r="K837" s="6" t="str">
        <f>IF(A837="","",SUMIFS(Chicks!$N:$N,Chicks!$F:$F,A837))</f>
        <v/>
      </c>
      <c r="L837" s="6" t="str">
        <f>IF(A837="","",SUMIFS(Chicks!$O:$O,Chicks!$F:$F,A837))</f>
        <v/>
      </c>
      <c r="M837" s="6" t="str">
        <f>IF(A837="","",SUMIFS(Chicks!$P:$P,Chicks!$F:$F,A837))</f>
        <v/>
      </c>
      <c r="N837" s="6" t="str">
        <f t="shared" si="4"/>
        <v/>
      </c>
    </row>
    <row r="838" spans="6:14" ht="14.25" customHeight="1" x14ac:dyDescent="0.3">
      <c r="F838" s="6" t="str">
        <f>IF(A838="","",COUNTIF(Chicks!$F:$F,A838))</f>
        <v/>
      </c>
      <c r="G838" s="6" t="str">
        <f>IF(A838="","",COUNTIFS(Chicks!$F:$F,A838,Chicks!$I:$I,"Yes"))</f>
        <v/>
      </c>
      <c r="H838" s="6" t="str">
        <f>IF(A838="","",SUMIFS(Chicks!$J:$J,Chicks!$F:$F,A838))</f>
        <v/>
      </c>
      <c r="I838" s="6" t="str">
        <f>IF(A838="","",COUNTIFS(Chicks!$F:$F,A838,Chicks!$I:$I,"No"))</f>
        <v/>
      </c>
      <c r="J838" s="6" t="str">
        <f>IF(A838="","",IFERROR(AVERAGEIF(Chicks!$F:$F,A838,Chicks!$M:$M),""))</f>
        <v/>
      </c>
      <c r="K838" s="6" t="str">
        <f>IF(A838="","",SUMIFS(Chicks!$N:$N,Chicks!$F:$F,A838))</f>
        <v/>
      </c>
      <c r="L838" s="6" t="str">
        <f>IF(A838="","",SUMIFS(Chicks!$O:$O,Chicks!$F:$F,A838))</f>
        <v/>
      </c>
      <c r="M838" s="6" t="str">
        <f>IF(A838="","",SUMIFS(Chicks!$P:$P,Chicks!$F:$F,A838))</f>
        <v/>
      </c>
      <c r="N838" s="6" t="str">
        <f t="shared" si="4"/>
        <v/>
      </c>
    </row>
    <row r="839" spans="6:14" ht="14.25" customHeight="1" x14ac:dyDescent="0.3">
      <c r="F839" s="6" t="str">
        <f>IF(A839="","",COUNTIF(Chicks!$F:$F,A839))</f>
        <v/>
      </c>
      <c r="G839" s="6" t="str">
        <f>IF(A839="","",COUNTIFS(Chicks!$F:$F,A839,Chicks!$I:$I,"Yes"))</f>
        <v/>
      </c>
      <c r="H839" s="6" t="str">
        <f>IF(A839="","",SUMIFS(Chicks!$J:$J,Chicks!$F:$F,A839))</f>
        <v/>
      </c>
      <c r="I839" s="6" t="str">
        <f>IF(A839="","",COUNTIFS(Chicks!$F:$F,A839,Chicks!$I:$I,"No"))</f>
        <v/>
      </c>
      <c r="J839" s="6" t="str">
        <f>IF(A839="","",IFERROR(AVERAGEIF(Chicks!$F:$F,A839,Chicks!$M:$M),""))</f>
        <v/>
      </c>
      <c r="K839" s="6" t="str">
        <f>IF(A839="","",SUMIFS(Chicks!$N:$N,Chicks!$F:$F,A839))</f>
        <v/>
      </c>
      <c r="L839" s="6" t="str">
        <f>IF(A839="","",SUMIFS(Chicks!$O:$O,Chicks!$F:$F,A839))</f>
        <v/>
      </c>
      <c r="M839" s="6" t="str">
        <f>IF(A839="","",SUMIFS(Chicks!$P:$P,Chicks!$F:$F,A839))</f>
        <v/>
      </c>
      <c r="N839" s="6" t="str">
        <f t="shared" si="4"/>
        <v/>
      </c>
    </row>
    <row r="840" spans="6:14" ht="14.25" customHeight="1" x14ac:dyDescent="0.3">
      <c r="F840" s="6" t="str">
        <f>IF(A840="","",COUNTIF(Chicks!$F:$F,A840))</f>
        <v/>
      </c>
      <c r="G840" s="6" t="str">
        <f>IF(A840="","",COUNTIFS(Chicks!$F:$F,A840,Chicks!$I:$I,"Yes"))</f>
        <v/>
      </c>
      <c r="H840" s="6" t="str">
        <f>IF(A840="","",SUMIFS(Chicks!$J:$J,Chicks!$F:$F,A840))</f>
        <v/>
      </c>
      <c r="I840" s="6" t="str">
        <f>IF(A840="","",COUNTIFS(Chicks!$F:$F,A840,Chicks!$I:$I,"No"))</f>
        <v/>
      </c>
      <c r="J840" s="6" t="str">
        <f>IF(A840="","",IFERROR(AVERAGEIF(Chicks!$F:$F,A840,Chicks!$M:$M),""))</f>
        <v/>
      </c>
      <c r="K840" s="6" t="str">
        <f>IF(A840="","",SUMIFS(Chicks!$N:$N,Chicks!$F:$F,A840))</f>
        <v/>
      </c>
      <c r="L840" s="6" t="str">
        <f>IF(A840="","",SUMIFS(Chicks!$O:$O,Chicks!$F:$F,A840))</f>
        <v/>
      </c>
      <c r="M840" s="6" t="str">
        <f>IF(A840="","",SUMIFS(Chicks!$P:$P,Chicks!$F:$F,A840))</f>
        <v/>
      </c>
      <c r="N840" s="6" t="str">
        <f t="shared" si="4"/>
        <v/>
      </c>
    </row>
    <row r="841" spans="6:14" ht="14.25" customHeight="1" x14ac:dyDescent="0.3">
      <c r="F841" s="6" t="str">
        <f>IF(A841="","",COUNTIF(Chicks!$F:$F,A841))</f>
        <v/>
      </c>
      <c r="G841" s="6" t="str">
        <f>IF(A841="","",COUNTIFS(Chicks!$F:$F,A841,Chicks!$I:$I,"Yes"))</f>
        <v/>
      </c>
      <c r="H841" s="6" t="str">
        <f>IF(A841="","",SUMIFS(Chicks!$J:$J,Chicks!$F:$F,A841))</f>
        <v/>
      </c>
      <c r="I841" s="6" t="str">
        <f>IF(A841="","",COUNTIFS(Chicks!$F:$F,A841,Chicks!$I:$I,"No"))</f>
        <v/>
      </c>
      <c r="J841" s="6" t="str">
        <f>IF(A841="","",IFERROR(AVERAGEIF(Chicks!$F:$F,A841,Chicks!$M:$M),""))</f>
        <v/>
      </c>
      <c r="K841" s="6" t="str">
        <f>IF(A841="","",SUMIFS(Chicks!$N:$N,Chicks!$F:$F,A841))</f>
        <v/>
      </c>
      <c r="L841" s="6" t="str">
        <f>IF(A841="","",SUMIFS(Chicks!$O:$O,Chicks!$F:$F,A841))</f>
        <v/>
      </c>
      <c r="M841" s="6" t="str">
        <f>IF(A841="","",SUMIFS(Chicks!$P:$P,Chicks!$F:$F,A841))</f>
        <v/>
      </c>
      <c r="N841" s="6" t="str">
        <f t="shared" si="4"/>
        <v/>
      </c>
    </row>
    <row r="842" spans="6:14" ht="14.25" customHeight="1" x14ac:dyDescent="0.3">
      <c r="F842" s="6" t="str">
        <f>IF(A842="","",COUNTIF(Chicks!$F:$F,A842))</f>
        <v/>
      </c>
      <c r="G842" s="6" t="str">
        <f>IF(A842="","",COUNTIFS(Chicks!$F:$F,A842,Chicks!$I:$I,"Yes"))</f>
        <v/>
      </c>
      <c r="H842" s="6" t="str">
        <f>IF(A842="","",SUMIFS(Chicks!$J:$J,Chicks!$F:$F,A842))</f>
        <v/>
      </c>
      <c r="I842" s="6" t="str">
        <f>IF(A842="","",COUNTIFS(Chicks!$F:$F,A842,Chicks!$I:$I,"No"))</f>
        <v/>
      </c>
      <c r="J842" s="6" t="str">
        <f>IF(A842="","",IFERROR(AVERAGEIF(Chicks!$F:$F,A842,Chicks!$M:$M),""))</f>
        <v/>
      </c>
      <c r="K842" s="6" t="str">
        <f>IF(A842="","",SUMIFS(Chicks!$N:$N,Chicks!$F:$F,A842))</f>
        <v/>
      </c>
      <c r="L842" s="6" t="str">
        <f>IF(A842="","",SUMIFS(Chicks!$O:$O,Chicks!$F:$F,A842))</f>
        <v/>
      </c>
      <c r="M842" s="6" t="str">
        <f>IF(A842="","",SUMIFS(Chicks!$P:$P,Chicks!$F:$F,A842))</f>
        <v/>
      </c>
      <c r="N842" s="6" t="str">
        <f t="shared" si="4"/>
        <v/>
      </c>
    </row>
    <row r="843" spans="6:14" ht="14.25" customHeight="1" x14ac:dyDescent="0.3">
      <c r="F843" s="6" t="str">
        <f>IF(A843="","",COUNTIF(Chicks!$F:$F,A843))</f>
        <v/>
      </c>
      <c r="G843" s="6" t="str">
        <f>IF(A843="","",COUNTIFS(Chicks!$F:$F,A843,Chicks!$I:$I,"Yes"))</f>
        <v/>
      </c>
      <c r="H843" s="6" t="str">
        <f>IF(A843="","",SUMIFS(Chicks!$J:$J,Chicks!$F:$F,A843))</f>
        <v/>
      </c>
      <c r="I843" s="6" t="str">
        <f>IF(A843="","",COUNTIFS(Chicks!$F:$F,A843,Chicks!$I:$I,"No"))</f>
        <v/>
      </c>
      <c r="J843" s="6" t="str">
        <f>IF(A843="","",IFERROR(AVERAGEIF(Chicks!$F:$F,A843,Chicks!$M:$M),""))</f>
        <v/>
      </c>
      <c r="K843" s="6" t="str">
        <f>IF(A843="","",SUMIFS(Chicks!$N:$N,Chicks!$F:$F,A843))</f>
        <v/>
      </c>
      <c r="L843" s="6" t="str">
        <f>IF(A843="","",SUMIFS(Chicks!$O:$O,Chicks!$F:$F,A843))</f>
        <v/>
      </c>
      <c r="M843" s="6" t="str">
        <f>IF(A843="","",SUMIFS(Chicks!$P:$P,Chicks!$F:$F,A843))</f>
        <v/>
      </c>
      <c r="N843" s="6" t="str">
        <f t="shared" si="4"/>
        <v/>
      </c>
    </row>
    <row r="844" spans="6:14" ht="14.25" customHeight="1" x14ac:dyDescent="0.3">
      <c r="F844" s="6" t="str">
        <f>IF(A844="","",COUNTIF(Chicks!$F:$F,A844))</f>
        <v/>
      </c>
      <c r="G844" s="6" t="str">
        <f>IF(A844="","",COUNTIFS(Chicks!$F:$F,A844,Chicks!$I:$I,"Yes"))</f>
        <v/>
      </c>
      <c r="H844" s="6" t="str">
        <f>IF(A844="","",SUMIFS(Chicks!$J:$J,Chicks!$F:$F,A844))</f>
        <v/>
      </c>
      <c r="I844" s="6" t="str">
        <f>IF(A844="","",COUNTIFS(Chicks!$F:$F,A844,Chicks!$I:$I,"No"))</f>
        <v/>
      </c>
      <c r="J844" s="6" t="str">
        <f>IF(A844="","",IFERROR(AVERAGEIF(Chicks!$F:$F,A844,Chicks!$M:$M),""))</f>
        <v/>
      </c>
      <c r="K844" s="6" t="str">
        <f>IF(A844="","",SUMIFS(Chicks!$N:$N,Chicks!$F:$F,A844))</f>
        <v/>
      </c>
      <c r="L844" s="6" t="str">
        <f>IF(A844="","",SUMIFS(Chicks!$O:$O,Chicks!$F:$F,A844))</f>
        <v/>
      </c>
      <c r="M844" s="6" t="str">
        <f>IF(A844="","",SUMIFS(Chicks!$P:$P,Chicks!$F:$F,A844))</f>
        <v/>
      </c>
      <c r="N844" s="6" t="str">
        <f t="shared" si="4"/>
        <v/>
      </c>
    </row>
    <row r="845" spans="6:14" ht="14.25" customHeight="1" x14ac:dyDescent="0.3">
      <c r="F845" s="6" t="str">
        <f>IF(A845="","",COUNTIF(Chicks!$F:$F,A845))</f>
        <v/>
      </c>
      <c r="G845" s="6" t="str">
        <f>IF(A845="","",COUNTIFS(Chicks!$F:$F,A845,Chicks!$I:$I,"Yes"))</f>
        <v/>
      </c>
      <c r="H845" s="6" t="str">
        <f>IF(A845="","",SUMIFS(Chicks!$J:$J,Chicks!$F:$F,A845))</f>
        <v/>
      </c>
      <c r="I845" s="6" t="str">
        <f>IF(A845="","",COUNTIFS(Chicks!$F:$F,A845,Chicks!$I:$I,"No"))</f>
        <v/>
      </c>
      <c r="J845" s="6" t="str">
        <f>IF(A845="","",IFERROR(AVERAGEIF(Chicks!$F:$F,A845,Chicks!$M:$M),""))</f>
        <v/>
      </c>
      <c r="K845" s="6" t="str">
        <f>IF(A845="","",SUMIFS(Chicks!$N:$N,Chicks!$F:$F,A845))</f>
        <v/>
      </c>
      <c r="L845" s="6" t="str">
        <f>IF(A845="","",SUMIFS(Chicks!$O:$O,Chicks!$F:$F,A845))</f>
        <v/>
      </c>
      <c r="M845" s="6" t="str">
        <f>IF(A845="","",SUMIFS(Chicks!$P:$P,Chicks!$F:$F,A845))</f>
        <v/>
      </c>
      <c r="N845" s="6" t="str">
        <f t="shared" si="4"/>
        <v/>
      </c>
    </row>
    <row r="846" spans="6:14" ht="14.25" customHeight="1" x14ac:dyDescent="0.3">
      <c r="F846" s="6" t="str">
        <f>IF(A846="","",COUNTIF(Chicks!$F:$F,A846))</f>
        <v/>
      </c>
      <c r="G846" s="6" t="str">
        <f>IF(A846="","",COUNTIFS(Chicks!$F:$F,A846,Chicks!$I:$I,"Yes"))</f>
        <v/>
      </c>
      <c r="H846" s="6" t="str">
        <f>IF(A846="","",SUMIFS(Chicks!$J:$J,Chicks!$F:$F,A846))</f>
        <v/>
      </c>
      <c r="I846" s="6" t="str">
        <f>IF(A846="","",COUNTIFS(Chicks!$F:$F,A846,Chicks!$I:$I,"No"))</f>
        <v/>
      </c>
      <c r="J846" s="6" t="str">
        <f>IF(A846="","",IFERROR(AVERAGEIF(Chicks!$F:$F,A846,Chicks!$M:$M),""))</f>
        <v/>
      </c>
      <c r="K846" s="6" t="str">
        <f>IF(A846="","",SUMIFS(Chicks!$N:$N,Chicks!$F:$F,A846))</f>
        <v/>
      </c>
      <c r="L846" s="6" t="str">
        <f>IF(A846="","",SUMIFS(Chicks!$O:$O,Chicks!$F:$F,A846))</f>
        <v/>
      </c>
      <c r="M846" s="6" t="str">
        <f>IF(A846="","",SUMIFS(Chicks!$P:$P,Chicks!$F:$F,A846))</f>
        <v/>
      </c>
      <c r="N846" s="6" t="str">
        <f t="shared" si="4"/>
        <v/>
      </c>
    </row>
    <row r="847" spans="6:14" ht="14.25" customHeight="1" x14ac:dyDescent="0.3">
      <c r="F847" s="6" t="str">
        <f>IF(A847="","",COUNTIF(Chicks!$F:$F,A847))</f>
        <v/>
      </c>
      <c r="G847" s="6" t="str">
        <f>IF(A847="","",COUNTIFS(Chicks!$F:$F,A847,Chicks!$I:$I,"Yes"))</f>
        <v/>
      </c>
      <c r="H847" s="6" t="str">
        <f>IF(A847="","",SUMIFS(Chicks!$J:$J,Chicks!$F:$F,A847))</f>
        <v/>
      </c>
      <c r="I847" s="6" t="str">
        <f>IF(A847="","",COUNTIFS(Chicks!$F:$F,A847,Chicks!$I:$I,"No"))</f>
        <v/>
      </c>
      <c r="J847" s="6" t="str">
        <f>IF(A847="","",IFERROR(AVERAGEIF(Chicks!$F:$F,A847,Chicks!$M:$M),""))</f>
        <v/>
      </c>
      <c r="K847" s="6" t="str">
        <f>IF(A847="","",SUMIFS(Chicks!$N:$N,Chicks!$F:$F,A847))</f>
        <v/>
      </c>
      <c r="L847" s="6" t="str">
        <f>IF(A847="","",SUMIFS(Chicks!$O:$O,Chicks!$F:$F,A847))</f>
        <v/>
      </c>
      <c r="M847" s="6" t="str">
        <f>IF(A847="","",SUMIFS(Chicks!$P:$P,Chicks!$F:$F,A847))</f>
        <v/>
      </c>
      <c r="N847" s="6" t="str">
        <f t="shared" si="4"/>
        <v/>
      </c>
    </row>
    <row r="848" spans="6:14" ht="14.25" customHeight="1" x14ac:dyDescent="0.3">
      <c r="F848" s="6" t="str">
        <f>IF(A848="","",COUNTIF(Chicks!$F:$F,A848))</f>
        <v/>
      </c>
      <c r="G848" s="6" t="str">
        <f>IF(A848="","",COUNTIFS(Chicks!$F:$F,A848,Chicks!$I:$I,"Yes"))</f>
        <v/>
      </c>
      <c r="H848" s="6" t="str">
        <f>IF(A848="","",SUMIFS(Chicks!$J:$J,Chicks!$F:$F,A848))</f>
        <v/>
      </c>
      <c r="I848" s="6" t="str">
        <f>IF(A848="","",COUNTIFS(Chicks!$F:$F,A848,Chicks!$I:$I,"No"))</f>
        <v/>
      </c>
      <c r="J848" s="6" t="str">
        <f>IF(A848="","",IFERROR(AVERAGEIF(Chicks!$F:$F,A848,Chicks!$M:$M),""))</f>
        <v/>
      </c>
      <c r="K848" s="6" t="str">
        <f>IF(A848="","",SUMIFS(Chicks!$N:$N,Chicks!$F:$F,A848))</f>
        <v/>
      </c>
      <c r="L848" s="6" t="str">
        <f>IF(A848="","",SUMIFS(Chicks!$O:$O,Chicks!$F:$F,A848))</f>
        <v/>
      </c>
      <c r="M848" s="6" t="str">
        <f>IF(A848="","",SUMIFS(Chicks!$P:$P,Chicks!$F:$F,A848))</f>
        <v/>
      </c>
      <c r="N848" s="6" t="str">
        <f t="shared" si="4"/>
        <v/>
      </c>
    </row>
    <row r="849" spans="6:14" ht="14.25" customHeight="1" x14ac:dyDescent="0.3">
      <c r="F849" s="6" t="str">
        <f>IF(A849="","",COUNTIF(Chicks!$F:$F,A849))</f>
        <v/>
      </c>
      <c r="G849" s="6" t="str">
        <f>IF(A849="","",COUNTIFS(Chicks!$F:$F,A849,Chicks!$I:$I,"Yes"))</f>
        <v/>
      </c>
      <c r="H849" s="6" t="str">
        <f>IF(A849="","",SUMIFS(Chicks!$J:$J,Chicks!$F:$F,A849))</f>
        <v/>
      </c>
      <c r="I849" s="6" t="str">
        <f>IF(A849="","",COUNTIFS(Chicks!$F:$F,A849,Chicks!$I:$I,"No"))</f>
        <v/>
      </c>
      <c r="J849" s="6" t="str">
        <f>IF(A849="","",IFERROR(AVERAGEIF(Chicks!$F:$F,A849,Chicks!$M:$M),""))</f>
        <v/>
      </c>
      <c r="K849" s="6" t="str">
        <f>IF(A849="","",SUMIFS(Chicks!$N:$N,Chicks!$F:$F,A849))</f>
        <v/>
      </c>
      <c r="L849" s="6" t="str">
        <f>IF(A849="","",SUMIFS(Chicks!$O:$O,Chicks!$F:$F,A849))</f>
        <v/>
      </c>
      <c r="M849" s="6" t="str">
        <f>IF(A849="","",SUMIFS(Chicks!$P:$P,Chicks!$F:$F,A849))</f>
        <v/>
      </c>
      <c r="N849" s="6" t="str">
        <f t="shared" si="4"/>
        <v/>
      </c>
    </row>
    <row r="850" spans="6:14" ht="14.25" customHeight="1" x14ac:dyDescent="0.3">
      <c r="F850" s="6" t="str">
        <f>IF(A850="","",COUNTIF(Chicks!$F:$F,A850))</f>
        <v/>
      </c>
      <c r="G850" s="6" t="str">
        <f>IF(A850="","",COUNTIFS(Chicks!$F:$F,A850,Chicks!$I:$I,"Yes"))</f>
        <v/>
      </c>
      <c r="H850" s="6" t="str">
        <f>IF(A850="","",SUMIFS(Chicks!$J:$J,Chicks!$F:$F,A850))</f>
        <v/>
      </c>
      <c r="I850" s="6" t="str">
        <f>IF(A850="","",COUNTIFS(Chicks!$F:$F,A850,Chicks!$I:$I,"No"))</f>
        <v/>
      </c>
      <c r="J850" s="6" t="str">
        <f>IF(A850="","",IFERROR(AVERAGEIF(Chicks!$F:$F,A850,Chicks!$M:$M),""))</f>
        <v/>
      </c>
      <c r="K850" s="6" t="str">
        <f>IF(A850="","",SUMIFS(Chicks!$N:$N,Chicks!$F:$F,A850))</f>
        <v/>
      </c>
      <c r="L850" s="6" t="str">
        <f>IF(A850="","",SUMIFS(Chicks!$O:$O,Chicks!$F:$F,A850))</f>
        <v/>
      </c>
      <c r="M850" s="6" t="str">
        <f>IF(A850="","",SUMIFS(Chicks!$P:$P,Chicks!$F:$F,A850))</f>
        <v/>
      </c>
      <c r="N850" s="6" t="str">
        <f t="shared" si="4"/>
        <v/>
      </c>
    </row>
    <row r="851" spans="6:14" ht="14.25" customHeight="1" x14ac:dyDescent="0.3">
      <c r="F851" s="6" t="str">
        <f>IF(A851="","",COUNTIF(Chicks!$F:$F,A851))</f>
        <v/>
      </c>
      <c r="G851" s="6" t="str">
        <f>IF(A851="","",COUNTIFS(Chicks!$F:$F,A851,Chicks!$I:$I,"Yes"))</f>
        <v/>
      </c>
      <c r="H851" s="6" t="str">
        <f>IF(A851="","",SUMIFS(Chicks!$J:$J,Chicks!$F:$F,A851))</f>
        <v/>
      </c>
      <c r="I851" s="6" t="str">
        <f>IF(A851="","",COUNTIFS(Chicks!$F:$F,A851,Chicks!$I:$I,"No"))</f>
        <v/>
      </c>
      <c r="J851" s="6" t="str">
        <f>IF(A851="","",IFERROR(AVERAGEIF(Chicks!$F:$F,A851,Chicks!$M:$M),""))</f>
        <v/>
      </c>
      <c r="K851" s="6" t="str">
        <f>IF(A851="","",SUMIFS(Chicks!$N:$N,Chicks!$F:$F,A851))</f>
        <v/>
      </c>
      <c r="L851" s="6" t="str">
        <f>IF(A851="","",SUMIFS(Chicks!$O:$O,Chicks!$F:$F,A851))</f>
        <v/>
      </c>
      <c r="M851" s="6" t="str">
        <f>IF(A851="","",SUMIFS(Chicks!$P:$P,Chicks!$F:$F,A851))</f>
        <v/>
      </c>
      <c r="N851" s="6" t="str">
        <f t="shared" si="4"/>
        <v/>
      </c>
    </row>
    <row r="852" spans="6:14" ht="14.25" customHeight="1" x14ac:dyDescent="0.3">
      <c r="F852" s="6" t="str">
        <f>IF(A852="","",COUNTIF(Chicks!$F:$F,A852))</f>
        <v/>
      </c>
      <c r="G852" s="6" t="str">
        <f>IF(A852="","",COUNTIFS(Chicks!$F:$F,A852,Chicks!$I:$I,"Yes"))</f>
        <v/>
      </c>
      <c r="H852" s="6" t="str">
        <f>IF(A852="","",SUMIFS(Chicks!$J:$J,Chicks!$F:$F,A852))</f>
        <v/>
      </c>
      <c r="I852" s="6" t="str">
        <f>IF(A852="","",COUNTIFS(Chicks!$F:$F,A852,Chicks!$I:$I,"No"))</f>
        <v/>
      </c>
      <c r="J852" s="6" t="str">
        <f>IF(A852="","",IFERROR(AVERAGEIF(Chicks!$F:$F,A852,Chicks!$M:$M),""))</f>
        <v/>
      </c>
      <c r="K852" s="6" t="str">
        <f>IF(A852="","",SUMIFS(Chicks!$N:$N,Chicks!$F:$F,A852))</f>
        <v/>
      </c>
      <c r="L852" s="6" t="str">
        <f>IF(A852="","",SUMIFS(Chicks!$O:$O,Chicks!$F:$F,A852))</f>
        <v/>
      </c>
      <c r="M852" s="6" t="str">
        <f>IF(A852="","",SUMIFS(Chicks!$P:$P,Chicks!$F:$F,A852))</f>
        <v/>
      </c>
      <c r="N852" s="6" t="str">
        <f t="shared" si="4"/>
        <v/>
      </c>
    </row>
    <row r="853" spans="6:14" ht="14.25" customHeight="1" x14ac:dyDescent="0.3">
      <c r="F853" s="6" t="str">
        <f>IF(A853="","",COUNTIF(Chicks!$F:$F,A853))</f>
        <v/>
      </c>
      <c r="G853" s="6" t="str">
        <f>IF(A853="","",COUNTIFS(Chicks!$F:$F,A853,Chicks!$I:$I,"Yes"))</f>
        <v/>
      </c>
      <c r="H853" s="6" t="str">
        <f>IF(A853="","",SUMIFS(Chicks!$J:$J,Chicks!$F:$F,A853))</f>
        <v/>
      </c>
      <c r="I853" s="6" t="str">
        <f>IF(A853="","",COUNTIFS(Chicks!$F:$F,A853,Chicks!$I:$I,"No"))</f>
        <v/>
      </c>
      <c r="J853" s="6" t="str">
        <f>IF(A853="","",IFERROR(AVERAGEIF(Chicks!$F:$F,A853,Chicks!$M:$M),""))</f>
        <v/>
      </c>
      <c r="K853" s="6" t="str">
        <f>IF(A853="","",SUMIFS(Chicks!$N:$N,Chicks!$F:$F,A853))</f>
        <v/>
      </c>
      <c r="L853" s="6" t="str">
        <f>IF(A853="","",SUMIFS(Chicks!$O:$O,Chicks!$F:$F,A853))</f>
        <v/>
      </c>
      <c r="M853" s="6" t="str">
        <f>IF(A853="","",SUMIFS(Chicks!$P:$P,Chicks!$F:$F,A853))</f>
        <v/>
      </c>
      <c r="N853" s="6" t="str">
        <f t="shared" si="4"/>
        <v/>
      </c>
    </row>
    <row r="854" spans="6:14" ht="14.25" customHeight="1" x14ac:dyDescent="0.3">
      <c r="F854" s="6" t="str">
        <f>IF(A854="","",COUNTIF(Chicks!$F:$F,A854))</f>
        <v/>
      </c>
      <c r="G854" s="6" t="str">
        <f>IF(A854="","",COUNTIFS(Chicks!$F:$F,A854,Chicks!$I:$I,"Yes"))</f>
        <v/>
      </c>
      <c r="H854" s="6" t="str">
        <f>IF(A854="","",SUMIFS(Chicks!$J:$J,Chicks!$F:$F,A854))</f>
        <v/>
      </c>
      <c r="I854" s="6" t="str">
        <f>IF(A854="","",COUNTIFS(Chicks!$F:$F,A854,Chicks!$I:$I,"No"))</f>
        <v/>
      </c>
      <c r="J854" s="6" t="str">
        <f>IF(A854="","",IFERROR(AVERAGEIF(Chicks!$F:$F,A854,Chicks!$M:$M),""))</f>
        <v/>
      </c>
      <c r="K854" s="6" t="str">
        <f>IF(A854="","",SUMIFS(Chicks!$N:$N,Chicks!$F:$F,A854))</f>
        <v/>
      </c>
      <c r="L854" s="6" t="str">
        <f>IF(A854="","",SUMIFS(Chicks!$O:$O,Chicks!$F:$F,A854))</f>
        <v/>
      </c>
      <c r="M854" s="6" t="str">
        <f>IF(A854="","",SUMIFS(Chicks!$P:$P,Chicks!$F:$F,A854))</f>
        <v/>
      </c>
      <c r="N854" s="6" t="str">
        <f t="shared" si="4"/>
        <v/>
      </c>
    </row>
    <row r="855" spans="6:14" ht="14.25" customHeight="1" x14ac:dyDescent="0.3">
      <c r="F855" s="6" t="str">
        <f>IF(A855="","",COUNTIF(Chicks!$F:$F,A855))</f>
        <v/>
      </c>
      <c r="G855" s="6" t="str">
        <f>IF(A855="","",COUNTIFS(Chicks!$F:$F,A855,Chicks!$I:$I,"Yes"))</f>
        <v/>
      </c>
      <c r="H855" s="6" t="str">
        <f>IF(A855="","",SUMIFS(Chicks!$J:$J,Chicks!$F:$F,A855))</f>
        <v/>
      </c>
      <c r="I855" s="6" t="str">
        <f>IF(A855="","",COUNTIFS(Chicks!$F:$F,A855,Chicks!$I:$I,"No"))</f>
        <v/>
      </c>
      <c r="J855" s="6" t="str">
        <f>IF(A855="","",IFERROR(AVERAGEIF(Chicks!$F:$F,A855,Chicks!$M:$M),""))</f>
        <v/>
      </c>
      <c r="K855" s="6" t="str">
        <f>IF(A855="","",SUMIFS(Chicks!$N:$N,Chicks!$F:$F,A855))</f>
        <v/>
      </c>
      <c r="L855" s="6" t="str">
        <f>IF(A855="","",SUMIFS(Chicks!$O:$O,Chicks!$F:$F,A855))</f>
        <v/>
      </c>
      <c r="M855" s="6" t="str">
        <f>IF(A855="","",SUMIFS(Chicks!$P:$P,Chicks!$F:$F,A855))</f>
        <v/>
      </c>
      <c r="N855" s="6" t="str">
        <f t="shared" si="4"/>
        <v/>
      </c>
    </row>
    <row r="856" spans="6:14" ht="14.25" customHeight="1" x14ac:dyDescent="0.3">
      <c r="F856" s="6" t="str">
        <f>IF(A856="","",COUNTIF(Chicks!$F:$F,A856))</f>
        <v/>
      </c>
      <c r="G856" s="6" t="str">
        <f>IF(A856="","",COUNTIFS(Chicks!$F:$F,A856,Chicks!$I:$I,"Yes"))</f>
        <v/>
      </c>
      <c r="H856" s="6" t="str">
        <f>IF(A856="","",SUMIFS(Chicks!$J:$J,Chicks!$F:$F,A856))</f>
        <v/>
      </c>
      <c r="I856" s="6" t="str">
        <f>IF(A856="","",COUNTIFS(Chicks!$F:$F,A856,Chicks!$I:$I,"No"))</f>
        <v/>
      </c>
      <c r="J856" s="6" t="str">
        <f>IF(A856="","",IFERROR(AVERAGEIF(Chicks!$F:$F,A856,Chicks!$M:$M),""))</f>
        <v/>
      </c>
      <c r="K856" s="6" t="str">
        <f>IF(A856="","",SUMIFS(Chicks!$N:$N,Chicks!$F:$F,A856))</f>
        <v/>
      </c>
      <c r="L856" s="6" t="str">
        <f>IF(A856="","",SUMIFS(Chicks!$O:$O,Chicks!$F:$F,A856))</f>
        <v/>
      </c>
      <c r="M856" s="6" t="str">
        <f>IF(A856="","",SUMIFS(Chicks!$P:$P,Chicks!$F:$F,A856))</f>
        <v/>
      </c>
      <c r="N856" s="6" t="str">
        <f t="shared" si="4"/>
        <v/>
      </c>
    </row>
    <row r="857" spans="6:14" ht="14.25" customHeight="1" x14ac:dyDescent="0.3">
      <c r="F857" s="6" t="str">
        <f>IF(A857="","",COUNTIF(Chicks!$F:$F,A857))</f>
        <v/>
      </c>
      <c r="G857" s="6" t="str">
        <f>IF(A857="","",COUNTIFS(Chicks!$F:$F,A857,Chicks!$I:$I,"Yes"))</f>
        <v/>
      </c>
      <c r="H857" s="6" t="str">
        <f>IF(A857="","",SUMIFS(Chicks!$J:$J,Chicks!$F:$F,A857))</f>
        <v/>
      </c>
      <c r="I857" s="6" t="str">
        <f>IF(A857="","",COUNTIFS(Chicks!$F:$F,A857,Chicks!$I:$I,"No"))</f>
        <v/>
      </c>
      <c r="J857" s="6" t="str">
        <f>IF(A857="","",IFERROR(AVERAGEIF(Chicks!$F:$F,A857,Chicks!$M:$M),""))</f>
        <v/>
      </c>
      <c r="K857" s="6" t="str">
        <f>IF(A857="","",SUMIFS(Chicks!$N:$N,Chicks!$F:$F,A857))</f>
        <v/>
      </c>
      <c r="L857" s="6" t="str">
        <f>IF(A857="","",SUMIFS(Chicks!$O:$O,Chicks!$F:$F,A857))</f>
        <v/>
      </c>
      <c r="M857" s="6" t="str">
        <f>IF(A857="","",SUMIFS(Chicks!$P:$P,Chicks!$F:$F,A857))</f>
        <v/>
      </c>
      <c r="N857" s="6" t="str">
        <f t="shared" si="4"/>
        <v/>
      </c>
    </row>
    <row r="858" spans="6:14" ht="14.25" customHeight="1" x14ac:dyDescent="0.3">
      <c r="F858" s="6" t="str">
        <f>IF(A858="","",COUNTIF(Chicks!$F:$F,A858))</f>
        <v/>
      </c>
      <c r="G858" s="6" t="str">
        <f>IF(A858="","",COUNTIFS(Chicks!$F:$F,A858,Chicks!$I:$I,"Yes"))</f>
        <v/>
      </c>
      <c r="H858" s="6" t="str">
        <f>IF(A858="","",SUMIFS(Chicks!$J:$J,Chicks!$F:$F,A858))</f>
        <v/>
      </c>
      <c r="I858" s="6" t="str">
        <f>IF(A858="","",COUNTIFS(Chicks!$F:$F,A858,Chicks!$I:$I,"No"))</f>
        <v/>
      </c>
      <c r="J858" s="6" t="str">
        <f>IF(A858="","",IFERROR(AVERAGEIF(Chicks!$F:$F,A858,Chicks!$M:$M),""))</f>
        <v/>
      </c>
      <c r="K858" s="6" t="str">
        <f>IF(A858="","",SUMIFS(Chicks!$N:$N,Chicks!$F:$F,A858))</f>
        <v/>
      </c>
      <c r="L858" s="6" t="str">
        <f>IF(A858="","",SUMIFS(Chicks!$O:$O,Chicks!$F:$F,A858))</f>
        <v/>
      </c>
      <c r="M858" s="6" t="str">
        <f>IF(A858="","",SUMIFS(Chicks!$P:$P,Chicks!$F:$F,A858))</f>
        <v/>
      </c>
      <c r="N858" s="6" t="str">
        <f t="shared" si="4"/>
        <v/>
      </c>
    </row>
    <row r="859" spans="6:14" ht="14.25" customHeight="1" x14ac:dyDescent="0.3">
      <c r="F859" s="6" t="str">
        <f>IF(A859="","",COUNTIF(Chicks!$F:$F,A859))</f>
        <v/>
      </c>
      <c r="G859" s="6" t="str">
        <f>IF(A859="","",COUNTIFS(Chicks!$F:$F,A859,Chicks!$I:$I,"Yes"))</f>
        <v/>
      </c>
      <c r="H859" s="6" t="str">
        <f>IF(A859="","",SUMIFS(Chicks!$J:$J,Chicks!$F:$F,A859))</f>
        <v/>
      </c>
      <c r="I859" s="6" t="str">
        <f>IF(A859="","",COUNTIFS(Chicks!$F:$F,A859,Chicks!$I:$I,"No"))</f>
        <v/>
      </c>
      <c r="J859" s="6" t="str">
        <f>IF(A859="","",IFERROR(AVERAGEIF(Chicks!$F:$F,A859,Chicks!$M:$M),""))</f>
        <v/>
      </c>
      <c r="K859" s="6" t="str">
        <f>IF(A859="","",SUMIFS(Chicks!$N:$N,Chicks!$F:$F,A859))</f>
        <v/>
      </c>
      <c r="L859" s="6" t="str">
        <f>IF(A859="","",SUMIFS(Chicks!$O:$O,Chicks!$F:$F,A859))</f>
        <v/>
      </c>
      <c r="M859" s="6" t="str">
        <f>IF(A859="","",SUMIFS(Chicks!$P:$P,Chicks!$F:$F,A859))</f>
        <v/>
      </c>
      <c r="N859" s="6" t="str">
        <f t="shared" si="4"/>
        <v/>
      </c>
    </row>
    <row r="860" spans="6:14" ht="14.25" customHeight="1" x14ac:dyDescent="0.3">
      <c r="F860" s="6" t="str">
        <f>IF(A860="","",COUNTIF(Chicks!$F:$F,A860))</f>
        <v/>
      </c>
      <c r="G860" s="6" t="str">
        <f>IF(A860="","",COUNTIFS(Chicks!$F:$F,A860,Chicks!$I:$I,"Yes"))</f>
        <v/>
      </c>
      <c r="H860" s="6" t="str">
        <f>IF(A860="","",SUMIFS(Chicks!$J:$J,Chicks!$F:$F,A860))</f>
        <v/>
      </c>
      <c r="I860" s="6" t="str">
        <f>IF(A860="","",COUNTIFS(Chicks!$F:$F,A860,Chicks!$I:$I,"No"))</f>
        <v/>
      </c>
      <c r="J860" s="6" t="str">
        <f>IF(A860="","",IFERROR(AVERAGEIF(Chicks!$F:$F,A860,Chicks!$M:$M),""))</f>
        <v/>
      </c>
      <c r="K860" s="6" t="str">
        <f>IF(A860="","",SUMIFS(Chicks!$N:$N,Chicks!$F:$F,A860))</f>
        <v/>
      </c>
      <c r="L860" s="6" t="str">
        <f>IF(A860="","",SUMIFS(Chicks!$O:$O,Chicks!$F:$F,A860))</f>
        <v/>
      </c>
      <c r="M860" s="6" t="str">
        <f>IF(A860="","",SUMIFS(Chicks!$P:$P,Chicks!$F:$F,A860))</f>
        <v/>
      </c>
      <c r="N860" s="6" t="str">
        <f t="shared" si="4"/>
        <v/>
      </c>
    </row>
    <row r="861" spans="6:14" ht="14.25" customHeight="1" x14ac:dyDescent="0.3">
      <c r="F861" s="6" t="str">
        <f>IF(A861="","",COUNTIF(Chicks!$F:$F,A861))</f>
        <v/>
      </c>
      <c r="G861" s="6" t="str">
        <f>IF(A861="","",COUNTIFS(Chicks!$F:$F,A861,Chicks!$I:$I,"Yes"))</f>
        <v/>
      </c>
      <c r="H861" s="6" t="str">
        <f>IF(A861="","",SUMIFS(Chicks!$J:$J,Chicks!$F:$F,A861))</f>
        <v/>
      </c>
      <c r="I861" s="6" t="str">
        <f>IF(A861="","",COUNTIFS(Chicks!$F:$F,A861,Chicks!$I:$I,"No"))</f>
        <v/>
      </c>
      <c r="J861" s="6" t="str">
        <f>IF(A861="","",IFERROR(AVERAGEIF(Chicks!$F:$F,A861,Chicks!$M:$M),""))</f>
        <v/>
      </c>
      <c r="K861" s="6" t="str">
        <f>IF(A861="","",SUMIFS(Chicks!$N:$N,Chicks!$F:$F,A861))</f>
        <v/>
      </c>
      <c r="L861" s="6" t="str">
        <f>IF(A861="","",SUMIFS(Chicks!$O:$O,Chicks!$F:$F,A861))</f>
        <v/>
      </c>
      <c r="M861" s="6" t="str">
        <f>IF(A861="","",SUMIFS(Chicks!$P:$P,Chicks!$F:$F,A861))</f>
        <v/>
      </c>
      <c r="N861" s="6" t="str">
        <f t="shared" si="4"/>
        <v/>
      </c>
    </row>
    <row r="862" spans="6:14" ht="14.25" customHeight="1" x14ac:dyDescent="0.3">
      <c r="F862" s="6" t="str">
        <f>IF(A862="","",COUNTIF(Chicks!$F:$F,A862))</f>
        <v/>
      </c>
      <c r="G862" s="6" t="str">
        <f>IF(A862="","",COUNTIFS(Chicks!$F:$F,A862,Chicks!$I:$I,"Yes"))</f>
        <v/>
      </c>
      <c r="H862" s="6" t="str">
        <f>IF(A862="","",SUMIFS(Chicks!$J:$J,Chicks!$F:$F,A862))</f>
        <v/>
      </c>
      <c r="I862" s="6" t="str">
        <f>IF(A862="","",COUNTIFS(Chicks!$F:$F,A862,Chicks!$I:$I,"No"))</f>
        <v/>
      </c>
      <c r="J862" s="6" t="str">
        <f>IF(A862="","",IFERROR(AVERAGEIF(Chicks!$F:$F,A862,Chicks!$M:$M),""))</f>
        <v/>
      </c>
      <c r="K862" s="6" t="str">
        <f>IF(A862="","",SUMIFS(Chicks!$N:$N,Chicks!$F:$F,A862))</f>
        <v/>
      </c>
      <c r="L862" s="6" t="str">
        <f>IF(A862="","",SUMIFS(Chicks!$O:$O,Chicks!$F:$F,A862))</f>
        <v/>
      </c>
      <c r="M862" s="6" t="str">
        <f>IF(A862="","",SUMIFS(Chicks!$P:$P,Chicks!$F:$F,A862))</f>
        <v/>
      </c>
      <c r="N862" s="6" t="str">
        <f t="shared" si="4"/>
        <v/>
      </c>
    </row>
    <row r="863" spans="6:14" ht="14.25" customHeight="1" x14ac:dyDescent="0.3">
      <c r="F863" s="6" t="str">
        <f>IF(A863="","",COUNTIF(Chicks!$F:$F,A863))</f>
        <v/>
      </c>
      <c r="G863" s="6" t="str">
        <f>IF(A863="","",COUNTIFS(Chicks!$F:$F,A863,Chicks!$I:$I,"Yes"))</f>
        <v/>
      </c>
      <c r="H863" s="6" t="str">
        <f>IF(A863="","",SUMIFS(Chicks!$J:$J,Chicks!$F:$F,A863))</f>
        <v/>
      </c>
      <c r="I863" s="6" t="str">
        <f>IF(A863="","",COUNTIFS(Chicks!$F:$F,A863,Chicks!$I:$I,"No"))</f>
        <v/>
      </c>
      <c r="J863" s="6" t="str">
        <f>IF(A863="","",IFERROR(AVERAGEIF(Chicks!$F:$F,A863,Chicks!$M:$M),""))</f>
        <v/>
      </c>
      <c r="K863" s="6" t="str">
        <f>IF(A863="","",SUMIFS(Chicks!$N:$N,Chicks!$F:$F,A863))</f>
        <v/>
      </c>
      <c r="L863" s="6" t="str">
        <f>IF(A863="","",SUMIFS(Chicks!$O:$O,Chicks!$F:$F,A863))</f>
        <v/>
      </c>
      <c r="M863" s="6" t="str">
        <f>IF(A863="","",SUMIFS(Chicks!$P:$P,Chicks!$F:$F,A863))</f>
        <v/>
      </c>
      <c r="N863" s="6" t="str">
        <f t="shared" si="4"/>
        <v/>
      </c>
    </row>
    <row r="864" spans="6:14" ht="14.25" customHeight="1" x14ac:dyDescent="0.3">
      <c r="F864" s="6" t="str">
        <f>IF(A864="","",COUNTIF(Chicks!$F:$F,A864))</f>
        <v/>
      </c>
      <c r="G864" s="6" t="str">
        <f>IF(A864="","",COUNTIFS(Chicks!$F:$F,A864,Chicks!$I:$I,"Yes"))</f>
        <v/>
      </c>
      <c r="H864" s="6" t="str">
        <f>IF(A864="","",SUMIFS(Chicks!$J:$J,Chicks!$F:$F,A864))</f>
        <v/>
      </c>
      <c r="I864" s="6" t="str">
        <f>IF(A864="","",COUNTIFS(Chicks!$F:$F,A864,Chicks!$I:$I,"No"))</f>
        <v/>
      </c>
      <c r="J864" s="6" t="str">
        <f>IF(A864="","",IFERROR(AVERAGEIF(Chicks!$F:$F,A864,Chicks!$M:$M),""))</f>
        <v/>
      </c>
      <c r="K864" s="6" t="str">
        <f>IF(A864="","",SUMIFS(Chicks!$N:$N,Chicks!$F:$F,A864))</f>
        <v/>
      </c>
      <c r="L864" s="6" t="str">
        <f>IF(A864="","",SUMIFS(Chicks!$O:$O,Chicks!$F:$F,A864))</f>
        <v/>
      </c>
      <c r="M864" s="6" t="str">
        <f>IF(A864="","",SUMIFS(Chicks!$P:$P,Chicks!$F:$F,A864))</f>
        <v/>
      </c>
      <c r="N864" s="6" t="str">
        <f t="shared" si="4"/>
        <v/>
      </c>
    </row>
    <row r="865" spans="6:14" ht="14.25" customHeight="1" x14ac:dyDescent="0.3">
      <c r="F865" s="6" t="str">
        <f>IF(A865="","",COUNTIF(Chicks!$F:$F,A865))</f>
        <v/>
      </c>
      <c r="G865" s="6" t="str">
        <f>IF(A865="","",COUNTIFS(Chicks!$F:$F,A865,Chicks!$I:$I,"Yes"))</f>
        <v/>
      </c>
      <c r="H865" s="6" t="str">
        <f>IF(A865="","",SUMIFS(Chicks!$J:$J,Chicks!$F:$F,A865))</f>
        <v/>
      </c>
      <c r="I865" s="6" t="str">
        <f>IF(A865="","",COUNTIFS(Chicks!$F:$F,A865,Chicks!$I:$I,"No"))</f>
        <v/>
      </c>
      <c r="J865" s="6" t="str">
        <f>IF(A865="","",IFERROR(AVERAGEIF(Chicks!$F:$F,A865,Chicks!$M:$M),""))</f>
        <v/>
      </c>
      <c r="K865" s="6" t="str">
        <f>IF(A865="","",SUMIFS(Chicks!$N:$N,Chicks!$F:$F,A865))</f>
        <v/>
      </c>
      <c r="L865" s="6" t="str">
        <f>IF(A865="","",SUMIFS(Chicks!$O:$O,Chicks!$F:$F,A865))</f>
        <v/>
      </c>
      <c r="M865" s="6" t="str">
        <f>IF(A865="","",SUMIFS(Chicks!$P:$P,Chicks!$F:$F,A865))</f>
        <v/>
      </c>
      <c r="N865" s="6" t="str">
        <f t="shared" si="4"/>
        <v/>
      </c>
    </row>
    <row r="866" spans="6:14" ht="14.25" customHeight="1" x14ac:dyDescent="0.3">
      <c r="F866" s="6" t="str">
        <f>IF(A866="","",COUNTIF(Chicks!$F:$F,A866))</f>
        <v/>
      </c>
      <c r="G866" s="6" t="str">
        <f>IF(A866="","",COUNTIFS(Chicks!$F:$F,A866,Chicks!$I:$I,"Yes"))</f>
        <v/>
      </c>
      <c r="H866" s="6" t="str">
        <f>IF(A866="","",SUMIFS(Chicks!$J:$J,Chicks!$F:$F,A866))</f>
        <v/>
      </c>
      <c r="I866" s="6" t="str">
        <f>IF(A866="","",COUNTIFS(Chicks!$F:$F,A866,Chicks!$I:$I,"No"))</f>
        <v/>
      </c>
      <c r="J866" s="6" t="str">
        <f>IF(A866="","",IFERROR(AVERAGEIF(Chicks!$F:$F,A866,Chicks!$M:$M),""))</f>
        <v/>
      </c>
      <c r="K866" s="6" t="str">
        <f>IF(A866="","",SUMIFS(Chicks!$N:$N,Chicks!$F:$F,A866))</f>
        <v/>
      </c>
      <c r="L866" s="6" t="str">
        <f>IF(A866="","",SUMIFS(Chicks!$O:$O,Chicks!$F:$F,A866))</f>
        <v/>
      </c>
      <c r="M866" s="6" t="str">
        <f>IF(A866="","",SUMIFS(Chicks!$P:$P,Chicks!$F:$F,A866))</f>
        <v/>
      </c>
      <c r="N866" s="6" t="str">
        <f t="shared" si="4"/>
        <v/>
      </c>
    </row>
    <row r="867" spans="6:14" ht="14.25" customHeight="1" x14ac:dyDescent="0.3">
      <c r="F867" s="6" t="str">
        <f>IF(A867="","",COUNTIF(Chicks!$F:$F,A867))</f>
        <v/>
      </c>
      <c r="G867" s="6" t="str">
        <f>IF(A867="","",COUNTIFS(Chicks!$F:$F,A867,Chicks!$I:$I,"Yes"))</f>
        <v/>
      </c>
      <c r="H867" s="6" t="str">
        <f>IF(A867="","",SUMIFS(Chicks!$J:$J,Chicks!$F:$F,A867))</f>
        <v/>
      </c>
      <c r="I867" s="6" t="str">
        <f>IF(A867="","",COUNTIFS(Chicks!$F:$F,A867,Chicks!$I:$I,"No"))</f>
        <v/>
      </c>
      <c r="J867" s="6" t="str">
        <f>IF(A867="","",IFERROR(AVERAGEIF(Chicks!$F:$F,A867,Chicks!$M:$M),""))</f>
        <v/>
      </c>
      <c r="K867" s="6" t="str">
        <f>IF(A867="","",SUMIFS(Chicks!$N:$N,Chicks!$F:$F,A867))</f>
        <v/>
      </c>
      <c r="L867" s="6" t="str">
        <f>IF(A867="","",SUMIFS(Chicks!$O:$O,Chicks!$F:$F,A867))</f>
        <v/>
      </c>
      <c r="M867" s="6" t="str">
        <f>IF(A867="","",SUMIFS(Chicks!$P:$P,Chicks!$F:$F,A867))</f>
        <v/>
      </c>
      <c r="N867" s="6" t="str">
        <f t="shared" si="4"/>
        <v/>
      </c>
    </row>
    <row r="868" spans="6:14" ht="14.25" customHeight="1" x14ac:dyDescent="0.3">
      <c r="F868" s="6" t="str">
        <f>IF(A868="","",COUNTIF(Chicks!$F:$F,A868))</f>
        <v/>
      </c>
      <c r="G868" s="6" t="str">
        <f>IF(A868="","",COUNTIFS(Chicks!$F:$F,A868,Chicks!$I:$I,"Yes"))</f>
        <v/>
      </c>
      <c r="H868" s="6" t="str">
        <f>IF(A868="","",SUMIFS(Chicks!$J:$J,Chicks!$F:$F,A868))</f>
        <v/>
      </c>
      <c r="I868" s="6" t="str">
        <f>IF(A868="","",COUNTIFS(Chicks!$F:$F,A868,Chicks!$I:$I,"No"))</f>
        <v/>
      </c>
      <c r="J868" s="6" t="str">
        <f>IF(A868="","",IFERROR(AVERAGEIF(Chicks!$F:$F,A868,Chicks!$M:$M),""))</f>
        <v/>
      </c>
      <c r="K868" s="6" t="str">
        <f>IF(A868="","",SUMIFS(Chicks!$N:$N,Chicks!$F:$F,A868))</f>
        <v/>
      </c>
      <c r="L868" s="6" t="str">
        <f>IF(A868="","",SUMIFS(Chicks!$O:$O,Chicks!$F:$F,A868))</f>
        <v/>
      </c>
      <c r="M868" s="6" t="str">
        <f>IF(A868="","",SUMIFS(Chicks!$P:$P,Chicks!$F:$F,A868))</f>
        <v/>
      </c>
      <c r="N868" s="6" t="str">
        <f t="shared" si="4"/>
        <v/>
      </c>
    </row>
    <row r="869" spans="6:14" ht="14.25" customHeight="1" x14ac:dyDescent="0.3">
      <c r="F869" s="6" t="str">
        <f>IF(A869="","",COUNTIF(Chicks!$F:$F,A869))</f>
        <v/>
      </c>
      <c r="G869" s="6" t="str">
        <f>IF(A869="","",COUNTIFS(Chicks!$F:$F,A869,Chicks!$I:$I,"Yes"))</f>
        <v/>
      </c>
      <c r="H869" s="6" t="str">
        <f>IF(A869="","",SUMIFS(Chicks!$J:$J,Chicks!$F:$F,A869))</f>
        <v/>
      </c>
      <c r="I869" s="6" t="str">
        <f>IF(A869="","",COUNTIFS(Chicks!$F:$F,A869,Chicks!$I:$I,"No"))</f>
        <v/>
      </c>
      <c r="J869" s="6" t="str">
        <f>IF(A869="","",IFERROR(AVERAGEIF(Chicks!$F:$F,A869,Chicks!$M:$M),""))</f>
        <v/>
      </c>
      <c r="K869" s="6" t="str">
        <f>IF(A869="","",SUMIFS(Chicks!$N:$N,Chicks!$F:$F,A869))</f>
        <v/>
      </c>
      <c r="L869" s="6" t="str">
        <f>IF(A869="","",SUMIFS(Chicks!$O:$O,Chicks!$F:$F,A869))</f>
        <v/>
      </c>
      <c r="M869" s="6" t="str">
        <f>IF(A869="","",SUMIFS(Chicks!$P:$P,Chicks!$F:$F,A869))</f>
        <v/>
      </c>
      <c r="N869" s="6" t="str">
        <f t="shared" si="4"/>
        <v/>
      </c>
    </row>
    <row r="870" spans="6:14" ht="14.25" customHeight="1" x14ac:dyDescent="0.3">
      <c r="F870" s="6" t="str">
        <f>IF(A870="","",COUNTIF(Chicks!$F:$F,A870))</f>
        <v/>
      </c>
      <c r="G870" s="6" t="str">
        <f>IF(A870="","",COUNTIFS(Chicks!$F:$F,A870,Chicks!$I:$I,"Yes"))</f>
        <v/>
      </c>
      <c r="H870" s="6" t="str">
        <f>IF(A870="","",SUMIFS(Chicks!$J:$J,Chicks!$F:$F,A870))</f>
        <v/>
      </c>
      <c r="I870" s="6" t="str">
        <f>IF(A870="","",COUNTIFS(Chicks!$F:$F,A870,Chicks!$I:$I,"No"))</f>
        <v/>
      </c>
      <c r="J870" s="6" t="str">
        <f>IF(A870="","",IFERROR(AVERAGEIF(Chicks!$F:$F,A870,Chicks!$M:$M),""))</f>
        <v/>
      </c>
      <c r="K870" s="6" t="str">
        <f>IF(A870="","",SUMIFS(Chicks!$N:$N,Chicks!$F:$F,A870))</f>
        <v/>
      </c>
      <c r="L870" s="6" t="str">
        <f>IF(A870="","",SUMIFS(Chicks!$O:$O,Chicks!$F:$F,A870))</f>
        <v/>
      </c>
      <c r="M870" s="6" t="str">
        <f>IF(A870="","",SUMIFS(Chicks!$P:$P,Chicks!$F:$F,A870))</f>
        <v/>
      </c>
      <c r="N870" s="6" t="str">
        <f t="shared" si="4"/>
        <v/>
      </c>
    </row>
    <row r="871" spans="6:14" ht="14.25" customHeight="1" x14ac:dyDescent="0.3">
      <c r="F871" s="6" t="str">
        <f>IF(A871="","",COUNTIF(Chicks!$F:$F,A871))</f>
        <v/>
      </c>
      <c r="G871" s="6" t="str">
        <f>IF(A871="","",COUNTIFS(Chicks!$F:$F,A871,Chicks!$I:$I,"Yes"))</f>
        <v/>
      </c>
      <c r="H871" s="6" t="str">
        <f>IF(A871="","",SUMIFS(Chicks!$J:$J,Chicks!$F:$F,A871))</f>
        <v/>
      </c>
      <c r="I871" s="6" t="str">
        <f>IF(A871="","",COUNTIFS(Chicks!$F:$F,A871,Chicks!$I:$I,"No"))</f>
        <v/>
      </c>
      <c r="J871" s="6" t="str">
        <f>IF(A871="","",IFERROR(AVERAGEIF(Chicks!$F:$F,A871,Chicks!$M:$M),""))</f>
        <v/>
      </c>
      <c r="K871" s="6" t="str">
        <f>IF(A871="","",SUMIFS(Chicks!$N:$N,Chicks!$F:$F,A871))</f>
        <v/>
      </c>
      <c r="L871" s="6" t="str">
        <f>IF(A871="","",SUMIFS(Chicks!$O:$O,Chicks!$F:$F,A871))</f>
        <v/>
      </c>
      <c r="M871" s="6" t="str">
        <f>IF(A871="","",SUMIFS(Chicks!$P:$P,Chicks!$F:$F,A871))</f>
        <v/>
      </c>
      <c r="N871" s="6" t="str">
        <f t="shared" si="4"/>
        <v/>
      </c>
    </row>
    <row r="872" spans="6:14" ht="14.25" customHeight="1" x14ac:dyDescent="0.3">
      <c r="F872" s="6" t="str">
        <f>IF(A872="","",COUNTIF(Chicks!$F:$F,A872))</f>
        <v/>
      </c>
      <c r="G872" s="6" t="str">
        <f>IF(A872="","",COUNTIFS(Chicks!$F:$F,A872,Chicks!$I:$I,"Yes"))</f>
        <v/>
      </c>
      <c r="H872" s="6" t="str">
        <f>IF(A872="","",SUMIFS(Chicks!$J:$J,Chicks!$F:$F,A872))</f>
        <v/>
      </c>
      <c r="I872" s="6" t="str">
        <f>IF(A872="","",COUNTIFS(Chicks!$F:$F,A872,Chicks!$I:$I,"No"))</f>
        <v/>
      </c>
      <c r="J872" s="6" t="str">
        <f>IF(A872="","",IFERROR(AVERAGEIF(Chicks!$F:$F,A872,Chicks!$M:$M),""))</f>
        <v/>
      </c>
      <c r="K872" s="6" t="str">
        <f>IF(A872="","",SUMIFS(Chicks!$N:$N,Chicks!$F:$F,A872))</f>
        <v/>
      </c>
      <c r="L872" s="6" t="str">
        <f>IF(A872="","",SUMIFS(Chicks!$O:$O,Chicks!$F:$F,A872))</f>
        <v/>
      </c>
      <c r="M872" s="6" t="str">
        <f>IF(A872="","",SUMIFS(Chicks!$P:$P,Chicks!$F:$F,A872))</f>
        <v/>
      </c>
      <c r="N872" s="6" t="str">
        <f t="shared" si="4"/>
        <v/>
      </c>
    </row>
    <row r="873" spans="6:14" ht="14.25" customHeight="1" x14ac:dyDescent="0.3">
      <c r="F873" s="6" t="str">
        <f>IF(A873="","",COUNTIF(Chicks!$F:$F,A873))</f>
        <v/>
      </c>
      <c r="G873" s="6" t="str">
        <f>IF(A873="","",COUNTIFS(Chicks!$F:$F,A873,Chicks!$I:$I,"Yes"))</f>
        <v/>
      </c>
      <c r="H873" s="6" t="str">
        <f>IF(A873="","",SUMIFS(Chicks!$J:$J,Chicks!$F:$F,A873))</f>
        <v/>
      </c>
      <c r="I873" s="6" t="str">
        <f>IF(A873="","",COUNTIFS(Chicks!$F:$F,A873,Chicks!$I:$I,"No"))</f>
        <v/>
      </c>
      <c r="J873" s="6" t="str">
        <f>IF(A873="","",IFERROR(AVERAGEIF(Chicks!$F:$F,A873,Chicks!$M:$M),""))</f>
        <v/>
      </c>
      <c r="K873" s="6" t="str">
        <f>IF(A873="","",SUMIFS(Chicks!$N:$N,Chicks!$F:$F,A873))</f>
        <v/>
      </c>
      <c r="L873" s="6" t="str">
        <f>IF(A873="","",SUMIFS(Chicks!$O:$O,Chicks!$F:$F,A873))</f>
        <v/>
      </c>
      <c r="M873" s="6" t="str">
        <f>IF(A873="","",SUMIFS(Chicks!$P:$P,Chicks!$F:$F,A873))</f>
        <v/>
      </c>
      <c r="N873" s="6" t="str">
        <f t="shared" si="4"/>
        <v/>
      </c>
    </row>
    <row r="874" spans="6:14" ht="14.25" customHeight="1" x14ac:dyDescent="0.3">
      <c r="F874" s="6" t="str">
        <f>IF(A874="","",COUNTIF(Chicks!$F:$F,A874))</f>
        <v/>
      </c>
      <c r="G874" s="6" t="str">
        <f>IF(A874="","",COUNTIFS(Chicks!$F:$F,A874,Chicks!$I:$I,"Yes"))</f>
        <v/>
      </c>
      <c r="H874" s="6" t="str">
        <f>IF(A874="","",SUMIFS(Chicks!$J:$J,Chicks!$F:$F,A874))</f>
        <v/>
      </c>
      <c r="I874" s="6" t="str">
        <f>IF(A874="","",COUNTIFS(Chicks!$F:$F,A874,Chicks!$I:$I,"No"))</f>
        <v/>
      </c>
      <c r="J874" s="6" t="str">
        <f>IF(A874="","",IFERROR(AVERAGEIF(Chicks!$F:$F,A874,Chicks!$M:$M),""))</f>
        <v/>
      </c>
      <c r="K874" s="6" t="str">
        <f>IF(A874="","",SUMIFS(Chicks!$N:$N,Chicks!$F:$F,A874))</f>
        <v/>
      </c>
      <c r="L874" s="6" t="str">
        <f>IF(A874="","",SUMIFS(Chicks!$O:$O,Chicks!$F:$F,A874))</f>
        <v/>
      </c>
      <c r="M874" s="6" t="str">
        <f>IF(A874="","",SUMIFS(Chicks!$P:$P,Chicks!$F:$F,A874))</f>
        <v/>
      </c>
      <c r="N874" s="6" t="str">
        <f t="shared" si="4"/>
        <v/>
      </c>
    </row>
    <row r="875" spans="6:14" ht="14.25" customHeight="1" x14ac:dyDescent="0.3">
      <c r="F875" s="6" t="str">
        <f>IF(A875="","",COUNTIF(Chicks!$F:$F,A875))</f>
        <v/>
      </c>
      <c r="G875" s="6" t="str">
        <f>IF(A875="","",COUNTIFS(Chicks!$F:$F,A875,Chicks!$I:$I,"Yes"))</f>
        <v/>
      </c>
      <c r="H875" s="6" t="str">
        <f>IF(A875="","",SUMIFS(Chicks!$J:$J,Chicks!$F:$F,A875))</f>
        <v/>
      </c>
      <c r="I875" s="6" t="str">
        <f>IF(A875="","",COUNTIFS(Chicks!$F:$F,A875,Chicks!$I:$I,"No"))</f>
        <v/>
      </c>
      <c r="J875" s="6" t="str">
        <f>IF(A875="","",IFERROR(AVERAGEIF(Chicks!$F:$F,A875,Chicks!$M:$M),""))</f>
        <v/>
      </c>
      <c r="K875" s="6" t="str">
        <f>IF(A875="","",SUMIFS(Chicks!$N:$N,Chicks!$F:$F,A875))</f>
        <v/>
      </c>
      <c r="L875" s="6" t="str">
        <f>IF(A875="","",SUMIFS(Chicks!$O:$O,Chicks!$F:$F,A875))</f>
        <v/>
      </c>
      <c r="M875" s="6" t="str">
        <f>IF(A875="","",SUMIFS(Chicks!$P:$P,Chicks!$F:$F,A875))</f>
        <v/>
      </c>
      <c r="N875" s="6" t="str">
        <f t="shared" si="4"/>
        <v/>
      </c>
    </row>
    <row r="876" spans="6:14" ht="14.25" customHeight="1" x14ac:dyDescent="0.3">
      <c r="F876" s="6" t="str">
        <f>IF(A876="","",COUNTIF(Chicks!$F:$F,A876))</f>
        <v/>
      </c>
      <c r="G876" s="6" t="str">
        <f>IF(A876="","",COUNTIFS(Chicks!$F:$F,A876,Chicks!$I:$I,"Yes"))</f>
        <v/>
      </c>
      <c r="H876" s="6" t="str">
        <f>IF(A876="","",SUMIFS(Chicks!$J:$J,Chicks!$F:$F,A876))</f>
        <v/>
      </c>
      <c r="I876" s="6" t="str">
        <f>IF(A876="","",COUNTIFS(Chicks!$F:$F,A876,Chicks!$I:$I,"No"))</f>
        <v/>
      </c>
      <c r="J876" s="6" t="str">
        <f>IF(A876="","",IFERROR(AVERAGEIF(Chicks!$F:$F,A876,Chicks!$M:$M),""))</f>
        <v/>
      </c>
      <c r="K876" s="6" t="str">
        <f>IF(A876="","",SUMIFS(Chicks!$N:$N,Chicks!$F:$F,A876))</f>
        <v/>
      </c>
      <c r="L876" s="6" t="str">
        <f>IF(A876="","",SUMIFS(Chicks!$O:$O,Chicks!$F:$F,A876))</f>
        <v/>
      </c>
      <c r="M876" s="6" t="str">
        <f>IF(A876="","",SUMIFS(Chicks!$P:$P,Chicks!$F:$F,A876))</f>
        <v/>
      </c>
      <c r="N876" s="6" t="str">
        <f t="shared" si="4"/>
        <v/>
      </c>
    </row>
    <row r="877" spans="6:14" ht="14.25" customHeight="1" x14ac:dyDescent="0.3">
      <c r="F877" s="6" t="str">
        <f>IF(A877="","",COUNTIF(Chicks!$F:$F,A877))</f>
        <v/>
      </c>
      <c r="G877" s="6" t="str">
        <f>IF(A877="","",COUNTIFS(Chicks!$F:$F,A877,Chicks!$I:$I,"Yes"))</f>
        <v/>
      </c>
      <c r="H877" s="6" t="str">
        <f>IF(A877="","",SUMIFS(Chicks!$J:$J,Chicks!$F:$F,A877))</f>
        <v/>
      </c>
      <c r="I877" s="6" t="str">
        <f>IF(A877="","",COUNTIFS(Chicks!$F:$F,A877,Chicks!$I:$I,"No"))</f>
        <v/>
      </c>
      <c r="J877" s="6" t="str">
        <f>IF(A877="","",IFERROR(AVERAGEIF(Chicks!$F:$F,A877,Chicks!$M:$M),""))</f>
        <v/>
      </c>
      <c r="K877" s="6" t="str">
        <f>IF(A877="","",SUMIFS(Chicks!$N:$N,Chicks!$F:$F,A877))</f>
        <v/>
      </c>
      <c r="L877" s="6" t="str">
        <f>IF(A877="","",SUMIFS(Chicks!$O:$O,Chicks!$F:$F,A877))</f>
        <v/>
      </c>
      <c r="M877" s="6" t="str">
        <f>IF(A877="","",SUMIFS(Chicks!$P:$P,Chicks!$F:$F,A877))</f>
        <v/>
      </c>
      <c r="N877" s="6" t="str">
        <f t="shared" si="4"/>
        <v/>
      </c>
    </row>
    <row r="878" spans="6:14" ht="14.25" customHeight="1" x14ac:dyDescent="0.3">
      <c r="F878" s="6" t="str">
        <f>IF(A878="","",COUNTIF(Chicks!$F:$F,A878))</f>
        <v/>
      </c>
      <c r="G878" s="6" t="str">
        <f>IF(A878="","",COUNTIFS(Chicks!$F:$F,A878,Chicks!$I:$I,"Yes"))</f>
        <v/>
      </c>
      <c r="H878" s="6" t="str">
        <f>IF(A878="","",SUMIFS(Chicks!$J:$J,Chicks!$F:$F,A878))</f>
        <v/>
      </c>
      <c r="I878" s="6" t="str">
        <f>IF(A878="","",COUNTIFS(Chicks!$F:$F,A878,Chicks!$I:$I,"No"))</f>
        <v/>
      </c>
      <c r="J878" s="6" t="str">
        <f>IF(A878="","",IFERROR(AVERAGEIF(Chicks!$F:$F,A878,Chicks!$M:$M),""))</f>
        <v/>
      </c>
      <c r="K878" s="6" t="str">
        <f>IF(A878="","",SUMIFS(Chicks!$N:$N,Chicks!$F:$F,A878))</f>
        <v/>
      </c>
      <c r="L878" s="6" t="str">
        <f>IF(A878="","",SUMIFS(Chicks!$O:$O,Chicks!$F:$F,A878))</f>
        <v/>
      </c>
      <c r="M878" s="6" t="str">
        <f>IF(A878="","",SUMIFS(Chicks!$P:$P,Chicks!$F:$F,A878))</f>
        <v/>
      </c>
      <c r="N878" s="6" t="str">
        <f t="shared" si="4"/>
        <v/>
      </c>
    </row>
    <row r="879" spans="6:14" ht="14.25" customHeight="1" x14ac:dyDescent="0.3">
      <c r="F879" s="6" t="str">
        <f>IF(A879="","",COUNTIF(Chicks!$F:$F,A879))</f>
        <v/>
      </c>
      <c r="G879" s="6" t="str">
        <f>IF(A879="","",COUNTIFS(Chicks!$F:$F,A879,Chicks!$I:$I,"Yes"))</f>
        <v/>
      </c>
      <c r="H879" s="6" t="str">
        <f>IF(A879="","",SUMIFS(Chicks!$J:$J,Chicks!$F:$F,A879))</f>
        <v/>
      </c>
      <c r="I879" s="6" t="str">
        <f>IF(A879="","",COUNTIFS(Chicks!$F:$F,A879,Chicks!$I:$I,"No"))</f>
        <v/>
      </c>
      <c r="J879" s="6" t="str">
        <f>IF(A879="","",IFERROR(AVERAGEIF(Chicks!$F:$F,A879,Chicks!$M:$M),""))</f>
        <v/>
      </c>
      <c r="K879" s="6" t="str">
        <f>IF(A879="","",SUMIFS(Chicks!$N:$N,Chicks!$F:$F,A879))</f>
        <v/>
      </c>
      <c r="L879" s="6" t="str">
        <f>IF(A879="","",SUMIFS(Chicks!$O:$O,Chicks!$F:$F,A879))</f>
        <v/>
      </c>
      <c r="M879" s="6" t="str">
        <f>IF(A879="","",SUMIFS(Chicks!$P:$P,Chicks!$F:$F,A879))</f>
        <v/>
      </c>
      <c r="N879" s="6" t="str">
        <f t="shared" si="4"/>
        <v/>
      </c>
    </row>
    <row r="880" spans="6:14" ht="14.25" customHeight="1" x14ac:dyDescent="0.3">
      <c r="F880" s="6" t="str">
        <f>IF(A880="","",COUNTIF(Chicks!$F:$F,A880))</f>
        <v/>
      </c>
      <c r="G880" s="6" t="str">
        <f>IF(A880="","",COUNTIFS(Chicks!$F:$F,A880,Chicks!$I:$I,"Yes"))</f>
        <v/>
      </c>
      <c r="H880" s="6" t="str">
        <f>IF(A880="","",SUMIFS(Chicks!$J:$J,Chicks!$F:$F,A880))</f>
        <v/>
      </c>
      <c r="I880" s="6" t="str">
        <f>IF(A880="","",COUNTIFS(Chicks!$F:$F,A880,Chicks!$I:$I,"No"))</f>
        <v/>
      </c>
      <c r="J880" s="6" t="str">
        <f>IF(A880="","",IFERROR(AVERAGEIF(Chicks!$F:$F,A880,Chicks!$M:$M),""))</f>
        <v/>
      </c>
      <c r="K880" s="6" t="str">
        <f>IF(A880="","",SUMIFS(Chicks!$N:$N,Chicks!$F:$F,A880))</f>
        <v/>
      </c>
      <c r="L880" s="6" t="str">
        <f>IF(A880="","",SUMIFS(Chicks!$O:$O,Chicks!$F:$F,A880))</f>
        <v/>
      </c>
      <c r="M880" s="6" t="str">
        <f>IF(A880="","",SUMIFS(Chicks!$P:$P,Chicks!$F:$F,A880))</f>
        <v/>
      </c>
      <c r="N880" s="6" t="str">
        <f t="shared" si="4"/>
        <v/>
      </c>
    </row>
    <row r="881" spans="6:14" ht="14.25" customHeight="1" x14ac:dyDescent="0.3">
      <c r="F881" s="6" t="str">
        <f>IF(A881="","",COUNTIF(Chicks!$F:$F,A881))</f>
        <v/>
      </c>
      <c r="G881" s="6" t="str">
        <f>IF(A881="","",COUNTIFS(Chicks!$F:$F,A881,Chicks!$I:$I,"Yes"))</f>
        <v/>
      </c>
      <c r="H881" s="6" t="str">
        <f>IF(A881="","",SUMIFS(Chicks!$J:$J,Chicks!$F:$F,A881))</f>
        <v/>
      </c>
      <c r="I881" s="6" t="str">
        <f>IF(A881="","",COUNTIFS(Chicks!$F:$F,A881,Chicks!$I:$I,"No"))</f>
        <v/>
      </c>
      <c r="J881" s="6" t="str">
        <f>IF(A881="","",IFERROR(AVERAGEIF(Chicks!$F:$F,A881,Chicks!$M:$M),""))</f>
        <v/>
      </c>
      <c r="K881" s="6" t="str">
        <f>IF(A881="","",SUMIFS(Chicks!$N:$N,Chicks!$F:$F,A881))</f>
        <v/>
      </c>
      <c r="L881" s="6" t="str">
        <f>IF(A881="","",SUMIFS(Chicks!$O:$O,Chicks!$F:$F,A881))</f>
        <v/>
      </c>
      <c r="M881" s="6" t="str">
        <f>IF(A881="","",SUMIFS(Chicks!$P:$P,Chicks!$F:$F,A881))</f>
        <v/>
      </c>
      <c r="N881" s="6" t="str">
        <f t="shared" si="4"/>
        <v/>
      </c>
    </row>
    <row r="882" spans="6:14" ht="14.25" customHeight="1" x14ac:dyDescent="0.3">
      <c r="F882" s="6" t="str">
        <f>IF(A882="","",COUNTIF(Chicks!$F:$F,A882))</f>
        <v/>
      </c>
      <c r="G882" s="6" t="str">
        <f>IF(A882="","",COUNTIFS(Chicks!$F:$F,A882,Chicks!$I:$I,"Yes"))</f>
        <v/>
      </c>
      <c r="H882" s="6" t="str">
        <f>IF(A882="","",SUMIFS(Chicks!$J:$J,Chicks!$F:$F,A882))</f>
        <v/>
      </c>
      <c r="I882" s="6" t="str">
        <f>IF(A882="","",COUNTIFS(Chicks!$F:$F,A882,Chicks!$I:$I,"No"))</f>
        <v/>
      </c>
      <c r="J882" s="6" t="str">
        <f>IF(A882="","",IFERROR(AVERAGEIF(Chicks!$F:$F,A882,Chicks!$M:$M),""))</f>
        <v/>
      </c>
      <c r="K882" s="6" t="str">
        <f>IF(A882="","",SUMIFS(Chicks!$N:$N,Chicks!$F:$F,A882))</f>
        <v/>
      </c>
      <c r="L882" s="6" t="str">
        <f>IF(A882="","",SUMIFS(Chicks!$O:$O,Chicks!$F:$F,A882))</f>
        <v/>
      </c>
      <c r="M882" s="6" t="str">
        <f>IF(A882="","",SUMIFS(Chicks!$P:$P,Chicks!$F:$F,A882))</f>
        <v/>
      </c>
      <c r="N882" s="6" t="str">
        <f t="shared" si="4"/>
        <v/>
      </c>
    </row>
    <row r="883" spans="6:14" ht="14.25" customHeight="1" x14ac:dyDescent="0.3">
      <c r="F883" s="6" t="str">
        <f>IF(A883="","",COUNTIF(Chicks!$F:$F,A883))</f>
        <v/>
      </c>
      <c r="G883" s="6" t="str">
        <f>IF(A883="","",COUNTIFS(Chicks!$F:$F,A883,Chicks!$I:$I,"Yes"))</f>
        <v/>
      </c>
      <c r="H883" s="6" t="str">
        <f>IF(A883="","",SUMIFS(Chicks!$J:$J,Chicks!$F:$F,A883))</f>
        <v/>
      </c>
      <c r="I883" s="6" t="str">
        <f>IF(A883="","",COUNTIFS(Chicks!$F:$F,A883,Chicks!$I:$I,"No"))</f>
        <v/>
      </c>
      <c r="J883" s="6" t="str">
        <f>IF(A883="","",IFERROR(AVERAGEIF(Chicks!$F:$F,A883,Chicks!$M:$M),""))</f>
        <v/>
      </c>
      <c r="K883" s="6" t="str">
        <f>IF(A883="","",SUMIFS(Chicks!$N:$N,Chicks!$F:$F,A883))</f>
        <v/>
      </c>
      <c r="L883" s="6" t="str">
        <f>IF(A883="","",SUMIFS(Chicks!$O:$O,Chicks!$F:$F,A883))</f>
        <v/>
      </c>
      <c r="M883" s="6" t="str">
        <f>IF(A883="","",SUMIFS(Chicks!$P:$P,Chicks!$F:$F,A883))</f>
        <v/>
      </c>
      <c r="N883" s="6" t="str">
        <f t="shared" si="4"/>
        <v/>
      </c>
    </row>
    <row r="884" spans="6:14" ht="14.25" customHeight="1" x14ac:dyDescent="0.3">
      <c r="F884" s="6" t="str">
        <f>IF(A884="","",COUNTIF(Chicks!$F:$F,A884))</f>
        <v/>
      </c>
      <c r="G884" s="6" t="str">
        <f>IF(A884="","",COUNTIFS(Chicks!$F:$F,A884,Chicks!$I:$I,"Yes"))</f>
        <v/>
      </c>
      <c r="H884" s="6" t="str">
        <f>IF(A884="","",SUMIFS(Chicks!$J:$J,Chicks!$F:$F,A884))</f>
        <v/>
      </c>
      <c r="I884" s="6" t="str">
        <f>IF(A884="","",COUNTIFS(Chicks!$F:$F,A884,Chicks!$I:$I,"No"))</f>
        <v/>
      </c>
      <c r="J884" s="6" t="str">
        <f>IF(A884="","",IFERROR(AVERAGEIF(Chicks!$F:$F,A884,Chicks!$M:$M),""))</f>
        <v/>
      </c>
      <c r="K884" s="6" t="str">
        <f>IF(A884="","",SUMIFS(Chicks!$N:$N,Chicks!$F:$F,A884))</f>
        <v/>
      </c>
      <c r="L884" s="6" t="str">
        <f>IF(A884="","",SUMIFS(Chicks!$O:$O,Chicks!$F:$F,A884))</f>
        <v/>
      </c>
      <c r="M884" s="6" t="str">
        <f>IF(A884="","",SUMIFS(Chicks!$P:$P,Chicks!$F:$F,A884))</f>
        <v/>
      </c>
      <c r="N884" s="6" t="str">
        <f t="shared" si="4"/>
        <v/>
      </c>
    </row>
    <row r="885" spans="6:14" ht="14.25" customHeight="1" x14ac:dyDescent="0.3">
      <c r="F885" s="6" t="str">
        <f>IF(A885="","",COUNTIF(Chicks!$F:$F,A885))</f>
        <v/>
      </c>
      <c r="G885" s="6" t="str">
        <f>IF(A885="","",COUNTIFS(Chicks!$F:$F,A885,Chicks!$I:$I,"Yes"))</f>
        <v/>
      </c>
      <c r="H885" s="6" t="str">
        <f>IF(A885="","",SUMIFS(Chicks!$J:$J,Chicks!$F:$F,A885))</f>
        <v/>
      </c>
      <c r="I885" s="6" t="str">
        <f>IF(A885="","",COUNTIFS(Chicks!$F:$F,A885,Chicks!$I:$I,"No"))</f>
        <v/>
      </c>
      <c r="J885" s="6" t="str">
        <f>IF(A885="","",IFERROR(AVERAGEIF(Chicks!$F:$F,A885,Chicks!$M:$M),""))</f>
        <v/>
      </c>
      <c r="K885" s="6" t="str">
        <f>IF(A885="","",SUMIFS(Chicks!$N:$N,Chicks!$F:$F,A885))</f>
        <v/>
      </c>
      <c r="L885" s="6" t="str">
        <f>IF(A885="","",SUMIFS(Chicks!$O:$O,Chicks!$F:$F,A885))</f>
        <v/>
      </c>
      <c r="M885" s="6" t="str">
        <f>IF(A885="","",SUMIFS(Chicks!$P:$P,Chicks!$F:$F,A885))</f>
        <v/>
      </c>
      <c r="N885" s="6" t="str">
        <f t="shared" si="4"/>
        <v/>
      </c>
    </row>
    <row r="886" spans="6:14" ht="14.25" customHeight="1" x14ac:dyDescent="0.3">
      <c r="F886" s="6" t="str">
        <f>IF(A886="","",COUNTIF(Chicks!$F:$F,A886))</f>
        <v/>
      </c>
      <c r="G886" s="6" t="str">
        <f>IF(A886="","",COUNTIFS(Chicks!$F:$F,A886,Chicks!$I:$I,"Yes"))</f>
        <v/>
      </c>
      <c r="H886" s="6" t="str">
        <f>IF(A886="","",SUMIFS(Chicks!$J:$J,Chicks!$F:$F,A886))</f>
        <v/>
      </c>
      <c r="I886" s="6" t="str">
        <f>IF(A886="","",COUNTIFS(Chicks!$F:$F,A886,Chicks!$I:$I,"No"))</f>
        <v/>
      </c>
      <c r="J886" s="6" t="str">
        <f>IF(A886="","",IFERROR(AVERAGEIF(Chicks!$F:$F,A886,Chicks!$M:$M),""))</f>
        <v/>
      </c>
      <c r="K886" s="6" t="str">
        <f>IF(A886="","",SUMIFS(Chicks!$N:$N,Chicks!$F:$F,A886))</f>
        <v/>
      </c>
      <c r="L886" s="6" t="str">
        <f>IF(A886="","",SUMIFS(Chicks!$O:$O,Chicks!$F:$F,A886))</f>
        <v/>
      </c>
      <c r="M886" s="6" t="str">
        <f>IF(A886="","",SUMIFS(Chicks!$P:$P,Chicks!$F:$F,A886))</f>
        <v/>
      </c>
      <c r="N886" s="6" t="str">
        <f t="shared" si="4"/>
        <v/>
      </c>
    </row>
    <row r="887" spans="6:14" ht="14.25" customHeight="1" x14ac:dyDescent="0.3">
      <c r="F887" s="6" t="str">
        <f>IF(A887="","",COUNTIF(Chicks!$F:$F,A887))</f>
        <v/>
      </c>
      <c r="G887" s="6" t="str">
        <f>IF(A887="","",COUNTIFS(Chicks!$F:$F,A887,Chicks!$I:$I,"Yes"))</f>
        <v/>
      </c>
      <c r="H887" s="6" t="str">
        <f>IF(A887="","",SUMIFS(Chicks!$J:$J,Chicks!$F:$F,A887))</f>
        <v/>
      </c>
      <c r="I887" s="6" t="str">
        <f>IF(A887="","",COUNTIFS(Chicks!$F:$F,A887,Chicks!$I:$I,"No"))</f>
        <v/>
      </c>
      <c r="J887" s="6" t="str">
        <f>IF(A887="","",IFERROR(AVERAGEIF(Chicks!$F:$F,A887,Chicks!$M:$M),""))</f>
        <v/>
      </c>
      <c r="K887" s="6" t="str">
        <f>IF(A887="","",SUMIFS(Chicks!$N:$N,Chicks!$F:$F,A887))</f>
        <v/>
      </c>
      <c r="L887" s="6" t="str">
        <f>IF(A887="","",SUMIFS(Chicks!$O:$O,Chicks!$F:$F,A887))</f>
        <v/>
      </c>
      <c r="M887" s="6" t="str">
        <f>IF(A887="","",SUMIFS(Chicks!$P:$P,Chicks!$F:$F,A887))</f>
        <v/>
      </c>
      <c r="N887" s="6" t="str">
        <f t="shared" si="4"/>
        <v/>
      </c>
    </row>
    <row r="888" spans="6:14" ht="14.25" customHeight="1" x14ac:dyDescent="0.3">
      <c r="F888" s="6" t="str">
        <f>IF(A888="","",COUNTIF(Chicks!$F:$F,A888))</f>
        <v/>
      </c>
      <c r="G888" s="6" t="str">
        <f>IF(A888="","",COUNTIFS(Chicks!$F:$F,A888,Chicks!$I:$I,"Yes"))</f>
        <v/>
      </c>
      <c r="H888" s="6" t="str">
        <f>IF(A888="","",SUMIFS(Chicks!$J:$J,Chicks!$F:$F,A888))</f>
        <v/>
      </c>
      <c r="I888" s="6" t="str">
        <f>IF(A888="","",COUNTIFS(Chicks!$F:$F,A888,Chicks!$I:$I,"No"))</f>
        <v/>
      </c>
      <c r="J888" s="6" t="str">
        <f>IF(A888="","",IFERROR(AVERAGEIF(Chicks!$F:$F,A888,Chicks!$M:$M),""))</f>
        <v/>
      </c>
      <c r="K888" s="6" t="str">
        <f>IF(A888="","",SUMIFS(Chicks!$N:$N,Chicks!$F:$F,A888))</f>
        <v/>
      </c>
      <c r="L888" s="6" t="str">
        <f>IF(A888="","",SUMIFS(Chicks!$O:$O,Chicks!$F:$F,A888))</f>
        <v/>
      </c>
      <c r="M888" s="6" t="str">
        <f>IF(A888="","",SUMIFS(Chicks!$P:$P,Chicks!$F:$F,A888))</f>
        <v/>
      </c>
      <c r="N888" s="6" t="str">
        <f t="shared" si="4"/>
        <v/>
      </c>
    </row>
    <row r="889" spans="6:14" ht="14.25" customHeight="1" x14ac:dyDescent="0.3">
      <c r="F889" s="6" t="str">
        <f>IF(A889="","",COUNTIF(Chicks!$F:$F,A889))</f>
        <v/>
      </c>
      <c r="G889" s="6" t="str">
        <f>IF(A889="","",COUNTIFS(Chicks!$F:$F,A889,Chicks!$I:$I,"Yes"))</f>
        <v/>
      </c>
      <c r="H889" s="6" t="str">
        <f>IF(A889="","",SUMIFS(Chicks!$J:$J,Chicks!$F:$F,A889))</f>
        <v/>
      </c>
      <c r="I889" s="6" t="str">
        <f>IF(A889="","",COUNTIFS(Chicks!$F:$F,A889,Chicks!$I:$I,"No"))</f>
        <v/>
      </c>
      <c r="J889" s="6" t="str">
        <f>IF(A889="","",IFERROR(AVERAGEIF(Chicks!$F:$F,A889,Chicks!$M:$M),""))</f>
        <v/>
      </c>
      <c r="K889" s="6" t="str">
        <f>IF(A889="","",SUMIFS(Chicks!$N:$N,Chicks!$F:$F,A889))</f>
        <v/>
      </c>
      <c r="L889" s="6" t="str">
        <f>IF(A889="","",SUMIFS(Chicks!$O:$O,Chicks!$F:$F,A889))</f>
        <v/>
      </c>
      <c r="M889" s="6" t="str">
        <f>IF(A889="","",SUMIFS(Chicks!$P:$P,Chicks!$F:$F,A889))</f>
        <v/>
      </c>
      <c r="N889" s="6" t="str">
        <f t="shared" si="4"/>
        <v/>
      </c>
    </row>
    <row r="890" spans="6:14" ht="14.25" customHeight="1" x14ac:dyDescent="0.3">
      <c r="F890" s="6" t="str">
        <f>IF(A890="","",COUNTIF(Chicks!$F:$F,A890))</f>
        <v/>
      </c>
      <c r="G890" s="6" t="str">
        <f>IF(A890="","",COUNTIFS(Chicks!$F:$F,A890,Chicks!$I:$I,"Yes"))</f>
        <v/>
      </c>
      <c r="H890" s="6" t="str">
        <f>IF(A890="","",SUMIFS(Chicks!$J:$J,Chicks!$F:$F,A890))</f>
        <v/>
      </c>
      <c r="I890" s="6" t="str">
        <f>IF(A890="","",COUNTIFS(Chicks!$F:$F,A890,Chicks!$I:$I,"No"))</f>
        <v/>
      </c>
      <c r="J890" s="6" t="str">
        <f>IF(A890="","",IFERROR(AVERAGEIF(Chicks!$F:$F,A890,Chicks!$M:$M),""))</f>
        <v/>
      </c>
      <c r="K890" s="6" t="str">
        <f>IF(A890="","",SUMIFS(Chicks!$N:$N,Chicks!$F:$F,A890))</f>
        <v/>
      </c>
      <c r="L890" s="6" t="str">
        <f>IF(A890="","",SUMIFS(Chicks!$O:$O,Chicks!$F:$F,A890))</f>
        <v/>
      </c>
      <c r="M890" s="6" t="str">
        <f>IF(A890="","",SUMIFS(Chicks!$P:$P,Chicks!$F:$F,A890))</f>
        <v/>
      </c>
      <c r="N890" s="6" t="str">
        <f t="shared" si="4"/>
        <v/>
      </c>
    </row>
    <row r="891" spans="6:14" ht="14.25" customHeight="1" x14ac:dyDescent="0.3">
      <c r="F891" s="6" t="str">
        <f>IF(A891="","",COUNTIF(Chicks!$F:$F,A891))</f>
        <v/>
      </c>
      <c r="G891" s="6" t="str">
        <f>IF(A891="","",COUNTIFS(Chicks!$F:$F,A891,Chicks!$I:$I,"Yes"))</f>
        <v/>
      </c>
      <c r="H891" s="6" t="str">
        <f>IF(A891="","",SUMIFS(Chicks!$J:$J,Chicks!$F:$F,A891))</f>
        <v/>
      </c>
      <c r="I891" s="6" t="str">
        <f>IF(A891="","",COUNTIFS(Chicks!$F:$F,A891,Chicks!$I:$I,"No"))</f>
        <v/>
      </c>
      <c r="J891" s="6" t="str">
        <f>IF(A891="","",IFERROR(AVERAGEIF(Chicks!$F:$F,A891,Chicks!$M:$M),""))</f>
        <v/>
      </c>
      <c r="K891" s="6" t="str">
        <f>IF(A891="","",SUMIFS(Chicks!$N:$N,Chicks!$F:$F,A891))</f>
        <v/>
      </c>
      <c r="L891" s="6" t="str">
        <f>IF(A891="","",SUMIFS(Chicks!$O:$O,Chicks!$F:$F,A891))</f>
        <v/>
      </c>
      <c r="M891" s="6" t="str">
        <f>IF(A891="","",SUMIFS(Chicks!$P:$P,Chicks!$F:$F,A891))</f>
        <v/>
      </c>
      <c r="N891" s="6" t="str">
        <f t="shared" si="4"/>
        <v/>
      </c>
    </row>
    <row r="892" spans="6:14" ht="14.25" customHeight="1" x14ac:dyDescent="0.3">
      <c r="F892" s="6" t="str">
        <f>IF(A892="","",COUNTIF(Chicks!$F:$F,A892))</f>
        <v/>
      </c>
      <c r="G892" s="6" t="str">
        <f>IF(A892="","",COUNTIFS(Chicks!$F:$F,A892,Chicks!$I:$I,"Yes"))</f>
        <v/>
      </c>
      <c r="H892" s="6" t="str">
        <f>IF(A892="","",SUMIFS(Chicks!$J:$J,Chicks!$F:$F,A892))</f>
        <v/>
      </c>
      <c r="I892" s="6" t="str">
        <f>IF(A892="","",COUNTIFS(Chicks!$F:$F,A892,Chicks!$I:$I,"No"))</f>
        <v/>
      </c>
      <c r="J892" s="6" t="str">
        <f>IF(A892="","",IFERROR(AVERAGEIF(Chicks!$F:$F,A892,Chicks!$M:$M),""))</f>
        <v/>
      </c>
      <c r="K892" s="6" t="str">
        <f>IF(A892="","",SUMIFS(Chicks!$N:$N,Chicks!$F:$F,A892))</f>
        <v/>
      </c>
      <c r="L892" s="6" t="str">
        <f>IF(A892="","",SUMIFS(Chicks!$O:$O,Chicks!$F:$F,A892))</f>
        <v/>
      </c>
      <c r="M892" s="6" t="str">
        <f>IF(A892="","",SUMIFS(Chicks!$P:$P,Chicks!$F:$F,A892))</f>
        <v/>
      </c>
      <c r="N892" s="6" t="str">
        <f t="shared" si="4"/>
        <v/>
      </c>
    </row>
    <row r="893" spans="6:14" ht="14.25" customHeight="1" x14ac:dyDescent="0.3">
      <c r="F893" s="6" t="str">
        <f>IF(A893="","",COUNTIF(Chicks!$F:$F,A893))</f>
        <v/>
      </c>
      <c r="G893" s="6" t="str">
        <f>IF(A893="","",COUNTIFS(Chicks!$F:$F,A893,Chicks!$I:$I,"Yes"))</f>
        <v/>
      </c>
      <c r="H893" s="6" t="str">
        <f>IF(A893="","",SUMIFS(Chicks!$J:$J,Chicks!$F:$F,A893))</f>
        <v/>
      </c>
      <c r="I893" s="6" t="str">
        <f>IF(A893="","",COUNTIFS(Chicks!$F:$F,A893,Chicks!$I:$I,"No"))</f>
        <v/>
      </c>
      <c r="J893" s="6" t="str">
        <f>IF(A893="","",IFERROR(AVERAGEIF(Chicks!$F:$F,A893,Chicks!$M:$M),""))</f>
        <v/>
      </c>
      <c r="K893" s="6" t="str">
        <f>IF(A893="","",SUMIFS(Chicks!$N:$N,Chicks!$F:$F,A893))</f>
        <v/>
      </c>
      <c r="L893" s="6" t="str">
        <f>IF(A893="","",SUMIFS(Chicks!$O:$O,Chicks!$F:$F,A893))</f>
        <v/>
      </c>
      <c r="M893" s="6" t="str">
        <f>IF(A893="","",SUMIFS(Chicks!$P:$P,Chicks!$F:$F,A893))</f>
        <v/>
      </c>
      <c r="N893" s="6" t="str">
        <f t="shared" si="4"/>
        <v/>
      </c>
    </row>
    <row r="894" spans="6:14" ht="14.25" customHeight="1" x14ac:dyDescent="0.3">
      <c r="F894" s="6" t="str">
        <f>IF(A894="","",COUNTIF(Chicks!$F:$F,A894))</f>
        <v/>
      </c>
      <c r="G894" s="6" t="str">
        <f>IF(A894="","",COUNTIFS(Chicks!$F:$F,A894,Chicks!$I:$I,"Yes"))</f>
        <v/>
      </c>
      <c r="H894" s="6" t="str">
        <f>IF(A894="","",SUMIFS(Chicks!$J:$J,Chicks!$F:$F,A894))</f>
        <v/>
      </c>
      <c r="I894" s="6" t="str">
        <f>IF(A894="","",COUNTIFS(Chicks!$F:$F,A894,Chicks!$I:$I,"No"))</f>
        <v/>
      </c>
      <c r="J894" s="6" t="str">
        <f>IF(A894="","",IFERROR(AVERAGEIF(Chicks!$F:$F,A894,Chicks!$M:$M),""))</f>
        <v/>
      </c>
      <c r="K894" s="6" t="str">
        <f>IF(A894="","",SUMIFS(Chicks!$N:$N,Chicks!$F:$F,A894))</f>
        <v/>
      </c>
      <c r="L894" s="6" t="str">
        <f>IF(A894="","",SUMIFS(Chicks!$O:$O,Chicks!$F:$F,A894))</f>
        <v/>
      </c>
      <c r="M894" s="6" t="str">
        <f>IF(A894="","",SUMIFS(Chicks!$P:$P,Chicks!$F:$F,A894))</f>
        <v/>
      </c>
      <c r="N894" s="6" t="str">
        <f t="shared" si="4"/>
        <v/>
      </c>
    </row>
    <row r="895" spans="6:14" ht="14.25" customHeight="1" x14ac:dyDescent="0.3">
      <c r="F895" s="6" t="str">
        <f>IF(A895="","",COUNTIF(Chicks!$F:$F,A895))</f>
        <v/>
      </c>
      <c r="G895" s="6" t="str">
        <f>IF(A895="","",COUNTIFS(Chicks!$F:$F,A895,Chicks!$I:$I,"Yes"))</f>
        <v/>
      </c>
      <c r="H895" s="6" t="str">
        <f>IF(A895="","",SUMIFS(Chicks!$J:$J,Chicks!$F:$F,A895))</f>
        <v/>
      </c>
      <c r="I895" s="6" t="str">
        <f>IF(A895="","",COUNTIFS(Chicks!$F:$F,A895,Chicks!$I:$I,"No"))</f>
        <v/>
      </c>
      <c r="J895" s="6" t="str">
        <f>IF(A895="","",IFERROR(AVERAGEIF(Chicks!$F:$F,A895,Chicks!$M:$M),""))</f>
        <v/>
      </c>
      <c r="K895" s="6" t="str">
        <f>IF(A895="","",SUMIFS(Chicks!$N:$N,Chicks!$F:$F,A895))</f>
        <v/>
      </c>
      <c r="L895" s="6" t="str">
        <f>IF(A895="","",SUMIFS(Chicks!$O:$O,Chicks!$F:$F,A895))</f>
        <v/>
      </c>
      <c r="M895" s="6" t="str">
        <f>IF(A895="","",SUMIFS(Chicks!$P:$P,Chicks!$F:$F,A895))</f>
        <v/>
      </c>
      <c r="N895" s="6" t="str">
        <f t="shared" si="4"/>
        <v/>
      </c>
    </row>
    <row r="896" spans="6:14" ht="14.25" customHeight="1" x14ac:dyDescent="0.3">
      <c r="F896" s="6" t="str">
        <f>IF(A896="","",COUNTIF(Chicks!$F:$F,A896))</f>
        <v/>
      </c>
      <c r="G896" s="6" t="str">
        <f>IF(A896="","",COUNTIFS(Chicks!$F:$F,A896,Chicks!$I:$I,"Yes"))</f>
        <v/>
      </c>
      <c r="H896" s="6" t="str">
        <f>IF(A896="","",SUMIFS(Chicks!$J:$J,Chicks!$F:$F,A896))</f>
        <v/>
      </c>
      <c r="I896" s="6" t="str">
        <f>IF(A896="","",COUNTIFS(Chicks!$F:$F,A896,Chicks!$I:$I,"No"))</f>
        <v/>
      </c>
      <c r="J896" s="6" t="str">
        <f>IF(A896="","",IFERROR(AVERAGEIF(Chicks!$F:$F,A896,Chicks!$M:$M),""))</f>
        <v/>
      </c>
      <c r="K896" s="6" t="str">
        <f>IF(A896="","",SUMIFS(Chicks!$N:$N,Chicks!$F:$F,A896))</f>
        <v/>
      </c>
      <c r="L896" s="6" t="str">
        <f>IF(A896="","",SUMIFS(Chicks!$O:$O,Chicks!$F:$F,A896))</f>
        <v/>
      </c>
      <c r="M896" s="6" t="str">
        <f>IF(A896="","",SUMIFS(Chicks!$P:$P,Chicks!$F:$F,A896))</f>
        <v/>
      </c>
      <c r="N896" s="6" t="str">
        <f t="shared" si="4"/>
        <v/>
      </c>
    </row>
    <row r="897" spans="6:14" ht="14.25" customHeight="1" x14ac:dyDescent="0.3">
      <c r="F897" s="6" t="str">
        <f>IF(A897="","",COUNTIF(Chicks!$F:$F,A897))</f>
        <v/>
      </c>
      <c r="G897" s="6" t="str">
        <f>IF(A897="","",COUNTIFS(Chicks!$F:$F,A897,Chicks!$I:$I,"Yes"))</f>
        <v/>
      </c>
      <c r="H897" s="6" t="str">
        <f>IF(A897="","",SUMIFS(Chicks!$J:$J,Chicks!$F:$F,A897))</f>
        <v/>
      </c>
      <c r="I897" s="6" t="str">
        <f>IF(A897="","",COUNTIFS(Chicks!$F:$F,A897,Chicks!$I:$I,"No"))</f>
        <v/>
      </c>
      <c r="J897" s="6" t="str">
        <f>IF(A897="","",IFERROR(AVERAGEIF(Chicks!$F:$F,A897,Chicks!$M:$M),""))</f>
        <v/>
      </c>
      <c r="K897" s="6" t="str">
        <f>IF(A897="","",SUMIFS(Chicks!$N:$N,Chicks!$F:$F,A897))</f>
        <v/>
      </c>
      <c r="L897" s="6" t="str">
        <f>IF(A897="","",SUMIFS(Chicks!$O:$O,Chicks!$F:$F,A897))</f>
        <v/>
      </c>
      <c r="M897" s="6" t="str">
        <f>IF(A897="","",SUMIFS(Chicks!$P:$P,Chicks!$F:$F,A897))</f>
        <v/>
      </c>
      <c r="N897" s="6" t="str">
        <f t="shared" si="4"/>
        <v/>
      </c>
    </row>
    <row r="898" spans="6:14" ht="14.25" customHeight="1" x14ac:dyDescent="0.3">
      <c r="F898" s="6" t="str">
        <f>IF(A898="","",COUNTIF(Chicks!$F:$F,A898))</f>
        <v/>
      </c>
      <c r="G898" s="6" t="str">
        <f>IF(A898="","",COUNTIFS(Chicks!$F:$F,A898,Chicks!$I:$I,"Yes"))</f>
        <v/>
      </c>
      <c r="H898" s="6" t="str">
        <f>IF(A898="","",SUMIFS(Chicks!$J:$J,Chicks!$F:$F,A898))</f>
        <v/>
      </c>
      <c r="I898" s="6" t="str">
        <f>IF(A898="","",COUNTIFS(Chicks!$F:$F,A898,Chicks!$I:$I,"No"))</f>
        <v/>
      </c>
      <c r="J898" s="6" t="str">
        <f>IF(A898="","",IFERROR(AVERAGEIF(Chicks!$F:$F,A898,Chicks!$M:$M),""))</f>
        <v/>
      </c>
      <c r="K898" s="6" t="str">
        <f>IF(A898="","",SUMIFS(Chicks!$N:$N,Chicks!$F:$F,A898))</f>
        <v/>
      </c>
      <c r="L898" s="6" t="str">
        <f>IF(A898="","",SUMIFS(Chicks!$O:$O,Chicks!$F:$F,A898))</f>
        <v/>
      </c>
      <c r="M898" s="6" t="str">
        <f>IF(A898="","",SUMIFS(Chicks!$P:$P,Chicks!$F:$F,A898))</f>
        <v/>
      </c>
      <c r="N898" s="6" t="str">
        <f t="shared" si="4"/>
        <v/>
      </c>
    </row>
    <row r="899" spans="6:14" ht="14.25" customHeight="1" x14ac:dyDescent="0.3">
      <c r="F899" s="6" t="str">
        <f>IF(A899="","",COUNTIF(Chicks!$F:$F,A899))</f>
        <v/>
      </c>
      <c r="G899" s="6" t="str">
        <f>IF(A899="","",COUNTIFS(Chicks!$F:$F,A899,Chicks!$I:$I,"Yes"))</f>
        <v/>
      </c>
      <c r="H899" s="6" t="str">
        <f>IF(A899="","",SUMIFS(Chicks!$J:$J,Chicks!$F:$F,A899))</f>
        <v/>
      </c>
      <c r="I899" s="6" t="str">
        <f>IF(A899="","",COUNTIFS(Chicks!$F:$F,A899,Chicks!$I:$I,"No"))</f>
        <v/>
      </c>
      <c r="J899" s="6" t="str">
        <f>IF(A899="","",IFERROR(AVERAGEIF(Chicks!$F:$F,A899,Chicks!$M:$M),""))</f>
        <v/>
      </c>
      <c r="K899" s="6" t="str">
        <f>IF(A899="","",SUMIFS(Chicks!$N:$N,Chicks!$F:$F,A899))</f>
        <v/>
      </c>
      <c r="L899" s="6" t="str">
        <f>IF(A899="","",SUMIFS(Chicks!$O:$O,Chicks!$F:$F,A899))</f>
        <v/>
      </c>
      <c r="M899" s="6" t="str">
        <f>IF(A899="","",SUMIFS(Chicks!$P:$P,Chicks!$F:$F,A899))</f>
        <v/>
      </c>
      <c r="N899" s="6" t="str">
        <f t="shared" si="4"/>
        <v/>
      </c>
    </row>
    <row r="900" spans="6:14" ht="14.25" customHeight="1" x14ac:dyDescent="0.3">
      <c r="F900" s="6" t="str">
        <f>IF(A900="","",COUNTIF(Chicks!$F:$F,A900))</f>
        <v/>
      </c>
      <c r="G900" s="6" t="str">
        <f>IF(A900="","",COUNTIFS(Chicks!$F:$F,A900,Chicks!$I:$I,"Yes"))</f>
        <v/>
      </c>
      <c r="H900" s="6" t="str">
        <f>IF(A900="","",SUMIFS(Chicks!$J:$J,Chicks!$F:$F,A900))</f>
        <v/>
      </c>
      <c r="I900" s="6" t="str">
        <f>IF(A900="","",COUNTIFS(Chicks!$F:$F,A900,Chicks!$I:$I,"No"))</f>
        <v/>
      </c>
      <c r="J900" s="6" t="str">
        <f>IF(A900="","",IFERROR(AVERAGEIF(Chicks!$F:$F,A900,Chicks!$M:$M),""))</f>
        <v/>
      </c>
      <c r="K900" s="6" t="str">
        <f>IF(A900="","",SUMIFS(Chicks!$N:$N,Chicks!$F:$F,A900))</f>
        <v/>
      </c>
      <c r="L900" s="6" t="str">
        <f>IF(A900="","",SUMIFS(Chicks!$O:$O,Chicks!$F:$F,A900))</f>
        <v/>
      </c>
      <c r="M900" s="6" t="str">
        <f>IF(A900="","",SUMIFS(Chicks!$P:$P,Chicks!$F:$F,A900))</f>
        <v/>
      </c>
      <c r="N900" s="6" t="str">
        <f t="shared" si="4"/>
        <v/>
      </c>
    </row>
    <row r="901" spans="6:14" ht="14.25" customHeight="1" x14ac:dyDescent="0.3">
      <c r="F901" s="6" t="str">
        <f>IF(A901="","",COUNTIF(Chicks!$F:$F,A901))</f>
        <v/>
      </c>
      <c r="G901" s="6" t="str">
        <f>IF(A901="","",COUNTIFS(Chicks!$F:$F,A901,Chicks!$I:$I,"Yes"))</f>
        <v/>
      </c>
      <c r="H901" s="6" t="str">
        <f>IF(A901="","",SUMIFS(Chicks!$J:$J,Chicks!$F:$F,A901))</f>
        <v/>
      </c>
      <c r="I901" s="6" t="str">
        <f>IF(A901="","",COUNTIFS(Chicks!$F:$F,A901,Chicks!$I:$I,"No"))</f>
        <v/>
      </c>
      <c r="J901" s="6" t="str">
        <f>IF(A901="","",IFERROR(AVERAGEIF(Chicks!$F:$F,A901,Chicks!$M:$M),""))</f>
        <v/>
      </c>
      <c r="K901" s="6" t="str">
        <f>IF(A901="","",SUMIFS(Chicks!$N:$N,Chicks!$F:$F,A901))</f>
        <v/>
      </c>
      <c r="L901" s="6" t="str">
        <f>IF(A901="","",SUMIFS(Chicks!$O:$O,Chicks!$F:$F,A901))</f>
        <v/>
      </c>
      <c r="M901" s="6" t="str">
        <f>IF(A901="","",SUMIFS(Chicks!$P:$P,Chicks!$F:$F,A901))</f>
        <v/>
      </c>
      <c r="N901" s="6" t="str">
        <f t="shared" si="4"/>
        <v/>
      </c>
    </row>
    <row r="902" spans="6:14" ht="14.25" customHeight="1" x14ac:dyDescent="0.3">
      <c r="F902" s="6" t="str">
        <f>IF(A902="","",COUNTIF(Chicks!$F:$F,A902))</f>
        <v/>
      </c>
      <c r="G902" s="6" t="str">
        <f>IF(A902="","",COUNTIFS(Chicks!$F:$F,A902,Chicks!$I:$I,"Yes"))</f>
        <v/>
      </c>
      <c r="H902" s="6" t="str">
        <f>IF(A902="","",SUMIFS(Chicks!$J:$J,Chicks!$F:$F,A902))</f>
        <v/>
      </c>
      <c r="I902" s="6" t="str">
        <f>IF(A902="","",COUNTIFS(Chicks!$F:$F,A902,Chicks!$I:$I,"No"))</f>
        <v/>
      </c>
      <c r="J902" s="6" t="str">
        <f>IF(A902="","",IFERROR(AVERAGEIF(Chicks!$F:$F,A902,Chicks!$M:$M),""))</f>
        <v/>
      </c>
      <c r="K902" s="6" t="str">
        <f>IF(A902="","",SUMIFS(Chicks!$N:$N,Chicks!$F:$F,A902))</f>
        <v/>
      </c>
      <c r="L902" s="6" t="str">
        <f>IF(A902="","",SUMIFS(Chicks!$O:$O,Chicks!$F:$F,A902))</f>
        <v/>
      </c>
      <c r="M902" s="6" t="str">
        <f>IF(A902="","",SUMIFS(Chicks!$P:$P,Chicks!$F:$F,A902))</f>
        <v/>
      </c>
      <c r="N902" s="6" t="str">
        <f t="shared" si="4"/>
        <v/>
      </c>
    </row>
    <row r="903" spans="6:14" ht="14.25" customHeight="1" x14ac:dyDescent="0.3">
      <c r="F903" s="6" t="str">
        <f>IF(A903="","",COUNTIF(Chicks!$F:$F,A903))</f>
        <v/>
      </c>
      <c r="G903" s="6" t="str">
        <f>IF(A903="","",COUNTIFS(Chicks!$F:$F,A903,Chicks!$I:$I,"Yes"))</f>
        <v/>
      </c>
      <c r="H903" s="6" t="str">
        <f>IF(A903="","",SUMIFS(Chicks!$J:$J,Chicks!$F:$F,A903))</f>
        <v/>
      </c>
      <c r="I903" s="6" t="str">
        <f>IF(A903="","",COUNTIFS(Chicks!$F:$F,A903,Chicks!$I:$I,"No"))</f>
        <v/>
      </c>
      <c r="J903" s="6" t="str">
        <f>IF(A903="","",IFERROR(AVERAGEIF(Chicks!$F:$F,A903,Chicks!$M:$M),""))</f>
        <v/>
      </c>
      <c r="K903" s="6" t="str">
        <f>IF(A903="","",SUMIFS(Chicks!$N:$N,Chicks!$F:$F,A903))</f>
        <v/>
      </c>
      <c r="L903" s="6" t="str">
        <f>IF(A903="","",SUMIFS(Chicks!$O:$O,Chicks!$F:$F,A903))</f>
        <v/>
      </c>
      <c r="M903" s="6" t="str">
        <f>IF(A903="","",SUMIFS(Chicks!$P:$P,Chicks!$F:$F,A903))</f>
        <v/>
      </c>
      <c r="N903" s="6" t="str">
        <f t="shared" si="4"/>
        <v/>
      </c>
    </row>
    <row r="904" spans="6:14" ht="14.25" customHeight="1" x14ac:dyDescent="0.3">
      <c r="F904" s="6" t="str">
        <f>IF(A904="","",COUNTIF(Chicks!$F:$F,A904))</f>
        <v/>
      </c>
      <c r="G904" s="6" t="str">
        <f>IF(A904="","",COUNTIFS(Chicks!$F:$F,A904,Chicks!$I:$I,"Yes"))</f>
        <v/>
      </c>
      <c r="H904" s="6" t="str">
        <f>IF(A904="","",SUMIFS(Chicks!$J:$J,Chicks!$F:$F,A904))</f>
        <v/>
      </c>
      <c r="I904" s="6" t="str">
        <f>IF(A904="","",COUNTIFS(Chicks!$F:$F,A904,Chicks!$I:$I,"No"))</f>
        <v/>
      </c>
      <c r="J904" s="6" t="str">
        <f>IF(A904="","",IFERROR(AVERAGEIF(Chicks!$F:$F,A904,Chicks!$M:$M),""))</f>
        <v/>
      </c>
      <c r="K904" s="6" t="str">
        <f>IF(A904="","",SUMIFS(Chicks!$N:$N,Chicks!$F:$F,A904))</f>
        <v/>
      </c>
      <c r="L904" s="6" t="str">
        <f>IF(A904="","",SUMIFS(Chicks!$O:$O,Chicks!$F:$F,A904))</f>
        <v/>
      </c>
      <c r="M904" s="6" t="str">
        <f>IF(A904="","",SUMIFS(Chicks!$P:$P,Chicks!$F:$F,A904))</f>
        <v/>
      </c>
      <c r="N904" s="6" t="str">
        <f t="shared" si="4"/>
        <v/>
      </c>
    </row>
    <row r="905" spans="6:14" ht="14.25" customHeight="1" x14ac:dyDescent="0.3">
      <c r="F905" s="6" t="str">
        <f>IF(A905="","",COUNTIF(Chicks!$F:$F,A905))</f>
        <v/>
      </c>
      <c r="G905" s="6" t="str">
        <f>IF(A905="","",COUNTIFS(Chicks!$F:$F,A905,Chicks!$I:$I,"Yes"))</f>
        <v/>
      </c>
      <c r="H905" s="6" t="str">
        <f>IF(A905="","",SUMIFS(Chicks!$J:$J,Chicks!$F:$F,A905))</f>
        <v/>
      </c>
      <c r="I905" s="6" t="str">
        <f>IF(A905="","",COUNTIFS(Chicks!$F:$F,A905,Chicks!$I:$I,"No"))</f>
        <v/>
      </c>
      <c r="J905" s="6" t="str">
        <f>IF(A905="","",IFERROR(AVERAGEIF(Chicks!$F:$F,A905,Chicks!$M:$M),""))</f>
        <v/>
      </c>
      <c r="K905" s="6" t="str">
        <f>IF(A905="","",SUMIFS(Chicks!$N:$N,Chicks!$F:$F,A905))</f>
        <v/>
      </c>
      <c r="L905" s="6" t="str">
        <f>IF(A905="","",SUMIFS(Chicks!$O:$O,Chicks!$F:$F,A905))</f>
        <v/>
      </c>
      <c r="M905" s="6" t="str">
        <f>IF(A905="","",SUMIFS(Chicks!$P:$P,Chicks!$F:$F,A905))</f>
        <v/>
      </c>
      <c r="N905" s="6" t="str">
        <f t="shared" si="4"/>
        <v/>
      </c>
    </row>
    <row r="906" spans="6:14" ht="14.25" customHeight="1" x14ac:dyDescent="0.3">
      <c r="F906" s="6" t="str">
        <f>IF(A906="","",COUNTIF(Chicks!$F:$F,A906))</f>
        <v/>
      </c>
      <c r="G906" s="6" t="str">
        <f>IF(A906="","",COUNTIFS(Chicks!$F:$F,A906,Chicks!$I:$I,"Yes"))</f>
        <v/>
      </c>
      <c r="H906" s="6" t="str">
        <f>IF(A906="","",SUMIFS(Chicks!$J:$J,Chicks!$F:$F,A906))</f>
        <v/>
      </c>
      <c r="I906" s="6" t="str">
        <f>IF(A906="","",COUNTIFS(Chicks!$F:$F,A906,Chicks!$I:$I,"No"))</f>
        <v/>
      </c>
      <c r="J906" s="6" t="str">
        <f>IF(A906="","",IFERROR(AVERAGEIF(Chicks!$F:$F,A906,Chicks!$M:$M),""))</f>
        <v/>
      </c>
      <c r="K906" s="6" t="str">
        <f>IF(A906="","",SUMIFS(Chicks!$N:$N,Chicks!$F:$F,A906))</f>
        <v/>
      </c>
      <c r="L906" s="6" t="str">
        <f>IF(A906="","",SUMIFS(Chicks!$O:$O,Chicks!$F:$F,A906))</f>
        <v/>
      </c>
      <c r="M906" s="6" t="str">
        <f>IF(A906="","",SUMIFS(Chicks!$P:$P,Chicks!$F:$F,A906))</f>
        <v/>
      </c>
      <c r="N906" s="6" t="str">
        <f t="shared" si="4"/>
        <v/>
      </c>
    </row>
    <row r="907" spans="6:14" ht="14.25" customHeight="1" x14ac:dyDescent="0.3">
      <c r="F907" s="6" t="str">
        <f>IF(A907="","",COUNTIF(Chicks!$F:$F,A907))</f>
        <v/>
      </c>
      <c r="G907" s="6" t="str">
        <f>IF(A907="","",COUNTIFS(Chicks!$F:$F,A907,Chicks!$I:$I,"Yes"))</f>
        <v/>
      </c>
      <c r="H907" s="6" t="str">
        <f>IF(A907="","",SUMIFS(Chicks!$J:$J,Chicks!$F:$F,A907))</f>
        <v/>
      </c>
      <c r="I907" s="6" t="str">
        <f>IF(A907="","",COUNTIFS(Chicks!$F:$F,A907,Chicks!$I:$I,"No"))</f>
        <v/>
      </c>
      <c r="J907" s="6" t="str">
        <f>IF(A907="","",IFERROR(AVERAGEIF(Chicks!$F:$F,A907,Chicks!$M:$M),""))</f>
        <v/>
      </c>
      <c r="K907" s="6" t="str">
        <f>IF(A907="","",SUMIFS(Chicks!$N:$N,Chicks!$F:$F,A907))</f>
        <v/>
      </c>
      <c r="L907" s="6" t="str">
        <f>IF(A907="","",SUMIFS(Chicks!$O:$O,Chicks!$F:$F,A907))</f>
        <v/>
      </c>
      <c r="M907" s="6" t="str">
        <f>IF(A907="","",SUMIFS(Chicks!$P:$P,Chicks!$F:$F,A907))</f>
        <v/>
      </c>
      <c r="N907" s="6" t="str">
        <f t="shared" si="4"/>
        <v/>
      </c>
    </row>
    <row r="908" spans="6:14" ht="14.25" customHeight="1" x14ac:dyDescent="0.3">
      <c r="F908" s="6" t="str">
        <f>IF(A908="","",COUNTIF(Chicks!$F:$F,A908))</f>
        <v/>
      </c>
      <c r="G908" s="6" t="str">
        <f>IF(A908="","",COUNTIFS(Chicks!$F:$F,A908,Chicks!$I:$I,"Yes"))</f>
        <v/>
      </c>
      <c r="H908" s="6" t="str">
        <f>IF(A908="","",SUMIFS(Chicks!$J:$J,Chicks!$F:$F,A908))</f>
        <v/>
      </c>
      <c r="I908" s="6" t="str">
        <f>IF(A908="","",COUNTIFS(Chicks!$F:$F,A908,Chicks!$I:$I,"No"))</f>
        <v/>
      </c>
      <c r="J908" s="6" t="str">
        <f>IF(A908="","",IFERROR(AVERAGEIF(Chicks!$F:$F,A908,Chicks!$M:$M),""))</f>
        <v/>
      </c>
      <c r="K908" s="6" t="str">
        <f>IF(A908="","",SUMIFS(Chicks!$N:$N,Chicks!$F:$F,A908))</f>
        <v/>
      </c>
      <c r="L908" s="6" t="str">
        <f>IF(A908="","",SUMIFS(Chicks!$O:$O,Chicks!$F:$F,A908))</f>
        <v/>
      </c>
      <c r="M908" s="6" t="str">
        <f>IF(A908="","",SUMIFS(Chicks!$P:$P,Chicks!$F:$F,A908))</f>
        <v/>
      </c>
      <c r="N908" s="6" t="str">
        <f t="shared" si="4"/>
        <v/>
      </c>
    </row>
    <row r="909" spans="6:14" ht="14.25" customHeight="1" x14ac:dyDescent="0.3">
      <c r="F909" s="6" t="str">
        <f>IF(A909="","",COUNTIF(Chicks!$F:$F,A909))</f>
        <v/>
      </c>
      <c r="G909" s="6" t="str">
        <f>IF(A909="","",COUNTIFS(Chicks!$F:$F,A909,Chicks!$I:$I,"Yes"))</f>
        <v/>
      </c>
      <c r="H909" s="6" t="str">
        <f>IF(A909="","",SUMIFS(Chicks!$J:$J,Chicks!$F:$F,A909))</f>
        <v/>
      </c>
      <c r="I909" s="6" t="str">
        <f>IF(A909="","",COUNTIFS(Chicks!$F:$F,A909,Chicks!$I:$I,"No"))</f>
        <v/>
      </c>
      <c r="J909" s="6" t="str">
        <f>IF(A909="","",IFERROR(AVERAGEIF(Chicks!$F:$F,A909,Chicks!$M:$M),""))</f>
        <v/>
      </c>
      <c r="K909" s="6" t="str">
        <f>IF(A909="","",SUMIFS(Chicks!$N:$N,Chicks!$F:$F,A909))</f>
        <v/>
      </c>
      <c r="L909" s="6" t="str">
        <f>IF(A909="","",SUMIFS(Chicks!$O:$O,Chicks!$F:$F,A909))</f>
        <v/>
      </c>
      <c r="M909" s="6" t="str">
        <f>IF(A909="","",SUMIFS(Chicks!$P:$P,Chicks!$F:$F,A909))</f>
        <v/>
      </c>
      <c r="N909" s="6" t="str">
        <f t="shared" si="4"/>
        <v/>
      </c>
    </row>
    <row r="910" spans="6:14" ht="14.25" customHeight="1" x14ac:dyDescent="0.3">
      <c r="F910" s="6" t="str">
        <f>IF(A910="","",COUNTIF(Chicks!$F:$F,A910))</f>
        <v/>
      </c>
      <c r="G910" s="6" t="str">
        <f>IF(A910="","",COUNTIFS(Chicks!$F:$F,A910,Chicks!$I:$I,"Yes"))</f>
        <v/>
      </c>
      <c r="H910" s="6" t="str">
        <f>IF(A910="","",SUMIFS(Chicks!$J:$J,Chicks!$F:$F,A910))</f>
        <v/>
      </c>
      <c r="I910" s="6" t="str">
        <f>IF(A910="","",COUNTIFS(Chicks!$F:$F,A910,Chicks!$I:$I,"No"))</f>
        <v/>
      </c>
      <c r="J910" s="6" t="str">
        <f>IF(A910="","",IFERROR(AVERAGEIF(Chicks!$F:$F,A910,Chicks!$M:$M),""))</f>
        <v/>
      </c>
      <c r="K910" s="6" t="str">
        <f>IF(A910="","",SUMIFS(Chicks!$N:$N,Chicks!$F:$F,A910))</f>
        <v/>
      </c>
      <c r="L910" s="6" t="str">
        <f>IF(A910="","",SUMIFS(Chicks!$O:$O,Chicks!$F:$F,A910))</f>
        <v/>
      </c>
      <c r="M910" s="6" t="str">
        <f>IF(A910="","",SUMIFS(Chicks!$P:$P,Chicks!$F:$F,A910))</f>
        <v/>
      </c>
      <c r="N910" s="6" t="str">
        <f t="shared" si="4"/>
        <v/>
      </c>
    </row>
    <row r="911" spans="6:14" ht="14.25" customHeight="1" x14ac:dyDescent="0.3">
      <c r="F911" s="6" t="str">
        <f>IF(A911="","",COUNTIF(Chicks!$F:$F,A911))</f>
        <v/>
      </c>
      <c r="G911" s="6" t="str">
        <f>IF(A911="","",COUNTIFS(Chicks!$F:$F,A911,Chicks!$I:$I,"Yes"))</f>
        <v/>
      </c>
      <c r="H911" s="6" t="str">
        <f>IF(A911="","",SUMIFS(Chicks!$J:$J,Chicks!$F:$F,A911))</f>
        <v/>
      </c>
      <c r="I911" s="6" t="str">
        <f>IF(A911="","",COUNTIFS(Chicks!$F:$F,A911,Chicks!$I:$I,"No"))</f>
        <v/>
      </c>
      <c r="J911" s="6" t="str">
        <f>IF(A911="","",IFERROR(AVERAGEIF(Chicks!$F:$F,A911,Chicks!$M:$M),""))</f>
        <v/>
      </c>
      <c r="K911" s="6" t="str">
        <f>IF(A911="","",SUMIFS(Chicks!$N:$N,Chicks!$F:$F,A911))</f>
        <v/>
      </c>
      <c r="L911" s="6" t="str">
        <f>IF(A911="","",SUMIFS(Chicks!$O:$O,Chicks!$F:$F,A911))</f>
        <v/>
      </c>
      <c r="M911" s="6" t="str">
        <f>IF(A911="","",SUMIFS(Chicks!$P:$P,Chicks!$F:$F,A911))</f>
        <v/>
      </c>
      <c r="N911" s="6" t="str">
        <f t="shared" si="4"/>
        <v/>
      </c>
    </row>
    <row r="912" spans="6:14" ht="14.25" customHeight="1" x14ac:dyDescent="0.3">
      <c r="F912" s="6" t="str">
        <f>IF(A912="","",COUNTIF(Chicks!$F:$F,A912))</f>
        <v/>
      </c>
      <c r="G912" s="6" t="str">
        <f>IF(A912="","",COUNTIFS(Chicks!$F:$F,A912,Chicks!$I:$I,"Yes"))</f>
        <v/>
      </c>
      <c r="H912" s="6" t="str">
        <f>IF(A912="","",SUMIFS(Chicks!$J:$J,Chicks!$F:$F,A912))</f>
        <v/>
      </c>
      <c r="I912" s="6" t="str">
        <f>IF(A912="","",COUNTIFS(Chicks!$F:$F,A912,Chicks!$I:$I,"No"))</f>
        <v/>
      </c>
      <c r="J912" s="6" t="str">
        <f>IF(A912="","",IFERROR(AVERAGEIF(Chicks!$F:$F,A912,Chicks!$M:$M),""))</f>
        <v/>
      </c>
      <c r="K912" s="6" t="str">
        <f>IF(A912="","",SUMIFS(Chicks!$N:$N,Chicks!$F:$F,A912))</f>
        <v/>
      </c>
      <c r="L912" s="6" t="str">
        <f>IF(A912="","",SUMIFS(Chicks!$O:$O,Chicks!$F:$F,A912))</f>
        <v/>
      </c>
      <c r="M912" s="6" t="str">
        <f>IF(A912="","",SUMIFS(Chicks!$P:$P,Chicks!$F:$F,A912))</f>
        <v/>
      </c>
      <c r="N912" s="6" t="str">
        <f t="shared" si="4"/>
        <v/>
      </c>
    </row>
    <row r="913" spans="6:14" ht="14.25" customHeight="1" x14ac:dyDescent="0.3">
      <c r="F913" s="6" t="str">
        <f>IF(A913="","",COUNTIF(Chicks!$F:$F,A913))</f>
        <v/>
      </c>
      <c r="G913" s="6" t="str">
        <f>IF(A913="","",COUNTIFS(Chicks!$F:$F,A913,Chicks!$I:$I,"Yes"))</f>
        <v/>
      </c>
      <c r="H913" s="6" t="str">
        <f>IF(A913="","",SUMIFS(Chicks!$J:$J,Chicks!$F:$F,A913))</f>
        <v/>
      </c>
      <c r="I913" s="6" t="str">
        <f>IF(A913="","",COUNTIFS(Chicks!$F:$F,A913,Chicks!$I:$I,"No"))</f>
        <v/>
      </c>
      <c r="J913" s="6" t="str">
        <f>IF(A913="","",IFERROR(AVERAGEIF(Chicks!$F:$F,A913,Chicks!$M:$M),""))</f>
        <v/>
      </c>
      <c r="K913" s="6" t="str">
        <f>IF(A913="","",SUMIFS(Chicks!$N:$N,Chicks!$F:$F,A913))</f>
        <v/>
      </c>
      <c r="L913" s="6" t="str">
        <f>IF(A913="","",SUMIFS(Chicks!$O:$O,Chicks!$F:$F,A913))</f>
        <v/>
      </c>
      <c r="M913" s="6" t="str">
        <f>IF(A913="","",SUMIFS(Chicks!$P:$P,Chicks!$F:$F,A913))</f>
        <v/>
      </c>
      <c r="N913" s="6" t="str">
        <f t="shared" si="4"/>
        <v/>
      </c>
    </row>
    <row r="914" spans="6:14" ht="14.25" customHeight="1" x14ac:dyDescent="0.3">
      <c r="F914" s="6" t="str">
        <f>IF(A914="","",COUNTIF(Chicks!$F:$F,A914))</f>
        <v/>
      </c>
      <c r="G914" s="6" t="str">
        <f>IF(A914="","",COUNTIFS(Chicks!$F:$F,A914,Chicks!$I:$I,"Yes"))</f>
        <v/>
      </c>
      <c r="H914" s="6" t="str">
        <f>IF(A914="","",SUMIFS(Chicks!$J:$J,Chicks!$F:$F,A914))</f>
        <v/>
      </c>
      <c r="I914" s="6" t="str">
        <f>IF(A914="","",COUNTIFS(Chicks!$F:$F,A914,Chicks!$I:$I,"No"))</f>
        <v/>
      </c>
      <c r="J914" s="6" t="str">
        <f>IF(A914="","",IFERROR(AVERAGEIF(Chicks!$F:$F,A914,Chicks!$M:$M),""))</f>
        <v/>
      </c>
      <c r="K914" s="6" t="str">
        <f>IF(A914="","",SUMIFS(Chicks!$N:$N,Chicks!$F:$F,A914))</f>
        <v/>
      </c>
      <c r="L914" s="6" t="str">
        <f>IF(A914="","",SUMIFS(Chicks!$O:$O,Chicks!$F:$F,A914))</f>
        <v/>
      </c>
      <c r="M914" s="6" t="str">
        <f>IF(A914="","",SUMIFS(Chicks!$P:$P,Chicks!$F:$F,A914))</f>
        <v/>
      </c>
      <c r="N914" s="6" t="str">
        <f t="shared" si="4"/>
        <v/>
      </c>
    </row>
    <row r="915" spans="6:14" ht="14.25" customHeight="1" x14ac:dyDescent="0.3">
      <c r="F915" s="6" t="str">
        <f>IF(A915="","",COUNTIF(Chicks!$F:$F,A915))</f>
        <v/>
      </c>
      <c r="G915" s="6" t="str">
        <f>IF(A915="","",COUNTIFS(Chicks!$F:$F,A915,Chicks!$I:$I,"Yes"))</f>
        <v/>
      </c>
      <c r="H915" s="6" t="str">
        <f>IF(A915="","",SUMIFS(Chicks!$J:$J,Chicks!$F:$F,A915))</f>
        <v/>
      </c>
      <c r="I915" s="6" t="str">
        <f>IF(A915="","",COUNTIFS(Chicks!$F:$F,A915,Chicks!$I:$I,"No"))</f>
        <v/>
      </c>
      <c r="J915" s="6" t="str">
        <f>IF(A915="","",IFERROR(AVERAGEIF(Chicks!$F:$F,A915,Chicks!$M:$M),""))</f>
        <v/>
      </c>
      <c r="K915" s="6" t="str">
        <f>IF(A915="","",SUMIFS(Chicks!$N:$N,Chicks!$F:$F,A915))</f>
        <v/>
      </c>
      <c r="L915" s="6" t="str">
        <f>IF(A915="","",SUMIFS(Chicks!$O:$O,Chicks!$F:$F,A915))</f>
        <v/>
      </c>
      <c r="M915" s="6" t="str">
        <f>IF(A915="","",SUMIFS(Chicks!$P:$P,Chicks!$F:$F,A915))</f>
        <v/>
      </c>
      <c r="N915" s="6" t="str">
        <f t="shared" si="4"/>
        <v/>
      </c>
    </row>
    <row r="916" spans="6:14" ht="14.25" customHeight="1" x14ac:dyDescent="0.3">
      <c r="F916" s="6" t="str">
        <f>IF(A916="","",COUNTIF(Chicks!$F:$F,A916))</f>
        <v/>
      </c>
      <c r="G916" s="6" t="str">
        <f>IF(A916="","",COUNTIFS(Chicks!$F:$F,A916,Chicks!$I:$I,"Yes"))</f>
        <v/>
      </c>
      <c r="H916" s="6" t="str">
        <f>IF(A916="","",SUMIFS(Chicks!$J:$J,Chicks!$F:$F,A916))</f>
        <v/>
      </c>
      <c r="I916" s="6" t="str">
        <f>IF(A916="","",COUNTIFS(Chicks!$F:$F,A916,Chicks!$I:$I,"No"))</f>
        <v/>
      </c>
      <c r="J916" s="6" t="str">
        <f>IF(A916="","",IFERROR(AVERAGEIF(Chicks!$F:$F,A916,Chicks!$M:$M),""))</f>
        <v/>
      </c>
      <c r="K916" s="6" t="str">
        <f>IF(A916="","",SUMIFS(Chicks!$N:$N,Chicks!$F:$F,A916))</f>
        <v/>
      </c>
      <c r="L916" s="6" t="str">
        <f>IF(A916="","",SUMIFS(Chicks!$O:$O,Chicks!$F:$F,A916))</f>
        <v/>
      </c>
      <c r="M916" s="6" t="str">
        <f>IF(A916="","",SUMIFS(Chicks!$P:$P,Chicks!$F:$F,A916))</f>
        <v/>
      </c>
      <c r="N916" s="6" t="str">
        <f t="shared" si="4"/>
        <v/>
      </c>
    </row>
    <row r="917" spans="6:14" ht="14.25" customHeight="1" x14ac:dyDescent="0.3">
      <c r="F917" s="6" t="str">
        <f>IF(A917="","",COUNTIF(Chicks!$F:$F,A917))</f>
        <v/>
      </c>
      <c r="G917" s="6" t="str">
        <f>IF(A917="","",COUNTIFS(Chicks!$F:$F,A917,Chicks!$I:$I,"Yes"))</f>
        <v/>
      </c>
      <c r="H917" s="6" t="str">
        <f>IF(A917="","",SUMIFS(Chicks!$J:$J,Chicks!$F:$F,A917))</f>
        <v/>
      </c>
      <c r="I917" s="6" t="str">
        <f>IF(A917="","",COUNTIFS(Chicks!$F:$F,A917,Chicks!$I:$I,"No"))</f>
        <v/>
      </c>
      <c r="J917" s="6" t="str">
        <f>IF(A917="","",IFERROR(AVERAGEIF(Chicks!$F:$F,A917,Chicks!$M:$M),""))</f>
        <v/>
      </c>
      <c r="K917" s="6" t="str">
        <f>IF(A917="","",SUMIFS(Chicks!$N:$N,Chicks!$F:$F,A917))</f>
        <v/>
      </c>
      <c r="L917" s="6" t="str">
        <f>IF(A917="","",SUMIFS(Chicks!$O:$O,Chicks!$F:$F,A917))</f>
        <v/>
      </c>
      <c r="M917" s="6" t="str">
        <f>IF(A917="","",SUMIFS(Chicks!$P:$P,Chicks!$F:$F,A917))</f>
        <v/>
      </c>
      <c r="N917" s="6" t="str">
        <f t="shared" si="4"/>
        <v/>
      </c>
    </row>
    <row r="918" spans="6:14" ht="14.25" customHeight="1" x14ac:dyDescent="0.3">
      <c r="F918" s="6" t="str">
        <f>IF(A918="","",COUNTIF(Chicks!$F:$F,A918))</f>
        <v/>
      </c>
      <c r="G918" s="6" t="str">
        <f>IF(A918="","",COUNTIFS(Chicks!$F:$F,A918,Chicks!$I:$I,"Yes"))</f>
        <v/>
      </c>
      <c r="H918" s="6" t="str">
        <f>IF(A918="","",SUMIFS(Chicks!$J:$J,Chicks!$F:$F,A918))</f>
        <v/>
      </c>
      <c r="I918" s="6" t="str">
        <f>IF(A918="","",COUNTIFS(Chicks!$F:$F,A918,Chicks!$I:$I,"No"))</f>
        <v/>
      </c>
      <c r="J918" s="6" t="str">
        <f>IF(A918="","",IFERROR(AVERAGEIF(Chicks!$F:$F,A918,Chicks!$M:$M),""))</f>
        <v/>
      </c>
      <c r="K918" s="6" t="str">
        <f>IF(A918="","",SUMIFS(Chicks!$N:$N,Chicks!$F:$F,A918))</f>
        <v/>
      </c>
      <c r="L918" s="6" t="str">
        <f>IF(A918="","",SUMIFS(Chicks!$O:$O,Chicks!$F:$F,A918))</f>
        <v/>
      </c>
      <c r="M918" s="6" t="str">
        <f>IF(A918="","",SUMIFS(Chicks!$P:$P,Chicks!$F:$F,A918))</f>
        <v/>
      </c>
      <c r="N918" s="6" t="str">
        <f t="shared" si="4"/>
        <v/>
      </c>
    </row>
    <row r="919" spans="6:14" ht="14.25" customHeight="1" x14ac:dyDescent="0.3">
      <c r="F919" s="6" t="str">
        <f>IF(A919="","",COUNTIF(Chicks!$F:$F,A919))</f>
        <v/>
      </c>
      <c r="G919" s="6" t="str">
        <f>IF(A919="","",COUNTIFS(Chicks!$F:$F,A919,Chicks!$I:$I,"Yes"))</f>
        <v/>
      </c>
      <c r="H919" s="6" t="str">
        <f>IF(A919="","",SUMIFS(Chicks!$J:$J,Chicks!$F:$F,A919))</f>
        <v/>
      </c>
      <c r="I919" s="6" t="str">
        <f>IF(A919="","",COUNTIFS(Chicks!$F:$F,A919,Chicks!$I:$I,"No"))</f>
        <v/>
      </c>
      <c r="J919" s="6" t="str">
        <f>IF(A919="","",IFERROR(AVERAGEIF(Chicks!$F:$F,A919,Chicks!$M:$M),""))</f>
        <v/>
      </c>
      <c r="K919" s="6" t="str">
        <f>IF(A919="","",SUMIFS(Chicks!$N:$N,Chicks!$F:$F,A919))</f>
        <v/>
      </c>
      <c r="L919" s="6" t="str">
        <f>IF(A919="","",SUMIFS(Chicks!$O:$O,Chicks!$F:$F,A919))</f>
        <v/>
      </c>
      <c r="M919" s="6" t="str">
        <f>IF(A919="","",SUMIFS(Chicks!$P:$P,Chicks!$F:$F,A919))</f>
        <v/>
      </c>
      <c r="N919" s="6" t="str">
        <f t="shared" si="4"/>
        <v/>
      </c>
    </row>
    <row r="920" spans="6:14" ht="14.25" customHeight="1" x14ac:dyDescent="0.3">
      <c r="F920" s="6" t="str">
        <f>IF(A920="","",COUNTIF(Chicks!$F:$F,A920))</f>
        <v/>
      </c>
      <c r="G920" s="6" t="str">
        <f>IF(A920="","",COUNTIFS(Chicks!$F:$F,A920,Chicks!$I:$I,"Yes"))</f>
        <v/>
      </c>
      <c r="H920" s="6" t="str">
        <f>IF(A920="","",SUMIFS(Chicks!$J:$J,Chicks!$F:$F,A920))</f>
        <v/>
      </c>
      <c r="I920" s="6" t="str">
        <f>IF(A920="","",COUNTIFS(Chicks!$F:$F,A920,Chicks!$I:$I,"No"))</f>
        <v/>
      </c>
      <c r="J920" s="6" t="str">
        <f>IF(A920="","",IFERROR(AVERAGEIF(Chicks!$F:$F,A920,Chicks!$M:$M),""))</f>
        <v/>
      </c>
      <c r="K920" s="6" t="str">
        <f>IF(A920="","",SUMIFS(Chicks!$N:$N,Chicks!$F:$F,A920))</f>
        <v/>
      </c>
      <c r="L920" s="6" t="str">
        <f>IF(A920="","",SUMIFS(Chicks!$O:$O,Chicks!$F:$F,A920))</f>
        <v/>
      </c>
      <c r="M920" s="6" t="str">
        <f>IF(A920="","",SUMIFS(Chicks!$P:$P,Chicks!$F:$F,A920))</f>
        <v/>
      </c>
      <c r="N920" s="6" t="str">
        <f t="shared" si="4"/>
        <v/>
      </c>
    </row>
    <row r="921" spans="6:14" ht="14.25" customHeight="1" x14ac:dyDescent="0.3">
      <c r="F921" s="6" t="str">
        <f>IF(A921="","",COUNTIF(Chicks!$F:$F,A921))</f>
        <v/>
      </c>
      <c r="G921" s="6" t="str">
        <f>IF(A921="","",COUNTIFS(Chicks!$F:$F,A921,Chicks!$I:$I,"Yes"))</f>
        <v/>
      </c>
      <c r="H921" s="6" t="str">
        <f>IF(A921="","",SUMIFS(Chicks!$J:$J,Chicks!$F:$F,A921))</f>
        <v/>
      </c>
      <c r="I921" s="6" t="str">
        <f>IF(A921="","",COUNTIFS(Chicks!$F:$F,A921,Chicks!$I:$I,"No"))</f>
        <v/>
      </c>
      <c r="J921" s="6" t="str">
        <f>IF(A921="","",IFERROR(AVERAGEIF(Chicks!$F:$F,A921,Chicks!$M:$M),""))</f>
        <v/>
      </c>
      <c r="K921" s="6" t="str">
        <f>IF(A921="","",SUMIFS(Chicks!$N:$N,Chicks!$F:$F,A921))</f>
        <v/>
      </c>
      <c r="L921" s="6" t="str">
        <f>IF(A921="","",SUMIFS(Chicks!$O:$O,Chicks!$F:$F,A921))</f>
        <v/>
      </c>
      <c r="M921" s="6" t="str">
        <f>IF(A921="","",SUMIFS(Chicks!$P:$P,Chicks!$F:$F,A921))</f>
        <v/>
      </c>
      <c r="N921" s="6" t="str">
        <f t="shared" si="4"/>
        <v/>
      </c>
    </row>
    <row r="922" spans="6:14" ht="14.25" customHeight="1" x14ac:dyDescent="0.3">
      <c r="F922" s="6" t="str">
        <f>IF(A922="","",COUNTIF(Chicks!$F:$F,A922))</f>
        <v/>
      </c>
      <c r="G922" s="6" t="str">
        <f>IF(A922="","",COUNTIFS(Chicks!$F:$F,A922,Chicks!$I:$I,"Yes"))</f>
        <v/>
      </c>
      <c r="H922" s="6" t="str">
        <f>IF(A922="","",SUMIFS(Chicks!$J:$J,Chicks!$F:$F,A922))</f>
        <v/>
      </c>
      <c r="I922" s="6" t="str">
        <f>IF(A922="","",COUNTIFS(Chicks!$F:$F,A922,Chicks!$I:$I,"No"))</f>
        <v/>
      </c>
      <c r="J922" s="6" t="str">
        <f>IF(A922="","",IFERROR(AVERAGEIF(Chicks!$F:$F,A922,Chicks!$M:$M),""))</f>
        <v/>
      </c>
      <c r="K922" s="6" t="str">
        <f>IF(A922="","",SUMIFS(Chicks!$N:$N,Chicks!$F:$F,A922))</f>
        <v/>
      </c>
      <c r="L922" s="6" t="str">
        <f>IF(A922="","",SUMIFS(Chicks!$O:$O,Chicks!$F:$F,A922))</f>
        <v/>
      </c>
      <c r="M922" s="6" t="str">
        <f>IF(A922="","",SUMIFS(Chicks!$P:$P,Chicks!$F:$F,A922))</f>
        <v/>
      </c>
      <c r="N922" s="6" t="str">
        <f t="shared" si="4"/>
        <v/>
      </c>
    </row>
    <row r="923" spans="6:14" ht="14.25" customHeight="1" x14ac:dyDescent="0.3">
      <c r="F923" s="6" t="str">
        <f>IF(A923="","",COUNTIF(Chicks!$F:$F,A923))</f>
        <v/>
      </c>
      <c r="G923" s="6" t="str">
        <f>IF(A923="","",COUNTIFS(Chicks!$F:$F,A923,Chicks!$I:$I,"Yes"))</f>
        <v/>
      </c>
      <c r="H923" s="6" t="str">
        <f>IF(A923="","",SUMIFS(Chicks!$J:$J,Chicks!$F:$F,A923))</f>
        <v/>
      </c>
      <c r="I923" s="6" t="str">
        <f>IF(A923="","",COUNTIFS(Chicks!$F:$F,A923,Chicks!$I:$I,"No"))</f>
        <v/>
      </c>
      <c r="J923" s="6" t="str">
        <f>IF(A923="","",IFERROR(AVERAGEIF(Chicks!$F:$F,A923,Chicks!$M:$M),""))</f>
        <v/>
      </c>
      <c r="K923" s="6" t="str">
        <f>IF(A923="","",SUMIFS(Chicks!$N:$N,Chicks!$F:$F,A923))</f>
        <v/>
      </c>
      <c r="L923" s="6" t="str">
        <f>IF(A923="","",SUMIFS(Chicks!$O:$O,Chicks!$F:$F,A923))</f>
        <v/>
      </c>
      <c r="M923" s="6" t="str">
        <f>IF(A923="","",SUMIFS(Chicks!$P:$P,Chicks!$F:$F,A923))</f>
        <v/>
      </c>
      <c r="N923" s="6" t="str">
        <f t="shared" si="4"/>
        <v/>
      </c>
    </row>
    <row r="924" spans="6:14" ht="14.25" customHeight="1" x14ac:dyDescent="0.3">
      <c r="F924" s="6" t="str">
        <f>IF(A924="","",COUNTIF(Chicks!$F:$F,A924))</f>
        <v/>
      </c>
      <c r="G924" s="6" t="str">
        <f>IF(A924="","",COUNTIFS(Chicks!$F:$F,A924,Chicks!$I:$I,"Yes"))</f>
        <v/>
      </c>
      <c r="H924" s="6" t="str">
        <f>IF(A924="","",SUMIFS(Chicks!$J:$J,Chicks!$F:$F,A924))</f>
        <v/>
      </c>
      <c r="I924" s="6" t="str">
        <f>IF(A924="","",COUNTIFS(Chicks!$F:$F,A924,Chicks!$I:$I,"No"))</f>
        <v/>
      </c>
      <c r="J924" s="6" t="str">
        <f>IF(A924="","",IFERROR(AVERAGEIF(Chicks!$F:$F,A924,Chicks!$M:$M),""))</f>
        <v/>
      </c>
      <c r="K924" s="6" t="str">
        <f>IF(A924="","",SUMIFS(Chicks!$N:$N,Chicks!$F:$F,A924))</f>
        <v/>
      </c>
      <c r="L924" s="6" t="str">
        <f>IF(A924="","",SUMIFS(Chicks!$O:$O,Chicks!$F:$F,A924))</f>
        <v/>
      </c>
      <c r="M924" s="6" t="str">
        <f>IF(A924="","",SUMIFS(Chicks!$P:$P,Chicks!$F:$F,A924))</f>
        <v/>
      </c>
      <c r="N924" s="6" t="str">
        <f t="shared" si="4"/>
        <v/>
      </c>
    </row>
    <row r="925" spans="6:14" ht="14.25" customHeight="1" x14ac:dyDescent="0.3">
      <c r="F925" s="6" t="str">
        <f>IF(A925="","",COUNTIF(Chicks!$F:$F,A925))</f>
        <v/>
      </c>
      <c r="G925" s="6" t="str">
        <f>IF(A925="","",COUNTIFS(Chicks!$F:$F,A925,Chicks!$I:$I,"Yes"))</f>
        <v/>
      </c>
      <c r="H925" s="6" t="str">
        <f>IF(A925="","",SUMIFS(Chicks!$J:$J,Chicks!$F:$F,A925))</f>
        <v/>
      </c>
      <c r="I925" s="6" t="str">
        <f>IF(A925="","",COUNTIFS(Chicks!$F:$F,A925,Chicks!$I:$I,"No"))</f>
        <v/>
      </c>
      <c r="J925" s="6" t="str">
        <f>IF(A925="","",IFERROR(AVERAGEIF(Chicks!$F:$F,A925,Chicks!$M:$M),""))</f>
        <v/>
      </c>
      <c r="K925" s="6" t="str">
        <f>IF(A925="","",SUMIFS(Chicks!$N:$N,Chicks!$F:$F,A925))</f>
        <v/>
      </c>
      <c r="L925" s="6" t="str">
        <f>IF(A925="","",SUMIFS(Chicks!$O:$O,Chicks!$F:$F,A925))</f>
        <v/>
      </c>
      <c r="M925" s="6" t="str">
        <f>IF(A925="","",SUMIFS(Chicks!$P:$P,Chicks!$F:$F,A925))</f>
        <v/>
      </c>
      <c r="N925" s="6" t="str">
        <f t="shared" si="4"/>
        <v/>
      </c>
    </row>
    <row r="926" spans="6:14" ht="14.25" customHeight="1" x14ac:dyDescent="0.3">
      <c r="F926" s="6" t="str">
        <f>IF(A926="","",COUNTIF(Chicks!$F:$F,A926))</f>
        <v/>
      </c>
      <c r="G926" s="6" t="str">
        <f>IF(A926="","",COUNTIFS(Chicks!$F:$F,A926,Chicks!$I:$I,"Yes"))</f>
        <v/>
      </c>
      <c r="H926" s="6" t="str">
        <f>IF(A926="","",SUMIFS(Chicks!$J:$J,Chicks!$F:$F,A926))</f>
        <v/>
      </c>
      <c r="I926" s="6" t="str">
        <f>IF(A926="","",COUNTIFS(Chicks!$F:$F,A926,Chicks!$I:$I,"No"))</f>
        <v/>
      </c>
      <c r="J926" s="6" t="str">
        <f>IF(A926="","",IFERROR(AVERAGEIF(Chicks!$F:$F,A926,Chicks!$M:$M),""))</f>
        <v/>
      </c>
      <c r="K926" s="6" t="str">
        <f>IF(A926="","",SUMIFS(Chicks!$N:$N,Chicks!$F:$F,A926))</f>
        <v/>
      </c>
      <c r="L926" s="6" t="str">
        <f>IF(A926="","",SUMIFS(Chicks!$O:$O,Chicks!$F:$F,A926))</f>
        <v/>
      </c>
      <c r="M926" s="6" t="str">
        <f>IF(A926="","",SUMIFS(Chicks!$P:$P,Chicks!$F:$F,A926))</f>
        <v/>
      </c>
      <c r="N926" s="6" t="str">
        <f t="shared" si="4"/>
        <v/>
      </c>
    </row>
    <row r="927" spans="6:14" ht="14.25" customHeight="1" x14ac:dyDescent="0.3">
      <c r="F927" s="6" t="str">
        <f>IF(A927="","",COUNTIF(Chicks!$F:$F,A927))</f>
        <v/>
      </c>
      <c r="G927" s="6" t="str">
        <f>IF(A927="","",COUNTIFS(Chicks!$F:$F,A927,Chicks!$I:$I,"Yes"))</f>
        <v/>
      </c>
      <c r="H927" s="6" t="str">
        <f>IF(A927="","",SUMIFS(Chicks!$J:$J,Chicks!$F:$F,A927))</f>
        <v/>
      </c>
      <c r="I927" s="6" t="str">
        <f>IF(A927="","",COUNTIFS(Chicks!$F:$F,A927,Chicks!$I:$I,"No"))</f>
        <v/>
      </c>
      <c r="J927" s="6" t="str">
        <f>IF(A927="","",IFERROR(AVERAGEIF(Chicks!$F:$F,A927,Chicks!$M:$M),""))</f>
        <v/>
      </c>
      <c r="K927" s="6" t="str">
        <f>IF(A927="","",SUMIFS(Chicks!$N:$N,Chicks!$F:$F,A927))</f>
        <v/>
      </c>
      <c r="L927" s="6" t="str">
        <f>IF(A927="","",SUMIFS(Chicks!$O:$O,Chicks!$F:$F,A927))</f>
        <v/>
      </c>
      <c r="M927" s="6" t="str">
        <f>IF(A927="","",SUMIFS(Chicks!$P:$P,Chicks!$F:$F,A927))</f>
        <v/>
      </c>
      <c r="N927" s="6" t="str">
        <f t="shared" si="4"/>
        <v/>
      </c>
    </row>
    <row r="928" spans="6:14" ht="14.25" customHeight="1" x14ac:dyDescent="0.3">
      <c r="F928" s="6" t="str">
        <f>IF(A928="","",COUNTIF(Chicks!$F:$F,A928))</f>
        <v/>
      </c>
      <c r="G928" s="6" t="str">
        <f>IF(A928="","",COUNTIFS(Chicks!$F:$F,A928,Chicks!$I:$I,"Yes"))</f>
        <v/>
      </c>
      <c r="H928" s="6" t="str">
        <f>IF(A928="","",SUMIFS(Chicks!$J:$J,Chicks!$F:$F,A928))</f>
        <v/>
      </c>
      <c r="I928" s="6" t="str">
        <f>IF(A928="","",COUNTIFS(Chicks!$F:$F,A928,Chicks!$I:$I,"No"))</f>
        <v/>
      </c>
      <c r="J928" s="6" t="str">
        <f>IF(A928="","",IFERROR(AVERAGEIF(Chicks!$F:$F,A928,Chicks!$M:$M),""))</f>
        <v/>
      </c>
      <c r="K928" s="6" t="str">
        <f>IF(A928="","",SUMIFS(Chicks!$N:$N,Chicks!$F:$F,A928))</f>
        <v/>
      </c>
      <c r="L928" s="6" t="str">
        <f>IF(A928="","",SUMIFS(Chicks!$O:$O,Chicks!$F:$F,A928))</f>
        <v/>
      </c>
      <c r="M928" s="6" t="str">
        <f>IF(A928="","",SUMIFS(Chicks!$P:$P,Chicks!$F:$F,A928))</f>
        <v/>
      </c>
      <c r="N928" s="6" t="str">
        <f t="shared" si="4"/>
        <v/>
      </c>
    </row>
    <row r="929" spans="6:14" ht="14.25" customHeight="1" x14ac:dyDescent="0.3">
      <c r="F929" s="6" t="str">
        <f>IF(A929="","",COUNTIF(Chicks!$F:$F,A929))</f>
        <v/>
      </c>
      <c r="G929" s="6" t="str">
        <f>IF(A929="","",COUNTIFS(Chicks!$F:$F,A929,Chicks!$I:$I,"Yes"))</f>
        <v/>
      </c>
      <c r="H929" s="6" t="str">
        <f>IF(A929="","",SUMIFS(Chicks!$J:$J,Chicks!$F:$F,A929))</f>
        <v/>
      </c>
      <c r="I929" s="6" t="str">
        <f>IF(A929="","",COUNTIFS(Chicks!$F:$F,A929,Chicks!$I:$I,"No"))</f>
        <v/>
      </c>
      <c r="J929" s="6" t="str">
        <f>IF(A929="","",IFERROR(AVERAGEIF(Chicks!$F:$F,A929,Chicks!$M:$M),""))</f>
        <v/>
      </c>
      <c r="K929" s="6" t="str">
        <f>IF(A929="","",SUMIFS(Chicks!$N:$N,Chicks!$F:$F,A929))</f>
        <v/>
      </c>
      <c r="L929" s="6" t="str">
        <f>IF(A929="","",SUMIFS(Chicks!$O:$O,Chicks!$F:$F,A929))</f>
        <v/>
      </c>
      <c r="M929" s="6" t="str">
        <f>IF(A929="","",SUMIFS(Chicks!$P:$P,Chicks!$F:$F,A929))</f>
        <v/>
      </c>
      <c r="N929" s="6" t="str">
        <f t="shared" si="4"/>
        <v/>
      </c>
    </row>
    <row r="930" spans="6:14" ht="14.25" customHeight="1" x14ac:dyDescent="0.3">
      <c r="F930" s="6" t="str">
        <f>IF(A930="","",COUNTIF(Chicks!$F:$F,A930))</f>
        <v/>
      </c>
      <c r="G930" s="6" t="str">
        <f>IF(A930="","",COUNTIFS(Chicks!$F:$F,A930,Chicks!$I:$I,"Yes"))</f>
        <v/>
      </c>
      <c r="H930" s="6" t="str">
        <f>IF(A930="","",SUMIFS(Chicks!$J:$J,Chicks!$F:$F,A930))</f>
        <v/>
      </c>
      <c r="I930" s="6" t="str">
        <f>IF(A930="","",COUNTIFS(Chicks!$F:$F,A930,Chicks!$I:$I,"No"))</f>
        <v/>
      </c>
      <c r="J930" s="6" t="str">
        <f>IF(A930="","",IFERROR(AVERAGEIF(Chicks!$F:$F,A930,Chicks!$M:$M),""))</f>
        <v/>
      </c>
      <c r="K930" s="6" t="str">
        <f>IF(A930="","",SUMIFS(Chicks!$N:$N,Chicks!$F:$F,A930))</f>
        <v/>
      </c>
      <c r="L930" s="6" t="str">
        <f>IF(A930="","",SUMIFS(Chicks!$O:$O,Chicks!$F:$F,A930))</f>
        <v/>
      </c>
      <c r="M930" s="6" t="str">
        <f>IF(A930="","",SUMIFS(Chicks!$P:$P,Chicks!$F:$F,A930))</f>
        <v/>
      </c>
      <c r="N930" s="6" t="str">
        <f t="shared" si="4"/>
        <v/>
      </c>
    </row>
    <row r="931" spans="6:14" ht="14.25" customHeight="1" x14ac:dyDescent="0.3">
      <c r="F931" s="6" t="str">
        <f>IF(A931="","",COUNTIF(Chicks!$F:$F,A931))</f>
        <v/>
      </c>
      <c r="G931" s="6" t="str">
        <f>IF(A931="","",COUNTIFS(Chicks!$F:$F,A931,Chicks!$I:$I,"Yes"))</f>
        <v/>
      </c>
      <c r="H931" s="6" t="str">
        <f>IF(A931="","",SUMIFS(Chicks!$J:$J,Chicks!$F:$F,A931))</f>
        <v/>
      </c>
      <c r="I931" s="6" t="str">
        <f>IF(A931="","",COUNTIFS(Chicks!$F:$F,A931,Chicks!$I:$I,"No"))</f>
        <v/>
      </c>
      <c r="J931" s="6" t="str">
        <f>IF(A931="","",IFERROR(AVERAGEIF(Chicks!$F:$F,A931,Chicks!$M:$M),""))</f>
        <v/>
      </c>
      <c r="K931" s="6" t="str">
        <f>IF(A931="","",SUMIFS(Chicks!$N:$N,Chicks!$F:$F,A931))</f>
        <v/>
      </c>
      <c r="L931" s="6" t="str">
        <f>IF(A931="","",SUMIFS(Chicks!$O:$O,Chicks!$F:$F,A931))</f>
        <v/>
      </c>
      <c r="M931" s="6" t="str">
        <f>IF(A931="","",SUMIFS(Chicks!$P:$P,Chicks!$F:$F,A931))</f>
        <v/>
      </c>
      <c r="N931" s="6" t="str">
        <f t="shared" si="4"/>
        <v/>
      </c>
    </row>
    <row r="932" spans="6:14" ht="14.25" customHeight="1" x14ac:dyDescent="0.3">
      <c r="F932" s="6" t="str">
        <f>IF(A932="","",COUNTIF(Chicks!$F:$F,A932))</f>
        <v/>
      </c>
      <c r="G932" s="6" t="str">
        <f>IF(A932="","",COUNTIFS(Chicks!$F:$F,A932,Chicks!$I:$I,"Yes"))</f>
        <v/>
      </c>
      <c r="H932" s="6" t="str">
        <f>IF(A932="","",SUMIFS(Chicks!$J:$J,Chicks!$F:$F,A932))</f>
        <v/>
      </c>
      <c r="I932" s="6" t="str">
        <f>IF(A932="","",COUNTIFS(Chicks!$F:$F,A932,Chicks!$I:$I,"No"))</f>
        <v/>
      </c>
      <c r="J932" s="6" t="str">
        <f>IF(A932="","",IFERROR(AVERAGEIF(Chicks!$F:$F,A932,Chicks!$M:$M),""))</f>
        <v/>
      </c>
      <c r="K932" s="6" t="str">
        <f>IF(A932="","",SUMIFS(Chicks!$N:$N,Chicks!$F:$F,A932))</f>
        <v/>
      </c>
      <c r="L932" s="6" t="str">
        <f>IF(A932="","",SUMIFS(Chicks!$O:$O,Chicks!$F:$F,A932))</f>
        <v/>
      </c>
      <c r="M932" s="6" t="str">
        <f>IF(A932="","",SUMIFS(Chicks!$P:$P,Chicks!$F:$F,A932))</f>
        <v/>
      </c>
      <c r="N932" s="6" t="str">
        <f t="shared" si="4"/>
        <v/>
      </c>
    </row>
    <row r="933" spans="6:14" ht="14.25" customHeight="1" x14ac:dyDescent="0.3">
      <c r="F933" s="6" t="str">
        <f>IF(A933="","",COUNTIF(Chicks!$F:$F,A933))</f>
        <v/>
      </c>
      <c r="G933" s="6" t="str">
        <f>IF(A933="","",COUNTIFS(Chicks!$F:$F,A933,Chicks!$I:$I,"Yes"))</f>
        <v/>
      </c>
      <c r="H933" s="6" t="str">
        <f>IF(A933="","",SUMIFS(Chicks!$J:$J,Chicks!$F:$F,A933))</f>
        <v/>
      </c>
      <c r="I933" s="6" t="str">
        <f>IF(A933="","",COUNTIFS(Chicks!$F:$F,A933,Chicks!$I:$I,"No"))</f>
        <v/>
      </c>
      <c r="J933" s="6" t="str">
        <f>IF(A933="","",IFERROR(AVERAGEIF(Chicks!$F:$F,A933,Chicks!$M:$M),""))</f>
        <v/>
      </c>
      <c r="K933" s="6" t="str">
        <f>IF(A933="","",SUMIFS(Chicks!$N:$N,Chicks!$F:$F,A933))</f>
        <v/>
      </c>
      <c r="L933" s="6" t="str">
        <f>IF(A933="","",SUMIFS(Chicks!$O:$O,Chicks!$F:$F,A933))</f>
        <v/>
      </c>
      <c r="M933" s="6" t="str">
        <f>IF(A933="","",SUMIFS(Chicks!$P:$P,Chicks!$F:$F,A933))</f>
        <v/>
      </c>
      <c r="N933" s="6" t="str">
        <f t="shared" si="4"/>
        <v/>
      </c>
    </row>
    <row r="934" spans="6:14" ht="14.25" customHeight="1" x14ac:dyDescent="0.3">
      <c r="F934" s="6" t="str">
        <f>IF(A934="","",COUNTIF(Chicks!$F:$F,A934))</f>
        <v/>
      </c>
      <c r="G934" s="6" t="str">
        <f>IF(A934="","",COUNTIFS(Chicks!$F:$F,A934,Chicks!$I:$I,"Yes"))</f>
        <v/>
      </c>
      <c r="H934" s="6" t="str">
        <f>IF(A934="","",SUMIFS(Chicks!$J:$J,Chicks!$F:$F,A934))</f>
        <v/>
      </c>
      <c r="I934" s="6" t="str">
        <f>IF(A934="","",COUNTIFS(Chicks!$F:$F,A934,Chicks!$I:$I,"No"))</f>
        <v/>
      </c>
      <c r="J934" s="6" t="str">
        <f>IF(A934="","",IFERROR(AVERAGEIF(Chicks!$F:$F,A934,Chicks!$M:$M),""))</f>
        <v/>
      </c>
      <c r="K934" s="6" t="str">
        <f>IF(A934="","",SUMIFS(Chicks!$N:$N,Chicks!$F:$F,A934))</f>
        <v/>
      </c>
      <c r="L934" s="6" t="str">
        <f>IF(A934="","",SUMIFS(Chicks!$O:$O,Chicks!$F:$F,A934))</f>
        <v/>
      </c>
      <c r="M934" s="6" t="str">
        <f>IF(A934="","",SUMIFS(Chicks!$P:$P,Chicks!$F:$F,A934))</f>
        <v/>
      </c>
      <c r="N934" s="6" t="str">
        <f t="shared" si="4"/>
        <v/>
      </c>
    </row>
    <row r="935" spans="6:14" ht="14.25" customHeight="1" x14ac:dyDescent="0.3">
      <c r="F935" s="6" t="str">
        <f>IF(A935="","",COUNTIF(Chicks!$F:$F,A935))</f>
        <v/>
      </c>
      <c r="G935" s="6" t="str">
        <f>IF(A935="","",COUNTIFS(Chicks!$F:$F,A935,Chicks!$I:$I,"Yes"))</f>
        <v/>
      </c>
      <c r="H935" s="6" t="str">
        <f>IF(A935="","",SUMIFS(Chicks!$J:$J,Chicks!$F:$F,A935))</f>
        <v/>
      </c>
      <c r="I935" s="6" t="str">
        <f>IF(A935="","",COUNTIFS(Chicks!$F:$F,A935,Chicks!$I:$I,"No"))</f>
        <v/>
      </c>
      <c r="J935" s="6" t="str">
        <f>IF(A935="","",IFERROR(AVERAGEIF(Chicks!$F:$F,A935,Chicks!$M:$M),""))</f>
        <v/>
      </c>
      <c r="K935" s="6" t="str">
        <f>IF(A935="","",SUMIFS(Chicks!$N:$N,Chicks!$F:$F,A935))</f>
        <v/>
      </c>
      <c r="L935" s="6" t="str">
        <f>IF(A935="","",SUMIFS(Chicks!$O:$O,Chicks!$F:$F,A935))</f>
        <v/>
      </c>
      <c r="M935" s="6" t="str">
        <f>IF(A935="","",SUMIFS(Chicks!$P:$P,Chicks!$F:$F,A935))</f>
        <v/>
      </c>
      <c r="N935" s="6" t="str">
        <f t="shared" si="4"/>
        <v/>
      </c>
    </row>
    <row r="936" spans="6:14" ht="14.25" customHeight="1" x14ac:dyDescent="0.3">
      <c r="F936" s="6" t="str">
        <f>IF(A936="","",COUNTIF(Chicks!$F:$F,A936))</f>
        <v/>
      </c>
      <c r="G936" s="6" t="str">
        <f>IF(A936="","",COUNTIFS(Chicks!$F:$F,A936,Chicks!$I:$I,"Yes"))</f>
        <v/>
      </c>
      <c r="H936" s="6" t="str">
        <f>IF(A936="","",SUMIFS(Chicks!$J:$J,Chicks!$F:$F,A936))</f>
        <v/>
      </c>
      <c r="I936" s="6" t="str">
        <f>IF(A936="","",COUNTIFS(Chicks!$F:$F,A936,Chicks!$I:$I,"No"))</f>
        <v/>
      </c>
      <c r="J936" s="6" t="str">
        <f>IF(A936="","",IFERROR(AVERAGEIF(Chicks!$F:$F,A936,Chicks!$M:$M),""))</f>
        <v/>
      </c>
      <c r="K936" s="6" t="str">
        <f>IF(A936="","",SUMIFS(Chicks!$N:$N,Chicks!$F:$F,A936))</f>
        <v/>
      </c>
      <c r="L936" s="6" t="str">
        <f>IF(A936="","",SUMIFS(Chicks!$O:$O,Chicks!$F:$F,A936))</f>
        <v/>
      </c>
      <c r="M936" s="6" t="str">
        <f>IF(A936="","",SUMIFS(Chicks!$P:$P,Chicks!$F:$F,A936))</f>
        <v/>
      </c>
      <c r="N936" s="6" t="str">
        <f t="shared" si="4"/>
        <v/>
      </c>
    </row>
    <row r="937" spans="6:14" ht="14.25" customHeight="1" x14ac:dyDescent="0.3">
      <c r="F937" s="6" t="str">
        <f>IF(A937="","",COUNTIF(Chicks!$F:$F,A937))</f>
        <v/>
      </c>
      <c r="G937" s="6" t="str">
        <f>IF(A937="","",COUNTIFS(Chicks!$F:$F,A937,Chicks!$I:$I,"Yes"))</f>
        <v/>
      </c>
      <c r="H937" s="6" t="str">
        <f>IF(A937="","",SUMIFS(Chicks!$J:$J,Chicks!$F:$F,A937))</f>
        <v/>
      </c>
      <c r="I937" s="6" t="str">
        <f>IF(A937="","",COUNTIFS(Chicks!$F:$F,A937,Chicks!$I:$I,"No"))</f>
        <v/>
      </c>
      <c r="J937" s="6" t="str">
        <f>IF(A937="","",IFERROR(AVERAGEIF(Chicks!$F:$F,A937,Chicks!$M:$M),""))</f>
        <v/>
      </c>
      <c r="K937" s="6" t="str">
        <f>IF(A937="","",SUMIFS(Chicks!$N:$N,Chicks!$F:$F,A937))</f>
        <v/>
      </c>
      <c r="L937" s="6" t="str">
        <f>IF(A937="","",SUMIFS(Chicks!$O:$O,Chicks!$F:$F,A937))</f>
        <v/>
      </c>
      <c r="M937" s="6" t="str">
        <f>IF(A937="","",SUMIFS(Chicks!$P:$P,Chicks!$F:$F,A937))</f>
        <v/>
      </c>
      <c r="N937" s="6" t="str">
        <f t="shared" si="4"/>
        <v/>
      </c>
    </row>
    <row r="938" spans="6:14" ht="14.25" customHeight="1" x14ac:dyDescent="0.3">
      <c r="F938" s="6" t="str">
        <f>IF(A938="","",COUNTIF(Chicks!$F:$F,A938))</f>
        <v/>
      </c>
      <c r="G938" s="6" t="str">
        <f>IF(A938="","",COUNTIFS(Chicks!$F:$F,A938,Chicks!$I:$I,"Yes"))</f>
        <v/>
      </c>
      <c r="H938" s="6" t="str">
        <f>IF(A938="","",SUMIFS(Chicks!$J:$J,Chicks!$F:$F,A938))</f>
        <v/>
      </c>
      <c r="I938" s="6" t="str">
        <f>IF(A938="","",COUNTIFS(Chicks!$F:$F,A938,Chicks!$I:$I,"No"))</f>
        <v/>
      </c>
      <c r="J938" s="6" t="str">
        <f>IF(A938="","",IFERROR(AVERAGEIF(Chicks!$F:$F,A938,Chicks!$M:$M),""))</f>
        <v/>
      </c>
      <c r="K938" s="6" t="str">
        <f>IF(A938="","",SUMIFS(Chicks!$N:$N,Chicks!$F:$F,A938))</f>
        <v/>
      </c>
      <c r="L938" s="6" t="str">
        <f>IF(A938="","",SUMIFS(Chicks!$O:$O,Chicks!$F:$F,A938))</f>
        <v/>
      </c>
      <c r="M938" s="6" t="str">
        <f>IF(A938="","",SUMIFS(Chicks!$P:$P,Chicks!$F:$F,A938))</f>
        <v/>
      </c>
      <c r="N938" s="6" t="str">
        <f t="shared" si="4"/>
        <v/>
      </c>
    </row>
    <row r="939" spans="6:14" ht="14.25" customHeight="1" x14ac:dyDescent="0.3">
      <c r="F939" s="6" t="str">
        <f>IF(A939="","",COUNTIF(Chicks!$F:$F,A939))</f>
        <v/>
      </c>
      <c r="G939" s="6" t="str">
        <f>IF(A939="","",COUNTIFS(Chicks!$F:$F,A939,Chicks!$I:$I,"Yes"))</f>
        <v/>
      </c>
      <c r="H939" s="6" t="str">
        <f>IF(A939="","",SUMIFS(Chicks!$J:$J,Chicks!$F:$F,A939))</f>
        <v/>
      </c>
      <c r="I939" s="6" t="str">
        <f>IF(A939="","",COUNTIFS(Chicks!$F:$F,A939,Chicks!$I:$I,"No"))</f>
        <v/>
      </c>
      <c r="J939" s="6" t="str">
        <f>IF(A939="","",IFERROR(AVERAGEIF(Chicks!$F:$F,A939,Chicks!$M:$M),""))</f>
        <v/>
      </c>
      <c r="K939" s="6" t="str">
        <f>IF(A939="","",SUMIFS(Chicks!$N:$N,Chicks!$F:$F,A939))</f>
        <v/>
      </c>
      <c r="L939" s="6" t="str">
        <f>IF(A939="","",SUMIFS(Chicks!$O:$O,Chicks!$F:$F,A939))</f>
        <v/>
      </c>
      <c r="M939" s="6" t="str">
        <f>IF(A939="","",SUMIFS(Chicks!$P:$P,Chicks!$F:$F,A939))</f>
        <v/>
      </c>
      <c r="N939" s="6" t="str">
        <f t="shared" si="4"/>
        <v/>
      </c>
    </row>
    <row r="940" spans="6:14" ht="14.25" customHeight="1" x14ac:dyDescent="0.3">
      <c r="F940" s="6" t="str">
        <f>IF(A940="","",COUNTIF(Chicks!$F:$F,A940))</f>
        <v/>
      </c>
      <c r="G940" s="6" t="str">
        <f>IF(A940="","",COUNTIFS(Chicks!$F:$F,A940,Chicks!$I:$I,"Yes"))</f>
        <v/>
      </c>
      <c r="H940" s="6" t="str">
        <f>IF(A940="","",SUMIFS(Chicks!$J:$J,Chicks!$F:$F,A940))</f>
        <v/>
      </c>
      <c r="I940" s="6" t="str">
        <f>IF(A940="","",COUNTIFS(Chicks!$F:$F,A940,Chicks!$I:$I,"No"))</f>
        <v/>
      </c>
      <c r="J940" s="6" t="str">
        <f>IF(A940="","",IFERROR(AVERAGEIF(Chicks!$F:$F,A940,Chicks!$M:$M),""))</f>
        <v/>
      </c>
      <c r="K940" s="6" t="str">
        <f>IF(A940="","",SUMIFS(Chicks!$N:$N,Chicks!$F:$F,A940))</f>
        <v/>
      </c>
      <c r="L940" s="6" t="str">
        <f>IF(A940="","",SUMIFS(Chicks!$O:$O,Chicks!$F:$F,A940))</f>
        <v/>
      </c>
      <c r="M940" s="6" t="str">
        <f>IF(A940="","",SUMIFS(Chicks!$P:$P,Chicks!$F:$F,A940))</f>
        <v/>
      </c>
      <c r="N940" s="6" t="str">
        <f t="shared" si="4"/>
        <v/>
      </c>
    </row>
    <row r="941" spans="6:14" ht="14.25" customHeight="1" x14ac:dyDescent="0.3">
      <c r="F941" s="6" t="str">
        <f>IF(A941="","",COUNTIF(Chicks!$F:$F,A941))</f>
        <v/>
      </c>
      <c r="G941" s="6" t="str">
        <f>IF(A941="","",COUNTIFS(Chicks!$F:$F,A941,Chicks!$I:$I,"Yes"))</f>
        <v/>
      </c>
      <c r="H941" s="6" t="str">
        <f>IF(A941="","",SUMIFS(Chicks!$J:$J,Chicks!$F:$F,A941))</f>
        <v/>
      </c>
      <c r="I941" s="6" t="str">
        <f>IF(A941="","",COUNTIFS(Chicks!$F:$F,A941,Chicks!$I:$I,"No"))</f>
        <v/>
      </c>
      <c r="J941" s="6" t="str">
        <f>IF(A941="","",IFERROR(AVERAGEIF(Chicks!$F:$F,A941,Chicks!$M:$M),""))</f>
        <v/>
      </c>
      <c r="K941" s="6" t="str">
        <f>IF(A941="","",SUMIFS(Chicks!$N:$N,Chicks!$F:$F,A941))</f>
        <v/>
      </c>
      <c r="L941" s="6" t="str">
        <f>IF(A941="","",SUMIFS(Chicks!$O:$O,Chicks!$F:$F,A941))</f>
        <v/>
      </c>
      <c r="M941" s="6" t="str">
        <f>IF(A941="","",SUMIFS(Chicks!$P:$P,Chicks!$F:$F,A941))</f>
        <v/>
      </c>
      <c r="N941" s="6" t="str">
        <f t="shared" si="4"/>
        <v/>
      </c>
    </row>
    <row r="942" spans="6:14" ht="14.25" customHeight="1" x14ac:dyDescent="0.3">
      <c r="F942" s="6" t="str">
        <f>IF(A942="","",COUNTIF(Chicks!$F:$F,A942))</f>
        <v/>
      </c>
      <c r="G942" s="6" t="str">
        <f>IF(A942="","",COUNTIFS(Chicks!$F:$F,A942,Chicks!$I:$I,"Yes"))</f>
        <v/>
      </c>
      <c r="H942" s="6" t="str">
        <f>IF(A942="","",SUMIFS(Chicks!$J:$J,Chicks!$F:$F,A942))</f>
        <v/>
      </c>
      <c r="I942" s="6" t="str">
        <f>IF(A942="","",COUNTIFS(Chicks!$F:$F,A942,Chicks!$I:$I,"No"))</f>
        <v/>
      </c>
      <c r="J942" s="6" t="str">
        <f>IF(A942="","",IFERROR(AVERAGEIF(Chicks!$F:$F,A942,Chicks!$M:$M),""))</f>
        <v/>
      </c>
      <c r="K942" s="6" t="str">
        <f>IF(A942="","",SUMIFS(Chicks!$N:$N,Chicks!$F:$F,A942))</f>
        <v/>
      </c>
      <c r="L942" s="6" t="str">
        <f>IF(A942="","",SUMIFS(Chicks!$O:$O,Chicks!$F:$F,A942))</f>
        <v/>
      </c>
      <c r="M942" s="6" t="str">
        <f>IF(A942="","",SUMIFS(Chicks!$P:$P,Chicks!$F:$F,A942))</f>
        <v/>
      </c>
      <c r="N942" s="6" t="str">
        <f t="shared" si="4"/>
        <v/>
      </c>
    </row>
    <row r="943" spans="6:14" ht="14.25" customHeight="1" x14ac:dyDescent="0.3">
      <c r="F943" s="6" t="str">
        <f>IF(A943="","",COUNTIF(Chicks!$F:$F,A943))</f>
        <v/>
      </c>
      <c r="G943" s="6" t="str">
        <f>IF(A943="","",COUNTIFS(Chicks!$F:$F,A943,Chicks!$I:$I,"Yes"))</f>
        <v/>
      </c>
      <c r="H943" s="6" t="str">
        <f>IF(A943="","",SUMIFS(Chicks!$J:$J,Chicks!$F:$F,A943))</f>
        <v/>
      </c>
      <c r="I943" s="6" t="str">
        <f>IF(A943="","",COUNTIFS(Chicks!$F:$F,A943,Chicks!$I:$I,"No"))</f>
        <v/>
      </c>
      <c r="J943" s="6" t="str">
        <f>IF(A943="","",IFERROR(AVERAGEIF(Chicks!$F:$F,A943,Chicks!$M:$M),""))</f>
        <v/>
      </c>
      <c r="K943" s="6" t="str">
        <f>IF(A943="","",SUMIFS(Chicks!$N:$N,Chicks!$F:$F,A943))</f>
        <v/>
      </c>
      <c r="L943" s="6" t="str">
        <f>IF(A943="","",SUMIFS(Chicks!$O:$O,Chicks!$F:$F,A943))</f>
        <v/>
      </c>
      <c r="M943" s="6" t="str">
        <f>IF(A943="","",SUMIFS(Chicks!$P:$P,Chicks!$F:$F,A943))</f>
        <v/>
      </c>
      <c r="N943" s="6" t="str">
        <f t="shared" si="4"/>
        <v/>
      </c>
    </row>
    <row r="944" spans="6:14" ht="14.25" customHeight="1" x14ac:dyDescent="0.3">
      <c r="F944" s="6" t="str">
        <f>IF(A944="","",COUNTIF(Chicks!$F:$F,A944))</f>
        <v/>
      </c>
      <c r="G944" s="6" t="str">
        <f>IF(A944="","",COUNTIFS(Chicks!$F:$F,A944,Chicks!$I:$I,"Yes"))</f>
        <v/>
      </c>
      <c r="H944" s="6" t="str">
        <f>IF(A944="","",SUMIFS(Chicks!$J:$J,Chicks!$F:$F,A944))</f>
        <v/>
      </c>
      <c r="I944" s="6" t="str">
        <f>IF(A944="","",COUNTIFS(Chicks!$F:$F,A944,Chicks!$I:$I,"No"))</f>
        <v/>
      </c>
      <c r="J944" s="6" t="str">
        <f>IF(A944="","",IFERROR(AVERAGEIF(Chicks!$F:$F,A944,Chicks!$M:$M),""))</f>
        <v/>
      </c>
      <c r="K944" s="6" t="str">
        <f>IF(A944="","",SUMIFS(Chicks!$N:$N,Chicks!$F:$F,A944))</f>
        <v/>
      </c>
      <c r="L944" s="6" t="str">
        <f>IF(A944="","",SUMIFS(Chicks!$O:$O,Chicks!$F:$F,A944))</f>
        <v/>
      </c>
      <c r="M944" s="6" t="str">
        <f>IF(A944="","",SUMIFS(Chicks!$P:$P,Chicks!$F:$F,A944))</f>
        <v/>
      </c>
      <c r="N944" s="6" t="str">
        <f t="shared" si="4"/>
        <v/>
      </c>
    </row>
    <row r="945" spans="6:14" ht="14.25" customHeight="1" x14ac:dyDescent="0.3">
      <c r="F945" s="6" t="str">
        <f>IF(A945="","",COUNTIF(Chicks!$F:$F,A945))</f>
        <v/>
      </c>
      <c r="G945" s="6" t="str">
        <f>IF(A945="","",COUNTIFS(Chicks!$F:$F,A945,Chicks!$I:$I,"Yes"))</f>
        <v/>
      </c>
      <c r="H945" s="6" t="str">
        <f>IF(A945="","",SUMIFS(Chicks!$J:$J,Chicks!$F:$F,A945))</f>
        <v/>
      </c>
      <c r="I945" s="6" t="str">
        <f>IF(A945="","",COUNTIFS(Chicks!$F:$F,A945,Chicks!$I:$I,"No"))</f>
        <v/>
      </c>
      <c r="J945" s="6" t="str">
        <f>IF(A945="","",IFERROR(AVERAGEIF(Chicks!$F:$F,A945,Chicks!$M:$M),""))</f>
        <v/>
      </c>
      <c r="K945" s="6" t="str">
        <f>IF(A945="","",SUMIFS(Chicks!$N:$N,Chicks!$F:$F,A945))</f>
        <v/>
      </c>
      <c r="L945" s="6" t="str">
        <f>IF(A945="","",SUMIFS(Chicks!$O:$O,Chicks!$F:$F,A945))</f>
        <v/>
      </c>
      <c r="M945" s="6" t="str">
        <f>IF(A945="","",SUMIFS(Chicks!$P:$P,Chicks!$F:$F,A945))</f>
        <v/>
      </c>
      <c r="N945" s="6" t="str">
        <f t="shared" si="4"/>
        <v/>
      </c>
    </row>
    <row r="946" spans="6:14" ht="14.25" customHeight="1" x14ac:dyDescent="0.3">
      <c r="F946" s="6" t="str">
        <f>IF(A946="","",COUNTIF(Chicks!$F:$F,A946))</f>
        <v/>
      </c>
      <c r="G946" s="6" t="str">
        <f>IF(A946="","",COUNTIFS(Chicks!$F:$F,A946,Chicks!$I:$I,"Yes"))</f>
        <v/>
      </c>
      <c r="H946" s="6" t="str">
        <f>IF(A946="","",SUMIFS(Chicks!$J:$J,Chicks!$F:$F,A946))</f>
        <v/>
      </c>
      <c r="I946" s="6" t="str">
        <f>IF(A946="","",COUNTIFS(Chicks!$F:$F,A946,Chicks!$I:$I,"No"))</f>
        <v/>
      </c>
      <c r="J946" s="6" t="str">
        <f>IF(A946="","",IFERROR(AVERAGEIF(Chicks!$F:$F,A946,Chicks!$M:$M),""))</f>
        <v/>
      </c>
      <c r="K946" s="6" t="str">
        <f>IF(A946="","",SUMIFS(Chicks!$N:$N,Chicks!$F:$F,A946))</f>
        <v/>
      </c>
      <c r="L946" s="6" t="str">
        <f>IF(A946="","",SUMIFS(Chicks!$O:$O,Chicks!$F:$F,A946))</f>
        <v/>
      </c>
      <c r="M946" s="6" t="str">
        <f>IF(A946="","",SUMIFS(Chicks!$P:$P,Chicks!$F:$F,A946))</f>
        <v/>
      </c>
      <c r="N946" s="6" t="str">
        <f t="shared" si="4"/>
        <v/>
      </c>
    </row>
    <row r="947" spans="6:14" ht="14.25" customHeight="1" x14ac:dyDescent="0.3">
      <c r="F947" s="6" t="str">
        <f>IF(A947="","",COUNTIF(Chicks!$F:$F,A947))</f>
        <v/>
      </c>
      <c r="G947" s="6" t="str">
        <f>IF(A947="","",COUNTIFS(Chicks!$F:$F,A947,Chicks!$I:$I,"Yes"))</f>
        <v/>
      </c>
      <c r="H947" s="6" t="str">
        <f>IF(A947="","",SUMIFS(Chicks!$J:$J,Chicks!$F:$F,A947))</f>
        <v/>
      </c>
      <c r="I947" s="6" t="str">
        <f>IF(A947="","",COUNTIFS(Chicks!$F:$F,A947,Chicks!$I:$I,"No"))</f>
        <v/>
      </c>
      <c r="J947" s="6" t="str">
        <f>IF(A947="","",IFERROR(AVERAGEIF(Chicks!$F:$F,A947,Chicks!$M:$M),""))</f>
        <v/>
      </c>
      <c r="K947" s="6" t="str">
        <f>IF(A947="","",SUMIFS(Chicks!$N:$N,Chicks!$F:$F,A947))</f>
        <v/>
      </c>
      <c r="L947" s="6" t="str">
        <f>IF(A947="","",SUMIFS(Chicks!$O:$O,Chicks!$F:$F,A947))</f>
        <v/>
      </c>
      <c r="M947" s="6" t="str">
        <f>IF(A947="","",SUMIFS(Chicks!$P:$P,Chicks!$F:$F,A947))</f>
        <v/>
      </c>
      <c r="N947" s="6" t="str">
        <f t="shared" si="4"/>
        <v/>
      </c>
    </row>
    <row r="948" spans="6:14" ht="14.25" customHeight="1" x14ac:dyDescent="0.3">
      <c r="F948" s="6" t="str">
        <f>IF(A948="","",COUNTIF(Chicks!$F:$F,A948))</f>
        <v/>
      </c>
      <c r="G948" s="6" t="str">
        <f>IF(A948="","",COUNTIFS(Chicks!$F:$F,A948,Chicks!$I:$I,"Yes"))</f>
        <v/>
      </c>
      <c r="H948" s="6" t="str">
        <f>IF(A948="","",SUMIFS(Chicks!$J:$J,Chicks!$F:$F,A948))</f>
        <v/>
      </c>
      <c r="I948" s="6" t="str">
        <f>IF(A948="","",COUNTIFS(Chicks!$F:$F,A948,Chicks!$I:$I,"No"))</f>
        <v/>
      </c>
      <c r="J948" s="6" t="str">
        <f>IF(A948="","",IFERROR(AVERAGEIF(Chicks!$F:$F,A948,Chicks!$M:$M),""))</f>
        <v/>
      </c>
      <c r="K948" s="6" t="str">
        <f>IF(A948="","",SUMIFS(Chicks!$N:$N,Chicks!$F:$F,A948))</f>
        <v/>
      </c>
      <c r="L948" s="6" t="str">
        <f>IF(A948="","",SUMIFS(Chicks!$O:$O,Chicks!$F:$F,A948))</f>
        <v/>
      </c>
      <c r="M948" s="6" t="str">
        <f>IF(A948="","",SUMIFS(Chicks!$P:$P,Chicks!$F:$F,A948))</f>
        <v/>
      </c>
      <c r="N948" s="6" t="str">
        <f t="shared" si="4"/>
        <v/>
      </c>
    </row>
    <row r="949" spans="6:14" ht="14.25" customHeight="1" x14ac:dyDescent="0.3">
      <c r="F949" s="6" t="str">
        <f>IF(A949="","",COUNTIF(Chicks!$F:$F,A949))</f>
        <v/>
      </c>
      <c r="G949" s="6" t="str">
        <f>IF(A949="","",COUNTIFS(Chicks!$F:$F,A949,Chicks!$I:$I,"Yes"))</f>
        <v/>
      </c>
      <c r="H949" s="6" t="str">
        <f>IF(A949="","",SUMIFS(Chicks!$J:$J,Chicks!$F:$F,A949))</f>
        <v/>
      </c>
      <c r="I949" s="6" t="str">
        <f>IF(A949="","",COUNTIFS(Chicks!$F:$F,A949,Chicks!$I:$I,"No"))</f>
        <v/>
      </c>
      <c r="J949" s="6" t="str">
        <f>IF(A949="","",IFERROR(AVERAGEIF(Chicks!$F:$F,A949,Chicks!$M:$M),""))</f>
        <v/>
      </c>
      <c r="K949" s="6" t="str">
        <f>IF(A949="","",SUMIFS(Chicks!$N:$N,Chicks!$F:$F,A949))</f>
        <v/>
      </c>
      <c r="L949" s="6" t="str">
        <f>IF(A949="","",SUMIFS(Chicks!$O:$O,Chicks!$F:$F,A949))</f>
        <v/>
      </c>
      <c r="M949" s="6" t="str">
        <f>IF(A949="","",SUMIFS(Chicks!$P:$P,Chicks!$F:$F,A949))</f>
        <v/>
      </c>
      <c r="N949" s="6" t="str">
        <f t="shared" si="4"/>
        <v/>
      </c>
    </row>
    <row r="950" spans="6:14" ht="14.25" customHeight="1" x14ac:dyDescent="0.3">
      <c r="F950" s="6" t="str">
        <f>IF(A950="","",COUNTIF(Chicks!$F:$F,A950))</f>
        <v/>
      </c>
      <c r="G950" s="6" t="str">
        <f>IF(A950="","",COUNTIFS(Chicks!$F:$F,A950,Chicks!$I:$I,"Yes"))</f>
        <v/>
      </c>
      <c r="H950" s="6" t="str">
        <f>IF(A950="","",SUMIFS(Chicks!$J:$J,Chicks!$F:$F,A950))</f>
        <v/>
      </c>
      <c r="I950" s="6" t="str">
        <f>IF(A950="","",COUNTIFS(Chicks!$F:$F,A950,Chicks!$I:$I,"No"))</f>
        <v/>
      </c>
      <c r="J950" s="6" t="str">
        <f>IF(A950="","",IFERROR(AVERAGEIF(Chicks!$F:$F,A950,Chicks!$M:$M),""))</f>
        <v/>
      </c>
      <c r="K950" s="6" t="str">
        <f>IF(A950="","",SUMIFS(Chicks!$N:$N,Chicks!$F:$F,A950))</f>
        <v/>
      </c>
      <c r="L950" s="6" t="str">
        <f>IF(A950="","",SUMIFS(Chicks!$O:$O,Chicks!$F:$F,A950))</f>
        <v/>
      </c>
      <c r="M950" s="6" t="str">
        <f>IF(A950="","",SUMIFS(Chicks!$P:$P,Chicks!$F:$F,A950))</f>
        <v/>
      </c>
      <c r="N950" s="6" t="str">
        <f t="shared" si="4"/>
        <v/>
      </c>
    </row>
    <row r="951" spans="6:14" ht="14.25" customHeight="1" x14ac:dyDescent="0.3">
      <c r="F951" s="6" t="str">
        <f>IF(A951="","",COUNTIF(Chicks!$F:$F,A951))</f>
        <v/>
      </c>
      <c r="G951" s="6" t="str">
        <f>IF(A951="","",COUNTIFS(Chicks!$F:$F,A951,Chicks!$I:$I,"Yes"))</f>
        <v/>
      </c>
      <c r="H951" s="6" t="str">
        <f>IF(A951="","",SUMIFS(Chicks!$J:$J,Chicks!$F:$F,A951))</f>
        <v/>
      </c>
      <c r="I951" s="6" t="str">
        <f>IF(A951="","",COUNTIFS(Chicks!$F:$F,A951,Chicks!$I:$I,"No"))</f>
        <v/>
      </c>
      <c r="J951" s="6" t="str">
        <f>IF(A951="","",IFERROR(AVERAGEIF(Chicks!$F:$F,A951,Chicks!$M:$M),""))</f>
        <v/>
      </c>
      <c r="K951" s="6" t="str">
        <f>IF(A951="","",SUMIFS(Chicks!$N:$N,Chicks!$F:$F,A951))</f>
        <v/>
      </c>
      <c r="L951" s="6" t="str">
        <f>IF(A951="","",SUMIFS(Chicks!$O:$O,Chicks!$F:$F,A951))</f>
        <v/>
      </c>
      <c r="M951" s="6" t="str">
        <f>IF(A951="","",SUMIFS(Chicks!$P:$P,Chicks!$F:$F,A951))</f>
        <v/>
      </c>
      <c r="N951" s="6" t="str">
        <f t="shared" si="4"/>
        <v/>
      </c>
    </row>
    <row r="952" spans="6:14" ht="14.25" customHeight="1" x14ac:dyDescent="0.3">
      <c r="F952" s="6" t="str">
        <f>IF(A952="","",COUNTIF(Chicks!$F:$F,A952))</f>
        <v/>
      </c>
      <c r="G952" s="6" t="str">
        <f>IF(A952="","",COUNTIFS(Chicks!$F:$F,A952,Chicks!$I:$I,"Yes"))</f>
        <v/>
      </c>
      <c r="H952" s="6" t="str">
        <f>IF(A952="","",SUMIFS(Chicks!$J:$J,Chicks!$F:$F,A952))</f>
        <v/>
      </c>
      <c r="I952" s="6" t="str">
        <f>IF(A952="","",COUNTIFS(Chicks!$F:$F,A952,Chicks!$I:$I,"No"))</f>
        <v/>
      </c>
      <c r="J952" s="6" t="str">
        <f>IF(A952="","",IFERROR(AVERAGEIF(Chicks!$F:$F,A952,Chicks!$M:$M),""))</f>
        <v/>
      </c>
      <c r="K952" s="6" t="str">
        <f>IF(A952="","",SUMIFS(Chicks!$N:$N,Chicks!$F:$F,A952))</f>
        <v/>
      </c>
      <c r="L952" s="6" t="str">
        <f>IF(A952="","",SUMIFS(Chicks!$O:$O,Chicks!$F:$F,A952))</f>
        <v/>
      </c>
      <c r="M952" s="6" t="str">
        <f>IF(A952="","",SUMIFS(Chicks!$P:$P,Chicks!$F:$F,A952))</f>
        <v/>
      </c>
      <c r="N952" s="6" t="str">
        <f t="shared" si="4"/>
        <v/>
      </c>
    </row>
    <row r="953" spans="6:14" ht="14.25" customHeight="1" x14ac:dyDescent="0.3">
      <c r="F953" s="6" t="str">
        <f>IF(A953="","",COUNTIF(Chicks!$F:$F,A953))</f>
        <v/>
      </c>
      <c r="G953" s="6" t="str">
        <f>IF(A953="","",COUNTIFS(Chicks!$F:$F,A953,Chicks!$I:$I,"Yes"))</f>
        <v/>
      </c>
      <c r="H953" s="6" t="str">
        <f>IF(A953="","",SUMIFS(Chicks!$J:$J,Chicks!$F:$F,A953))</f>
        <v/>
      </c>
      <c r="I953" s="6" t="str">
        <f>IF(A953="","",COUNTIFS(Chicks!$F:$F,A953,Chicks!$I:$I,"No"))</f>
        <v/>
      </c>
      <c r="J953" s="6" t="str">
        <f>IF(A953="","",IFERROR(AVERAGEIF(Chicks!$F:$F,A953,Chicks!$M:$M),""))</f>
        <v/>
      </c>
      <c r="K953" s="6" t="str">
        <f>IF(A953="","",SUMIFS(Chicks!$N:$N,Chicks!$F:$F,A953))</f>
        <v/>
      </c>
      <c r="L953" s="6" t="str">
        <f>IF(A953="","",SUMIFS(Chicks!$O:$O,Chicks!$F:$F,A953))</f>
        <v/>
      </c>
      <c r="M953" s="6" t="str">
        <f>IF(A953="","",SUMIFS(Chicks!$P:$P,Chicks!$F:$F,A953))</f>
        <v/>
      </c>
      <c r="N953" s="6" t="str">
        <f t="shared" si="4"/>
        <v/>
      </c>
    </row>
    <row r="954" spans="6:14" ht="14.25" customHeight="1" x14ac:dyDescent="0.3">
      <c r="F954" s="6" t="str">
        <f>IF(A954="","",COUNTIF(Chicks!$F:$F,A954))</f>
        <v/>
      </c>
      <c r="G954" s="6" t="str">
        <f>IF(A954="","",COUNTIFS(Chicks!$F:$F,A954,Chicks!$I:$I,"Yes"))</f>
        <v/>
      </c>
      <c r="H954" s="6" t="str">
        <f>IF(A954="","",SUMIFS(Chicks!$J:$J,Chicks!$F:$F,A954))</f>
        <v/>
      </c>
      <c r="I954" s="6" t="str">
        <f>IF(A954="","",COUNTIFS(Chicks!$F:$F,A954,Chicks!$I:$I,"No"))</f>
        <v/>
      </c>
      <c r="J954" s="6" t="str">
        <f>IF(A954="","",IFERROR(AVERAGEIF(Chicks!$F:$F,A954,Chicks!$M:$M),""))</f>
        <v/>
      </c>
      <c r="K954" s="6" t="str">
        <f>IF(A954="","",SUMIFS(Chicks!$N:$N,Chicks!$F:$F,A954))</f>
        <v/>
      </c>
      <c r="L954" s="6" t="str">
        <f>IF(A954="","",SUMIFS(Chicks!$O:$O,Chicks!$F:$F,A954))</f>
        <v/>
      </c>
      <c r="M954" s="6" t="str">
        <f>IF(A954="","",SUMIFS(Chicks!$P:$P,Chicks!$F:$F,A954))</f>
        <v/>
      </c>
      <c r="N954" s="6" t="str">
        <f t="shared" si="4"/>
        <v/>
      </c>
    </row>
    <row r="955" spans="6:14" ht="14.25" customHeight="1" x14ac:dyDescent="0.3">
      <c r="F955" s="6" t="str">
        <f>IF(A955="","",COUNTIF(Chicks!$F:$F,A955))</f>
        <v/>
      </c>
      <c r="G955" s="6" t="str">
        <f>IF(A955="","",COUNTIFS(Chicks!$F:$F,A955,Chicks!$I:$I,"Yes"))</f>
        <v/>
      </c>
      <c r="H955" s="6" t="str">
        <f>IF(A955="","",SUMIFS(Chicks!$J:$J,Chicks!$F:$F,A955))</f>
        <v/>
      </c>
      <c r="I955" s="6" t="str">
        <f>IF(A955="","",COUNTIFS(Chicks!$F:$F,A955,Chicks!$I:$I,"No"))</f>
        <v/>
      </c>
      <c r="J955" s="6" t="str">
        <f>IF(A955="","",IFERROR(AVERAGEIF(Chicks!$F:$F,A955,Chicks!$M:$M),""))</f>
        <v/>
      </c>
      <c r="K955" s="6" t="str">
        <f>IF(A955="","",SUMIFS(Chicks!$N:$N,Chicks!$F:$F,A955))</f>
        <v/>
      </c>
      <c r="L955" s="6" t="str">
        <f>IF(A955="","",SUMIFS(Chicks!$O:$O,Chicks!$F:$F,A955))</f>
        <v/>
      </c>
      <c r="M955" s="6" t="str">
        <f>IF(A955="","",SUMIFS(Chicks!$P:$P,Chicks!$F:$F,A955))</f>
        <v/>
      </c>
      <c r="N955" s="6" t="str">
        <f t="shared" si="4"/>
        <v/>
      </c>
    </row>
    <row r="956" spans="6:14" ht="14.25" customHeight="1" x14ac:dyDescent="0.3">
      <c r="F956" s="6" t="str">
        <f>IF(A956="","",COUNTIF(Chicks!$F:$F,A956))</f>
        <v/>
      </c>
      <c r="G956" s="6" t="str">
        <f>IF(A956="","",COUNTIFS(Chicks!$F:$F,A956,Chicks!$I:$I,"Yes"))</f>
        <v/>
      </c>
      <c r="H956" s="6" t="str">
        <f>IF(A956="","",SUMIFS(Chicks!$J:$J,Chicks!$F:$F,A956))</f>
        <v/>
      </c>
      <c r="I956" s="6" t="str">
        <f>IF(A956="","",COUNTIFS(Chicks!$F:$F,A956,Chicks!$I:$I,"No"))</f>
        <v/>
      </c>
      <c r="J956" s="6" t="str">
        <f>IF(A956="","",IFERROR(AVERAGEIF(Chicks!$F:$F,A956,Chicks!$M:$M),""))</f>
        <v/>
      </c>
      <c r="K956" s="6" t="str">
        <f>IF(A956="","",SUMIFS(Chicks!$N:$N,Chicks!$F:$F,A956))</f>
        <v/>
      </c>
      <c r="L956" s="6" t="str">
        <f>IF(A956="","",SUMIFS(Chicks!$O:$O,Chicks!$F:$F,A956))</f>
        <v/>
      </c>
      <c r="M956" s="6" t="str">
        <f>IF(A956="","",SUMIFS(Chicks!$P:$P,Chicks!$F:$F,A956))</f>
        <v/>
      </c>
      <c r="N956" s="6" t="str">
        <f t="shared" si="4"/>
        <v/>
      </c>
    </row>
    <row r="957" spans="6:14" ht="14.25" customHeight="1" x14ac:dyDescent="0.3">
      <c r="F957" s="6" t="str">
        <f>IF(A957="","",COUNTIF(Chicks!$F:$F,A957))</f>
        <v/>
      </c>
      <c r="G957" s="6" t="str">
        <f>IF(A957="","",COUNTIFS(Chicks!$F:$F,A957,Chicks!$I:$I,"Yes"))</f>
        <v/>
      </c>
      <c r="H957" s="6" t="str">
        <f>IF(A957="","",SUMIFS(Chicks!$J:$J,Chicks!$F:$F,A957))</f>
        <v/>
      </c>
      <c r="I957" s="6" t="str">
        <f>IF(A957="","",COUNTIFS(Chicks!$F:$F,A957,Chicks!$I:$I,"No"))</f>
        <v/>
      </c>
      <c r="J957" s="6" t="str">
        <f>IF(A957="","",IFERROR(AVERAGEIF(Chicks!$F:$F,A957,Chicks!$M:$M),""))</f>
        <v/>
      </c>
      <c r="K957" s="6" t="str">
        <f>IF(A957="","",SUMIFS(Chicks!$N:$N,Chicks!$F:$F,A957))</f>
        <v/>
      </c>
      <c r="L957" s="6" t="str">
        <f>IF(A957="","",SUMIFS(Chicks!$O:$O,Chicks!$F:$F,A957))</f>
        <v/>
      </c>
      <c r="M957" s="6" t="str">
        <f>IF(A957="","",SUMIFS(Chicks!$P:$P,Chicks!$F:$F,A957))</f>
        <v/>
      </c>
      <c r="N957" s="6" t="str">
        <f t="shared" si="4"/>
        <v/>
      </c>
    </row>
    <row r="958" spans="6:14" ht="14.25" customHeight="1" x14ac:dyDescent="0.3">
      <c r="F958" s="6" t="str">
        <f>IF(A958="","",COUNTIF(Chicks!$F:$F,A958))</f>
        <v/>
      </c>
      <c r="G958" s="6" t="str">
        <f>IF(A958="","",COUNTIFS(Chicks!$F:$F,A958,Chicks!$I:$I,"Yes"))</f>
        <v/>
      </c>
      <c r="H958" s="6" t="str">
        <f>IF(A958="","",SUMIFS(Chicks!$J:$J,Chicks!$F:$F,A958))</f>
        <v/>
      </c>
      <c r="I958" s="6" t="str">
        <f>IF(A958="","",COUNTIFS(Chicks!$F:$F,A958,Chicks!$I:$I,"No"))</f>
        <v/>
      </c>
      <c r="J958" s="6" t="str">
        <f>IF(A958="","",IFERROR(AVERAGEIF(Chicks!$F:$F,A958,Chicks!$M:$M),""))</f>
        <v/>
      </c>
      <c r="K958" s="6" t="str">
        <f>IF(A958="","",SUMIFS(Chicks!$N:$N,Chicks!$F:$F,A958))</f>
        <v/>
      </c>
      <c r="L958" s="6" t="str">
        <f>IF(A958="","",SUMIFS(Chicks!$O:$O,Chicks!$F:$F,A958))</f>
        <v/>
      </c>
      <c r="M958" s="6" t="str">
        <f>IF(A958="","",SUMIFS(Chicks!$P:$P,Chicks!$F:$F,A958))</f>
        <v/>
      </c>
      <c r="N958" s="6" t="str">
        <f t="shared" si="4"/>
        <v/>
      </c>
    </row>
    <row r="959" spans="6:14" ht="14.25" customHeight="1" x14ac:dyDescent="0.3">
      <c r="F959" s="6" t="str">
        <f>IF(A959="","",COUNTIF(Chicks!$F:$F,A959))</f>
        <v/>
      </c>
      <c r="G959" s="6" t="str">
        <f>IF(A959="","",COUNTIFS(Chicks!$F:$F,A959,Chicks!$I:$I,"Yes"))</f>
        <v/>
      </c>
      <c r="H959" s="6" t="str">
        <f>IF(A959="","",SUMIFS(Chicks!$J:$J,Chicks!$F:$F,A959))</f>
        <v/>
      </c>
      <c r="I959" s="6" t="str">
        <f>IF(A959="","",COUNTIFS(Chicks!$F:$F,A959,Chicks!$I:$I,"No"))</f>
        <v/>
      </c>
      <c r="J959" s="6" t="str">
        <f>IF(A959="","",IFERROR(AVERAGEIF(Chicks!$F:$F,A959,Chicks!$M:$M),""))</f>
        <v/>
      </c>
      <c r="K959" s="6" t="str">
        <f>IF(A959="","",SUMIFS(Chicks!$N:$N,Chicks!$F:$F,A959))</f>
        <v/>
      </c>
      <c r="L959" s="6" t="str">
        <f>IF(A959="","",SUMIFS(Chicks!$O:$O,Chicks!$F:$F,A959))</f>
        <v/>
      </c>
      <c r="M959" s="6" t="str">
        <f>IF(A959="","",SUMIFS(Chicks!$P:$P,Chicks!$F:$F,A959))</f>
        <v/>
      </c>
      <c r="N959" s="6" t="str">
        <f t="shared" si="4"/>
        <v/>
      </c>
    </row>
    <row r="960" spans="6:14" ht="14.25" customHeight="1" x14ac:dyDescent="0.3">
      <c r="F960" s="6" t="str">
        <f>IF(A960="","",COUNTIF(Chicks!$F:$F,A960))</f>
        <v/>
      </c>
      <c r="G960" s="6" t="str">
        <f>IF(A960="","",COUNTIFS(Chicks!$F:$F,A960,Chicks!$I:$I,"Yes"))</f>
        <v/>
      </c>
      <c r="H960" s="6" t="str">
        <f>IF(A960="","",SUMIFS(Chicks!$J:$J,Chicks!$F:$F,A960))</f>
        <v/>
      </c>
      <c r="I960" s="6" t="str">
        <f>IF(A960="","",COUNTIFS(Chicks!$F:$F,A960,Chicks!$I:$I,"No"))</f>
        <v/>
      </c>
      <c r="J960" s="6" t="str">
        <f>IF(A960="","",IFERROR(AVERAGEIF(Chicks!$F:$F,A960,Chicks!$M:$M),""))</f>
        <v/>
      </c>
      <c r="K960" s="6" t="str">
        <f>IF(A960="","",SUMIFS(Chicks!$N:$N,Chicks!$F:$F,A960))</f>
        <v/>
      </c>
      <c r="L960" s="6" t="str">
        <f>IF(A960="","",SUMIFS(Chicks!$O:$O,Chicks!$F:$F,A960))</f>
        <v/>
      </c>
      <c r="M960" s="6" t="str">
        <f>IF(A960="","",SUMIFS(Chicks!$P:$P,Chicks!$F:$F,A960))</f>
        <v/>
      </c>
      <c r="N960" s="6" t="str">
        <f t="shared" si="4"/>
        <v/>
      </c>
    </row>
    <row r="961" spans="6:14" ht="14.25" customHeight="1" x14ac:dyDescent="0.3">
      <c r="F961" s="6" t="str">
        <f>IF(A961="","",COUNTIF(Chicks!$F:$F,A961))</f>
        <v/>
      </c>
      <c r="G961" s="6" t="str">
        <f>IF(A961="","",COUNTIFS(Chicks!$F:$F,A961,Chicks!$I:$I,"Yes"))</f>
        <v/>
      </c>
      <c r="H961" s="6" t="str">
        <f>IF(A961="","",SUMIFS(Chicks!$J:$J,Chicks!$F:$F,A961))</f>
        <v/>
      </c>
      <c r="I961" s="6" t="str">
        <f>IF(A961="","",COUNTIFS(Chicks!$F:$F,A961,Chicks!$I:$I,"No"))</f>
        <v/>
      </c>
      <c r="J961" s="6" t="str">
        <f>IF(A961="","",IFERROR(AVERAGEIF(Chicks!$F:$F,A961,Chicks!$M:$M),""))</f>
        <v/>
      </c>
      <c r="K961" s="6" t="str">
        <f>IF(A961="","",SUMIFS(Chicks!$N:$N,Chicks!$F:$F,A961))</f>
        <v/>
      </c>
      <c r="L961" s="6" t="str">
        <f>IF(A961="","",SUMIFS(Chicks!$O:$O,Chicks!$F:$F,A961))</f>
        <v/>
      </c>
      <c r="M961" s="6" t="str">
        <f>IF(A961="","",SUMIFS(Chicks!$P:$P,Chicks!$F:$F,A961))</f>
        <v/>
      </c>
      <c r="N961" s="6" t="str">
        <f t="shared" si="4"/>
        <v/>
      </c>
    </row>
    <row r="962" spans="6:14" ht="14.25" customHeight="1" x14ac:dyDescent="0.3">
      <c r="F962" s="6" t="str">
        <f>IF(A962="","",COUNTIF(Chicks!$F:$F,A962))</f>
        <v/>
      </c>
      <c r="G962" s="6" t="str">
        <f>IF(A962="","",COUNTIFS(Chicks!$F:$F,A962,Chicks!$I:$I,"Yes"))</f>
        <v/>
      </c>
      <c r="H962" s="6" t="str">
        <f>IF(A962="","",SUMIFS(Chicks!$J:$J,Chicks!$F:$F,A962))</f>
        <v/>
      </c>
      <c r="I962" s="6" t="str">
        <f>IF(A962="","",COUNTIFS(Chicks!$F:$F,A962,Chicks!$I:$I,"No"))</f>
        <v/>
      </c>
      <c r="J962" s="6" t="str">
        <f>IF(A962="","",IFERROR(AVERAGEIF(Chicks!$F:$F,A962,Chicks!$M:$M),""))</f>
        <v/>
      </c>
      <c r="K962" s="6" t="str">
        <f>IF(A962="","",SUMIFS(Chicks!$N:$N,Chicks!$F:$F,A962))</f>
        <v/>
      </c>
      <c r="L962" s="6" t="str">
        <f>IF(A962="","",SUMIFS(Chicks!$O:$O,Chicks!$F:$F,A962))</f>
        <v/>
      </c>
      <c r="M962" s="6" t="str">
        <f>IF(A962="","",SUMIFS(Chicks!$P:$P,Chicks!$F:$F,A962))</f>
        <v/>
      </c>
      <c r="N962" s="6" t="str">
        <f t="shared" si="4"/>
        <v/>
      </c>
    </row>
    <row r="963" spans="6:14" ht="14.25" customHeight="1" x14ac:dyDescent="0.3">
      <c r="F963" s="6" t="str">
        <f>IF(A963="","",COUNTIF(Chicks!$F:$F,A963))</f>
        <v/>
      </c>
      <c r="G963" s="6" t="str">
        <f>IF(A963="","",COUNTIFS(Chicks!$F:$F,A963,Chicks!$I:$I,"Yes"))</f>
        <v/>
      </c>
      <c r="H963" s="6" t="str">
        <f>IF(A963="","",SUMIFS(Chicks!$J:$J,Chicks!$F:$F,A963))</f>
        <v/>
      </c>
      <c r="I963" s="6" t="str">
        <f>IF(A963="","",COUNTIFS(Chicks!$F:$F,A963,Chicks!$I:$I,"No"))</f>
        <v/>
      </c>
      <c r="J963" s="6" t="str">
        <f>IF(A963="","",IFERROR(AVERAGEIF(Chicks!$F:$F,A963,Chicks!$M:$M),""))</f>
        <v/>
      </c>
      <c r="K963" s="6" t="str">
        <f>IF(A963="","",SUMIFS(Chicks!$N:$N,Chicks!$F:$F,A963))</f>
        <v/>
      </c>
      <c r="L963" s="6" t="str">
        <f>IF(A963="","",SUMIFS(Chicks!$O:$O,Chicks!$F:$F,A963))</f>
        <v/>
      </c>
      <c r="M963" s="6" t="str">
        <f>IF(A963="","",SUMIFS(Chicks!$P:$P,Chicks!$F:$F,A963))</f>
        <v/>
      </c>
      <c r="N963" s="6" t="str">
        <f t="shared" si="4"/>
        <v/>
      </c>
    </row>
    <row r="964" spans="6:14" ht="14.25" customHeight="1" x14ac:dyDescent="0.3">
      <c r="F964" s="6" t="str">
        <f>IF(A964="","",COUNTIF(Chicks!$F:$F,A964))</f>
        <v/>
      </c>
      <c r="G964" s="6" t="str">
        <f>IF(A964="","",COUNTIFS(Chicks!$F:$F,A964,Chicks!$I:$I,"Yes"))</f>
        <v/>
      </c>
      <c r="H964" s="6" t="str">
        <f>IF(A964="","",SUMIFS(Chicks!$J:$J,Chicks!$F:$F,A964))</f>
        <v/>
      </c>
      <c r="I964" s="6" t="str">
        <f>IF(A964="","",COUNTIFS(Chicks!$F:$F,A964,Chicks!$I:$I,"No"))</f>
        <v/>
      </c>
      <c r="J964" s="6" t="str">
        <f>IF(A964="","",IFERROR(AVERAGEIF(Chicks!$F:$F,A964,Chicks!$M:$M),""))</f>
        <v/>
      </c>
      <c r="K964" s="6" t="str">
        <f>IF(A964="","",SUMIFS(Chicks!$N:$N,Chicks!$F:$F,A964))</f>
        <v/>
      </c>
      <c r="L964" s="6" t="str">
        <f>IF(A964="","",SUMIFS(Chicks!$O:$O,Chicks!$F:$F,A964))</f>
        <v/>
      </c>
      <c r="M964" s="6" t="str">
        <f>IF(A964="","",SUMIFS(Chicks!$P:$P,Chicks!$F:$F,A964))</f>
        <v/>
      </c>
      <c r="N964" s="6" t="str">
        <f t="shared" si="4"/>
        <v/>
      </c>
    </row>
    <row r="965" spans="6:14" ht="14.25" customHeight="1" x14ac:dyDescent="0.3">
      <c r="F965" s="6" t="str">
        <f>IF(A965="","",COUNTIF(Chicks!$F:$F,A965))</f>
        <v/>
      </c>
      <c r="G965" s="6" t="str">
        <f>IF(A965="","",COUNTIFS(Chicks!$F:$F,A965,Chicks!$I:$I,"Yes"))</f>
        <v/>
      </c>
      <c r="H965" s="6" t="str">
        <f>IF(A965="","",SUMIFS(Chicks!$J:$J,Chicks!$F:$F,A965))</f>
        <v/>
      </c>
      <c r="I965" s="6" t="str">
        <f>IF(A965="","",COUNTIFS(Chicks!$F:$F,A965,Chicks!$I:$I,"No"))</f>
        <v/>
      </c>
      <c r="J965" s="6" t="str">
        <f>IF(A965="","",IFERROR(AVERAGEIF(Chicks!$F:$F,A965,Chicks!$M:$M),""))</f>
        <v/>
      </c>
      <c r="K965" s="6" t="str">
        <f>IF(A965="","",SUMIFS(Chicks!$N:$N,Chicks!$F:$F,A965))</f>
        <v/>
      </c>
      <c r="L965" s="6" t="str">
        <f>IF(A965="","",SUMIFS(Chicks!$O:$O,Chicks!$F:$F,A965))</f>
        <v/>
      </c>
      <c r="M965" s="6" t="str">
        <f>IF(A965="","",SUMIFS(Chicks!$P:$P,Chicks!$F:$F,A965))</f>
        <v/>
      </c>
      <c r="N965" s="6" t="str">
        <f t="shared" si="4"/>
        <v/>
      </c>
    </row>
    <row r="966" spans="6:14" ht="14.25" customHeight="1" x14ac:dyDescent="0.3">
      <c r="F966" s="6" t="str">
        <f>IF(A966="","",COUNTIF(Chicks!$F:$F,A966))</f>
        <v/>
      </c>
      <c r="G966" s="6" t="str">
        <f>IF(A966="","",COUNTIFS(Chicks!$F:$F,A966,Chicks!$I:$I,"Yes"))</f>
        <v/>
      </c>
      <c r="H966" s="6" t="str">
        <f>IF(A966="","",SUMIFS(Chicks!$J:$J,Chicks!$F:$F,A966))</f>
        <v/>
      </c>
      <c r="I966" s="6" t="str">
        <f>IF(A966="","",COUNTIFS(Chicks!$F:$F,A966,Chicks!$I:$I,"No"))</f>
        <v/>
      </c>
      <c r="J966" s="6" t="str">
        <f>IF(A966="","",IFERROR(AVERAGEIF(Chicks!$F:$F,A966,Chicks!$M:$M),""))</f>
        <v/>
      </c>
      <c r="K966" s="6" t="str">
        <f>IF(A966="","",SUMIFS(Chicks!$N:$N,Chicks!$F:$F,A966))</f>
        <v/>
      </c>
      <c r="L966" s="6" t="str">
        <f>IF(A966="","",SUMIFS(Chicks!$O:$O,Chicks!$F:$F,A966))</f>
        <v/>
      </c>
      <c r="M966" s="6" t="str">
        <f>IF(A966="","",SUMIFS(Chicks!$P:$P,Chicks!$F:$F,A966))</f>
        <v/>
      </c>
      <c r="N966" s="6" t="str">
        <f t="shared" si="4"/>
        <v/>
      </c>
    </row>
    <row r="967" spans="6:14" ht="14.25" customHeight="1" x14ac:dyDescent="0.3">
      <c r="F967" s="6" t="str">
        <f>IF(A967="","",COUNTIF(Chicks!$F:$F,A967))</f>
        <v/>
      </c>
      <c r="G967" s="6" t="str">
        <f>IF(A967="","",COUNTIFS(Chicks!$F:$F,A967,Chicks!$I:$I,"Yes"))</f>
        <v/>
      </c>
      <c r="H967" s="6" t="str">
        <f>IF(A967="","",SUMIFS(Chicks!$J:$J,Chicks!$F:$F,A967))</f>
        <v/>
      </c>
      <c r="I967" s="6" t="str">
        <f>IF(A967="","",COUNTIFS(Chicks!$F:$F,A967,Chicks!$I:$I,"No"))</f>
        <v/>
      </c>
      <c r="J967" s="6" t="str">
        <f>IF(A967="","",IFERROR(AVERAGEIF(Chicks!$F:$F,A967,Chicks!$M:$M),""))</f>
        <v/>
      </c>
      <c r="K967" s="6" t="str">
        <f>IF(A967="","",SUMIFS(Chicks!$N:$N,Chicks!$F:$F,A967))</f>
        <v/>
      </c>
      <c r="L967" s="6" t="str">
        <f>IF(A967="","",SUMIFS(Chicks!$O:$O,Chicks!$F:$F,A967))</f>
        <v/>
      </c>
      <c r="M967" s="6" t="str">
        <f>IF(A967="","",SUMIFS(Chicks!$P:$P,Chicks!$F:$F,A967))</f>
        <v/>
      </c>
      <c r="N967" s="6" t="str">
        <f t="shared" si="4"/>
        <v/>
      </c>
    </row>
    <row r="968" spans="6:14" ht="14.25" customHeight="1" x14ac:dyDescent="0.3">
      <c r="F968" s="6" t="str">
        <f>IF(A968="","",COUNTIF(Chicks!$F:$F,A968))</f>
        <v/>
      </c>
      <c r="G968" s="6" t="str">
        <f>IF(A968="","",COUNTIFS(Chicks!$F:$F,A968,Chicks!$I:$I,"Yes"))</f>
        <v/>
      </c>
      <c r="H968" s="6" t="str">
        <f>IF(A968="","",SUMIFS(Chicks!$J:$J,Chicks!$F:$F,A968))</f>
        <v/>
      </c>
      <c r="I968" s="6" t="str">
        <f>IF(A968="","",COUNTIFS(Chicks!$F:$F,A968,Chicks!$I:$I,"No"))</f>
        <v/>
      </c>
      <c r="J968" s="6" t="str">
        <f>IF(A968="","",IFERROR(AVERAGEIF(Chicks!$F:$F,A968,Chicks!$M:$M),""))</f>
        <v/>
      </c>
      <c r="K968" s="6" t="str">
        <f>IF(A968="","",SUMIFS(Chicks!$N:$N,Chicks!$F:$F,A968))</f>
        <v/>
      </c>
      <c r="L968" s="6" t="str">
        <f>IF(A968="","",SUMIFS(Chicks!$O:$O,Chicks!$F:$F,A968))</f>
        <v/>
      </c>
      <c r="M968" s="6" t="str">
        <f>IF(A968="","",SUMIFS(Chicks!$P:$P,Chicks!$F:$F,A968))</f>
        <v/>
      </c>
      <c r="N968" s="6" t="str">
        <f t="shared" si="4"/>
        <v/>
      </c>
    </row>
    <row r="969" spans="6:14" ht="14.25" customHeight="1" x14ac:dyDescent="0.3">
      <c r="F969" s="6" t="str">
        <f>IF(A969="","",COUNTIF(Chicks!$F:$F,A969))</f>
        <v/>
      </c>
      <c r="G969" s="6" t="str">
        <f>IF(A969="","",COUNTIFS(Chicks!$F:$F,A969,Chicks!$I:$I,"Yes"))</f>
        <v/>
      </c>
      <c r="H969" s="6" t="str">
        <f>IF(A969="","",SUMIFS(Chicks!$J:$J,Chicks!$F:$F,A969))</f>
        <v/>
      </c>
      <c r="I969" s="6" t="str">
        <f>IF(A969="","",COUNTIFS(Chicks!$F:$F,A969,Chicks!$I:$I,"No"))</f>
        <v/>
      </c>
      <c r="J969" s="6" t="str">
        <f>IF(A969="","",IFERROR(AVERAGEIF(Chicks!$F:$F,A969,Chicks!$M:$M),""))</f>
        <v/>
      </c>
      <c r="K969" s="6" t="str">
        <f>IF(A969="","",SUMIFS(Chicks!$N:$N,Chicks!$F:$F,A969))</f>
        <v/>
      </c>
      <c r="L969" s="6" t="str">
        <f>IF(A969="","",SUMIFS(Chicks!$O:$O,Chicks!$F:$F,A969))</f>
        <v/>
      </c>
      <c r="M969" s="6" t="str">
        <f>IF(A969="","",SUMIFS(Chicks!$P:$P,Chicks!$F:$F,A969))</f>
        <v/>
      </c>
      <c r="N969" s="6" t="str">
        <f t="shared" si="4"/>
        <v/>
      </c>
    </row>
    <row r="970" spans="6:14" ht="14.25" customHeight="1" x14ac:dyDescent="0.3">
      <c r="F970" s="6" t="str">
        <f>IF(A970="","",COUNTIF(Chicks!$F:$F,A970))</f>
        <v/>
      </c>
      <c r="G970" s="6" t="str">
        <f>IF(A970="","",COUNTIFS(Chicks!$F:$F,A970,Chicks!$I:$I,"Yes"))</f>
        <v/>
      </c>
      <c r="H970" s="6" t="str">
        <f>IF(A970="","",SUMIFS(Chicks!$J:$J,Chicks!$F:$F,A970))</f>
        <v/>
      </c>
      <c r="I970" s="6" t="str">
        <f>IF(A970="","",COUNTIFS(Chicks!$F:$F,A970,Chicks!$I:$I,"No"))</f>
        <v/>
      </c>
      <c r="J970" s="6" t="str">
        <f>IF(A970="","",IFERROR(AVERAGEIF(Chicks!$F:$F,A970,Chicks!$M:$M),""))</f>
        <v/>
      </c>
      <c r="K970" s="6" t="str">
        <f>IF(A970="","",SUMIFS(Chicks!$N:$N,Chicks!$F:$F,A970))</f>
        <v/>
      </c>
      <c r="L970" s="6" t="str">
        <f>IF(A970="","",SUMIFS(Chicks!$O:$O,Chicks!$F:$F,A970))</f>
        <v/>
      </c>
      <c r="M970" s="6" t="str">
        <f>IF(A970="","",SUMIFS(Chicks!$P:$P,Chicks!$F:$F,A970))</f>
        <v/>
      </c>
      <c r="N970" s="6" t="str">
        <f t="shared" si="4"/>
        <v/>
      </c>
    </row>
    <row r="971" spans="6:14" ht="14.25" customHeight="1" x14ac:dyDescent="0.3">
      <c r="F971" s="6" t="str">
        <f>IF(A971="","",COUNTIF(Chicks!$F:$F,A971))</f>
        <v/>
      </c>
      <c r="G971" s="6" t="str">
        <f>IF(A971="","",COUNTIFS(Chicks!$F:$F,A971,Chicks!$I:$I,"Yes"))</f>
        <v/>
      </c>
      <c r="H971" s="6" t="str">
        <f>IF(A971="","",SUMIFS(Chicks!$J:$J,Chicks!$F:$F,A971))</f>
        <v/>
      </c>
      <c r="I971" s="6" t="str">
        <f>IF(A971="","",COUNTIFS(Chicks!$F:$F,A971,Chicks!$I:$I,"No"))</f>
        <v/>
      </c>
      <c r="J971" s="6" t="str">
        <f>IF(A971="","",IFERROR(AVERAGEIF(Chicks!$F:$F,A971,Chicks!$M:$M),""))</f>
        <v/>
      </c>
      <c r="K971" s="6" t="str">
        <f>IF(A971="","",SUMIFS(Chicks!$N:$N,Chicks!$F:$F,A971))</f>
        <v/>
      </c>
      <c r="L971" s="6" t="str">
        <f>IF(A971="","",SUMIFS(Chicks!$O:$O,Chicks!$F:$F,A971))</f>
        <v/>
      </c>
      <c r="M971" s="6" t="str">
        <f>IF(A971="","",SUMIFS(Chicks!$P:$P,Chicks!$F:$F,A971))</f>
        <v/>
      </c>
      <c r="N971" s="6" t="str">
        <f t="shared" si="4"/>
        <v/>
      </c>
    </row>
    <row r="972" spans="6:14" ht="14.25" customHeight="1" x14ac:dyDescent="0.3">
      <c r="F972" s="6" t="str">
        <f>IF(A972="","",COUNTIF(Chicks!$F:$F,A972))</f>
        <v/>
      </c>
      <c r="G972" s="6" t="str">
        <f>IF(A972="","",COUNTIFS(Chicks!$F:$F,A972,Chicks!$I:$I,"Yes"))</f>
        <v/>
      </c>
      <c r="H972" s="6" t="str">
        <f>IF(A972="","",SUMIFS(Chicks!$J:$J,Chicks!$F:$F,A972))</f>
        <v/>
      </c>
      <c r="I972" s="6" t="str">
        <f>IF(A972="","",COUNTIFS(Chicks!$F:$F,A972,Chicks!$I:$I,"No"))</f>
        <v/>
      </c>
      <c r="J972" s="6" t="str">
        <f>IF(A972="","",IFERROR(AVERAGEIF(Chicks!$F:$F,A972,Chicks!$M:$M),""))</f>
        <v/>
      </c>
      <c r="K972" s="6" t="str">
        <f>IF(A972="","",SUMIFS(Chicks!$N:$N,Chicks!$F:$F,A972))</f>
        <v/>
      </c>
      <c r="L972" s="6" t="str">
        <f>IF(A972="","",SUMIFS(Chicks!$O:$O,Chicks!$F:$F,A972))</f>
        <v/>
      </c>
      <c r="M972" s="6" t="str">
        <f>IF(A972="","",SUMIFS(Chicks!$P:$P,Chicks!$F:$F,A972))</f>
        <v/>
      </c>
      <c r="N972" s="6" t="str">
        <f t="shared" si="4"/>
        <v/>
      </c>
    </row>
    <row r="973" spans="6:14" ht="14.25" customHeight="1" x14ac:dyDescent="0.3">
      <c r="F973" s="6" t="str">
        <f>IF(A973="","",COUNTIF(Chicks!$F:$F,A973))</f>
        <v/>
      </c>
      <c r="G973" s="6" t="str">
        <f>IF(A973="","",COUNTIFS(Chicks!$F:$F,A973,Chicks!$I:$I,"Yes"))</f>
        <v/>
      </c>
      <c r="H973" s="6" t="str">
        <f>IF(A973="","",SUMIFS(Chicks!$J:$J,Chicks!$F:$F,A973))</f>
        <v/>
      </c>
      <c r="I973" s="6" t="str">
        <f>IF(A973="","",COUNTIFS(Chicks!$F:$F,A973,Chicks!$I:$I,"No"))</f>
        <v/>
      </c>
      <c r="J973" s="6" t="str">
        <f>IF(A973="","",IFERROR(AVERAGEIF(Chicks!$F:$F,A973,Chicks!$M:$M),""))</f>
        <v/>
      </c>
      <c r="K973" s="6" t="str">
        <f>IF(A973="","",SUMIFS(Chicks!$N:$N,Chicks!$F:$F,A973))</f>
        <v/>
      </c>
      <c r="L973" s="6" t="str">
        <f>IF(A973="","",SUMIFS(Chicks!$O:$O,Chicks!$F:$F,A973))</f>
        <v/>
      </c>
      <c r="M973" s="6" t="str">
        <f>IF(A973="","",SUMIFS(Chicks!$P:$P,Chicks!$F:$F,A973))</f>
        <v/>
      </c>
      <c r="N973" s="6" t="str">
        <f t="shared" si="4"/>
        <v/>
      </c>
    </row>
    <row r="974" spans="6:14" ht="14.25" customHeight="1" x14ac:dyDescent="0.3">
      <c r="F974" s="6" t="str">
        <f>IF(A974="","",COUNTIF(Chicks!$F:$F,A974))</f>
        <v/>
      </c>
      <c r="G974" s="6" t="str">
        <f>IF(A974="","",COUNTIFS(Chicks!$F:$F,A974,Chicks!$I:$I,"Yes"))</f>
        <v/>
      </c>
      <c r="H974" s="6" t="str">
        <f>IF(A974="","",SUMIFS(Chicks!$J:$J,Chicks!$F:$F,A974))</f>
        <v/>
      </c>
      <c r="I974" s="6" t="str">
        <f>IF(A974="","",COUNTIFS(Chicks!$F:$F,A974,Chicks!$I:$I,"No"))</f>
        <v/>
      </c>
      <c r="J974" s="6" t="str">
        <f>IF(A974="","",IFERROR(AVERAGEIF(Chicks!$F:$F,A974,Chicks!$M:$M),""))</f>
        <v/>
      </c>
      <c r="K974" s="6" t="str">
        <f>IF(A974="","",SUMIFS(Chicks!$N:$N,Chicks!$F:$F,A974))</f>
        <v/>
      </c>
      <c r="L974" s="6" t="str">
        <f>IF(A974="","",SUMIFS(Chicks!$O:$O,Chicks!$F:$F,A974))</f>
        <v/>
      </c>
      <c r="M974" s="6" t="str">
        <f>IF(A974="","",SUMIFS(Chicks!$P:$P,Chicks!$F:$F,A974))</f>
        <v/>
      </c>
      <c r="N974" s="6" t="str">
        <f t="shared" si="4"/>
        <v/>
      </c>
    </row>
    <row r="975" spans="6:14" ht="14.25" customHeight="1" x14ac:dyDescent="0.3">
      <c r="F975" s="6" t="str">
        <f>IF(A975="","",COUNTIF(Chicks!$F:$F,A975))</f>
        <v/>
      </c>
      <c r="G975" s="6" t="str">
        <f>IF(A975="","",COUNTIFS(Chicks!$F:$F,A975,Chicks!$I:$I,"Yes"))</f>
        <v/>
      </c>
      <c r="H975" s="6" t="str">
        <f>IF(A975="","",SUMIFS(Chicks!$J:$J,Chicks!$F:$F,A975))</f>
        <v/>
      </c>
      <c r="I975" s="6" t="str">
        <f>IF(A975="","",COUNTIFS(Chicks!$F:$F,A975,Chicks!$I:$I,"No"))</f>
        <v/>
      </c>
      <c r="J975" s="6" t="str">
        <f>IF(A975="","",IFERROR(AVERAGEIF(Chicks!$F:$F,A975,Chicks!$M:$M),""))</f>
        <v/>
      </c>
      <c r="K975" s="6" t="str">
        <f>IF(A975="","",SUMIFS(Chicks!$N:$N,Chicks!$F:$F,A975))</f>
        <v/>
      </c>
      <c r="L975" s="6" t="str">
        <f>IF(A975="","",SUMIFS(Chicks!$O:$O,Chicks!$F:$F,A975))</f>
        <v/>
      </c>
      <c r="M975" s="6" t="str">
        <f>IF(A975="","",SUMIFS(Chicks!$P:$P,Chicks!$F:$F,A975))</f>
        <v/>
      </c>
      <c r="N975" s="6" t="str">
        <f t="shared" si="4"/>
        <v/>
      </c>
    </row>
    <row r="976" spans="6:14" ht="14.25" customHeight="1" x14ac:dyDescent="0.3">
      <c r="F976" s="6" t="str">
        <f>IF(A976="","",COUNTIF(Chicks!$F:$F,A976))</f>
        <v/>
      </c>
      <c r="G976" s="6" t="str">
        <f>IF(A976="","",COUNTIFS(Chicks!$F:$F,A976,Chicks!$I:$I,"Yes"))</f>
        <v/>
      </c>
      <c r="H976" s="6" t="str">
        <f>IF(A976="","",SUMIFS(Chicks!$J:$J,Chicks!$F:$F,A976))</f>
        <v/>
      </c>
      <c r="I976" s="6" t="str">
        <f>IF(A976="","",COUNTIFS(Chicks!$F:$F,A976,Chicks!$I:$I,"No"))</f>
        <v/>
      </c>
      <c r="J976" s="6" t="str">
        <f>IF(A976="","",IFERROR(AVERAGEIF(Chicks!$F:$F,A976,Chicks!$M:$M),""))</f>
        <v/>
      </c>
      <c r="K976" s="6" t="str">
        <f>IF(A976="","",SUMIFS(Chicks!$N:$N,Chicks!$F:$F,A976))</f>
        <v/>
      </c>
      <c r="L976" s="6" t="str">
        <f>IF(A976="","",SUMIFS(Chicks!$O:$O,Chicks!$F:$F,A976))</f>
        <v/>
      </c>
      <c r="M976" s="6" t="str">
        <f>IF(A976="","",SUMIFS(Chicks!$P:$P,Chicks!$F:$F,A976))</f>
        <v/>
      </c>
      <c r="N976" s="6" t="str">
        <f t="shared" si="4"/>
        <v/>
      </c>
    </row>
    <row r="977" spans="6:14" ht="14.25" customHeight="1" x14ac:dyDescent="0.3">
      <c r="F977" s="6" t="str">
        <f>IF(A977="","",COUNTIF(Chicks!$F:$F,A977))</f>
        <v/>
      </c>
      <c r="G977" s="6" t="str">
        <f>IF(A977="","",COUNTIFS(Chicks!$F:$F,A977,Chicks!$I:$I,"Yes"))</f>
        <v/>
      </c>
      <c r="H977" s="6" t="str">
        <f>IF(A977="","",SUMIFS(Chicks!$J:$J,Chicks!$F:$F,A977))</f>
        <v/>
      </c>
      <c r="I977" s="6" t="str">
        <f>IF(A977="","",COUNTIFS(Chicks!$F:$F,A977,Chicks!$I:$I,"No"))</f>
        <v/>
      </c>
      <c r="J977" s="6" t="str">
        <f>IF(A977="","",IFERROR(AVERAGEIF(Chicks!$F:$F,A977,Chicks!$M:$M),""))</f>
        <v/>
      </c>
      <c r="K977" s="6" t="str">
        <f>IF(A977="","",SUMIFS(Chicks!$N:$N,Chicks!$F:$F,A977))</f>
        <v/>
      </c>
      <c r="L977" s="6" t="str">
        <f>IF(A977="","",SUMIFS(Chicks!$O:$O,Chicks!$F:$F,A977))</f>
        <v/>
      </c>
      <c r="M977" s="6" t="str">
        <f>IF(A977="","",SUMIFS(Chicks!$P:$P,Chicks!$F:$F,A977))</f>
        <v/>
      </c>
      <c r="N977" s="6" t="str">
        <f t="shared" si="4"/>
        <v/>
      </c>
    </row>
    <row r="978" spans="6:14" ht="14.25" customHeight="1" x14ac:dyDescent="0.3">
      <c r="F978" s="6" t="str">
        <f>IF(A978="","",COUNTIF(Chicks!$F:$F,A978))</f>
        <v/>
      </c>
      <c r="G978" s="6" t="str">
        <f>IF(A978="","",COUNTIFS(Chicks!$F:$F,A978,Chicks!$I:$I,"Yes"))</f>
        <v/>
      </c>
      <c r="H978" s="6" t="str">
        <f>IF(A978="","",SUMIFS(Chicks!$J:$J,Chicks!$F:$F,A978))</f>
        <v/>
      </c>
      <c r="I978" s="6" t="str">
        <f>IF(A978="","",COUNTIFS(Chicks!$F:$F,A978,Chicks!$I:$I,"No"))</f>
        <v/>
      </c>
      <c r="J978" s="6" t="str">
        <f>IF(A978="","",IFERROR(AVERAGEIF(Chicks!$F:$F,A978,Chicks!$M:$M),""))</f>
        <v/>
      </c>
      <c r="K978" s="6" t="str">
        <f>IF(A978="","",SUMIFS(Chicks!$N:$N,Chicks!$F:$F,A978))</f>
        <v/>
      </c>
      <c r="L978" s="6" t="str">
        <f>IF(A978="","",SUMIFS(Chicks!$O:$O,Chicks!$F:$F,A978))</f>
        <v/>
      </c>
      <c r="M978" s="6" t="str">
        <f>IF(A978="","",SUMIFS(Chicks!$P:$P,Chicks!$F:$F,A978))</f>
        <v/>
      </c>
      <c r="N978" s="6" t="str">
        <f t="shared" si="4"/>
        <v/>
      </c>
    </row>
    <row r="979" spans="6:14" ht="14.25" customHeight="1" x14ac:dyDescent="0.3">
      <c r="F979" s="6" t="str">
        <f>IF(A979="","",COUNTIF(Chicks!$F:$F,A979))</f>
        <v/>
      </c>
      <c r="G979" s="6" t="str">
        <f>IF(A979="","",COUNTIFS(Chicks!$F:$F,A979,Chicks!$I:$I,"Yes"))</f>
        <v/>
      </c>
      <c r="H979" s="6" t="str">
        <f>IF(A979="","",SUMIFS(Chicks!$J:$J,Chicks!$F:$F,A979))</f>
        <v/>
      </c>
      <c r="I979" s="6" t="str">
        <f>IF(A979="","",COUNTIFS(Chicks!$F:$F,A979,Chicks!$I:$I,"No"))</f>
        <v/>
      </c>
      <c r="J979" s="6" t="str">
        <f>IF(A979="","",IFERROR(AVERAGEIF(Chicks!$F:$F,A979,Chicks!$M:$M),""))</f>
        <v/>
      </c>
      <c r="K979" s="6" t="str">
        <f>IF(A979="","",SUMIFS(Chicks!$N:$N,Chicks!$F:$F,A979))</f>
        <v/>
      </c>
      <c r="L979" s="6" t="str">
        <f>IF(A979="","",SUMIFS(Chicks!$O:$O,Chicks!$F:$F,A979))</f>
        <v/>
      </c>
      <c r="M979" s="6" t="str">
        <f>IF(A979="","",SUMIFS(Chicks!$P:$P,Chicks!$F:$F,A979))</f>
        <v/>
      </c>
      <c r="N979" s="6" t="str">
        <f t="shared" si="4"/>
        <v/>
      </c>
    </row>
    <row r="980" spans="6:14" ht="14.25" customHeight="1" x14ac:dyDescent="0.3">
      <c r="F980" s="6" t="str">
        <f>IF(A980="","",COUNTIF(Chicks!$F:$F,A980))</f>
        <v/>
      </c>
      <c r="G980" s="6" t="str">
        <f>IF(A980="","",COUNTIFS(Chicks!$F:$F,A980,Chicks!$I:$I,"Yes"))</f>
        <v/>
      </c>
      <c r="H980" s="6" t="str">
        <f>IF(A980="","",SUMIFS(Chicks!$J:$J,Chicks!$F:$F,A980))</f>
        <v/>
      </c>
      <c r="I980" s="6" t="str">
        <f>IF(A980="","",COUNTIFS(Chicks!$F:$F,A980,Chicks!$I:$I,"No"))</f>
        <v/>
      </c>
      <c r="J980" s="6" t="str">
        <f>IF(A980="","",IFERROR(AVERAGEIF(Chicks!$F:$F,A980,Chicks!$M:$M),""))</f>
        <v/>
      </c>
      <c r="K980" s="6" t="str">
        <f>IF(A980="","",SUMIFS(Chicks!$N:$N,Chicks!$F:$F,A980))</f>
        <v/>
      </c>
      <c r="L980" s="6" t="str">
        <f>IF(A980="","",SUMIFS(Chicks!$O:$O,Chicks!$F:$F,A980))</f>
        <v/>
      </c>
      <c r="M980" s="6" t="str">
        <f>IF(A980="","",SUMIFS(Chicks!$P:$P,Chicks!$F:$F,A980))</f>
        <v/>
      </c>
      <c r="N980" s="6" t="str">
        <f t="shared" si="4"/>
        <v/>
      </c>
    </row>
    <row r="981" spans="6:14" ht="14.25" customHeight="1" x14ac:dyDescent="0.3">
      <c r="F981" s="6" t="str">
        <f>IF(A981="","",COUNTIF(Chicks!$F:$F,A981))</f>
        <v/>
      </c>
      <c r="G981" s="6" t="str">
        <f>IF(A981="","",COUNTIFS(Chicks!$F:$F,A981,Chicks!$I:$I,"Yes"))</f>
        <v/>
      </c>
      <c r="H981" s="6" t="str">
        <f>IF(A981="","",SUMIFS(Chicks!$J:$J,Chicks!$F:$F,A981))</f>
        <v/>
      </c>
      <c r="I981" s="6" t="str">
        <f>IF(A981="","",COUNTIFS(Chicks!$F:$F,A981,Chicks!$I:$I,"No"))</f>
        <v/>
      </c>
      <c r="J981" s="6" t="str">
        <f>IF(A981="","",IFERROR(AVERAGEIF(Chicks!$F:$F,A981,Chicks!$M:$M),""))</f>
        <v/>
      </c>
      <c r="K981" s="6" t="str">
        <f>IF(A981="","",SUMIFS(Chicks!$N:$N,Chicks!$F:$F,A981))</f>
        <v/>
      </c>
      <c r="L981" s="6" t="str">
        <f>IF(A981="","",SUMIFS(Chicks!$O:$O,Chicks!$F:$F,A981))</f>
        <v/>
      </c>
      <c r="M981" s="6" t="str">
        <f>IF(A981="","",SUMIFS(Chicks!$P:$P,Chicks!$F:$F,A981))</f>
        <v/>
      </c>
      <c r="N981" s="6" t="str">
        <f t="shared" si="4"/>
        <v/>
      </c>
    </row>
    <row r="982" spans="6:14" ht="14.25" customHeight="1" x14ac:dyDescent="0.3">
      <c r="F982" s="6" t="str">
        <f>IF(A982="","",COUNTIF(Chicks!$F:$F,A982))</f>
        <v/>
      </c>
      <c r="G982" s="6" t="str">
        <f>IF(A982="","",COUNTIFS(Chicks!$F:$F,A982,Chicks!$I:$I,"Yes"))</f>
        <v/>
      </c>
      <c r="H982" s="6" t="str">
        <f>IF(A982="","",SUMIFS(Chicks!$J:$J,Chicks!$F:$F,A982))</f>
        <v/>
      </c>
      <c r="I982" s="6" t="str">
        <f>IF(A982="","",COUNTIFS(Chicks!$F:$F,A982,Chicks!$I:$I,"No"))</f>
        <v/>
      </c>
      <c r="J982" s="6" t="str">
        <f>IF(A982="","",IFERROR(AVERAGEIF(Chicks!$F:$F,A982,Chicks!$M:$M),""))</f>
        <v/>
      </c>
      <c r="K982" s="6" t="str">
        <f>IF(A982="","",SUMIFS(Chicks!$N:$N,Chicks!$F:$F,A982))</f>
        <v/>
      </c>
      <c r="L982" s="6" t="str">
        <f>IF(A982="","",SUMIFS(Chicks!$O:$O,Chicks!$F:$F,A982))</f>
        <v/>
      </c>
      <c r="M982" s="6" t="str">
        <f>IF(A982="","",SUMIFS(Chicks!$P:$P,Chicks!$F:$F,A982))</f>
        <v/>
      </c>
      <c r="N982" s="6" t="str">
        <f t="shared" si="4"/>
        <v/>
      </c>
    </row>
    <row r="983" spans="6:14" ht="14.25" customHeight="1" x14ac:dyDescent="0.3">
      <c r="F983" s="6" t="str">
        <f>IF(A983="","",COUNTIF(Chicks!$F:$F,A983))</f>
        <v/>
      </c>
      <c r="G983" s="6" t="str">
        <f>IF(A983="","",COUNTIFS(Chicks!$F:$F,A983,Chicks!$I:$I,"Yes"))</f>
        <v/>
      </c>
      <c r="H983" s="6" t="str">
        <f>IF(A983="","",SUMIFS(Chicks!$J:$J,Chicks!$F:$F,A983))</f>
        <v/>
      </c>
      <c r="I983" s="6" t="str">
        <f>IF(A983="","",COUNTIFS(Chicks!$F:$F,A983,Chicks!$I:$I,"No"))</f>
        <v/>
      </c>
      <c r="J983" s="6" t="str">
        <f>IF(A983="","",IFERROR(AVERAGEIF(Chicks!$F:$F,A983,Chicks!$M:$M),""))</f>
        <v/>
      </c>
      <c r="K983" s="6" t="str">
        <f>IF(A983="","",SUMIFS(Chicks!$N:$N,Chicks!$F:$F,A983))</f>
        <v/>
      </c>
      <c r="L983" s="6" t="str">
        <f>IF(A983="","",SUMIFS(Chicks!$O:$O,Chicks!$F:$F,A983))</f>
        <v/>
      </c>
      <c r="M983" s="6" t="str">
        <f>IF(A983="","",SUMIFS(Chicks!$P:$P,Chicks!$F:$F,A983))</f>
        <v/>
      </c>
      <c r="N983" s="6" t="str">
        <f t="shared" si="4"/>
        <v/>
      </c>
    </row>
    <row r="984" spans="6:14" ht="14.25" customHeight="1" x14ac:dyDescent="0.3">
      <c r="F984" s="6" t="str">
        <f>IF(A984="","",COUNTIF(Chicks!$F:$F,A984))</f>
        <v/>
      </c>
      <c r="G984" s="6" t="str">
        <f>IF(A984="","",COUNTIFS(Chicks!$F:$F,A984,Chicks!$I:$I,"Yes"))</f>
        <v/>
      </c>
      <c r="H984" s="6" t="str">
        <f>IF(A984="","",SUMIFS(Chicks!$J:$J,Chicks!$F:$F,A984))</f>
        <v/>
      </c>
      <c r="I984" s="6" t="str">
        <f>IF(A984="","",COUNTIFS(Chicks!$F:$F,A984,Chicks!$I:$I,"No"))</f>
        <v/>
      </c>
      <c r="J984" s="6" t="str">
        <f>IF(A984="","",IFERROR(AVERAGEIF(Chicks!$F:$F,A984,Chicks!$M:$M),""))</f>
        <v/>
      </c>
      <c r="K984" s="6" t="str">
        <f>IF(A984="","",SUMIFS(Chicks!$N:$N,Chicks!$F:$F,A984))</f>
        <v/>
      </c>
      <c r="L984" s="6" t="str">
        <f>IF(A984="","",SUMIFS(Chicks!$O:$O,Chicks!$F:$F,A984))</f>
        <v/>
      </c>
      <c r="M984" s="6" t="str">
        <f>IF(A984="","",SUMIFS(Chicks!$P:$P,Chicks!$F:$F,A984))</f>
        <v/>
      </c>
      <c r="N984" s="6" t="str">
        <f t="shared" si="4"/>
        <v/>
      </c>
    </row>
    <row r="985" spans="6:14" ht="14.25" customHeight="1" x14ac:dyDescent="0.3">
      <c r="F985" s="6" t="str">
        <f>IF(A985="","",COUNTIF(Chicks!$F:$F,A985))</f>
        <v/>
      </c>
      <c r="G985" s="6" t="str">
        <f>IF(A985="","",COUNTIFS(Chicks!$F:$F,A985,Chicks!$I:$I,"Yes"))</f>
        <v/>
      </c>
      <c r="H985" s="6" t="str">
        <f>IF(A985="","",SUMIFS(Chicks!$J:$J,Chicks!$F:$F,A985))</f>
        <v/>
      </c>
      <c r="I985" s="6" t="str">
        <f>IF(A985="","",COUNTIFS(Chicks!$F:$F,A985,Chicks!$I:$I,"No"))</f>
        <v/>
      </c>
      <c r="J985" s="6" t="str">
        <f>IF(A985="","",IFERROR(AVERAGEIF(Chicks!$F:$F,A985,Chicks!$M:$M),""))</f>
        <v/>
      </c>
      <c r="K985" s="6" t="str">
        <f>IF(A985="","",SUMIFS(Chicks!$N:$N,Chicks!$F:$F,A985))</f>
        <v/>
      </c>
      <c r="L985" s="6" t="str">
        <f>IF(A985="","",SUMIFS(Chicks!$O:$O,Chicks!$F:$F,A985))</f>
        <v/>
      </c>
      <c r="M985" s="6" t="str">
        <f>IF(A985="","",SUMIFS(Chicks!$P:$P,Chicks!$F:$F,A985))</f>
        <v/>
      </c>
      <c r="N985" s="6" t="str">
        <f t="shared" si="4"/>
        <v/>
      </c>
    </row>
    <row r="986" spans="6:14" ht="14.25" customHeight="1" x14ac:dyDescent="0.3">
      <c r="F986" s="6" t="str">
        <f>IF(A986="","",COUNTIF(Chicks!$F:$F,A986))</f>
        <v/>
      </c>
      <c r="G986" s="6" t="str">
        <f>IF(A986="","",COUNTIFS(Chicks!$F:$F,A986,Chicks!$I:$I,"Yes"))</f>
        <v/>
      </c>
      <c r="H986" s="6" t="str">
        <f>IF(A986="","",SUMIFS(Chicks!$J:$J,Chicks!$F:$F,A986))</f>
        <v/>
      </c>
      <c r="I986" s="6" t="str">
        <f>IF(A986="","",COUNTIFS(Chicks!$F:$F,A986,Chicks!$I:$I,"No"))</f>
        <v/>
      </c>
      <c r="J986" s="6" t="str">
        <f>IF(A986="","",IFERROR(AVERAGEIF(Chicks!$F:$F,A986,Chicks!$M:$M),""))</f>
        <v/>
      </c>
      <c r="K986" s="6" t="str">
        <f>IF(A986="","",SUMIFS(Chicks!$N:$N,Chicks!$F:$F,A986))</f>
        <v/>
      </c>
      <c r="L986" s="6" t="str">
        <f>IF(A986="","",SUMIFS(Chicks!$O:$O,Chicks!$F:$F,A986))</f>
        <v/>
      </c>
      <c r="M986" s="6" t="str">
        <f>IF(A986="","",SUMIFS(Chicks!$P:$P,Chicks!$F:$F,A986))</f>
        <v/>
      </c>
      <c r="N986" s="6" t="str">
        <f t="shared" si="4"/>
        <v/>
      </c>
    </row>
    <row r="987" spans="6:14" ht="14.25" customHeight="1" x14ac:dyDescent="0.3">
      <c r="F987" s="6" t="str">
        <f>IF(A987="","",COUNTIF(Chicks!$F:$F,A987))</f>
        <v/>
      </c>
      <c r="G987" s="6" t="str">
        <f>IF(A987="","",COUNTIFS(Chicks!$F:$F,A987,Chicks!$I:$I,"Yes"))</f>
        <v/>
      </c>
      <c r="H987" s="6" t="str">
        <f>IF(A987="","",SUMIFS(Chicks!$J:$J,Chicks!$F:$F,A987))</f>
        <v/>
      </c>
      <c r="I987" s="6" t="str">
        <f>IF(A987="","",COUNTIFS(Chicks!$F:$F,A987,Chicks!$I:$I,"No"))</f>
        <v/>
      </c>
      <c r="J987" s="6" t="str">
        <f>IF(A987="","",IFERROR(AVERAGEIF(Chicks!$F:$F,A987,Chicks!$M:$M),""))</f>
        <v/>
      </c>
      <c r="K987" s="6" t="str">
        <f>IF(A987="","",SUMIFS(Chicks!$N:$N,Chicks!$F:$F,A987))</f>
        <v/>
      </c>
      <c r="L987" s="6" t="str">
        <f>IF(A987="","",SUMIFS(Chicks!$O:$O,Chicks!$F:$F,A987))</f>
        <v/>
      </c>
      <c r="M987" s="6" t="str">
        <f>IF(A987="","",SUMIFS(Chicks!$P:$P,Chicks!$F:$F,A987))</f>
        <v/>
      </c>
      <c r="N987" s="6" t="str">
        <f t="shared" si="4"/>
        <v/>
      </c>
    </row>
    <row r="988" spans="6:14" ht="14.25" customHeight="1" x14ac:dyDescent="0.3">
      <c r="F988" s="6" t="str">
        <f>IF(A988="","",COUNTIF(Chicks!$F:$F,A988))</f>
        <v/>
      </c>
      <c r="G988" s="6" t="str">
        <f>IF(A988="","",COUNTIFS(Chicks!$F:$F,A988,Chicks!$I:$I,"Yes"))</f>
        <v/>
      </c>
      <c r="H988" s="6" t="str">
        <f>IF(A988="","",SUMIFS(Chicks!$J:$J,Chicks!$F:$F,A988))</f>
        <v/>
      </c>
      <c r="I988" s="6" t="str">
        <f>IF(A988="","",COUNTIFS(Chicks!$F:$F,A988,Chicks!$I:$I,"No"))</f>
        <v/>
      </c>
      <c r="J988" s="6" t="str">
        <f>IF(A988="","",IFERROR(AVERAGEIF(Chicks!$F:$F,A988,Chicks!$M:$M),""))</f>
        <v/>
      </c>
      <c r="K988" s="6" t="str">
        <f>IF(A988="","",SUMIFS(Chicks!$N:$N,Chicks!$F:$F,A988))</f>
        <v/>
      </c>
      <c r="L988" s="6" t="str">
        <f>IF(A988="","",SUMIFS(Chicks!$O:$O,Chicks!$F:$F,A988))</f>
        <v/>
      </c>
      <c r="M988" s="6" t="str">
        <f>IF(A988="","",SUMIFS(Chicks!$P:$P,Chicks!$F:$F,A988))</f>
        <v/>
      </c>
      <c r="N988" s="6" t="str">
        <f t="shared" si="4"/>
        <v/>
      </c>
    </row>
    <row r="989" spans="6:14" ht="14.25" customHeight="1" x14ac:dyDescent="0.3">
      <c r="F989" s="6" t="str">
        <f>IF(A989="","",COUNTIF(Chicks!$F:$F,A989))</f>
        <v/>
      </c>
      <c r="G989" s="6" t="str">
        <f>IF(A989="","",COUNTIFS(Chicks!$F:$F,A989,Chicks!$I:$I,"Yes"))</f>
        <v/>
      </c>
      <c r="H989" s="6" t="str">
        <f>IF(A989="","",SUMIFS(Chicks!$J:$J,Chicks!$F:$F,A989))</f>
        <v/>
      </c>
      <c r="I989" s="6" t="str">
        <f>IF(A989="","",COUNTIFS(Chicks!$F:$F,A989,Chicks!$I:$I,"No"))</f>
        <v/>
      </c>
      <c r="J989" s="6" t="str">
        <f>IF(A989="","",IFERROR(AVERAGEIF(Chicks!$F:$F,A989,Chicks!$M:$M),""))</f>
        <v/>
      </c>
      <c r="K989" s="6" t="str">
        <f>IF(A989="","",SUMIFS(Chicks!$N:$N,Chicks!$F:$F,A989))</f>
        <v/>
      </c>
      <c r="L989" s="6" t="str">
        <f>IF(A989="","",SUMIFS(Chicks!$O:$O,Chicks!$F:$F,A989))</f>
        <v/>
      </c>
      <c r="M989" s="6" t="str">
        <f>IF(A989="","",SUMIFS(Chicks!$P:$P,Chicks!$F:$F,A989))</f>
        <v/>
      </c>
      <c r="N989" s="6" t="str">
        <f t="shared" si="4"/>
        <v/>
      </c>
    </row>
    <row r="990" spans="6:14" ht="14.25" customHeight="1" x14ac:dyDescent="0.3">
      <c r="F990" s="6" t="str">
        <f>IF(A990="","",COUNTIF(Chicks!$F:$F,A990))</f>
        <v/>
      </c>
      <c r="G990" s="6" t="str">
        <f>IF(A990="","",COUNTIFS(Chicks!$F:$F,A990,Chicks!$I:$I,"Yes"))</f>
        <v/>
      </c>
      <c r="H990" s="6" t="str">
        <f>IF(A990="","",SUMIFS(Chicks!$J:$J,Chicks!$F:$F,A990))</f>
        <v/>
      </c>
      <c r="I990" s="6" t="str">
        <f>IF(A990="","",COUNTIFS(Chicks!$F:$F,A990,Chicks!$I:$I,"No"))</f>
        <v/>
      </c>
      <c r="J990" s="6" t="str">
        <f>IF(A990="","",IFERROR(AVERAGEIF(Chicks!$F:$F,A990,Chicks!$M:$M),""))</f>
        <v/>
      </c>
      <c r="K990" s="6" t="str">
        <f>IF(A990="","",SUMIFS(Chicks!$N:$N,Chicks!$F:$F,A990))</f>
        <v/>
      </c>
      <c r="L990" s="6" t="str">
        <f>IF(A990="","",SUMIFS(Chicks!$O:$O,Chicks!$F:$F,A990))</f>
        <v/>
      </c>
      <c r="M990" s="6" t="str">
        <f>IF(A990="","",SUMIFS(Chicks!$P:$P,Chicks!$F:$F,A990))</f>
        <v/>
      </c>
      <c r="N990" s="6" t="str">
        <f t="shared" si="4"/>
        <v/>
      </c>
    </row>
    <row r="991" spans="6:14" ht="14.25" customHeight="1" x14ac:dyDescent="0.3">
      <c r="F991" s="6" t="str">
        <f>IF(A991="","",COUNTIF(Chicks!$F:$F,A991))</f>
        <v/>
      </c>
      <c r="G991" s="6" t="str">
        <f>IF(A991="","",COUNTIFS(Chicks!$F:$F,A991,Chicks!$I:$I,"Yes"))</f>
        <v/>
      </c>
      <c r="H991" s="6" t="str">
        <f>IF(A991="","",SUMIFS(Chicks!$J:$J,Chicks!$F:$F,A991))</f>
        <v/>
      </c>
      <c r="I991" s="6" t="str">
        <f>IF(A991="","",COUNTIFS(Chicks!$F:$F,A991,Chicks!$I:$I,"No"))</f>
        <v/>
      </c>
      <c r="J991" s="6" t="str">
        <f>IF(A991="","",IFERROR(AVERAGEIF(Chicks!$F:$F,A991,Chicks!$M:$M),""))</f>
        <v/>
      </c>
      <c r="K991" s="6" t="str">
        <f>IF(A991="","",SUMIFS(Chicks!$N:$N,Chicks!$F:$F,A991))</f>
        <v/>
      </c>
      <c r="L991" s="6" t="str">
        <f>IF(A991="","",SUMIFS(Chicks!$O:$O,Chicks!$F:$F,A991))</f>
        <v/>
      </c>
      <c r="M991" s="6" t="str">
        <f>IF(A991="","",SUMIFS(Chicks!$P:$P,Chicks!$F:$F,A991))</f>
        <v/>
      </c>
      <c r="N991" s="6" t="str">
        <f t="shared" si="4"/>
        <v/>
      </c>
    </row>
    <row r="992" spans="6:14" ht="14.25" customHeight="1" x14ac:dyDescent="0.3">
      <c r="F992" s="6" t="str">
        <f>IF(A992="","",COUNTIF(Chicks!$F:$F,A992))</f>
        <v/>
      </c>
      <c r="G992" s="6" t="str">
        <f>IF(A992="","",COUNTIFS(Chicks!$F:$F,A992,Chicks!$I:$I,"Yes"))</f>
        <v/>
      </c>
      <c r="H992" s="6" t="str">
        <f>IF(A992="","",SUMIFS(Chicks!$J:$J,Chicks!$F:$F,A992))</f>
        <v/>
      </c>
      <c r="I992" s="6" t="str">
        <f>IF(A992="","",COUNTIFS(Chicks!$F:$F,A992,Chicks!$I:$I,"No"))</f>
        <v/>
      </c>
      <c r="J992" s="6" t="str">
        <f>IF(A992="","",IFERROR(AVERAGEIF(Chicks!$F:$F,A992,Chicks!$M:$M),""))</f>
        <v/>
      </c>
      <c r="K992" s="6" t="str">
        <f>IF(A992="","",SUMIFS(Chicks!$N:$N,Chicks!$F:$F,A992))</f>
        <v/>
      </c>
      <c r="L992" s="6" t="str">
        <f>IF(A992="","",SUMIFS(Chicks!$O:$O,Chicks!$F:$F,A992))</f>
        <v/>
      </c>
      <c r="M992" s="6" t="str">
        <f>IF(A992="","",SUMIFS(Chicks!$P:$P,Chicks!$F:$F,A992))</f>
        <v/>
      </c>
      <c r="N992" s="6" t="str">
        <f t="shared" si="4"/>
        <v/>
      </c>
    </row>
    <row r="993" spans="6:14" ht="14.25" customHeight="1" x14ac:dyDescent="0.3">
      <c r="F993" s="6" t="str">
        <f>IF(A993="","",COUNTIF(Chicks!$F:$F,A993))</f>
        <v/>
      </c>
      <c r="G993" s="6" t="str">
        <f>IF(A993="","",COUNTIFS(Chicks!$F:$F,A993,Chicks!$I:$I,"Yes"))</f>
        <v/>
      </c>
      <c r="H993" s="6" t="str">
        <f>IF(A993="","",SUMIFS(Chicks!$J:$J,Chicks!$F:$F,A993))</f>
        <v/>
      </c>
      <c r="I993" s="6" t="str">
        <f>IF(A993="","",COUNTIFS(Chicks!$F:$F,A993,Chicks!$I:$I,"No"))</f>
        <v/>
      </c>
      <c r="J993" s="6" t="str">
        <f>IF(A993="","",IFERROR(AVERAGEIF(Chicks!$F:$F,A993,Chicks!$M:$M),""))</f>
        <v/>
      </c>
      <c r="K993" s="6" t="str">
        <f>IF(A993="","",SUMIFS(Chicks!$N:$N,Chicks!$F:$F,A993))</f>
        <v/>
      </c>
      <c r="L993" s="6" t="str">
        <f>IF(A993="","",SUMIFS(Chicks!$O:$O,Chicks!$F:$F,A993))</f>
        <v/>
      </c>
      <c r="M993" s="6" t="str">
        <f>IF(A993="","",SUMIFS(Chicks!$P:$P,Chicks!$F:$F,A993))</f>
        <v/>
      </c>
      <c r="N993" s="6" t="str">
        <f t="shared" si="4"/>
        <v/>
      </c>
    </row>
    <row r="994" spans="6:14" ht="14.25" customHeight="1" x14ac:dyDescent="0.3">
      <c r="F994" s="6" t="str">
        <f>IF(A994="","",COUNTIF(Chicks!$F:$F,A994))</f>
        <v/>
      </c>
      <c r="G994" s="6" t="str">
        <f>IF(A994="","",COUNTIFS(Chicks!$F:$F,A994,Chicks!$I:$I,"Yes"))</f>
        <v/>
      </c>
      <c r="H994" s="6" t="str">
        <f>IF(A994="","",SUMIFS(Chicks!$J:$J,Chicks!$F:$F,A994))</f>
        <v/>
      </c>
      <c r="I994" s="6" t="str">
        <f>IF(A994="","",COUNTIFS(Chicks!$F:$F,A994,Chicks!$I:$I,"No"))</f>
        <v/>
      </c>
      <c r="J994" s="6" t="str">
        <f>IF(A994="","",IFERROR(AVERAGEIF(Chicks!$F:$F,A994,Chicks!$M:$M),""))</f>
        <v/>
      </c>
      <c r="K994" s="6" t="str">
        <f>IF(A994="","",SUMIFS(Chicks!$N:$N,Chicks!$F:$F,A994))</f>
        <v/>
      </c>
      <c r="L994" s="6" t="str">
        <f>IF(A994="","",SUMIFS(Chicks!$O:$O,Chicks!$F:$F,A994))</f>
        <v/>
      </c>
      <c r="M994" s="6" t="str">
        <f>IF(A994="","",SUMIFS(Chicks!$P:$P,Chicks!$F:$F,A994))</f>
        <v/>
      </c>
      <c r="N994" s="6" t="str">
        <f t="shared" si="4"/>
        <v/>
      </c>
    </row>
    <row r="995" spans="6:14" ht="14.25" customHeight="1" x14ac:dyDescent="0.3">
      <c r="F995" s="6" t="str">
        <f>IF(A995="","",COUNTIF(Chicks!$F:$F,A995))</f>
        <v/>
      </c>
      <c r="G995" s="6" t="str">
        <f>IF(A995="","",COUNTIFS(Chicks!$F:$F,A995,Chicks!$I:$I,"Yes"))</f>
        <v/>
      </c>
      <c r="H995" s="6" t="str">
        <f>IF(A995="","",SUMIFS(Chicks!$J:$J,Chicks!$F:$F,A995))</f>
        <v/>
      </c>
      <c r="I995" s="6" t="str">
        <f>IF(A995="","",COUNTIFS(Chicks!$F:$F,A995,Chicks!$I:$I,"No"))</f>
        <v/>
      </c>
      <c r="J995" s="6" t="str">
        <f>IF(A995="","",IFERROR(AVERAGEIF(Chicks!$F:$F,A995,Chicks!$M:$M),""))</f>
        <v/>
      </c>
      <c r="K995" s="6" t="str">
        <f>IF(A995="","",SUMIFS(Chicks!$N:$N,Chicks!$F:$F,A995))</f>
        <v/>
      </c>
      <c r="L995" s="6" t="str">
        <f>IF(A995="","",SUMIFS(Chicks!$O:$O,Chicks!$F:$F,A995))</f>
        <v/>
      </c>
      <c r="M995" s="6" t="str">
        <f>IF(A995="","",SUMIFS(Chicks!$P:$P,Chicks!$F:$F,A995))</f>
        <v/>
      </c>
      <c r="N995" s="6" t="str">
        <f t="shared" si="4"/>
        <v/>
      </c>
    </row>
    <row r="996" spans="6:14" ht="14.25" customHeight="1" x14ac:dyDescent="0.3">
      <c r="F996" s="6" t="str">
        <f>IF(A996="","",COUNTIF(Chicks!$F:$F,A996))</f>
        <v/>
      </c>
      <c r="G996" s="6" t="str">
        <f>IF(A996="","",COUNTIFS(Chicks!$F:$F,A996,Chicks!$I:$I,"Yes"))</f>
        <v/>
      </c>
      <c r="H996" s="6" t="str">
        <f>IF(A996="","",SUMIFS(Chicks!$J:$J,Chicks!$F:$F,A996))</f>
        <v/>
      </c>
      <c r="I996" s="6" t="str">
        <f>IF(A996="","",COUNTIFS(Chicks!$F:$F,A996,Chicks!$I:$I,"No"))</f>
        <v/>
      </c>
      <c r="J996" s="6" t="str">
        <f>IF(A996="","",IFERROR(AVERAGEIF(Chicks!$F:$F,A996,Chicks!$M:$M),""))</f>
        <v/>
      </c>
      <c r="K996" s="6" t="str">
        <f>IF(A996="","",SUMIFS(Chicks!$N:$N,Chicks!$F:$F,A996))</f>
        <v/>
      </c>
      <c r="L996" s="6" t="str">
        <f>IF(A996="","",SUMIFS(Chicks!$O:$O,Chicks!$F:$F,A996))</f>
        <v/>
      </c>
      <c r="M996" s="6" t="str">
        <f>IF(A996="","",SUMIFS(Chicks!$P:$P,Chicks!$F:$F,A996))</f>
        <v/>
      </c>
      <c r="N996" s="6" t="str">
        <f t="shared" si="4"/>
        <v/>
      </c>
    </row>
    <row r="997" spans="6:14" ht="14.25" customHeight="1" x14ac:dyDescent="0.3">
      <c r="F997" s="6" t="str">
        <f>IF(A997="","",COUNTIF(Chicks!$F:$F,A997))</f>
        <v/>
      </c>
      <c r="G997" s="6" t="str">
        <f>IF(A997="","",COUNTIFS(Chicks!$F:$F,A997,Chicks!$I:$I,"Yes"))</f>
        <v/>
      </c>
      <c r="H997" s="6" t="str">
        <f>IF(A997="","",SUMIFS(Chicks!$J:$J,Chicks!$F:$F,A997))</f>
        <v/>
      </c>
      <c r="I997" s="6" t="str">
        <f>IF(A997="","",COUNTIFS(Chicks!$F:$F,A997,Chicks!$I:$I,"No"))</f>
        <v/>
      </c>
      <c r="J997" s="6" t="str">
        <f>IF(A997="","",IFERROR(AVERAGEIF(Chicks!$F:$F,A997,Chicks!$M:$M),""))</f>
        <v/>
      </c>
      <c r="K997" s="6" t="str">
        <f>IF(A997="","",SUMIFS(Chicks!$N:$N,Chicks!$F:$F,A997))</f>
        <v/>
      </c>
      <c r="L997" s="6" t="str">
        <f>IF(A997="","",SUMIFS(Chicks!$O:$O,Chicks!$F:$F,A997))</f>
        <v/>
      </c>
      <c r="M997" s="6" t="str">
        <f>IF(A997="","",SUMIFS(Chicks!$P:$P,Chicks!$F:$F,A997))</f>
        <v/>
      </c>
      <c r="N997" s="6" t="str">
        <f t="shared" si="4"/>
        <v/>
      </c>
    </row>
    <row r="998" spans="6:14" ht="14.25" customHeight="1" x14ac:dyDescent="0.3"/>
    <row r="999" spans="6:14" ht="14.25" customHeight="1" x14ac:dyDescent="0.3"/>
    <row r="1000" spans="6:14" ht="14.25" customHeight="1" x14ac:dyDescent="0.3"/>
  </sheetData>
  <autoFilter ref="A1:N997" xr:uid="{00000000-0009-0000-0000-000002000000}">
    <filterColumn colId="5">
      <filters blank="1">
        <filter val="1"/>
        <filter val="2"/>
        <filter val="3"/>
        <filter val="6"/>
        <filter val="7"/>
        <filter val="8"/>
      </filters>
    </filterColumn>
  </autoFilter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0"/>
  <sheetViews>
    <sheetView workbookViewId="0"/>
  </sheetViews>
  <sheetFormatPr defaultColWidth="14.44140625" defaultRowHeight="15" customHeight="1" x14ac:dyDescent="0.3"/>
  <cols>
    <col min="1" max="1" width="20.109375" customWidth="1"/>
    <col min="2" max="2" width="18" customWidth="1"/>
    <col min="3" max="3" width="12" customWidth="1"/>
    <col min="4" max="5" width="15.33203125" customWidth="1"/>
    <col min="6" max="6" width="16" customWidth="1"/>
    <col min="7" max="7" width="20" customWidth="1"/>
    <col min="8" max="8" width="16" customWidth="1"/>
    <col min="9" max="10" width="14" customWidth="1"/>
    <col min="11" max="11" width="15.88671875" customWidth="1"/>
    <col min="12" max="12" width="8.109375" customWidth="1"/>
    <col min="13" max="13" width="9.109375" customWidth="1"/>
    <col min="14" max="14" width="8.6640625" customWidth="1"/>
    <col min="15" max="15" width="16.88671875" customWidth="1"/>
    <col min="16" max="26" width="8.6640625" customWidth="1"/>
  </cols>
  <sheetData>
    <row r="1" spans="1:15" ht="14.25" customHeight="1" x14ac:dyDescent="0.3">
      <c r="A1" s="11" t="s">
        <v>107</v>
      </c>
      <c r="B1" s="11" t="s">
        <v>95</v>
      </c>
      <c r="C1" s="11" t="s">
        <v>96</v>
      </c>
      <c r="D1" s="11" t="s">
        <v>97</v>
      </c>
      <c r="E1" s="11" t="s">
        <v>98</v>
      </c>
      <c r="F1" s="11" t="s">
        <v>99</v>
      </c>
      <c r="G1" s="11" t="s">
        <v>41</v>
      </c>
      <c r="H1" s="11" t="s">
        <v>100</v>
      </c>
      <c r="I1" s="11" t="s">
        <v>101</v>
      </c>
      <c r="J1" s="11" t="s">
        <v>102</v>
      </c>
      <c r="K1" s="11" t="s">
        <v>46</v>
      </c>
      <c r="L1" s="11" t="s">
        <v>47</v>
      </c>
      <c r="M1" s="11" t="s">
        <v>48</v>
      </c>
      <c r="N1" s="12" t="s">
        <v>103</v>
      </c>
      <c r="O1" s="11" t="s">
        <v>41</v>
      </c>
    </row>
    <row r="2" spans="1:15" ht="14.25" customHeight="1" x14ac:dyDescent="0.3">
      <c r="A2" s="4" t="s">
        <v>108</v>
      </c>
      <c r="B2" s="4">
        <v>624</v>
      </c>
      <c r="C2" s="4" t="s">
        <v>109</v>
      </c>
      <c r="D2" s="4" t="str">
        <f>IFERROR(AVERAGEIF(Chicks!$G:$G, $A2, Chicks!$H:$H), "")</f>
        <v/>
      </c>
      <c r="E2" s="4" t="s">
        <v>105</v>
      </c>
      <c r="F2" s="6">
        <f>IF(A2="","",COUNTIF(Chicks!$G:$G,A2))</f>
        <v>0</v>
      </c>
      <c r="G2" s="6">
        <f>IF(A2="","",COUNTIFS(Chicks!$G:$G,A2,Chicks!$I:$I,"Yes"))</f>
        <v>0</v>
      </c>
      <c r="H2" s="6">
        <f>IF(A2="","",SUMIFS(Chicks!$J:$J,Chicks!$G:$G,A2))</f>
        <v>0</v>
      </c>
      <c r="I2" s="6">
        <f>IF(A2="","",COUNTIFS(Chicks!$G:$G,A2,Chicks!$I:$I,"No"))</f>
        <v>0</v>
      </c>
      <c r="J2" s="7" t="str">
        <f>IF(A2="","",IFERROR(AVERAGEIF(Chicks!$G:$G,A2,Chicks!$M:$M),""))</f>
        <v/>
      </c>
      <c r="K2" s="6">
        <f>IF(A2="","",SUMIFS(Chicks!$N:$N,Chicks!$G:$G,A2))</f>
        <v>0</v>
      </c>
      <c r="L2" s="6">
        <f>IF(A2="","",SUMIFS(Chicks!$O:$O,Chicks!$G:$G,A2))</f>
        <v>0</v>
      </c>
      <c r="M2" s="6">
        <f>IF(A2="","",SUMIFS(Chicks!$P:$P,Chicks!$G:$G,A2))</f>
        <v>0</v>
      </c>
      <c r="N2" s="6" t="str">
        <f t="shared" ref="N2:N256" si="0">IF($J2="","",RANK($J2,$J$2:$J$998,0))</f>
        <v/>
      </c>
      <c r="O2" s="7" t="e">
        <f t="shared" ref="O2:O11" si="1">SUM(G2/F2)</f>
        <v>#DIV/0!</v>
      </c>
    </row>
    <row r="3" spans="1:15" ht="14.25" customHeight="1" x14ac:dyDescent="0.3">
      <c r="A3" s="4" t="s">
        <v>110</v>
      </c>
      <c r="B3" s="4">
        <v>19578</v>
      </c>
      <c r="C3" s="4" t="s">
        <v>109</v>
      </c>
      <c r="D3" s="4" t="str">
        <f>IFERROR(AVERAGEIF(Chicks!$G:$G, $A3, Chicks!$H:$H), "")</f>
        <v/>
      </c>
      <c r="E3" s="4" t="s">
        <v>111</v>
      </c>
      <c r="F3" s="6">
        <f>IF(A3="","",COUNTIF(Chicks!$G:$G,A3))</f>
        <v>0</v>
      </c>
      <c r="G3" s="6">
        <f>IF(A3="","",COUNTIFS(Chicks!$G:$G,A3,Chicks!$I:$I,"Yes"))</f>
        <v>0</v>
      </c>
      <c r="H3" s="6">
        <f>IF(A3="","",SUMIFS(Chicks!$J:$J,Chicks!$G:$G,A3))</f>
        <v>0</v>
      </c>
      <c r="I3" s="6">
        <f>IF(A3="","",COUNTIFS(Chicks!$G:$G,A3,Chicks!$I:$I,"No"))</f>
        <v>0</v>
      </c>
      <c r="J3" s="6" t="str">
        <f>IF(A3="","",IFERROR(AVERAGEIF(Chicks!$G:$G,A3,Chicks!$M:$M),""))</f>
        <v/>
      </c>
      <c r="K3" s="6">
        <f>IF(A3="","",SUMIFS(Chicks!$N:$N,Chicks!$G:$G,A3))</f>
        <v>0</v>
      </c>
      <c r="L3" s="6">
        <f>IF(A3="","",SUMIFS(Chicks!$O:$O,Chicks!$G:$G,A3))</f>
        <v>0</v>
      </c>
      <c r="M3" s="6">
        <f>IF(A3="","",SUMIFS(Chicks!$P:$P,Chicks!$G:$G,A3))</f>
        <v>0</v>
      </c>
      <c r="N3" s="6" t="str">
        <f t="shared" si="0"/>
        <v/>
      </c>
      <c r="O3" s="7" t="e">
        <f t="shared" si="1"/>
        <v>#DIV/0!</v>
      </c>
    </row>
    <row r="4" spans="1:15" ht="14.25" customHeight="1" x14ac:dyDescent="0.3">
      <c r="A4" s="4" t="s">
        <v>112</v>
      </c>
      <c r="B4" s="4">
        <v>7060</v>
      </c>
      <c r="C4" s="4" t="s">
        <v>109</v>
      </c>
      <c r="D4" s="4" t="str">
        <f>IFERROR(AVERAGEIF(Chicks!$G:$G, $A4, Chicks!$H:$H), "")</f>
        <v/>
      </c>
      <c r="E4" s="4" t="s">
        <v>113</v>
      </c>
      <c r="F4" s="6">
        <f>IF(A4="","",COUNTIF(Chicks!$G:$G,A4))</f>
        <v>0</v>
      </c>
      <c r="G4" s="6">
        <f>IF(A4="","",COUNTIFS(Chicks!$G:$G,A4,Chicks!$I:$I,"Yes"))</f>
        <v>0</v>
      </c>
      <c r="H4" s="6">
        <f>IF(A4="","",SUMIFS(Chicks!$J:$J,Chicks!$G:$G,A4))</f>
        <v>0</v>
      </c>
      <c r="I4" s="6">
        <f>IF(A4="","",COUNTIFS(Chicks!$G:$G,A4,Chicks!$I:$I,"No"))</f>
        <v>0</v>
      </c>
      <c r="J4" s="6" t="str">
        <f>IF(A4="","",IFERROR(AVERAGEIF(Chicks!$G:$G,A4,Chicks!$M:$M),""))</f>
        <v/>
      </c>
      <c r="K4" s="6">
        <f>IF(A4="","",SUMIFS(Chicks!$N:$N,Chicks!$G:$G,A4))</f>
        <v>0</v>
      </c>
      <c r="L4" s="6">
        <f>IF(A4="","",SUMIFS(Chicks!$O:$O,Chicks!$G:$G,A4))</f>
        <v>0</v>
      </c>
      <c r="M4" s="6">
        <f>IF(A4="","",SUMIFS(Chicks!$P:$P,Chicks!$G:$G,A4))</f>
        <v>0</v>
      </c>
      <c r="N4" s="6" t="str">
        <f t="shared" si="0"/>
        <v/>
      </c>
      <c r="O4" s="7" t="e">
        <f t="shared" si="1"/>
        <v>#DIV/0!</v>
      </c>
    </row>
    <row r="5" spans="1:15" ht="14.25" customHeight="1" x14ac:dyDescent="0.3">
      <c r="A5" s="4" t="s">
        <v>114</v>
      </c>
      <c r="B5" s="4">
        <v>19774</v>
      </c>
      <c r="C5" s="4" t="s">
        <v>109</v>
      </c>
      <c r="D5" s="4" t="str">
        <f>IFERROR(AVERAGEIF(Chicks!$G:$G, $A5, Chicks!$H:$H), "")</f>
        <v/>
      </c>
      <c r="E5" s="4" t="s">
        <v>105</v>
      </c>
      <c r="F5" s="6">
        <f>IF(A5="","",COUNTIF(Chicks!$G:$G,A5))</f>
        <v>0</v>
      </c>
      <c r="G5" s="6">
        <f>IF(A5="","",COUNTIFS(Chicks!$G:$G,A5,Chicks!$I:$I,"Yes"))</f>
        <v>0</v>
      </c>
      <c r="H5" s="6">
        <f>IF(A5="","",SUMIFS(Chicks!$J:$J,Chicks!$G:$G,A5))</f>
        <v>0</v>
      </c>
      <c r="I5" s="6">
        <f>IF(A5="","",COUNTIFS(Chicks!$G:$G,A5,Chicks!$I:$I,"No"))</f>
        <v>0</v>
      </c>
      <c r="J5" s="6" t="str">
        <f>IF(A5="","",IFERROR(AVERAGEIF(Chicks!$G:$G,A5,Chicks!$M:$M),""))</f>
        <v/>
      </c>
      <c r="K5" s="6">
        <f>IF(A5="","",SUMIFS(Chicks!$N:$N,Chicks!$G:$G,A5))</f>
        <v>0</v>
      </c>
      <c r="L5" s="6">
        <f>IF(A5="","",SUMIFS(Chicks!$O:$O,Chicks!$G:$G,A5))</f>
        <v>0</v>
      </c>
      <c r="M5" s="6">
        <f>IF(A5="","",SUMIFS(Chicks!$P:$P,Chicks!$G:$G,A5))</f>
        <v>0</v>
      </c>
      <c r="N5" s="6" t="str">
        <f t="shared" si="0"/>
        <v/>
      </c>
      <c r="O5" s="7" t="e">
        <f t="shared" si="1"/>
        <v>#DIV/0!</v>
      </c>
    </row>
    <row r="6" spans="1:15" ht="14.25" customHeight="1" x14ac:dyDescent="0.3">
      <c r="A6" s="4" t="s">
        <v>82</v>
      </c>
      <c r="B6" s="4">
        <v>2190</v>
      </c>
      <c r="C6" s="4" t="s">
        <v>109</v>
      </c>
      <c r="D6" s="4">
        <f>IFERROR(AVERAGEIF(Chicks!$G:$G, $A6, Chicks!$H:$H), "")</f>
        <v>84.375</v>
      </c>
      <c r="E6" s="4" t="s">
        <v>105</v>
      </c>
      <c r="F6" s="6">
        <f>IF(A6="","",COUNTIF(Chicks!$G:$G,A6))</f>
        <v>8</v>
      </c>
      <c r="G6" s="6">
        <f>IF(A6="","",COUNTIFS(Chicks!$G:$G,A6,Chicks!$I:$I,"Yes"))</f>
        <v>6</v>
      </c>
      <c r="H6" s="6">
        <f>IF(A6="","",SUMIFS(Chicks!$J:$J,Chicks!$G:$G,A6))</f>
        <v>6</v>
      </c>
      <c r="I6" s="6">
        <f>IF(A6="","",COUNTIFS(Chicks!$G:$G,A6,Chicks!$I:$I,"No"))</f>
        <v>2</v>
      </c>
      <c r="J6" s="7">
        <f>IF(A6="","",IFERROR(AVERAGEIF(Chicks!$G:$G,A6,Chicks!$M:$M),""))</f>
        <v>0.3659215974719407</v>
      </c>
      <c r="K6" s="6">
        <f>IF(A6="","",SUMIFS(Chicks!$N:$N,Chicks!$G:$G,A6))</f>
        <v>0</v>
      </c>
      <c r="L6" s="6">
        <f>IF(A6="","",SUMIFS(Chicks!$O:$O,Chicks!$G:$G,A6))</f>
        <v>0</v>
      </c>
      <c r="M6" s="6">
        <f>IF(A6="","",SUMIFS(Chicks!$P:$P,Chicks!$G:$G,A6))</f>
        <v>0</v>
      </c>
      <c r="N6" s="6">
        <f t="shared" si="0"/>
        <v>6</v>
      </c>
      <c r="O6" s="7">
        <f t="shared" si="1"/>
        <v>0.75</v>
      </c>
    </row>
    <row r="7" spans="1:15" ht="14.25" customHeight="1" x14ac:dyDescent="0.3">
      <c r="A7" s="4" t="s">
        <v>75</v>
      </c>
      <c r="B7" s="4">
        <v>233</v>
      </c>
      <c r="C7" s="4" t="s">
        <v>109</v>
      </c>
      <c r="D7" s="4">
        <f>IFERROR(AVERAGEIF(Chicks!$G:$G, $A7, Chicks!$H:$H), "")</f>
        <v>84.166666666666671</v>
      </c>
      <c r="E7" s="4" t="s">
        <v>105</v>
      </c>
      <c r="F7" s="6">
        <f>IF(A7="","",COUNTIF(Chicks!$G:$G,A7))</f>
        <v>6</v>
      </c>
      <c r="G7" s="6">
        <f>IF(A7="","",COUNTIFS(Chicks!$G:$G,A7,Chicks!$I:$I,"Yes"))</f>
        <v>5</v>
      </c>
      <c r="H7" s="6">
        <f>IF(A7="","",SUMIFS(Chicks!$J:$J,Chicks!$G:$G,A7))</f>
        <v>2</v>
      </c>
      <c r="I7" s="6">
        <f>IF(A7="","",COUNTIFS(Chicks!$G:$G,A7,Chicks!$I:$I,"No"))</f>
        <v>1</v>
      </c>
      <c r="J7" s="7">
        <f>IF(A7="","",IFERROR(AVERAGEIF(Chicks!$G:$G,A7,Chicks!$M:$M),""))</f>
        <v>0.39982020268061458</v>
      </c>
      <c r="K7" s="6">
        <f>IF(A7="","",SUMIFS(Chicks!$N:$N,Chicks!$G:$G,A7))</f>
        <v>0</v>
      </c>
      <c r="L7" s="6">
        <f>IF(A7="","",SUMIFS(Chicks!$O:$O,Chicks!$G:$G,A7))</f>
        <v>0</v>
      </c>
      <c r="M7" s="6">
        <f>IF(A7="","",SUMIFS(Chicks!$P:$P,Chicks!$G:$G,A7))</f>
        <v>0</v>
      </c>
      <c r="N7" s="6">
        <f t="shared" si="0"/>
        <v>5</v>
      </c>
      <c r="O7" s="7">
        <f t="shared" si="1"/>
        <v>0.83333333333333337</v>
      </c>
    </row>
    <row r="8" spans="1:15" ht="14.25" customHeight="1" x14ac:dyDescent="0.3">
      <c r="A8" s="4" t="s">
        <v>55</v>
      </c>
      <c r="B8" s="4">
        <v>17032</v>
      </c>
      <c r="C8" s="4" t="s">
        <v>109</v>
      </c>
      <c r="D8" s="4">
        <f>IFERROR(AVERAGEIF(Chicks!$G:$G, $A8, Chicks!$H:$H), "")</f>
        <v>81</v>
      </c>
      <c r="E8" s="4" t="s">
        <v>105</v>
      </c>
      <c r="F8" s="6">
        <f>IF(A8="","",COUNTIF(Chicks!$G:$G,A8))</f>
        <v>6</v>
      </c>
      <c r="G8" s="6">
        <f>IF(A8="","",COUNTIFS(Chicks!$G:$G,A8,Chicks!$I:$I,"Yes"))</f>
        <v>3</v>
      </c>
      <c r="H8" s="6">
        <f>IF(A8="","",SUMIFS(Chicks!$J:$J,Chicks!$G:$G,A8))</f>
        <v>3</v>
      </c>
      <c r="I8" s="6">
        <f>IF(A8="","",COUNTIFS(Chicks!$G:$G,A8,Chicks!$I:$I,"No"))</f>
        <v>3</v>
      </c>
      <c r="J8" s="7">
        <f>IF(A8="","",IFERROR(AVERAGEIF(Chicks!$G:$G,A8,Chicks!$M:$M),""))</f>
        <v>0.63230392557480664</v>
      </c>
      <c r="K8" s="6">
        <f>IF(A8="","",SUMIFS(Chicks!$N:$N,Chicks!$G:$G,A8))</f>
        <v>0</v>
      </c>
      <c r="L8" s="6">
        <f>IF(A8="","",SUMIFS(Chicks!$O:$O,Chicks!$G:$G,A8))</f>
        <v>0</v>
      </c>
      <c r="M8" s="6">
        <f>IF(A8="","",SUMIFS(Chicks!$P:$P,Chicks!$G:$G,A8))</f>
        <v>1</v>
      </c>
      <c r="N8" s="6">
        <f t="shared" si="0"/>
        <v>3</v>
      </c>
      <c r="O8" s="7">
        <f t="shared" si="1"/>
        <v>0.5</v>
      </c>
    </row>
    <row r="9" spans="1:15" ht="14.25" customHeight="1" x14ac:dyDescent="0.3">
      <c r="A9" s="4" t="s">
        <v>62</v>
      </c>
      <c r="B9" s="4">
        <v>255</v>
      </c>
      <c r="C9" s="4" t="s">
        <v>109</v>
      </c>
      <c r="D9" s="4">
        <f>IFERROR(AVERAGEIF(Chicks!$G:$G, $A9, Chicks!$H:$H), "")</f>
        <v>80.714285714285708</v>
      </c>
      <c r="E9" s="4" t="s">
        <v>105</v>
      </c>
      <c r="F9" s="6">
        <f>IF(A9="","",COUNTIF(Chicks!$G:$G,A9))</f>
        <v>7</v>
      </c>
      <c r="G9" s="6">
        <f>IF(A9="","",COUNTIFS(Chicks!$G:$G,A9,Chicks!$I:$I,"Yes"))</f>
        <v>1</v>
      </c>
      <c r="H9" s="6">
        <f>IF(A9="","",SUMIFS(Chicks!$J:$J,Chicks!$G:$G,A9))</f>
        <v>2</v>
      </c>
      <c r="I9" s="6">
        <f>IF(A9="","",COUNTIFS(Chicks!$G:$G,A9,Chicks!$I:$I,"No"))</f>
        <v>6</v>
      </c>
      <c r="J9" s="7">
        <f>IF(A9="","",IFERROR(AVERAGEIF(Chicks!$G:$G,A9,Chicks!$M:$M),""))</f>
        <v>0.65702929197994986</v>
      </c>
      <c r="K9" s="6">
        <f>IF(A9="","",SUMIFS(Chicks!$N:$N,Chicks!$G:$G,A9))</f>
        <v>1</v>
      </c>
      <c r="L9" s="6">
        <f>IF(A9="","",SUMIFS(Chicks!$O:$O,Chicks!$G:$G,A9))</f>
        <v>0</v>
      </c>
      <c r="M9" s="6">
        <f>IF(A9="","",SUMIFS(Chicks!$P:$P,Chicks!$G:$G,A9))</f>
        <v>1</v>
      </c>
      <c r="N9" s="6">
        <f t="shared" si="0"/>
        <v>1</v>
      </c>
      <c r="O9" s="7">
        <f t="shared" si="1"/>
        <v>0.14285714285714285</v>
      </c>
    </row>
    <row r="10" spans="1:15" ht="14.25" customHeight="1" x14ac:dyDescent="0.3">
      <c r="A10" s="4" t="s">
        <v>71</v>
      </c>
      <c r="B10" s="4">
        <v>243</v>
      </c>
      <c r="C10" s="4" t="s">
        <v>109</v>
      </c>
      <c r="D10" s="4">
        <f>IFERROR(AVERAGEIF(Chicks!$G:$G, $A10, Chicks!$H:$H), "")</f>
        <v>78.75</v>
      </c>
      <c r="E10" s="4" t="s">
        <v>105</v>
      </c>
      <c r="F10" s="6">
        <f>IF(A10="","",COUNTIF(Chicks!$G:$G,A10))</f>
        <v>5</v>
      </c>
      <c r="G10" s="6">
        <f>IF(A10="","",COUNTIFS(Chicks!$G:$G,A10,Chicks!$I:$I,"Yes"))</f>
        <v>2</v>
      </c>
      <c r="H10" s="6">
        <f>IF(A10="","",SUMIFS(Chicks!$J:$J,Chicks!$G:$G,A10))</f>
        <v>1</v>
      </c>
      <c r="I10" s="6">
        <f>IF(A10="","",COUNTIFS(Chicks!$G:$G,A10,Chicks!$I:$I,"No"))</f>
        <v>3</v>
      </c>
      <c r="J10" s="7">
        <f>IF(A10="","",IFERROR(AVERAGEIF(Chicks!$G:$G,A10,Chicks!$M:$M),""))</f>
        <v>0.6378446115288221</v>
      </c>
      <c r="K10" s="6">
        <f>IF(A10="","",SUMIFS(Chicks!$N:$N,Chicks!$G:$G,A10))</f>
        <v>0</v>
      </c>
      <c r="L10" s="6">
        <f>IF(A10="","",SUMIFS(Chicks!$O:$O,Chicks!$G:$G,A10))</f>
        <v>0</v>
      </c>
      <c r="M10" s="6">
        <f>IF(A10="","",SUMIFS(Chicks!$P:$P,Chicks!$G:$G,A10))</f>
        <v>0</v>
      </c>
      <c r="N10" s="6">
        <f t="shared" si="0"/>
        <v>2</v>
      </c>
      <c r="O10" s="7">
        <f t="shared" si="1"/>
        <v>0.4</v>
      </c>
    </row>
    <row r="11" spans="1:15" ht="14.25" customHeight="1" x14ac:dyDescent="0.3">
      <c r="A11" s="4" t="s">
        <v>51</v>
      </c>
      <c r="B11" s="4">
        <v>9331</v>
      </c>
      <c r="C11" s="4" t="s">
        <v>109</v>
      </c>
      <c r="D11" s="4">
        <f>IFERROR(AVERAGEIF(Chicks!$G:$G, $A11, Chicks!$H:$H), "")</f>
        <v>77.5</v>
      </c>
      <c r="E11" s="4" t="s">
        <v>105</v>
      </c>
      <c r="F11" s="6">
        <f>IF(A11="","",COUNTIF(Chicks!$G:$G,A11))</f>
        <v>6</v>
      </c>
      <c r="G11" s="6">
        <f>IF(A11="","",COUNTIFS(Chicks!$G:$G,A11,Chicks!$I:$I,"Yes"))</f>
        <v>4</v>
      </c>
      <c r="H11" s="6">
        <f>IF(A11="","",SUMIFS(Chicks!$J:$J,Chicks!$G:$G,A11))</f>
        <v>2</v>
      </c>
      <c r="I11" s="6">
        <f>IF(A11="","",COUNTIFS(Chicks!$G:$G,A11,Chicks!$I:$I,"No"))</f>
        <v>2</v>
      </c>
      <c r="J11" s="7">
        <f>IF(A11="","",IFERROR(AVERAGEIF(Chicks!$G:$G,A11,Chicks!$M:$M),""))</f>
        <v>0.5794976571864443</v>
      </c>
      <c r="K11" s="6">
        <f>IF(A11="","",SUMIFS(Chicks!$N:$N,Chicks!$G:$G,A11))</f>
        <v>0</v>
      </c>
      <c r="L11" s="6">
        <f>IF(A11="","",SUMIFS(Chicks!$O:$O,Chicks!$G:$G,A11))</f>
        <v>0</v>
      </c>
      <c r="M11" s="6">
        <f>IF(A11="","",SUMIFS(Chicks!$P:$P,Chicks!$G:$G,A11))</f>
        <v>0</v>
      </c>
      <c r="N11" s="6">
        <f t="shared" si="0"/>
        <v>4</v>
      </c>
      <c r="O11" s="7">
        <f t="shared" si="1"/>
        <v>0.66666666666666663</v>
      </c>
    </row>
    <row r="12" spans="1:15" ht="14.25" customHeight="1" x14ac:dyDescent="0.3">
      <c r="A12" s="4"/>
      <c r="B12" s="4"/>
      <c r="C12" s="4"/>
      <c r="D12" s="4"/>
      <c r="E12" s="4"/>
      <c r="F12" s="6" t="str">
        <f>IF(A12="","",COUNTIF(Chicks!$G:$G,A12))</f>
        <v/>
      </c>
      <c r="G12" s="6" t="str">
        <f>IF(A12="","",COUNTIFS(Chicks!$G:$G,A12,Chicks!$I:$I,"Yes"))</f>
        <v/>
      </c>
      <c r="H12" s="6" t="str">
        <f>IF(A12="","",SUMIFS(Chicks!$J:$J,Chicks!$G:$G,A12))</f>
        <v/>
      </c>
      <c r="I12" s="6" t="str">
        <f>IF(A12="","",COUNTIFS(Chicks!$G:$G,A12,Chicks!$I:$I,"No"))</f>
        <v/>
      </c>
      <c r="J12" s="6" t="str">
        <f>IF(A12="","",IFERROR(AVERAGEIF(Chicks!$G:$G,A12,Chicks!$M:$M),""))</f>
        <v/>
      </c>
      <c r="K12" s="6" t="str">
        <f>IF(A12="","",SUMIFS(Chicks!$N:$N,Chicks!$G:$G,A12))</f>
        <v/>
      </c>
      <c r="L12" s="6" t="str">
        <f>IF(A12="","",SUMIFS(Chicks!$O:$O,Chicks!$G:$G,A12))</f>
        <v/>
      </c>
      <c r="M12" s="6" t="str">
        <f>IF(A12="","",SUMIFS(Chicks!$P:$P,Chicks!$G:$G,A12))</f>
        <v/>
      </c>
      <c r="N12" s="6" t="str">
        <f t="shared" si="0"/>
        <v/>
      </c>
    </row>
    <row r="13" spans="1:15" ht="14.25" customHeight="1" x14ac:dyDescent="0.3">
      <c r="A13" s="4"/>
      <c r="B13" s="4"/>
      <c r="C13" s="4"/>
      <c r="D13" s="4"/>
      <c r="E13" s="4"/>
      <c r="F13" s="6" t="str">
        <f>IF(A13="","",COUNTIF(Chicks!$G:$G,A13))</f>
        <v/>
      </c>
      <c r="G13" s="6" t="str">
        <f>IF(A13="","",COUNTIFS(Chicks!$G:$G,A13,Chicks!$I:$I,"Yes"))</f>
        <v/>
      </c>
      <c r="H13" s="6" t="str">
        <f>IF(A13="","",SUMIFS(Chicks!$J:$J,Chicks!$G:$G,A13))</f>
        <v/>
      </c>
      <c r="I13" s="6" t="str">
        <f>IF(A13="","",COUNTIFS(Chicks!$G:$G,A13,Chicks!$I:$I,"No"))</f>
        <v/>
      </c>
      <c r="J13" s="6" t="str">
        <f>IF(A13="","",IFERROR(AVERAGEIF(Chicks!$G:$G,A13,Chicks!$M:$M),""))</f>
        <v/>
      </c>
      <c r="K13" s="6" t="str">
        <f>IF(A13="","",SUMIFS(Chicks!$N:$N,Chicks!$G:$G,A13))</f>
        <v/>
      </c>
      <c r="L13" s="6" t="str">
        <f>IF(A13="","",SUMIFS(Chicks!$O:$O,Chicks!$G:$G,A13))</f>
        <v/>
      </c>
      <c r="M13" s="6" t="str">
        <f>IF(A13="","",SUMIFS(Chicks!$P:$P,Chicks!$G:$G,A13))</f>
        <v/>
      </c>
      <c r="N13" s="6" t="str">
        <f t="shared" si="0"/>
        <v/>
      </c>
    </row>
    <row r="14" spans="1:15" ht="14.25" customHeight="1" x14ac:dyDescent="0.3">
      <c r="A14" s="4"/>
      <c r="B14" s="4"/>
      <c r="C14" s="4"/>
      <c r="D14" s="4"/>
      <c r="E14" s="4"/>
      <c r="F14" s="6" t="str">
        <f>IF(A14="","",COUNTIF(Chicks!$G:$G,A14))</f>
        <v/>
      </c>
      <c r="G14" s="6" t="str">
        <f>IF(A14="","",COUNTIFS(Chicks!$G:$G,A14,Chicks!$I:$I,"Yes"))</f>
        <v/>
      </c>
      <c r="H14" s="6" t="str">
        <f>IF(A14="","",SUMIFS(Chicks!$J:$J,Chicks!$G:$G,A14))</f>
        <v/>
      </c>
      <c r="I14" s="6" t="str">
        <f>IF(A14="","",COUNTIFS(Chicks!$G:$G,A14,Chicks!$I:$I,"No"))</f>
        <v/>
      </c>
      <c r="J14" s="6" t="str">
        <f>IF(A14="","",IFERROR(AVERAGEIF(Chicks!$G:$G,A14,Chicks!$M:$M),""))</f>
        <v/>
      </c>
      <c r="K14" s="6" t="str">
        <f>IF(A14="","",SUMIFS(Chicks!$N:$N,Chicks!$G:$G,A14))</f>
        <v/>
      </c>
      <c r="L14" s="6" t="str">
        <f>IF(A14="","",SUMIFS(Chicks!$O:$O,Chicks!$G:$G,A14))</f>
        <v/>
      </c>
      <c r="M14" s="6" t="str">
        <f>IF(A14="","",SUMIFS(Chicks!$P:$P,Chicks!$G:$G,A14))</f>
        <v/>
      </c>
      <c r="N14" s="6" t="str">
        <f t="shared" si="0"/>
        <v/>
      </c>
    </row>
    <row r="15" spans="1:15" ht="14.25" customHeight="1" x14ac:dyDescent="0.3">
      <c r="A15" s="4"/>
      <c r="B15" s="4"/>
      <c r="C15" s="4"/>
      <c r="D15" s="4"/>
      <c r="E15" s="4"/>
      <c r="F15" s="6" t="str">
        <f>IF(A15="","",COUNTIF(Chicks!$G:$G,A15))</f>
        <v/>
      </c>
      <c r="G15" s="6" t="str">
        <f>IF(A15="","",COUNTIFS(Chicks!$G:$G,A15,Chicks!$I:$I,"Yes"))</f>
        <v/>
      </c>
      <c r="H15" s="6" t="str">
        <f>IF(A15="","",SUMIFS(Chicks!$J:$J,Chicks!$G:$G,A15))</f>
        <v/>
      </c>
      <c r="I15" s="6" t="str">
        <f>IF(A15="","",COUNTIFS(Chicks!$G:$G,A15,Chicks!$I:$I,"No"))</f>
        <v/>
      </c>
      <c r="J15" s="6" t="str">
        <f>IF(A15="","",IFERROR(AVERAGEIF(Chicks!$G:$G,A15,Chicks!$M:$M),""))</f>
        <v/>
      </c>
      <c r="K15" s="6" t="str">
        <f>IF(A15="","",SUMIFS(Chicks!$N:$N,Chicks!$G:$G,A15))</f>
        <v/>
      </c>
      <c r="L15" s="6" t="str">
        <f>IF(A15="","",SUMIFS(Chicks!$O:$O,Chicks!$G:$G,A15))</f>
        <v/>
      </c>
      <c r="M15" s="6" t="str">
        <f>IF(A15="","",SUMIFS(Chicks!$P:$P,Chicks!$G:$G,A15))</f>
        <v/>
      </c>
      <c r="N15" s="6" t="str">
        <f t="shared" si="0"/>
        <v/>
      </c>
    </row>
    <row r="16" spans="1:15" ht="14.25" customHeight="1" x14ac:dyDescent="0.3">
      <c r="A16" s="4"/>
      <c r="B16" s="4"/>
      <c r="C16" s="4"/>
      <c r="D16" s="4"/>
      <c r="E16" s="4"/>
      <c r="F16" s="6" t="str">
        <f>IF(A16="","",COUNTIF(Chicks!$G:$G,A16))</f>
        <v/>
      </c>
      <c r="G16" s="6" t="str">
        <f>IF(A16="","",COUNTIFS(Chicks!$G:$G,A16,Chicks!$I:$I,"Yes"))</f>
        <v/>
      </c>
      <c r="H16" s="6" t="str">
        <f>IF(A16="","",SUMIFS(Chicks!$J:$J,Chicks!$G:$G,A16))</f>
        <v/>
      </c>
      <c r="I16" s="6" t="str">
        <f>IF(A16="","",COUNTIFS(Chicks!$G:$G,A16,Chicks!$I:$I,"No"))</f>
        <v/>
      </c>
      <c r="J16" s="6" t="str">
        <f>IF(A16="","",IFERROR(AVERAGEIF(Chicks!$G:$G,A16,Chicks!$M:$M),""))</f>
        <v/>
      </c>
      <c r="K16" s="6" t="str">
        <f>IF(A16="","",SUMIFS(Chicks!$N:$N,Chicks!$G:$G,A16))</f>
        <v/>
      </c>
      <c r="L16" s="6" t="str">
        <f>IF(A16="","",SUMIFS(Chicks!$O:$O,Chicks!$G:$G,A16))</f>
        <v/>
      </c>
      <c r="M16" s="6" t="str">
        <f>IF(A16="","",SUMIFS(Chicks!$P:$P,Chicks!$G:$G,A16))</f>
        <v/>
      </c>
      <c r="N16" s="6" t="str">
        <f t="shared" si="0"/>
        <v/>
      </c>
    </row>
    <row r="17" spans="1:14" ht="14.25" customHeight="1" x14ac:dyDescent="0.3">
      <c r="A17" s="4"/>
      <c r="B17" s="4"/>
      <c r="C17" s="4"/>
      <c r="D17" s="4"/>
      <c r="E17" s="4"/>
      <c r="F17" s="6" t="str">
        <f>IF(A17="","",COUNTIF(Chicks!$G:$G,A17))</f>
        <v/>
      </c>
      <c r="G17" s="6" t="str">
        <f>IF(A17="","",COUNTIFS(Chicks!$G:$G,A17,Chicks!$I:$I,"Yes"))</f>
        <v/>
      </c>
      <c r="H17" s="6" t="str">
        <f>IF(A17="","",SUMIFS(Chicks!$J:$J,Chicks!$G:$G,A17))</f>
        <v/>
      </c>
      <c r="I17" s="6" t="str">
        <f>IF(A17="","",COUNTIFS(Chicks!$G:$G,A17,Chicks!$I:$I,"No"))</f>
        <v/>
      </c>
      <c r="J17" s="6" t="str">
        <f>IF(A17="","",IFERROR(AVERAGEIF(Chicks!$G:$G,A17,Chicks!$M:$M),""))</f>
        <v/>
      </c>
      <c r="K17" s="6" t="str">
        <f>IF(A17="","",SUMIFS(Chicks!$N:$N,Chicks!$G:$G,A17))</f>
        <v/>
      </c>
      <c r="L17" s="6" t="str">
        <f>IF(A17="","",SUMIFS(Chicks!$O:$O,Chicks!$G:$G,A17))</f>
        <v/>
      </c>
      <c r="M17" s="6" t="str">
        <f>IF(A17="","",SUMIFS(Chicks!$P:$P,Chicks!$G:$G,A17))</f>
        <v/>
      </c>
      <c r="N17" s="6" t="str">
        <f t="shared" si="0"/>
        <v/>
      </c>
    </row>
    <row r="18" spans="1:14" ht="14.25" customHeight="1" x14ac:dyDescent="0.3">
      <c r="A18" s="4"/>
      <c r="B18" s="4"/>
      <c r="C18" s="4"/>
      <c r="D18" s="4"/>
      <c r="E18" s="4"/>
      <c r="F18" s="6" t="str">
        <f>IF(A18="","",COUNTIF(Chicks!$G:$G,A18))</f>
        <v/>
      </c>
      <c r="G18" s="6" t="str">
        <f>IF(A18="","",COUNTIFS(Chicks!$G:$G,A18,Chicks!$I:$I,"Yes"))</f>
        <v/>
      </c>
      <c r="H18" s="6" t="str">
        <f>IF(A18="","",SUMIFS(Chicks!$J:$J,Chicks!$G:$G,A18))</f>
        <v/>
      </c>
      <c r="I18" s="6" t="str">
        <f>IF(A18="","",COUNTIFS(Chicks!$G:$G,A18,Chicks!$I:$I,"No"))</f>
        <v/>
      </c>
      <c r="J18" s="6" t="str">
        <f>IF(A18="","",IFERROR(AVERAGEIF(Chicks!$G:$G,A18,Chicks!$M:$M),""))</f>
        <v/>
      </c>
      <c r="K18" s="6" t="str">
        <f>IF(A18="","",SUMIFS(Chicks!$N:$N,Chicks!$G:$G,A18))</f>
        <v/>
      </c>
      <c r="L18" s="6" t="str">
        <f>IF(A18="","",SUMIFS(Chicks!$O:$O,Chicks!$G:$G,A18))</f>
        <v/>
      </c>
      <c r="M18" s="6" t="str">
        <f>IF(A18="","",SUMIFS(Chicks!$P:$P,Chicks!$G:$G,A18))</f>
        <v/>
      </c>
      <c r="N18" s="6" t="str">
        <f t="shared" si="0"/>
        <v/>
      </c>
    </row>
    <row r="19" spans="1:14" ht="14.25" customHeight="1" x14ac:dyDescent="0.3">
      <c r="A19" s="4"/>
      <c r="B19" s="4"/>
      <c r="C19" s="4"/>
      <c r="D19" s="4"/>
      <c r="E19" s="4"/>
      <c r="F19" s="6" t="str">
        <f>IF(A19="","",COUNTIF(Chicks!$G:$G,A19))</f>
        <v/>
      </c>
      <c r="G19" s="6" t="str">
        <f>IF(A19="","",COUNTIFS(Chicks!$G:$G,A19,Chicks!$I:$I,"Yes"))</f>
        <v/>
      </c>
      <c r="H19" s="6" t="str">
        <f>IF(A19="","",SUMIFS(Chicks!$J:$J,Chicks!$G:$G,A19))</f>
        <v/>
      </c>
      <c r="I19" s="6" t="str">
        <f>IF(A19="","",COUNTIFS(Chicks!$G:$G,A19,Chicks!$I:$I,"No"))</f>
        <v/>
      </c>
      <c r="J19" s="6" t="str">
        <f>IF(A19="","",IFERROR(AVERAGEIF(Chicks!$G:$G,A19,Chicks!$M:$M),""))</f>
        <v/>
      </c>
      <c r="K19" s="6" t="str">
        <f>IF(A19="","",SUMIFS(Chicks!$N:$N,Chicks!$G:$G,A19))</f>
        <v/>
      </c>
      <c r="L19" s="6" t="str">
        <f>IF(A19="","",SUMIFS(Chicks!$O:$O,Chicks!$G:$G,A19))</f>
        <v/>
      </c>
      <c r="M19" s="6" t="str">
        <f>IF(A19="","",SUMIFS(Chicks!$P:$P,Chicks!$G:$G,A19))</f>
        <v/>
      </c>
      <c r="N19" s="6" t="str">
        <f t="shared" si="0"/>
        <v/>
      </c>
    </row>
    <row r="20" spans="1:14" ht="14.25" customHeight="1" x14ac:dyDescent="0.3">
      <c r="A20" s="4"/>
      <c r="B20" s="4"/>
      <c r="C20" s="4"/>
      <c r="D20" s="4"/>
      <c r="E20" s="4"/>
      <c r="F20" s="6" t="str">
        <f>IF(A20="","",COUNTIF(Chicks!$G:$G,A20))</f>
        <v/>
      </c>
      <c r="G20" s="6" t="str">
        <f>IF(A20="","",COUNTIFS(Chicks!$G:$G,A20,Chicks!$I:$I,"Yes"))</f>
        <v/>
      </c>
      <c r="H20" s="6" t="str">
        <f>IF(A20="","",SUMIFS(Chicks!$J:$J,Chicks!$G:$G,A20))</f>
        <v/>
      </c>
      <c r="I20" s="6" t="str">
        <f>IF(A20="","",COUNTIFS(Chicks!$G:$G,A20,Chicks!$I:$I,"No"))</f>
        <v/>
      </c>
      <c r="J20" s="6" t="str">
        <f>IF(A20="","",IFERROR(AVERAGEIF(Chicks!$G:$G,A20,Chicks!$M:$M),""))</f>
        <v/>
      </c>
      <c r="K20" s="6" t="str">
        <f>IF(A20="","",SUMIFS(Chicks!$N:$N,Chicks!$G:$G,A20))</f>
        <v/>
      </c>
      <c r="L20" s="6" t="str">
        <f>IF(A20="","",SUMIFS(Chicks!$O:$O,Chicks!$G:$G,A20))</f>
        <v/>
      </c>
      <c r="M20" s="6" t="str">
        <f>IF(A20="","",SUMIFS(Chicks!$P:$P,Chicks!$G:$G,A20))</f>
        <v/>
      </c>
      <c r="N20" s="6" t="str">
        <f t="shared" si="0"/>
        <v/>
      </c>
    </row>
    <row r="21" spans="1:14" ht="14.25" customHeight="1" x14ac:dyDescent="0.3">
      <c r="A21" s="4"/>
      <c r="B21" s="4"/>
      <c r="C21" s="4"/>
      <c r="D21" s="4"/>
      <c r="E21" s="4"/>
      <c r="F21" s="6" t="str">
        <f>IF(A21="","",COUNTIF(Chicks!$G:$G,A21))</f>
        <v/>
      </c>
      <c r="G21" s="6" t="str">
        <f>IF(A21="","",COUNTIFS(Chicks!$G:$G,A21,Chicks!$I:$I,"Yes"))</f>
        <v/>
      </c>
      <c r="H21" s="6" t="str">
        <f>IF(A21="","",SUMIFS(Chicks!$J:$J,Chicks!$G:$G,A21))</f>
        <v/>
      </c>
      <c r="I21" s="6" t="str">
        <f>IF(A21="","",COUNTIFS(Chicks!$G:$G,A21,Chicks!$I:$I,"No"))</f>
        <v/>
      </c>
      <c r="J21" s="6" t="str">
        <f>IF(A21="","",IFERROR(AVERAGEIF(Chicks!$G:$G,A21,Chicks!$M:$M),""))</f>
        <v/>
      </c>
      <c r="K21" s="6" t="str">
        <f>IF(A21="","",SUMIFS(Chicks!$N:$N,Chicks!$G:$G,A21))</f>
        <v/>
      </c>
      <c r="L21" s="6" t="str">
        <f>IF(A21="","",SUMIFS(Chicks!$O:$O,Chicks!$G:$G,A21))</f>
        <v/>
      </c>
      <c r="M21" s="6" t="str">
        <f>IF(A21="","",SUMIFS(Chicks!$P:$P,Chicks!$G:$G,A21))</f>
        <v/>
      </c>
      <c r="N21" s="6" t="str">
        <f t="shared" si="0"/>
        <v/>
      </c>
    </row>
    <row r="22" spans="1:14" ht="14.25" customHeight="1" x14ac:dyDescent="0.3">
      <c r="A22" s="4"/>
      <c r="B22" s="4"/>
      <c r="C22" s="4"/>
      <c r="D22" s="4"/>
      <c r="E22" s="4"/>
      <c r="F22" s="6" t="str">
        <f>IF(A22="","",COUNTIF(Chicks!$G:$G,A22))</f>
        <v/>
      </c>
      <c r="G22" s="6" t="str">
        <f>IF(A22="","",COUNTIFS(Chicks!$G:$G,A22,Chicks!$I:$I,"Yes"))</f>
        <v/>
      </c>
      <c r="H22" s="6" t="str">
        <f>IF(A22="","",SUMIFS(Chicks!$J:$J,Chicks!$G:$G,A22))</f>
        <v/>
      </c>
      <c r="I22" s="6" t="str">
        <f>IF(A22="","",COUNTIFS(Chicks!$G:$G,A22,Chicks!$I:$I,"No"))</f>
        <v/>
      </c>
      <c r="J22" s="6" t="str">
        <f>IF(A22="","",IFERROR(AVERAGEIF(Chicks!$G:$G,A22,Chicks!$M:$M),""))</f>
        <v/>
      </c>
      <c r="K22" s="6" t="str">
        <f>IF(A22="","",SUMIFS(Chicks!$N:$N,Chicks!$G:$G,A22))</f>
        <v/>
      </c>
      <c r="L22" s="6" t="str">
        <f>IF(A22="","",SUMIFS(Chicks!$O:$O,Chicks!$G:$G,A22))</f>
        <v/>
      </c>
      <c r="M22" s="6" t="str">
        <f>IF(A22="","",SUMIFS(Chicks!$P:$P,Chicks!$G:$G,A22))</f>
        <v/>
      </c>
      <c r="N22" s="6" t="str">
        <f t="shared" si="0"/>
        <v/>
      </c>
    </row>
    <row r="23" spans="1:14" ht="14.25" customHeight="1" x14ac:dyDescent="0.3">
      <c r="A23" s="4"/>
      <c r="B23" s="4"/>
      <c r="C23" s="4"/>
      <c r="D23" s="4"/>
      <c r="E23" s="4"/>
      <c r="F23" s="6" t="str">
        <f>IF(A23="","",COUNTIF(Chicks!$G:$G,A23))</f>
        <v/>
      </c>
      <c r="G23" s="6" t="str">
        <f>IF(A23="","",COUNTIFS(Chicks!$G:$G,A23,Chicks!$I:$I,"Yes"))</f>
        <v/>
      </c>
      <c r="H23" s="6" t="str">
        <f>IF(A23="","",SUMIFS(Chicks!$J:$J,Chicks!$G:$G,A23))</f>
        <v/>
      </c>
      <c r="I23" s="6" t="str">
        <f>IF(A23="","",COUNTIFS(Chicks!$G:$G,A23,Chicks!$I:$I,"No"))</f>
        <v/>
      </c>
      <c r="J23" s="6" t="str">
        <f>IF(A23="","",IFERROR(AVERAGEIF(Chicks!$G:$G,A23,Chicks!$M:$M),""))</f>
        <v/>
      </c>
      <c r="K23" s="6" t="str">
        <f>IF(A23="","",SUMIFS(Chicks!$N:$N,Chicks!$G:$G,A23))</f>
        <v/>
      </c>
      <c r="L23" s="6" t="str">
        <f>IF(A23="","",SUMIFS(Chicks!$O:$O,Chicks!$G:$G,A23))</f>
        <v/>
      </c>
      <c r="M23" s="6" t="str">
        <f>IF(A23="","",SUMIFS(Chicks!$P:$P,Chicks!$G:$G,A23))</f>
        <v/>
      </c>
      <c r="N23" s="6" t="str">
        <f t="shared" si="0"/>
        <v/>
      </c>
    </row>
    <row r="24" spans="1:14" ht="14.25" customHeight="1" x14ac:dyDescent="0.3">
      <c r="A24" s="4"/>
      <c r="B24" s="4"/>
      <c r="C24" s="4"/>
      <c r="D24" s="4"/>
      <c r="E24" s="4"/>
      <c r="F24" s="6" t="str">
        <f>IF(A24="","",COUNTIF(Chicks!$G:$G,A24))</f>
        <v/>
      </c>
      <c r="G24" s="6" t="str">
        <f>IF(A24="","",COUNTIFS(Chicks!$G:$G,A24,Chicks!$I:$I,"Yes"))</f>
        <v/>
      </c>
      <c r="H24" s="6" t="str">
        <f>IF(A24="","",SUMIFS(Chicks!$J:$J,Chicks!$G:$G,A24))</f>
        <v/>
      </c>
      <c r="I24" s="6" t="str">
        <f>IF(A24="","",COUNTIFS(Chicks!$G:$G,A24,Chicks!$I:$I,"No"))</f>
        <v/>
      </c>
      <c r="J24" s="6" t="str">
        <f>IF(A24="","",IFERROR(AVERAGEIF(Chicks!$G:$G,A24,Chicks!$M:$M),""))</f>
        <v/>
      </c>
      <c r="K24" s="6" t="str">
        <f>IF(A24="","",SUMIFS(Chicks!$N:$N,Chicks!$G:$G,A24))</f>
        <v/>
      </c>
      <c r="L24" s="6" t="str">
        <f>IF(A24="","",SUMIFS(Chicks!$O:$O,Chicks!$G:$G,A24))</f>
        <v/>
      </c>
      <c r="M24" s="6" t="str">
        <f>IF(A24="","",SUMIFS(Chicks!$P:$P,Chicks!$G:$G,A24))</f>
        <v/>
      </c>
      <c r="N24" s="6" t="str">
        <f t="shared" si="0"/>
        <v/>
      </c>
    </row>
    <row r="25" spans="1:14" ht="14.25" customHeight="1" x14ac:dyDescent="0.3">
      <c r="A25" s="4"/>
      <c r="B25" s="4"/>
      <c r="C25" s="4"/>
      <c r="D25" s="4"/>
      <c r="E25" s="4"/>
      <c r="F25" s="6" t="str">
        <f>IF(A25="","",COUNTIF(Chicks!$G:$G,A25))</f>
        <v/>
      </c>
      <c r="G25" s="6" t="str">
        <f>IF(A25="","",COUNTIFS(Chicks!$G:$G,A25,Chicks!$I:$I,"Yes"))</f>
        <v/>
      </c>
      <c r="H25" s="6" t="str">
        <f>IF(A25="","",SUMIFS(Chicks!$J:$J,Chicks!$G:$G,A25))</f>
        <v/>
      </c>
      <c r="I25" s="6" t="str">
        <f>IF(A25="","",COUNTIFS(Chicks!$G:$G,A25,Chicks!$I:$I,"No"))</f>
        <v/>
      </c>
      <c r="J25" s="6" t="str">
        <f>IF(A25="","",IFERROR(AVERAGEIF(Chicks!$G:$G,A25,Chicks!$M:$M),""))</f>
        <v/>
      </c>
      <c r="K25" s="6" t="str">
        <f>IF(A25="","",SUMIFS(Chicks!$N:$N,Chicks!$G:$G,A25))</f>
        <v/>
      </c>
      <c r="L25" s="6" t="str">
        <f>IF(A25="","",SUMIFS(Chicks!$O:$O,Chicks!$G:$G,A25))</f>
        <v/>
      </c>
      <c r="M25" s="6" t="str">
        <f>IF(A25="","",SUMIFS(Chicks!$P:$P,Chicks!$G:$G,A25))</f>
        <v/>
      </c>
      <c r="N25" s="6" t="str">
        <f t="shared" si="0"/>
        <v/>
      </c>
    </row>
    <row r="26" spans="1:14" ht="14.25" customHeight="1" x14ac:dyDescent="0.3">
      <c r="A26" s="4"/>
      <c r="B26" s="4"/>
      <c r="C26" s="4"/>
      <c r="D26" s="4"/>
      <c r="E26" s="4"/>
      <c r="F26" s="6" t="str">
        <f>IF(A26="","",COUNTIF(Chicks!$G:$G,A26))</f>
        <v/>
      </c>
      <c r="G26" s="6" t="str">
        <f>IF(A26="","",COUNTIFS(Chicks!$G:$G,A26,Chicks!$I:$I,"Yes"))</f>
        <v/>
      </c>
      <c r="H26" s="6" t="str">
        <f>IF(A26="","",SUMIFS(Chicks!$J:$J,Chicks!$G:$G,A26))</f>
        <v/>
      </c>
      <c r="I26" s="6" t="str">
        <f>IF(A26="","",COUNTIFS(Chicks!$G:$G,A26,Chicks!$I:$I,"No"))</f>
        <v/>
      </c>
      <c r="J26" s="6" t="str">
        <f>IF(A26="","",IFERROR(AVERAGEIF(Chicks!$G:$G,A26,Chicks!$M:$M),""))</f>
        <v/>
      </c>
      <c r="K26" s="6" t="str">
        <f>IF(A26="","",SUMIFS(Chicks!$N:$N,Chicks!$G:$G,A26))</f>
        <v/>
      </c>
      <c r="L26" s="6" t="str">
        <f>IF(A26="","",SUMIFS(Chicks!$O:$O,Chicks!$G:$G,A26))</f>
        <v/>
      </c>
      <c r="M26" s="6" t="str">
        <f>IF(A26="","",SUMIFS(Chicks!$P:$P,Chicks!$G:$G,A26))</f>
        <v/>
      </c>
      <c r="N26" s="6" t="str">
        <f t="shared" si="0"/>
        <v/>
      </c>
    </row>
    <row r="27" spans="1:14" ht="14.25" customHeight="1" x14ac:dyDescent="0.3">
      <c r="A27" s="4"/>
      <c r="B27" s="4"/>
      <c r="C27" s="4"/>
      <c r="D27" s="4"/>
      <c r="E27" s="4"/>
      <c r="F27" s="6" t="str">
        <f>IF(A27="","",COUNTIF(Chicks!$G:$G,A27))</f>
        <v/>
      </c>
      <c r="G27" s="6" t="str">
        <f>IF(A27="","",COUNTIFS(Chicks!$G:$G,A27,Chicks!$I:$I,"Yes"))</f>
        <v/>
      </c>
      <c r="H27" s="6" t="str">
        <f>IF(A27="","",SUMIFS(Chicks!$J:$J,Chicks!$G:$G,A27))</f>
        <v/>
      </c>
      <c r="I27" s="6" t="str">
        <f>IF(A27="","",COUNTIFS(Chicks!$G:$G,A27,Chicks!$I:$I,"No"))</f>
        <v/>
      </c>
      <c r="J27" s="6" t="str">
        <f>IF(A27="","",IFERROR(AVERAGEIF(Chicks!$G:$G,A27,Chicks!$M:$M),""))</f>
        <v/>
      </c>
      <c r="K27" s="6" t="str">
        <f>IF(A27="","",SUMIFS(Chicks!$N:$N,Chicks!$G:$G,A27))</f>
        <v/>
      </c>
      <c r="L27" s="6" t="str">
        <f>IF(A27="","",SUMIFS(Chicks!$O:$O,Chicks!$G:$G,A27))</f>
        <v/>
      </c>
      <c r="M27" s="6" t="str">
        <f>IF(A27="","",SUMIFS(Chicks!$P:$P,Chicks!$G:$G,A27))</f>
        <v/>
      </c>
      <c r="N27" s="6" t="str">
        <f t="shared" si="0"/>
        <v/>
      </c>
    </row>
    <row r="28" spans="1:14" ht="14.25" customHeight="1" x14ac:dyDescent="0.3">
      <c r="A28" s="4"/>
      <c r="B28" s="4"/>
      <c r="C28" s="4"/>
      <c r="D28" s="4"/>
      <c r="E28" s="4"/>
      <c r="F28" s="6" t="str">
        <f>IF(A28="","",COUNTIF(Chicks!$G:$G,A28))</f>
        <v/>
      </c>
      <c r="G28" s="6" t="str">
        <f>IF(A28="","",COUNTIFS(Chicks!$G:$G,A28,Chicks!$I:$I,"Yes"))</f>
        <v/>
      </c>
      <c r="H28" s="6" t="str">
        <f>IF(A28="","",SUMIFS(Chicks!$J:$J,Chicks!$G:$G,A28))</f>
        <v/>
      </c>
      <c r="I28" s="6" t="str">
        <f>IF(A28="","",COUNTIFS(Chicks!$G:$G,A28,Chicks!$I:$I,"No"))</f>
        <v/>
      </c>
      <c r="J28" s="6" t="str">
        <f>IF(A28="","",IFERROR(AVERAGEIF(Chicks!$G:$G,A28,Chicks!$M:$M),""))</f>
        <v/>
      </c>
      <c r="K28" s="6" t="str">
        <f>IF(A28="","",SUMIFS(Chicks!$N:$N,Chicks!$G:$G,A28))</f>
        <v/>
      </c>
      <c r="L28" s="6" t="str">
        <f>IF(A28="","",SUMIFS(Chicks!$O:$O,Chicks!$G:$G,A28))</f>
        <v/>
      </c>
      <c r="M28" s="6" t="str">
        <f>IF(A28="","",SUMIFS(Chicks!$P:$P,Chicks!$G:$G,A28))</f>
        <v/>
      </c>
      <c r="N28" s="6" t="str">
        <f t="shared" si="0"/>
        <v/>
      </c>
    </row>
    <row r="29" spans="1:14" ht="14.25" customHeight="1" x14ac:dyDescent="0.3">
      <c r="A29" s="4"/>
      <c r="B29" s="4"/>
      <c r="C29" s="4"/>
      <c r="D29" s="4"/>
      <c r="E29" s="4"/>
      <c r="F29" s="6" t="str">
        <f>IF(A29="","",COUNTIF(Chicks!$G:$G,A29))</f>
        <v/>
      </c>
      <c r="G29" s="6" t="str">
        <f>IF(A29="","",COUNTIFS(Chicks!$G:$G,A29,Chicks!$I:$I,"Yes"))</f>
        <v/>
      </c>
      <c r="H29" s="6" t="str">
        <f>IF(A29="","",SUMIFS(Chicks!$J:$J,Chicks!$G:$G,A29))</f>
        <v/>
      </c>
      <c r="I29" s="6" t="str">
        <f>IF(A29="","",COUNTIFS(Chicks!$G:$G,A29,Chicks!$I:$I,"No"))</f>
        <v/>
      </c>
      <c r="J29" s="6" t="str">
        <f>IF(A29="","",IFERROR(AVERAGEIF(Chicks!$G:$G,A29,Chicks!$M:$M),""))</f>
        <v/>
      </c>
      <c r="K29" s="6" t="str">
        <f>IF(A29="","",SUMIFS(Chicks!$N:$N,Chicks!$G:$G,A29))</f>
        <v/>
      </c>
      <c r="L29" s="6" t="str">
        <f>IF(A29="","",SUMIFS(Chicks!$O:$O,Chicks!$G:$G,A29))</f>
        <v/>
      </c>
      <c r="M29" s="6" t="str">
        <f>IF(A29="","",SUMIFS(Chicks!$P:$P,Chicks!$G:$G,A29))</f>
        <v/>
      </c>
      <c r="N29" s="6" t="str">
        <f t="shared" si="0"/>
        <v/>
      </c>
    </row>
    <row r="30" spans="1:14" ht="14.25" customHeight="1" x14ac:dyDescent="0.3">
      <c r="A30" s="4"/>
      <c r="B30" s="4"/>
      <c r="C30" s="4"/>
      <c r="D30" s="4"/>
      <c r="E30" s="4"/>
      <c r="F30" s="6" t="str">
        <f>IF(A30="","",COUNTIF(Chicks!$G:$G,A30))</f>
        <v/>
      </c>
      <c r="G30" s="6" t="str">
        <f>IF(A30="","",COUNTIFS(Chicks!$G:$G,A30,Chicks!$I:$I,"Yes"))</f>
        <v/>
      </c>
      <c r="H30" s="6" t="str">
        <f>IF(A30="","",SUMIFS(Chicks!$J:$J,Chicks!$G:$G,A30))</f>
        <v/>
      </c>
      <c r="I30" s="6" t="str">
        <f>IF(A30="","",COUNTIFS(Chicks!$G:$G,A30,Chicks!$I:$I,"No"))</f>
        <v/>
      </c>
      <c r="J30" s="6" t="str">
        <f>IF(A30="","",IFERROR(AVERAGEIF(Chicks!$G:$G,A30,Chicks!$M:$M),""))</f>
        <v/>
      </c>
      <c r="K30" s="6" t="str">
        <f>IF(A30="","",SUMIFS(Chicks!$N:$N,Chicks!$G:$G,A30))</f>
        <v/>
      </c>
      <c r="L30" s="6" t="str">
        <f>IF(A30="","",SUMIFS(Chicks!$O:$O,Chicks!$G:$G,A30))</f>
        <v/>
      </c>
      <c r="M30" s="6" t="str">
        <f>IF(A30="","",SUMIFS(Chicks!$P:$P,Chicks!$G:$G,A30))</f>
        <v/>
      </c>
      <c r="N30" s="6" t="str">
        <f t="shared" si="0"/>
        <v/>
      </c>
    </row>
    <row r="31" spans="1:14" ht="14.25" customHeight="1" x14ac:dyDescent="0.3">
      <c r="A31" s="4"/>
      <c r="B31" s="4"/>
      <c r="C31" s="4"/>
      <c r="D31" s="4"/>
      <c r="E31" s="4"/>
      <c r="F31" s="6" t="str">
        <f>IF(A31="","",COUNTIF(Chicks!$G:$G,A31))</f>
        <v/>
      </c>
      <c r="G31" s="6" t="str">
        <f>IF(A31="","",COUNTIFS(Chicks!$G:$G,A31,Chicks!$I:$I,"Yes"))</f>
        <v/>
      </c>
      <c r="H31" s="6" t="str">
        <f>IF(A31="","",SUMIFS(Chicks!$J:$J,Chicks!$G:$G,A31))</f>
        <v/>
      </c>
      <c r="I31" s="6" t="str">
        <f>IF(A31="","",COUNTIFS(Chicks!$G:$G,A31,Chicks!$I:$I,"No"))</f>
        <v/>
      </c>
      <c r="J31" s="6" t="str">
        <f>IF(A31="","",IFERROR(AVERAGEIF(Chicks!$G:$G,A31,Chicks!$M:$M),""))</f>
        <v/>
      </c>
      <c r="K31" s="6" t="str">
        <f>IF(A31="","",SUMIFS(Chicks!$N:$N,Chicks!$G:$G,A31))</f>
        <v/>
      </c>
      <c r="L31" s="6" t="str">
        <f>IF(A31="","",SUMIFS(Chicks!$O:$O,Chicks!$G:$G,A31))</f>
        <v/>
      </c>
      <c r="M31" s="6" t="str">
        <f>IF(A31="","",SUMIFS(Chicks!$P:$P,Chicks!$G:$G,A31))</f>
        <v/>
      </c>
      <c r="N31" s="6" t="str">
        <f t="shared" si="0"/>
        <v/>
      </c>
    </row>
    <row r="32" spans="1:14" ht="14.25" customHeight="1" x14ac:dyDescent="0.3">
      <c r="A32" s="4"/>
      <c r="B32" s="4"/>
      <c r="C32" s="4"/>
      <c r="D32" s="4"/>
      <c r="E32" s="4"/>
      <c r="F32" s="6" t="str">
        <f>IF(A32="","",COUNTIF(Chicks!$G:$G,A32))</f>
        <v/>
      </c>
      <c r="G32" s="6" t="str">
        <f>IF(A32="","",COUNTIFS(Chicks!$G:$G,A32,Chicks!$I:$I,"Yes"))</f>
        <v/>
      </c>
      <c r="H32" s="6" t="str">
        <f>IF(A32="","",SUMIFS(Chicks!$J:$J,Chicks!$G:$G,A32))</f>
        <v/>
      </c>
      <c r="I32" s="6" t="str">
        <f>IF(A32="","",COUNTIFS(Chicks!$G:$G,A32,Chicks!$I:$I,"No"))</f>
        <v/>
      </c>
      <c r="J32" s="6" t="str">
        <f>IF(A32="","",IFERROR(AVERAGEIF(Chicks!$G:$G,A32,Chicks!$M:$M),""))</f>
        <v/>
      </c>
      <c r="K32" s="6" t="str">
        <f>IF(A32="","",SUMIFS(Chicks!$N:$N,Chicks!$G:$G,A32))</f>
        <v/>
      </c>
      <c r="L32" s="6" t="str">
        <f>IF(A32="","",SUMIFS(Chicks!$O:$O,Chicks!$G:$G,A32))</f>
        <v/>
      </c>
      <c r="M32" s="6" t="str">
        <f>IF(A32="","",SUMIFS(Chicks!$P:$P,Chicks!$G:$G,A32))</f>
        <v/>
      </c>
      <c r="N32" s="6" t="str">
        <f t="shared" si="0"/>
        <v/>
      </c>
    </row>
    <row r="33" spans="1:14" ht="14.25" customHeight="1" x14ac:dyDescent="0.3">
      <c r="A33" s="4"/>
      <c r="B33" s="4"/>
      <c r="C33" s="4"/>
      <c r="D33" s="4"/>
      <c r="E33" s="4"/>
      <c r="F33" s="6" t="str">
        <f>IF(A33="","",COUNTIF(Chicks!$G:$G,A33))</f>
        <v/>
      </c>
      <c r="G33" s="6" t="str">
        <f>IF(A33="","",COUNTIFS(Chicks!$G:$G,A33,Chicks!$I:$I,"Yes"))</f>
        <v/>
      </c>
      <c r="H33" s="6" t="str">
        <f>IF(A33="","",SUMIFS(Chicks!$J:$J,Chicks!$G:$G,A33))</f>
        <v/>
      </c>
      <c r="I33" s="6" t="str">
        <f>IF(A33="","",COUNTIFS(Chicks!$G:$G,A33,Chicks!$I:$I,"No"))</f>
        <v/>
      </c>
      <c r="J33" s="6" t="str">
        <f>IF(A33="","",IFERROR(AVERAGEIF(Chicks!$G:$G,A33,Chicks!$M:$M),""))</f>
        <v/>
      </c>
      <c r="K33" s="6" t="str">
        <f>IF(A33="","",SUMIFS(Chicks!$N:$N,Chicks!$G:$G,A33))</f>
        <v/>
      </c>
      <c r="L33" s="6" t="str">
        <f>IF(A33="","",SUMIFS(Chicks!$O:$O,Chicks!$G:$G,A33))</f>
        <v/>
      </c>
      <c r="M33" s="6" t="str">
        <f>IF(A33="","",SUMIFS(Chicks!$P:$P,Chicks!$G:$G,A33))</f>
        <v/>
      </c>
      <c r="N33" s="6" t="str">
        <f t="shared" si="0"/>
        <v/>
      </c>
    </row>
    <row r="34" spans="1:14" ht="14.25" customHeight="1" x14ac:dyDescent="0.3">
      <c r="A34" s="4"/>
      <c r="B34" s="4"/>
      <c r="C34" s="4"/>
      <c r="D34" s="4"/>
      <c r="E34" s="4"/>
      <c r="F34" s="6" t="str">
        <f>IF(A34="","",COUNTIF(Chicks!$G:$G,A34))</f>
        <v/>
      </c>
      <c r="G34" s="6" t="str">
        <f>IF(A34="","",COUNTIFS(Chicks!$G:$G,A34,Chicks!$I:$I,"Yes"))</f>
        <v/>
      </c>
      <c r="H34" s="6" t="str">
        <f>IF(A34="","",SUMIFS(Chicks!$J:$J,Chicks!$G:$G,A34))</f>
        <v/>
      </c>
      <c r="I34" s="6" t="str">
        <f>IF(A34="","",COUNTIFS(Chicks!$G:$G,A34,Chicks!$I:$I,"No"))</f>
        <v/>
      </c>
      <c r="J34" s="6" t="str">
        <f>IF(A34="","",IFERROR(AVERAGEIF(Chicks!$G:$G,A34,Chicks!$M:$M),""))</f>
        <v/>
      </c>
      <c r="K34" s="6" t="str">
        <f>IF(A34="","",SUMIFS(Chicks!$N:$N,Chicks!$G:$G,A34))</f>
        <v/>
      </c>
      <c r="L34" s="6" t="str">
        <f>IF(A34="","",SUMIFS(Chicks!$O:$O,Chicks!$G:$G,A34))</f>
        <v/>
      </c>
      <c r="M34" s="6" t="str">
        <f>IF(A34="","",SUMIFS(Chicks!$P:$P,Chicks!$G:$G,A34))</f>
        <v/>
      </c>
      <c r="N34" s="6" t="str">
        <f t="shared" si="0"/>
        <v/>
      </c>
    </row>
    <row r="35" spans="1:14" ht="14.25" customHeight="1" x14ac:dyDescent="0.3">
      <c r="A35" s="4"/>
      <c r="B35" s="4"/>
      <c r="C35" s="4"/>
      <c r="D35" s="4"/>
      <c r="E35" s="4"/>
      <c r="F35" s="6" t="str">
        <f>IF(A35="","",COUNTIF(Chicks!$G:$G,A35))</f>
        <v/>
      </c>
      <c r="G35" s="6" t="str">
        <f>IF(A35="","",COUNTIFS(Chicks!$G:$G,A35,Chicks!$I:$I,"Yes"))</f>
        <v/>
      </c>
      <c r="H35" s="6" t="str">
        <f>IF(A35="","",SUMIFS(Chicks!$J:$J,Chicks!$G:$G,A35))</f>
        <v/>
      </c>
      <c r="I35" s="6" t="str">
        <f>IF(A35="","",COUNTIFS(Chicks!$G:$G,A35,Chicks!$I:$I,"No"))</f>
        <v/>
      </c>
      <c r="J35" s="6" t="str">
        <f>IF(A35="","",IFERROR(AVERAGEIF(Chicks!$G:$G,A35,Chicks!$M:$M),""))</f>
        <v/>
      </c>
      <c r="K35" s="6" t="str">
        <f>IF(A35="","",SUMIFS(Chicks!$N:$N,Chicks!$G:$G,A35))</f>
        <v/>
      </c>
      <c r="L35" s="6" t="str">
        <f>IF(A35="","",SUMIFS(Chicks!$O:$O,Chicks!$G:$G,A35))</f>
        <v/>
      </c>
      <c r="M35" s="6" t="str">
        <f>IF(A35="","",SUMIFS(Chicks!$P:$P,Chicks!$G:$G,A35))</f>
        <v/>
      </c>
      <c r="N35" s="6" t="str">
        <f t="shared" si="0"/>
        <v/>
      </c>
    </row>
    <row r="36" spans="1:14" ht="14.25" customHeight="1" x14ac:dyDescent="0.3">
      <c r="A36" s="4"/>
      <c r="B36" s="4"/>
      <c r="C36" s="4"/>
      <c r="D36" s="4"/>
      <c r="E36" s="4"/>
      <c r="F36" s="6" t="str">
        <f>IF(A36="","",COUNTIF(Chicks!$G:$G,A36))</f>
        <v/>
      </c>
      <c r="G36" s="6" t="str">
        <f>IF(A36="","",COUNTIFS(Chicks!$G:$G,A36,Chicks!$I:$I,"Yes"))</f>
        <v/>
      </c>
      <c r="H36" s="6" t="str">
        <f>IF(A36="","",SUMIFS(Chicks!$J:$J,Chicks!$G:$G,A36))</f>
        <v/>
      </c>
      <c r="I36" s="6" t="str">
        <f>IF(A36="","",COUNTIFS(Chicks!$G:$G,A36,Chicks!$I:$I,"No"))</f>
        <v/>
      </c>
      <c r="J36" s="6" t="str">
        <f>IF(A36="","",IFERROR(AVERAGEIF(Chicks!$G:$G,A36,Chicks!$M:$M),""))</f>
        <v/>
      </c>
      <c r="K36" s="6" t="str">
        <f>IF(A36="","",SUMIFS(Chicks!$N:$N,Chicks!$G:$G,A36))</f>
        <v/>
      </c>
      <c r="L36" s="6" t="str">
        <f>IF(A36="","",SUMIFS(Chicks!$O:$O,Chicks!$G:$G,A36))</f>
        <v/>
      </c>
      <c r="M36" s="6" t="str">
        <f>IF(A36="","",SUMIFS(Chicks!$P:$P,Chicks!$G:$G,A36))</f>
        <v/>
      </c>
      <c r="N36" s="6" t="str">
        <f t="shared" si="0"/>
        <v/>
      </c>
    </row>
    <row r="37" spans="1:14" ht="14.25" customHeight="1" x14ac:dyDescent="0.3">
      <c r="A37" s="4"/>
      <c r="B37" s="4"/>
      <c r="C37" s="4"/>
      <c r="D37" s="4"/>
      <c r="E37" s="4"/>
      <c r="F37" s="6" t="str">
        <f>IF(A37="","",COUNTIF(Chicks!$G:$G,A37))</f>
        <v/>
      </c>
      <c r="G37" s="6" t="str">
        <f>IF(A37="","",COUNTIFS(Chicks!$G:$G,A37,Chicks!$I:$I,"Yes"))</f>
        <v/>
      </c>
      <c r="H37" s="6" t="str">
        <f>IF(A37="","",SUMIFS(Chicks!$J:$J,Chicks!$G:$G,A37))</f>
        <v/>
      </c>
      <c r="I37" s="6" t="str">
        <f>IF(A37="","",COUNTIFS(Chicks!$G:$G,A37,Chicks!$I:$I,"No"))</f>
        <v/>
      </c>
      <c r="J37" s="6" t="str">
        <f>IF(A37="","",IFERROR(AVERAGEIF(Chicks!$G:$G,A37,Chicks!$M:$M),""))</f>
        <v/>
      </c>
      <c r="K37" s="6" t="str">
        <f>IF(A37="","",SUMIFS(Chicks!$N:$N,Chicks!$G:$G,A37))</f>
        <v/>
      </c>
      <c r="L37" s="6" t="str">
        <f>IF(A37="","",SUMIFS(Chicks!$O:$O,Chicks!$G:$G,A37))</f>
        <v/>
      </c>
      <c r="M37" s="6" t="str">
        <f>IF(A37="","",SUMIFS(Chicks!$P:$P,Chicks!$G:$G,A37))</f>
        <v/>
      </c>
      <c r="N37" s="6" t="str">
        <f t="shared" si="0"/>
        <v/>
      </c>
    </row>
    <row r="38" spans="1:14" ht="14.25" customHeight="1" x14ac:dyDescent="0.3">
      <c r="A38" s="4"/>
      <c r="B38" s="4"/>
      <c r="C38" s="4"/>
      <c r="D38" s="4"/>
      <c r="E38" s="4"/>
      <c r="F38" s="6" t="str">
        <f>IF(A38="","",COUNTIF(Chicks!$G:$G,A38))</f>
        <v/>
      </c>
      <c r="G38" s="6" t="str">
        <f>IF(A38="","",COUNTIFS(Chicks!$G:$G,A38,Chicks!$I:$I,"Yes"))</f>
        <v/>
      </c>
      <c r="H38" s="6" t="str">
        <f>IF(A38="","",SUMIFS(Chicks!$J:$J,Chicks!$G:$G,A38))</f>
        <v/>
      </c>
      <c r="I38" s="6" t="str">
        <f>IF(A38="","",COUNTIFS(Chicks!$G:$G,A38,Chicks!$I:$I,"No"))</f>
        <v/>
      </c>
      <c r="J38" s="6" t="str">
        <f>IF(A38="","",IFERROR(AVERAGEIF(Chicks!$G:$G,A38,Chicks!$M:$M),""))</f>
        <v/>
      </c>
      <c r="K38" s="6" t="str">
        <f>IF(A38="","",SUMIFS(Chicks!$N:$N,Chicks!$G:$G,A38))</f>
        <v/>
      </c>
      <c r="L38" s="6" t="str">
        <f>IF(A38="","",SUMIFS(Chicks!$O:$O,Chicks!$G:$G,A38))</f>
        <v/>
      </c>
      <c r="M38" s="6" t="str">
        <f>IF(A38="","",SUMIFS(Chicks!$P:$P,Chicks!$G:$G,A38))</f>
        <v/>
      </c>
      <c r="N38" s="6" t="str">
        <f t="shared" si="0"/>
        <v/>
      </c>
    </row>
    <row r="39" spans="1:14" ht="14.25" customHeight="1" x14ac:dyDescent="0.3">
      <c r="A39" s="4"/>
      <c r="B39" s="4"/>
      <c r="C39" s="4"/>
      <c r="D39" s="4"/>
      <c r="E39" s="4"/>
      <c r="F39" s="6" t="str">
        <f>IF(A39="","",COUNTIF(Chicks!$G:$G,A39))</f>
        <v/>
      </c>
      <c r="G39" s="6" t="str">
        <f>IF(A39="","",COUNTIFS(Chicks!$G:$G,A39,Chicks!$I:$I,"Yes"))</f>
        <v/>
      </c>
      <c r="H39" s="6" t="str">
        <f>IF(A39="","",SUMIFS(Chicks!$J:$J,Chicks!$G:$G,A39))</f>
        <v/>
      </c>
      <c r="I39" s="6" t="str">
        <f>IF(A39="","",COUNTIFS(Chicks!$G:$G,A39,Chicks!$I:$I,"No"))</f>
        <v/>
      </c>
      <c r="J39" s="6" t="str">
        <f>IF(A39="","",IFERROR(AVERAGEIF(Chicks!$G:$G,A39,Chicks!$M:$M),""))</f>
        <v/>
      </c>
      <c r="K39" s="6" t="str">
        <f>IF(A39="","",SUMIFS(Chicks!$N:$N,Chicks!$G:$G,A39))</f>
        <v/>
      </c>
      <c r="L39" s="6" t="str">
        <f>IF(A39="","",SUMIFS(Chicks!$O:$O,Chicks!$G:$G,A39))</f>
        <v/>
      </c>
      <c r="M39" s="6" t="str">
        <f>IF(A39="","",SUMIFS(Chicks!$P:$P,Chicks!$G:$G,A39))</f>
        <v/>
      </c>
      <c r="N39" s="6" t="str">
        <f t="shared" si="0"/>
        <v/>
      </c>
    </row>
    <row r="40" spans="1:14" ht="14.25" customHeight="1" x14ac:dyDescent="0.3">
      <c r="A40" s="4"/>
      <c r="B40" s="4"/>
      <c r="C40" s="4"/>
      <c r="D40" s="4"/>
      <c r="E40" s="4"/>
      <c r="F40" s="6" t="str">
        <f>IF(A40="","",COUNTIF(Chicks!$G:$G,A40))</f>
        <v/>
      </c>
      <c r="G40" s="6" t="str">
        <f>IF(A40="","",COUNTIFS(Chicks!$G:$G,A40,Chicks!$I:$I,"Yes"))</f>
        <v/>
      </c>
      <c r="H40" s="6" t="str">
        <f>IF(A40="","",SUMIFS(Chicks!$J:$J,Chicks!$G:$G,A40))</f>
        <v/>
      </c>
      <c r="I40" s="6" t="str">
        <f>IF(A40="","",COUNTIFS(Chicks!$G:$G,A40,Chicks!$I:$I,"No"))</f>
        <v/>
      </c>
      <c r="J40" s="6" t="str">
        <f>IF(A40="","",IFERROR(AVERAGEIF(Chicks!$G:$G,A40,Chicks!$M:$M),""))</f>
        <v/>
      </c>
      <c r="K40" s="6" t="str">
        <f>IF(A40="","",SUMIFS(Chicks!$N:$N,Chicks!$G:$G,A40))</f>
        <v/>
      </c>
      <c r="L40" s="6" t="str">
        <f>IF(A40="","",SUMIFS(Chicks!$O:$O,Chicks!$G:$G,A40))</f>
        <v/>
      </c>
      <c r="M40" s="6" t="str">
        <f>IF(A40="","",SUMIFS(Chicks!$P:$P,Chicks!$G:$G,A40))</f>
        <v/>
      </c>
      <c r="N40" s="6" t="str">
        <f t="shared" si="0"/>
        <v/>
      </c>
    </row>
    <row r="41" spans="1:14" ht="14.25" customHeight="1" x14ac:dyDescent="0.3">
      <c r="A41" s="4"/>
      <c r="B41" s="4"/>
      <c r="C41" s="4"/>
      <c r="D41" s="4"/>
      <c r="E41" s="4"/>
      <c r="F41" s="6" t="str">
        <f>IF(A41="","",COUNTIF(Chicks!$G:$G,A41))</f>
        <v/>
      </c>
      <c r="G41" s="6" t="str">
        <f>IF(A41="","",COUNTIFS(Chicks!$G:$G,A41,Chicks!$I:$I,"Yes"))</f>
        <v/>
      </c>
      <c r="H41" s="6" t="str">
        <f>IF(A41="","",SUMIFS(Chicks!$J:$J,Chicks!$G:$G,A41))</f>
        <v/>
      </c>
      <c r="I41" s="6" t="str">
        <f>IF(A41="","",COUNTIFS(Chicks!$G:$G,A41,Chicks!$I:$I,"No"))</f>
        <v/>
      </c>
      <c r="J41" s="6" t="str">
        <f>IF(A41="","",IFERROR(AVERAGEIF(Chicks!$G:$G,A41,Chicks!$M:$M),""))</f>
        <v/>
      </c>
      <c r="K41" s="6" t="str">
        <f>IF(A41="","",SUMIFS(Chicks!$N:$N,Chicks!$G:$G,A41))</f>
        <v/>
      </c>
      <c r="L41" s="6" t="str">
        <f>IF(A41="","",SUMIFS(Chicks!$O:$O,Chicks!$G:$G,A41))</f>
        <v/>
      </c>
      <c r="M41" s="6" t="str">
        <f>IF(A41="","",SUMIFS(Chicks!$P:$P,Chicks!$G:$G,A41))</f>
        <v/>
      </c>
      <c r="N41" s="6" t="str">
        <f t="shared" si="0"/>
        <v/>
      </c>
    </row>
    <row r="42" spans="1:14" ht="14.25" customHeight="1" x14ac:dyDescent="0.3">
      <c r="A42" s="4"/>
      <c r="B42" s="4"/>
      <c r="C42" s="4"/>
      <c r="D42" s="4"/>
      <c r="E42" s="4"/>
      <c r="F42" s="6" t="str">
        <f>IF(A42="","",COUNTIF(Chicks!$G:$G,A42))</f>
        <v/>
      </c>
      <c r="G42" s="6" t="str">
        <f>IF(A42="","",COUNTIFS(Chicks!$G:$G,A42,Chicks!$I:$I,"Yes"))</f>
        <v/>
      </c>
      <c r="H42" s="6" t="str">
        <f>IF(A42="","",SUMIFS(Chicks!$J:$J,Chicks!$G:$G,A42))</f>
        <v/>
      </c>
      <c r="I42" s="6" t="str">
        <f>IF(A42="","",COUNTIFS(Chicks!$G:$G,A42,Chicks!$I:$I,"No"))</f>
        <v/>
      </c>
      <c r="J42" s="6" t="str">
        <f>IF(A42="","",IFERROR(AVERAGEIF(Chicks!$G:$G,A42,Chicks!$M:$M),""))</f>
        <v/>
      </c>
      <c r="K42" s="6" t="str">
        <f>IF(A42="","",SUMIFS(Chicks!$N:$N,Chicks!$G:$G,A42))</f>
        <v/>
      </c>
      <c r="L42" s="6" t="str">
        <f>IF(A42="","",SUMIFS(Chicks!$O:$O,Chicks!$G:$G,A42))</f>
        <v/>
      </c>
      <c r="M42" s="6" t="str">
        <f>IF(A42="","",SUMIFS(Chicks!$P:$P,Chicks!$G:$G,A42))</f>
        <v/>
      </c>
      <c r="N42" s="6" t="str">
        <f t="shared" si="0"/>
        <v/>
      </c>
    </row>
    <row r="43" spans="1:14" ht="14.25" customHeight="1" x14ac:dyDescent="0.3">
      <c r="A43" s="4"/>
      <c r="B43" s="4"/>
      <c r="C43" s="4"/>
      <c r="D43" s="4"/>
      <c r="E43" s="4"/>
      <c r="F43" s="6" t="str">
        <f>IF(A43="","",COUNTIF(Chicks!$G:$G,A43))</f>
        <v/>
      </c>
      <c r="G43" s="6" t="str">
        <f>IF(A43="","",COUNTIFS(Chicks!$G:$G,A43,Chicks!$I:$I,"Yes"))</f>
        <v/>
      </c>
      <c r="H43" s="6" t="str">
        <f>IF(A43="","",SUMIFS(Chicks!$J:$J,Chicks!$G:$G,A43))</f>
        <v/>
      </c>
      <c r="I43" s="6" t="str">
        <f>IF(A43="","",COUNTIFS(Chicks!$G:$G,A43,Chicks!$I:$I,"No"))</f>
        <v/>
      </c>
      <c r="J43" s="6" t="str">
        <f>IF(A43="","",IFERROR(AVERAGEIF(Chicks!$G:$G,A43,Chicks!$M:$M),""))</f>
        <v/>
      </c>
      <c r="K43" s="6" t="str">
        <f>IF(A43="","",SUMIFS(Chicks!$N:$N,Chicks!$G:$G,A43))</f>
        <v/>
      </c>
      <c r="L43" s="6" t="str">
        <f>IF(A43="","",SUMIFS(Chicks!$O:$O,Chicks!$G:$G,A43))</f>
        <v/>
      </c>
      <c r="M43" s="6" t="str">
        <f>IF(A43="","",SUMIFS(Chicks!$P:$P,Chicks!$G:$G,A43))</f>
        <v/>
      </c>
      <c r="N43" s="6" t="str">
        <f t="shared" si="0"/>
        <v/>
      </c>
    </row>
    <row r="44" spans="1:14" ht="14.25" customHeight="1" x14ac:dyDescent="0.3">
      <c r="A44" s="4"/>
      <c r="B44" s="4"/>
      <c r="C44" s="4"/>
      <c r="D44" s="4"/>
      <c r="E44" s="4"/>
      <c r="F44" s="6" t="str">
        <f>IF(A44="","",COUNTIF(Chicks!$G:$G,A44))</f>
        <v/>
      </c>
      <c r="G44" s="6" t="str">
        <f>IF(A44="","",COUNTIFS(Chicks!$G:$G,A44,Chicks!$I:$I,"Yes"))</f>
        <v/>
      </c>
      <c r="H44" s="6" t="str">
        <f>IF(A44="","",SUMIFS(Chicks!$J:$J,Chicks!$G:$G,A44))</f>
        <v/>
      </c>
      <c r="I44" s="6" t="str">
        <f>IF(A44="","",COUNTIFS(Chicks!$G:$G,A44,Chicks!$I:$I,"No"))</f>
        <v/>
      </c>
      <c r="J44" s="6" t="str">
        <f>IF(A44="","",IFERROR(AVERAGEIF(Chicks!$G:$G,A44,Chicks!$M:$M),""))</f>
        <v/>
      </c>
      <c r="K44" s="6" t="str">
        <f>IF(A44="","",SUMIFS(Chicks!$N:$N,Chicks!$G:$G,A44))</f>
        <v/>
      </c>
      <c r="L44" s="6" t="str">
        <f>IF(A44="","",SUMIFS(Chicks!$O:$O,Chicks!$G:$G,A44))</f>
        <v/>
      </c>
      <c r="M44" s="6" t="str">
        <f>IF(A44="","",SUMIFS(Chicks!$P:$P,Chicks!$G:$G,A44))</f>
        <v/>
      </c>
      <c r="N44" s="6" t="str">
        <f t="shared" si="0"/>
        <v/>
      </c>
    </row>
    <row r="45" spans="1:14" ht="14.25" customHeight="1" x14ac:dyDescent="0.3">
      <c r="A45" s="4"/>
      <c r="B45" s="4"/>
      <c r="C45" s="4"/>
      <c r="D45" s="4"/>
      <c r="E45" s="4"/>
      <c r="F45" s="6" t="str">
        <f>IF(A45="","",COUNTIF(Chicks!$G:$G,A45))</f>
        <v/>
      </c>
      <c r="G45" s="6" t="str">
        <f>IF(A45="","",COUNTIFS(Chicks!$G:$G,A45,Chicks!$I:$I,"Yes"))</f>
        <v/>
      </c>
      <c r="H45" s="6" t="str">
        <f>IF(A45="","",SUMIFS(Chicks!$J:$J,Chicks!$G:$G,A45))</f>
        <v/>
      </c>
      <c r="I45" s="6" t="str">
        <f>IF(A45="","",COUNTIFS(Chicks!$G:$G,A45,Chicks!$I:$I,"No"))</f>
        <v/>
      </c>
      <c r="J45" s="6" t="str">
        <f>IF(A45="","",IFERROR(AVERAGEIF(Chicks!$G:$G,A45,Chicks!$M:$M),""))</f>
        <v/>
      </c>
      <c r="K45" s="6" t="str">
        <f>IF(A45="","",SUMIFS(Chicks!$N:$N,Chicks!$G:$G,A45))</f>
        <v/>
      </c>
      <c r="L45" s="6" t="str">
        <f>IF(A45="","",SUMIFS(Chicks!$O:$O,Chicks!$G:$G,A45))</f>
        <v/>
      </c>
      <c r="M45" s="6" t="str">
        <f>IF(A45="","",SUMIFS(Chicks!$P:$P,Chicks!$G:$G,A45))</f>
        <v/>
      </c>
      <c r="N45" s="6" t="str">
        <f t="shared" si="0"/>
        <v/>
      </c>
    </row>
    <row r="46" spans="1:14" ht="14.25" customHeight="1" x14ac:dyDescent="0.3">
      <c r="A46" s="4"/>
      <c r="B46" s="4"/>
      <c r="C46" s="4"/>
      <c r="D46" s="4"/>
      <c r="E46" s="4"/>
      <c r="F46" s="6" t="str">
        <f>IF(A46="","",COUNTIF(Chicks!$G:$G,A46))</f>
        <v/>
      </c>
      <c r="G46" s="6" t="str">
        <f>IF(A46="","",COUNTIFS(Chicks!$G:$G,A46,Chicks!$I:$I,"Yes"))</f>
        <v/>
      </c>
      <c r="H46" s="6" t="str">
        <f>IF(A46="","",SUMIFS(Chicks!$J:$J,Chicks!$G:$G,A46))</f>
        <v/>
      </c>
      <c r="I46" s="6" t="str">
        <f>IF(A46="","",COUNTIFS(Chicks!$G:$G,A46,Chicks!$I:$I,"No"))</f>
        <v/>
      </c>
      <c r="J46" s="6" t="str">
        <f>IF(A46="","",IFERROR(AVERAGEIF(Chicks!$G:$G,A46,Chicks!$M:$M),""))</f>
        <v/>
      </c>
      <c r="K46" s="6" t="str">
        <f>IF(A46="","",SUMIFS(Chicks!$N:$N,Chicks!$G:$G,A46))</f>
        <v/>
      </c>
      <c r="L46" s="6" t="str">
        <f>IF(A46="","",SUMIFS(Chicks!$O:$O,Chicks!$G:$G,A46))</f>
        <v/>
      </c>
      <c r="M46" s="6" t="str">
        <f>IF(A46="","",SUMIFS(Chicks!$P:$P,Chicks!$G:$G,A46))</f>
        <v/>
      </c>
      <c r="N46" s="6" t="str">
        <f t="shared" si="0"/>
        <v/>
      </c>
    </row>
    <row r="47" spans="1:14" ht="14.25" customHeight="1" x14ac:dyDescent="0.3">
      <c r="A47" s="4"/>
      <c r="B47" s="4"/>
      <c r="C47" s="4"/>
      <c r="D47" s="4"/>
      <c r="E47" s="4"/>
      <c r="F47" s="6" t="str">
        <f>IF(A47="","",COUNTIF(Chicks!$G:$G,A47))</f>
        <v/>
      </c>
      <c r="G47" s="6" t="str">
        <f>IF(A47="","",COUNTIFS(Chicks!$G:$G,A47,Chicks!$I:$I,"Yes"))</f>
        <v/>
      </c>
      <c r="H47" s="6" t="str">
        <f>IF(A47="","",SUMIFS(Chicks!$J:$J,Chicks!$G:$G,A47))</f>
        <v/>
      </c>
      <c r="I47" s="6" t="str">
        <f>IF(A47="","",COUNTIFS(Chicks!$G:$G,A47,Chicks!$I:$I,"No"))</f>
        <v/>
      </c>
      <c r="J47" s="6" t="str">
        <f>IF(A47="","",IFERROR(AVERAGEIF(Chicks!$G:$G,A47,Chicks!$M:$M),""))</f>
        <v/>
      </c>
      <c r="K47" s="6" t="str">
        <f>IF(A47="","",SUMIFS(Chicks!$N:$N,Chicks!$G:$G,A47))</f>
        <v/>
      </c>
      <c r="L47" s="6" t="str">
        <f>IF(A47="","",SUMIFS(Chicks!$O:$O,Chicks!$G:$G,A47))</f>
        <v/>
      </c>
      <c r="M47" s="6" t="str">
        <f>IF(A47="","",SUMIFS(Chicks!$P:$P,Chicks!$G:$G,A47))</f>
        <v/>
      </c>
      <c r="N47" s="6" t="str">
        <f t="shared" si="0"/>
        <v/>
      </c>
    </row>
    <row r="48" spans="1:14" ht="14.25" customHeight="1" x14ac:dyDescent="0.3">
      <c r="A48" s="4"/>
      <c r="B48" s="4"/>
      <c r="C48" s="4"/>
      <c r="D48" s="4"/>
      <c r="E48" s="4"/>
      <c r="F48" s="6" t="str">
        <f>IF(A48="","",COUNTIF(Chicks!$G:$G,A48))</f>
        <v/>
      </c>
      <c r="G48" s="6" t="str">
        <f>IF(A48="","",COUNTIFS(Chicks!$G:$G,A48,Chicks!$I:$I,"Yes"))</f>
        <v/>
      </c>
      <c r="H48" s="6" t="str">
        <f>IF(A48="","",SUMIFS(Chicks!$J:$J,Chicks!$G:$G,A48))</f>
        <v/>
      </c>
      <c r="I48" s="6" t="str">
        <f>IF(A48="","",COUNTIFS(Chicks!$G:$G,A48,Chicks!$I:$I,"No"))</f>
        <v/>
      </c>
      <c r="J48" s="6" t="str">
        <f>IF(A48="","",IFERROR(AVERAGEIF(Chicks!$G:$G,A48,Chicks!$M:$M),""))</f>
        <v/>
      </c>
      <c r="K48" s="6" t="str">
        <f>IF(A48="","",SUMIFS(Chicks!$N:$N,Chicks!$G:$G,A48))</f>
        <v/>
      </c>
      <c r="L48" s="6" t="str">
        <f>IF(A48="","",SUMIFS(Chicks!$O:$O,Chicks!$G:$G,A48))</f>
        <v/>
      </c>
      <c r="M48" s="6" t="str">
        <f>IF(A48="","",SUMIFS(Chicks!$P:$P,Chicks!$G:$G,A48))</f>
        <v/>
      </c>
      <c r="N48" s="6" t="str">
        <f t="shared" si="0"/>
        <v/>
      </c>
    </row>
    <row r="49" spans="1:14" ht="14.25" customHeight="1" x14ac:dyDescent="0.3">
      <c r="A49" s="4"/>
      <c r="B49" s="4"/>
      <c r="C49" s="4"/>
      <c r="D49" s="4"/>
      <c r="E49" s="4"/>
      <c r="F49" s="6" t="str">
        <f>IF(A49="","",COUNTIF(Chicks!$G:$G,A49))</f>
        <v/>
      </c>
      <c r="G49" s="6" t="str">
        <f>IF(A49="","",COUNTIFS(Chicks!$G:$G,A49,Chicks!$I:$I,"Yes"))</f>
        <v/>
      </c>
      <c r="H49" s="6" t="str">
        <f>IF(A49="","",SUMIFS(Chicks!$J:$J,Chicks!$G:$G,A49))</f>
        <v/>
      </c>
      <c r="I49" s="6" t="str">
        <f>IF(A49="","",COUNTIFS(Chicks!$G:$G,A49,Chicks!$I:$I,"No"))</f>
        <v/>
      </c>
      <c r="J49" s="6" t="str">
        <f>IF(A49="","",IFERROR(AVERAGEIF(Chicks!$G:$G,A49,Chicks!$M:$M),""))</f>
        <v/>
      </c>
      <c r="K49" s="6" t="str">
        <f>IF(A49="","",SUMIFS(Chicks!$N:$N,Chicks!$G:$G,A49))</f>
        <v/>
      </c>
      <c r="L49" s="6" t="str">
        <f>IF(A49="","",SUMIFS(Chicks!$O:$O,Chicks!$G:$G,A49))</f>
        <v/>
      </c>
      <c r="M49" s="6" t="str">
        <f>IF(A49="","",SUMIFS(Chicks!$P:$P,Chicks!$G:$G,A49))</f>
        <v/>
      </c>
      <c r="N49" s="6" t="str">
        <f t="shared" si="0"/>
        <v/>
      </c>
    </row>
    <row r="50" spans="1:14" ht="14.25" customHeight="1" x14ac:dyDescent="0.3">
      <c r="A50" s="4"/>
      <c r="B50" s="4"/>
      <c r="C50" s="4"/>
      <c r="D50" s="4"/>
      <c r="E50" s="4"/>
      <c r="F50" s="6" t="str">
        <f>IF(A50="","",COUNTIF(Chicks!$G:$G,A50))</f>
        <v/>
      </c>
      <c r="G50" s="6" t="str">
        <f>IF(A50="","",COUNTIFS(Chicks!$G:$G,A50,Chicks!$I:$I,"Yes"))</f>
        <v/>
      </c>
      <c r="H50" s="6" t="str">
        <f>IF(A50="","",SUMIFS(Chicks!$J:$J,Chicks!$G:$G,A50))</f>
        <v/>
      </c>
      <c r="I50" s="6" t="str">
        <f>IF(A50="","",COUNTIFS(Chicks!$G:$G,A50,Chicks!$I:$I,"No"))</f>
        <v/>
      </c>
      <c r="J50" s="6" t="str">
        <f>IF(A50="","",IFERROR(AVERAGEIF(Chicks!$G:$G,A50,Chicks!$M:$M),""))</f>
        <v/>
      </c>
      <c r="K50" s="6" t="str">
        <f>IF(A50="","",SUMIFS(Chicks!$N:$N,Chicks!$G:$G,A50))</f>
        <v/>
      </c>
      <c r="L50" s="6" t="str">
        <f>IF(A50="","",SUMIFS(Chicks!$O:$O,Chicks!$G:$G,A50))</f>
        <v/>
      </c>
      <c r="M50" s="6" t="str">
        <f>IF(A50="","",SUMIFS(Chicks!$P:$P,Chicks!$G:$G,A50))</f>
        <v/>
      </c>
      <c r="N50" s="6" t="str">
        <f t="shared" si="0"/>
        <v/>
      </c>
    </row>
    <row r="51" spans="1:14" ht="14.25" customHeight="1" x14ac:dyDescent="0.3">
      <c r="A51" s="4"/>
      <c r="B51" s="4"/>
      <c r="C51" s="4"/>
      <c r="D51" s="4"/>
      <c r="E51" s="4"/>
      <c r="F51" s="6" t="str">
        <f>IF(A51="","",COUNTIF(Chicks!$G:$G,A51))</f>
        <v/>
      </c>
      <c r="G51" s="6" t="str">
        <f>IF(A51="","",COUNTIFS(Chicks!$G:$G,A51,Chicks!$I:$I,"Yes"))</f>
        <v/>
      </c>
      <c r="H51" s="6" t="str">
        <f>IF(A51="","",SUMIFS(Chicks!$J:$J,Chicks!$G:$G,A51))</f>
        <v/>
      </c>
      <c r="I51" s="6" t="str">
        <f>IF(A51="","",COUNTIFS(Chicks!$G:$G,A51,Chicks!$I:$I,"No"))</f>
        <v/>
      </c>
      <c r="J51" s="6" t="str">
        <f>IF(A51="","",IFERROR(AVERAGEIF(Chicks!$G:$G,A51,Chicks!$M:$M),""))</f>
        <v/>
      </c>
      <c r="K51" s="6" t="str">
        <f>IF(A51="","",SUMIFS(Chicks!$N:$N,Chicks!$G:$G,A51))</f>
        <v/>
      </c>
      <c r="L51" s="6" t="str">
        <f>IF(A51="","",SUMIFS(Chicks!$O:$O,Chicks!$G:$G,A51))</f>
        <v/>
      </c>
      <c r="M51" s="6" t="str">
        <f>IF(A51="","",SUMIFS(Chicks!$P:$P,Chicks!$G:$G,A51))</f>
        <v/>
      </c>
      <c r="N51" s="6" t="str">
        <f t="shared" si="0"/>
        <v/>
      </c>
    </row>
    <row r="52" spans="1:14" ht="14.25" customHeight="1" x14ac:dyDescent="0.3">
      <c r="A52" s="4"/>
      <c r="B52" s="4"/>
      <c r="C52" s="4"/>
      <c r="D52" s="4"/>
      <c r="E52" s="4"/>
      <c r="F52" s="6" t="str">
        <f>IF(A52="","",COUNTIF(Chicks!$G:$G,A52))</f>
        <v/>
      </c>
      <c r="G52" s="6" t="str">
        <f>IF(A52="","",COUNTIFS(Chicks!$G:$G,A52,Chicks!$I:$I,"Yes"))</f>
        <v/>
      </c>
      <c r="H52" s="6" t="str">
        <f>IF(A52="","",SUMIFS(Chicks!$J:$J,Chicks!$G:$G,A52))</f>
        <v/>
      </c>
      <c r="I52" s="6" t="str">
        <f>IF(A52="","",COUNTIFS(Chicks!$G:$G,A52,Chicks!$I:$I,"No"))</f>
        <v/>
      </c>
      <c r="J52" s="6" t="str">
        <f>IF(A52="","",IFERROR(AVERAGEIF(Chicks!$G:$G,A52,Chicks!$M:$M),""))</f>
        <v/>
      </c>
      <c r="K52" s="6" t="str">
        <f>IF(A52="","",SUMIFS(Chicks!$N:$N,Chicks!$G:$G,A52))</f>
        <v/>
      </c>
      <c r="L52" s="6" t="str">
        <f>IF(A52="","",SUMIFS(Chicks!$O:$O,Chicks!$G:$G,A52))</f>
        <v/>
      </c>
      <c r="M52" s="6" t="str">
        <f>IF(A52="","",SUMIFS(Chicks!$P:$P,Chicks!$G:$G,A52))</f>
        <v/>
      </c>
      <c r="N52" s="6" t="str">
        <f t="shared" si="0"/>
        <v/>
      </c>
    </row>
    <row r="53" spans="1:14" ht="14.25" customHeight="1" x14ac:dyDescent="0.3">
      <c r="A53" s="4"/>
      <c r="B53" s="4"/>
      <c r="C53" s="4"/>
      <c r="D53" s="4"/>
      <c r="E53" s="4"/>
      <c r="F53" s="6" t="str">
        <f>IF(A53="","",COUNTIF(Chicks!$G:$G,A53))</f>
        <v/>
      </c>
      <c r="G53" s="6" t="str">
        <f>IF(A53="","",COUNTIFS(Chicks!$G:$G,A53,Chicks!$I:$I,"Yes"))</f>
        <v/>
      </c>
      <c r="H53" s="6" t="str">
        <f>IF(A53="","",SUMIFS(Chicks!$J:$J,Chicks!$G:$G,A53))</f>
        <v/>
      </c>
      <c r="I53" s="6" t="str">
        <f>IF(A53="","",COUNTIFS(Chicks!$G:$G,A53,Chicks!$I:$I,"No"))</f>
        <v/>
      </c>
      <c r="J53" s="6" t="str">
        <f>IF(A53="","",IFERROR(AVERAGEIF(Chicks!$G:$G,A53,Chicks!$M:$M),""))</f>
        <v/>
      </c>
      <c r="K53" s="6" t="str">
        <f>IF(A53="","",SUMIFS(Chicks!$N:$N,Chicks!$G:$G,A53))</f>
        <v/>
      </c>
      <c r="L53" s="6" t="str">
        <f>IF(A53="","",SUMIFS(Chicks!$O:$O,Chicks!$G:$G,A53))</f>
        <v/>
      </c>
      <c r="M53" s="6" t="str">
        <f>IF(A53="","",SUMIFS(Chicks!$P:$P,Chicks!$G:$G,A53))</f>
        <v/>
      </c>
      <c r="N53" s="6" t="str">
        <f t="shared" si="0"/>
        <v/>
      </c>
    </row>
    <row r="54" spans="1:14" ht="14.25" customHeight="1" x14ac:dyDescent="0.3">
      <c r="A54" s="4"/>
      <c r="B54" s="4"/>
      <c r="C54" s="4"/>
      <c r="D54" s="4"/>
      <c r="E54" s="4"/>
      <c r="F54" s="6" t="str">
        <f>IF(A54="","",COUNTIF(Chicks!$G:$G,A54))</f>
        <v/>
      </c>
      <c r="G54" s="6" t="str">
        <f>IF(A54="","",COUNTIFS(Chicks!$G:$G,A54,Chicks!$I:$I,"Yes"))</f>
        <v/>
      </c>
      <c r="H54" s="6" t="str">
        <f>IF(A54="","",SUMIFS(Chicks!$J:$J,Chicks!$G:$G,A54))</f>
        <v/>
      </c>
      <c r="I54" s="6" t="str">
        <f>IF(A54="","",COUNTIFS(Chicks!$G:$G,A54,Chicks!$I:$I,"No"))</f>
        <v/>
      </c>
      <c r="J54" s="6" t="str">
        <f>IF(A54="","",IFERROR(AVERAGEIF(Chicks!$G:$G,A54,Chicks!$M:$M),""))</f>
        <v/>
      </c>
      <c r="K54" s="6" t="str">
        <f>IF(A54="","",SUMIFS(Chicks!$N:$N,Chicks!$G:$G,A54))</f>
        <v/>
      </c>
      <c r="L54" s="6" t="str">
        <f>IF(A54="","",SUMIFS(Chicks!$O:$O,Chicks!$G:$G,A54))</f>
        <v/>
      </c>
      <c r="M54" s="6" t="str">
        <f>IF(A54="","",SUMIFS(Chicks!$P:$P,Chicks!$G:$G,A54))</f>
        <v/>
      </c>
      <c r="N54" s="6" t="str">
        <f t="shared" si="0"/>
        <v/>
      </c>
    </row>
    <row r="55" spans="1:14" ht="14.25" customHeight="1" x14ac:dyDescent="0.3">
      <c r="A55" s="4"/>
      <c r="B55" s="4"/>
      <c r="C55" s="4"/>
      <c r="D55" s="4"/>
      <c r="E55" s="4"/>
      <c r="F55" s="6" t="str">
        <f>IF(A55="","",COUNTIF(Chicks!$G:$G,A55))</f>
        <v/>
      </c>
      <c r="G55" s="6" t="str">
        <f>IF(A55="","",COUNTIFS(Chicks!$G:$G,A55,Chicks!$I:$I,"Yes"))</f>
        <v/>
      </c>
      <c r="H55" s="6" t="str">
        <f>IF(A55="","",SUMIFS(Chicks!$J:$J,Chicks!$G:$G,A55))</f>
        <v/>
      </c>
      <c r="I55" s="6" t="str">
        <f>IF(A55="","",COUNTIFS(Chicks!$G:$G,A55,Chicks!$I:$I,"No"))</f>
        <v/>
      </c>
      <c r="J55" s="6" t="str">
        <f>IF(A55="","",IFERROR(AVERAGEIF(Chicks!$G:$G,A55,Chicks!$M:$M),""))</f>
        <v/>
      </c>
      <c r="K55" s="6" t="str">
        <f>IF(A55="","",SUMIFS(Chicks!$N:$N,Chicks!$G:$G,A55))</f>
        <v/>
      </c>
      <c r="L55" s="6" t="str">
        <f>IF(A55="","",SUMIFS(Chicks!$O:$O,Chicks!$G:$G,A55))</f>
        <v/>
      </c>
      <c r="M55" s="6" t="str">
        <f>IF(A55="","",SUMIFS(Chicks!$P:$P,Chicks!$G:$G,A55))</f>
        <v/>
      </c>
      <c r="N55" s="6" t="str">
        <f t="shared" si="0"/>
        <v/>
      </c>
    </row>
    <row r="56" spans="1:14" ht="14.25" customHeight="1" x14ac:dyDescent="0.3">
      <c r="A56" s="4"/>
      <c r="B56" s="4"/>
      <c r="C56" s="4"/>
      <c r="D56" s="4"/>
      <c r="E56" s="4"/>
      <c r="F56" s="6" t="str">
        <f>IF(A56="","",COUNTIF(Chicks!$G:$G,A56))</f>
        <v/>
      </c>
      <c r="G56" s="6" t="str">
        <f>IF(A56="","",COUNTIFS(Chicks!$G:$G,A56,Chicks!$I:$I,"Yes"))</f>
        <v/>
      </c>
      <c r="H56" s="6" t="str">
        <f>IF(A56="","",SUMIFS(Chicks!$J:$J,Chicks!$G:$G,A56))</f>
        <v/>
      </c>
      <c r="I56" s="6" t="str">
        <f>IF(A56="","",COUNTIFS(Chicks!$G:$G,A56,Chicks!$I:$I,"No"))</f>
        <v/>
      </c>
      <c r="J56" s="6" t="str">
        <f>IF(A56="","",IFERROR(AVERAGEIF(Chicks!$G:$G,A56,Chicks!$M:$M),""))</f>
        <v/>
      </c>
      <c r="K56" s="6" t="str">
        <f>IF(A56="","",SUMIFS(Chicks!$N:$N,Chicks!$G:$G,A56))</f>
        <v/>
      </c>
      <c r="L56" s="6" t="str">
        <f>IF(A56="","",SUMIFS(Chicks!$O:$O,Chicks!$G:$G,A56))</f>
        <v/>
      </c>
      <c r="M56" s="6" t="str">
        <f>IF(A56="","",SUMIFS(Chicks!$P:$P,Chicks!$G:$G,A56))</f>
        <v/>
      </c>
      <c r="N56" s="6" t="str">
        <f t="shared" si="0"/>
        <v/>
      </c>
    </row>
    <row r="57" spans="1:14" ht="14.25" customHeight="1" x14ac:dyDescent="0.3">
      <c r="A57" s="4"/>
      <c r="B57" s="4"/>
      <c r="C57" s="4"/>
      <c r="D57" s="4"/>
      <c r="E57" s="4"/>
      <c r="F57" s="6" t="str">
        <f>IF(A57="","",COUNTIF(Chicks!$G:$G,A57))</f>
        <v/>
      </c>
      <c r="G57" s="6" t="str">
        <f>IF(A57="","",COUNTIFS(Chicks!$G:$G,A57,Chicks!$I:$I,"Yes"))</f>
        <v/>
      </c>
      <c r="H57" s="6" t="str">
        <f>IF(A57="","",SUMIFS(Chicks!$J:$J,Chicks!$G:$G,A57))</f>
        <v/>
      </c>
      <c r="I57" s="6" t="str">
        <f>IF(A57="","",COUNTIFS(Chicks!$G:$G,A57,Chicks!$I:$I,"No"))</f>
        <v/>
      </c>
      <c r="J57" s="6" t="str">
        <f>IF(A57="","",IFERROR(AVERAGEIF(Chicks!$G:$G,A57,Chicks!$M:$M),""))</f>
        <v/>
      </c>
      <c r="K57" s="6" t="str">
        <f>IF(A57="","",SUMIFS(Chicks!$N:$N,Chicks!$G:$G,A57))</f>
        <v/>
      </c>
      <c r="L57" s="6" t="str">
        <f>IF(A57="","",SUMIFS(Chicks!$O:$O,Chicks!$G:$G,A57))</f>
        <v/>
      </c>
      <c r="M57" s="6" t="str">
        <f>IF(A57="","",SUMIFS(Chicks!$P:$P,Chicks!$G:$G,A57))</f>
        <v/>
      </c>
      <c r="N57" s="6" t="str">
        <f t="shared" si="0"/>
        <v/>
      </c>
    </row>
    <row r="58" spans="1:14" ht="14.25" customHeight="1" x14ac:dyDescent="0.3">
      <c r="A58" s="4"/>
      <c r="B58" s="4"/>
      <c r="C58" s="4"/>
      <c r="D58" s="4"/>
      <c r="E58" s="4"/>
      <c r="F58" s="6" t="str">
        <f>IF(A58="","",COUNTIF(Chicks!$G:$G,A58))</f>
        <v/>
      </c>
      <c r="G58" s="6" t="str">
        <f>IF(A58="","",COUNTIFS(Chicks!$G:$G,A58,Chicks!$I:$I,"Yes"))</f>
        <v/>
      </c>
      <c r="H58" s="6" t="str">
        <f>IF(A58="","",SUMIFS(Chicks!$J:$J,Chicks!$G:$G,A58))</f>
        <v/>
      </c>
      <c r="I58" s="6" t="str">
        <f>IF(A58="","",COUNTIFS(Chicks!$G:$G,A58,Chicks!$I:$I,"No"))</f>
        <v/>
      </c>
      <c r="J58" s="6" t="str">
        <f>IF(A58="","",IFERROR(AVERAGEIF(Chicks!$G:$G,A58,Chicks!$M:$M),""))</f>
        <v/>
      </c>
      <c r="K58" s="6" t="str">
        <f>IF(A58="","",SUMIFS(Chicks!$N:$N,Chicks!$G:$G,A58))</f>
        <v/>
      </c>
      <c r="L58" s="6" t="str">
        <f>IF(A58="","",SUMIFS(Chicks!$O:$O,Chicks!$G:$G,A58))</f>
        <v/>
      </c>
      <c r="M58" s="6" t="str">
        <f>IF(A58="","",SUMIFS(Chicks!$P:$P,Chicks!$G:$G,A58))</f>
        <v/>
      </c>
      <c r="N58" s="6" t="str">
        <f t="shared" si="0"/>
        <v/>
      </c>
    </row>
    <row r="59" spans="1:14" ht="14.25" customHeight="1" x14ac:dyDescent="0.3">
      <c r="A59" s="4"/>
      <c r="B59" s="4"/>
      <c r="C59" s="4"/>
      <c r="D59" s="4"/>
      <c r="E59" s="4"/>
      <c r="F59" s="6" t="str">
        <f>IF(A59="","",COUNTIF(Chicks!$G:$G,A59))</f>
        <v/>
      </c>
      <c r="G59" s="6" t="str">
        <f>IF(A59="","",COUNTIFS(Chicks!$G:$G,A59,Chicks!$I:$I,"Yes"))</f>
        <v/>
      </c>
      <c r="H59" s="6" t="str">
        <f>IF(A59="","",SUMIFS(Chicks!$J:$J,Chicks!$G:$G,A59))</f>
        <v/>
      </c>
      <c r="I59" s="6" t="str">
        <f>IF(A59="","",COUNTIFS(Chicks!$G:$G,A59,Chicks!$I:$I,"No"))</f>
        <v/>
      </c>
      <c r="J59" s="6" t="str">
        <f>IF(A59="","",IFERROR(AVERAGEIF(Chicks!$G:$G,A59,Chicks!$M:$M),""))</f>
        <v/>
      </c>
      <c r="K59" s="6" t="str">
        <f>IF(A59="","",SUMIFS(Chicks!$N:$N,Chicks!$G:$G,A59))</f>
        <v/>
      </c>
      <c r="L59" s="6" t="str">
        <f>IF(A59="","",SUMIFS(Chicks!$O:$O,Chicks!$G:$G,A59))</f>
        <v/>
      </c>
      <c r="M59" s="6" t="str">
        <f>IF(A59="","",SUMIFS(Chicks!$P:$P,Chicks!$G:$G,A59))</f>
        <v/>
      </c>
      <c r="N59" s="6" t="str">
        <f t="shared" si="0"/>
        <v/>
      </c>
    </row>
    <row r="60" spans="1:14" ht="14.25" customHeight="1" x14ac:dyDescent="0.3">
      <c r="A60" s="4"/>
      <c r="B60" s="4"/>
      <c r="C60" s="4"/>
      <c r="D60" s="4"/>
      <c r="E60" s="4"/>
      <c r="F60" s="6" t="str">
        <f>IF(A60="","",COUNTIF(Chicks!$G:$G,A60))</f>
        <v/>
      </c>
      <c r="G60" s="6" t="str">
        <f>IF(A60="","",COUNTIFS(Chicks!$G:$G,A60,Chicks!$I:$I,"Yes"))</f>
        <v/>
      </c>
      <c r="H60" s="6" t="str">
        <f>IF(A60="","",SUMIFS(Chicks!$J:$J,Chicks!$G:$G,A60))</f>
        <v/>
      </c>
      <c r="I60" s="6" t="str">
        <f>IF(A60="","",COUNTIFS(Chicks!$G:$G,A60,Chicks!$I:$I,"No"))</f>
        <v/>
      </c>
      <c r="J60" s="6" t="str">
        <f>IF(A60="","",IFERROR(AVERAGEIF(Chicks!$G:$G,A60,Chicks!$M:$M),""))</f>
        <v/>
      </c>
      <c r="K60" s="6" t="str">
        <f>IF(A60="","",SUMIFS(Chicks!$N:$N,Chicks!$G:$G,A60))</f>
        <v/>
      </c>
      <c r="L60" s="6" t="str">
        <f>IF(A60="","",SUMIFS(Chicks!$O:$O,Chicks!$G:$G,A60))</f>
        <v/>
      </c>
      <c r="M60" s="6" t="str">
        <f>IF(A60="","",SUMIFS(Chicks!$P:$P,Chicks!$G:$G,A60))</f>
        <v/>
      </c>
      <c r="N60" s="6" t="str">
        <f t="shared" si="0"/>
        <v/>
      </c>
    </row>
    <row r="61" spans="1:14" ht="14.25" customHeight="1" x14ac:dyDescent="0.3">
      <c r="A61" s="4"/>
      <c r="B61" s="4"/>
      <c r="C61" s="4"/>
      <c r="D61" s="4"/>
      <c r="E61" s="4"/>
      <c r="F61" s="6" t="str">
        <f>IF(A61="","",COUNTIF(Chicks!$G:$G,A61))</f>
        <v/>
      </c>
      <c r="G61" s="6" t="str">
        <f>IF(A61="","",COUNTIFS(Chicks!$G:$G,A61,Chicks!$I:$I,"Yes"))</f>
        <v/>
      </c>
      <c r="H61" s="6" t="str">
        <f>IF(A61="","",SUMIFS(Chicks!$J:$J,Chicks!$G:$G,A61))</f>
        <v/>
      </c>
      <c r="I61" s="6" t="str">
        <f>IF(A61="","",COUNTIFS(Chicks!$G:$G,A61,Chicks!$I:$I,"No"))</f>
        <v/>
      </c>
      <c r="J61" s="6" t="str">
        <f>IF(A61="","",IFERROR(AVERAGEIF(Chicks!$G:$G,A61,Chicks!$M:$M),""))</f>
        <v/>
      </c>
      <c r="K61" s="6" t="str">
        <f>IF(A61="","",SUMIFS(Chicks!$N:$N,Chicks!$G:$G,A61))</f>
        <v/>
      </c>
      <c r="L61" s="6" t="str">
        <f>IF(A61="","",SUMIFS(Chicks!$O:$O,Chicks!$G:$G,A61))</f>
        <v/>
      </c>
      <c r="M61" s="6" t="str">
        <f>IF(A61="","",SUMIFS(Chicks!$P:$P,Chicks!$G:$G,A61))</f>
        <v/>
      </c>
      <c r="N61" s="6" t="str">
        <f t="shared" si="0"/>
        <v/>
      </c>
    </row>
    <row r="62" spans="1:14" ht="14.25" customHeight="1" x14ac:dyDescent="0.3">
      <c r="A62" s="4"/>
      <c r="B62" s="4"/>
      <c r="C62" s="4"/>
      <c r="D62" s="4"/>
      <c r="E62" s="4"/>
      <c r="F62" s="6" t="str">
        <f>IF(A62="","",COUNTIF(Chicks!$G:$G,A62))</f>
        <v/>
      </c>
      <c r="G62" s="6" t="str">
        <f>IF(A62="","",COUNTIFS(Chicks!$G:$G,A62,Chicks!$I:$I,"Yes"))</f>
        <v/>
      </c>
      <c r="H62" s="6" t="str">
        <f>IF(A62="","",SUMIFS(Chicks!$J:$J,Chicks!$G:$G,A62))</f>
        <v/>
      </c>
      <c r="I62" s="6" t="str">
        <f>IF(A62="","",COUNTIFS(Chicks!$G:$G,A62,Chicks!$I:$I,"No"))</f>
        <v/>
      </c>
      <c r="J62" s="6" t="str">
        <f>IF(A62="","",IFERROR(AVERAGEIF(Chicks!$G:$G,A62,Chicks!$M:$M),""))</f>
        <v/>
      </c>
      <c r="K62" s="6" t="str">
        <f>IF(A62="","",SUMIFS(Chicks!$N:$N,Chicks!$G:$G,A62))</f>
        <v/>
      </c>
      <c r="L62" s="6" t="str">
        <f>IF(A62="","",SUMIFS(Chicks!$O:$O,Chicks!$G:$G,A62))</f>
        <v/>
      </c>
      <c r="M62" s="6" t="str">
        <f>IF(A62="","",SUMIFS(Chicks!$P:$P,Chicks!$G:$G,A62))</f>
        <v/>
      </c>
      <c r="N62" s="6" t="str">
        <f t="shared" si="0"/>
        <v/>
      </c>
    </row>
    <row r="63" spans="1:14" ht="14.25" customHeight="1" x14ac:dyDescent="0.3">
      <c r="A63" s="4"/>
      <c r="B63" s="4"/>
      <c r="C63" s="4"/>
      <c r="D63" s="4"/>
      <c r="E63" s="4"/>
      <c r="F63" s="6" t="str">
        <f>IF(A63="","",COUNTIF(Chicks!$G:$G,A63))</f>
        <v/>
      </c>
      <c r="G63" s="6" t="str">
        <f>IF(A63="","",COUNTIFS(Chicks!$G:$G,A63,Chicks!$I:$I,"Yes"))</f>
        <v/>
      </c>
      <c r="H63" s="6" t="str">
        <f>IF(A63="","",SUMIFS(Chicks!$J:$J,Chicks!$G:$G,A63))</f>
        <v/>
      </c>
      <c r="I63" s="6" t="str">
        <f>IF(A63="","",COUNTIFS(Chicks!$G:$G,A63,Chicks!$I:$I,"No"))</f>
        <v/>
      </c>
      <c r="J63" s="6" t="str">
        <f>IF(A63="","",IFERROR(AVERAGEIF(Chicks!$G:$G,A63,Chicks!$M:$M),""))</f>
        <v/>
      </c>
      <c r="K63" s="6" t="str">
        <f>IF(A63="","",SUMIFS(Chicks!$N:$N,Chicks!$G:$G,A63))</f>
        <v/>
      </c>
      <c r="L63" s="6" t="str">
        <f>IF(A63="","",SUMIFS(Chicks!$O:$O,Chicks!$G:$G,A63))</f>
        <v/>
      </c>
      <c r="M63" s="6" t="str">
        <f>IF(A63="","",SUMIFS(Chicks!$P:$P,Chicks!$G:$G,A63))</f>
        <v/>
      </c>
      <c r="N63" s="6" t="str">
        <f t="shared" si="0"/>
        <v/>
      </c>
    </row>
    <row r="64" spans="1:14" ht="14.25" customHeight="1" x14ac:dyDescent="0.3">
      <c r="A64" s="4"/>
      <c r="B64" s="4"/>
      <c r="C64" s="4"/>
      <c r="D64" s="4"/>
      <c r="E64" s="4"/>
      <c r="F64" s="6" t="str">
        <f>IF(A64="","",COUNTIF(Chicks!$G:$G,A64))</f>
        <v/>
      </c>
      <c r="G64" s="6" t="str">
        <f>IF(A64="","",COUNTIFS(Chicks!$G:$G,A64,Chicks!$I:$I,"Yes"))</f>
        <v/>
      </c>
      <c r="H64" s="6" t="str">
        <f>IF(A64="","",SUMIFS(Chicks!$J:$J,Chicks!$G:$G,A64))</f>
        <v/>
      </c>
      <c r="I64" s="6" t="str">
        <f>IF(A64="","",COUNTIFS(Chicks!$G:$G,A64,Chicks!$I:$I,"No"))</f>
        <v/>
      </c>
      <c r="J64" s="6" t="str">
        <f>IF(A64="","",IFERROR(AVERAGEIF(Chicks!$G:$G,A64,Chicks!$M:$M),""))</f>
        <v/>
      </c>
      <c r="K64" s="6" t="str">
        <f>IF(A64="","",SUMIFS(Chicks!$N:$N,Chicks!$G:$G,A64))</f>
        <v/>
      </c>
      <c r="L64" s="6" t="str">
        <f>IF(A64="","",SUMIFS(Chicks!$O:$O,Chicks!$G:$G,A64))</f>
        <v/>
      </c>
      <c r="M64" s="6" t="str">
        <f>IF(A64="","",SUMIFS(Chicks!$P:$P,Chicks!$G:$G,A64))</f>
        <v/>
      </c>
      <c r="N64" s="6" t="str">
        <f t="shared" si="0"/>
        <v/>
      </c>
    </row>
    <row r="65" spans="1:14" ht="14.25" customHeight="1" x14ac:dyDescent="0.3">
      <c r="A65" s="4"/>
      <c r="B65" s="4"/>
      <c r="C65" s="4"/>
      <c r="D65" s="4"/>
      <c r="E65" s="4"/>
      <c r="F65" s="6" t="str">
        <f>IF(A65="","",COUNTIF(Chicks!$G:$G,A65))</f>
        <v/>
      </c>
      <c r="G65" s="6" t="str">
        <f>IF(A65="","",COUNTIFS(Chicks!$G:$G,A65,Chicks!$I:$I,"Yes"))</f>
        <v/>
      </c>
      <c r="H65" s="6" t="str">
        <f>IF(A65="","",SUMIFS(Chicks!$J:$J,Chicks!$G:$G,A65))</f>
        <v/>
      </c>
      <c r="I65" s="6" t="str">
        <f>IF(A65="","",COUNTIFS(Chicks!$G:$G,A65,Chicks!$I:$I,"No"))</f>
        <v/>
      </c>
      <c r="J65" s="6" t="str">
        <f>IF(A65="","",IFERROR(AVERAGEIF(Chicks!$G:$G,A65,Chicks!$M:$M),""))</f>
        <v/>
      </c>
      <c r="K65" s="6" t="str">
        <f>IF(A65="","",SUMIFS(Chicks!$N:$N,Chicks!$G:$G,A65))</f>
        <v/>
      </c>
      <c r="L65" s="6" t="str">
        <f>IF(A65="","",SUMIFS(Chicks!$O:$O,Chicks!$G:$G,A65))</f>
        <v/>
      </c>
      <c r="M65" s="6" t="str">
        <f>IF(A65="","",SUMIFS(Chicks!$P:$P,Chicks!$G:$G,A65))</f>
        <v/>
      </c>
      <c r="N65" s="6" t="str">
        <f t="shared" si="0"/>
        <v/>
      </c>
    </row>
    <row r="66" spans="1:14" ht="14.25" customHeight="1" x14ac:dyDescent="0.3">
      <c r="A66" s="4"/>
      <c r="B66" s="4"/>
      <c r="C66" s="4"/>
      <c r="D66" s="4"/>
      <c r="E66" s="4"/>
      <c r="F66" s="6" t="str">
        <f>IF(A66="","",COUNTIF(Chicks!$G:$G,A66))</f>
        <v/>
      </c>
      <c r="G66" s="6" t="str">
        <f>IF(A66="","",COUNTIFS(Chicks!$G:$G,A66,Chicks!$I:$I,"Yes"))</f>
        <v/>
      </c>
      <c r="H66" s="6" t="str">
        <f>IF(A66="","",SUMIFS(Chicks!$J:$J,Chicks!$G:$G,A66))</f>
        <v/>
      </c>
      <c r="I66" s="6" t="str">
        <f>IF(A66="","",COUNTIFS(Chicks!$G:$G,A66,Chicks!$I:$I,"No"))</f>
        <v/>
      </c>
      <c r="J66" s="6" t="str">
        <f>IF(A66="","",IFERROR(AVERAGEIF(Chicks!$G:$G,A66,Chicks!$M:$M),""))</f>
        <v/>
      </c>
      <c r="K66" s="6" t="str">
        <f>IF(A66="","",SUMIFS(Chicks!$N:$N,Chicks!$G:$G,A66))</f>
        <v/>
      </c>
      <c r="L66" s="6" t="str">
        <f>IF(A66="","",SUMIFS(Chicks!$O:$O,Chicks!$G:$G,A66))</f>
        <v/>
      </c>
      <c r="M66" s="6" t="str">
        <f>IF(A66="","",SUMIFS(Chicks!$P:$P,Chicks!$G:$G,A66))</f>
        <v/>
      </c>
      <c r="N66" s="6" t="str">
        <f t="shared" si="0"/>
        <v/>
      </c>
    </row>
    <row r="67" spans="1:14" ht="14.25" customHeight="1" x14ac:dyDescent="0.3">
      <c r="A67" s="4"/>
      <c r="B67" s="4"/>
      <c r="C67" s="4"/>
      <c r="D67" s="4"/>
      <c r="E67" s="4"/>
      <c r="F67" s="6" t="str">
        <f>IF(A67="","",COUNTIF(Chicks!$G:$G,A67))</f>
        <v/>
      </c>
      <c r="G67" s="6" t="str">
        <f>IF(A67="","",COUNTIFS(Chicks!$G:$G,A67,Chicks!$I:$I,"Yes"))</f>
        <v/>
      </c>
      <c r="H67" s="6" t="str">
        <f>IF(A67="","",SUMIFS(Chicks!$J:$J,Chicks!$G:$G,A67))</f>
        <v/>
      </c>
      <c r="I67" s="6" t="str">
        <f>IF(A67="","",COUNTIFS(Chicks!$G:$G,A67,Chicks!$I:$I,"No"))</f>
        <v/>
      </c>
      <c r="J67" s="6" t="str">
        <f>IF(A67="","",IFERROR(AVERAGEIF(Chicks!$G:$G,A67,Chicks!$M:$M),""))</f>
        <v/>
      </c>
      <c r="K67" s="6" t="str">
        <f>IF(A67="","",SUMIFS(Chicks!$N:$N,Chicks!$G:$G,A67))</f>
        <v/>
      </c>
      <c r="L67" s="6" t="str">
        <f>IF(A67="","",SUMIFS(Chicks!$O:$O,Chicks!$G:$G,A67))</f>
        <v/>
      </c>
      <c r="M67" s="6" t="str">
        <f>IF(A67="","",SUMIFS(Chicks!$P:$P,Chicks!$G:$G,A67))</f>
        <v/>
      </c>
      <c r="N67" s="6" t="str">
        <f t="shared" si="0"/>
        <v/>
      </c>
    </row>
    <row r="68" spans="1:14" ht="14.25" customHeight="1" x14ac:dyDescent="0.3">
      <c r="A68" s="4"/>
      <c r="B68" s="4"/>
      <c r="C68" s="4"/>
      <c r="D68" s="4"/>
      <c r="E68" s="4"/>
      <c r="F68" s="6" t="str">
        <f>IF(A68="","",COUNTIF(Chicks!$G:$G,A68))</f>
        <v/>
      </c>
      <c r="G68" s="6" t="str">
        <f>IF(A68="","",COUNTIFS(Chicks!$G:$G,A68,Chicks!$I:$I,"Yes"))</f>
        <v/>
      </c>
      <c r="H68" s="6" t="str">
        <f>IF(A68="","",SUMIFS(Chicks!$J:$J,Chicks!$G:$G,A68))</f>
        <v/>
      </c>
      <c r="I68" s="6" t="str">
        <f>IF(A68="","",COUNTIFS(Chicks!$G:$G,A68,Chicks!$I:$I,"No"))</f>
        <v/>
      </c>
      <c r="J68" s="6" t="str">
        <f>IF(A68="","",IFERROR(AVERAGEIF(Chicks!$G:$G,A68,Chicks!$M:$M),""))</f>
        <v/>
      </c>
      <c r="K68" s="6" t="str">
        <f>IF(A68="","",SUMIFS(Chicks!$N:$N,Chicks!$G:$G,A68))</f>
        <v/>
      </c>
      <c r="L68" s="6" t="str">
        <f>IF(A68="","",SUMIFS(Chicks!$O:$O,Chicks!$G:$G,A68))</f>
        <v/>
      </c>
      <c r="M68" s="6" t="str">
        <f>IF(A68="","",SUMIFS(Chicks!$P:$P,Chicks!$G:$G,A68))</f>
        <v/>
      </c>
      <c r="N68" s="6" t="str">
        <f t="shared" si="0"/>
        <v/>
      </c>
    </row>
    <row r="69" spans="1:14" ht="14.25" customHeight="1" x14ac:dyDescent="0.3">
      <c r="A69" s="4"/>
      <c r="B69" s="4"/>
      <c r="C69" s="4"/>
      <c r="D69" s="4"/>
      <c r="E69" s="4"/>
      <c r="F69" s="6" t="str">
        <f>IF(A69="","",COUNTIF(Chicks!$G:$G,A69))</f>
        <v/>
      </c>
      <c r="G69" s="6" t="str">
        <f>IF(A69="","",COUNTIFS(Chicks!$G:$G,A69,Chicks!$I:$I,"Yes"))</f>
        <v/>
      </c>
      <c r="H69" s="6" t="str">
        <f>IF(A69="","",SUMIFS(Chicks!$J:$J,Chicks!$G:$G,A69))</f>
        <v/>
      </c>
      <c r="I69" s="6" t="str">
        <f>IF(A69="","",COUNTIFS(Chicks!$G:$G,A69,Chicks!$I:$I,"No"))</f>
        <v/>
      </c>
      <c r="J69" s="6" t="str">
        <f>IF(A69="","",IFERROR(AVERAGEIF(Chicks!$G:$G,A69,Chicks!$M:$M),""))</f>
        <v/>
      </c>
      <c r="K69" s="6" t="str">
        <f>IF(A69="","",SUMIFS(Chicks!$N:$N,Chicks!$G:$G,A69))</f>
        <v/>
      </c>
      <c r="L69" s="6" t="str">
        <f>IF(A69="","",SUMIFS(Chicks!$O:$O,Chicks!$G:$G,A69))</f>
        <v/>
      </c>
      <c r="M69" s="6" t="str">
        <f>IF(A69="","",SUMIFS(Chicks!$P:$P,Chicks!$G:$G,A69))</f>
        <v/>
      </c>
      <c r="N69" s="6" t="str">
        <f t="shared" si="0"/>
        <v/>
      </c>
    </row>
    <row r="70" spans="1:14" ht="14.25" customHeight="1" x14ac:dyDescent="0.3">
      <c r="A70" s="4"/>
      <c r="B70" s="4"/>
      <c r="C70" s="4"/>
      <c r="D70" s="4"/>
      <c r="E70" s="4"/>
      <c r="F70" s="6" t="str">
        <f>IF(A70="","",COUNTIF(Chicks!$G:$G,A70))</f>
        <v/>
      </c>
      <c r="G70" s="6" t="str">
        <f>IF(A70="","",COUNTIFS(Chicks!$G:$G,A70,Chicks!$I:$I,"Yes"))</f>
        <v/>
      </c>
      <c r="H70" s="6" t="str">
        <f>IF(A70="","",SUMIFS(Chicks!$J:$J,Chicks!$G:$G,A70))</f>
        <v/>
      </c>
      <c r="I70" s="6" t="str">
        <f>IF(A70="","",COUNTIFS(Chicks!$G:$G,A70,Chicks!$I:$I,"No"))</f>
        <v/>
      </c>
      <c r="J70" s="6" t="str">
        <f>IF(A70="","",IFERROR(AVERAGEIF(Chicks!$G:$G,A70,Chicks!$M:$M),""))</f>
        <v/>
      </c>
      <c r="K70" s="6" t="str">
        <f>IF(A70="","",SUMIFS(Chicks!$N:$N,Chicks!$G:$G,A70))</f>
        <v/>
      </c>
      <c r="L70" s="6" t="str">
        <f>IF(A70="","",SUMIFS(Chicks!$O:$O,Chicks!$G:$G,A70))</f>
        <v/>
      </c>
      <c r="M70" s="6" t="str">
        <f>IF(A70="","",SUMIFS(Chicks!$P:$P,Chicks!$G:$G,A70))</f>
        <v/>
      </c>
      <c r="N70" s="6" t="str">
        <f t="shared" si="0"/>
        <v/>
      </c>
    </row>
    <row r="71" spans="1:14" ht="14.25" customHeight="1" x14ac:dyDescent="0.3">
      <c r="A71" s="4"/>
      <c r="B71" s="4"/>
      <c r="C71" s="4"/>
      <c r="D71" s="4"/>
      <c r="E71" s="4"/>
      <c r="F71" s="6" t="str">
        <f>IF(A71="","",COUNTIF(Chicks!$G:$G,A71))</f>
        <v/>
      </c>
      <c r="G71" s="6" t="str">
        <f>IF(A71="","",COUNTIFS(Chicks!$G:$G,A71,Chicks!$I:$I,"Yes"))</f>
        <v/>
      </c>
      <c r="H71" s="6" t="str">
        <f>IF(A71="","",SUMIFS(Chicks!$J:$J,Chicks!$G:$G,A71))</f>
        <v/>
      </c>
      <c r="I71" s="6" t="str">
        <f>IF(A71="","",COUNTIFS(Chicks!$G:$G,A71,Chicks!$I:$I,"No"))</f>
        <v/>
      </c>
      <c r="J71" s="6" t="str">
        <f>IF(A71="","",IFERROR(AVERAGEIF(Chicks!$G:$G,A71,Chicks!$M:$M),""))</f>
        <v/>
      </c>
      <c r="K71" s="6" t="str">
        <f>IF(A71="","",SUMIFS(Chicks!$N:$N,Chicks!$G:$G,A71))</f>
        <v/>
      </c>
      <c r="L71" s="6" t="str">
        <f>IF(A71="","",SUMIFS(Chicks!$O:$O,Chicks!$G:$G,A71))</f>
        <v/>
      </c>
      <c r="M71" s="6" t="str">
        <f>IF(A71="","",SUMIFS(Chicks!$P:$P,Chicks!$G:$G,A71))</f>
        <v/>
      </c>
      <c r="N71" s="6" t="str">
        <f t="shared" si="0"/>
        <v/>
      </c>
    </row>
    <row r="72" spans="1:14" ht="14.25" customHeight="1" x14ac:dyDescent="0.3">
      <c r="A72" s="4"/>
      <c r="B72" s="4"/>
      <c r="C72" s="4"/>
      <c r="D72" s="4"/>
      <c r="E72" s="4"/>
      <c r="F72" s="6" t="str">
        <f>IF(A72="","",COUNTIF(Chicks!$G:$G,A72))</f>
        <v/>
      </c>
      <c r="G72" s="6" t="str">
        <f>IF(A72="","",COUNTIFS(Chicks!$G:$G,A72,Chicks!$I:$I,"Yes"))</f>
        <v/>
      </c>
      <c r="H72" s="6" t="str">
        <f>IF(A72="","",SUMIFS(Chicks!$J:$J,Chicks!$G:$G,A72))</f>
        <v/>
      </c>
      <c r="I72" s="6" t="str">
        <f>IF(A72="","",COUNTIFS(Chicks!$G:$G,A72,Chicks!$I:$I,"No"))</f>
        <v/>
      </c>
      <c r="J72" s="6" t="str">
        <f>IF(A72="","",IFERROR(AVERAGEIF(Chicks!$G:$G,A72,Chicks!$M:$M),""))</f>
        <v/>
      </c>
      <c r="K72" s="6" t="str">
        <f>IF(A72="","",SUMIFS(Chicks!$N:$N,Chicks!$G:$G,A72))</f>
        <v/>
      </c>
      <c r="L72" s="6" t="str">
        <f>IF(A72="","",SUMIFS(Chicks!$O:$O,Chicks!$G:$G,A72))</f>
        <v/>
      </c>
      <c r="M72" s="6" t="str">
        <f>IF(A72="","",SUMIFS(Chicks!$P:$P,Chicks!$G:$G,A72))</f>
        <v/>
      </c>
      <c r="N72" s="6" t="str">
        <f t="shared" si="0"/>
        <v/>
      </c>
    </row>
    <row r="73" spans="1:14" ht="14.25" customHeight="1" x14ac:dyDescent="0.3">
      <c r="A73" s="4"/>
      <c r="B73" s="4"/>
      <c r="C73" s="4"/>
      <c r="D73" s="4"/>
      <c r="E73" s="4"/>
      <c r="F73" s="6" t="str">
        <f>IF(A73="","",COUNTIF(Chicks!$G:$G,A73))</f>
        <v/>
      </c>
      <c r="G73" s="6" t="str">
        <f>IF(A73="","",COUNTIFS(Chicks!$G:$G,A73,Chicks!$I:$I,"Yes"))</f>
        <v/>
      </c>
      <c r="H73" s="6" t="str">
        <f>IF(A73="","",SUMIFS(Chicks!$J:$J,Chicks!$G:$G,A73))</f>
        <v/>
      </c>
      <c r="I73" s="6" t="str">
        <f>IF(A73="","",COUNTIFS(Chicks!$G:$G,A73,Chicks!$I:$I,"No"))</f>
        <v/>
      </c>
      <c r="J73" s="6" t="str">
        <f>IF(A73="","",IFERROR(AVERAGEIF(Chicks!$G:$G,A73,Chicks!$M:$M),""))</f>
        <v/>
      </c>
      <c r="K73" s="6" t="str">
        <f>IF(A73="","",SUMIFS(Chicks!$N:$N,Chicks!$G:$G,A73))</f>
        <v/>
      </c>
      <c r="L73" s="6" t="str">
        <f>IF(A73="","",SUMIFS(Chicks!$O:$O,Chicks!$G:$G,A73))</f>
        <v/>
      </c>
      <c r="M73" s="6" t="str">
        <f>IF(A73="","",SUMIFS(Chicks!$P:$P,Chicks!$G:$G,A73))</f>
        <v/>
      </c>
      <c r="N73" s="6" t="str">
        <f t="shared" si="0"/>
        <v/>
      </c>
    </row>
    <row r="74" spans="1:14" ht="14.25" customHeight="1" x14ac:dyDescent="0.3">
      <c r="A74" s="4"/>
      <c r="B74" s="4"/>
      <c r="C74" s="4"/>
      <c r="D74" s="4"/>
      <c r="E74" s="4"/>
      <c r="F74" s="6" t="str">
        <f>IF(A74="","",COUNTIF(Chicks!$G:$G,A74))</f>
        <v/>
      </c>
      <c r="G74" s="6" t="str">
        <f>IF(A74="","",COUNTIFS(Chicks!$G:$G,A74,Chicks!$I:$I,"Yes"))</f>
        <v/>
      </c>
      <c r="H74" s="6" t="str">
        <f>IF(A74="","",SUMIFS(Chicks!$J:$J,Chicks!$G:$G,A74))</f>
        <v/>
      </c>
      <c r="I74" s="6" t="str">
        <f>IF(A74="","",COUNTIFS(Chicks!$G:$G,A74,Chicks!$I:$I,"No"))</f>
        <v/>
      </c>
      <c r="J74" s="6" t="str">
        <f>IF(A74="","",IFERROR(AVERAGEIF(Chicks!$G:$G,A74,Chicks!$M:$M),""))</f>
        <v/>
      </c>
      <c r="K74" s="6" t="str">
        <f>IF(A74="","",SUMIFS(Chicks!$N:$N,Chicks!$G:$G,A74))</f>
        <v/>
      </c>
      <c r="L74" s="6" t="str">
        <f>IF(A74="","",SUMIFS(Chicks!$O:$O,Chicks!$G:$G,A74))</f>
        <v/>
      </c>
      <c r="M74" s="6" t="str">
        <f>IF(A74="","",SUMIFS(Chicks!$P:$P,Chicks!$G:$G,A74))</f>
        <v/>
      </c>
      <c r="N74" s="6" t="str">
        <f t="shared" si="0"/>
        <v/>
      </c>
    </row>
    <row r="75" spans="1:14" ht="14.25" customHeight="1" x14ac:dyDescent="0.3">
      <c r="A75" s="4"/>
      <c r="B75" s="4"/>
      <c r="C75" s="4"/>
      <c r="D75" s="4"/>
      <c r="E75" s="4"/>
      <c r="F75" s="6" t="str">
        <f>IF(A75="","",COUNTIF(Chicks!$G:$G,A75))</f>
        <v/>
      </c>
      <c r="G75" s="6" t="str">
        <f>IF(A75="","",COUNTIFS(Chicks!$G:$G,A75,Chicks!$I:$I,"Yes"))</f>
        <v/>
      </c>
      <c r="H75" s="6" t="str">
        <f>IF(A75="","",SUMIFS(Chicks!$J:$J,Chicks!$G:$G,A75))</f>
        <v/>
      </c>
      <c r="I75" s="6" t="str">
        <f>IF(A75="","",COUNTIFS(Chicks!$G:$G,A75,Chicks!$I:$I,"No"))</f>
        <v/>
      </c>
      <c r="J75" s="6" t="str">
        <f>IF(A75="","",IFERROR(AVERAGEIF(Chicks!$G:$G,A75,Chicks!$M:$M),""))</f>
        <v/>
      </c>
      <c r="K75" s="6" t="str">
        <f>IF(A75="","",SUMIFS(Chicks!$N:$N,Chicks!$G:$G,A75))</f>
        <v/>
      </c>
      <c r="L75" s="6" t="str">
        <f>IF(A75="","",SUMIFS(Chicks!$O:$O,Chicks!$G:$G,A75))</f>
        <v/>
      </c>
      <c r="M75" s="6" t="str">
        <f>IF(A75="","",SUMIFS(Chicks!$P:$P,Chicks!$G:$G,A75))</f>
        <v/>
      </c>
      <c r="N75" s="6" t="str">
        <f t="shared" si="0"/>
        <v/>
      </c>
    </row>
    <row r="76" spans="1:14" ht="14.25" customHeight="1" x14ac:dyDescent="0.3">
      <c r="A76" s="4"/>
      <c r="B76" s="4"/>
      <c r="C76" s="4"/>
      <c r="D76" s="4"/>
      <c r="E76" s="4"/>
      <c r="F76" s="6" t="str">
        <f>IF(A76="","",COUNTIF(Chicks!$G:$G,A76))</f>
        <v/>
      </c>
      <c r="G76" s="6" t="str">
        <f>IF(A76="","",COUNTIFS(Chicks!$G:$G,A76,Chicks!$I:$I,"Yes"))</f>
        <v/>
      </c>
      <c r="H76" s="6" t="str">
        <f>IF(A76="","",SUMIFS(Chicks!$J:$J,Chicks!$G:$G,A76))</f>
        <v/>
      </c>
      <c r="I76" s="6" t="str">
        <f>IF(A76="","",COUNTIFS(Chicks!$G:$G,A76,Chicks!$I:$I,"No"))</f>
        <v/>
      </c>
      <c r="J76" s="6" t="str">
        <f>IF(A76="","",IFERROR(AVERAGEIF(Chicks!$G:$G,A76,Chicks!$M:$M),""))</f>
        <v/>
      </c>
      <c r="K76" s="6" t="str">
        <f>IF(A76="","",SUMIFS(Chicks!$N:$N,Chicks!$G:$G,A76))</f>
        <v/>
      </c>
      <c r="L76" s="6" t="str">
        <f>IF(A76="","",SUMIFS(Chicks!$O:$O,Chicks!$G:$G,A76))</f>
        <v/>
      </c>
      <c r="M76" s="6" t="str">
        <f>IF(A76="","",SUMIFS(Chicks!$P:$P,Chicks!$G:$G,A76))</f>
        <v/>
      </c>
      <c r="N76" s="6" t="str">
        <f t="shared" si="0"/>
        <v/>
      </c>
    </row>
    <row r="77" spans="1:14" ht="14.25" customHeight="1" x14ac:dyDescent="0.3">
      <c r="A77" s="4"/>
      <c r="B77" s="4"/>
      <c r="C77" s="4"/>
      <c r="D77" s="4"/>
      <c r="E77" s="4"/>
      <c r="F77" s="6" t="str">
        <f>IF(A77="","",COUNTIF(Chicks!$G:$G,A77))</f>
        <v/>
      </c>
      <c r="G77" s="6" t="str">
        <f>IF(A77="","",COUNTIFS(Chicks!$G:$G,A77,Chicks!$I:$I,"Yes"))</f>
        <v/>
      </c>
      <c r="H77" s="6" t="str">
        <f>IF(A77="","",SUMIFS(Chicks!$J:$J,Chicks!$G:$G,A77))</f>
        <v/>
      </c>
      <c r="I77" s="6" t="str">
        <f>IF(A77="","",COUNTIFS(Chicks!$G:$G,A77,Chicks!$I:$I,"No"))</f>
        <v/>
      </c>
      <c r="J77" s="6" t="str">
        <f>IF(A77="","",IFERROR(AVERAGEIF(Chicks!$G:$G,A77,Chicks!$M:$M),""))</f>
        <v/>
      </c>
      <c r="K77" s="6" t="str">
        <f>IF(A77="","",SUMIFS(Chicks!$N:$N,Chicks!$G:$G,A77))</f>
        <v/>
      </c>
      <c r="L77" s="6" t="str">
        <f>IF(A77="","",SUMIFS(Chicks!$O:$O,Chicks!$G:$G,A77))</f>
        <v/>
      </c>
      <c r="M77" s="6" t="str">
        <f>IF(A77="","",SUMIFS(Chicks!$P:$P,Chicks!$G:$G,A77))</f>
        <v/>
      </c>
      <c r="N77" s="6" t="str">
        <f t="shared" si="0"/>
        <v/>
      </c>
    </row>
    <row r="78" spans="1:14" ht="14.25" customHeight="1" x14ac:dyDescent="0.3">
      <c r="A78" s="4"/>
      <c r="B78" s="4"/>
      <c r="C78" s="4"/>
      <c r="D78" s="4"/>
      <c r="E78" s="4"/>
      <c r="F78" s="6" t="str">
        <f>IF(A78="","",COUNTIF(Chicks!$G:$G,A78))</f>
        <v/>
      </c>
      <c r="G78" s="6" t="str">
        <f>IF(A78="","",COUNTIFS(Chicks!$G:$G,A78,Chicks!$I:$I,"Yes"))</f>
        <v/>
      </c>
      <c r="H78" s="6" t="str">
        <f>IF(A78="","",SUMIFS(Chicks!$J:$J,Chicks!$G:$G,A78))</f>
        <v/>
      </c>
      <c r="I78" s="6" t="str">
        <f>IF(A78="","",COUNTIFS(Chicks!$G:$G,A78,Chicks!$I:$I,"No"))</f>
        <v/>
      </c>
      <c r="J78" s="6" t="str">
        <f>IF(A78="","",IFERROR(AVERAGEIF(Chicks!$G:$G,A78,Chicks!$M:$M),""))</f>
        <v/>
      </c>
      <c r="K78" s="6" t="str">
        <f>IF(A78="","",SUMIFS(Chicks!$N:$N,Chicks!$G:$G,A78))</f>
        <v/>
      </c>
      <c r="L78" s="6" t="str">
        <f>IF(A78="","",SUMIFS(Chicks!$O:$O,Chicks!$G:$G,A78))</f>
        <v/>
      </c>
      <c r="M78" s="6" t="str">
        <f>IF(A78="","",SUMIFS(Chicks!$P:$P,Chicks!$G:$G,A78))</f>
        <v/>
      </c>
      <c r="N78" s="6" t="str">
        <f t="shared" si="0"/>
        <v/>
      </c>
    </row>
    <row r="79" spans="1:14" ht="14.25" customHeight="1" x14ac:dyDescent="0.3">
      <c r="A79" s="4"/>
      <c r="B79" s="4"/>
      <c r="C79" s="4"/>
      <c r="D79" s="4"/>
      <c r="E79" s="4"/>
      <c r="F79" s="6" t="str">
        <f>IF(A79="","",COUNTIF(Chicks!$G:$G,A79))</f>
        <v/>
      </c>
      <c r="G79" s="6" t="str">
        <f>IF(A79="","",COUNTIFS(Chicks!$G:$G,A79,Chicks!$I:$I,"Yes"))</f>
        <v/>
      </c>
      <c r="H79" s="6" t="str">
        <f>IF(A79="","",SUMIFS(Chicks!$J:$J,Chicks!$G:$G,A79))</f>
        <v/>
      </c>
      <c r="I79" s="6" t="str">
        <f>IF(A79="","",COUNTIFS(Chicks!$G:$G,A79,Chicks!$I:$I,"No"))</f>
        <v/>
      </c>
      <c r="J79" s="6" t="str">
        <f>IF(A79="","",IFERROR(AVERAGEIF(Chicks!$G:$G,A79,Chicks!$M:$M),""))</f>
        <v/>
      </c>
      <c r="K79" s="6" t="str">
        <f>IF(A79="","",SUMIFS(Chicks!$N:$N,Chicks!$G:$G,A79))</f>
        <v/>
      </c>
      <c r="L79" s="6" t="str">
        <f>IF(A79="","",SUMIFS(Chicks!$O:$O,Chicks!$G:$G,A79))</f>
        <v/>
      </c>
      <c r="M79" s="6" t="str">
        <f>IF(A79="","",SUMIFS(Chicks!$P:$P,Chicks!$G:$G,A79))</f>
        <v/>
      </c>
      <c r="N79" s="6" t="str">
        <f t="shared" si="0"/>
        <v/>
      </c>
    </row>
    <row r="80" spans="1:14" ht="14.25" customHeight="1" x14ac:dyDescent="0.3">
      <c r="A80" s="4"/>
      <c r="B80" s="4"/>
      <c r="C80" s="4"/>
      <c r="D80" s="4"/>
      <c r="E80" s="4"/>
      <c r="F80" s="6" t="str">
        <f>IF(A80="","",COUNTIF(Chicks!$G:$G,A80))</f>
        <v/>
      </c>
      <c r="G80" s="6" t="str">
        <f>IF(A80="","",COUNTIFS(Chicks!$G:$G,A80,Chicks!$I:$I,"Yes"))</f>
        <v/>
      </c>
      <c r="H80" s="6" t="str">
        <f>IF(A80="","",SUMIFS(Chicks!$J:$J,Chicks!$G:$G,A80))</f>
        <v/>
      </c>
      <c r="I80" s="6" t="str">
        <f>IF(A80="","",COUNTIFS(Chicks!$G:$G,A80,Chicks!$I:$I,"No"))</f>
        <v/>
      </c>
      <c r="J80" s="6" t="str">
        <f>IF(A80="","",IFERROR(AVERAGEIF(Chicks!$G:$G,A80,Chicks!$M:$M),""))</f>
        <v/>
      </c>
      <c r="K80" s="6" t="str">
        <f>IF(A80="","",SUMIFS(Chicks!$N:$N,Chicks!$G:$G,A80))</f>
        <v/>
      </c>
      <c r="L80" s="6" t="str">
        <f>IF(A80="","",SUMIFS(Chicks!$O:$O,Chicks!$G:$G,A80))</f>
        <v/>
      </c>
      <c r="M80" s="6" t="str">
        <f>IF(A80="","",SUMIFS(Chicks!$P:$P,Chicks!$G:$G,A80))</f>
        <v/>
      </c>
      <c r="N80" s="6" t="str">
        <f t="shared" si="0"/>
        <v/>
      </c>
    </row>
    <row r="81" spans="1:14" ht="14.25" customHeight="1" x14ac:dyDescent="0.3">
      <c r="A81" s="4"/>
      <c r="B81" s="4"/>
      <c r="C81" s="4"/>
      <c r="D81" s="4"/>
      <c r="E81" s="4"/>
      <c r="F81" s="6" t="str">
        <f>IF(A81="","",COUNTIF(Chicks!$G:$G,A81))</f>
        <v/>
      </c>
      <c r="G81" s="6" t="str">
        <f>IF(A81="","",COUNTIFS(Chicks!$G:$G,A81,Chicks!$I:$I,"Yes"))</f>
        <v/>
      </c>
      <c r="H81" s="6" t="str">
        <f>IF(A81="","",SUMIFS(Chicks!$J:$J,Chicks!$G:$G,A81))</f>
        <v/>
      </c>
      <c r="I81" s="6" t="str">
        <f>IF(A81="","",COUNTIFS(Chicks!$G:$G,A81,Chicks!$I:$I,"No"))</f>
        <v/>
      </c>
      <c r="J81" s="6" t="str">
        <f>IF(A81="","",IFERROR(AVERAGEIF(Chicks!$G:$G,A81,Chicks!$M:$M),""))</f>
        <v/>
      </c>
      <c r="K81" s="6" t="str">
        <f>IF(A81="","",SUMIFS(Chicks!$N:$N,Chicks!$G:$G,A81))</f>
        <v/>
      </c>
      <c r="L81" s="6" t="str">
        <f>IF(A81="","",SUMIFS(Chicks!$O:$O,Chicks!$G:$G,A81))</f>
        <v/>
      </c>
      <c r="M81" s="6" t="str">
        <f>IF(A81="","",SUMIFS(Chicks!$P:$P,Chicks!$G:$G,A81))</f>
        <v/>
      </c>
      <c r="N81" s="6" t="str">
        <f t="shared" si="0"/>
        <v/>
      </c>
    </row>
    <row r="82" spans="1:14" ht="14.25" customHeight="1" x14ac:dyDescent="0.3">
      <c r="A82" s="4"/>
      <c r="B82" s="4"/>
      <c r="C82" s="4"/>
      <c r="D82" s="4"/>
      <c r="E82" s="4"/>
      <c r="F82" s="6" t="str">
        <f>IF(A82="","",COUNTIF(Chicks!$G:$G,A82))</f>
        <v/>
      </c>
      <c r="G82" s="6" t="str">
        <f>IF(A82="","",COUNTIFS(Chicks!$G:$G,A82,Chicks!$I:$I,"Yes"))</f>
        <v/>
      </c>
      <c r="H82" s="6" t="str">
        <f>IF(A82="","",SUMIFS(Chicks!$J:$J,Chicks!$G:$G,A82))</f>
        <v/>
      </c>
      <c r="I82" s="6" t="str">
        <f>IF(A82="","",COUNTIFS(Chicks!$G:$G,A82,Chicks!$I:$I,"No"))</f>
        <v/>
      </c>
      <c r="J82" s="6" t="str">
        <f>IF(A82="","",IFERROR(AVERAGEIF(Chicks!$G:$G,A82,Chicks!$M:$M),""))</f>
        <v/>
      </c>
      <c r="K82" s="6" t="str">
        <f>IF(A82="","",SUMIFS(Chicks!$N:$N,Chicks!$G:$G,A82))</f>
        <v/>
      </c>
      <c r="L82" s="6" t="str">
        <f>IF(A82="","",SUMIFS(Chicks!$O:$O,Chicks!$G:$G,A82))</f>
        <v/>
      </c>
      <c r="M82" s="6" t="str">
        <f>IF(A82="","",SUMIFS(Chicks!$P:$P,Chicks!$G:$G,A82))</f>
        <v/>
      </c>
      <c r="N82" s="6" t="str">
        <f t="shared" si="0"/>
        <v/>
      </c>
    </row>
    <row r="83" spans="1:14" ht="14.25" customHeight="1" x14ac:dyDescent="0.3">
      <c r="A83" s="4"/>
      <c r="B83" s="4"/>
      <c r="C83" s="4"/>
      <c r="D83" s="4"/>
      <c r="E83" s="4"/>
      <c r="F83" s="6" t="str">
        <f>IF(A83="","",COUNTIF(Chicks!$G:$G,A83))</f>
        <v/>
      </c>
      <c r="G83" s="6" t="str">
        <f>IF(A83="","",COUNTIFS(Chicks!$G:$G,A83,Chicks!$I:$I,"Yes"))</f>
        <v/>
      </c>
      <c r="H83" s="6" t="str">
        <f>IF(A83="","",SUMIFS(Chicks!$J:$J,Chicks!$G:$G,A83))</f>
        <v/>
      </c>
      <c r="I83" s="6" t="str">
        <f>IF(A83="","",COUNTIFS(Chicks!$G:$G,A83,Chicks!$I:$I,"No"))</f>
        <v/>
      </c>
      <c r="J83" s="6" t="str">
        <f>IF(A83="","",IFERROR(AVERAGEIF(Chicks!$G:$G,A83,Chicks!$M:$M),""))</f>
        <v/>
      </c>
      <c r="K83" s="6" t="str">
        <f>IF(A83="","",SUMIFS(Chicks!$N:$N,Chicks!$G:$G,A83))</f>
        <v/>
      </c>
      <c r="L83" s="6" t="str">
        <f>IF(A83="","",SUMIFS(Chicks!$O:$O,Chicks!$G:$G,A83))</f>
        <v/>
      </c>
      <c r="M83" s="6" t="str">
        <f>IF(A83="","",SUMIFS(Chicks!$P:$P,Chicks!$G:$G,A83))</f>
        <v/>
      </c>
      <c r="N83" s="6" t="str">
        <f t="shared" si="0"/>
        <v/>
      </c>
    </row>
    <row r="84" spans="1:14" ht="14.25" customHeight="1" x14ac:dyDescent="0.3">
      <c r="A84" s="4"/>
      <c r="B84" s="4"/>
      <c r="C84" s="4"/>
      <c r="D84" s="4"/>
      <c r="E84" s="4"/>
      <c r="F84" s="6" t="str">
        <f>IF(A84="","",COUNTIF(Chicks!$G:$G,A84))</f>
        <v/>
      </c>
      <c r="G84" s="6" t="str">
        <f>IF(A84="","",COUNTIFS(Chicks!$G:$G,A84,Chicks!$I:$I,"Yes"))</f>
        <v/>
      </c>
      <c r="H84" s="6" t="str">
        <f>IF(A84="","",SUMIFS(Chicks!$J:$J,Chicks!$G:$G,A84))</f>
        <v/>
      </c>
      <c r="I84" s="6" t="str">
        <f>IF(A84="","",COUNTIFS(Chicks!$G:$G,A84,Chicks!$I:$I,"No"))</f>
        <v/>
      </c>
      <c r="J84" s="6" t="str">
        <f>IF(A84="","",IFERROR(AVERAGEIF(Chicks!$G:$G,A84,Chicks!$M:$M),""))</f>
        <v/>
      </c>
      <c r="K84" s="6" t="str">
        <f>IF(A84="","",SUMIFS(Chicks!$N:$N,Chicks!$G:$G,A84))</f>
        <v/>
      </c>
      <c r="L84" s="6" t="str">
        <f>IF(A84="","",SUMIFS(Chicks!$O:$O,Chicks!$G:$G,A84))</f>
        <v/>
      </c>
      <c r="M84" s="6" t="str">
        <f>IF(A84="","",SUMIFS(Chicks!$P:$P,Chicks!$G:$G,A84))</f>
        <v/>
      </c>
      <c r="N84" s="6" t="str">
        <f t="shared" si="0"/>
        <v/>
      </c>
    </row>
    <row r="85" spans="1:14" ht="14.25" customHeight="1" x14ac:dyDescent="0.3">
      <c r="A85" s="4"/>
      <c r="B85" s="4"/>
      <c r="C85" s="4"/>
      <c r="D85" s="4"/>
      <c r="E85" s="4"/>
      <c r="F85" s="6" t="str">
        <f>IF(A85="","",COUNTIF(Chicks!$G:$G,A85))</f>
        <v/>
      </c>
      <c r="G85" s="6" t="str">
        <f>IF(A85="","",COUNTIFS(Chicks!$G:$G,A85,Chicks!$I:$I,"Yes"))</f>
        <v/>
      </c>
      <c r="H85" s="6" t="str">
        <f>IF(A85="","",SUMIFS(Chicks!$J:$J,Chicks!$G:$G,A85))</f>
        <v/>
      </c>
      <c r="I85" s="6" t="str">
        <f>IF(A85="","",COUNTIFS(Chicks!$G:$G,A85,Chicks!$I:$I,"No"))</f>
        <v/>
      </c>
      <c r="J85" s="6" t="str">
        <f>IF(A85="","",IFERROR(AVERAGEIF(Chicks!$G:$G,A85,Chicks!$M:$M),""))</f>
        <v/>
      </c>
      <c r="K85" s="6" t="str">
        <f>IF(A85="","",SUMIFS(Chicks!$N:$N,Chicks!$G:$G,A85))</f>
        <v/>
      </c>
      <c r="L85" s="6" t="str">
        <f>IF(A85="","",SUMIFS(Chicks!$O:$O,Chicks!$G:$G,A85))</f>
        <v/>
      </c>
      <c r="M85" s="6" t="str">
        <f>IF(A85="","",SUMIFS(Chicks!$P:$P,Chicks!$G:$G,A85))</f>
        <v/>
      </c>
      <c r="N85" s="6" t="str">
        <f t="shared" si="0"/>
        <v/>
      </c>
    </row>
    <row r="86" spans="1:14" ht="14.25" customHeight="1" x14ac:dyDescent="0.3">
      <c r="A86" s="4"/>
      <c r="B86" s="4"/>
      <c r="C86" s="4"/>
      <c r="D86" s="4"/>
      <c r="E86" s="4"/>
      <c r="F86" s="6" t="str">
        <f>IF(A86="","",COUNTIF(Chicks!$G:$G,A86))</f>
        <v/>
      </c>
      <c r="G86" s="6" t="str">
        <f>IF(A86="","",COUNTIFS(Chicks!$G:$G,A86,Chicks!$I:$I,"Yes"))</f>
        <v/>
      </c>
      <c r="H86" s="6" t="str">
        <f>IF(A86="","",SUMIFS(Chicks!$J:$J,Chicks!$G:$G,A86))</f>
        <v/>
      </c>
      <c r="I86" s="6" t="str">
        <f>IF(A86="","",COUNTIFS(Chicks!$G:$G,A86,Chicks!$I:$I,"No"))</f>
        <v/>
      </c>
      <c r="J86" s="6" t="str">
        <f>IF(A86="","",IFERROR(AVERAGEIF(Chicks!$G:$G,A86,Chicks!$M:$M),""))</f>
        <v/>
      </c>
      <c r="K86" s="6" t="str">
        <f>IF(A86="","",SUMIFS(Chicks!$N:$N,Chicks!$G:$G,A86))</f>
        <v/>
      </c>
      <c r="L86" s="6" t="str">
        <f>IF(A86="","",SUMIFS(Chicks!$O:$O,Chicks!$G:$G,A86))</f>
        <v/>
      </c>
      <c r="M86" s="6" t="str">
        <f>IF(A86="","",SUMIFS(Chicks!$P:$P,Chicks!$G:$G,A86))</f>
        <v/>
      </c>
      <c r="N86" s="6" t="str">
        <f t="shared" si="0"/>
        <v/>
      </c>
    </row>
    <row r="87" spans="1:14" ht="14.25" customHeight="1" x14ac:dyDescent="0.3">
      <c r="A87" s="4"/>
      <c r="B87" s="4"/>
      <c r="C87" s="4"/>
      <c r="D87" s="4"/>
      <c r="E87" s="4"/>
      <c r="F87" s="6" t="str">
        <f>IF(A87="","",COUNTIF(Chicks!$G:$G,A87))</f>
        <v/>
      </c>
      <c r="G87" s="6" t="str">
        <f>IF(A87="","",COUNTIFS(Chicks!$G:$G,A87,Chicks!$I:$I,"Yes"))</f>
        <v/>
      </c>
      <c r="H87" s="6" t="str">
        <f>IF(A87="","",SUMIFS(Chicks!$J:$J,Chicks!$G:$G,A87))</f>
        <v/>
      </c>
      <c r="I87" s="6" t="str">
        <f>IF(A87="","",COUNTIFS(Chicks!$G:$G,A87,Chicks!$I:$I,"No"))</f>
        <v/>
      </c>
      <c r="J87" s="6" t="str">
        <f>IF(A87="","",IFERROR(AVERAGEIF(Chicks!$G:$G,A87,Chicks!$M:$M),""))</f>
        <v/>
      </c>
      <c r="K87" s="6" t="str">
        <f>IF(A87="","",SUMIFS(Chicks!$N:$N,Chicks!$G:$G,A87))</f>
        <v/>
      </c>
      <c r="L87" s="6" t="str">
        <f>IF(A87="","",SUMIFS(Chicks!$O:$O,Chicks!$G:$G,A87))</f>
        <v/>
      </c>
      <c r="M87" s="6" t="str">
        <f>IF(A87="","",SUMIFS(Chicks!$P:$P,Chicks!$G:$G,A87))</f>
        <v/>
      </c>
      <c r="N87" s="6" t="str">
        <f t="shared" si="0"/>
        <v/>
      </c>
    </row>
    <row r="88" spans="1:14" ht="14.25" customHeight="1" x14ac:dyDescent="0.3">
      <c r="A88" s="4"/>
      <c r="B88" s="4"/>
      <c r="C88" s="4"/>
      <c r="D88" s="4"/>
      <c r="E88" s="4"/>
      <c r="F88" s="6" t="str">
        <f>IF(A88="","",COUNTIF(Chicks!$G:$G,A88))</f>
        <v/>
      </c>
      <c r="G88" s="6" t="str">
        <f>IF(A88="","",COUNTIFS(Chicks!$G:$G,A88,Chicks!$I:$I,"Yes"))</f>
        <v/>
      </c>
      <c r="H88" s="6" t="str">
        <f>IF(A88="","",SUMIFS(Chicks!$J:$J,Chicks!$G:$G,A88))</f>
        <v/>
      </c>
      <c r="I88" s="6" t="str">
        <f>IF(A88="","",COUNTIFS(Chicks!$G:$G,A88,Chicks!$I:$I,"No"))</f>
        <v/>
      </c>
      <c r="J88" s="6" t="str">
        <f>IF(A88="","",IFERROR(AVERAGEIF(Chicks!$G:$G,A88,Chicks!$M:$M),""))</f>
        <v/>
      </c>
      <c r="K88" s="6" t="str">
        <f>IF(A88="","",SUMIFS(Chicks!$N:$N,Chicks!$G:$G,A88))</f>
        <v/>
      </c>
      <c r="L88" s="6" t="str">
        <f>IF(A88="","",SUMIFS(Chicks!$O:$O,Chicks!$G:$G,A88))</f>
        <v/>
      </c>
      <c r="M88" s="6" t="str">
        <f>IF(A88="","",SUMIFS(Chicks!$P:$P,Chicks!$G:$G,A88))</f>
        <v/>
      </c>
      <c r="N88" s="6" t="str">
        <f t="shared" si="0"/>
        <v/>
      </c>
    </row>
    <row r="89" spans="1:14" ht="14.25" customHeight="1" x14ac:dyDescent="0.3">
      <c r="A89" s="4"/>
      <c r="B89" s="4"/>
      <c r="C89" s="4"/>
      <c r="D89" s="4"/>
      <c r="E89" s="4"/>
      <c r="F89" s="6" t="str">
        <f>IF(A89="","",COUNTIF(Chicks!$G:$G,A89))</f>
        <v/>
      </c>
      <c r="G89" s="6" t="str">
        <f>IF(A89="","",COUNTIFS(Chicks!$G:$G,A89,Chicks!$I:$I,"Yes"))</f>
        <v/>
      </c>
      <c r="H89" s="6" t="str">
        <f>IF(A89="","",SUMIFS(Chicks!$J:$J,Chicks!$G:$G,A89))</f>
        <v/>
      </c>
      <c r="I89" s="6" t="str">
        <f>IF(A89="","",COUNTIFS(Chicks!$G:$G,A89,Chicks!$I:$I,"No"))</f>
        <v/>
      </c>
      <c r="J89" s="6" t="str">
        <f>IF(A89="","",IFERROR(AVERAGEIF(Chicks!$G:$G,A89,Chicks!$M:$M),""))</f>
        <v/>
      </c>
      <c r="K89" s="6" t="str">
        <f>IF(A89="","",SUMIFS(Chicks!$N:$N,Chicks!$G:$G,A89))</f>
        <v/>
      </c>
      <c r="L89" s="6" t="str">
        <f>IF(A89="","",SUMIFS(Chicks!$O:$O,Chicks!$G:$G,A89))</f>
        <v/>
      </c>
      <c r="M89" s="6" t="str">
        <f>IF(A89="","",SUMIFS(Chicks!$P:$P,Chicks!$G:$G,A89))</f>
        <v/>
      </c>
      <c r="N89" s="6" t="str">
        <f t="shared" si="0"/>
        <v/>
      </c>
    </row>
    <row r="90" spans="1:14" ht="14.25" customHeight="1" x14ac:dyDescent="0.3">
      <c r="A90" s="4"/>
      <c r="B90" s="4"/>
      <c r="C90" s="4"/>
      <c r="D90" s="4"/>
      <c r="E90" s="4"/>
      <c r="F90" s="6" t="str">
        <f>IF(A90="","",COUNTIF(Chicks!$G:$G,A90))</f>
        <v/>
      </c>
      <c r="G90" s="6" t="str">
        <f>IF(A90="","",COUNTIFS(Chicks!$G:$G,A90,Chicks!$I:$I,"Yes"))</f>
        <v/>
      </c>
      <c r="H90" s="6" t="str">
        <f>IF(A90="","",SUMIFS(Chicks!$J:$J,Chicks!$G:$G,A90))</f>
        <v/>
      </c>
      <c r="I90" s="6" t="str">
        <f>IF(A90="","",COUNTIFS(Chicks!$G:$G,A90,Chicks!$I:$I,"No"))</f>
        <v/>
      </c>
      <c r="J90" s="6" t="str">
        <f>IF(A90="","",IFERROR(AVERAGEIF(Chicks!$G:$G,A90,Chicks!$M:$M),""))</f>
        <v/>
      </c>
      <c r="K90" s="6" t="str">
        <f>IF(A90="","",SUMIFS(Chicks!$N:$N,Chicks!$G:$G,A90))</f>
        <v/>
      </c>
      <c r="L90" s="6" t="str">
        <f>IF(A90="","",SUMIFS(Chicks!$O:$O,Chicks!$G:$G,A90))</f>
        <v/>
      </c>
      <c r="M90" s="6" t="str">
        <f>IF(A90="","",SUMIFS(Chicks!$P:$P,Chicks!$G:$G,A90))</f>
        <v/>
      </c>
      <c r="N90" s="6" t="str">
        <f t="shared" si="0"/>
        <v/>
      </c>
    </row>
    <row r="91" spans="1:14" ht="14.25" customHeight="1" x14ac:dyDescent="0.3">
      <c r="A91" s="4"/>
      <c r="B91" s="4"/>
      <c r="C91" s="4"/>
      <c r="D91" s="4"/>
      <c r="E91" s="4"/>
      <c r="F91" s="6" t="str">
        <f>IF(A91="","",COUNTIF(Chicks!$G:$G,A91))</f>
        <v/>
      </c>
      <c r="G91" s="6" t="str">
        <f>IF(A91="","",COUNTIFS(Chicks!$G:$G,A91,Chicks!$I:$I,"Yes"))</f>
        <v/>
      </c>
      <c r="H91" s="6" t="str">
        <f>IF(A91="","",SUMIFS(Chicks!$J:$J,Chicks!$G:$G,A91))</f>
        <v/>
      </c>
      <c r="I91" s="6" t="str">
        <f>IF(A91="","",COUNTIFS(Chicks!$G:$G,A91,Chicks!$I:$I,"No"))</f>
        <v/>
      </c>
      <c r="J91" s="6" t="str">
        <f>IF(A91="","",IFERROR(AVERAGEIF(Chicks!$G:$G,A91,Chicks!$M:$M),""))</f>
        <v/>
      </c>
      <c r="K91" s="6" t="str">
        <f>IF(A91="","",SUMIFS(Chicks!$N:$N,Chicks!$G:$G,A91))</f>
        <v/>
      </c>
      <c r="L91" s="6" t="str">
        <f>IF(A91="","",SUMIFS(Chicks!$O:$O,Chicks!$G:$G,A91))</f>
        <v/>
      </c>
      <c r="M91" s="6" t="str">
        <f>IF(A91="","",SUMIFS(Chicks!$P:$P,Chicks!$G:$G,A91))</f>
        <v/>
      </c>
      <c r="N91" s="6" t="str">
        <f t="shared" si="0"/>
        <v/>
      </c>
    </row>
    <row r="92" spans="1:14" ht="14.25" customHeight="1" x14ac:dyDescent="0.3">
      <c r="A92" s="4"/>
      <c r="B92" s="4"/>
      <c r="C92" s="4"/>
      <c r="D92" s="4"/>
      <c r="E92" s="4"/>
      <c r="F92" s="6" t="str">
        <f>IF(A92="","",COUNTIF(Chicks!$G:$G,A92))</f>
        <v/>
      </c>
      <c r="G92" s="6" t="str">
        <f>IF(A92="","",COUNTIFS(Chicks!$G:$G,A92,Chicks!$I:$I,"Yes"))</f>
        <v/>
      </c>
      <c r="H92" s="6" t="str">
        <f>IF(A92="","",SUMIFS(Chicks!$J:$J,Chicks!$G:$G,A92))</f>
        <v/>
      </c>
      <c r="I92" s="6" t="str">
        <f>IF(A92="","",COUNTIFS(Chicks!$G:$G,A92,Chicks!$I:$I,"No"))</f>
        <v/>
      </c>
      <c r="J92" s="6" t="str">
        <f>IF(A92="","",IFERROR(AVERAGEIF(Chicks!$G:$G,A92,Chicks!$M:$M),""))</f>
        <v/>
      </c>
      <c r="K92" s="6" t="str">
        <f>IF(A92="","",SUMIFS(Chicks!$N:$N,Chicks!$G:$G,A92))</f>
        <v/>
      </c>
      <c r="L92" s="6" t="str">
        <f>IF(A92="","",SUMIFS(Chicks!$O:$O,Chicks!$G:$G,A92))</f>
        <v/>
      </c>
      <c r="M92" s="6" t="str">
        <f>IF(A92="","",SUMIFS(Chicks!$P:$P,Chicks!$G:$G,A92))</f>
        <v/>
      </c>
      <c r="N92" s="6" t="str">
        <f t="shared" si="0"/>
        <v/>
      </c>
    </row>
    <row r="93" spans="1:14" ht="14.25" customHeight="1" x14ac:dyDescent="0.3">
      <c r="A93" s="4"/>
      <c r="B93" s="4"/>
      <c r="C93" s="4"/>
      <c r="D93" s="4"/>
      <c r="E93" s="4"/>
      <c r="F93" s="6" t="str">
        <f>IF(A93="","",COUNTIF(Chicks!$G:$G,A93))</f>
        <v/>
      </c>
      <c r="G93" s="6" t="str">
        <f>IF(A93="","",COUNTIFS(Chicks!$G:$G,A93,Chicks!$I:$I,"Yes"))</f>
        <v/>
      </c>
      <c r="H93" s="6" t="str">
        <f>IF(A93="","",SUMIFS(Chicks!$J:$J,Chicks!$G:$G,A93))</f>
        <v/>
      </c>
      <c r="I93" s="6" t="str">
        <f>IF(A93="","",COUNTIFS(Chicks!$G:$G,A93,Chicks!$I:$I,"No"))</f>
        <v/>
      </c>
      <c r="J93" s="6" t="str">
        <f>IF(A93="","",IFERROR(AVERAGEIF(Chicks!$G:$G,A93,Chicks!$M:$M),""))</f>
        <v/>
      </c>
      <c r="K93" s="6" t="str">
        <f>IF(A93="","",SUMIFS(Chicks!$N:$N,Chicks!$G:$G,A93))</f>
        <v/>
      </c>
      <c r="L93" s="6" t="str">
        <f>IF(A93="","",SUMIFS(Chicks!$O:$O,Chicks!$G:$G,A93))</f>
        <v/>
      </c>
      <c r="M93" s="6" t="str">
        <f>IF(A93="","",SUMIFS(Chicks!$P:$P,Chicks!$G:$G,A93))</f>
        <v/>
      </c>
      <c r="N93" s="6" t="str">
        <f t="shared" si="0"/>
        <v/>
      </c>
    </row>
    <row r="94" spans="1:14" ht="14.25" customHeight="1" x14ac:dyDescent="0.3">
      <c r="A94" s="4"/>
      <c r="B94" s="4"/>
      <c r="C94" s="4"/>
      <c r="D94" s="4"/>
      <c r="E94" s="4"/>
      <c r="F94" s="6" t="str">
        <f>IF(A94="","",COUNTIF(Chicks!$G:$G,A94))</f>
        <v/>
      </c>
      <c r="G94" s="6" t="str">
        <f>IF(A94="","",COUNTIFS(Chicks!$G:$G,A94,Chicks!$I:$I,"Yes"))</f>
        <v/>
      </c>
      <c r="H94" s="6" t="str">
        <f>IF(A94="","",SUMIFS(Chicks!$J:$J,Chicks!$G:$G,A94))</f>
        <v/>
      </c>
      <c r="I94" s="6" t="str">
        <f>IF(A94="","",COUNTIFS(Chicks!$G:$G,A94,Chicks!$I:$I,"No"))</f>
        <v/>
      </c>
      <c r="J94" s="6" t="str">
        <f>IF(A94="","",IFERROR(AVERAGEIF(Chicks!$G:$G,A94,Chicks!$M:$M),""))</f>
        <v/>
      </c>
      <c r="K94" s="6" t="str">
        <f>IF(A94="","",SUMIFS(Chicks!$N:$N,Chicks!$G:$G,A94))</f>
        <v/>
      </c>
      <c r="L94" s="6" t="str">
        <f>IF(A94="","",SUMIFS(Chicks!$O:$O,Chicks!$G:$G,A94))</f>
        <v/>
      </c>
      <c r="M94" s="6" t="str">
        <f>IF(A94="","",SUMIFS(Chicks!$P:$P,Chicks!$G:$G,A94))</f>
        <v/>
      </c>
      <c r="N94" s="6" t="str">
        <f t="shared" si="0"/>
        <v/>
      </c>
    </row>
    <row r="95" spans="1:14" ht="14.25" customHeight="1" x14ac:dyDescent="0.3">
      <c r="A95" s="4"/>
      <c r="B95" s="4"/>
      <c r="C95" s="4"/>
      <c r="D95" s="4"/>
      <c r="E95" s="4"/>
      <c r="F95" s="6" t="str">
        <f>IF(A95="","",COUNTIF(Chicks!$G:$G,A95))</f>
        <v/>
      </c>
      <c r="G95" s="6" t="str">
        <f>IF(A95="","",COUNTIFS(Chicks!$G:$G,A95,Chicks!$I:$I,"Yes"))</f>
        <v/>
      </c>
      <c r="H95" s="6" t="str">
        <f>IF(A95="","",SUMIFS(Chicks!$J:$J,Chicks!$G:$G,A95))</f>
        <v/>
      </c>
      <c r="I95" s="6" t="str">
        <f>IF(A95="","",COUNTIFS(Chicks!$G:$G,A95,Chicks!$I:$I,"No"))</f>
        <v/>
      </c>
      <c r="J95" s="6" t="str">
        <f>IF(A95="","",IFERROR(AVERAGEIF(Chicks!$G:$G,A95,Chicks!$M:$M),""))</f>
        <v/>
      </c>
      <c r="K95" s="6" t="str">
        <f>IF(A95="","",SUMIFS(Chicks!$N:$N,Chicks!$G:$G,A95))</f>
        <v/>
      </c>
      <c r="L95" s="6" t="str">
        <f>IF(A95="","",SUMIFS(Chicks!$O:$O,Chicks!$G:$G,A95))</f>
        <v/>
      </c>
      <c r="M95" s="6" t="str">
        <f>IF(A95="","",SUMIFS(Chicks!$P:$P,Chicks!$G:$G,A95))</f>
        <v/>
      </c>
      <c r="N95" s="6" t="str">
        <f t="shared" si="0"/>
        <v/>
      </c>
    </row>
    <row r="96" spans="1:14" ht="14.25" customHeight="1" x14ac:dyDescent="0.3">
      <c r="A96" s="4"/>
      <c r="B96" s="4"/>
      <c r="C96" s="4"/>
      <c r="D96" s="4"/>
      <c r="E96" s="4"/>
      <c r="F96" s="6" t="str">
        <f>IF(A96="","",COUNTIF(Chicks!$G:$G,A96))</f>
        <v/>
      </c>
      <c r="G96" s="6" t="str">
        <f>IF(A96="","",COUNTIFS(Chicks!$G:$G,A96,Chicks!$I:$I,"Yes"))</f>
        <v/>
      </c>
      <c r="H96" s="6" t="str">
        <f>IF(A96="","",SUMIFS(Chicks!$J:$J,Chicks!$G:$G,A96))</f>
        <v/>
      </c>
      <c r="I96" s="6" t="str">
        <f>IF(A96="","",COUNTIFS(Chicks!$G:$G,A96,Chicks!$I:$I,"No"))</f>
        <v/>
      </c>
      <c r="J96" s="6" t="str">
        <f>IF(A96="","",IFERROR(AVERAGEIF(Chicks!$G:$G,A96,Chicks!$M:$M),""))</f>
        <v/>
      </c>
      <c r="K96" s="6" t="str">
        <f>IF(A96="","",SUMIFS(Chicks!$N:$N,Chicks!$G:$G,A96))</f>
        <v/>
      </c>
      <c r="L96" s="6" t="str">
        <f>IF(A96="","",SUMIFS(Chicks!$O:$O,Chicks!$G:$G,A96))</f>
        <v/>
      </c>
      <c r="M96" s="6" t="str">
        <f>IF(A96="","",SUMIFS(Chicks!$P:$P,Chicks!$G:$G,A96))</f>
        <v/>
      </c>
      <c r="N96" s="6" t="str">
        <f t="shared" si="0"/>
        <v/>
      </c>
    </row>
    <row r="97" spans="1:14" ht="14.25" customHeight="1" x14ac:dyDescent="0.3">
      <c r="A97" s="4"/>
      <c r="B97" s="4"/>
      <c r="C97" s="4"/>
      <c r="D97" s="4"/>
      <c r="E97" s="4"/>
      <c r="F97" s="6" t="str">
        <f>IF(A97="","",COUNTIF(Chicks!$G:$G,A97))</f>
        <v/>
      </c>
      <c r="G97" s="6" t="str">
        <f>IF(A97="","",COUNTIFS(Chicks!$G:$G,A97,Chicks!$I:$I,"Yes"))</f>
        <v/>
      </c>
      <c r="H97" s="6" t="str">
        <f>IF(A97="","",SUMIFS(Chicks!$J:$J,Chicks!$G:$G,A97))</f>
        <v/>
      </c>
      <c r="I97" s="6" t="str">
        <f>IF(A97="","",COUNTIFS(Chicks!$G:$G,A97,Chicks!$I:$I,"No"))</f>
        <v/>
      </c>
      <c r="J97" s="6" t="str">
        <f>IF(A97="","",IFERROR(AVERAGEIF(Chicks!$G:$G,A97,Chicks!$M:$M),""))</f>
        <v/>
      </c>
      <c r="K97" s="6" t="str">
        <f>IF(A97="","",SUMIFS(Chicks!$N:$N,Chicks!$G:$G,A97))</f>
        <v/>
      </c>
      <c r="L97" s="6" t="str">
        <f>IF(A97="","",SUMIFS(Chicks!$O:$O,Chicks!$G:$G,A97))</f>
        <v/>
      </c>
      <c r="M97" s="6" t="str">
        <f>IF(A97="","",SUMIFS(Chicks!$P:$P,Chicks!$G:$G,A97))</f>
        <v/>
      </c>
      <c r="N97" s="6" t="str">
        <f t="shared" si="0"/>
        <v/>
      </c>
    </row>
    <row r="98" spans="1:14" ht="14.25" customHeight="1" x14ac:dyDescent="0.3">
      <c r="A98" s="4"/>
      <c r="B98" s="4"/>
      <c r="C98" s="4"/>
      <c r="D98" s="4"/>
      <c r="E98" s="4"/>
      <c r="F98" s="6" t="str">
        <f>IF(A98="","",COUNTIF(Chicks!$G:$G,A98))</f>
        <v/>
      </c>
      <c r="G98" s="6" t="str">
        <f>IF(A98="","",COUNTIFS(Chicks!$G:$G,A98,Chicks!$I:$I,"Yes"))</f>
        <v/>
      </c>
      <c r="H98" s="6" t="str">
        <f>IF(A98="","",SUMIFS(Chicks!$J:$J,Chicks!$G:$G,A98))</f>
        <v/>
      </c>
      <c r="I98" s="6" t="str">
        <f>IF(A98="","",COUNTIFS(Chicks!$G:$G,A98,Chicks!$I:$I,"No"))</f>
        <v/>
      </c>
      <c r="J98" s="6" t="str">
        <f>IF(A98="","",IFERROR(AVERAGEIF(Chicks!$G:$G,A98,Chicks!$M:$M),""))</f>
        <v/>
      </c>
      <c r="K98" s="6" t="str">
        <f>IF(A98="","",SUMIFS(Chicks!$N:$N,Chicks!$G:$G,A98))</f>
        <v/>
      </c>
      <c r="L98" s="6" t="str">
        <f>IF(A98="","",SUMIFS(Chicks!$O:$O,Chicks!$G:$G,A98))</f>
        <v/>
      </c>
      <c r="M98" s="6" t="str">
        <f>IF(A98="","",SUMIFS(Chicks!$P:$P,Chicks!$G:$G,A98))</f>
        <v/>
      </c>
      <c r="N98" s="6" t="str">
        <f t="shared" si="0"/>
        <v/>
      </c>
    </row>
    <row r="99" spans="1:14" ht="14.25" customHeight="1" x14ac:dyDescent="0.3">
      <c r="A99" s="4"/>
      <c r="B99" s="4"/>
      <c r="C99" s="4"/>
      <c r="D99" s="4"/>
      <c r="E99" s="4"/>
      <c r="F99" s="6" t="str">
        <f>IF(A99="","",COUNTIF(Chicks!$G:$G,A99))</f>
        <v/>
      </c>
      <c r="G99" s="6" t="str">
        <f>IF(A99="","",COUNTIFS(Chicks!$G:$G,A99,Chicks!$I:$I,"Yes"))</f>
        <v/>
      </c>
      <c r="H99" s="6" t="str">
        <f>IF(A99="","",SUMIFS(Chicks!$J:$J,Chicks!$G:$G,A99))</f>
        <v/>
      </c>
      <c r="I99" s="6" t="str">
        <f>IF(A99="","",COUNTIFS(Chicks!$G:$G,A99,Chicks!$I:$I,"No"))</f>
        <v/>
      </c>
      <c r="J99" s="6" t="str">
        <f>IF(A99="","",IFERROR(AVERAGEIF(Chicks!$G:$G,A99,Chicks!$M:$M),""))</f>
        <v/>
      </c>
      <c r="K99" s="6" t="str">
        <f>IF(A99="","",SUMIFS(Chicks!$N:$N,Chicks!$G:$G,A99))</f>
        <v/>
      </c>
      <c r="L99" s="6" t="str">
        <f>IF(A99="","",SUMIFS(Chicks!$O:$O,Chicks!$G:$G,A99))</f>
        <v/>
      </c>
      <c r="M99" s="6" t="str">
        <f>IF(A99="","",SUMIFS(Chicks!$P:$P,Chicks!$G:$G,A99))</f>
        <v/>
      </c>
      <c r="N99" s="6" t="str">
        <f t="shared" si="0"/>
        <v/>
      </c>
    </row>
    <row r="100" spans="1:14" ht="14.25" customHeight="1" x14ac:dyDescent="0.3">
      <c r="A100" s="4"/>
      <c r="B100" s="4"/>
      <c r="C100" s="4"/>
      <c r="D100" s="4"/>
      <c r="E100" s="4"/>
      <c r="F100" s="6" t="str">
        <f>IF(A100="","",COUNTIF(Chicks!$G:$G,A100))</f>
        <v/>
      </c>
      <c r="G100" s="6" t="str">
        <f>IF(A100="","",COUNTIFS(Chicks!$G:$G,A100,Chicks!$I:$I,"Yes"))</f>
        <v/>
      </c>
      <c r="H100" s="6" t="str">
        <f>IF(A100="","",SUMIFS(Chicks!$J:$J,Chicks!$G:$G,A100))</f>
        <v/>
      </c>
      <c r="I100" s="6" t="str">
        <f>IF(A100="","",COUNTIFS(Chicks!$G:$G,A100,Chicks!$I:$I,"No"))</f>
        <v/>
      </c>
      <c r="J100" s="6" t="str">
        <f>IF(A100="","",IFERROR(AVERAGEIF(Chicks!$G:$G,A100,Chicks!$M:$M),""))</f>
        <v/>
      </c>
      <c r="K100" s="6" t="str">
        <f>IF(A100="","",SUMIFS(Chicks!$N:$N,Chicks!$G:$G,A100))</f>
        <v/>
      </c>
      <c r="L100" s="6" t="str">
        <f>IF(A100="","",SUMIFS(Chicks!$O:$O,Chicks!$G:$G,A100))</f>
        <v/>
      </c>
      <c r="M100" s="6" t="str">
        <f>IF(A100="","",SUMIFS(Chicks!$P:$P,Chicks!$G:$G,A100))</f>
        <v/>
      </c>
      <c r="N100" s="6" t="str">
        <f t="shared" si="0"/>
        <v/>
      </c>
    </row>
    <row r="101" spans="1:14" ht="14.25" customHeight="1" x14ac:dyDescent="0.3">
      <c r="A101" s="4"/>
      <c r="B101" s="4"/>
      <c r="C101" s="4"/>
      <c r="D101" s="4"/>
      <c r="E101" s="4"/>
      <c r="F101" s="6" t="str">
        <f>IF(A101="","",COUNTIF(Chicks!$G:$G,A101))</f>
        <v/>
      </c>
      <c r="G101" s="6" t="str">
        <f>IF(A101="","",COUNTIFS(Chicks!$G:$G,A101,Chicks!$I:$I,"Yes"))</f>
        <v/>
      </c>
      <c r="H101" s="6" t="str">
        <f>IF(A101="","",SUMIFS(Chicks!$J:$J,Chicks!$G:$G,A101))</f>
        <v/>
      </c>
      <c r="I101" s="6" t="str">
        <f>IF(A101="","",COUNTIFS(Chicks!$G:$G,A101,Chicks!$I:$I,"No"))</f>
        <v/>
      </c>
      <c r="J101" s="6" t="str">
        <f>IF(A101="","",IFERROR(AVERAGEIF(Chicks!$G:$G,A101,Chicks!$M:$M),""))</f>
        <v/>
      </c>
      <c r="K101" s="6" t="str">
        <f>IF(A101="","",SUMIFS(Chicks!$N:$N,Chicks!$G:$G,A101))</f>
        <v/>
      </c>
      <c r="L101" s="6" t="str">
        <f>IF(A101="","",SUMIFS(Chicks!$O:$O,Chicks!$G:$G,A101))</f>
        <v/>
      </c>
      <c r="M101" s="6" t="str">
        <f>IF(A101="","",SUMIFS(Chicks!$P:$P,Chicks!$G:$G,A101))</f>
        <v/>
      </c>
      <c r="N101" s="6" t="str">
        <f t="shared" si="0"/>
        <v/>
      </c>
    </row>
    <row r="102" spans="1:14" ht="14.25" customHeight="1" x14ac:dyDescent="0.3">
      <c r="A102" s="4"/>
      <c r="B102" s="4"/>
      <c r="C102" s="4"/>
      <c r="D102" s="4"/>
      <c r="E102" s="4"/>
      <c r="F102" s="6" t="str">
        <f>IF(A102="","",COUNTIF(Chicks!$G:$G,A102))</f>
        <v/>
      </c>
      <c r="G102" s="6" t="str">
        <f>IF(A102="","",COUNTIFS(Chicks!$G:$G,A102,Chicks!$I:$I,"Yes"))</f>
        <v/>
      </c>
      <c r="H102" s="6" t="str">
        <f>IF(A102="","",SUMIFS(Chicks!$J:$J,Chicks!$G:$G,A102))</f>
        <v/>
      </c>
      <c r="I102" s="6" t="str">
        <f>IF(A102="","",COUNTIFS(Chicks!$G:$G,A102,Chicks!$I:$I,"No"))</f>
        <v/>
      </c>
      <c r="J102" s="6" t="str">
        <f>IF(A102="","",IFERROR(AVERAGEIF(Chicks!$G:$G,A102,Chicks!$M:$M),""))</f>
        <v/>
      </c>
      <c r="K102" s="6" t="str">
        <f>IF(A102="","",SUMIFS(Chicks!$N:$N,Chicks!$G:$G,A102))</f>
        <v/>
      </c>
      <c r="L102" s="6" t="str">
        <f>IF(A102="","",SUMIFS(Chicks!$O:$O,Chicks!$G:$G,A102))</f>
        <v/>
      </c>
      <c r="M102" s="6" t="str">
        <f>IF(A102="","",SUMIFS(Chicks!$P:$P,Chicks!$G:$G,A102))</f>
        <v/>
      </c>
      <c r="N102" s="6" t="str">
        <f t="shared" si="0"/>
        <v/>
      </c>
    </row>
    <row r="103" spans="1:14" ht="14.25" customHeight="1" x14ac:dyDescent="0.3">
      <c r="A103" s="4"/>
      <c r="B103" s="4"/>
      <c r="C103" s="4"/>
      <c r="D103" s="4"/>
      <c r="E103" s="4"/>
      <c r="F103" s="6" t="str">
        <f>IF(A103="","",COUNTIF(Chicks!$G:$G,A103))</f>
        <v/>
      </c>
      <c r="G103" s="6" t="str">
        <f>IF(A103="","",COUNTIFS(Chicks!$G:$G,A103,Chicks!$I:$I,"Yes"))</f>
        <v/>
      </c>
      <c r="H103" s="6" t="str">
        <f>IF(A103="","",SUMIFS(Chicks!$J:$J,Chicks!$G:$G,A103))</f>
        <v/>
      </c>
      <c r="I103" s="6" t="str">
        <f>IF(A103="","",COUNTIFS(Chicks!$G:$G,A103,Chicks!$I:$I,"No"))</f>
        <v/>
      </c>
      <c r="J103" s="6" t="str">
        <f>IF(A103="","",IFERROR(AVERAGEIF(Chicks!$G:$G,A103,Chicks!$M:$M),""))</f>
        <v/>
      </c>
      <c r="K103" s="6" t="str">
        <f>IF(A103="","",SUMIFS(Chicks!$N:$N,Chicks!$G:$G,A103))</f>
        <v/>
      </c>
      <c r="L103" s="6" t="str">
        <f>IF(A103="","",SUMIFS(Chicks!$O:$O,Chicks!$G:$G,A103))</f>
        <v/>
      </c>
      <c r="M103" s="6" t="str">
        <f>IF(A103="","",SUMIFS(Chicks!$P:$P,Chicks!$G:$G,A103))</f>
        <v/>
      </c>
      <c r="N103" s="6" t="str">
        <f t="shared" si="0"/>
        <v/>
      </c>
    </row>
    <row r="104" spans="1:14" ht="14.25" customHeight="1" x14ac:dyDescent="0.3">
      <c r="A104" s="4"/>
      <c r="B104" s="4"/>
      <c r="C104" s="4"/>
      <c r="D104" s="4"/>
      <c r="E104" s="4"/>
      <c r="F104" s="6" t="str">
        <f>IF(A104="","",COUNTIF(Chicks!$G:$G,A104))</f>
        <v/>
      </c>
      <c r="G104" s="6" t="str">
        <f>IF(A104="","",COUNTIFS(Chicks!$G:$G,A104,Chicks!$I:$I,"Yes"))</f>
        <v/>
      </c>
      <c r="H104" s="6" t="str">
        <f>IF(A104="","",SUMIFS(Chicks!$J:$J,Chicks!$G:$G,A104))</f>
        <v/>
      </c>
      <c r="I104" s="6" t="str">
        <f>IF(A104="","",COUNTIFS(Chicks!$G:$G,A104,Chicks!$I:$I,"No"))</f>
        <v/>
      </c>
      <c r="J104" s="6" t="str">
        <f>IF(A104="","",IFERROR(AVERAGEIF(Chicks!$G:$G,A104,Chicks!$M:$M),""))</f>
        <v/>
      </c>
      <c r="K104" s="6" t="str">
        <f>IF(A104="","",SUMIFS(Chicks!$N:$N,Chicks!$G:$G,A104))</f>
        <v/>
      </c>
      <c r="L104" s="6" t="str">
        <f>IF(A104="","",SUMIFS(Chicks!$O:$O,Chicks!$G:$G,A104))</f>
        <v/>
      </c>
      <c r="M104" s="6" t="str">
        <f>IF(A104="","",SUMIFS(Chicks!$P:$P,Chicks!$G:$G,A104))</f>
        <v/>
      </c>
      <c r="N104" s="6" t="str">
        <f t="shared" si="0"/>
        <v/>
      </c>
    </row>
    <row r="105" spans="1:14" ht="14.25" customHeight="1" x14ac:dyDescent="0.3">
      <c r="A105" s="4"/>
      <c r="B105" s="4"/>
      <c r="C105" s="4"/>
      <c r="D105" s="4"/>
      <c r="E105" s="4"/>
      <c r="F105" s="6" t="str">
        <f>IF(A105="","",COUNTIF(Chicks!$G:$G,A105))</f>
        <v/>
      </c>
      <c r="G105" s="6" t="str">
        <f>IF(A105="","",COUNTIFS(Chicks!$G:$G,A105,Chicks!$I:$I,"Yes"))</f>
        <v/>
      </c>
      <c r="H105" s="6" t="str">
        <f>IF(A105="","",SUMIFS(Chicks!$J:$J,Chicks!$G:$G,A105))</f>
        <v/>
      </c>
      <c r="I105" s="6" t="str">
        <f>IF(A105="","",COUNTIFS(Chicks!$G:$G,A105,Chicks!$I:$I,"No"))</f>
        <v/>
      </c>
      <c r="J105" s="6" t="str">
        <f>IF(A105="","",IFERROR(AVERAGEIF(Chicks!$G:$G,A105,Chicks!$M:$M),""))</f>
        <v/>
      </c>
      <c r="K105" s="6" t="str">
        <f>IF(A105="","",SUMIFS(Chicks!$N:$N,Chicks!$G:$G,A105))</f>
        <v/>
      </c>
      <c r="L105" s="6" t="str">
        <f>IF(A105="","",SUMIFS(Chicks!$O:$O,Chicks!$G:$G,A105))</f>
        <v/>
      </c>
      <c r="M105" s="6" t="str">
        <f>IF(A105="","",SUMIFS(Chicks!$P:$P,Chicks!$G:$G,A105))</f>
        <v/>
      </c>
      <c r="N105" s="6" t="str">
        <f t="shared" si="0"/>
        <v/>
      </c>
    </row>
    <row r="106" spans="1:14" ht="14.25" customHeight="1" x14ac:dyDescent="0.3">
      <c r="A106" s="4"/>
      <c r="B106" s="4"/>
      <c r="C106" s="4"/>
      <c r="D106" s="4"/>
      <c r="E106" s="4"/>
      <c r="F106" s="6" t="str">
        <f>IF(A106="","",COUNTIF(Chicks!$G:$G,A106))</f>
        <v/>
      </c>
      <c r="G106" s="6" t="str">
        <f>IF(A106="","",COUNTIFS(Chicks!$G:$G,A106,Chicks!$I:$I,"Yes"))</f>
        <v/>
      </c>
      <c r="H106" s="6" t="str">
        <f>IF(A106="","",SUMIFS(Chicks!$J:$J,Chicks!$G:$G,A106))</f>
        <v/>
      </c>
      <c r="I106" s="6" t="str">
        <f>IF(A106="","",COUNTIFS(Chicks!$G:$G,A106,Chicks!$I:$I,"No"))</f>
        <v/>
      </c>
      <c r="J106" s="6" t="str">
        <f>IF(A106="","",IFERROR(AVERAGEIF(Chicks!$G:$G,A106,Chicks!$M:$M),""))</f>
        <v/>
      </c>
      <c r="K106" s="6" t="str">
        <f>IF(A106="","",SUMIFS(Chicks!$N:$N,Chicks!$G:$G,A106))</f>
        <v/>
      </c>
      <c r="L106" s="6" t="str">
        <f>IF(A106="","",SUMIFS(Chicks!$O:$O,Chicks!$G:$G,A106))</f>
        <v/>
      </c>
      <c r="M106" s="6" t="str">
        <f>IF(A106="","",SUMIFS(Chicks!$P:$P,Chicks!$G:$G,A106))</f>
        <v/>
      </c>
      <c r="N106" s="6" t="str">
        <f t="shared" si="0"/>
        <v/>
      </c>
    </row>
    <row r="107" spans="1:14" ht="14.25" customHeight="1" x14ac:dyDescent="0.3">
      <c r="A107" s="4"/>
      <c r="B107" s="4"/>
      <c r="C107" s="4"/>
      <c r="D107" s="4"/>
      <c r="E107" s="4"/>
      <c r="F107" s="6" t="str">
        <f>IF(A107="","",COUNTIF(Chicks!$G:$G,A107))</f>
        <v/>
      </c>
      <c r="G107" s="6" t="str">
        <f>IF(A107="","",COUNTIFS(Chicks!$G:$G,A107,Chicks!$I:$I,"Yes"))</f>
        <v/>
      </c>
      <c r="H107" s="6" t="str">
        <f>IF(A107="","",SUMIFS(Chicks!$J:$J,Chicks!$G:$G,A107))</f>
        <v/>
      </c>
      <c r="I107" s="6" t="str">
        <f>IF(A107="","",COUNTIFS(Chicks!$G:$G,A107,Chicks!$I:$I,"No"))</f>
        <v/>
      </c>
      <c r="J107" s="6" t="str">
        <f>IF(A107="","",IFERROR(AVERAGEIF(Chicks!$G:$G,A107,Chicks!$M:$M),""))</f>
        <v/>
      </c>
      <c r="K107" s="6" t="str">
        <f>IF(A107="","",SUMIFS(Chicks!$N:$N,Chicks!$G:$G,A107))</f>
        <v/>
      </c>
      <c r="L107" s="6" t="str">
        <f>IF(A107="","",SUMIFS(Chicks!$O:$O,Chicks!$G:$G,A107))</f>
        <v/>
      </c>
      <c r="M107" s="6" t="str">
        <f>IF(A107="","",SUMIFS(Chicks!$P:$P,Chicks!$G:$G,A107))</f>
        <v/>
      </c>
      <c r="N107" s="6" t="str">
        <f t="shared" si="0"/>
        <v/>
      </c>
    </row>
    <row r="108" spans="1:14" ht="14.25" customHeight="1" x14ac:dyDescent="0.3">
      <c r="A108" s="4"/>
      <c r="B108" s="4"/>
      <c r="C108" s="4"/>
      <c r="D108" s="4"/>
      <c r="E108" s="4"/>
      <c r="F108" s="6" t="str">
        <f>IF(A108="","",COUNTIF(Chicks!$G:$G,A108))</f>
        <v/>
      </c>
      <c r="G108" s="6" t="str">
        <f>IF(A108="","",COUNTIFS(Chicks!$G:$G,A108,Chicks!$I:$I,"Yes"))</f>
        <v/>
      </c>
      <c r="H108" s="6" t="str">
        <f>IF(A108="","",SUMIFS(Chicks!$J:$J,Chicks!$G:$G,A108))</f>
        <v/>
      </c>
      <c r="I108" s="6" t="str">
        <f>IF(A108="","",COUNTIFS(Chicks!$G:$G,A108,Chicks!$I:$I,"No"))</f>
        <v/>
      </c>
      <c r="J108" s="6" t="str">
        <f>IF(A108="","",IFERROR(AVERAGEIF(Chicks!$G:$G,A108,Chicks!$M:$M),""))</f>
        <v/>
      </c>
      <c r="K108" s="6" t="str">
        <f>IF(A108="","",SUMIFS(Chicks!$N:$N,Chicks!$G:$G,A108))</f>
        <v/>
      </c>
      <c r="L108" s="6" t="str">
        <f>IF(A108="","",SUMIFS(Chicks!$O:$O,Chicks!$G:$G,A108))</f>
        <v/>
      </c>
      <c r="M108" s="6" t="str">
        <f>IF(A108="","",SUMIFS(Chicks!$P:$P,Chicks!$G:$G,A108))</f>
        <v/>
      </c>
      <c r="N108" s="6" t="str">
        <f t="shared" si="0"/>
        <v/>
      </c>
    </row>
    <row r="109" spans="1:14" ht="14.25" customHeight="1" x14ac:dyDescent="0.3">
      <c r="A109" s="4"/>
      <c r="B109" s="4"/>
      <c r="C109" s="4"/>
      <c r="D109" s="4"/>
      <c r="E109" s="4"/>
      <c r="F109" s="6" t="str">
        <f>IF(A109="","",COUNTIF(Chicks!$G:$G,A109))</f>
        <v/>
      </c>
      <c r="G109" s="6" t="str">
        <f>IF(A109="","",COUNTIFS(Chicks!$G:$G,A109,Chicks!$I:$I,"Yes"))</f>
        <v/>
      </c>
      <c r="H109" s="6" t="str">
        <f>IF(A109="","",SUMIFS(Chicks!$J:$J,Chicks!$G:$G,A109))</f>
        <v/>
      </c>
      <c r="I109" s="6" t="str">
        <f>IF(A109="","",COUNTIFS(Chicks!$G:$G,A109,Chicks!$I:$I,"No"))</f>
        <v/>
      </c>
      <c r="J109" s="6" t="str">
        <f>IF(A109="","",IFERROR(AVERAGEIF(Chicks!$G:$G,A109,Chicks!$M:$M),""))</f>
        <v/>
      </c>
      <c r="K109" s="6" t="str">
        <f>IF(A109="","",SUMIFS(Chicks!$N:$N,Chicks!$G:$G,A109))</f>
        <v/>
      </c>
      <c r="L109" s="6" t="str">
        <f>IF(A109="","",SUMIFS(Chicks!$O:$O,Chicks!$G:$G,A109))</f>
        <v/>
      </c>
      <c r="M109" s="6" t="str">
        <f>IF(A109="","",SUMIFS(Chicks!$P:$P,Chicks!$G:$G,A109))</f>
        <v/>
      </c>
      <c r="N109" s="6" t="str">
        <f t="shared" si="0"/>
        <v/>
      </c>
    </row>
    <row r="110" spans="1:14" ht="14.25" customHeight="1" x14ac:dyDescent="0.3">
      <c r="A110" s="4"/>
      <c r="B110" s="4"/>
      <c r="C110" s="4"/>
      <c r="D110" s="4"/>
      <c r="E110" s="4"/>
      <c r="F110" s="6" t="str">
        <f>IF(A110="","",COUNTIF(Chicks!$G:$G,A110))</f>
        <v/>
      </c>
      <c r="G110" s="6" t="str">
        <f>IF(A110="","",COUNTIFS(Chicks!$G:$G,A110,Chicks!$I:$I,"Yes"))</f>
        <v/>
      </c>
      <c r="H110" s="6" t="str">
        <f>IF(A110="","",SUMIFS(Chicks!$J:$J,Chicks!$G:$G,A110))</f>
        <v/>
      </c>
      <c r="I110" s="6" t="str">
        <f>IF(A110="","",COUNTIFS(Chicks!$G:$G,A110,Chicks!$I:$I,"No"))</f>
        <v/>
      </c>
      <c r="J110" s="6" t="str">
        <f>IF(A110="","",IFERROR(AVERAGEIF(Chicks!$G:$G,A110,Chicks!$M:$M),""))</f>
        <v/>
      </c>
      <c r="K110" s="6" t="str">
        <f>IF(A110="","",SUMIFS(Chicks!$N:$N,Chicks!$G:$G,A110))</f>
        <v/>
      </c>
      <c r="L110" s="6" t="str">
        <f>IF(A110="","",SUMIFS(Chicks!$O:$O,Chicks!$G:$G,A110))</f>
        <v/>
      </c>
      <c r="M110" s="6" t="str">
        <f>IF(A110="","",SUMIFS(Chicks!$P:$P,Chicks!$G:$G,A110))</f>
        <v/>
      </c>
      <c r="N110" s="6" t="str">
        <f t="shared" si="0"/>
        <v/>
      </c>
    </row>
    <row r="111" spans="1:14" ht="14.25" customHeight="1" x14ac:dyDescent="0.3">
      <c r="A111" s="4"/>
      <c r="B111" s="4"/>
      <c r="C111" s="4"/>
      <c r="D111" s="4"/>
      <c r="E111" s="4"/>
      <c r="F111" s="6" t="str">
        <f>IF(A111="","",COUNTIF(Chicks!$G:$G,A111))</f>
        <v/>
      </c>
      <c r="G111" s="6" t="str">
        <f>IF(A111="","",COUNTIFS(Chicks!$G:$G,A111,Chicks!$I:$I,"Yes"))</f>
        <v/>
      </c>
      <c r="H111" s="6" t="str">
        <f>IF(A111="","",SUMIFS(Chicks!$J:$J,Chicks!$G:$G,A111))</f>
        <v/>
      </c>
      <c r="I111" s="6" t="str">
        <f>IF(A111="","",COUNTIFS(Chicks!$G:$G,A111,Chicks!$I:$I,"No"))</f>
        <v/>
      </c>
      <c r="J111" s="6" t="str">
        <f>IF(A111="","",IFERROR(AVERAGEIF(Chicks!$G:$G,A111,Chicks!$M:$M),""))</f>
        <v/>
      </c>
      <c r="K111" s="6" t="str">
        <f>IF(A111="","",SUMIFS(Chicks!$N:$N,Chicks!$G:$G,A111))</f>
        <v/>
      </c>
      <c r="L111" s="6" t="str">
        <f>IF(A111="","",SUMIFS(Chicks!$O:$O,Chicks!$G:$G,A111))</f>
        <v/>
      </c>
      <c r="M111" s="6" t="str">
        <f>IF(A111="","",SUMIFS(Chicks!$P:$P,Chicks!$G:$G,A111))</f>
        <v/>
      </c>
      <c r="N111" s="6" t="str">
        <f t="shared" si="0"/>
        <v/>
      </c>
    </row>
    <row r="112" spans="1:14" ht="14.25" customHeight="1" x14ac:dyDescent="0.3">
      <c r="A112" s="4"/>
      <c r="B112" s="4"/>
      <c r="C112" s="4"/>
      <c r="D112" s="4"/>
      <c r="E112" s="4"/>
      <c r="F112" s="6" t="str">
        <f>IF(A112="","",COUNTIF(Chicks!$G:$G,A112))</f>
        <v/>
      </c>
      <c r="G112" s="6" t="str">
        <f>IF(A112="","",COUNTIFS(Chicks!$G:$G,A112,Chicks!$I:$I,"Yes"))</f>
        <v/>
      </c>
      <c r="H112" s="6" t="str">
        <f>IF(A112="","",SUMIFS(Chicks!$J:$J,Chicks!$G:$G,A112))</f>
        <v/>
      </c>
      <c r="I112" s="6" t="str">
        <f>IF(A112="","",COUNTIFS(Chicks!$G:$G,A112,Chicks!$I:$I,"No"))</f>
        <v/>
      </c>
      <c r="J112" s="6" t="str">
        <f>IF(A112="","",IFERROR(AVERAGEIF(Chicks!$G:$G,A112,Chicks!$M:$M),""))</f>
        <v/>
      </c>
      <c r="K112" s="6" t="str">
        <f>IF(A112="","",SUMIFS(Chicks!$N:$N,Chicks!$G:$G,A112))</f>
        <v/>
      </c>
      <c r="L112" s="6" t="str">
        <f>IF(A112="","",SUMIFS(Chicks!$O:$O,Chicks!$G:$G,A112))</f>
        <v/>
      </c>
      <c r="M112" s="6" t="str">
        <f>IF(A112="","",SUMIFS(Chicks!$P:$P,Chicks!$G:$G,A112))</f>
        <v/>
      </c>
      <c r="N112" s="6" t="str">
        <f t="shared" si="0"/>
        <v/>
      </c>
    </row>
    <row r="113" spans="1:14" ht="14.25" customHeight="1" x14ac:dyDescent="0.3">
      <c r="A113" s="4"/>
      <c r="B113" s="4"/>
      <c r="C113" s="4"/>
      <c r="D113" s="4"/>
      <c r="E113" s="4"/>
      <c r="F113" s="6" t="str">
        <f>IF(A113="","",COUNTIF(Chicks!$G:$G,A113))</f>
        <v/>
      </c>
      <c r="G113" s="6" t="str">
        <f>IF(A113="","",COUNTIFS(Chicks!$G:$G,A113,Chicks!$I:$I,"Yes"))</f>
        <v/>
      </c>
      <c r="H113" s="6" t="str">
        <f>IF(A113="","",SUMIFS(Chicks!$J:$J,Chicks!$G:$G,A113))</f>
        <v/>
      </c>
      <c r="I113" s="6" t="str">
        <f>IF(A113="","",COUNTIFS(Chicks!$G:$G,A113,Chicks!$I:$I,"No"))</f>
        <v/>
      </c>
      <c r="J113" s="6" t="str">
        <f>IF(A113="","",IFERROR(AVERAGEIF(Chicks!$G:$G,A113,Chicks!$M:$M),""))</f>
        <v/>
      </c>
      <c r="K113" s="6" t="str">
        <f>IF(A113="","",SUMIFS(Chicks!$N:$N,Chicks!$G:$G,A113))</f>
        <v/>
      </c>
      <c r="L113" s="6" t="str">
        <f>IF(A113="","",SUMIFS(Chicks!$O:$O,Chicks!$G:$G,A113))</f>
        <v/>
      </c>
      <c r="M113" s="6" t="str">
        <f>IF(A113="","",SUMIFS(Chicks!$P:$P,Chicks!$G:$G,A113))</f>
        <v/>
      </c>
      <c r="N113" s="6" t="str">
        <f t="shared" si="0"/>
        <v/>
      </c>
    </row>
    <row r="114" spans="1:14" ht="14.25" customHeight="1" x14ac:dyDescent="0.3">
      <c r="A114" s="4"/>
      <c r="B114" s="4"/>
      <c r="C114" s="4"/>
      <c r="D114" s="4"/>
      <c r="E114" s="4"/>
      <c r="F114" s="6" t="str">
        <f>IF(A114="","",COUNTIF(Chicks!$G:$G,A114))</f>
        <v/>
      </c>
      <c r="G114" s="6" t="str">
        <f>IF(A114="","",COUNTIFS(Chicks!$G:$G,A114,Chicks!$I:$I,"Yes"))</f>
        <v/>
      </c>
      <c r="H114" s="6" t="str">
        <f>IF(A114="","",SUMIFS(Chicks!$J:$J,Chicks!$G:$G,A114))</f>
        <v/>
      </c>
      <c r="I114" s="6" t="str">
        <f>IF(A114="","",COUNTIFS(Chicks!$G:$G,A114,Chicks!$I:$I,"No"))</f>
        <v/>
      </c>
      <c r="J114" s="6" t="str">
        <f>IF(A114="","",IFERROR(AVERAGEIF(Chicks!$G:$G,A114,Chicks!$M:$M),""))</f>
        <v/>
      </c>
      <c r="K114" s="6" t="str">
        <f>IF(A114="","",SUMIFS(Chicks!$N:$N,Chicks!$G:$G,A114))</f>
        <v/>
      </c>
      <c r="L114" s="6" t="str">
        <f>IF(A114="","",SUMIFS(Chicks!$O:$O,Chicks!$G:$G,A114))</f>
        <v/>
      </c>
      <c r="M114" s="6" t="str">
        <f>IF(A114="","",SUMIFS(Chicks!$P:$P,Chicks!$G:$G,A114))</f>
        <v/>
      </c>
      <c r="N114" s="6" t="str">
        <f t="shared" si="0"/>
        <v/>
      </c>
    </row>
    <row r="115" spans="1:14" ht="14.25" customHeight="1" x14ac:dyDescent="0.3">
      <c r="A115" s="4"/>
      <c r="B115" s="4"/>
      <c r="C115" s="4"/>
      <c r="D115" s="4"/>
      <c r="E115" s="4"/>
      <c r="F115" s="6" t="str">
        <f>IF(A115="","",COUNTIF(Chicks!$G:$G,A115))</f>
        <v/>
      </c>
      <c r="G115" s="6" t="str">
        <f>IF(A115="","",COUNTIFS(Chicks!$G:$G,A115,Chicks!$I:$I,"Yes"))</f>
        <v/>
      </c>
      <c r="H115" s="6" t="str">
        <f>IF(A115="","",SUMIFS(Chicks!$J:$J,Chicks!$G:$G,A115))</f>
        <v/>
      </c>
      <c r="I115" s="6" t="str">
        <f>IF(A115="","",COUNTIFS(Chicks!$G:$G,A115,Chicks!$I:$I,"No"))</f>
        <v/>
      </c>
      <c r="J115" s="6" t="str">
        <f>IF(A115="","",IFERROR(AVERAGEIF(Chicks!$G:$G,A115,Chicks!$M:$M),""))</f>
        <v/>
      </c>
      <c r="K115" s="6" t="str">
        <f>IF(A115="","",SUMIFS(Chicks!$N:$N,Chicks!$G:$G,A115))</f>
        <v/>
      </c>
      <c r="L115" s="6" t="str">
        <f>IF(A115="","",SUMIFS(Chicks!$O:$O,Chicks!$G:$G,A115))</f>
        <v/>
      </c>
      <c r="M115" s="6" t="str">
        <f>IF(A115="","",SUMIFS(Chicks!$P:$P,Chicks!$G:$G,A115))</f>
        <v/>
      </c>
      <c r="N115" s="6" t="str">
        <f t="shared" si="0"/>
        <v/>
      </c>
    </row>
    <row r="116" spans="1:14" ht="14.25" customHeight="1" x14ac:dyDescent="0.3">
      <c r="A116" s="4"/>
      <c r="B116" s="4"/>
      <c r="C116" s="4"/>
      <c r="D116" s="4"/>
      <c r="E116" s="4"/>
      <c r="F116" s="6" t="str">
        <f>IF(A116="","",COUNTIF(Chicks!$G:$G,A116))</f>
        <v/>
      </c>
      <c r="G116" s="6" t="str">
        <f>IF(A116="","",COUNTIFS(Chicks!$G:$G,A116,Chicks!$I:$I,"Yes"))</f>
        <v/>
      </c>
      <c r="H116" s="6" t="str">
        <f>IF(A116="","",SUMIFS(Chicks!$J:$J,Chicks!$G:$G,A116))</f>
        <v/>
      </c>
      <c r="I116" s="6" t="str">
        <f>IF(A116="","",COUNTIFS(Chicks!$G:$G,A116,Chicks!$I:$I,"No"))</f>
        <v/>
      </c>
      <c r="J116" s="6" t="str">
        <f>IF(A116="","",IFERROR(AVERAGEIF(Chicks!$G:$G,A116,Chicks!$M:$M),""))</f>
        <v/>
      </c>
      <c r="K116" s="6" t="str">
        <f>IF(A116="","",SUMIFS(Chicks!$N:$N,Chicks!$G:$G,A116))</f>
        <v/>
      </c>
      <c r="L116" s="6" t="str">
        <f>IF(A116="","",SUMIFS(Chicks!$O:$O,Chicks!$G:$G,A116))</f>
        <v/>
      </c>
      <c r="M116" s="6" t="str">
        <f>IF(A116="","",SUMIFS(Chicks!$P:$P,Chicks!$G:$G,A116))</f>
        <v/>
      </c>
      <c r="N116" s="6" t="str">
        <f t="shared" si="0"/>
        <v/>
      </c>
    </row>
    <row r="117" spans="1:14" ht="14.25" customHeight="1" x14ac:dyDescent="0.3">
      <c r="A117" s="4"/>
      <c r="B117" s="4"/>
      <c r="C117" s="4"/>
      <c r="D117" s="4"/>
      <c r="E117" s="4"/>
      <c r="F117" s="6" t="str">
        <f>IF(A117="","",COUNTIF(Chicks!$G:$G,A117))</f>
        <v/>
      </c>
      <c r="G117" s="6" t="str">
        <f>IF(A117="","",COUNTIFS(Chicks!$G:$G,A117,Chicks!$I:$I,"Yes"))</f>
        <v/>
      </c>
      <c r="H117" s="6" t="str">
        <f>IF(A117="","",SUMIFS(Chicks!$J:$J,Chicks!$G:$G,A117))</f>
        <v/>
      </c>
      <c r="I117" s="6" t="str">
        <f>IF(A117="","",COUNTIFS(Chicks!$G:$G,A117,Chicks!$I:$I,"No"))</f>
        <v/>
      </c>
      <c r="J117" s="6" t="str">
        <f>IF(A117="","",IFERROR(AVERAGEIF(Chicks!$G:$G,A117,Chicks!$M:$M),""))</f>
        <v/>
      </c>
      <c r="K117" s="6" t="str">
        <f>IF(A117="","",SUMIFS(Chicks!$N:$N,Chicks!$G:$G,A117))</f>
        <v/>
      </c>
      <c r="L117" s="6" t="str">
        <f>IF(A117="","",SUMIFS(Chicks!$O:$O,Chicks!$G:$G,A117))</f>
        <v/>
      </c>
      <c r="M117" s="6" t="str">
        <f>IF(A117="","",SUMIFS(Chicks!$P:$P,Chicks!$G:$G,A117))</f>
        <v/>
      </c>
      <c r="N117" s="6" t="str">
        <f t="shared" si="0"/>
        <v/>
      </c>
    </row>
    <row r="118" spans="1:14" ht="14.25" customHeight="1" x14ac:dyDescent="0.3">
      <c r="A118" s="4"/>
      <c r="B118" s="4"/>
      <c r="C118" s="4"/>
      <c r="D118" s="4"/>
      <c r="E118" s="4"/>
      <c r="F118" s="6" t="str">
        <f>IF(A118="","",COUNTIF(Chicks!$G:$G,A118))</f>
        <v/>
      </c>
      <c r="G118" s="6" t="str">
        <f>IF(A118="","",COUNTIFS(Chicks!$G:$G,A118,Chicks!$I:$I,"Yes"))</f>
        <v/>
      </c>
      <c r="H118" s="6" t="str">
        <f>IF(A118="","",SUMIFS(Chicks!$J:$J,Chicks!$G:$G,A118))</f>
        <v/>
      </c>
      <c r="I118" s="6" t="str">
        <f>IF(A118="","",COUNTIFS(Chicks!$G:$G,A118,Chicks!$I:$I,"No"))</f>
        <v/>
      </c>
      <c r="J118" s="6" t="str">
        <f>IF(A118="","",IFERROR(AVERAGEIF(Chicks!$G:$G,A118,Chicks!$M:$M),""))</f>
        <v/>
      </c>
      <c r="K118" s="6" t="str">
        <f>IF(A118="","",SUMIFS(Chicks!$N:$N,Chicks!$G:$G,A118))</f>
        <v/>
      </c>
      <c r="L118" s="6" t="str">
        <f>IF(A118="","",SUMIFS(Chicks!$O:$O,Chicks!$G:$G,A118))</f>
        <v/>
      </c>
      <c r="M118" s="6" t="str">
        <f>IF(A118="","",SUMIFS(Chicks!$P:$P,Chicks!$G:$G,A118))</f>
        <v/>
      </c>
      <c r="N118" s="6" t="str">
        <f t="shared" si="0"/>
        <v/>
      </c>
    </row>
    <row r="119" spans="1:14" ht="14.25" customHeight="1" x14ac:dyDescent="0.3">
      <c r="A119" s="4"/>
      <c r="B119" s="4"/>
      <c r="C119" s="4"/>
      <c r="D119" s="4"/>
      <c r="E119" s="4"/>
      <c r="F119" s="6" t="str">
        <f>IF(A119="","",COUNTIF(Chicks!$G:$G,A119))</f>
        <v/>
      </c>
      <c r="G119" s="6" t="str">
        <f>IF(A119="","",COUNTIFS(Chicks!$G:$G,A119,Chicks!$I:$I,"Yes"))</f>
        <v/>
      </c>
      <c r="H119" s="6" t="str">
        <f>IF(A119="","",SUMIFS(Chicks!$J:$J,Chicks!$G:$G,A119))</f>
        <v/>
      </c>
      <c r="I119" s="6" t="str">
        <f>IF(A119="","",COUNTIFS(Chicks!$G:$G,A119,Chicks!$I:$I,"No"))</f>
        <v/>
      </c>
      <c r="J119" s="6" t="str">
        <f>IF(A119="","",IFERROR(AVERAGEIF(Chicks!$G:$G,A119,Chicks!$M:$M),""))</f>
        <v/>
      </c>
      <c r="K119" s="6" t="str">
        <f>IF(A119="","",SUMIFS(Chicks!$N:$N,Chicks!$G:$G,A119))</f>
        <v/>
      </c>
      <c r="L119" s="6" t="str">
        <f>IF(A119="","",SUMIFS(Chicks!$O:$O,Chicks!$G:$G,A119))</f>
        <v/>
      </c>
      <c r="M119" s="6" t="str">
        <f>IF(A119="","",SUMIFS(Chicks!$P:$P,Chicks!$G:$G,A119))</f>
        <v/>
      </c>
      <c r="N119" s="6" t="str">
        <f t="shared" si="0"/>
        <v/>
      </c>
    </row>
    <row r="120" spans="1:14" ht="14.25" customHeight="1" x14ac:dyDescent="0.3">
      <c r="A120" s="4"/>
      <c r="B120" s="4"/>
      <c r="C120" s="4"/>
      <c r="D120" s="4"/>
      <c r="E120" s="4"/>
      <c r="F120" s="6" t="str">
        <f>IF(A120="","",COUNTIF(Chicks!$G:$G,A120))</f>
        <v/>
      </c>
      <c r="G120" s="6" t="str">
        <f>IF(A120="","",COUNTIFS(Chicks!$G:$G,A120,Chicks!$I:$I,"Yes"))</f>
        <v/>
      </c>
      <c r="H120" s="6" t="str">
        <f>IF(A120="","",SUMIFS(Chicks!$J:$J,Chicks!$G:$G,A120))</f>
        <v/>
      </c>
      <c r="I120" s="6" t="str">
        <f>IF(A120="","",COUNTIFS(Chicks!$G:$G,A120,Chicks!$I:$I,"No"))</f>
        <v/>
      </c>
      <c r="J120" s="6" t="str">
        <f>IF(A120="","",IFERROR(AVERAGEIF(Chicks!$G:$G,A120,Chicks!$M:$M),""))</f>
        <v/>
      </c>
      <c r="K120" s="6" t="str">
        <f>IF(A120="","",SUMIFS(Chicks!$N:$N,Chicks!$G:$G,A120))</f>
        <v/>
      </c>
      <c r="L120" s="6" t="str">
        <f>IF(A120="","",SUMIFS(Chicks!$O:$O,Chicks!$G:$G,A120))</f>
        <v/>
      </c>
      <c r="M120" s="6" t="str">
        <f>IF(A120="","",SUMIFS(Chicks!$P:$P,Chicks!$G:$G,A120))</f>
        <v/>
      </c>
      <c r="N120" s="6" t="str">
        <f t="shared" si="0"/>
        <v/>
      </c>
    </row>
    <row r="121" spans="1:14" ht="14.25" customHeight="1" x14ac:dyDescent="0.3">
      <c r="A121" s="4"/>
      <c r="B121" s="4"/>
      <c r="C121" s="4"/>
      <c r="D121" s="4"/>
      <c r="E121" s="4"/>
      <c r="F121" s="6" t="str">
        <f>IF(A121="","",COUNTIF(Chicks!$G:$G,A121))</f>
        <v/>
      </c>
      <c r="G121" s="6" t="str">
        <f>IF(A121="","",COUNTIFS(Chicks!$G:$G,A121,Chicks!$I:$I,"Yes"))</f>
        <v/>
      </c>
      <c r="H121" s="6" t="str">
        <f>IF(A121="","",SUMIFS(Chicks!$J:$J,Chicks!$G:$G,A121))</f>
        <v/>
      </c>
      <c r="I121" s="6" t="str">
        <f>IF(A121="","",COUNTIFS(Chicks!$G:$G,A121,Chicks!$I:$I,"No"))</f>
        <v/>
      </c>
      <c r="J121" s="6" t="str">
        <f>IF(A121="","",IFERROR(AVERAGEIF(Chicks!$G:$G,A121,Chicks!$M:$M),""))</f>
        <v/>
      </c>
      <c r="K121" s="6" t="str">
        <f>IF(A121="","",SUMIFS(Chicks!$N:$N,Chicks!$G:$G,A121))</f>
        <v/>
      </c>
      <c r="L121" s="6" t="str">
        <f>IF(A121="","",SUMIFS(Chicks!$O:$O,Chicks!$G:$G,A121))</f>
        <v/>
      </c>
      <c r="M121" s="6" t="str">
        <f>IF(A121="","",SUMIFS(Chicks!$P:$P,Chicks!$G:$G,A121))</f>
        <v/>
      </c>
      <c r="N121" s="6" t="str">
        <f t="shared" si="0"/>
        <v/>
      </c>
    </row>
    <row r="122" spans="1:14" ht="14.25" customHeight="1" x14ac:dyDescent="0.3">
      <c r="A122" s="4"/>
      <c r="B122" s="4"/>
      <c r="C122" s="4"/>
      <c r="D122" s="4"/>
      <c r="E122" s="4"/>
      <c r="F122" s="6" t="str">
        <f>IF(A122="","",COUNTIF(Chicks!$G:$G,A122))</f>
        <v/>
      </c>
      <c r="G122" s="6" t="str">
        <f>IF(A122="","",COUNTIFS(Chicks!$G:$G,A122,Chicks!$I:$I,"Yes"))</f>
        <v/>
      </c>
      <c r="H122" s="6" t="str">
        <f>IF(A122="","",SUMIFS(Chicks!$J:$J,Chicks!$G:$G,A122))</f>
        <v/>
      </c>
      <c r="I122" s="6" t="str">
        <f>IF(A122="","",COUNTIFS(Chicks!$G:$G,A122,Chicks!$I:$I,"No"))</f>
        <v/>
      </c>
      <c r="J122" s="6" t="str">
        <f>IF(A122="","",IFERROR(AVERAGEIF(Chicks!$G:$G,A122,Chicks!$M:$M),""))</f>
        <v/>
      </c>
      <c r="K122" s="6" t="str">
        <f>IF(A122="","",SUMIFS(Chicks!$N:$N,Chicks!$G:$G,A122))</f>
        <v/>
      </c>
      <c r="L122" s="6" t="str">
        <f>IF(A122="","",SUMIFS(Chicks!$O:$O,Chicks!$G:$G,A122))</f>
        <v/>
      </c>
      <c r="M122" s="6" t="str">
        <f>IF(A122="","",SUMIFS(Chicks!$P:$P,Chicks!$G:$G,A122))</f>
        <v/>
      </c>
      <c r="N122" s="6" t="str">
        <f t="shared" si="0"/>
        <v/>
      </c>
    </row>
    <row r="123" spans="1:14" ht="14.25" customHeight="1" x14ac:dyDescent="0.3">
      <c r="A123" s="4"/>
      <c r="B123" s="4"/>
      <c r="C123" s="4"/>
      <c r="D123" s="4"/>
      <c r="E123" s="4"/>
      <c r="F123" s="6" t="str">
        <f>IF(A123="","",COUNTIF(Chicks!$G:$G,A123))</f>
        <v/>
      </c>
      <c r="G123" s="6" t="str">
        <f>IF(A123="","",COUNTIFS(Chicks!$G:$G,A123,Chicks!$I:$I,"Yes"))</f>
        <v/>
      </c>
      <c r="H123" s="6" t="str">
        <f>IF(A123="","",SUMIFS(Chicks!$J:$J,Chicks!$G:$G,A123))</f>
        <v/>
      </c>
      <c r="I123" s="6" t="str">
        <f>IF(A123="","",COUNTIFS(Chicks!$G:$G,A123,Chicks!$I:$I,"No"))</f>
        <v/>
      </c>
      <c r="J123" s="6" t="str">
        <f>IF(A123="","",IFERROR(AVERAGEIF(Chicks!$G:$G,A123,Chicks!$M:$M),""))</f>
        <v/>
      </c>
      <c r="K123" s="6" t="str">
        <f>IF(A123="","",SUMIFS(Chicks!$N:$N,Chicks!$G:$G,A123))</f>
        <v/>
      </c>
      <c r="L123" s="6" t="str">
        <f>IF(A123="","",SUMIFS(Chicks!$O:$O,Chicks!$G:$G,A123))</f>
        <v/>
      </c>
      <c r="M123" s="6" t="str">
        <f>IF(A123="","",SUMIFS(Chicks!$P:$P,Chicks!$G:$G,A123))</f>
        <v/>
      </c>
      <c r="N123" s="6" t="str">
        <f t="shared" si="0"/>
        <v/>
      </c>
    </row>
    <row r="124" spans="1:14" ht="14.25" customHeight="1" x14ac:dyDescent="0.3">
      <c r="A124" s="4"/>
      <c r="B124" s="4"/>
      <c r="C124" s="4"/>
      <c r="D124" s="4"/>
      <c r="E124" s="4"/>
      <c r="F124" s="6" t="str">
        <f>IF(A124="","",COUNTIF(Chicks!$G:$G,A124))</f>
        <v/>
      </c>
      <c r="G124" s="6" t="str">
        <f>IF(A124="","",COUNTIFS(Chicks!$G:$G,A124,Chicks!$I:$I,"Yes"))</f>
        <v/>
      </c>
      <c r="H124" s="6" t="str">
        <f>IF(A124="","",SUMIFS(Chicks!$J:$J,Chicks!$G:$G,A124))</f>
        <v/>
      </c>
      <c r="I124" s="6" t="str">
        <f>IF(A124="","",COUNTIFS(Chicks!$G:$G,A124,Chicks!$I:$I,"No"))</f>
        <v/>
      </c>
      <c r="J124" s="6" t="str">
        <f>IF(A124="","",IFERROR(AVERAGEIF(Chicks!$G:$G,A124,Chicks!$M:$M),""))</f>
        <v/>
      </c>
      <c r="K124" s="6" t="str">
        <f>IF(A124="","",SUMIFS(Chicks!$N:$N,Chicks!$G:$G,A124))</f>
        <v/>
      </c>
      <c r="L124" s="6" t="str">
        <f>IF(A124="","",SUMIFS(Chicks!$O:$O,Chicks!$G:$G,A124))</f>
        <v/>
      </c>
      <c r="M124" s="6" t="str">
        <f>IF(A124="","",SUMIFS(Chicks!$P:$P,Chicks!$G:$G,A124))</f>
        <v/>
      </c>
      <c r="N124" s="6" t="str">
        <f t="shared" si="0"/>
        <v/>
      </c>
    </row>
    <row r="125" spans="1:14" ht="14.25" customHeight="1" x14ac:dyDescent="0.3">
      <c r="A125" s="4"/>
      <c r="B125" s="4"/>
      <c r="C125" s="4"/>
      <c r="D125" s="4"/>
      <c r="E125" s="4"/>
      <c r="F125" s="6" t="str">
        <f>IF(A125="","",COUNTIF(Chicks!$G:$G,A125))</f>
        <v/>
      </c>
      <c r="G125" s="6" t="str">
        <f>IF(A125="","",COUNTIFS(Chicks!$G:$G,A125,Chicks!$I:$I,"Yes"))</f>
        <v/>
      </c>
      <c r="H125" s="6" t="str">
        <f>IF(A125="","",SUMIFS(Chicks!$J:$J,Chicks!$G:$G,A125))</f>
        <v/>
      </c>
      <c r="I125" s="6" t="str">
        <f>IF(A125="","",COUNTIFS(Chicks!$G:$G,A125,Chicks!$I:$I,"No"))</f>
        <v/>
      </c>
      <c r="J125" s="6" t="str">
        <f>IF(A125="","",IFERROR(AVERAGEIF(Chicks!$G:$G,A125,Chicks!$M:$M),""))</f>
        <v/>
      </c>
      <c r="K125" s="6" t="str">
        <f>IF(A125="","",SUMIFS(Chicks!$N:$N,Chicks!$G:$G,A125))</f>
        <v/>
      </c>
      <c r="L125" s="6" t="str">
        <f>IF(A125="","",SUMIFS(Chicks!$O:$O,Chicks!$G:$G,A125))</f>
        <v/>
      </c>
      <c r="M125" s="6" t="str">
        <f>IF(A125="","",SUMIFS(Chicks!$P:$P,Chicks!$G:$G,A125))</f>
        <v/>
      </c>
      <c r="N125" s="6" t="str">
        <f t="shared" si="0"/>
        <v/>
      </c>
    </row>
    <row r="126" spans="1:14" ht="14.25" customHeight="1" x14ac:dyDescent="0.3">
      <c r="A126" s="4"/>
      <c r="B126" s="4"/>
      <c r="C126" s="4"/>
      <c r="D126" s="4"/>
      <c r="E126" s="4"/>
      <c r="F126" s="6" t="str">
        <f>IF(A126="","",COUNTIF(Chicks!$G:$G,A126))</f>
        <v/>
      </c>
      <c r="G126" s="6" t="str">
        <f>IF(A126="","",COUNTIFS(Chicks!$G:$G,A126,Chicks!$I:$I,"Yes"))</f>
        <v/>
      </c>
      <c r="H126" s="6" t="str">
        <f>IF(A126="","",SUMIFS(Chicks!$J:$J,Chicks!$G:$G,A126))</f>
        <v/>
      </c>
      <c r="I126" s="6" t="str">
        <f>IF(A126="","",COUNTIFS(Chicks!$G:$G,A126,Chicks!$I:$I,"No"))</f>
        <v/>
      </c>
      <c r="J126" s="6" t="str">
        <f>IF(A126="","",IFERROR(AVERAGEIF(Chicks!$G:$G,A126,Chicks!$M:$M),""))</f>
        <v/>
      </c>
      <c r="K126" s="6" t="str">
        <f>IF(A126="","",SUMIFS(Chicks!$N:$N,Chicks!$G:$G,A126))</f>
        <v/>
      </c>
      <c r="L126" s="6" t="str">
        <f>IF(A126="","",SUMIFS(Chicks!$O:$O,Chicks!$G:$G,A126))</f>
        <v/>
      </c>
      <c r="M126" s="6" t="str">
        <f>IF(A126="","",SUMIFS(Chicks!$P:$P,Chicks!$G:$G,A126))</f>
        <v/>
      </c>
      <c r="N126" s="6" t="str">
        <f t="shared" si="0"/>
        <v/>
      </c>
    </row>
    <row r="127" spans="1:14" ht="14.25" customHeight="1" x14ac:dyDescent="0.3">
      <c r="A127" s="4"/>
      <c r="B127" s="4"/>
      <c r="C127" s="4"/>
      <c r="D127" s="4"/>
      <c r="E127" s="4"/>
      <c r="F127" s="6" t="str">
        <f>IF(A127="","",COUNTIF(Chicks!$G:$G,A127))</f>
        <v/>
      </c>
      <c r="G127" s="6" t="str">
        <f>IF(A127="","",COUNTIFS(Chicks!$G:$G,A127,Chicks!$I:$I,"Yes"))</f>
        <v/>
      </c>
      <c r="H127" s="6" t="str">
        <f>IF(A127="","",SUMIFS(Chicks!$J:$J,Chicks!$G:$G,A127))</f>
        <v/>
      </c>
      <c r="I127" s="6" t="str">
        <f>IF(A127="","",COUNTIFS(Chicks!$G:$G,A127,Chicks!$I:$I,"No"))</f>
        <v/>
      </c>
      <c r="J127" s="6" t="str">
        <f>IF(A127="","",IFERROR(AVERAGEIF(Chicks!$G:$G,A127,Chicks!$M:$M),""))</f>
        <v/>
      </c>
      <c r="K127" s="6" t="str">
        <f>IF(A127="","",SUMIFS(Chicks!$N:$N,Chicks!$G:$G,A127))</f>
        <v/>
      </c>
      <c r="L127" s="6" t="str">
        <f>IF(A127="","",SUMIFS(Chicks!$O:$O,Chicks!$G:$G,A127))</f>
        <v/>
      </c>
      <c r="M127" s="6" t="str">
        <f>IF(A127="","",SUMIFS(Chicks!$P:$P,Chicks!$G:$G,A127))</f>
        <v/>
      </c>
      <c r="N127" s="6" t="str">
        <f t="shared" si="0"/>
        <v/>
      </c>
    </row>
    <row r="128" spans="1:14" ht="14.25" customHeight="1" x14ac:dyDescent="0.3">
      <c r="A128" s="4"/>
      <c r="B128" s="4"/>
      <c r="C128" s="4"/>
      <c r="D128" s="4"/>
      <c r="E128" s="4"/>
      <c r="F128" s="6" t="str">
        <f>IF(A128="","",COUNTIF(Chicks!$G:$G,A128))</f>
        <v/>
      </c>
      <c r="G128" s="6" t="str">
        <f>IF(A128="","",COUNTIFS(Chicks!$G:$G,A128,Chicks!$I:$I,"Yes"))</f>
        <v/>
      </c>
      <c r="H128" s="6" t="str">
        <f>IF(A128="","",SUMIFS(Chicks!$J:$J,Chicks!$G:$G,A128))</f>
        <v/>
      </c>
      <c r="I128" s="6" t="str">
        <f>IF(A128="","",COUNTIFS(Chicks!$G:$G,A128,Chicks!$I:$I,"No"))</f>
        <v/>
      </c>
      <c r="J128" s="6" t="str">
        <f>IF(A128="","",IFERROR(AVERAGEIF(Chicks!$G:$G,A128,Chicks!$M:$M),""))</f>
        <v/>
      </c>
      <c r="K128" s="6" t="str">
        <f>IF(A128="","",SUMIFS(Chicks!$N:$N,Chicks!$G:$G,A128))</f>
        <v/>
      </c>
      <c r="L128" s="6" t="str">
        <f>IF(A128="","",SUMIFS(Chicks!$O:$O,Chicks!$G:$G,A128))</f>
        <v/>
      </c>
      <c r="M128" s="6" t="str">
        <f>IF(A128="","",SUMIFS(Chicks!$P:$P,Chicks!$G:$G,A128))</f>
        <v/>
      </c>
      <c r="N128" s="6" t="str">
        <f t="shared" si="0"/>
        <v/>
      </c>
    </row>
    <row r="129" spans="1:14" ht="14.25" customHeight="1" x14ac:dyDescent="0.3">
      <c r="A129" s="4"/>
      <c r="B129" s="4"/>
      <c r="C129" s="4"/>
      <c r="D129" s="4"/>
      <c r="E129" s="4"/>
      <c r="F129" s="6" t="str">
        <f>IF(A129="","",COUNTIF(Chicks!$G:$G,A129))</f>
        <v/>
      </c>
      <c r="G129" s="6" t="str">
        <f>IF(A129="","",COUNTIFS(Chicks!$G:$G,A129,Chicks!$I:$I,"Yes"))</f>
        <v/>
      </c>
      <c r="H129" s="6" t="str">
        <f>IF(A129="","",SUMIFS(Chicks!$J:$J,Chicks!$G:$G,A129))</f>
        <v/>
      </c>
      <c r="I129" s="6" t="str">
        <f>IF(A129="","",COUNTIFS(Chicks!$G:$G,A129,Chicks!$I:$I,"No"))</f>
        <v/>
      </c>
      <c r="J129" s="6" t="str">
        <f>IF(A129="","",IFERROR(AVERAGEIF(Chicks!$G:$G,A129,Chicks!$M:$M),""))</f>
        <v/>
      </c>
      <c r="K129" s="6" t="str">
        <f>IF(A129="","",SUMIFS(Chicks!$N:$N,Chicks!$G:$G,A129))</f>
        <v/>
      </c>
      <c r="L129" s="6" t="str">
        <f>IF(A129="","",SUMIFS(Chicks!$O:$O,Chicks!$G:$G,A129))</f>
        <v/>
      </c>
      <c r="M129" s="6" t="str">
        <f>IF(A129="","",SUMIFS(Chicks!$P:$P,Chicks!$G:$G,A129))</f>
        <v/>
      </c>
      <c r="N129" s="6" t="str">
        <f t="shared" si="0"/>
        <v/>
      </c>
    </row>
    <row r="130" spans="1:14" ht="14.25" customHeight="1" x14ac:dyDescent="0.3">
      <c r="A130" s="4"/>
      <c r="B130" s="4"/>
      <c r="C130" s="4"/>
      <c r="D130" s="4"/>
      <c r="E130" s="4"/>
      <c r="F130" s="6" t="str">
        <f>IF(A130="","",COUNTIF(Chicks!$G:$G,A130))</f>
        <v/>
      </c>
      <c r="G130" s="6" t="str">
        <f>IF(A130="","",COUNTIFS(Chicks!$G:$G,A130,Chicks!$I:$I,"Yes"))</f>
        <v/>
      </c>
      <c r="H130" s="6" t="str">
        <f>IF(A130="","",SUMIFS(Chicks!$J:$J,Chicks!$G:$G,A130))</f>
        <v/>
      </c>
      <c r="I130" s="6" t="str">
        <f>IF(A130="","",COUNTIFS(Chicks!$G:$G,A130,Chicks!$I:$I,"No"))</f>
        <v/>
      </c>
      <c r="J130" s="6" t="str">
        <f>IF(A130="","",IFERROR(AVERAGEIF(Chicks!$G:$G,A130,Chicks!$M:$M),""))</f>
        <v/>
      </c>
      <c r="K130" s="6" t="str">
        <f>IF(A130="","",SUMIFS(Chicks!$N:$N,Chicks!$G:$G,A130))</f>
        <v/>
      </c>
      <c r="L130" s="6" t="str">
        <f>IF(A130="","",SUMIFS(Chicks!$O:$O,Chicks!$G:$G,A130))</f>
        <v/>
      </c>
      <c r="M130" s="6" t="str">
        <f>IF(A130="","",SUMIFS(Chicks!$P:$P,Chicks!$G:$G,A130))</f>
        <v/>
      </c>
      <c r="N130" s="6" t="str">
        <f t="shared" si="0"/>
        <v/>
      </c>
    </row>
    <row r="131" spans="1:14" ht="14.25" customHeight="1" x14ac:dyDescent="0.3">
      <c r="A131" s="4"/>
      <c r="B131" s="4"/>
      <c r="C131" s="4"/>
      <c r="D131" s="4"/>
      <c r="E131" s="4"/>
      <c r="F131" s="6" t="str">
        <f>IF(A131="","",COUNTIF(Chicks!$G:$G,A131))</f>
        <v/>
      </c>
      <c r="G131" s="6" t="str">
        <f>IF(A131="","",COUNTIFS(Chicks!$G:$G,A131,Chicks!$I:$I,"Yes"))</f>
        <v/>
      </c>
      <c r="H131" s="6" t="str">
        <f>IF(A131="","",SUMIFS(Chicks!$J:$J,Chicks!$G:$G,A131))</f>
        <v/>
      </c>
      <c r="I131" s="6" t="str">
        <f>IF(A131="","",COUNTIFS(Chicks!$G:$G,A131,Chicks!$I:$I,"No"))</f>
        <v/>
      </c>
      <c r="J131" s="6" t="str">
        <f>IF(A131="","",IFERROR(AVERAGEIF(Chicks!$G:$G,A131,Chicks!$M:$M),""))</f>
        <v/>
      </c>
      <c r="K131" s="6" t="str">
        <f>IF(A131="","",SUMIFS(Chicks!$N:$N,Chicks!$G:$G,A131))</f>
        <v/>
      </c>
      <c r="L131" s="6" t="str">
        <f>IF(A131="","",SUMIFS(Chicks!$O:$O,Chicks!$G:$G,A131))</f>
        <v/>
      </c>
      <c r="M131" s="6" t="str">
        <f>IF(A131="","",SUMIFS(Chicks!$P:$P,Chicks!$G:$G,A131))</f>
        <v/>
      </c>
      <c r="N131" s="6" t="str">
        <f t="shared" si="0"/>
        <v/>
      </c>
    </row>
    <row r="132" spans="1:14" ht="14.25" customHeight="1" x14ac:dyDescent="0.3">
      <c r="A132" s="4"/>
      <c r="B132" s="4"/>
      <c r="C132" s="4"/>
      <c r="D132" s="4"/>
      <c r="E132" s="4"/>
      <c r="F132" s="6" t="str">
        <f>IF(A132="","",COUNTIF(Chicks!$G:$G,A132))</f>
        <v/>
      </c>
      <c r="G132" s="6" t="str">
        <f>IF(A132="","",COUNTIFS(Chicks!$G:$G,A132,Chicks!$I:$I,"Yes"))</f>
        <v/>
      </c>
      <c r="H132" s="6" t="str">
        <f>IF(A132="","",SUMIFS(Chicks!$J:$J,Chicks!$G:$G,A132))</f>
        <v/>
      </c>
      <c r="I132" s="6" t="str">
        <f>IF(A132="","",COUNTIFS(Chicks!$G:$G,A132,Chicks!$I:$I,"No"))</f>
        <v/>
      </c>
      <c r="J132" s="6" t="str">
        <f>IF(A132="","",IFERROR(AVERAGEIF(Chicks!$G:$G,A132,Chicks!$M:$M),""))</f>
        <v/>
      </c>
      <c r="K132" s="6" t="str">
        <f>IF(A132="","",SUMIFS(Chicks!$N:$N,Chicks!$G:$G,A132))</f>
        <v/>
      </c>
      <c r="L132" s="6" t="str">
        <f>IF(A132="","",SUMIFS(Chicks!$O:$O,Chicks!$G:$G,A132))</f>
        <v/>
      </c>
      <c r="M132" s="6" t="str">
        <f>IF(A132="","",SUMIFS(Chicks!$P:$P,Chicks!$G:$G,A132))</f>
        <v/>
      </c>
      <c r="N132" s="6" t="str">
        <f t="shared" si="0"/>
        <v/>
      </c>
    </row>
    <row r="133" spans="1:14" ht="14.25" customHeight="1" x14ac:dyDescent="0.3">
      <c r="A133" s="4"/>
      <c r="B133" s="4"/>
      <c r="C133" s="4"/>
      <c r="D133" s="4"/>
      <c r="E133" s="4"/>
      <c r="F133" s="6" t="str">
        <f>IF(A133="","",COUNTIF(Chicks!$G:$G,A133))</f>
        <v/>
      </c>
      <c r="G133" s="6" t="str">
        <f>IF(A133="","",COUNTIFS(Chicks!$G:$G,A133,Chicks!$I:$I,"Yes"))</f>
        <v/>
      </c>
      <c r="H133" s="6" t="str">
        <f>IF(A133="","",SUMIFS(Chicks!$J:$J,Chicks!$G:$G,A133))</f>
        <v/>
      </c>
      <c r="I133" s="6" t="str">
        <f>IF(A133="","",COUNTIFS(Chicks!$G:$G,A133,Chicks!$I:$I,"No"))</f>
        <v/>
      </c>
      <c r="J133" s="6" t="str">
        <f>IF(A133="","",IFERROR(AVERAGEIF(Chicks!$G:$G,A133,Chicks!$M:$M),""))</f>
        <v/>
      </c>
      <c r="K133" s="6" t="str">
        <f>IF(A133="","",SUMIFS(Chicks!$N:$N,Chicks!$G:$G,A133))</f>
        <v/>
      </c>
      <c r="L133" s="6" t="str">
        <f>IF(A133="","",SUMIFS(Chicks!$O:$O,Chicks!$G:$G,A133))</f>
        <v/>
      </c>
      <c r="M133" s="6" t="str">
        <f>IF(A133="","",SUMIFS(Chicks!$P:$P,Chicks!$G:$G,A133))</f>
        <v/>
      </c>
      <c r="N133" s="6" t="str">
        <f t="shared" si="0"/>
        <v/>
      </c>
    </row>
    <row r="134" spans="1:14" ht="14.25" customHeight="1" x14ac:dyDescent="0.3">
      <c r="A134" s="4"/>
      <c r="B134" s="4"/>
      <c r="C134" s="4"/>
      <c r="D134" s="4"/>
      <c r="E134" s="4"/>
      <c r="F134" s="6" t="str">
        <f>IF(A134="","",COUNTIF(Chicks!$G:$G,A134))</f>
        <v/>
      </c>
      <c r="G134" s="6" t="str">
        <f>IF(A134="","",COUNTIFS(Chicks!$G:$G,A134,Chicks!$I:$I,"Yes"))</f>
        <v/>
      </c>
      <c r="H134" s="6" t="str">
        <f>IF(A134="","",SUMIFS(Chicks!$J:$J,Chicks!$G:$G,A134))</f>
        <v/>
      </c>
      <c r="I134" s="6" t="str">
        <f>IF(A134="","",COUNTIFS(Chicks!$G:$G,A134,Chicks!$I:$I,"No"))</f>
        <v/>
      </c>
      <c r="J134" s="6" t="str">
        <f>IF(A134="","",IFERROR(AVERAGEIF(Chicks!$G:$G,A134,Chicks!$M:$M),""))</f>
        <v/>
      </c>
      <c r="K134" s="6" t="str">
        <f>IF(A134="","",SUMIFS(Chicks!$N:$N,Chicks!$G:$G,A134))</f>
        <v/>
      </c>
      <c r="L134" s="6" t="str">
        <f>IF(A134="","",SUMIFS(Chicks!$O:$O,Chicks!$G:$G,A134))</f>
        <v/>
      </c>
      <c r="M134" s="6" t="str">
        <f>IF(A134="","",SUMIFS(Chicks!$P:$P,Chicks!$G:$G,A134))</f>
        <v/>
      </c>
      <c r="N134" s="6" t="str">
        <f t="shared" si="0"/>
        <v/>
      </c>
    </row>
    <row r="135" spans="1:14" ht="14.25" customHeight="1" x14ac:dyDescent="0.3">
      <c r="A135" s="4"/>
      <c r="B135" s="4"/>
      <c r="C135" s="4"/>
      <c r="D135" s="4"/>
      <c r="E135" s="4"/>
      <c r="F135" s="6" t="str">
        <f>IF(A135="","",COUNTIF(Chicks!$G:$G,A135))</f>
        <v/>
      </c>
      <c r="G135" s="6" t="str">
        <f>IF(A135="","",COUNTIFS(Chicks!$G:$G,A135,Chicks!$I:$I,"Yes"))</f>
        <v/>
      </c>
      <c r="H135" s="6" t="str">
        <f>IF(A135="","",SUMIFS(Chicks!$J:$J,Chicks!$G:$G,A135))</f>
        <v/>
      </c>
      <c r="I135" s="6" t="str">
        <f>IF(A135="","",COUNTIFS(Chicks!$G:$G,A135,Chicks!$I:$I,"No"))</f>
        <v/>
      </c>
      <c r="J135" s="6" t="str">
        <f>IF(A135="","",IFERROR(AVERAGEIF(Chicks!$G:$G,A135,Chicks!$M:$M),""))</f>
        <v/>
      </c>
      <c r="K135" s="6" t="str">
        <f>IF(A135="","",SUMIFS(Chicks!$N:$N,Chicks!$G:$G,A135))</f>
        <v/>
      </c>
      <c r="L135" s="6" t="str">
        <f>IF(A135="","",SUMIFS(Chicks!$O:$O,Chicks!$G:$G,A135))</f>
        <v/>
      </c>
      <c r="M135" s="6" t="str">
        <f>IF(A135="","",SUMIFS(Chicks!$P:$P,Chicks!$G:$G,A135))</f>
        <v/>
      </c>
      <c r="N135" s="6" t="str">
        <f t="shared" si="0"/>
        <v/>
      </c>
    </row>
    <row r="136" spans="1:14" ht="14.25" customHeight="1" x14ac:dyDescent="0.3">
      <c r="A136" s="4"/>
      <c r="B136" s="4"/>
      <c r="C136" s="4"/>
      <c r="D136" s="4"/>
      <c r="E136" s="4"/>
      <c r="F136" s="6" t="str">
        <f>IF(A136="","",COUNTIF(Chicks!$G:$G,A136))</f>
        <v/>
      </c>
      <c r="G136" s="6" t="str">
        <f>IF(A136="","",COUNTIFS(Chicks!$G:$G,A136,Chicks!$I:$I,"Yes"))</f>
        <v/>
      </c>
      <c r="H136" s="6" t="str">
        <f>IF(A136="","",SUMIFS(Chicks!$J:$J,Chicks!$G:$G,A136))</f>
        <v/>
      </c>
      <c r="I136" s="6" t="str">
        <f>IF(A136="","",COUNTIFS(Chicks!$G:$G,A136,Chicks!$I:$I,"No"))</f>
        <v/>
      </c>
      <c r="J136" s="6" t="str">
        <f>IF(A136="","",IFERROR(AVERAGEIF(Chicks!$G:$G,A136,Chicks!$M:$M),""))</f>
        <v/>
      </c>
      <c r="K136" s="6" t="str">
        <f>IF(A136="","",SUMIFS(Chicks!$N:$N,Chicks!$G:$G,A136))</f>
        <v/>
      </c>
      <c r="L136" s="6" t="str">
        <f>IF(A136="","",SUMIFS(Chicks!$O:$O,Chicks!$G:$G,A136))</f>
        <v/>
      </c>
      <c r="M136" s="6" t="str">
        <f>IF(A136="","",SUMIFS(Chicks!$P:$P,Chicks!$G:$G,A136))</f>
        <v/>
      </c>
      <c r="N136" s="6" t="str">
        <f t="shared" si="0"/>
        <v/>
      </c>
    </row>
    <row r="137" spans="1:14" ht="14.25" customHeight="1" x14ac:dyDescent="0.3">
      <c r="A137" s="4"/>
      <c r="B137" s="4"/>
      <c r="C137" s="4"/>
      <c r="D137" s="4"/>
      <c r="E137" s="4"/>
      <c r="F137" s="6" t="str">
        <f>IF(A137="","",COUNTIF(Chicks!$G:$G,A137))</f>
        <v/>
      </c>
      <c r="G137" s="6" t="str">
        <f>IF(A137="","",COUNTIFS(Chicks!$G:$G,A137,Chicks!$I:$I,"Yes"))</f>
        <v/>
      </c>
      <c r="H137" s="6" t="str">
        <f>IF(A137="","",SUMIFS(Chicks!$J:$J,Chicks!$G:$G,A137))</f>
        <v/>
      </c>
      <c r="I137" s="6" t="str">
        <f>IF(A137="","",COUNTIFS(Chicks!$G:$G,A137,Chicks!$I:$I,"No"))</f>
        <v/>
      </c>
      <c r="J137" s="6" t="str">
        <f>IF(A137="","",IFERROR(AVERAGEIF(Chicks!$G:$G,A137,Chicks!$M:$M),""))</f>
        <v/>
      </c>
      <c r="K137" s="6" t="str">
        <f>IF(A137="","",SUMIFS(Chicks!$N:$N,Chicks!$G:$G,A137))</f>
        <v/>
      </c>
      <c r="L137" s="6" t="str">
        <f>IF(A137="","",SUMIFS(Chicks!$O:$O,Chicks!$G:$G,A137))</f>
        <v/>
      </c>
      <c r="M137" s="6" t="str">
        <f>IF(A137="","",SUMIFS(Chicks!$P:$P,Chicks!$G:$G,A137))</f>
        <v/>
      </c>
      <c r="N137" s="6" t="str">
        <f t="shared" si="0"/>
        <v/>
      </c>
    </row>
    <row r="138" spans="1:14" ht="14.25" customHeight="1" x14ac:dyDescent="0.3">
      <c r="A138" s="4"/>
      <c r="B138" s="4"/>
      <c r="C138" s="4"/>
      <c r="D138" s="4"/>
      <c r="E138" s="4"/>
      <c r="F138" s="6" t="str">
        <f>IF(A138="","",COUNTIF(Chicks!$G:$G,A138))</f>
        <v/>
      </c>
      <c r="G138" s="6" t="str">
        <f>IF(A138="","",COUNTIFS(Chicks!$G:$G,A138,Chicks!$I:$I,"Yes"))</f>
        <v/>
      </c>
      <c r="H138" s="6" t="str">
        <f>IF(A138="","",SUMIFS(Chicks!$J:$J,Chicks!$G:$G,A138))</f>
        <v/>
      </c>
      <c r="I138" s="6" t="str">
        <f>IF(A138="","",COUNTIFS(Chicks!$G:$G,A138,Chicks!$I:$I,"No"))</f>
        <v/>
      </c>
      <c r="J138" s="6" t="str">
        <f>IF(A138="","",IFERROR(AVERAGEIF(Chicks!$G:$G,A138,Chicks!$M:$M),""))</f>
        <v/>
      </c>
      <c r="K138" s="6" t="str">
        <f>IF(A138="","",SUMIFS(Chicks!$N:$N,Chicks!$G:$G,A138))</f>
        <v/>
      </c>
      <c r="L138" s="6" t="str">
        <f>IF(A138="","",SUMIFS(Chicks!$O:$O,Chicks!$G:$G,A138))</f>
        <v/>
      </c>
      <c r="M138" s="6" t="str">
        <f>IF(A138="","",SUMIFS(Chicks!$P:$P,Chicks!$G:$G,A138))</f>
        <v/>
      </c>
      <c r="N138" s="6" t="str">
        <f t="shared" si="0"/>
        <v/>
      </c>
    </row>
    <row r="139" spans="1:14" ht="14.25" customHeight="1" x14ac:dyDescent="0.3">
      <c r="A139" s="4"/>
      <c r="B139" s="4"/>
      <c r="C139" s="4"/>
      <c r="D139" s="4"/>
      <c r="E139" s="4"/>
      <c r="F139" s="6" t="str">
        <f>IF(A139="","",COUNTIF(Chicks!$G:$G,A139))</f>
        <v/>
      </c>
      <c r="G139" s="6" t="str">
        <f>IF(A139="","",COUNTIFS(Chicks!$G:$G,A139,Chicks!$I:$I,"Yes"))</f>
        <v/>
      </c>
      <c r="H139" s="6" t="str">
        <f>IF(A139="","",SUMIFS(Chicks!$J:$J,Chicks!$G:$G,A139))</f>
        <v/>
      </c>
      <c r="I139" s="6" t="str">
        <f>IF(A139="","",COUNTIFS(Chicks!$G:$G,A139,Chicks!$I:$I,"No"))</f>
        <v/>
      </c>
      <c r="J139" s="6" t="str">
        <f>IF(A139="","",IFERROR(AVERAGEIF(Chicks!$G:$G,A139,Chicks!$M:$M),""))</f>
        <v/>
      </c>
      <c r="K139" s="6" t="str">
        <f>IF(A139="","",SUMIFS(Chicks!$N:$N,Chicks!$G:$G,A139))</f>
        <v/>
      </c>
      <c r="L139" s="6" t="str">
        <f>IF(A139="","",SUMIFS(Chicks!$O:$O,Chicks!$G:$G,A139))</f>
        <v/>
      </c>
      <c r="M139" s="6" t="str">
        <f>IF(A139="","",SUMIFS(Chicks!$P:$P,Chicks!$G:$G,A139))</f>
        <v/>
      </c>
      <c r="N139" s="6" t="str">
        <f t="shared" si="0"/>
        <v/>
      </c>
    </row>
    <row r="140" spans="1:14" ht="14.25" customHeight="1" x14ac:dyDescent="0.3">
      <c r="A140" s="4"/>
      <c r="B140" s="4"/>
      <c r="C140" s="4"/>
      <c r="D140" s="4"/>
      <c r="E140" s="4"/>
      <c r="F140" s="6" t="str">
        <f>IF(A140="","",COUNTIF(Chicks!$G:$G,A140))</f>
        <v/>
      </c>
      <c r="G140" s="6" t="str">
        <f>IF(A140="","",COUNTIFS(Chicks!$G:$G,A140,Chicks!$I:$I,"Yes"))</f>
        <v/>
      </c>
      <c r="H140" s="6" t="str">
        <f>IF(A140="","",SUMIFS(Chicks!$J:$J,Chicks!$G:$G,A140))</f>
        <v/>
      </c>
      <c r="I140" s="6" t="str">
        <f>IF(A140="","",COUNTIFS(Chicks!$G:$G,A140,Chicks!$I:$I,"No"))</f>
        <v/>
      </c>
      <c r="J140" s="6" t="str">
        <f>IF(A140="","",IFERROR(AVERAGEIF(Chicks!$G:$G,A140,Chicks!$M:$M),""))</f>
        <v/>
      </c>
      <c r="K140" s="6" t="str">
        <f>IF(A140="","",SUMIFS(Chicks!$N:$N,Chicks!$G:$G,A140))</f>
        <v/>
      </c>
      <c r="L140" s="6" t="str">
        <f>IF(A140="","",SUMIFS(Chicks!$O:$O,Chicks!$G:$G,A140))</f>
        <v/>
      </c>
      <c r="M140" s="6" t="str">
        <f>IF(A140="","",SUMIFS(Chicks!$P:$P,Chicks!$G:$G,A140))</f>
        <v/>
      </c>
      <c r="N140" s="6" t="str">
        <f t="shared" si="0"/>
        <v/>
      </c>
    </row>
    <row r="141" spans="1:14" ht="14.25" customHeight="1" x14ac:dyDescent="0.3">
      <c r="A141" s="4"/>
      <c r="B141" s="4"/>
      <c r="C141" s="4"/>
      <c r="D141" s="4"/>
      <c r="E141" s="4"/>
      <c r="F141" s="6" t="str">
        <f>IF(A141="","",COUNTIF(Chicks!$G:$G,A141))</f>
        <v/>
      </c>
      <c r="G141" s="6" t="str">
        <f>IF(A141="","",COUNTIFS(Chicks!$G:$G,A141,Chicks!$I:$I,"Yes"))</f>
        <v/>
      </c>
      <c r="H141" s="6" t="str">
        <f>IF(A141="","",SUMIFS(Chicks!$J:$J,Chicks!$G:$G,A141))</f>
        <v/>
      </c>
      <c r="I141" s="6" t="str">
        <f>IF(A141="","",COUNTIFS(Chicks!$G:$G,A141,Chicks!$I:$I,"No"))</f>
        <v/>
      </c>
      <c r="J141" s="6" t="str">
        <f>IF(A141="","",IFERROR(AVERAGEIF(Chicks!$G:$G,A141,Chicks!$M:$M),""))</f>
        <v/>
      </c>
      <c r="K141" s="6" t="str">
        <f>IF(A141="","",SUMIFS(Chicks!$N:$N,Chicks!$G:$G,A141))</f>
        <v/>
      </c>
      <c r="L141" s="6" t="str">
        <f>IF(A141="","",SUMIFS(Chicks!$O:$O,Chicks!$G:$G,A141))</f>
        <v/>
      </c>
      <c r="M141" s="6" t="str">
        <f>IF(A141="","",SUMIFS(Chicks!$P:$P,Chicks!$G:$G,A141))</f>
        <v/>
      </c>
      <c r="N141" s="6" t="str">
        <f t="shared" si="0"/>
        <v/>
      </c>
    </row>
    <row r="142" spans="1:14" ht="14.25" customHeight="1" x14ac:dyDescent="0.3">
      <c r="A142" s="4"/>
      <c r="B142" s="4"/>
      <c r="C142" s="4"/>
      <c r="D142" s="4"/>
      <c r="E142" s="4"/>
      <c r="F142" s="6" t="str">
        <f>IF(A142="","",COUNTIF(Chicks!$G:$G,A142))</f>
        <v/>
      </c>
      <c r="G142" s="6" t="str">
        <f>IF(A142="","",COUNTIFS(Chicks!$G:$G,A142,Chicks!$I:$I,"Yes"))</f>
        <v/>
      </c>
      <c r="H142" s="6" t="str">
        <f>IF(A142="","",SUMIFS(Chicks!$J:$J,Chicks!$G:$G,A142))</f>
        <v/>
      </c>
      <c r="I142" s="6" t="str">
        <f>IF(A142="","",COUNTIFS(Chicks!$G:$G,A142,Chicks!$I:$I,"No"))</f>
        <v/>
      </c>
      <c r="J142" s="6" t="str">
        <f>IF(A142="","",IFERROR(AVERAGEIF(Chicks!$G:$G,A142,Chicks!$M:$M),""))</f>
        <v/>
      </c>
      <c r="K142" s="6" t="str">
        <f>IF(A142="","",SUMIFS(Chicks!$N:$N,Chicks!$G:$G,A142))</f>
        <v/>
      </c>
      <c r="L142" s="6" t="str">
        <f>IF(A142="","",SUMIFS(Chicks!$O:$O,Chicks!$G:$G,A142))</f>
        <v/>
      </c>
      <c r="M142" s="6" t="str">
        <f>IF(A142="","",SUMIFS(Chicks!$P:$P,Chicks!$G:$G,A142))</f>
        <v/>
      </c>
      <c r="N142" s="6" t="str">
        <f t="shared" si="0"/>
        <v/>
      </c>
    </row>
    <row r="143" spans="1:14" ht="14.25" customHeight="1" x14ac:dyDescent="0.3">
      <c r="A143" s="4"/>
      <c r="B143" s="4"/>
      <c r="C143" s="4"/>
      <c r="D143" s="4"/>
      <c r="E143" s="4"/>
      <c r="F143" s="6" t="str">
        <f>IF(A143="","",COUNTIF(Chicks!$G:$G,A143))</f>
        <v/>
      </c>
      <c r="G143" s="6" t="str">
        <f>IF(A143="","",COUNTIFS(Chicks!$G:$G,A143,Chicks!$I:$I,"Yes"))</f>
        <v/>
      </c>
      <c r="H143" s="6" t="str">
        <f>IF(A143="","",SUMIFS(Chicks!$J:$J,Chicks!$G:$G,A143))</f>
        <v/>
      </c>
      <c r="I143" s="6" t="str">
        <f>IF(A143="","",COUNTIFS(Chicks!$G:$G,A143,Chicks!$I:$I,"No"))</f>
        <v/>
      </c>
      <c r="J143" s="6" t="str">
        <f>IF(A143="","",IFERROR(AVERAGEIF(Chicks!$G:$G,A143,Chicks!$M:$M),""))</f>
        <v/>
      </c>
      <c r="K143" s="6" t="str">
        <f>IF(A143="","",SUMIFS(Chicks!$N:$N,Chicks!$G:$G,A143))</f>
        <v/>
      </c>
      <c r="L143" s="6" t="str">
        <f>IF(A143="","",SUMIFS(Chicks!$O:$O,Chicks!$G:$G,A143))</f>
        <v/>
      </c>
      <c r="M143" s="6" t="str">
        <f>IF(A143="","",SUMIFS(Chicks!$P:$P,Chicks!$G:$G,A143))</f>
        <v/>
      </c>
      <c r="N143" s="6" t="str">
        <f t="shared" si="0"/>
        <v/>
      </c>
    </row>
    <row r="144" spans="1:14" ht="14.25" customHeight="1" x14ac:dyDescent="0.3">
      <c r="A144" s="4"/>
      <c r="B144" s="4"/>
      <c r="C144" s="4"/>
      <c r="D144" s="4"/>
      <c r="E144" s="4"/>
      <c r="F144" s="6" t="str">
        <f>IF(A144="","",COUNTIF(Chicks!$G:$G,A144))</f>
        <v/>
      </c>
      <c r="G144" s="6" t="str">
        <f>IF(A144="","",COUNTIFS(Chicks!$G:$G,A144,Chicks!$I:$I,"Yes"))</f>
        <v/>
      </c>
      <c r="H144" s="6" t="str">
        <f>IF(A144="","",SUMIFS(Chicks!$J:$J,Chicks!$G:$G,A144))</f>
        <v/>
      </c>
      <c r="I144" s="6" t="str">
        <f>IF(A144="","",COUNTIFS(Chicks!$G:$G,A144,Chicks!$I:$I,"No"))</f>
        <v/>
      </c>
      <c r="J144" s="6" t="str">
        <f>IF(A144="","",IFERROR(AVERAGEIF(Chicks!$G:$G,A144,Chicks!$M:$M),""))</f>
        <v/>
      </c>
      <c r="K144" s="6" t="str">
        <f>IF(A144="","",SUMIFS(Chicks!$N:$N,Chicks!$G:$G,A144))</f>
        <v/>
      </c>
      <c r="L144" s="6" t="str">
        <f>IF(A144="","",SUMIFS(Chicks!$O:$O,Chicks!$G:$G,A144))</f>
        <v/>
      </c>
      <c r="M144" s="6" t="str">
        <f>IF(A144="","",SUMIFS(Chicks!$P:$P,Chicks!$G:$G,A144))</f>
        <v/>
      </c>
      <c r="N144" s="6" t="str">
        <f t="shared" si="0"/>
        <v/>
      </c>
    </row>
    <row r="145" spans="1:14" ht="14.25" customHeight="1" x14ac:dyDescent="0.3">
      <c r="A145" s="4"/>
      <c r="B145" s="4"/>
      <c r="C145" s="4"/>
      <c r="D145" s="4"/>
      <c r="E145" s="4"/>
      <c r="F145" s="6" t="str">
        <f>IF(A145="","",COUNTIF(Chicks!$G:$G,A145))</f>
        <v/>
      </c>
      <c r="G145" s="6" t="str">
        <f>IF(A145="","",COUNTIFS(Chicks!$G:$G,A145,Chicks!$I:$I,"Yes"))</f>
        <v/>
      </c>
      <c r="H145" s="6" t="str">
        <f>IF(A145="","",SUMIFS(Chicks!$J:$J,Chicks!$G:$G,A145))</f>
        <v/>
      </c>
      <c r="I145" s="6" t="str">
        <f>IF(A145="","",COUNTIFS(Chicks!$G:$G,A145,Chicks!$I:$I,"No"))</f>
        <v/>
      </c>
      <c r="J145" s="6" t="str">
        <f>IF(A145="","",IFERROR(AVERAGEIF(Chicks!$G:$G,A145,Chicks!$M:$M),""))</f>
        <v/>
      </c>
      <c r="K145" s="6" t="str">
        <f>IF(A145="","",SUMIFS(Chicks!$N:$N,Chicks!$G:$G,A145))</f>
        <v/>
      </c>
      <c r="L145" s="6" t="str">
        <f>IF(A145="","",SUMIFS(Chicks!$O:$O,Chicks!$G:$G,A145))</f>
        <v/>
      </c>
      <c r="M145" s="6" t="str">
        <f>IF(A145="","",SUMIFS(Chicks!$P:$P,Chicks!$G:$G,A145))</f>
        <v/>
      </c>
      <c r="N145" s="6" t="str">
        <f t="shared" si="0"/>
        <v/>
      </c>
    </row>
    <row r="146" spans="1:14" ht="14.25" customHeight="1" x14ac:dyDescent="0.3">
      <c r="A146" s="4"/>
      <c r="B146" s="4"/>
      <c r="C146" s="4"/>
      <c r="D146" s="4"/>
      <c r="E146" s="4"/>
      <c r="F146" s="6" t="str">
        <f>IF(A146="","",COUNTIF(Chicks!$G:$G,A146))</f>
        <v/>
      </c>
      <c r="G146" s="6" t="str">
        <f>IF(A146="","",COUNTIFS(Chicks!$G:$G,A146,Chicks!$I:$I,"Yes"))</f>
        <v/>
      </c>
      <c r="H146" s="6" t="str">
        <f>IF(A146="","",SUMIFS(Chicks!$J:$J,Chicks!$G:$G,A146))</f>
        <v/>
      </c>
      <c r="I146" s="6" t="str">
        <f>IF(A146="","",COUNTIFS(Chicks!$G:$G,A146,Chicks!$I:$I,"No"))</f>
        <v/>
      </c>
      <c r="J146" s="6" t="str">
        <f>IF(A146="","",IFERROR(AVERAGEIF(Chicks!$G:$G,A146,Chicks!$M:$M),""))</f>
        <v/>
      </c>
      <c r="K146" s="6" t="str">
        <f>IF(A146="","",SUMIFS(Chicks!$N:$N,Chicks!$G:$G,A146))</f>
        <v/>
      </c>
      <c r="L146" s="6" t="str">
        <f>IF(A146="","",SUMIFS(Chicks!$O:$O,Chicks!$G:$G,A146))</f>
        <v/>
      </c>
      <c r="M146" s="6" t="str">
        <f>IF(A146="","",SUMIFS(Chicks!$P:$P,Chicks!$G:$G,A146))</f>
        <v/>
      </c>
      <c r="N146" s="6" t="str">
        <f t="shared" si="0"/>
        <v/>
      </c>
    </row>
    <row r="147" spans="1:14" ht="14.25" customHeight="1" x14ac:dyDescent="0.3">
      <c r="A147" s="4"/>
      <c r="B147" s="4"/>
      <c r="C147" s="4"/>
      <c r="D147" s="4"/>
      <c r="E147" s="4"/>
      <c r="F147" s="6" t="str">
        <f>IF(A147="","",COUNTIF(Chicks!$G:$G,A147))</f>
        <v/>
      </c>
      <c r="G147" s="6" t="str">
        <f>IF(A147="","",COUNTIFS(Chicks!$G:$G,A147,Chicks!$I:$I,"Yes"))</f>
        <v/>
      </c>
      <c r="H147" s="6" t="str">
        <f>IF(A147="","",SUMIFS(Chicks!$J:$J,Chicks!$G:$G,A147))</f>
        <v/>
      </c>
      <c r="I147" s="6" t="str">
        <f>IF(A147="","",COUNTIFS(Chicks!$G:$G,A147,Chicks!$I:$I,"No"))</f>
        <v/>
      </c>
      <c r="J147" s="6" t="str">
        <f>IF(A147="","",IFERROR(AVERAGEIF(Chicks!$G:$G,A147,Chicks!$M:$M),""))</f>
        <v/>
      </c>
      <c r="K147" s="6" t="str">
        <f>IF(A147="","",SUMIFS(Chicks!$N:$N,Chicks!$G:$G,A147))</f>
        <v/>
      </c>
      <c r="L147" s="6" t="str">
        <f>IF(A147="","",SUMIFS(Chicks!$O:$O,Chicks!$G:$G,A147))</f>
        <v/>
      </c>
      <c r="M147" s="6" t="str">
        <f>IF(A147="","",SUMIFS(Chicks!$P:$P,Chicks!$G:$G,A147))</f>
        <v/>
      </c>
      <c r="N147" s="6" t="str">
        <f t="shared" si="0"/>
        <v/>
      </c>
    </row>
    <row r="148" spans="1:14" ht="14.25" customHeight="1" x14ac:dyDescent="0.3">
      <c r="A148" s="4"/>
      <c r="B148" s="4"/>
      <c r="C148" s="4"/>
      <c r="D148" s="4"/>
      <c r="E148" s="4"/>
      <c r="F148" s="6" t="str">
        <f>IF(A148="","",COUNTIF(Chicks!$G:$G,A148))</f>
        <v/>
      </c>
      <c r="G148" s="6" t="str">
        <f>IF(A148="","",COUNTIFS(Chicks!$G:$G,A148,Chicks!$I:$I,"Yes"))</f>
        <v/>
      </c>
      <c r="H148" s="6" t="str">
        <f>IF(A148="","",SUMIFS(Chicks!$J:$J,Chicks!$G:$G,A148))</f>
        <v/>
      </c>
      <c r="I148" s="6" t="str">
        <f>IF(A148="","",COUNTIFS(Chicks!$G:$G,A148,Chicks!$I:$I,"No"))</f>
        <v/>
      </c>
      <c r="J148" s="6" t="str">
        <f>IF(A148="","",IFERROR(AVERAGEIF(Chicks!$G:$G,A148,Chicks!$M:$M),""))</f>
        <v/>
      </c>
      <c r="K148" s="6" t="str">
        <f>IF(A148="","",SUMIFS(Chicks!$N:$N,Chicks!$G:$G,A148))</f>
        <v/>
      </c>
      <c r="L148" s="6" t="str">
        <f>IF(A148="","",SUMIFS(Chicks!$O:$O,Chicks!$G:$G,A148))</f>
        <v/>
      </c>
      <c r="M148" s="6" t="str">
        <f>IF(A148="","",SUMIFS(Chicks!$P:$P,Chicks!$G:$G,A148))</f>
        <v/>
      </c>
      <c r="N148" s="6" t="str">
        <f t="shared" si="0"/>
        <v/>
      </c>
    </row>
    <row r="149" spans="1:14" ht="14.25" customHeight="1" x14ac:dyDescent="0.3">
      <c r="A149" s="4"/>
      <c r="B149" s="4"/>
      <c r="C149" s="4"/>
      <c r="D149" s="4"/>
      <c r="E149" s="4"/>
      <c r="F149" s="6" t="str">
        <f>IF(A149="","",COUNTIF(Chicks!$G:$G,A149))</f>
        <v/>
      </c>
      <c r="G149" s="6" t="str">
        <f>IF(A149="","",COUNTIFS(Chicks!$G:$G,A149,Chicks!$I:$I,"Yes"))</f>
        <v/>
      </c>
      <c r="H149" s="6" t="str">
        <f>IF(A149="","",SUMIFS(Chicks!$J:$J,Chicks!$G:$G,A149))</f>
        <v/>
      </c>
      <c r="I149" s="6" t="str">
        <f>IF(A149="","",COUNTIFS(Chicks!$G:$G,A149,Chicks!$I:$I,"No"))</f>
        <v/>
      </c>
      <c r="J149" s="6" t="str">
        <f>IF(A149="","",IFERROR(AVERAGEIF(Chicks!$G:$G,A149,Chicks!$M:$M),""))</f>
        <v/>
      </c>
      <c r="K149" s="6" t="str">
        <f>IF(A149="","",SUMIFS(Chicks!$N:$N,Chicks!$G:$G,A149))</f>
        <v/>
      </c>
      <c r="L149" s="6" t="str">
        <f>IF(A149="","",SUMIFS(Chicks!$O:$O,Chicks!$G:$G,A149))</f>
        <v/>
      </c>
      <c r="M149" s="6" t="str">
        <f>IF(A149="","",SUMIFS(Chicks!$P:$P,Chicks!$G:$G,A149))</f>
        <v/>
      </c>
      <c r="N149" s="6" t="str">
        <f t="shared" si="0"/>
        <v/>
      </c>
    </row>
    <row r="150" spans="1:14" ht="14.25" customHeight="1" x14ac:dyDescent="0.3">
      <c r="A150" s="4"/>
      <c r="B150" s="4"/>
      <c r="C150" s="4"/>
      <c r="D150" s="4"/>
      <c r="E150" s="4"/>
      <c r="F150" s="6" t="str">
        <f>IF(A150="","",COUNTIF(Chicks!$G:$G,A150))</f>
        <v/>
      </c>
      <c r="G150" s="6" t="str">
        <f>IF(A150="","",COUNTIFS(Chicks!$G:$G,A150,Chicks!$I:$I,"Yes"))</f>
        <v/>
      </c>
      <c r="H150" s="6" t="str">
        <f>IF(A150="","",SUMIFS(Chicks!$J:$J,Chicks!$G:$G,A150))</f>
        <v/>
      </c>
      <c r="I150" s="6" t="str">
        <f>IF(A150="","",COUNTIFS(Chicks!$G:$G,A150,Chicks!$I:$I,"No"))</f>
        <v/>
      </c>
      <c r="J150" s="6" t="str">
        <f>IF(A150="","",IFERROR(AVERAGEIF(Chicks!$G:$G,A150,Chicks!$M:$M),""))</f>
        <v/>
      </c>
      <c r="K150" s="6" t="str">
        <f>IF(A150="","",SUMIFS(Chicks!$N:$N,Chicks!$G:$G,A150))</f>
        <v/>
      </c>
      <c r="L150" s="6" t="str">
        <f>IF(A150="","",SUMIFS(Chicks!$O:$O,Chicks!$G:$G,A150))</f>
        <v/>
      </c>
      <c r="M150" s="6" t="str">
        <f>IF(A150="","",SUMIFS(Chicks!$P:$P,Chicks!$G:$G,A150))</f>
        <v/>
      </c>
      <c r="N150" s="6" t="str">
        <f t="shared" si="0"/>
        <v/>
      </c>
    </row>
    <row r="151" spans="1:14" ht="14.25" customHeight="1" x14ac:dyDescent="0.3">
      <c r="A151" s="4"/>
      <c r="B151" s="4"/>
      <c r="C151" s="4"/>
      <c r="D151" s="4"/>
      <c r="E151" s="4"/>
      <c r="F151" s="6" t="str">
        <f>IF(A151="","",COUNTIF(Chicks!$G:$G,A151))</f>
        <v/>
      </c>
      <c r="G151" s="6" t="str">
        <f>IF(A151="","",COUNTIFS(Chicks!$G:$G,A151,Chicks!$I:$I,"Yes"))</f>
        <v/>
      </c>
      <c r="H151" s="6" t="str">
        <f>IF(A151="","",SUMIFS(Chicks!$J:$J,Chicks!$G:$G,A151))</f>
        <v/>
      </c>
      <c r="I151" s="6" t="str">
        <f>IF(A151="","",COUNTIFS(Chicks!$G:$G,A151,Chicks!$I:$I,"No"))</f>
        <v/>
      </c>
      <c r="J151" s="6" t="str">
        <f>IF(A151="","",IFERROR(AVERAGEIF(Chicks!$G:$G,A151,Chicks!$M:$M),""))</f>
        <v/>
      </c>
      <c r="K151" s="6" t="str">
        <f>IF(A151="","",SUMIFS(Chicks!$N:$N,Chicks!$G:$G,A151))</f>
        <v/>
      </c>
      <c r="L151" s="6" t="str">
        <f>IF(A151="","",SUMIFS(Chicks!$O:$O,Chicks!$G:$G,A151))</f>
        <v/>
      </c>
      <c r="M151" s="6" t="str">
        <f>IF(A151="","",SUMIFS(Chicks!$P:$P,Chicks!$G:$G,A151))</f>
        <v/>
      </c>
      <c r="N151" s="6" t="str">
        <f t="shared" si="0"/>
        <v/>
      </c>
    </row>
    <row r="152" spans="1:14" ht="14.25" customHeight="1" x14ac:dyDescent="0.3">
      <c r="A152" s="4"/>
      <c r="B152" s="4"/>
      <c r="C152" s="4"/>
      <c r="D152" s="4"/>
      <c r="E152" s="4"/>
      <c r="F152" s="6" t="str">
        <f>IF(A152="","",COUNTIF(Chicks!$G:$G,A152))</f>
        <v/>
      </c>
      <c r="G152" s="6" t="str">
        <f>IF(A152="","",COUNTIFS(Chicks!$G:$G,A152,Chicks!$I:$I,"Yes"))</f>
        <v/>
      </c>
      <c r="H152" s="6" t="str">
        <f>IF(A152="","",SUMIFS(Chicks!$J:$J,Chicks!$G:$G,A152))</f>
        <v/>
      </c>
      <c r="I152" s="6" t="str">
        <f>IF(A152="","",COUNTIFS(Chicks!$G:$G,A152,Chicks!$I:$I,"No"))</f>
        <v/>
      </c>
      <c r="J152" s="6" t="str">
        <f>IF(A152="","",IFERROR(AVERAGEIF(Chicks!$G:$G,A152,Chicks!$M:$M),""))</f>
        <v/>
      </c>
      <c r="K152" s="6" t="str">
        <f>IF(A152="","",SUMIFS(Chicks!$N:$N,Chicks!$G:$G,A152))</f>
        <v/>
      </c>
      <c r="L152" s="6" t="str">
        <f>IF(A152="","",SUMIFS(Chicks!$O:$O,Chicks!$G:$G,A152))</f>
        <v/>
      </c>
      <c r="M152" s="6" t="str">
        <f>IF(A152="","",SUMIFS(Chicks!$P:$P,Chicks!$G:$G,A152))</f>
        <v/>
      </c>
      <c r="N152" s="6" t="str">
        <f t="shared" si="0"/>
        <v/>
      </c>
    </row>
    <row r="153" spans="1:14" ht="14.25" customHeight="1" x14ac:dyDescent="0.3">
      <c r="A153" s="4"/>
      <c r="B153" s="4"/>
      <c r="C153" s="4"/>
      <c r="D153" s="4"/>
      <c r="E153" s="4"/>
      <c r="F153" s="6" t="str">
        <f>IF(A153="","",COUNTIF(Chicks!$G:$G,A153))</f>
        <v/>
      </c>
      <c r="G153" s="6" t="str">
        <f>IF(A153="","",COUNTIFS(Chicks!$G:$G,A153,Chicks!$I:$I,"Yes"))</f>
        <v/>
      </c>
      <c r="H153" s="6" t="str">
        <f>IF(A153="","",SUMIFS(Chicks!$J:$J,Chicks!$G:$G,A153))</f>
        <v/>
      </c>
      <c r="I153" s="6" t="str">
        <f>IF(A153="","",COUNTIFS(Chicks!$G:$G,A153,Chicks!$I:$I,"No"))</f>
        <v/>
      </c>
      <c r="J153" s="6" t="str">
        <f>IF(A153="","",IFERROR(AVERAGEIF(Chicks!$G:$G,A153,Chicks!$M:$M),""))</f>
        <v/>
      </c>
      <c r="K153" s="6" t="str">
        <f>IF(A153="","",SUMIFS(Chicks!$N:$N,Chicks!$G:$G,A153))</f>
        <v/>
      </c>
      <c r="L153" s="6" t="str">
        <f>IF(A153="","",SUMIFS(Chicks!$O:$O,Chicks!$G:$G,A153))</f>
        <v/>
      </c>
      <c r="M153" s="6" t="str">
        <f>IF(A153="","",SUMIFS(Chicks!$P:$P,Chicks!$G:$G,A153))</f>
        <v/>
      </c>
      <c r="N153" s="6" t="str">
        <f t="shared" si="0"/>
        <v/>
      </c>
    </row>
    <row r="154" spans="1:14" ht="14.25" customHeight="1" x14ac:dyDescent="0.3">
      <c r="A154" s="4"/>
      <c r="B154" s="4"/>
      <c r="C154" s="4"/>
      <c r="D154" s="4"/>
      <c r="E154" s="4"/>
      <c r="F154" s="6" t="str">
        <f>IF(A154="","",COUNTIF(Chicks!$G:$G,A154))</f>
        <v/>
      </c>
      <c r="G154" s="6" t="str">
        <f>IF(A154="","",COUNTIFS(Chicks!$G:$G,A154,Chicks!$I:$I,"Yes"))</f>
        <v/>
      </c>
      <c r="H154" s="6" t="str">
        <f>IF(A154="","",SUMIFS(Chicks!$J:$J,Chicks!$G:$G,A154))</f>
        <v/>
      </c>
      <c r="I154" s="6" t="str">
        <f>IF(A154="","",COUNTIFS(Chicks!$G:$G,A154,Chicks!$I:$I,"No"))</f>
        <v/>
      </c>
      <c r="J154" s="6" t="str">
        <f>IF(A154="","",IFERROR(AVERAGEIF(Chicks!$G:$G,A154,Chicks!$M:$M),""))</f>
        <v/>
      </c>
      <c r="K154" s="6" t="str">
        <f>IF(A154="","",SUMIFS(Chicks!$N:$N,Chicks!$G:$G,A154))</f>
        <v/>
      </c>
      <c r="L154" s="6" t="str">
        <f>IF(A154="","",SUMIFS(Chicks!$O:$O,Chicks!$G:$G,A154))</f>
        <v/>
      </c>
      <c r="M154" s="6" t="str">
        <f>IF(A154="","",SUMIFS(Chicks!$P:$P,Chicks!$G:$G,A154))</f>
        <v/>
      </c>
      <c r="N154" s="6" t="str">
        <f t="shared" si="0"/>
        <v/>
      </c>
    </row>
    <row r="155" spans="1:14" ht="14.25" customHeight="1" x14ac:dyDescent="0.3">
      <c r="A155" s="4"/>
      <c r="B155" s="4"/>
      <c r="C155" s="4"/>
      <c r="D155" s="4"/>
      <c r="E155" s="4"/>
      <c r="F155" s="6" t="str">
        <f>IF(A155="","",COUNTIF(Chicks!$G:$G,A155))</f>
        <v/>
      </c>
      <c r="G155" s="6" t="str">
        <f>IF(A155="","",COUNTIFS(Chicks!$G:$G,A155,Chicks!$I:$I,"Yes"))</f>
        <v/>
      </c>
      <c r="H155" s="6" t="str">
        <f>IF(A155="","",SUMIFS(Chicks!$J:$J,Chicks!$G:$G,A155))</f>
        <v/>
      </c>
      <c r="I155" s="6" t="str">
        <f>IF(A155="","",COUNTIFS(Chicks!$G:$G,A155,Chicks!$I:$I,"No"))</f>
        <v/>
      </c>
      <c r="J155" s="6" t="str">
        <f>IF(A155="","",IFERROR(AVERAGEIF(Chicks!$G:$G,A155,Chicks!$M:$M),""))</f>
        <v/>
      </c>
      <c r="K155" s="6" t="str">
        <f>IF(A155="","",SUMIFS(Chicks!$N:$N,Chicks!$G:$G,A155))</f>
        <v/>
      </c>
      <c r="L155" s="6" t="str">
        <f>IF(A155="","",SUMIFS(Chicks!$O:$O,Chicks!$G:$G,A155))</f>
        <v/>
      </c>
      <c r="M155" s="6" t="str">
        <f>IF(A155="","",SUMIFS(Chicks!$P:$P,Chicks!$G:$G,A155))</f>
        <v/>
      </c>
      <c r="N155" s="6" t="str">
        <f t="shared" si="0"/>
        <v/>
      </c>
    </row>
    <row r="156" spans="1:14" ht="14.25" customHeight="1" x14ac:dyDescent="0.3">
      <c r="A156" s="4"/>
      <c r="B156" s="4"/>
      <c r="C156" s="4"/>
      <c r="D156" s="4"/>
      <c r="E156" s="4"/>
      <c r="F156" s="6" t="str">
        <f>IF(A156="","",COUNTIF(Chicks!$G:$G,A156))</f>
        <v/>
      </c>
      <c r="G156" s="6" t="str">
        <f>IF(A156="","",COUNTIFS(Chicks!$G:$G,A156,Chicks!$I:$I,"Yes"))</f>
        <v/>
      </c>
      <c r="H156" s="6" t="str">
        <f>IF(A156="","",SUMIFS(Chicks!$J:$J,Chicks!$G:$G,A156))</f>
        <v/>
      </c>
      <c r="I156" s="6" t="str">
        <f>IF(A156="","",COUNTIFS(Chicks!$G:$G,A156,Chicks!$I:$I,"No"))</f>
        <v/>
      </c>
      <c r="J156" s="6" t="str">
        <f>IF(A156="","",IFERROR(AVERAGEIF(Chicks!$G:$G,A156,Chicks!$M:$M),""))</f>
        <v/>
      </c>
      <c r="K156" s="6" t="str">
        <f>IF(A156="","",SUMIFS(Chicks!$N:$N,Chicks!$G:$G,A156))</f>
        <v/>
      </c>
      <c r="L156" s="6" t="str">
        <f>IF(A156="","",SUMIFS(Chicks!$O:$O,Chicks!$G:$G,A156))</f>
        <v/>
      </c>
      <c r="M156" s="6" t="str">
        <f>IF(A156="","",SUMIFS(Chicks!$P:$P,Chicks!$G:$G,A156))</f>
        <v/>
      </c>
      <c r="N156" s="6" t="str">
        <f t="shared" si="0"/>
        <v/>
      </c>
    </row>
    <row r="157" spans="1:14" ht="14.25" customHeight="1" x14ac:dyDescent="0.3">
      <c r="A157" s="4"/>
      <c r="B157" s="4"/>
      <c r="C157" s="4"/>
      <c r="D157" s="4"/>
      <c r="E157" s="4"/>
      <c r="F157" s="6" t="str">
        <f>IF(A157="","",COUNTIF(Chicks!$G:$G,A157))</f>
        <v/>
      </c>
      <c r="G157" s="6" t="str">
        <f>IF(A157="","",COUNTIFS(Chicks!$G:$G,A157,Chicks!$I:$I,"Yes"))</f>
        <v/>
      </c>
      <c r="H157" s="6" t="str">
        <f>IF(A157="","",SUMIFS(Chicks!$J:$J,Chicks!$G:$G,A157))</f>
        <v/>
      </c>
      <c r="I157" s="6" t="str">
        <f>IF(A157="","",COUNTIFS(Chicks!$G:$G,A157,Chicks!$I:$I,"No"))</f>
        <v/>
      </c>
      <c r="J157" s="6" t="str">
        <f>IF(A157="","",IFERROR(AVERAGEIF(Chicks!$G:$G,A157,Chicks!$M:$M),""))</f>
        <v/>
      </c>
      <c r="K157" s="6" t="str">
        <f>IF(A157="","",SUMIFS(Chicks!$N:$N,Chicks!$G:$G,A157))</f>
        <v/>
      </c>
      <c r="L157" s="6" t="str">
        <f>IF(A157="","",SUMIFS(Chicks!$O:$O,Chicks!$G:$G,A157))</f>
        <v/>
      </c>
      <c r="M157" s="6" t="str">
        <f>IF(A157="","",SUMIFS(Chicks!$P:$P,Chicks!$G:$G,A157))</f>
        <v/>
      </c>
      <c r="N157" s="6" t="str">
        <f t="shared" si="0"/>
        <v/>
      </c>
    </row>
    <row r="158" spans="1:14" ht="14.25" customHeight="1" x14ac:dyDescent="0.3">
      <c r="A158" s="4"/>
      <c r="B158" s="4"/>
      <c r="C158" s="4"/>
      <c r="D158" s="4"/>
      <c r="E158" s="4"/>
      <c r="F158" s="6" t="str">
        <f>IF(A158="","",COUNTIF(Chicks!$G:$G,A158))</f>
        <v/>
      </c>
      <c r="G158" s="6" t="str">
        <f>IF(A158="","",COUNTIFS(Chicks!$G:$G,A158,Chicks!$I:$I,"Yes"))</f>
        <v/>
      </c>
      <c r="H158" s="6" t="str">
        <f>IF(A158="","",SUMIFS(Chicks!$J:$J,Chicks!$G:$G,A158))</f>
        <v/>
      </c>
      <c r="I158" s="6" t="str">
        <f>IF(A158="","",COUNTIFS(Chicks!$G:$G,A158,Chicks!$I:$I,"No"))</f>
        <v/>
      </c>
      <c r="J158" s="6" t="str">
        <f>IF(A158="","",IFERROR(AVERAGEIF(Chicks!$G:$G,A158,Chicks!$M:$M),""))</f>
        <v/>
      </c>
      <c r="K158" s="6" t="str">
        <f>IF(A158="","",SUMIFS(Chicks!$N:$N,Chicks!$G:$G,A158))</f>
        <v/>
      </c>
      <c r="L158" s="6" t="str">
        <f>IF(A158="","",SUMIFS(Chicks!$O:$O,Chicks!$G:$G,A158))</f>
        <v/>
      </c>
      <c r="M158" s="6" t="str">
        <f>IF(A158="","",SUMIFS(Chicks!$P:$P,Chicks!$G:$G,A158))</f>
        <v/>
      </c>
      <c r="N158" s="6" t="str">
        <f t="shared" si="0"/>
        <v/>
      </c>
    </row>
    <row r="159" spans="1:14" ht="14.25" customHeight="1" x14ac:dyDescent="0.3">
      <c r="A159" s="4"/>
      <c r="B159" s="4"/>
      <c r="C159" s="4"/>
      <c r="D159" s="4"/>
      <c r="E159" s="4"/>
      <c r="F159" s="6" t="str">
        <f>IF(A159="","",COUNTIF(Chicks!$G:$G,A159))</f>
        <v/>
      </c>
      <c r="G159" s="6" t="str">
        <f>IF(A159="","",COUNTIFS(Chicks!$G:$G,A159,Chicks!$I:$I,"Yes"))</f>
        <v/>
      </c>
      <c r="H159" s="6" t="str">
        <f>IF(A159="","",SUMIFS(Chicks!$J:$J,Chicks!$G:$G,A159))</f>
        <v/>
      </c>
      <c r="I159" s="6" t="str">
        <f>IF(A159="","",COUNTIFS(Chicks!$G:$G,A159,Chicks!$I:$I,"No"))</f>
        <v/>
      </c>
      <c r="J159" s="6" t="str">
        <f>IF(A159="","",IFERROR(AVERAGEIF(Chicks!$G:$G,A159,Chicks!$M:$M),""))</f>
        <v/>
      </c>
      <c r="K159" s="6" t="str">
        <f>IF(A159="","",SUMIFS(Chicks!$N:$N,Chicks!$G:$G,A159))</f>
        <v/>
      </c>
      <c r="L159" s="6" t="str">
        <f>IF(A159="","",SUMIFS(Chicks!$O:$O,Chicks!$G:$G,A159))</f>
        <v/>
      </c>
      <c r="M159" s="6" t="str">
        <f>IF(A159="","",SUMIFS(Chicks!$P:$P,Chicks!$G:$G,A159))</f>
        <v/>
      </c>
      <c r="N159" s="6" t="str">
        <f t="shared" si="0"/>
        <v/>
      </c>
    </row>
    <row r="160" spans="1:14" ht="14.25" customHeight="1" x14ac:dyDescent="0.3">
      <c r="A160" s="4"/>
      <c r="B160" s="4"/>
      <c r="C160" s="4"/>
      <c r="D160" s="4"/>
      <c r="E160" s="4"/>
      <c r="F160" s="6" t="str">
        <f>IF(A160="","",COUNTIF(Chicks!$G:$G,A160))</f>
        <v/>
      </c>
      <c r="G160" s="6" t="str">
        <f>IF(A160="","",COUNTIFS(Chicks!$G:$G,A160,Chicks!$I:$I,"Yes"))</f>
        <v/>
      </c>
      <c r="H160" s="6" t="str">
        <f>IF(A160="","",SUMIFS(Chicks!$J:$J,Chicks!$G:$G,A160))</f>
        <v/>
      </c>
      <c r="I160" s="6" t="str">
        <f>IF(A160="","",COUNTIFS(Chicks!$G:$G,A160,Chicks!$I:$I,"No"))</f>
        <v/>
      </c>
      <c r="J160" s="6" t="str">
        <f>IF(A160="","",IFERROR(AVERAGEIF(Chicks!$G:$G,A160,Chicks!$M:$M),""))</f>
        <v/>
      </c>
      <c r="K160" s="6" t="str">
        <f>IF(A160="","",SUMIFS(Chicks!$N:$N,Chicks!$G:$G,A160))</f>
        <v/>
      </c>
      <c r="L160" s="6" t="str">
        <f>IF(A160="","",SUMIFS(Chicks!$O:$O,Chicks!$G:$G,A160))</f>
        <v/>
      </c>
      <c r="M160" s="6" t="str">
        <f>IF(A160="","",SUMIFS(Chicks!$P:$P,Chicks!$G:$G,A160))</f>
        <v/>
      </c>
      <c r="N160" s="6" t="str">
        <f t="shared" si="0"/>
        <v/>
      </c>
    </row>
    <row r="161" spans="1:14" ht="14.25" customHeight="1" x14ac:dyDescent="0.3">
      <c r="A161" s="4"/>
      <c r="B161" s="4"/>
      <c r="C161" s="4"/>
      <c r="D161" s="4"/>
      <c r="E161" s="4"/>
      <c r="F161" s="6" t="str">
        <f>IF(A161="","",COUNTIF(Chicks!$G:$G,A161))</f>
        <v/>
      </c>
      <c r="G161" s="6" t="str">
        <f>IF(A161="","",COUNTIFS(Chicks!$G:$G,A161,Chicks!$I:$I,"Yes"))</f>
        <v/>
      </c>
      <c r="H161" s="6" t="str">
        <f>IF(A161="","",SUMIFS(Chicks!$J:$J,Chicks!$G:$G,A161))</f>
        <v/>
      </c>
      <c r="I161" s="6" t="str">
        <f>IF(A161="","",COUNTIFS(Chicks!$G:$G,A161,Chicks!$I:$I,"No"))</f>
        <v/>
      </c>
      <c r="J161" s="6" t="str">
        <f>IF(A161="","",IFERROR(AVERAGEIF(Chicks!$G:$G,A161,Chicks!$M:$M),""))</f>
        <v/>
      </c>
      <c r="K161" s="6" t="str">
        <f>IF(A161="","",SUMIFS(Chicks!$N:$N,Chicks!$G:$G,A161))</f>
        <v/>
      </c>
      <c r="L161" s="6" t="str">
        <f>IF(A161="","",SUMIFS(Chicks!$O:$O,Chicks!$G:$G,A161))</f>
        <v/>
      </c>
      <c r="M161" s="6" t="str">
        <f>IF(A161="","",SUMIFS(Chicks!$P:$P,Chicks!$G:$G,A161))</f>
        <v/>
      </c>
      <c r="N161" s="6" t="str">
        <f t="shared" si="0"/>
        <v/>
      </c>
    </row>
    <row r="162" spans="1:14" ht="14.25" customHeight="1" x14ac:dyDescent="0.3">
      <c r="A162" s="4"/>
      <c r="B162" s="4"/>
      <c r="C162" s="4"/>
      <c r="D162" s="4"/>
      <c r="E162" s="4"/>
      <c r="F162" s="6" t="str">
        <f>IF(A162="","",COUNTIF(Chicks!$G:$G,A162))</f>
        <v/>
      </c>
      <c r="G162" s="6" t="str">
        <f>IF(A162="","",COUNTIFS(Chicks!$G:$G,A162,Chicks!$I:$I,"Yes"))</f>
        <v/>
      </c>
      <c r="H162" s="6" t="str">
        <f>IF(A162="","",SUMIFS(Chicks!$J:$J,Chicks!$G:$G,A162))</f>
        <v/>
      </c>
      <c r="I162" s="6" t="str">
        <f>IF(A162="","",COUNTIFS(Chicks!$G:$G,A162,Chicks!$I:$I,"No"))</f>
        <v/>
      </c>
      <c r="J162" s="6" t="str">
        <f>IF(A162="","",IFERROR(AVERAGEIF(Chicks!$G:$G,A162,Chicks!$M:$M),""))</f>
        <v/>
      </c>
      <c r="K162" s="6" t="str">
        <f>IF(A162="","",SUMIFS(Chicks!$N:$N,Chicks!$G:$G,A162))</f>
        <v/>
      </c>
      <c r="L162" s="6" t="str">
        <f>IF(A162="","",SUMIFS(Chicks!$O:$O,Chicks!$G:$G,A162))</f>
        <v/>
      </c>
      <c r="M162" s="6" t="str">
        <f>IF(A162="","",SUMIFS(Chicks!$P:$P,Chicks!$G:$G,A162))</f>
        <v/>
      </c>
      <c r="N162" s="6" t="str">
        <f t="shared" si="0"/>
        <v/>
      </c>
    </row>
    <row r="163" spans="1:14" ht="14.25" customHeight="1" x14ac:dyDescent="0.3">
      <c r="A163" s="4"/>
      <c r="B163" s="4"/>
      <c r="C163" s="4"/>
      <c r="D163" s="4"/>
      <c r="E163" s="4"/>
      <c r="F163" s="6" t="str">
        <f>IF(A163="","",COUNTIF(Chicks!$G:$G,A163))</f>
        <v/>
      </c>
      <c r="G163" s="6" t="str">
        <f>IF(A163="","",COUNTIFS(Chicks!$G:$G,A163,Chicks!$I:$I,"Yes"))</f>
        <v/>
      </c>
      <c r="H163" s="6" t="str">
        <f>IF(A163="","",SUMIFS(Chicks!$J:$J,Chicks!$G:$G,A163))</f>
        <v/>
      </c>
      <c r="I163" s="6" t="str">
        <f>IF(A163="","",COUNTIFS(Chicks!$G:$G,A163,Chicks!$I:$I,"No"))</f>
        <v/>
      </c>
      <c r="J163" s="6" t="str">
        <f>IF(A163="","",IFERROR(AVERAGEIF(Chicks!$G:$G,A163,Chicks!$M:$M),""))</f>
        <v/>
      </c>
      <c r="K163" s="6" t="str">
        <f>IF(A163="","",SUMIFS(Chicks!$N:$N,Chicks!$G:$G,A163))</f>
        <v/>
      </c>
      <c r="L163" s="6" t="str">
        <f>IF(A163="","",SUMIFS(Chicks!$O:$O,Chicks!$G:$G,A163))</f>
        <v/>
      </c>
      <c r="M163" s="6" t="str">
        <f>IF(A163="","",SUMIFS(Chicks!$P:$P,Chicks!$G:$G,A163))</f>
        <v/>
      </c>
      <c r="N163" s="6" t="str">
        <f t="shared" si="0"/>
        <v/>
      </c>
    </row>
    <row r="164" spans="1:14" ht="14.25" customHeight="1" x14ac:dyDescent="0.3">
      <c r="A164" s="4"/>
      <c r="B164" s="4"/>
      <c r="C164" s="4"/>
      <c r="D164" s="4"/>
      <c r="E164" s="4"/>
      <c r="F164" s="6" t="str">
        <f>IF(A164="","",COUNTIF(Chicks!$G:$G,A164))</f>
        <v/>
      </c>
      <c r="G164" s="6" t="str">
        <f>IF(A164="","",COUNTIFS(Chicks!$G:$G,A164,Chicks!$I:$I,"Yes"))</f>
        <v/>
      </c>
      <c r="H164" s="6" t="str">
        <f>IF(A164="","",SUMIFS(Chicks!$J:$J,Chicks!$G:$G,A164))</f>
        <v/>
      </c>
      <c r="I164" s="6" t="str">
        <f>IF(A164="","",COUNTIFS(Chicks!$G:$G,A164,Chicks!$I:$I,"No"))</f>
        <v/>
      </c>
      <c r="J164" s="6" t="str">
        <f>IF(A164="","",IFERROR(AVERAGEIF(Chicks!$G:$G,A164,Chicks!$M:$M),""))</f>
        <v/>
      </c>
      <c r="K164" s="6" t="str">
        <f>IF(A164="","",SUMIFS(Chicks!$N:$N,Chicks!$G:$G,A164))</f>
        <v/>
      </c>
      <c r="L164" s="6" t="str">
        <f>IF(A164="","",SUMIFS(Chicks!$O:$O,Chicks!$G:$G,A164))</f>
        <v/>
      </c>
      <c r="M164" s="6" t="str">
        <f>IF(A164="","",SUMIFS(Chicks!$P:$P,Chicks!$G:$G,A164))</f>
        <v/>
      </c>
      <c r="N164" s="6" t="str">
        <f t="shared" si="0"/>
        <v/>
      </c>
    </row>
    <row r="165" spans="1:14" ht="14.25" customHeight="1" x14ac:dyDescent="0.3">
      <c r="A165" s="4"/>
      <c r="B165" s="4"/>
      <c r="C165" s="4"/>
      <c r="D165" s="4"/>
      <c r="E165" s="4"/>
      <c r="F165" s="6" t="str">
        <f>IF(A165="","",COUNTIF(Chicks!$G:$G,A165))</f>
        <v/>
      </c>
      <c r="G165" s="6" t="str">
        <f>IF(A165="","",COUNTIFS(Chicks!$G:$G,A165,Chicks!$I:$I,"Yes"))</f>
        <v/>
      </c>
      <c r="H165" s="6" t="str">
        <f>IF(A165="","",SUMIFS(Chicks!$J:$J,Chicks!$G:$G,A165))</f>
        <v/>
      </c>
      <c r="I165" s="6" t="str">
        <f>IF(A165="","",COUNTIFS(Chicks!$G:$G,A165,Chicks!$I:$I,"No"))</f>
        <v/>
      </c>
      <c r="J165" s="6" t="str">
        <f>IF(A165="","",IFERROR(AVERAGEIF(Chicks!$G:$G,A165,Chicks!$M:$M),""))</f>
        <v/>
      </c>
      <c r="K165" s="6" t="str">
        <f>IF(A165="","",SUMIFS(Chicks!$N:$N,Chicks!$G:$G,A165))</f>
        <v/>
      </c>
      <c r="L165" s="6" t="str">
        <f>IF(A165="","",SUMIFS(Chicks!$O:$O,Chicks!$G:$G,A165))</f>
        <v/>
      </c>
      <c r="M165" s="6" t="str">
        <f>IF(A165="","",SUMIFS(Chicks!$P:$P,Chicks!$G:$G,A165))</f>
        <v/>
      </c>
      <c r="N165" s="6" t="str">
        <f t="shared" si="0"/>
        <v/>
      </c>
    </row>
    <row r="166" spans="1:14" ht="14.25" customHeight="1" x14ac:dyDescent="0.3">
      <c r="A166" s="4"/>
      <c r="B166" s="4"/>
      <c r="C166" s="4"/>
      <c r="D166" s="4"/>
      <c r="E166" s="4"/>
      <c r="F166" s="6" t="str">
        <f>IF(A166="","",COUNTIF(Chicks!$G:$G,A166))</f>
        <v/>
      </c>
      <c r="G166" s="6" t="str">
        <f>IF(A166="","",COUNTIFS(Chicks!$G:$G,A166,Chicks!$I:$I,"Yes"))</f>
        <v/>
      </c>
      <c r="H166" s="6" t="str">
        <f>IF(A166="","",SUMIFS(Chicks!$J:$J,Chicks!$G:$G,A166))</f>
        <v/>
      </c>
      <c r="I166" s="6" t="str">
        <f>IF(A166="","",COUNTIFS(Chicks!$G:$G,A166,Chicks!$I:$I,"No"))</f>
        <v/>
      </c>
      <c r="J166" s="6" t="str">
        <f>IF(A166="","",IFERROR(AVERAGEIF(Chicks!$G:$G,A166,Chicks!$M:$M),""))</f>
        <v/>
      </c>
      <c r="K166" s="6" t="str">
        <f>IF(A166="","",SUMIFS(Chicks!$N:$N,Chicks!$G:$G,A166))</f>
        <v/>
      </c>
      <c r="L166" s="6" t="str">
        <f>IF(A166="","",SUMIFS(Chicks!$O:$O,Chicks!$G:$G,A166))</f>
        <v/>
      </c>
      <c r="M166" s="6" t="str">
        <f>IF(A166="","",SUMIFS(Chicks!$P:$P,Chicks!$G:$G,A166))</f>
        <v/>
      </c>
      <c r="N166" s="6" t="str">
        <f t="shared" si="0"/>
        <v/>
      </c>
    </row>
    <row r="167" spans="1:14" ht="14.25" customHeight="1" x14ac:dyDescent="0.3">
      <c r="A167" s="4"/>
      <c r="B167" s="4"/>
      <c r="C167" s="4"/>
      <c r="D167" s="4"/>
      <c r="E167" s="4"/>
      <c r="F167" s="6" t="str">
        <f>IF(A167="","",COUNTIF(Chicks!$G:$G,A167))</f>
        <v/>
      </c>
      <c r="G167" s="6" t="str">
        <f>IF(A167="","",COUNTIFS(Chicks!$G:$G,A167,Chicks!$I:$I,"Yes"))</f>
        <v/>
      </c>
      <c r="H167" s="6" t="str">
        <f>IF(A167="","",SUMIFS(Chicks!$J:$J,Chicks!$G:$G,A167))</f>
        <v/>
      </c>
      <c r="I167" s="6" t="str">
        <f>IF(A167="","",COUNTIFS(Chicks!$G:$G,A167,Chicks!$I:$I,"No"))</f>
        <v/>
      </c>
      <c r="J167" s="6" t="str">
        <f>IF(A167="","",IFERROR(AVERAGEIF(Chicks!$G:$G,A167,Chicks!$M:$M),""))</f>
        <v/>
      </c>
      <c r="K167" s="6" t="str">
        <f>IF(A167="","",SUMIFS(Chicks!$N:$N,Chicks!$G:$G,A167))</f>
        <v/>
      </c>
      <c r="L167" s="6" t="str">
        <f>IF(A167="","",SUMIFS(Chicks!$O:$O,Chicks!$G:$G,A167))</f>
        <v/>
      </c>
      <c r="M167" s="6" t="str">
        <f>IF(A167="","",SUMIFS(Chicks!$P:$P,Chicks!$G:$G,A167))</f>
        <v/>
      </c>
      <c r="N167" s="6" t="str">
        <f t="shared" si="0"/>
        <v/>
      </c>
    </row>
    <row r="168" spans="1:14" ht="14.25" customHeight="1" x14ac:dyDescent="0.3">
      <c r="A168" s="4"/>
      <c r="B168" s="4"/>
      <c r="C168" s="4"/>
      <c r="D168" s="4"/>
      <c r="E168" s="4"/>
      <c r="F168" s="6" t="str">
        <f>IF(A168="","",COUNTIF(Chicks!$G:$G,A168))</f>
        <v/>
      </c>
      <c r="G168" s="6" t="str">
        <f>IF(A168="","",COUNTIFS(Chicks!$G:$G,A168,Chicks!$I:$I,"Yes"))</f>
        <v/>
      </c>
      <c r="H168" s="6" t="str">
        <f>IF(A168="","",SUMIFS(Chicks!$J:$J,Chicks!$G:$G,A168))</f>
        <v/>
      </c>
      <c r="I168" s="6" t="str">
        <f>IF(A168="","",COUNTIFS(Chicks!$G:$G,A168,Chicks!$I:$I,"No"))</f>
        <v/>
      </c>
      <c r="J168" s="6" t="str">
        <f>IF(A168="","",IFERROR(AVERAGEIF(Chicks!$G:$G,A168,Chicks!$M:$M),""))</f>
        <v/>
      </c>
      <c r="K168" s="6" t="str">
        <f>IF(A168="","",SUMIFS(Chicks!$N:$N,Chicks!$G:$G,A168))</f>
        <v/>
      </c>
      <c r="L168" s="6" t="str">
        <f>IF(A168="","",SUMIFS(Chicks!$O:$O,Chicks!$G:$G,A168))</f>
        <v/>
      </c>
      <c r="M168" s="6" t="str">
        <f>IF(A168="","",SUMIFS(Chicks!$P:$P,Chicks!$G:$G,A168))</f>
        <v/>
      </c>
      <c r="N168" s="6" t="str">
        <f t="shared" si="0"/>
        <v/>
      </c>
    </row>
    <row r="169" spans="1:14" ht="14.25" customHeight="1" x14ac:dyDescent="0.3">
      <c r="A169" s="4"/>
      <c r="B169" s="4"/>
      <c r="C169" s="4"/>
      <c r="D169" s="4"/>
      <c r="E169" s="4"/>
      <c r="F169" s="6" t="str">
        <f>IF(A169="","",COUNTIF(Chicks!$G:$G,A169))</f>
        <v/>
      </c>
      <c r="G169" s="6" t="str">
        <f>IF(A169="","",COUNTIFS(Chicks!$G:$G,A169,Chicks!$I:$I,"Yes"))</f>
        <v/>
      </c>
      <c r="H169" s="6" t="str">
        <f>IF(A169="","",SUMIFS(Chicks!$J:$J,Chicks!$G:$G,A169))</f>
        <v/>
      </c>
      <c r="I169" s="6" t="str">
        <f>IF(A169="","",COUNTIFS(Chicks!$G:$G,A169,Chicks!$I:$I,"No"))</f>
        <v/>
      </c>
      <c r="J169" s="6" t="str">
        <f>IF(A169="","",IFERROR(AVERAGEIF(Chicks!$G:$G,A169,Chicks!$M:$M),""))</f>
        <v/>
      </c>
      <c r="K169" s="6" t="str">
        <f>IF(A169="","",SUMIFS(Chicks!$N:$N,Chicks!$G:$G,A169))</f>
        <v/>
      </c>
      <c r="L169" s="6" t="str">
        <f>IF(A169="","",SUMIFS(Chicks!$O:$O,Chicks!$G:$G,A169))</f>
        <v/>
      </c>
      <c r="M169" s="6" t="str">
        <f>IF(A169="","",SUMIFS(Chicks!$P:$P,Chicks!$G:$G,A169))</f>
        <v/>
      </c>
      <c r="N169" s="6" t="str">
        <f t="shared" si="0"/>
        <v/>
      </c>
    </row>
    <row r="170" spans="1:14" ht="14.25" customHeight="1" x14ac:dyDescent="0.3">
      <c r="A170" s="4"/>
      <c r="B170" s="4"/>
      <c r="C170" s="4"/>
      <c r="D170" s="4"/>
      <c r="E170" s="4"/>
      <c r="F170" s="6" t="str">
        <f>IF(A170="","",COUNTIF(Chicks!$G:$G,A170))</f>
        <v/>
      </c>
      <c r="G170" s="6" t="str">
        <f>IF(A170="","",COUNTIFS(Chicks!$G:$G,A170,Chicks!$I:$I,"Yes"))</f>
        <v/>
      </c>
      <c r="H170" s="6" t="str">
        <f>IF(A170="","",SUMIFS(Chicks!$J:$J,Chicks!$G:$G,A170))</f>
        <v/>
      </c>
      <c r="I170" s="6" t="str">
        <f>IF(A170="","",COUNTIFS(Chicks!$G:$G,A170,Chicks!$I:$I,"No"))</f>
        <v/>
      </c>
      <c r="J170" s="6" t="str">
        <f>IF(A170="","",IFERROR(AVERAGEIF(Chicks!$G:$G,A170,Chicks!$M:$M),""))</f>
        <v/>
      </c>
      <c r="K170" s="6" t="str">
        <f>IF(A170="","",SUMIFS(Chicks!$N:$N,Chicks!$G:$G,A170))</f>
        <v/>
      </c>
      <c r="L170" s="6" t="str">
        <f>IF(A170="","",SUMIFS(Chicks!$O:$O,Chicks!$G:$G,A170))</f>
        <v/>
      </c>
      <c r="M170" s="6" t="str">
        <f>IF(A170="","",SUMIFS(Chicks!$P:$P,Chicks!$G:$G,A170))</f>
        <v/>
      </c>
      <c r="N170" s="6" t="str">
        <f t="shared" si="0"/>
        <v/>
      </c>
    </row>
    <row r="171" spans="1:14" ht="14.25" customHeight="1" x14ac:dyDescent="0.3">
      <c r="A171" s="4"/>
      <c r="B171" s="4"/>
      <c r="C171" s="4"/>
      <c r="D171" s="4"/>
      <c r="E171" s="4"/>
      <c r="F171" s="6" t="str">
        <f>IF(A171="","",COUNTIF(Chicks!$G:$G,A171))</f>
        <v/>
      </c>
      <c r="G171" s="6" t="str">
        <f>IF(A171="","",COUNTIFS(Chicks!$G:$G,A171,Chicks!$I:$I,"Yes"))</f>
        <v/>
      </c>
      <c r="H171" s="6" t="str">
        <f>IF(A171="","",SUMIFS(Chicks!$J:$J,Chicks!$G:$G,A171))</f>
        <v/>
      </c>
      <c r="I171" s="6" t="str">
        <f>IF(A171="","",COUNTIFS(Chicks!$G:$G,A171,Chicks!$I:$I,"No"))</f>
        <v/>
      </c>
      <c r="J171" s="6" t="str">
        <f>IF(A171="","",IFERROR(AVERAGEIF(Chicks!$G:$G,A171,Chicks!$M:$M),""))</f>
        <v/>
      </c>
      <c r="K171" s="6" t="str">
        <f>IF(A171="","",SUMIFS(Chicks!$N:$N,Chicks!$G:$G,A171))</f>
        <v/>
      </c>
      <c r="L171" s="6" t="str">
        <f>IF(A171="","",SUMIFS(Chicks!$O:$O,Chicks!$G:$G,A171))</f>
        <v/>
      </c>
      <c r="M171" s="6" t="str">
        <f>IF(A171="","",SUMIFS(Chicks!$P:$P,Chicks!$G:$G,A171))</f>
        <v/>
      </c>
      <c r="N171" s="6" t="str">
        <f t="shared" si="0"/>
        <v/>
      </c>
    </row>
    <row r="172" spans="1:14" ht="14.25" customHeight="1" x14ac:dyDescent="0.3">
      <c r="A172" s="4"/>
      <c r="B172" s="4"/>
      <c r="C172" s="4"/>
      <c r="D172" s="4"/>
      <c r="E172" s="4"/>
      <c r="F172" s="6" t="str">
        <f>IF(A172="","",COUNTIF(Chicks!$G:$G,A172))</f>
        <v/>
      </c>
      <c r="G172" s="6" t="str">
        <f>IF(A172="","",COUNTIFS(Chicks!$G:$G,A172,Chicks!$I:$I,"Yes"))</f>
        <v/>
      </c>
      <c r="H172" s="6" t="str">
        <f>IF(A172="","",SUMIFS(Chicks!$J:$J,Chicks!$G:$G,A172))</f>
        <v/>
      </c>
      <c r="I172" s="6" t="str">
        <f>IF(A172="","",COUNTIFS(Chicks!$G:$G,A172,Chicks!$I:$I,"No"))</f>
        <v/>
      </c>
      <c r="J172" s="6" t="str">
        <f>IF(A172="","",IFERROR(AVERAGEIF(Chicks!$G:$G,A172,Chicks!$M:$M),""))</f>
        <v/>
      </c>
      <c r="K172" s="6" t="str">
        <f>IF(A172="","",SUMIFS(Chicks!$N:$N,Chicks!$G:$G,A172))</f>
        <v/>
      </c>
      <c r="L172" s="6" t="str">
        <f>IF(A172="","",SUMIFS(Chicks!$O:$O,Chicks!$G:$G,A172))</f>
        <v/>
      </c>
      <c r="M172" s="6" t="str">
        <f>IF(A172="","",SUMIFS(Chicks!$P:$P,Chicks!$G:$G,A172))</f>
        <v/>
      </c>
      <c r="N172" s="6" t="str">
        <f t="shared" si="0"/>
        <v/>
      </c>
    </row>
    <row r="173" spans="1:14" ht="14.25" customHeight="1" x14ac:dyDescent="0.3">
      <c r="A173" s="4"/>
      <c r="B173" s="4"/>
      <c r="C173" s="4"/>
      <c r="D173" s="4"/>
      <c r="E173" s="4"/>
      <c r="F173" s="6" t="str">
        <f>IF(A173="","",COUNTIF(Chicks!$G:$G,A173))</f>
        <v/>
      </c>
      <c r="G173" s="6" t="str">
        <f>IF(A173="","",COUNTIFS(Chicks!$G:$G,A173,Chicks!$I:$I,"Yes"))</f>
        <v/>
      </c>
      <c r="H173" s="6" t="str">
        <f>IF(A173="","",SUMIFS(Chicks!$J:$J,Chicks!$G:$G,A173))</f>
        <v/>
      </c>
      <c r="I173" s="6" t="str">
        <f>IF(A173="","",COUNTIFS(Chicks!$G:$G,A173,Chicks!$I:$I,"No"))</f>
        <v/>
      </c>
      <c r="J173" s="6" t="str">
        <f>IF(A173="","",IFERROR(AVERAGEIF(Chicks!$G:$G,A173,Chicks!$M:$M),""))</f>
        <v/>
      </c>
      <c r="K173" s="6" t="str">
        <f>IF(A173="","",SUMIFS(Chicks!$N:$N,Chicks!$G:$G,A173))</f>
        <v/>
      </c>
      <c r="L173" s="6" t="str">
        <f>IF(A173="","",SUMIFS(Chicks!$O:$O,Chicks!$G:$G,A173))</f>
        <v/>
      </c>
      <c r="M173" s="6" t="str">
        <f>IF(A173="","",SUMIFS(Chicks!$P:$P,Chicks!$G:$G,A173))</f>
        <v/>
      </c>
      <c r="N173" s="6" t="str">
        <f t="shared" si="0"/>
        <v/>
      </c>
    </row>
    <row r="174" spans="1:14" ht="14.25" customHeight="1" x14ac:dyDescent="0.3">
      <c r="A174" s="4"/>
      <c r="B174" s="4"/>
      <c r="C174" s="4"/>
      <c r="D174" s="4"/>
      <c r="E174" s="4"/>
      <c r="F174" s="6" t="str">
        <f>IF(A174="","",COUNTIF(Chicks!$G:$G,A174))</f>
        <v/>
      </c>
      <c r="G174" s="6" t="str">
        <f>IF(A174="","",COUNTIFS(Chicks!$G:$G,A174,Chicks!$I:$I,"Yes"))</f>
        <v/>
      </c>
      <c r="H174" s="6" t="str">
        <f>IF(A174="","",SUMIFS(Chicks!$J:$J,Chicks!$G:$G,A174))</f>
        <v/>
      </c>
      <c r="I174" s="6" t="str">
        <f>IF(A174="","",COUNTIFS(Chicks!$G:$G,A174,Chicks!$I:$I,"No"))</f>
        <v/>
      </c>
      <c r="J174" s="6" t="str">
        <f>IF(A174="","",IFERROR(AVERAGEIF(Chicks!$G:$G,A174,Chicks!$M:$M),""))</f>
        <v/>
      </c>
      <c r="K174" s="6" t="str">
        <f>IF(A174="","",SUMIFS(Chicks!$N:$N,Chicks!$G:$G,A174))</f>
        <v/>
      </c>
      <c r="L174" s="6" t="str">
        <f>IF(A174="","",SUMIFS(Chicks!$O:$O,Chicks!$G:$G,A174))</f>
        <v/>
      </c>
      <c r="M174" s="6" t="str">
        <f>IF(A174="","",SUMIFS(Chicks!$P:$P,Chicks!$G:$G,A174))</f>
        <v/>
      </c>
      <c r="N174" s="6" t="str">
        <f t="shared" si="0"/>
        <v/>
      </c>
    </row>
    <row r="175" spans="1:14" ht="14.25" customHeight="1" x14ac:dyDescent="0.3">
      <c r="A175" s="4"/>
      <c r="B175" s="4"/>
      <c r="C175" s="4"/>
      <c r="D175" s="4"/>
      <c r="E175" s="4"/>
      <c r="F175" s="6" t="str">
        <f>IF(A175="","",COUNTIF(Chicks!$G:$G,A175))</f>
        <v/>
      </c>
      <c r="G175" s="6" t="str">
        <f>IF(A175="","",COUNTIFS(Chicks!$G:$G,A175,Chicks!$I:$I,"Yes"))</f>
        <v/>
      </c>
      <c r="H175" s="6" t="str">
        <f>IF(A175="","",SUMIFS(Chicks!$J:$J,Chicks!$G:$G,A175))</f>
        <v/>
      </c>
      <c r="I175" s="6" t="str">
        <f>IF(A175="","",COUNTIFS(Chicks!$G:$G,A175,Chicks!$I:$I,"No"))</f>
        <v/>
      </c>
      <c r="J175" s="6" t="str">
        <f>IF(A175="","",IFERROR(AVERAGEIF(Chicks!$G:$G,A175,Chicks!$M:$M),""))</f>
        <v/>
      </c>
      <c r="K175" s="6" t="str">
        <f>IF(A175="","",SUMIFS(Chicks!$N:$N,Chicks!$G:$G,A175))</f>
        <v/>
      </c>
      <c r="L175" s="6" t="str">
        <f>IF(A175="","",SUMIFS(Chicks!$O:$O,Chicks!$G:$G,A175))</f>
        <v/>
      </c>
      <c r="M175" s="6" t="str">
        <f>IF(A175="","",SUMIFS(Chicks!$P:$P,Chicks!$G:$G,A175))</f>
        <v/>
      </c>
      <c r="N175" s="6" t="str">
        <f t="shared" si="0"/>
        <v/>
      </c>
    </row>
    <row r="176" spans="1:14" ht="14.25" customHeight="1" x14ac:dyDescent="0.3">
      <c r="A176" s="4"/>
      <c r="B176" s="4"/>
      <c r="C176" s="4"/>
      <c r="D176" s="4"/>
      <c r="E176" s="4"/>
      <c r="F176" s="6" t="str">
        <f>IF(A176="","",COUNTIF(Chicks!$G:$G,A176))</f>
        <v/>
      </c>
      <c r="G176" s="6" t="str">
        <f>IF(A176="","",COUNTIFS(Chicks!$G:$G,A176,Chicks!$I:$I,"Yes"))</f>
        <v/>
      </c>
      <c r="H176" s="6" t="str">
        <f>IF(A176="","",SUMIFS(Chicks!$J:$J,Chicks!$G:$G,A176))</f>
        <v/>
      </c>
      <c r="I176" s="6" t="str">
        <f>IF(A176="","",COUNTIFS(Chicks!$G:$G,A176,Chicks!$I:$I,"No"))</f>
        <v/>
      </c>
      <c r="J176" s="6" t="str">
        <f>IF(A176="","",IFERROR(AVERAGEIF(Chicks!$G:$G,A176,Chicks!$M:$M),""))</f>
        <v/>
      </c>
      <c r="K176" s="6" t="str">
        <f>IF(A176="","",SUMIFS(Chicks!$N:$N,Chicks!$G:$G,A176))</f>
        <v/>
      </c>
      <c r="L176" s="6" t="str">
        <f>IF(A176="","",SUMIFS(Chicks!$O:$O,Chicks!$G:$G,A176))</f>
        <v/>
      </c>
      <c r="M176" s="6" t="str">
        <f>IF(A176="","",SUMIFS(Chicks!$P:$P,Chicks!$G:$G,A176))</f>
        <v/>
      </c>
      <c r="N176" s="6" t="str">
        <f t="shared" si="0"/>
        <v/>
      </c>
    </row>
    <row r="177" spans="1:14" ht="14.25" customHeight="1" x14ac:dyDescent="0.3">
      <c r="A177" s="4"/>
      <c r="B177" s="4"/>
      <c r="C177" s="4"/>
      <c r="D177" s="4"/>
      <c r="E177" s="4"/>
      <c r="F177" s="6" t="str">
        <f>IF(A177="","",COUNTIF(Chicks!$G:$G,A177))</f>
        <v/>
      </c>
      <c r="G177" s="6" t="str">
        <f>IF(A177="","",COUNTIFS(Chicks!$G:$G,A177,Chicks!$I:$I,"Yes"))</f>
        <v/>
      </c>
      <c r="H177" s="6" t="str">
        <f>IF(A177="","",SUMIFS(Chicks!$J:$J,Chicks!$G:$G,A177))</f>
        <v/>
      </c>
      <c r="I177" s="6" t="str">
        <f>IF(A177="","",COUNTIFS(Chicks!$G:$G,A177,Chicks!$I:$I,"No"))</f>
        <v/>
      </c>
      <c r="J177" s="6" t="str">
        <f>IF(A177="","",IFERROR(AVERAGEIF(Chicks!$G:$G,A177,Chicks!$M:$M),""))</f>
        <v/>
      </c>
      <c r="K177" s="6" t="str">
        <f>IF(A177="","",SUMIFS(Chicks!$N:$N,Chicks!$G:$G,A177))</f>
        <v/>
      </c>
      <c r="L177" s="6" t="str">
        <f>IF(A177="","",SUMIFS(Chicks!$O:$O,Chicks!$G:$G,A177))</f>
        <v/>
      </c>
      <c r="M177" s="6" t="str">
        <f>IF(A177="","",SUMIFS(Chicks!$P:$P,Chicks!$G:$G,A177))</f>
        <v/>
      </c>
      <c r="N177" s="6" t="str">
        <f t="shared" si="0"/>
        <v/>
      </c>
    </row>
    <row r="178" spans="1:14" ht="14.25" customHeight="1" x14ac:dyDescent="0.3">
      <c r="A178" s="4"/>
      <c r="B178" s="4"/>
      <c r="C178" s="4"/>
      <c r="D178" s="4"/>
      <c r="E178" s="4"/>
      <c r="F178" s="6" t="str">
        <f>IF(A178="","",COUNTIF(Chicks!$G:$G,A178))</f>
        <v/>
      </c>
      <c r="G178" s="6" t="str">
        <f>IF(A178="","",COUNTIFS(Chicks!$G:$G,A178,Chicks!$I:$I,"Yes"))</f>
        <v/>
      </c>
      <c r="H178" s="6" t="str">
        <f>IF(A178="","",SUMIFS(Chicks!$J:$J,Chicks!$G:$G,A178))</f>
        <v/>
      </c>
      <c r="I178" s="6" t="str">
        <f>IF(A178="","",COUNTIFS(Chicks!$G:$G,A178,Chicks!$I:$I,"No"))</f>
        <v/>
      </c>
      <c r="J178" s="6" t="str">
        <f>IF(A178="","",IFERROR(AVERAGEIF(Chicks!$G:$G,A178,Chicks!$M:$M),""))</f>
        <v/>
      </c>
      <c r="K178" s="6" t="str">
        <f>IF(A178="","",SUMIFS(Chicks!$N:$N,Chicks!$G:$G,A178))</f>
        <v/>
      </c>
      <c r="L178" s="6" t="str">
        <f>IF(A178="","",SUMIFS(Chicks!$O:$O,Chicks!$G:$G,A178))</f>
        <v/>
      </c>
      <c r="M178" s="6" t="str">
        <f>IF(A178="","",SUMIFS(Chicks!$P:$P,Chicks!$G:$G,A178))</f>
        <v/>
      </c>
      <c r="N178" s="6" t="str">
        <f t="shared" si="0"/>
        <v/>
      </c>
    </row>
    <row r="179" spans="1:14" ht="14.25" customHeight="1" x14ac:dyDescent="0.3">
      <c r="A179" s="4"/>
      <c r="B179" s="4"/>
      <c r="C179" s="4"/>
      <c r="D179" s="4"/>
      <c r="E179" s="4"/>
      <c r="F179" s="6" t="str">
        <f>IF(A179="","",COUNTIF(Chicks!$G:$G,A179))</f>
        <v/>
      </c>
      <c r="G179" s="6" t="str">
        <f>IF(A179="","",COUNTIFS(Chicks!$G:$G,A179,Chicks!$I:$I,"Yes"))</f>
        <v/>
      </c>
      <c r="H179" s="6" t="str">
        <f>IF(A179="","",SUMIFS(Chicks!$J:$J,Chicks!$G:$G,A179))</f>
        <v/>
      </c>
      <c r="I179" s="6" t="str">
        <f>IF(A179="","",COUNTIFS(Chicks!$G:$G,A179,Chicks!$I:$I,"No"))</f>
        <v/>
      </c>
      <c r="J179" s="6" t="str">
        <f>IF(A179="","",IFERROR(AVERAGEIF(Chicks!$G:$G,A179,Chicks!$M:$M),""))</f>
        <v/>
      </c>
      <c r="K179" s="6" t="str">
        <f>IF(A179="","",SUMIFS(Chicks!$N:$N,Chicks!$G:$G,A179))</f>
        <v/>
      </c>
      <c r="L179" s="6" t="str">
        <f>IF(A179="","",SUMIFS(Chicks!$O:$O,Chicks!$G:$G,A179))</f>
        <v/>
      </c>
      <c r="M179" s="6" t="str">
        <f>IF(A179="","",SUMIFS(Chicks!$P:$P,Chicks!$G:$G,A179))</f>
        <v/>
      </c>
      <c r="N179" s="6" t="str">
        <f t="shared" si="0"/>
        <v/>
      </c>
    </row>
    <row r="180" spans="1:14" ht="14.25" customHeight="1" x14ac:dyDescent="0.3">
      <c r="A180" s="4"/>
      <c r="B180" s="4"/>
      <c r="C180" s="4"/>
      <c r="D180" s="4"/>
      <c r="E180" s="4"/>
      <c r="F180" s="6" t="str">
        <f>IF(A180="","",COUNTIF(Chicks!$G:$G,A180))</f>
        <v/>
      </c>
      <c r="G180" s="6" t="str">
        <f>IF(A180="","",COUNTIFS(Chicks!$G:$G,A180,Chicks!$I:$I,"Yes"))</f>
        <v/>
      </c>
      <c r="H180" s="6" t="str">
        <f>IF(A180="","",SUMIFS(Chicks!$J:$J,Chicks!$G:$G,A180))</f>
        <v/>
      </c>
      <c r="I180" s="6" t="str">
        <f>IF(A180="","",COUNTIFS(Chicks!$G:$G,A180,Chicks!$I:$I,"No"))</f>
        <v/>
      </c>
      <c r="J180" s="6" t="str">
        <f>IF(A180="","",IFERROR(AVERAGEIF(Chicks!$G:$G,A180,Chicks!$M:$M),""))</f>
        <v/>
      </c>
      <c r="K180" s="6" t="str">
        <f>IF(A180="","",SUMIFS(Chicks!$N:$N,Chicks!$G:$G,A180))</f>
        <v/>
      </c>
      <c r="L180" s="6" t="str">
        <f>IF(A180="","",SUMIFS(Chicks!$O:$O,Chicks!$G:$G,A180))</f>
        <v/>
      </c>
      <c r="M180" s="6" t="str">
        <f>IF(A180="","",SUMIFS(Chicks!$P:$P,Chicks!$G:$G,A180))</f>
        <v/>
      </c>
      <c r="N180" s="6" t="str">
        <f t="shared" si="0"/>
        <v/>
      </c>
    </row>
    <row r="181" spans="1:14" ht="14.25" customHeight="1" x14ac:dyDescent="0.3">
      <c r="A181" s="4"/>
      <c r="B181" s="4"/>
      <c r="C181" s="4"/>
      <c r="D181" s="4"/>
      <c r="E181" s="4"/>
      <c r="F181" s="6" t="str">
        <f>IF(A181="","",COUNTIF(Chicks!$G:$G,A181))</f>
        <v/>
      </c>
      <c r="G181" s="6" t="str">
        <f>IF(A181="","",COUNTIFS(Chicks!$G:$G,A181,Chicks!$I:$I,"Yes"))</f>
        <v/>
      </c>
      <c r="H181" s="6" t="str">
        <f>IF(A181="","",SUMIFS(Chicks!$J:$J,Chicks!$G:$G,A181))</f>
        <v/>
      </c>
      <c r="I181" s="6" t="str">
        <f>IF(A181="","",COUNTIFS(Chicks!$G:$G,A181,Chicks!$I:$I,"No"))</f>
        <v/>
      </c>
      <c r="J181" s="6" t="str">
        <f>IF(A181="","",IFERROR(AVERAGEIF(Chicks!$G:$G,A181,Chicks!$M:$M),""))</f>
        <v/>
      </c>
      <c r="K181" s="6" t="str">
        <f>IF(A181="","",SUMIFS(Chicks!$N:$N,Chicks!$G:$G,A181))</f>
        <v/>
      </c>
      <c r="L181" s="6" t="str">
        <f>IF(A181="","",SUMIFS(Chicks!$O:$O,Chicks!$G:$G,A181))</f>
        <v/>
      </c>
      <c r="M181" s="6" t="str">
        <f>IF(A181="","",SUMIFS(Chicks!$P:$P,Chicks!$G:$G,A181))</f>
        <v/>
      </c>
      <c r="N181" s="6" t="str">
        <f t="shared" si="0"/>
        <v/>
      </c>
    </row>
    <row r="182" spans="1:14" ht="14.25" customHeight="1" x14ac:dyDescent="0.3">
      <c r="A182" s="4"/>
      <c r="B182" s="4"/>
      <c r="C182" s="4"/>
      <c r="D182" s="4"/>
      <c r="E182" s="4"/>
      <c r="F182" s="6" t="str">
        <f>IF(A182="","",COUNTIF(Chicks!$G:$G,A182))</f>
        <v/>
      </c>
      <c r="G182" s="6" t="str">
        <f>IF(A182="","",COUNTIFS(Chicks!$G:$G,A182,Chicks!$I:$I,"Yes"))</f>
        <v/>
      </c>
      <c r="H182" s="6" t="str">
        <f>IF(A182="","",SUMIFS(Chicks!$J:$J,Chicks!$G:$G,A182))</f>
        <v/>
      </c>
      <c r="I182" s="6" t="str">
        <f>IF(A182="","",COUNTIFS(Chicks!$G:$G,A182,Chicks!$I:$I,"No"))</f>
        <v/>
      </c>
      <c r="J182" s="6" t="str">
        <f>IF(A182="","",IFERROR(AVERAGEIF(Chicks!$G:$G,A182,Chicks!$M:$M),""))</f>
        <v/>
      </c>
      <c r="K182" s="6" t="str">
        <f>IF(A182="","",SUMIFS(Chicks!$N:$N,Chicks!$G:$G,A182))</f>
        <v/>
      </c>
      <c r="L182" s="6" t="str">
        <f>IF(A182="","",SUMIFS(Chicks!$O:$O,Chicks!$G:$G,A182))</f>
        <v/>
      </c>
      <c r="M182" s="6" t="str">
        <f>IF(A182="","",SUMIFS(Chicks!$P:$P,Chicks!$G:$G,A182))</f>
        <v/>
      </c>
      <c r="N182" s="6" t="str">
        <f t="shared" si="0"/>
        <v/>
      </c>
    </row>
    <row r="183" spans="1:14" ht="14.25" customHeight="1" x14ac:dyDescent="0.3">
      <c r="A183" s="4"/>
      <c r="B183" s="4"/>
      <c r="C183" s="4"/>
      <c r="D183" s="4"/>
      <c r="E183" s="4"/>
      <c r="F183" s="6" t="str">
        <f>IF(A183="","",COUNTIF(Chicks!$G:$G,A183))</f>
        <v/>
      </c>
      <c r="G183" s="6" t="str">
        <f>IF(A183="","",COUNTIFS(Chicks!$G:$G,A183,Chicks!$I:$I,"Yes"))</f>
        <v/>
      </c>
      <c r="H183" s="6" t="str">
        <f>IF(A183="","",SUMIFS(Chicks!$J:$J,Chicks!$G:$G,A183))</f>
        <v/>
      </c>
      <c r="I183" s="6" t="str">
        <f>IF(A183="","",COUNTIFS(Chicks!$G:$G,A183,Chicks!$I:$I,"No"))</f>
        <v/>
      </c>
      <c r="J183" s="6" t="str">
        <f>IF(A183="","",IFERROR(AVERAGEIF(Chicks!$G:$G,A183,Chicks!$M:$M),""))</f>
        <v/>
      </c>
      <c r="K183" s="6" t="str">
        <f>IF(A183="","",SUMIFS(Chicks!$N:$N,Chicks!$G:$G,A183))</f>
        <v/>
      </c>
      <c r="L183" s="6" t="str">
        <f>IF(A183="","",SUMIFS(Chicks!$O:$O,Chicks!$G:$G,A183))</f>
        <v/>
      </c>
      <c r="M183" s="6" t="str">
        <f>IF(A183="","",SUMIFS(Chicks!$P:$P,Chicks!$G:$G,A183))</f>
        <v/>
      </c>
      <c r="N183" s="6" t="str">
        <f t="shared" si="0"/>
        <v/>
      </c>
    </row>
    <row r="184" spans="1:14" ht="14.25" customHeight="1" x14ac:dyDescent="0.3">
      <c r="A184" s="4"/>
      <c r="B184" s="4"/>
      <c r="C184" s="4"/>
      <c r="D184" s="4"/>
      <c r="E184" s="4"/>
      <c r="F184" s="6" t="str">
        <f>IF(A184="","",COUNTIF(Chicks!$G:$G,A184))</f>
        <v/>
      </c>
      <c r="G184" s="6" t="str">
        <f>IF(A184="","",COUNTIFS(Chicks!$G:$G,A184,Chicks!$I:$I,"Yes"))</f>
        <v/>
      </c>
      <c r="H184" s="6" t="str">
        <f>IF(A184="","",SUMIFS(Chicks!$J:$J,Chicks!$G:$G,A184))</f>
        <v/>
      </c>
      <c r="I184" s="6" t="str">
        <f>IF(A184="","",COUNTIFS(Chicks!$G:$G,A184,Chicks!$I:$I,"No"))</f>
        <v/>
      </c>
      <c r="J184" s="6" t="str">
        <f>IF(A184="","",IFERROR(AVERAGEIF(Chicks!$G:$G,A184,Chicks!$M:$M),""))</f>
        <v/>
      </c>
      <c r="K184" s="6" t="str">
        <f>IF(A184="","",SUMIFS(Chicks!$N:$N,Chicks!$G:$G,A184))</f>
        <v/>
      </c>
      <c r="L184" s="6" t="str">
        <f>IF(A184="","",SUMIFS(Chicks!$O:$O,Chicks!$G:$G,A184))</f>
        <v/>
      </c>
      <c r="M184" s="6" t="str">
        <f>IF(A184="","",SUMIFS(Chicks!$P:$P,Chicks!$G:$G,A184))</f>
        <v/>
      </c>
      <c r="N184" s="6" t="str">
        <f t="shared" si="0"/>
        <v/>
      </c>
    </row>
    <row r="185" spans="1:14" ht="14.25" customHeight="1" x14ac:dyDescent="0.3">
      <c r="A185" s="4"/>
      <c r="B185" s="4"/>
      <c r="C185" s="4"/>
      <c r="D185" s="4"/>
      <c r="E185" s="4"/>
      <c r="F185" s="6" t="str">
        <f>IF(A185="","",COUNTIF(Chicks!$G:$G,A185))</f>
        <v/>
      </c>
      <c r="G185" s="6" t="str">
        <f>IF(A185="","",COUNTIFS(Chicks!$G:$G,A185,Chicks!$I:$I,"Yes"))</f>
        <v/>
      </c>
      <c r="H185" s="6" t="str">
        <f>IF(A185="","",SUMIFS(Chicks!$J:$J,Chicks!$G:$G,A185))</f>
        <v/>
      </c>
      <c r="I185" s="6" t="str">
        <f>IF(A185="","",COUNTIFS(Chicks!$G:$G,A185,Chicks!$I:$I,"No"))</f>
        <v/>
      </c>
      <c r="J185" s="6" t="str">
        <f>IF(A185="","",IFERROR(AVERAGEIF(Chicks!$G:$G,A185,Chicks!$M:$M),""))</f>
        <v/>
      </c>
      <c r="K185" s="6" t="str">
        <f>IF(A185="","",SUMIFS(Chicks!$N:$N,Chicks!$G:$G,A185))</f>
        <v/>
      </c>
      <c r="L185" s="6" t="str">
        <f>IF(A185="","",SUMIFS(Chicks!$O:$O,Chicks!$G:$G,A185))</f>
        <v/>
      </c>
      <c r="M185" s="6" t="str">
        <f>IF(A185="","",SUMIFS(Chicks!$P:$P,Chicks!$G:$G,A185))</f>
        <v/>
      </c>
      <c r="N185" s="6" t="str">
        <f t="shared" si="0"/>
        <v/>
      </c>
    </row>
    <row r="186" spans="1:14" ht="14.25" customHeight="1" x14ac:dyDescent="0.3">
      <c r="A186" s="4"/>
      <c r="B186" s="4"/>
      <c r="C186" s="4"/>
      <c r="D186" s="4"/>
      <c r="E186" s="4"/>
      <c r="F186" s="6" t="str">
        <f>IF(A186="","",COUNTIF(Chicks!$G:$G,A186))</f>
        <v/>
      </c>
      <c r="G186" s="6" t="str">
        <f>IF(A186="","",COUNTIFS(Chicks!$G:$G,A186,Chicks!$I:$I,"Yes"))</f>
        <v/>
      </c>
      <c r="H186" s="6" t="str">
        <f>IF(A186="","",SUMIFS(Chicks!$J:$J,Chicks!$G:$G,A186))</f>
        <v/>
      </c>
      <c r="I186" s="6" t="str">
        <f>IF(A186="","",COUNTIFS(Chicks!$G:$G,A186,Chicks!$I:$I,"No"))</f>
        <v/>
      </c>
      <c r="J186" s="6" t="str">
        <f>IF(A186="","",IFERROR(AVERAGEIF(Chicks!$G:$G,A186,Chicks!$M:$M),""))</f>
        <v/>
      </c>
      <c r="K186" s="6" t="str">
        <f>IF(A186="","",SUMIFS(Chicks!$N:$N,Chicks!$G:$G,A186))</f>
        <v/>
      </c>
      <c r="L186" s="6" t="str">
        <f>IF(A186="","",SUMIFS(Chicks!$O:$O,Chicks!$G:$G,A186))</f>
        <v/>
      </c>
      <c r="M186" s="6" t="str">
        <f>IF(A186="","",SUMIFS(Chicks!$P:$P,Chicks!$G:$G,A186))</f>
        <v/>
      </c>
      <c r="N186" s="6" t="str">
        <f t="shared" si="0"/>
        <v/>
      </c>
    </row>
    <row r="187" spans="1:14" ht="14.25" customHeight="1" x14ac:dyDescent="0.3">
      <c r="A187" s="4"/>
      <c r="B187" s="4"/>
      <c r="C187" s="4"/>
      <c r="D187" s="4"/>
      <c r="E187" s="4"/>
      <c r="F187" s="6" t="str">
        <f>IF(A187="","",COUNTIF(Chicks!$G:$G,A187))</f>
        <v/>
      </c>
      <c r="G187" s="6" t="str">
        <f>IF(A187="","",COUNTIFS(Chicks!$G:$G,A187,Chicks!$I:$I,"Yes"))</f>
        <v/>
      </c>
      <c r="H187" s="6" t="str">
        <f>IF(A187="","",SUMIFS(Chicks!$J:$J,Chicks!$G:$G,A187))</f>
        <v/>
      </c>
      <c r="I187" s="6" t="str">
        <f>IF(A187="","",COUNTIFS(Chicks!$G:$G,A187,Chicks!$I:$I,"No"))</f>
        <v/>
      </c>
      <c r="J187" s="6" t="str">
        <f>IF(A187="","",IFERROR(AVERAGEIF(Chicks!$G:$G,A187,Chicks!$M:$M),""))</f>
        <v/>
      </c>
      <c r="K187" s="6" t="str">
        <f>IF(A187="","",SUMIFS(Chicks!$N:$N,Chicks!$G:$G,A187))</f>
        <v/>
      </c>
      <c r="L187" s="6" t="str">
        <f>IF(A187="","",SUMIFS(Chicks!$O:$O,Chicks!$G:$G,A187))</f>
        <v/>
      </c>
      <c r="M187" s="6" t="str">
        <f>IF(A187="","",SUMIFS(Chicks!$P:$P,Chicks!$G:$G,A187))</f>
        <v/>
      </c>
      <c r="N187" s="6" t="str">
        <f t="shared" si="0"/>
        <v/>
      </c>
    </row>
    <row r="188" spans="1:14" ht="14.25" customHeight="1" x14ac:dyDescent="0.3">
      <c r="A188" s="4"/>
      <c r="B188" s="4"/>
      <c r="C188" s="4"/>
      <c r="D188" s="4"/>
      <c r="E188" s="4"/>
      <c r="F188" s="6" t="str">
        <f>IF(A188="","",COUNTIF(Chicks!$G:$G,A188))</f>
        <v/>
      </c>
      <c r="G188" s="6" t="str">
        <f>IF(A188="","",COUNTIFS(Chicks!$G:$G,A188,Chicks!$I:$I,"Yes"))</f>
        <v/>
      </c>
      <c r="H188" s="6" t="str">
        <f>IF(A188="","",SUMIFS(Chicks!$J:$J,Chicks!$G:$G,A188))</f>
        <v/>
      </c>
      <c r="I188" s="6" t="str">
        <f>IF(A188="","",COUNTIFS(Chicks!$G:$G,A188,Chicks!$I:$I,"No"))</f>
        <v/>
      </c>
      <c r="J188" s="6" t="str">
        <f>IF(A188="","",IFERROR(AVERAGEIF(Chicks!$G:$G,A188,Chicks!$M:$M),""))</f>
        <v/>
      </c>
      <c r="K188" s="6" t="str">
        <f>IF(A188="","",SUMIFS(Chicks!$N:$N,Chicks!$G:$G,A188))</f>
        <v/>
      </c>
      <c r="L188" s="6" t="str">
        <f>IF(A188="","",SUMIFS(Chicks!$O:$O,Chicks!$G:$G,A188))</f>
        <v/>
      </c>
      <c r="M188" s="6" t="str">
        <f>IF(A188="","",SUMIFS(Chicks!$P:$P,Chicks!$G:$G,A188))</f>
        <v/>
      </c>
      <c r="N188" s="6" t="str">
        <f t="shared" si="0"/>
        <v/>
      </c>
    </row>
    <row r="189" spans="1:14" ht="14.25" customHeight="1" x14ac:dyDescent="0.3">
      <c r="A189" s="4"/>
      <c r="B189" s="4"/>
      <c r="C189" s="4"/>
      <c r="D189" s="4"/>
      <c r="E189" s="4"/>
      <c r="F189" s="6" t="str">
        <f>IF(A189="","",COUNTIF(Chicks!$G:$G,A189))</f>
        <v/>
      </c>
      <c r="G189" s="6" t="str">
        <f>IF(A189="","",COUNTIFS(Chicks!$G:$G,A189,Chicks!$I:$I,"Yes"))</f>
        <v/>
      </c>
      <c r="H189" s="6" t="str">
        <f>IF(A189="","",SUMIFS(Chicks!$J:$J,Chicks!$G:$G,A189))</f>
        <v/>
      </c>
      <c r="I189" s="6" t="str">
        <f>IF(A189="","",COUNTIFS(Chicks!$G:$G,A189,Chicks!$I:$I,"No"))</f>
        <v/>
      </c>
      <c r="J189" s="6" t="str">
        <f>IF(A189="","",IFERROR(AVERAGEIF(Chicks!$G:$G,A189,Chicks!$M:$M),""))</f>
        <v/>
      </c>
      <c r="K189" s="6" t="str">
        <f>IF(A189="","",SUMIFS(Chicks!$N:$N,Chicks!$G:$G,A189))</f>
        <v/>
      </c>
      <c r="L189" s="6" t="str">
        <f>IF(A189="","",SUMIFS(Chicks!$O:$O,Chicks!$G:$G,A189))</f>
        <v/>
      </c>
      <c r="M189" s="6" t="str">
        <f>IF(A189="","",SUMIFS(Chicks!$P:$P,Chicks!$G:$G,A189))</f>
        <v/>
      </c>
      <c r="N189" s="6" t="str">
        <f t="shared" si="0"/>
        <v/>
      </c>
    </row>
    <row r="190" spans="1:14" ht="14.25" customHeight="1" x14ac:dyDescent="0.3">
      <c r="A190" s="4"/>
      <c r="B190" s="4"/>
      <c r="C190" s="4"/>
      <c r="D190" s="4"/>
      <c r="E190" s="4"/>
      <c r="F190" s="6" t="str">
        <f>IF(A190="","",COUNTIF(Chicks!$G:$G,A190))</f>
        <v/>
      </c>
      <c r="G190" s="6" t="str">
        <f>IF(A190="","",COUNTIFS(Chicks!$G:$G,A190,Chicks!$I:$I,"Yes"))</f>
        <v/>
      </c>
      <c r="H190" s="6" t="str">
        <f>IF(A190="","",SUMIFS(Chicks!$J:$J,Chicks!$G:$G,A190))</f>
        <v/>
      </c>
      <c r="I190" s="6" t="str">
        <f>IF(A190="","",COUNTIFS(Chicks!$G:$G,A190,Chicks!$I:$I,"No"))</f>
        <v/>
      </c>
      <c r="J190" s="6" t="str">
        <f>IF(A190="","",IFERROR(AVERAGEIF(Chicks!$G:$G,A190,Chicks!$M:$M),""))</f>
        <v/>
      </c>
      <c r="K190" s="6" t="str">
        <f>IF(A190="","",SUMIFS(Chicks!$N:$N,Chicks!$G:$G,A190))</f>
        <v/>
      </c>
      <c r="L190" s="6" t="str">
        <f>IF(A190="","",SUMIFS(Chicks!$O:$O,Chicks!$G:$G,A190))</f>
        <v/>
      </c>
      <c r="M190" s="6" t="str">
        <f>IF(A190="","",SUMIFS(Chicks!$P:$P,Chicks!$G:$G,A190))</f>
        <v/>
      </c>
      <c r="N190" s="6" t="str">
        <f t="shared" si="0"/>
        <v/>
      </c>
    </row>
    <row r="191" spans="1:14" ht="14.25" customHeight="1" x14ac:dyDescent="0.3">
      <c r="A191" s="4"/>
      <c r="B191" s="4"/>
      <c r="C191" s="4"/>
      <c r="D191" s="4"/>
      <c r="E191" s="4"/>
      <c r="F191" s="6" t="str">
        <f>IF(A191="","",COUNTIF(Chicks!$G:$G,A191))</f>
        <v/>
      </c>
      <c r="G191" s="6" t="str">
        <f>IF(A191="","",COUNTIFS(Chicks!$G:$G,A191,Chicks!$I:$I,"Yes"))</f>
        <v/>
      </c>
      <c r="H191" s="6" t="str">
        <f>IF(A191="","",SUMIFS(Chicks!$J:$J,Chicks!$G:$G,A191))</f>
        <v/>
      </c>
      <c r="I191" s="6" t="str">
        <f>IF(A191="","",COUNTIFS(Chicks!$G:$G,A191,Chicks!$I:$I,"No"))</f>
        <v/>
      </c>
      <c r="J191" s="6" t="str">
        <f>IF(A191="","",IFERROR(AVERAGEIF(Chicks!$G:$G,A191,Chicks!$M:$M),""))</f>
        <v/>
      </c>
      <c r="K191" s="6" t="str">
        <f>IF(A191="","",SUMIFS(Chicks!$N:$N,Chicks!$G:$G,A191))</f>
        <v/>
      </c>
      <c r="L191" s="6" t="str">
        <f>IF(A191="","",SUMIFS(Chicks!$O:$O,Chicks!$G:$G,A191))</f>
        <v/>
      </c>
      <c r="M191" s="6" t="str">
        <f>IF(A191="","",SUMIFS(Chicks!$P:$P,Chicks!$G:$G,A191))</f>
        <v/>
      </c>
      <c r="N191" s="6" t="str">
        <f t="shared" si="0"/>
        <v/>
      </c>
    </row>
    <row r="192" spans="1:14" ht="14.25" customHeight="1" x14ac:dyDescent="0.3">
      <c r="A192" s="4"/>
      <c r="B192" s="4"/>
      <c r="C192" s="4"/>
      <c r="D192" s="4"/>
      <c r="E192" s="4"/>
      <c r="F192" s="6" t="str">
        <f>IF(A192="","",COUNTIF(Chicks!$G:$G,A192))</f>
        <v/>
      </c>
      <c r="G192" s="6" t="str">
        <f>IF(A192="","",COUNTIFS(Chicks!$G:$G,A192,Chicks!$I:$I,"Yes"))</f>
        <v/>
      </c>
      <c r="H192" s="6" t="str">
        <f>IF(A192="","",SUMIFS(Chicks!$J:$J,Chicks!$G:$G,A192))</f>
        <v/>
      </c>
      <c r="I192" s="6" t="str">
        <f>IF(A192="","",COUNTIFS(Chicks!$G:$G,A192,Chicks!$I:$I,"No"))</f>
        <v/>
      </c>
      <c r="J192" s="6" t="str">
        <f>IF(A192="","",IFERROR(AVERAGEIF(Chicks!$G:$G,A192,Chicks!$M:$M),""))</f>
        <v/>
      </c>
      <c r="K192" s="6" t="str">
        <f>IF(A192="","",SUMIFS(Chicks!$N:$N,Chicks!$G:$G,A192))</f>
        <v/>
      </c>
      <c r="L192" s="6" t="str">
        <f>IF(A192="","",SUMIFS(Chicks!$O:$O,Chicks!$G:$G,A192))</f>
        <v/>
      </c>
      <c r="M192" s="6" t="str">
        <f>IF(A192="","",SUMIFS(Chicks!$P:$P,Chicks!$G:$G,A192))</f>
        <v/>
      </c>
      <c r="N192" s="6" t="str">
        <f t="shared" si="0"/>
        <v/>
      </c>
    </row>
    <row r="193" spans="1:14" ht="14.25" customHeight="1" x14ac:dyDescent="0.3">
      <c r="A193" s="4"/>
      <c r="B193" s="4"/>
      <c r="C193" s="4"/>
      <c r="D193" s="4"/>
      <c r="E193" s="4"/>
      <c r="F193" s="6" t="str">
        <f>IF(A193="","",COUNTIF(Chicks!$G:$G,A193))</f>
        <v/>
      </c>
      <c r="G193" s="6" t="str">
        <f>IF(A193="","",COUNTIFS(Chicks!$G:$G,A193,Chicks!$I:$I,"Yes"))</f>
        <v/>
      </c>
      <c r="H193" s="6" t="str">
        <f>IF(A193="","",SUMIFS(Chicks!$J:$J,Chicks!$G:$G,A193))</f>
        <v/>
      </c>
      <c r="I193" s="6" t="str">
        <f>IF(A193="","",COUNTIFS(Chicks!$G:$G,A193,Chicks!$I:$I,"No"))</f>
        <v/>
      </c>
      <c r="J193" s="6" t="str">
        <f>IF(A193="","",IFERROR(AVERAGEIF(Chicks!$G:$G,A193,Chicks!$M:$M),""))</f>
        <v/>
      </c>
      <c r="K193" s="6" t="str">
        <f>IF(A193="","",SUMIFS(Chicks!$N:$N,Chicks!$G:$G,A193))</f>
        <v/>
      </c>
      <c r="L193" s="6" t="str">
        <f>IF(A193="","",SUMIFS(Chicks!$O:$O,Chicks!$G:$G,A193))</f>
        <v/>
      </c>
      <c r="M193" s="6" t="str">
        <f>IF(A193="","",SUMIFS(Chicks!$P:$P,Chicks!$G:$G,A193))</f>
        <v/>
      </c>
      <c r="N193" s="6" t="str">
        <f t="shared" si="0"/>
        <v/>
      </c>
    </row>
    <row r="194" spans="1:14" ht="14.25" customHeight="1" x14ac:dyDescent="0.3">
      <c r="A194" s="4"/>
      <c r="B194" s="4"/>
      <c r="C194" s="4"/>
      <c r="D194" s="4"/>
      <c r="E194" s="4"/>
      <c r="F194" s="6" t="str">
        <f>IF(A194="","",COUNTIF(Chicks!$G:$G,A194))</f>
        <v/>
      </c>
      <c r="G194" s="6" t="str">
        <f>IF(A194="","",COUNTIFS(Chicks!$G:$G,A194,Chicks!$I:$I,"Yes"))</f>
        <v/>
      </c>
      <c r="H194" s="6" t="str">
        <f>IF(A194="","",SUMIFS(Chicks!$J:$J,Chicks!$G:$G,A194))</f>
        <v/>
      </c>
      <c r="I194" s="6" t="str">
        <f>IF(A194="","",COUNTIFS(Chicks!$G:$G,A194,Chicks!$I:$I,"No"))</f>
        <v/>
      </c>
      <c r="J194" s="6" t="str">
        <f>IF(A194="","",IFERROR(AVERAGEIF(Chicks!$G:$G,A194,Chicks!$M:$M),""))</f>
        <v/>
      </c>
      <c r="K194" s="6" t="str">
        <f>IF(A194="","",SUMIFS(Chicks!$N:$N,Chicks!$G:$G,A194))</f>
        <v/>
      </c>
      <c r="L194" s="6" t="str">
        <f>IF(A194="","",SUMIFS(Chicks!$O:$O,Chicks!$G:$G,A194))</f>
        <v/>
      </c>
      <c r="M194" s="6" t="str">
        <f>IF(A194="","",SUMIFS(Chicks!$P:$P,Chicks!$G:$G,A194))</f>
        <v/>
      </c>
      <c r="N194" s="6" t="str">
        <f t="shared" si="0"/>
        <v/>
      </c>
    </row>
    <row r="195" spans="1:14" ht="14.25" customHeight="1" x14ac:dyDescent="0.3">
      <c r="A195" s="4"/>
      <c r="B195" s="4"/>
      <c r="C195" s="4"/>
      <c r="D195" s="4"/>
      <c r="E195" s="4"/>
      <c r="F195" s="6" t="str">
        <f>IF(A195="","",COUNTIF(Chicks!$G:$G,A195))</f>
        <v/>
      </c>
      <c r="G195" s="6" t="str">
        <f>IF(A195="","",COUNTIFS(Chicks!$G:$G,A195,Chicks!$I:$I,"Yes"))</f>
        <v/>
      </c>
      <c r="H195" s="6" t="str">
        <f>IF(A195="","",SUMIFS(Chicks!$J:$J,Chicks!$G:$G,A195))</f>
        <v/>
      </c>
      <c r="I195" s="6" t="str">
        <f>IF(A195="","",COUNTIFS(Chicks!$G:$G,A195,Chicks!$I:$I,"No"))</f>
        <v/>
      </c>
      <c r="J195" s="6" t="str">
        <f>IF(A195="","",IFERROR(AVERAGEIF(Chicks!$G:$G,A195,Chicks!$M:$M),""))</f>
        <v/>
      </c>
      <c r="K195" s="6" t="str">
        <f>IF(A195="","",SUMIFS(Chicks!$N:$N,Chicks!$G:$G,A195))</f>
        <v/>
      </c>
      <c r="L195" s="6" t="str">
        <f>IF(A195="","",SUMIFS(Chicks!$O:$O,Chicks!$G:$G,A195))</f>
        <v/>
      </c>
      <c r="M195" s="6" t="str">
        <f>IF(A195="","",SUMIFS(Chicks!$P:$P,Chicks!$G:$G,A195))</f>
        <v/>
      </c>
      <c r="N195" s="6" t="str">
        <f t="shared" si="0"/>
        <v/>
      </c>
    </row>
    <row r="196" spans="1:14" ht="14.25" customHeight="1" x14ac:dyDescent="0.3">
      <c r="A196" s="4"/>
      <c r="B196" s="4"/>
      <c r="C196" s="4"/>
      <c r="D196" s="4"/>
      <c r="E196" s="4"/>
      <c r="F196" s="6" t="str">
        <f>IF(A196="","",COUNTIF(Chicks!$G:$G,A196))</f>
        <v/>
      </c>
      <c r="G196" s="6" t="str">
        <f>IF(A196="","",COUNTIFS(Chicks!$G:$G,A196,Chicks!$I:$I,"Yes"))</f>
        <v/>
      </c>
      <c r="H196" s="6" t="str">
        <f>IF(A196="","",SUMIFS(Chicks!$J:$J,Chicks!$G:$G,A196))</f>
        <v/>
      </c>
      <c r="I196" s="6" t="str">
        <f>IF(A196="","",COUNTIFS(Chicks!$G:$G,A196,Chicks!$I:$I,"No"))</f>
        <v/>
      </c>
      <c r="J196" s="6" t="str">
        <f>IF(A196="","",IFERROR(AVERAGEIF(Chicks!$G:$G,A196,Chicks!$M:$M),""))</f>
        <v/>
      </c>
      <c r="K196" s="6" t="str">
        <f>IF(A196="","",SUMIFS(Chicks!$N:$N,Chicks!$G:$G,A196))</f>
        <v/>
      </c>
      <c r="L196" s="6" t="str">
        <f>IF(A196="","",SUMIFS(Chicks!$O:$O,Chicks!$G:$G,A196))</f>
        <v/>
      </c>
      <c r="M196" s="6" t="str">
        <f>IF(A196="","",SUMIFS(Chicks!$P:$P,Chicks!$G:$G,A196))</f>
        <v/>
      </c>
      <c r="N196" s="6" t="str">
        <f t="shared" si="0"/>
        <v/>
      </c>
    </row>
    <row r="197" spans="1:14" ht="14.25" customHeight="1" x14ac:dyDescent="0.3">
      <c r="A197" s="4"/>
      <c r="B197" s="4"/>
      <c r="C197" s="4"/>
      <c r="D197" s="4"/>
      <c r="E197" s="4"/>
      <c r="F197" s="6" t="str">
        <f>IF(A197="","",COUNTIF(Chicks!$G:$G,A197))</f>
        <v/>
      </c>
      <c r="G197" s="6" t="str">
        <f>IF(A197="","",COUNTIFS(Chicks!$G:$G,A197,Chicks!$I:$I,"Yes"))</f>
        <v/>
      </c>
      <c r="H197" s="6" t="str">
        <f>IF(A197="","",SUMIFS(Chicks!$J:$J,Chicks!$G:$G,A197))</f>
        <v/>
      </c>
      <c r="I197" s="6" t="str">
        <f>IF(A197="","",COUNTIFS(Chicks!$G:$G,A197,Chicks!$I:$I,"No"))</f>
        <v/>
      </c>
      <c r="J197" s="6" t="str">
        <f>IF(A197="","",IFERROR(AVERAGEIF(Chicks!$G:$G,A197,Chicks!$M:$M),""))</f>
        <v/>
      </c>
      <c r="K197" s="6" t="str">
        <f>IF(A197="","",SUMIFS(Chicks!$N:$N,Chicks!$G:$G,A197))</f>
        <v/>
      </c>
      <c r="L197" s="6" t="str">
        <f>IF(A197="","",SUMIFS(Chicks!$O:$O,Chicks!$G:$G,A197))</f>
        <v/>
      </c>
      <c r="M197" s="6" t="str">
        <f>IF(A197="","",SUMIFS(Chicks!$P:$P,Chicks!$G:$G,A197))</f>
        <v/>
      </c>
      <c r="N197" s="6" t="str">
        <f t="shared" si="0"/>
        <v/>
      </c>
    </row>
    <row r="198" spans="1:14" ht="14.25" customHeight="1" x14ac:dyDescent="0.3">
      <c r="A198" s="4"/>
      <c r="B198" s="4"/>
      <c r="C198" s="4"/>
      <c r="D198" s="4"/>
      <c r="E198" s="4"/>
      <c r="F198" s="6" t="str">
        <f>IF(A198="","",COUNTIF(Chicks!$G:$G,A198))</f>
        <v/>
      </c>
      <c r="G198" s="6" t="str">
        <f>IF(A198="","",COUNTIFS(Chicks!$G:$G,A198,Chicks!$I:$I,"Yes"))</f>
        <v/>
      </c>
      <c r="H198" s="6" t="str">
        <f>IF(A198="","",SUMIFS(Chicks!$J:$J,Chicks!$G:$G,A198))</f>
        <v/>
      </c>
      <c r="I198" s="6" t="str">
        <f>IF(A198="","",COUNTIFS(Chicks!$G:$G,A198,Chicks!$I:$I,"No"))</f>
        <v/>
      </c>
      <c r="J198" s="6" t="str">
        <f>IF(A198="","",IFERROR(AVERAGEIF(Chicks!$G:$G,A198,Chicks!$M:$M),""))</f>
        <v/>
      </c>
      <c r="K198" s="6" t="str">
        <f>IF(A198="","",SUMIFS(Chicks!$N:$N,Chicks!$G:$G,A198))</f>
        <v/>
      </c>
      <c r="L198" s="6" t="str">
        <f>IF(A198="","",SUMIFS(Chicks!$O:$O,Chicks!$G:$G,A198))</f>
        <v/>
      </c>
      <c r="M198" s="6" t="str">
        <f>IF(A198="","",SUMIFS(Chicks!$P:$P,Chicks!$G:$G,A198))</f>
        <v/>
      </c>
      <c r="N198" s="6" t="str">
        <f t="shared" si="0"/>
        <v/>
      </c>
    </row>
    <row r="199" spans="1:14" ht="14.25" customHeight="1" x14ac:dyDescent="0.3">
      <c r="A199" s="4"/>
      <c r="B199" s="4"/>
      <c r="C199" s="4"/>
      <c r="D199" s="4"/>
      <c r="E199" s="4"/>
      <c r="F199" s="6" t="str">
        <f>IF(A199="","",COUNTIF(Chicks!$G:$G,A199))</f>
        <v/>
      </c>
      <c r="G199" s="6" t="str">
        <f>IF(A199="","",COUNTIFS(Chicks!$G:$G,A199,Chicks!$I:$I,"Yes"))</f>
        <v/>
      </c>
      <c r="H199" s="6" t="str">
        <f>IF(A199="","",SUMIFS(Chicks!$J:$J,Chicks!$G:$G,A199))</f>
        <v/>
      </c>
      <c r="I199" s="6" t="str">
        <f>IF(A199="","",COUNTIFS(Chicks!$G:$G,A199,Chicks!$I:$I,"No"))</f>
        <v/>
      </c>
      <c r="J199" s="6" t="str">
        <f>IF(A199="","",IFERROR(AVERAGEIF(Chicks!$G:$G,A199,Chicks!$M:$M),""))</f>
        <v/>
      </c>
      <c r="K199" s="6" t="str">
        <f>IF(A199="","",SUMIFS(Chicks!$N:$N,Chicks!$G:$G,A199))</f>
        <v/>
      </c>
      <c r="L199" s="6" t="str">
        <f>IF(A199="","",SUMIFS(Chicks!$O:$O,Chicks!$G:$G,A199))</f>
        <v/>
      </c>
      <c r="M199" s="6" t="str">
        <f>IF(A199="","",SUMIFS(Chicks!$P:$P,Chicks!$G:$G,A199))</f>
        <v/>
      </c>
      <c r="N199" s="6" t="str">
        <f t="shared" si="0"/>
        <v/>
      </c>
    </row>
    <row r="200" spans="1:14" ht="14.25" customHeight="1" x14ac:dyDescent="0.3">
      <c r="A200" s="4"/>
      <c r="B200" s="4"/>
      <c r="C200" s="4"/>
      <c r="D200" s="4"/>
      <c r="E200" s="4"/>
      <c r="F200" s="6" t="str">
        <f>IF(A200="","",COUNTIF(Chicks!$G:$G,A200))</f>
        <v/>
      </c>
      <c r="G200" s="6" t="str">
        <f>IF(A200="","",COUNTIFS(Chicks!$G:$G,A200,Chicks!$I:$I,"Yes"))</f>
        <v/>
      </c>
      <c r="H200" s="6" t="str">
        <f>IF(A200="","",SUMIFS(Chicks!$J:$J,Chicks!$G:$G,A200))</f>
        <v/>
      </c>
      <c r="I200" s="6" t="str">
        <f>IF(A200="","",COUNTIFS(Chicks!$G:$G,A200,Chicks!$I:$I,"No"))</f>
        <v/>
      </c>
      <c r="J200" s="6" t="str">
        <f>IF(A200="","",IFERROR(AVERAGEIF(Chicks!$G:$G,A200,Chicks!$M:$M),""))</f>
        <v/>
      </c>
      <c r="K200" s="6" t="str">
        <f>IF(A200="","",SUMIFS(Chicks!$N:$N,Chicks!$G:$G,A200))</f>
        <v/>
      </c>
      <c r="L200" s="6" t="str">
        <f>IF(A200="","",SUMIFS(Chicks!$O:$O,Chicks!$G:$G,A200))</f>
        <v/>
      </c>
      <c r="M200" s="6" t="str">
        <f>IF(A200="","",SUMIFS(Chicks!$P:$P,Chicks!$G:$G,A200))</f>
        <v/>
      </c>
      <c r="N200" s="6" t="str">
        <f t="shared" si="0"/>
        <v/>
      </c>
    </row>
    <row r="201" spans="1:14" ht="14.25" customHeight="1" x14ac:dyDescent="0.3">
      <c r="A201" s="4"/>
      <c r="B201" s="4"/>
      <c r="C201" s="4"/>
      <c r="D201" s="4"/>
      <c r="E201" s="4"/>
      <c r="F201" s="6" t="str">
        <f>IF(A201="","",COUNTIF(Chicks!$G:$G,A201))</f>
        <v/>
      </c>
      <c r="G201" s="6" t="str">
        <f>IF(A201="","",COUNTIFS(Chicks!$G:$G,A201,Chicks!$I:$I,"Yes"))</f>
        <v/>
      </c>
      <c r="H201" s="6" t="str">
        <f>IF(A201="","",SUMIFS(Chicks!$J:$J,Chicks!$G:$G,A201))</f>
        <v/>
      </c>
      <c r="I201" s="6" t="str">
        <f>IF(A201="","",COUNTIFS(Chicks!$G:$G,A201,Chicks!$I:$I,"No"))</f>
        <v/>
      </c>
      <c r="J201" s="6" t="str">
        <f>IF(A201="","",IFERROR(AVERAGEIF(Chicks!$G:$G,A201,Chicks!$M:$M),""))</f>
        <v/>
      </c>
      <c r="K201" s="6" t="str">
        <f>IF(A201="","",SUMIFS(Chicks!$N:$N,Chicks!$G:$G,A201))</f>
        <v/>
      </c>
      <c r="L201" s="6" t="str">
        <f>IF(A201="","",SUMIFS(Chicks!$O:$O,Chicks!$G:$G,A201))</f>
        <v/>
      </c>
      <c r="M201" s="6" t="str">
        <f>IF(A201="","",SUMIFS(Chicks!$P:$P,Chicks!$G:$G,A201))</f>
        <v/>
      </c>
      <c r="N201" s="6" t="str">
        <f t="shared" si="0"/>
        <v/>
      </c>
    </row>
    <row r="202" spans="1:14" ht="14.25" customHeight="1" x14ac:dyDescent="0.3">
      <c r="A202" s="4"/>
      <c r="B202" s="4"/>
      <c r="C202" s="4"/>
      <c r="D202" s="4"/>
      <c r="E202" s="4"/>
      <c r="F202" s="6" t="str">
        <f>IF(A202="","",COUNTIF(Chicks!$G:$G,A202))</f>
        <v/>
      </c>
      <c r="G202" s="6" t="str">
        <f>IF(A202="","",COUNTIFS(Chicks!$G:$G,A202,Chicks!$I:$I,"Yes"))</f>
        <v/>
      </c>
      <c r="H202" s="6" t="str">
        <f>IF(A202="","",SUMIFS(Chicks!$J:$J,Chicks!$G:$G,A202))</f>
        <v/>
      </c>
      <c r="I202" s="6" t="str">
        <f>IF(A202="","",COUNTIFS(Chicks!$G:$G,A202,Chicks!$I:$I,"No"))</f>
        <v/>
      </c>
      <c r="J202" s="6" t="str">
        <f>IF(A202="","",IFERROR(AVERAGEIF(Chicks!$G:$G,A202,Chicks!$M:$M),""))</f>
        <v/>
      </c>
      <c r="K202" s="6" t="str">
        <f>IF(A202="","",SUMIFS(Chicks!$N:$N,Chicks!$G:$G,A202))</f>
        <v/>
      </c>
      <c r="L202" s="6" t="str">
        <f>IF(A202="","",SUMIFS(Chicks!$O:$O,Chicks!$G:$G,A202))</f>
        <v/>
      </c>
      <c r="M202" s="6" t="str">
        <f>IF(A202="","",SUMIFS(Chicks!$P:$P,Chicks!$G:$G,A202))</f>
        <v/>
      </c>
      <c r="N202" s="6" t="str">
        <f t="shared" si="0"/>
        <v/>
      </c>
    </row>
    <row r="203" spans="1:14" ht="14.25" customHeight="1" x14ac:dyDescent="0.3">
      <c r="A203" s="4"/>
      <c r="B203" s="4"/>
      <c r="C203" s="4"/>
      <c r="D203" s="4"/>
      <c r="E203" s="4"/>
      <c r="F203" s="6" t="str">
        <f>IF(A203="","",COUNTIF(Chicks!$G:$G,A203))</f>
        <v/>
      </c>
      <c r="G203" s="6" t="str">
        <f>IF(A203="","",COUNTIFS(Chicks!$G:$G,A203,Chicks!$I:$I,"Yes"))</f>
        <v/>
      </c>
      <c r="H203" s="6" t="str">
        <f>IF(A203="","",SUMIFS(Chicks!$J:$J,Chicks!$G:$G,A203))</f>
        <v/>
      </c>
      <c r="I203" s="6" t="str">
        <f>IF(A203="","",COUNTIFS(Chicks!$G:$G,A203,Chicks!$I:$I,"No"))</f>
        <v/>
      </c>
      <c r="J203" s="6" t="str">
        <f>IF(A203="","",IFERROR(AVERAGEIF(Chicks!$G:$G,A203,Chicks!$M:$M),""))</f>
        <v/>
      </c>
      <c r="K203" s="6" t="str">
        <f>IF(A203="","",SUMIFS(Chicks!$N:$N,Chicks!$G:$G,A203))</f>
        <v/>
      </c>
      <c r="L203" s="6" t="str">
        <f>IF(A203="","",SUMIFS(Chicks!$O:$O,Chicks!$G:$G,A203))</f>
        <v/>
      </c>
      <c r="M203" s="6" t="str">
        <f>IF(A203="","",SUMIFS(Chicks!$P:$P,Chicks!$G:$G,A203))</f>
        <v/>
      </c>
      <c r="N203" s="6" t="str">
        <f t="shared" si="0"/>
        <v/>
      </c>
    </row>
    <row r="204" spans="1:14" ht="14.25" customHeight="1" x14ac:dyDescent="0.3">
      <c r="A204" s="4"/>
      <c r="B204" s="4"/>
      <c r="C204" s="4"/>
      <c r="D204" s="4"/>
      <c r="E204" s="4"/>
      <c r="F204" s="6" t="str">
        <f>IF(A204="","",COUNTIF(Chicks!$G:$G,A204))</f>
        <v/>
      </c>
      <c r="G204" s="6" t="str">
        <f>IF(A204="","",COUNTIFS(Chicks!$G:$G,A204,Chicks!$I:$I,"Yes"))</f>
        <v/>
      </c>
      <c r="H204" s="6" t="str">
        <f>IF(A204="","",SUMIFS(Chicks!$J:$J,Chicks!$G:$G,A204))</f>
        <v/>
      </c>
      <c r="I204" s="6" t="str">
        <f>IF(A204="","",COUNTIFS(Chicks!$G:$G,A204,Chicks!$I:$I,"No"))</f>
        <v/>
      </c>
      <c r="J204" s="6" t="str">
        <f>IF(A204="","",IFERROR(AVERAGEIF(Chicks!$G:$G,A204,Chicks!$M:$M),""))</f>
        <v/>
      </c>
      <c r="K204" s="6" t="str">
        <f>IF(A204="","",SUMIFS(Chicks!$N:$N,Chicks!$G:$G,A204))</f>
        <v/>
      </c>
      <c r="L204" s="6" t="str">
        <f>IF(A204="","",SUMIFS(Chicks!$O:$O,Chicks!$G:$G,A204))</f>
        <v/>
      </c>
      <c r="M204" s="6" t="str">
        <f>IF(A204="","",SUMIFS(Chicks!$P:$P,Chicks!$G:$G,A204))</f>
        <v/>
      </c>
      <c r="N204" s="6" t="str">
        <f t="shared" si="0"/>
        <v/>
      </c>
    </row>
    <row r="205" spans="1:14" ht="14.25" customHeight="1" x14ac:dyDescent="0.3">
      <c r="A205" s="4"/>
      <c r="B205" s="4"/>
      <c r="C205" s="4"/>
      <c r="D205" s="4"/>
      <c r="E205" s="4"/>
      <c r="F205" s="6" t="str">
        <f>IF(A205="","",COUNTIF(Chicks!$G:$G,A205))</f>
        <v/>
      </c>
      <c r="G205" s="6" t="str">
        <f>IF(A205="","",COUNTIFS(Chicks!$G:$G,A205,Chicks!$I:$I,"Yes"))</f>
        <v/>
      </c>
      <c r="H205" s="6" t="str">
        <f>IF(A205="","",SUMIFS(Chicks!$J:$J,Chicks!$G:$G,A205))</f>
        <v/>
      </c>
      <c r="I205" s="6" t="str">
        <f>IF(A205="","",COUNTIFS(Chicks!$G:$G,A205,Chicks!$I:$I,"No"))</f>
        <v/>
      </c>
      <c r="J205" s="6" t="str">
        <f>IF(A205="","",IFERROR(AVERAGEIF(Chicks!$G:$G,A205,Chicks!$M:$M),""))</f>
        <v/>
      </c>
      <c r="K205" s="6" t="str">
        <f>IF(A205="","",SUMIFS(Chicks!$N:$N,Chicks!$G:$G,A205))</f>
        <v/>
      </c>
      <c r="L205" s="6" t="str">
        <f>IF(A205="","",SUMIFS(Chicks!$O:$O,Chicks!$G:$G,A205))</f>
        <v/>
      </c>
      <c r="M205" s="6" t="str">
        <f>IF(A205="","",SUMIFS(Chicks!$P:$P,Chicks!$G:$G,A205))</f>
        <v/>
      </c>
      <c r="N205" s="6" t="str">
        <f t="shared" si="0"/>
        <v/>
      </c>
    </row>
    <row r="206" spans="1:14" ht="14.25" customHeight="1" x14ac:dyDescent="0.3">
      <c r="A206" s="4"/>
      <c r="B206" s="4"/>
      <c r="C206" s="4"/>
      <c r="D206" s="4"/>
      <c r="E206" s="4"/>
      <c r="F206" s="6" t="str">
        <f>IF(A206="","",COUNTIF(Chicks!$G:$G,A206))</f>
        <v/>
      </c>
      <c r="G206" s="6" t="str">
        <f>IF(A206="","",COUNTIFS(Chicks!$G:$G,A206,Chicks!$I:$I,"Yes"))</f>
        <v/>
      </c>
      <c r="H206" s="6" t="str">
        <f>IF(A206="","",SUMIFS(Chicks!$J:$J,Chicks!$G:$G,A206))</f>
        <v/>
      </c>
      <c r="I206" s="6" t="str">
        <f>IF(A206="","",COUNTIFS(Chicks!$G:$G,A206,Chicks!$I:$I,"No"))</f>
        <v/>
      </c>
      <c r="J206" s="6" t="str">
        <f>IF(A206="","",IFERROR(AVERAGEIF(Chicks!$G:$G,A206,Chicks!$M:$M),""))</f>
        <v/>
      </c>
      <c r="K206" s="6" t="str">
        <f>IF(A206="","",SUMIFS(Chicks!$N:$N,Chicks!$G:$G,A206))</f>
        <v/>
      </c>
      <c r="L206" s="6" t="str">
        <f>IF(A206="","",SUMIFS(Chicks!$O:$O,Chicks!$G:$G,A206))</f>
        <v/>
      </c>
      <c r="M206" s="6" t="str">
        <f>IF(A206="","",SUMIFS(Chicks!$P:$P,Chicks!$G:$G,A206))</f>
        <v/>
      </c>
      <c r="N206" s="6" t="str">
        <f t="shared" si="0"/>
        <v/>
      </c>
    </row>
    <row r="207" spans="1:14" ht="14.25" customHeight="1" x14ac:dyDescent="0.3">
      <c r="A207" s="4"/>
      <c r="B207" s="4"/>
      <c r="C207" s="4"/>
      <c r="D207" s="4"/>
      <c r="E207" s="4"/>
      <c r="F207" s="6" t="str">
        <f>IF(A207="","",COUNTIF(Chicks!$G:$G,A207))</f>
        <v/>
      </c>
      <c r="G207" s="6" t="str">
        <f>IF(A207="","",COUNTIFS(Chicks!$G:$G,A207,Chicks!$I:$I,"Yes"))</f>
        <v/>
      </c>
      <c r="H207" s="6" t="str">
        <f>IF(A207="","",SUMIFS(Chicks!$J:$J,Chicks!$G:$G,A207))</f>
        <v/>
      </c>
      <c r="I207" s="6" t="str">
        <f>IF(A207="","",COUNTIFS(Chicks!$G:$G,A207,Chicks!$I:$I,"No"))</f>
        <v/>
      </c>
      <c r="J207" s="6" t="str">
        <f>IF(A207="","",IFERROR(AVERAGEIF(Chicks!$G:$G,A207,Chicks!$M:$M),""))</f>
        <v/>
      </c>
      <c r="K207" s="6" t="str">
        <f>IF(A207="","",SUMIFS(Chicks!$N:$N,Chicks!$G:$G,A207))</f>
        <v/>
      </c>
      <c r="L207" s="6" t="str">
        <f>IF(A207="","",SUMIFS(Chicks!$O:$O,Chicks!$G:$G,A207))</f>
        <v/>
      </c>
      <c r="M207" s="6" t="str">
        <f>IF(A207="","",SUMIFS(Chicks!$P:$P,Chicks!$G:$G,A207))</f>
        <v/>
      </c>
      <c r="N207" s="6" t="str">
        <f t="shared" si="0"/>
        <v/>
      </c>
    </row>
    <row r="208" spans="1:14" ht="14.25" customHeight="1" x14ac:dyDescent="0.3">
      <c r="A208" s="4"/>
      <c r="B208" s="4"/>
      <c r="C208" s="4"/>
      <c r="D208" s="4"/>
      <c r="E208" s="4"/>
      <c r="F208" s="6" t="str">
        <f>IF(A208="","",COUNTIF(Chicks!$G:$G,A208))</f>
        <v/>
      </c>
      <c r="G208" s="6" t="str">
        <f>IF(A208="","",COUNTIFS(Chicks!$G:$G,A208,Chicks!$I:$I,"Yes"))</f>
        <v/>
      </c>
      <c r="H208" s="6" t="str">
        <f>IF(A208="","",SUMIFS(Chicks!$J:$J,Chicks!$G:$G,A208))</f>
        <v/>
      </c>
      <c r="I208" s="6" t="str">
        <f>IF(A208="","",COUNTIFS(Chicks!$G:$G,A208,Chicks!$I:$I,"No"))</f>
        <v/>
      </c>
      <c r="J208" s="6" t="str">
        <f>IF(A208="","",IFERROR(AVERAGEIF(Chicks!$G:$G,A208,Chicks!$M:$M),""))</f>
        <v/>
      </c>
      <c r="K208" s="6" t="str">
        <f>IF(A208="","",SUMIFS(Chicks!$N:$N,Chicks!$G:$G,A208))</f>
        <v/>
      </c>
      <c r="L208" s="6" t="str">
        <f>IF(A208="","",SUMIFS(Chicks!$O:$O,Chicks!$G:$G,A208))</f>
        <v/>
      </c>
      <c r="M208" s="6" t="str">
        <f>IF(A208="","",SUMIFS(Chicks!$P:$P,Chicks!$G:$G,A208))</f>
        <v/>
      </c>
      <c r="N208" s="6" t="str">
        <f t="shared" si="0"/>
        <v/>
      </c>
    </row>
    <row r="209" spans="1:14" ht="14.25" customHeight="1" x14ac:dyDescent="0.3">
      <c r="A209" s="4"/>
      <c r="B209" s="4"/>
      <c r="C209" s="4"/>
      <c r="D209" s="4"/>
      <c r="E209" s="4"/>
      <c r="F209" s="6" t="str">
        <f>IF(A209="","",COUNTIF(Chicks!$G:$G,A209))</f>
        <v/>
      </c>
      <c r="G209" s="6" t="str">
        <f>IF(A209="","",COUNTIFS(Chicks!$G:$G,A209,Chicks!$I:$I,"Yes"))</f>
        <v/>
      </c>
      <c r="H209" s="6" t="str">
        <f>IF(A209="","",SUMIFS(Chicks!$J:$J,Chicks!$G:$G,A209))</f>
        <v/>
      </c>
      <c r="I209" s="6" t="str">
        <f>IF(A209="","",COUNTIFS(Chicks!$G:$G,A209,Chicks!$I:$I,"No"))</f>
        <v/>
      </c>
      <c r="J209" s="6" t="str">
        <f>IF(A209="","",IFERROR(AVERAGEIF(Chicks!$G:$G,A209,Chicks!$M:$M),""))</f>
        <v/>
      </c>
      <c r="K209" s="6" t="str">
        <f>IF(A209="","",SUMIFS(Chicks!$N:$N,Chicks!$G:$G,A209))</f>
        <v/>
      </c>
      <c r="L209" s="6" t="str">
        <f>IF(A209="","",SUMIFS(Chicks!$O:$O,Chicks!$G:$G,A209))</f>
        <v/>
      </c>
      <c r="M209" s="6" t="str">
        <f>IF(A209="","",SUMIFS(Chicks!$P:$P,Chicks!$G:$G,A209))</f>
        <v/>
      </c>
      <c r="N209" s="6" t="str">
        <f t="shared" si="0"/>
        <v/>
      </c>
    </row>
    <row r="210" spans="1:14" ht="14.25" customHeight="1" x14ac:dyDescent="0.3">
      <c r="A210" s="4"/>
      <c r="B210" s="4"/>
      <c r="C210" s="4"/>
      <c r="D210" s="4"/>
      <c r="E210" s="4"/>
      <c r="F210" s="6" t="str">
        <f>IF(A210="","",COUNTIF(Chicks!$G:$G,A210))</f>
        <v/>
      </c>
      <c r="G210" s="6" t="str">
        <f>IF(A210="","",COUNTIFS(Chicks!$G:$G,A210,Chicks!$I:$I,"Yes"))</f>
        <v/>
      </c>
      <c r="H210" s="6" t="str">
        <f>IF(A210="","",SUMIFS(Chicks!$J:$J,Chicks!$G:$G,A210))</f>
        <v/>
      </c>
      <c r="I210" s="6" t="str">
        <f>IF(A210="","",COUNTIFS(Chicks!$G:$G,A210,Chicks!$I:$I,"No"))</f>
        <v/>
      </c>
      <c r="J210" s="6" t="str">
        <f>IF(A210="","",IFERROR(AVERAGEIF(Chicks!$G:$G,A210,Chicks!$M:$M),""))</f>
        <v/>
      </c>
      <c r="K210" s="6" t="str">
        <f>IF(A210="","",SUMIFS(Chicks!$N:$N,Chicks!$G:$G,A210))</f>
        <v/>
      </c>
      <c r="L210" s="6" t="str">
        <f>IF(A210="","",SUMIFS(Chicks!$O:$O,Chicks!$G:$G,A210))</f>
        <v/>
      </c>
      <c r="M210" s="6" t="str">
        <f>IF(A210="","",SUMIFS(Chicks!$P:$P,Chicks!$G:$G,A210))</f>
        <v/>
      </c>
      <c r="N210" s="6" t="str">
        <f t="shared" si="0"/>
        <v/>
      </c>
    </row>
    <row r="211" spans="1:14" ht="14.25" customHeight="1" x14ac:dyDescent="0.3">
      <c r="A211" s="4"/>
      <c r="B211" s="4"/>
      <c r="C211" s="4"/>
      <c r="D211" s="4"/>
      <c r="E211" s="4"/>
      <c r="F211" s="6" t="str">
        <f>IF(A211="","",COUNTIF(Chicks!$G:$G,A211))</f>
        <v/>
      </c>
      <c r="G211" s="6" t="str">
        <f>IF(A211="","",COUNTIFS(Chicks!$G:$G,A211,Chicks!$I:$I,"Yes"))</f>
        <v/>
      </c>
      <c r="H211" s="6" t="str">
        <f>IF(A211="","",SUMIFS(Chicks!$J:$J,Chicks!$G:$G,A211))</f>
        <v/>
      </c>
      <c r="I211" s="6" t="str">
        <f>IF(A211="","",COUNTIFS(Chicks!$G:$G,A211,Chicks!$I:$I,"No"))</f>
        <v/>
      </c>
      <c r="J211" s="6" t="str">
        <f>IF(A211="","",IFERROR(AVERAGEIF(Chicks!$G:$G,A211,Chicks!$M:$M),""))</f>
        <v/>
      </c>
      <c r="K211" s="6" t="str">
        <f>IF(A211="","",SUMIFS(Chicks!$N:$N,Chicks!$G:$G,A211))</f>
        <v/>
      </c>
      <c r="L211" s="6" t="str">
        <f>IF(A211="","",SUMIFS(Chicks!$O:$O,Chicks!$G:$G,A211))</f>
        <v/>
      </c>
      <c r="M211" s="6" t="str">
        <f>IF(A211="","",SUMIFS(Chicks!$P:$P,Chicks!$G:$G,A211))</f>
        <v/>
      </c>
      <c r="N211" s="6" t="str">
        <f t="shared" si="0"/>
        <v/>
      </c>
    </row>
    <row r="212" spans="1:14" ht="14.25" customHeight="1" x14ac:dyDescent="0.3">
      <c r="A212" s="4"/>
      <c r="B212" s="4"/>
      <c r="C212" s="4"/>
      <c r="D212" s="4"/>
      <c r="E212" s="4"/>
      <c r="F212" s="6" t="str">
        <f>IF(A212="","",COUNTIF(Chicks!$G:$G,A212))</f>
        <v/>
      </c>
      <c r="G212" s="6" t="str">
        <f>IF(A212="","",COUNTIFS(Chicks!$G:$G,A212,Chicks!$I:$I,"Yes"))</f>
        <v/>
      </c>
      <c r="H212" s="6" t="str">
        <f>IF(A212="","",SUMIFS(Chicks!$J:$J,Chicks!$G:$G,A212))</f>
        <v/>
      </c>
      <c r="I212" s="6" t="str">
        <f>IF(A212="","",COUNTIFS(Chicks!$G:$G,A212,Chicks!$I:$I,"No"))</f>
        <v/>
      </c>
      <c r="J212" s="6" t="str">
        <f>IF(A212="","",IFERROR(AVERAGEIF(Chicks!$G:$G,A212,Chicks!$M:$M),""))</f>
        <v/>
      </c>
      <c r="K212" s="6" t="str">
        <f>IF(A212="","",SUMIFS(Chicks!$N:$N,Chicks!$G:$G,A212))</f>
        <v/>
      </c>
      <c r="L212" s="6" t="str">
        <f>IF(A212="","",SUMIFS(Chicks!$O:$O,Chicks!$G:$G,A212))</f>
        <v/>
      </c>
      <c r="M212" s="6" t="str">
        <f>IF(A212="","",SUMIFS(Chicks!$P:$P,Chicks!$G:$G,A212))</f>
        <v/>
      </c>
      <c r="N212" s="6" t="str">
        <f t="shared" si="0"/>
        <v/>
      </c>
    </row>
    <row r="213" spans="1:14" ht="14.25" customHeight="1" x14ac:dyDescent="0.3">
      <c r="A213" s="4"/>
      <c r="B213" s="4"/>
      <c r="C213" s="4"/>
      <c r="D213" s="4"/>
      <c r="E213" s="4"/>
      <c r="F213" s="6" t="str">
        <f>IF(A213="","",COUNTIF(Chicks!$G:$G,A213))</f>
        <v/>
      </c>
      <c r="G213" s="6" t="str">
        <f>IF(A213="","",COUNTIFS(Chicks!$G:$G,A213,Chicks!$I:$I,"Yes"))</f>
        <v/>
      </c>
      <c r="H213" s="6" t="str">
        <f>IF(A213="","",SUMIFS(Chicks!$J:$J,Chicks!$G:$G,A213))</f>
        <v/>
      </c>
      <c r="I213" s="6" t="str">
        <f>IF(A213="","",COUNTIFS(Chicks!$G:$G,A213,Chicks!$I:$I,"No"))</f>
        <v/>
      </c>
      <c r="J213" s="6" t="str">
        <f>IF(A213="","",IFERROR(AVERAGEIF(Chicks!$G:$G,A213,Chicks!$M:$M),""))</f>
        <v/>
      </c>
      <c r="K213" s="6" t="str">
        <f>IF(A213="","",SUMIFS(Chicks!$N:$N,Chicks!$G:$G,A213))</f>
        <v/>
      </c>
      <c r="L213" s="6" t="str">
        <f>IF(A213="","",SUMIFS(Chicks!$O:$O,Chicks!$G:$G,A213))</f>
        <v/>
      </c>
      <c r="M213" s="6" t="str">
        <f>IF(A213="","",SUMIFS(Chicks!$P:$P,Chicks!$G:$G,A213))</f>
        <v/>
      </c>
      <c r="N213" s="6" t="str">
        <f t="shared" si="0"/>
        <v/>
      </c>
    </row>
    <row r="214" spans="1:14" ht="14.25" customHeight="1" x14ac:dyDescent="0.3">
      <c r="A214" s="4"/>
      <c r="B214" s="4"/>
      <c r="C214" s="4"/>
      <c r="D214" s="4"/>
      <c r="E214" s="4"/>
      <c r="F214" s="6" t="str">
        <f>IF(A214="","",COUNTIF(Chicks!$G:$G,A214))</f>
        <v/>
      </c>
      <c r="G214" s="6" t="str">
        <f>IF(A214="","",COUNTIFS(Chicks!$G:$G,A214,Chicks!$I:$I,"Yes"))</f>
        <v/>
      </c>
      <c r="H214" s="6" t="str">
        <f>IF(A214="","",SUMIFS(Chicks!$J:$J,Chicks!$G:$G,A214))</f>
        <v/>
      </c>
      <c r="I214" s="6" t="str">
        <f>IF(A214="","",COUNTIFS(Chicks!$G:$G,A214,Chicks!$I:$I,"No"))</f>
        <v/>
      </c>
      <c r="J214" s="6" t="str">
        <f>IF(A214="","",IFERROR(AVERAGEIF(Chicks!$G:$G,A214,Chicks!$M:$M),""))</f>
        <v/>
      </c>
      <c r="K214" s="6" t="str">
        <f>IF(A214="","",SUMIFS(Chicks!$N:$N,Chicks!$G:$G,A214))</f>
        <v/>
      </c>
      <c r="L214" s="6" t="str">
        <f>IF(A214="","",SUMIFS(Chicks!$O:$O,Chicks!$G:$G,A214))</f>
        <v/>
      </c>
      <c r="M214" s="6" t="str">
        <f>IF(A214="","",SUMIFS(Chicks!$P:$P,Chicks!$G:$G,A214))</f>
        <v/>
      </c>
      <c r="N214" s="6" t="str">
        <f t="shared" si="0"/>
        <v/>
      </c>
    </row>
    <row r="215" spans="1:14" ht="14.25" customHeight="1" x14ac:dyDescent="0.3">
      <c r="A215" s="4"/>
      <c r="B215" s="4"/>
      <c r="C215" s="4"/>
      <c r="D215" s="4"/>
      <c r="E215" s="4"/>
      <c r="F215" s="6" t="str">
        <f>IF(A215="","",COUNTIF(Chicks!$G:$G,A215))</f>
        <v/>
      </c>
      <c r="G215" s="6" t="str">
        <f>IF(A215="","",COUNTIFS(Chicks!$G:$G,A215,Chicks!$I:$I,"Yes"))</f>
        <v/>
      </c>
      <c r="H215" s="6" t="str">
        <f>IF(A215="","",SUMIFS(Chicks!$J:$J,Chicks!$G:$G,A215))</f>
        <v/>
      </c>
      <c r="I215" s="6" t="str">
        <f>IF(A215="","",COUNTIFS(Chicks!$G:$G,A215,Chicks!$I:$I,"No"))</f>
        <v/>
      </c>
      <c r="J215" s="6" t="str">
        <f>IF(A215="","",IFERROR(AVERAGEIF(Chicks!$G:$G,A215,Chicks!$M:$M),""))</f>
        <v/>
      </c>
      <c r="K215" s="6" t="str">
        <f>IF(A215="","",SUMIFS(Chicks!$N:$N,Chicks!$G:$G,A215))</f>
        <v/>
      </c>
      <c r="L215" s="6" t="str">
        <f>IF(A215="","",SUMIFS(Chicks!$O:$O,Chicks!$G:$G,A215))</f>
        <v/>
      </c>
      <c r="M215" s="6" t="str">
        <f>IF(A215="","",SUMIFS(Chicks!$P:$P,Chicks!$G:$G,A215))</f>
        <v/>
      </c>
      <c r="N215" s="6" t="str">
        <f t="shared" si="0"/>
        <v/>
      </c>
    </row>
    <row r="216" spans="1:14" ht="14.25" customHeight="1" x14ac:dyDescent="0.3">
      <c r="A216" s="4"/>
      <c r="B216" s="4"/>
      <c r="C216" s="4"/>
      <c r="D216" s="4"/>
      <c r="E216" s="4"/>
      <c r="F216" s="6" t="str">
        <f>IF(A216="","",COUNTIF(Chicks!$G:$G,A216))</f>
        <v/>
      </c>
      <c r="G216" s="6" t="str">
        <f>IF(A216="","",COUNTIFS(Chicks!$G:$G,A216,Chicks!$I:$I,"Yes"))</f>
        <v/>
      </c>
      <c r="H216" s="6" t="str">
        <f>IF(A216="","",SUMIFS(Chicks!$J:$J,Chicks!$G:$G,A216))</f>
        <v/>
      </c>
      <c r="I216" s="6" t="str">
        <f>IF(A216="","",COUNTIFS(Chicks!$G:$G,A216,Chicks!$I:$I,"No"))</f>
        <v/>
      </c>
      <c r="J216" s="6" t="str">
        <f>IF(A216="","",IFERROR(AVERAGEIF(Chicks!$G:$G,A216,Chicks!$M:$M),""))</f>
        <v/>
      </c>
      <c r="K216" s="6" t="str">
        <f>IF(A216="","",SUMIFS(Chicks!$N:$N,Chicks!$G:$G,A216))</f>
        <v/>
      </c>
      <c r="L216" s="6" t="str">
        <f>IF(A216="","",SUMIFS(Chicks!$O:$O,Chicks!$G:$G,A216))</f>
        <v/>
      </c>
      <c r="M216" s="6" t="str">
        <f>IF(A216="","",SUMIFS(Chicks!$P:$P,Chicks!$G:$G,A216))</f>
        <v/>
      </c>
      <c r="N216" s="6" t="str">
        <f t="shared" si="0"/>
        <v/>
      </c>
    </row>
    <row r="217" spans="1:14" ht="14.25" customHeight="1" x14ac:dyDescent="0.3">
      <c r="A217" s="4"/>
      <c r="B217" s="4"/>
      <c r="C217" s="4"/>
      <c r="D217" s="4"/>
      <c r="E217" s="4"/>
      <c r="F217" s="6" t="str">
        <f>IF(A217="","",COUNTIF(Chicks!$G:$G,A217))</f>
        <v/>
      </c>
      <c r="G217" s="6" t="str">
        <f>IF(A217="","",COUNTIFS(Chicks!$G:$G,A217,Chicks!$I:$I,"Yes"))</f>
        <v/>
      </c>
      <c r="H217" s="6" t="str">
        <f>IF(A217="","",SUMIFS(Chicks!$J:$J,Chicks!$G:$G,A217))</f>
        <v/>
      </c>
      <c r="I217" s="6" t="str">
        <f>IF(A217="","",COUNTIFS(Chicks!$G:$G,A217,Chicks!$I:$I,"No"))</f>
        <v/>
      </c>
      <c r="J217" s="6" t="str">
        <f>IF(A217="","",IFERROR(AVERAGEIF(Chicks!$G:$G,A217,Chicks!$M:$M),""))</f>
        <v/>
      </c>
      <c r="K217" s="6" t="str">
        <f>IF(A217="","",SUMIFS(Chicks!$N:$N,Chicks!$G:$G,A217))</f>
        <v/>
      </c>
      <c r="L217" s="6" t="str">
        <f>IF(A217="","",SUMIFS(Chicks!$O:$O,Chicks!$G:$G,A217))</f>
        <v/>
      </c>
      <c r="M217" s="6" t="str">
        <f>IF(A217="","",SUMIFS(Chicks!$P:$P,Chicks!$G:$G,A217))</f>
        <v/>
      </c>
      <c r="N217" s="6" t="str">
        <f t="shared" si="0"/>
        <v/>
      </c>
    </row>
    <row r="218" spans="1:14" ht="14.25" customHeight="1" x14ac:dyDescent="0.3">
      <c r="A218" s="4"/>
      <c r="B218" s="4"/>
      <c r="C218" s="4"/>
      <c r="D218" s="4"/>
      <c r="E218" s="4"/>
      <c r="F218" s="6" t="str">
        <f>IF(A218="","",COUNTIF(Chicks!$G:$G,A218))</f>
        <v/>
      </c>
      <c r="G218" s="6" t="str">
        <f>IF(A218="","",COUNTIFS(Chicks!$G:$G,A218,Chicks!$I:$I,"Yes"))</f>
        <v/>
      </c>
      <c r="H218" s="6" t="str">
        <f>IF(A218="","",SUMIFS(Chicks!$J:$J,Chicks!$G:$G,A218))</f>
        <v/>
      </c>
      <c r="I218" s="6" t="str">
        <f>IF(A218="","",COUNTIFS(Chicks!$G:$G,A218,Chicks!$I:$I,"No"))</f>
        <v/>
      </c>
      <c r="J218" s="6" t="str">
        <f>IF(A218="","",IFERROR(AVERAGEIF(Chicks!$G:$G,A218,Chicks!$M:$M),""))</f>
        <v/>
      </c>
      <c r="K218" s="6" t="str">
        <f>IF(A218="","",SUMIFS(Chicks!$N:$N,Chicks!$G:$G,A218))</f>
        <v/>
      </c>
      <c r="L218" s="6" t="str">
        <f>IF(A218="","",SUMIFS(Chicks!$O:$O,Chicks!$G:$G,A218))</f>
        <v/>
      </c>
      <c r="M218" s="6" t="str">
        <f>IF(A218="","",SUMIFS(Chicks!$P:$P,Chicks!$G:$G,A218))</f>
        <v/>
      </c>
      <c r="N218" s="6" t="str">
        <f t="shared" si="0"/>
        <v/>
      </c>
    </row>
    <row r="219" spans="1:14" ht="14.25" customHeight="1" x14ac:dyDescent="0.3">
      <c r="A219" s="4"/>
      <c r="B219" s="4"/>
      <c r="C219" s="4"/>
      <c r="D219" s="4"/>
      <c r="E219" s="4"/>
      <c r="F219" s="6" t="str">
        <f>IF(A219="","",COUNTIF(Chicks!$G:$G,A219))</f>
        <v/>
      </c>
      <c r="G219" s="6" t="str">
        <f>IF(A219="","",COUNTIFS(Chicks!$G:$G,A219,Chicks!$I:$I,"Yes"))</f>
        <v/>
      </c>
      <c r="H219" s="6" t="str">
        <f>IF(A219="","",SUMIFS(Chicks!$J:$J,Chicks!$G:$G,A219))</f>
        <v/>
      </c>
      <c r="I219" s="6" t="str">
        <f>IF(A219="","",COUNTIFS(Chicks!$G:$G,A219,Chicks!$I:$I,"No"))</f>
        <v/>
      </c>
      <c r="J219" s="6" t="str">
        <f>IF(A219="","",IFERROR(AVERAGEIF(Chicks!$G:$G,A219,Chicks!$M:$M),""))</f>
        <v/>
      </c>
      <c r="K219" s="6" t="str">
        <f>IF(A219="","",SUMIFS(Chicks!$N:$N,Chicks!$G:$G,A219))</f>
        <v/>
      </c>
      <c r="L219" s="6" t="str">
        <f>IF(A219="","",SUMIFS(Chicks!$O:$O,Chicks!$G:$G,A219))</f>
        <v/>
      </c>
      <c r="M219" s="6" t="str">
        <f>IF(A219="","",SUMIFS(Chicks!$P:$P,Chicks!$G:$G,A219))</f>
        <v/>
      </c>
      <c r="N219" s="6" t="str">
        <f t="shared" si="0"/>
        <v/>
      </c>
    </row>
    <row r="220" spans="1:14" ht="14.25" customHeight="1" x14ac:dyDescent="0.3">
      <c r="A220" s="4"/>
      <c r="B220" s="4"/>
      <c r="C220" s="4"/>
      <c r="D220" s="4"/>
      <c r="E220" s="4"/>
      <c r="F220" s="6" t="str">
        <f>IF(A220="","",COUNTIF(Chicks!$G:$G,A220))</f>
        <v/>
      </c>
      <c r="G220" s="6" t="str">
        <f>IF(A220="","",COUNTIFS(Chicks!$G:$G,A220,Chicks!$I:$I,"Yes"))</f>
        <v/>
      </c>
      <c r="H220" s="6" t="str">
        <f>IF(A220="","",SUMIFS(Chicks!$J:$J,Chicks!$G:$G,A220))</f>
        <v/>
      </c>
      <c r="I220" s="6" t="str">
        <f>IF(A220="","",COUNTIFS(Chicks!$G:$G,A220,Chicks!$I:$I,"No"))</f>
        <v/>
      </c>
      <c r="J220" s="6" t="str">
        <f>IF(A220="","",IFERROR(AVERAGEIF(Chicks!$G:$G,A220,Chicks!$M:$M),""))</f>
        <v/>
      </c>
      <c r="K220" s="6" t="str">
        <f>IF(A220="","",SUMIFS(Chicks!$N:$N,Chicks!$G:$G,A220))</f>
        <v/>
      </c>
      <c r="L220" s="6" t="str">
        <f>IF(A220="","",SUMIFS(Chicks!$O:$O,Chicks!$G:$G,A220))</f>
        <v/>
      </c>
      <c r="M220" s="6" t="str">
        <f>IF(A220="","",SUMIFS(Chicks!$P:$P,Chicks!$G:$G,A220))</f>
        <v/>
      </c>
      <c r="N220" s="6" t="str">
        <f t="shared" si="0"/>
        <v/>
      </c>
    </row>
    <row r="221" spans="1:14" ht="14.25" customHeight="1" x14ac:dyDescent="0.3">
      <c r="A221" s="4"/>
      <c r="B221" s="4"/>
      <c r="C221" s="4"/>
      <c r="D221" s="4"/>
      <c r="E221" s="4"/>
      <c r="F221" s="6" t="str">
        <f>IF(A221="","",COUNTIF(Chicks!$G:$G,A221))</f>
        <v/>
      </c>
      <c r="G221" s="6" t="str">
        <f>IF(A221="","",COUNTIFS(Chicks!$G:$G,A221,Chicks!$I:$I,"Yes"))</f>
        <v/>
      </c>
      <c r="H221" s="6" t="str">
        <f>IF(A221="","",SUMIFS(Chicks!$J:$J,Chicks!$G:$G,A221))</f>
        <v/>
      </c>
      <c r="I221" s="6" t="str">
        <f>IF(A221="","",COUNTIFS(Chicks!$G:$G,A221,Chicks!$I:$I,"No"))</f>
        <v/>
      </c>
      <c r="J221" s="6" t="str">
        <f>IF(A221="","",IFERROR(AVERAGEIF(Chicks!$G:$G,A221,Chicks!$M:$M),""))</f>
        <v/>
      </c>
      <c r="K221" s="6" t="str">
        <f>IF(A221="","",SUMIFS(Chicks!$N:$N,Chicks!$G:$G,A221))</f>
        <v/>
      </c>
      <c r="L221" s="6" t="str">
        <f>IF(A221="","",SUMIFS(Chicks!$O:$O,Chicks!$G:$G,A221))</f>
        <v/>
      </c>
      <c r="M221" s="6" t="str">
        <f>IF(A221="","",SUMIFS(Chicks!$P:$P,Chicks!$G:$G,A221))</f>
        <v/>
      </c>
      <c r="N221" s="6" t="str">
        <f t="shared" si="0"/>
        <v/>
      </c>
    </row>
    <row r="222" spans="1:14" ht="14.25" customHeight="1" x14ac:dyDescent="0.3">
      <c r="A222" s="4"/>
      <c r="B222" s="4"/>
      <c r="C222" s="4"/>
      <c r="D222" s="4"/>
      <c r="E222" s="4"/>
      <c r="F222" s="6" t="str">
        <f>IF(A222="","",COUNTIF(Chicks!$G:$G,A222))</f>
        <v/>
      </c>
      <c r="G222" s="6" t="str">
        <f>IF(A222="","",COUNTIFS(Chicks!$G:$G,A222,Chicks!$I:$I,"Yes"))</f>
        <v/>
      </c>
      <c r="H222" s="6" t="str">
        <f>IF(A222="","",SUMIFS(Chicks!$J:$J,Chicks!$G:$G,A222))</f>
        <v/>
      </c>
      <c r="I222" s="6" t="str">
        <f>IF(A222="","",COUNTIFS(Chicks!$G:$G,A222,Chicks!$I:$I,"No"))</f>
        <v/>
      </c>
      <c r="J222" s="6" t="str">
        <f>IF(A222="","",IFERROR(AVERAGEIF(Chicks!$G:$G,A222,Chicks!$M:$M),""))</f>
        <v/>
      </c>
      <c r="K222" s="6" t="str">
        <f>IF(A222="","",SUMIFS(Chicks!$N:$N,Chicks!$G:$G,A222))</f>
        <v/>
      </c>
      <c r="L222" s="6" t="str">
        <f>IF(A222="","",SUMIFS(Chicks!$O:$O,Chicks!$G:$G,A222))</f>
        <v/>
      </c>
      <c r="M222" s="6" t="str">
        <f>IF(A222="","",SUMIFS(Chicks!$P:$P,Chicks!$G:$G,A222))</f>
        <v/>
      </c>
      <c r="N222" s="6" t="str">
        <f t="shared" si="0"/>
        <v/>
      </c>
    </row>
    <row r="223" spans="1:14" ht="14.25" customHeight="1" x14ac:dyDescent="0.3">
      <c r="A223" s="4"/>
      <c r="B223" s="4"/>
      <c r="C223" s="4"/>
      <c r="D223" s="4"/>
      <c r="E223" s="4"/>
      <c r="F223" s="6" t="str">
        <f>IF(A223="","",COUNTIF(Chicks!$G:$G,A223))</f>
        <v/>
      </c>
      <c r="G223" s="6" t="str">
        <f>IF(A223="","",COUNTIFS(Chicks!$G:$G,A223,Chicks!$I:$I,"Yes"))</f>
        <v/>
      </c>
      <c r="H223" s="6" t="str">
        <f>IF(A223="","",SUMIFS(Chicks!$J:$J,Chicks!$G:$G,A223))</f>
        <v/>
      </c>
      <c r="I223" s="6" t="str">
        <f>IF(A223="","",COUNTIFS(Chicks!$G:$G,A223,Chicks!$I:$I,"No"))</f>
        <v/>
      </c>
      <c r="J223" s="6" t="str">
        <f>IF(A223="","",IFERROR(AVERAGEIF(Chicks!$G:$G,A223,Chicks!$M:$M),""))</f>
        <v/>
      </c>
      <c r="K223" s="6" t="str">
        <f>IF(A223="","",SUMIFS(Chicks!$N:$N,Chicks!$G:$G,A223))</f>
        <v/>
      </c>
      <c r="L223" s="6" t="str">
        <f>IF(A223="","",SUMIFS(Chicks!$O:$O,Chicks!$G:$G,A223))</f>
        <v/>
      </c>
      <c r="M223" s="6" t="str">
        <f>IF(A223="","",SUMIFS(Chicks!$P:$P,Chicks!$G:$G,A223))</f>
        <v/>
      </c>
      <c r="N223" s="6" t="str">
        <f t="shared" si="0"/>
        <v/>
      </c>
    </row>
    <row r="224" spans="1:14" ht="14.25" customHeight="1" x14ac:dyDescent="0.3">
      <c r="A224" s="4"/>
      <c r="B224" s="4"/>
      <c r="C224" s="4"/>
      <c r="D224" s="4"/>
      <c r="E224" s="4"/>
      <c r="F224" s="6" t="str">
        <f>IF(A224="","",COUNTIF(Chicks!$G:$G,A224))</f>
        <v/>
      </c>
      <c r="G224" s="6" t="str">
        <f>IF(A224="","",COUNTIFS(Chicks!$G:$G,A224,Chicks!$I:$I,"Yes"))</f>
        <v/>
      </c>
      <c r="H224" s="6" t="str">
        <f>IF(A224="","",SUMIFS(Chicks!$J:$J,Chicks!$G:$G,A224))</f>
        <v/>
      </c>
      <c r="I224" s="6" t="str">
        <f>IF(A224="","",COUNTIFS(Chicks!$G:$G,A224,Chicks!$I:$I,"No"))</f>
        <v/>
      </c>
      <c r="J224" s="6" t="str">
        <f>IF(A224="","",IFERROR(AVERAGEIF(Chicks!$G:$G,A224,Chicks!$M:$M),""))</f>
        <v/>
      </c>
      <c r="K224" s="6" t="str">
        <f>IF(A224="","",SUMIFS(Chicks!$N:$N,Chicks!$G:$G,A224))</f>
        <v/>
      </c>
      <c r="L224" s="6" t="str">
        <f>IF(A224="","",SUMIFS(Chicks!$O:$O,Chicks!$G:$G,A224))</f>
        <v/>
      </c>
      <c r="M224" s="6" t="str">
        <f>IF(A224="","",SUMIFS(Chicks!$P:$P,Chicks!$G:$G,A224))</f>
        <v/>
      </c>
      <c r="N224" s="6" t="str">
        <f t="shared" si="0"/>
        <v/>
      </c>
    </row>
    <row r="225" spans="1:14" ht="14.25" customHeight="1" x14ac:dyDescent="0.3">
      <c r="A225" s="4"/>
      <c r="B225" s="4"/>
      <c r="C225" s="4"/>
      <c r="D225" s="4"/>
      <c r="E225" s="4"/>
      <c r="F225" s="6" t="str">
        <f>IF(A225="","",COUNTIF(Chicks!$G:$G,A225))</f>
        <v/>
      </c>
      <c r="G225" s="6" t="str">
        <f>IF(A225="","",COUNTIFS(Chicks!$G:$G,A225,Chicks!$I:$I,"Yes"))</f>
        <v/>
      </c>
      <c r="H225" s="6" t="str">
        <f>IF(A225="","",SUMIFS(Chicks!$J:$J,Chicks!$G:$G,A225))</f>
        <v/>
      </c>
      <c r="I225" s="6" t="str">
        <f>IF(A225="","",COUNTIFS(Chicks!$G:$G,A225,Chicks!$I:$I,"No"))</f>
        <v/>
      </c>
      <c r="J225" s="6" t="str">
        <f>IF(A225="","",IFERROR(AVERAGEIF(Chicks!$G:$G,A225,Chicks!$M:$M),""))</f>
        <v/>
      </c>
      <c r="K225" s="6" t="str">
        <f>IF(A225="","",SUMIFS(Chicks!$N:$N,Chicks!$G:$G,A225))</f>
        <v/>
      </c>
      <c r="L225" s="6" t="str">
        <f>IF(A225="","",SUMIFS(Chicks!$O:$O,Chicks!$G:$G,A225))</f>
        <v/>
      </c>
      <c r="M225" s="6" t="str">
        <f>IF(A225="","",SUMIFS(Chicks!$P:$P,Chicks!$G:$G,A225))</f>
        <v/>
      </c>
      <c r="N225" s="6" t="str">
        <f t="shared" si="0"/>
        <v/>
      </c>
    </row>
    <row r="226" spans="1:14" ht="14.25" customHeight="1" x14ac:dyDescent="0.3">
      <c r="A226" s="4"/>
      <c r="B226" s="4"/>
      <c r="C226" s="4"/>
      <c r="D226" s="4"/>
      <c r="E226" s="4"/>
      <c r="F226" s="6" t="str">
        <f>IF(A226="","",COUNTIF(Chicks!$G:$G,A226))</f>
        <v/>
      </c>
      <c r="G226" s="6" t="str">
        <f>IF(A226="","",COUNTIFS(Chicks!$G:$G,A226,Chicks!$I:$I,"Yes"))</f>
        <v/>
      </c>
      <c r="H226" s="6" t="str">
        <f>IF(A226="","",SUMIFS(Chicks!$J:$J,Chicks!$G:$G,A226))</f>
        <v/>
      </c>
      <c r="I226" s="6" t="str">
        <f>IF(A226="","",COUNTIFS(Chicks!$G:$G,A226,Chicks!$I:$I,"No"))</f>
        <v/>
      </c>
      <c r="J226" s="6" t="str">
        <f>IF(A226="","",IFERROR(AVERAGEIF(Chicks!$G:$G,A226,Chicks!$M:$M),""))</f>
        <v/>
      </c>
      <c r="K226" s="6" t="str">
        <f>IF(A226="","",SUMIFS(Chicks!$N:$N,Chicks!$G:$G,A226))</f>
        <v/>
      </c>
      <c r="L226" s="6" t="str">
        <f>IF(A226="","",SUMIFS(Chicks!$O:$O,Chicks!$G:$G,A226))</f>
        <v/>
      </c>
      <c r="M226" s="6" t="str">
        <f>IF(A226="","",SUMIFS(Chicks!$P:$P,Chicks!$G:$G,A226))</f>
        <v/>
      </c>
      <c r="N226" s="6" t="str">
        <f t="shared" si="0"/>
        <v/>
      </c>
    </row>
    <row r="227" spans="1:14" ht="14.25" customHeight="1" x14ac:dyDescent="0.3">
      <c r="A227" s="4"/>
      <c r="B227" s="4"/>
      <c r="C227" s="4"/>
      <c r="D227" s="4"/>
      <c r="E227" s="4"/>
      <c r="F227" s="6" t="str">
        <f>IF(A227="","",COUNTIF(Chicks!$G:$G,A227))</f>
        <v/>
      </c>
      <c r="G227" s="6" t="str">
        <f>IF(A227="","",COUNTIFS(Chicks!$G:$G,A227,Chicks!$I:$I,"Yes"))</f>
        <v/>
      </c>
      <c r="H227" s="6" t="str">
        <f>IF(A227="","",SUMIFS(Chicks!$J:$J,Chicks!$G:$G,A227))</f>
        <v/>
      </c>
      <c r="I227" s="6" t="str">
        <f>IF(A227="","",COUNTIFS(Chicks!$G:$G,A227,Chicks!$I:$I,"No"))</f>
        <v/>
      </c>
      <c r="J227" s="6" t="str">
        <f>IF(A227="","",IFERROR(AVERAGEIF(Chicks!$G:$G,A227,Chicks!$M:$M),""))</f>
        <v/>
      </c>
      <c r="K227" s="6" t="str">
        <f>IF(A227="","",SUMIFS(Chicks!$N:$N,Chicks!$G:$G,A227))</f>
        <v/>
      </c>
      <c r="L227" s="6" t="str">
        <f>IF(A227="","",SUMIFS(Chicks!$O:$O,Chicks!$G:$G,A227))</f>
        <v/>
      </c>
      <c r="M227" s="6" t="str">
        <f>IF(A227="","",SUMIFS(Chicks!$P:$P,Chicks!$G:$G,A227))</f>
        <v/>
      </c>
      <c r="N227" s="6" t="str">
        <f t="shared" si="0"/>
        <v/>
      </c>
    </row>
    <row r="228" spans="1:14" ht="14.25" customHeight="1" x14ac:dyDescent="0.3">
      <c r="A228" s="4"/>
      <c r="B228" s="4"/>
      <c r="C228" s="4"/>
      <c r="D228" s="4"/>
      <c r="E228" s="4"/>
      <c r="F228" s="6" t="str">
        <f>IF(A228="","",COUNTIF(Chicks!$G:$G,A228))</f>
        <v/>
      </c>
      <c r="G228" s="6" t="str">
        <f>IF(A228="","",COUNTIFS(Chicks!$G:$G,A228,Chicks!$I:$I,"Yes"))</f>
        <v/>
      </c>
      <c r="H228" s="6" t="str">
        <f>IF(A228="","",SUMIFS(Chicks!$J:$J,Chicks!$G:$G,A228))</f>
        <v/>
      </c>
      <c r="I228" s="6" t="str">
        <f>IF(A228="","",COUNTIFS(Chicks!$G:$G,A228,Chicks!$I:$I,"No"))</f>
        <v/>
      </c>
      <c r="J228" s="6" t="str">
        <f>IF(A228="","",IFERROR(AVERAGEIF(Chicks!$G:$G,A228,Chicks!$M:$M),""))</f>
        <v/>
      </c>
      <c r="K228" s="6" t="str">
        <f>IF(A228="","",SUMIFS(Chicks!$N:$N,Chicks!$G:$G,A228))</f>
        <v/>
      </c>
      <c r="L228" s="6" t="str">
        <f>IF(A228="","",SUMIFS(Chicks!$O:$O,Chicks!$G:$G,A228))</f>
        <v/>
      </c>
      <c r="M228" s="6" t="str">
        <f>IF(A228="","",SUMIFS(Chicks!$P:$P,Chicks!$G:$G,A228))</f>
        <v/>
      </c>
      <c r="N228" s="6" t="str">
        <f t="shared" si="0"/>
        <v/>
      </c>
    </row>
    <row r="229" spans="1:14" ht="14.25" customHeight="1" x14ac:dyDescent="0.3">
      <c r="A229" s="4"/>
      <c r="B229" s="4"/>
      <c r="C229" s="4"/>
      <c r="D229" s="4"/>
      <c r="E229" s="4"/>
      <c r="F229" s="6" t="str">
        <f>IF(A229="","",COUNTIF(Chicks!$G:$G,A229))</f>
        <v/>
      </c>
      <c r="G229" s="6" t="str">
        <f>IF(A229="","",COUNTIFS(Chicks!$G:$G,A229,Chicks!$I:$I,"Yes"))</f>
        <v/>
      </c>
      <c r="H229" s="6" t="str">
        <f>IF(A229="","",SUMIFS(Chicks!$J:$J,Chicks!$G:$G,A229))</f>
        <v/>
      </c>
      <c r="I229" s="6" t="str">
        <f>IF(A229="","",COUNTIFS(Chicks!$G:$G,A229,Chicks!$I:$I,"No"))</f>
        <v/>
      </c>
      <c r="J229" s="6" t="str">
        <f>IF(A229="","",IFERROR(AVERAGEIF(Chicks!$G:$G,A229,Chicks!$M:$M),""))</f>
        <v/>
      </c>
      <c r="K229" s="6" t="str">
        <f>IF(A229="","",SUMIFS(Chicks!$N:$N,Chicks!$G:$G,A229))</f>
        <v/>
      </c>
      <c r="L229" s="6" t="str">
        <f>IF(A229="","",SUMIFS(Chicks!$O:$O,Chicks!$G:$G,A229))</f>
        <v/>
      </c>
      <c r="M229" s="6" t="str">
        <f>IF(A229="","",SUMIFS(Chicks!$P:$P,Chicks!$G:$G,A229))</f>
        <v/>
      </c>
      <c r="N229" s="6" t="str">
        <f t="shared" si="0"/>
        <v/>
      </c>
    </row>
    <row r="230" spans="1:14" ht="14.25" customHeight="1" x14ac:dyDescent="0.3">
      <c r="A230" s="4"/>
      <c r="B230" s="4"/>
      <c r="C230" s="4"/>
      <c r="D230" s="4"/>
      <c r="E230" s="4"/>
      <c r="F230" s="6" t="str">
        <f>IF(A230="","",COUNTIF(Chicks!$G:$G,A230))</f>
        <v/>
      </c>
      <c r="G230" s="6" t="str">
        <f>IF(A230="","",COUNTIFS(Chicks!$G:$G,A230,Chicks!$I:$I,"Yes"))</f>
        <v/>
      </c>
      <c r="H230" s="6" t="str">
        <f>IF(A230="","",SUMIFS(Chicks!$J:$J,Chicks!$G:$G,A230))</f>
        <v/>
      </c>
      <c r="I230" s="6" t="str">
        <f>IF(A230="","",COUNTIFS(Chicks!$G:$G,A230,Chicks!$I:$I,"No"))</f>
        <v/>
      </c>
      <c r="J230" s="6" t="str">
        <f>IF(A230="","",IFERROR(AVERAGEIF(Chicks!$G:$G,A230,Chicks!$M:$M),""))</f>
        <v/>
      </c>
      <c r="K230" s="6" t="str">
        <f>IF(A230="","",SUMIFS(Chicks!$N:$N,Chicks!$G:$G,A230))</f>
        <v/>
      </c>
      <c r="L230" s="6" t="str">
        <f>IF(A230="","",SUMIFS(Chicks!$O:$O,Chicks!$G:$G,A230))</f>
        <v/>
      </c>
      <c r="M230" s="6" t="str">
        <f>IF(A230="","",SUMIFS(Chicks!$P:$P,Chicks!$G:$G,A230))</f>
        <v/>
      </c>
      <c r="N230" s="6" t="str">
        <f t="shared" si="0"/>
        <v/>
      </c>
    </row>
    <row r="231" spans="1:14" ht="14.25" customHeight="1" x14ac:dyDescent="0.3">
      <c r="A231" s="4"/>
      <c r="B231" s="4"/>
      <c r="C231" s="4"/>
      <c r="D231" s="4"/>
      <c r="E231" s="4"/>
      <c r="F231" s="6" t="str">
        <f>IF(A231="","",COUNTIF(Chicks!$G:$G,A231))</f>
        <v/>
      </c>
      <c r="G231" s="6" t="str">
        <f>IF(A231="","",COUNTIFS(Chicks!$G:$G,A231,Chicks!$I:$I,"Yes"))</f>
        <v/>
      </c>
      <c r="H231" s="6" t="str">
        <f>IF(A231="","",SUMIFS(Chicks!$J:$J,Chicks!$G:$G,A231))</f>
        <v/>
      </c>
      <c r="I231" s="6" t="str">
        <f>IF(A231="","",COUNTIFS(Chicks!$G:$G,A231,Chicks!$I:$I,"No"))</f>
        <v/>
      </c>
      <c r="J231" s="6" t="str">
        <f>IF(A231="","",IFERROR(AVERAGEIF(Chicks!$G:$G,A231,Chicks!$M:$M),""))</f>
        <v/>
      </c>
      <c r="K231" s="6" t="str">
        <f>IF(A231="","",SUMIFS(Chicks!$N:$N,Chicks!$G:$G,A231))</f>
        <v/>
      </c>
      <c r="L231" s="6" t="str">
        <f>IF(A231="","",SUMIFS(Chicks!$O:$O,Chicks!$G:$G,A231))</f>
        <v/>
      </c>
      <c r="M231" s="6" t="str">
        <f>IF(A231="","",SUMIFS(Chicks!$P:$P,Chicks!$G:$G,A231))</f>
        <v/>
      </c>
      <c r="N231" s="6" t="str">
        <f t="shared" si="0"/>
        <v/>
      </c>
    </row>
    <row r="232" spans="1:14" ht="14.25" customHeight="1" x14ac:dyDescent="0.3">
      <c r="A232" s="4"/>
      <c r="B232" s="4"/>
      <c r="C232" s="4"/>
      <c r="D232" s="4"/>
      <c r="E232" s="4"/>
      <c r="F232" s="6" t="str">
        <f>IF(A232="","",COUNTIF(Chicks!$G:$G,A232))</f>
        <v/>
      </c>
      <c r="G232" s="6" t="str">
        <f>IF(A232="","",COUNTIFS(Chicks!$G:$G,A232,Chicks!$I:$I,"Yes"))</f>
        <v/>
      </c>
      <c r="H232" s="6" t="str">
        <f>IF(A232="","",SUMIFS(Chicks!$J:$J,Chicks!$G:$G,A232))</f>
        <v/>
      </c>
      <c r="I232" s="6" t="str">
        <f>IF(A232="","",COUNTIFS(Chicks!$G:$G,A232,Chicks!$I:$I,"No"))</f>
        <v/>
      </c>
      <c r="J232" s="6" t="str">
        <f>IF(A232="","",IFERROR(AVERAGEIF(Chicks!$G:$G,A232,Chicks!$M:$M),""))</f>
        <v/>
      </c>
      <c r="K232" s="6" t="str">
        <f>IF(A232="","",SUMIFS(Chicks!$N:$N,Chicks!$G:$G,A232))</f>
        <v/>
      </c>
      <c r="L232" s="6" t="str">
        <f>IF(A232="","",SUMIFS(Chicks!$O:$O,Chicks!$G:$G,A232))</f>
        <v/>
      </c>
      <c r="M232" s="6" t="str">
        <f>IF(A232="","",SUMIFS(Chicks!$P:$P,Chicks!$G:$G,A232))</f>
        <v/>
      </c>
      <c r="N232" s="6" t="str">
        <f t="shared" si="0"/>
        <v/>
      </c>
    </row>
    <row r="233" spans="1:14" ht="14.25" customHeight="1" x14ac:dyDescent="0.3">
      <c r="A233" s="4"/>
      <c r="B233" s="4"/>
      <c r="C233" s="4"/>
      <c r="D233" s="4"/>
      <c r="E233" s="4"/>
      <c r="F233" s="6" t="str">
        <f>IF(A233="","",COUNTIF(Chicks!$G:$G,A233))</f>
        <v/>
      </c>
      <c r="G233" s="6" t="str">
        <f>IF(A233="","",COUNTIFS(Chicks!$G:$G,A233,Chicks!$I:$I,"Yes"))</f>
        <v/>
      </c>
      <c r="H233" s="6" t="str">
        <f>IF(A233="","",SUMIFS(Chicks!$J:$J,Chicks!$G:$G,A233))</f>
        <v/>
      </c>
      <c r="I233" s="6" t="str">
        <f>IF(A233="","",COUNTIFS(Chicks!$G:$G,A233,Chicks!$I:$I,"No"))</f>
        <v/>
      </c>
      <c r="J233" s="6" t="str">
        <f>IF(A233="","",IFERROR(AVERAGEIF(Chicks!$G:$G,A233,Chicks!$M:$M),""))</f>
        <v/>
      </c>
      <c r="K233" s="6" t="str">
        <f>IF(A233="","",SUMIFS(Chicks!$N:$N,Chicks!$G:$G,A233))</f>
        <v/>
      </c>
      <c r="L233" s="6" t="str">
        <f>IF(A233="","",SUMIFS(Chicks!$O:$O,Chicks!$G:$G,A233))</f>
        <v/>
      </c>
      <c r="M233" s="6" t="str">
        <f>IF(A233="","",SUMIFS(Chicks!$P:$P,Chicks!$G:$G,A233))</f>
        <v/>
      </c>
      <c r="N233" s="6" t="str">
        <f t="shared" si="0"/>
        <v/>
      </c>
    </row>
    <row r="234" spans="1:14" ht="14.25" customHeight="1" x14ac:dyDescent="0.3">
      <c r="A234" s="4"/>
      <c r="B234" s="4"/>
      <c r="C234" s="4"/>
      <c r="D234" s="4"/>
      <c r="E234" s="4"/>
      <c r="F234" s="6" t="str">
        <f>IF(A234="","",COUNTIF(Chicks!$G:$G,A234))</f>
        <v/>
      </c>
      <c r="G234" s="6" t="str">
        <f>IF(A234="","",COUNTIFS(Chicks!$G:$G,A234,Chicks!$I:$I,"Yes"))</f>
        <v/>
      </c>
      <c r="H234" s="6" t="str">
        <f>IF(A234="","",SUMIFS(Chicks!$J:$J,Chicks!$G:$G,A234))</f>
        <v/>
      </c>
      <c r="I234" s="6" t="str">
        <f>IF(A234="","",COUNTIFS(Chicks!$G:$G,A234,Chicks!$I:$I,"No"))</f>
        <v/>
      </c>
      <c r="J234" s="6" t="str">
        <f>IF(A234="","",IFERROR(AVERAGEIF(Chicks!$G:$G,A234,Chicks!$M:$M),""))</f>
        <v/>
      </c>
      <c r="K234" s="6" t="str">
        <f>IF(A234="","",SUMIFS(Chicks!$N:$N,Chicks!$G:$G,A234))</f>
        <v/>
      </c>
      <c r="L234" s="6" t="str">
        <f>IF(A234="","",SUMIFS(Chicks!$O:$O,Chicks!$G:$G,A234))</f>
        <v/>
      </c>
      <c r="M234" s="6" t="str">
        <f>IF(A234="","",SUMIFS(Chicks!$P:$P,Chicks!$G:$G,A234))</f>
        <v/>
      </c>
      <c r="N234" s="6" t="str">
        <f t="shared" si="0"/>
        <v/>
      </c>
    </row>
    <row r="235" spans="1:14" ht="14.25" customHeight="1" x14ac:dyDescent="0.3">
      <c r="A235" s="4"/>
      <c r="B235" s="4"/>
      <c r="C235" s="4"/>
      <c r="D235" s="4"/>
      <c r="E235" s="4"/>
      <c r="F235" s="6" t="str">
        <f>IF(A235="","",COUNTIF(Chicks!$G:$G,A235))</f>
        <v/>
      </c>
      <c r="G235" s="6" t="str">
        <f>IF(A235="","",COUNTIFS(Chicks!$G:$G,A235,Chicks!$I:$I,"Yes"))</f>
        <v/>
      </c>
      <c r="H235" s="6" t="str">
        <f>IF(A235="","",SUMIFS(Chicks!$J:$J,Chicks!$G:$G,A235))</f>
        <v/>
      </c>
      <c r="I235" s="6" t="str">
        <f>IF(A235="","",COUNTIFS(Chicks!$G:$G,A235,Chicks!$I:$I,"No"))</f>
        <v/>
      </c>
      <c r="J235" s="6" t="str">
        <f>IF(A235="","",IFERROR(AVERAGEIF(Chicks!$G:$G,A235,Chicks!$M:$M),""))</f>
        <v/>
      </c>
      <c r="K235" s="6" t="str">
        <f>IF(A235="","",SUMIFS(Chicks!$N:$N,Chicks!$G:$G,A235))</f>
        <v/>
      </c>
      <c r="L235" s="6" t="str">
        <f>IF(A235="","",SUMIFS(Chicks!$O:$O,Chicks!$G:$G,A235))</f>
        <v/>
      </c>
      <c r="M235" s="6" t="str">
        <f>IF(A235="","",SUMIFS(Chicks!$P:$P,Chicks!$G:$G,A235))</f>
        <v/>
      </c>
      <c r="N235" s="6" t="str">
        <f t="shared" si="0"/>
        <v/>
      </c>
    </row>
    <row r="236" spans="1:14" ht="14.25" customHeight="1" x14ac:dyDescent="0.3">
      <c r="A236" s="4"/>
      <c r="B236" s="4"/>
      <c r="C236" s="4"/>
      <c r="D236" s="4"/>
      <c r="E236" s="4"/>
      <c r="F236" s="6" t="str">
        <f>IF(A236="","",COUNTIF(Chicks!$G:$G,A236))</f>
        <v/>
      </c>
      <c r="G236" s="6" t="str">
        <f>IF(A236="","",COUNTIFS(Chicks!$G:$G,A236,Chicks!$I:$I,"Yes"))</f>
        <v/>
      </c>
      <c r="H236" s="6" t="str">
        <f>IF(A236="","",SUMIFS(Chicks!$J:$J,Chicks!$G:$G,A236))</f>
        <v/>
      </c>
      <c r="I236" s="6" t="str">
        <f>IF(A236="","",COUNTIFS(Chicks!$G:$G,A236,Chicks!$I:$I,"No"))</f>
        <v/>
      </c>
      <c r="J236" s="6" t="str">
        <f>IF(A236="","",IFERROR(AVERAGEIF(Chicks!$G:$G,A236,Chicks!$M:$M),""))</f>
        <v/>
      </c>
      <c r="K236" s="6" t="str">
        <f>IF(A236="","",SUMIFS(Chicks!$N:$N,Chicks!$G:$G,A236))</f>
        <v/>
      </c>
      <c r="L236" s="6" t="str">
        <f>IF(A236="","",SUMIFS(Chicks!$O:$O,Chicks!$G:$G,A236))</f>
        <v/>
      </c>
      <c r="M236" s="6" t="str">
        <f>IF(A236="","",SUMIFS(Chicks!$P:$P,Chicks!$G:$G,A236))</f>
        <v/>
      </c>
      <c r="N236" s="6" t="str">
        <f t="shared" si="0"/>
        <v/>
      </c>
    </row>
    <row r="237" spans="1:14" ht="14.25" customHeight="1" x14ac:dyDescent="0.3">
      <c r="A237" s="4"/>
      <c r="B237" s="4"/>
      <c r="C237" s="4"/>
      <c r="D237" s="4"/>
      <c r="E237" s="4"/>
      <c r="F237" s="6" t="str">
        <f>IF(A237="","",COUNTIF(Chicks!$G:$G,A237))</f>
        <v/>
      </c>
      <c r="G237" s="6" t="str">
        <f>IF(A237="","",COUNTIFS(Chicks!$G:$G,A237,Chicks!$I:$I,"Yes"))</f>
        <v/>
      </c>
      <c r="H237" s="6" t="str">
        <f>IF(A237="","",SUMIFS(Chicks!$J:$J,Chicks!$G:$G,A237))</f>
        <v/>
      </c>
      <c r="I237" s="6" t="str">
        <f>IF(A237="","",COUNTIFS(Chicks!$G:$G,A237,Chicks!$I:$I,"No"))</f>
        <v/>
      </c>
      <c r="J237" s="6" t="str">
        <f>IF(A237="","",IFERROR(AVERAGEIF(Chicks!$G:$G,A237,Chicks!$M:$M),""))</f>
        <v/>
      </c>
      <c r="K237" s="6" t="str">
        <f>IF(A237="","",SUMIFS(Chicks!$N:$N,Chicks!$G:$G,A237))</f>
        <v/>
      </c>
      <c r="L237" s="6" t="str">
        <f>IF(A237="","",SUMIFS(Chicks!$O:$O,Chicks!$G:$G,A237))</f>
        <v/>
      </c>
      <c r="M237" s="6" t="str">
        <f>IF(A237="","",SUMIFS(Chicks!$P:$P,Chicks!$G:$G,A237))</f>
        <v/>
      </c>
      <c r="N237" s="6" t="str">
        <f t="shared" si="0"/>
        <v/>
      </c>
    </row>
    <row r="238" spans="1:14" ht="14.25" customHeight="1" x14ac:dyDescent="0.3">
      <c r="A238" s="4"/>
      <c r="B238" s="4"/>
      <c r="C238" s="4"/>
      <c r="D238" s="4"/>
      <c r="E238" s="4"/>
      <c r="F238" s="6" t="str">
        <f>IF(A238="","",COUNTIF(Chicks!$G:$G,A238))</f>
        <v/>
      </c>
      <c r="G238" s="6" t="str">
        <f>IF(A238="","",COUNTIFS(Chicks!$G:$G,A238,Chicks!$I:$I,"Yes"))</f>
        <v/>
      </c>
      <c r="H238" s="6" t="str">
        <f>IF(A238="","",SUMIFS(Chicks!$J:$J,Chicks!$G:$G,A238))</f>
        <v/>
      </c>
      <c r="I238" s="6" t="str">
        <f>IF(A238="","",COUNTIFS(Chicks!$G:$G,A238,Chicks!$I:$I,"No"))</f>
        <v/>
      </c>
      <c r="J238" s="6" t="str">
        <f>IF(A238="","",IFERROR(AVERAGEIF(Chicks!$G:$G,A238,Chicks!$M:$M),""))</f>
        <v/>
      </c>
      <c r="K238" s="6" t="str">
        <f>IF(A238="","",SUMIFS(Chicks!$N:$N,Chicks!$G:$G,A238))</f>
        <v/>
      </c>
      <c r="L238" s="6" t="str">
        <f>IF(A238="","",SUMIFS(Chicks!$O:$O,Chicks!$G:$G,A238))</f>
        <v/>
      </c>
      <c r="M238" s="6" t="str">
        <f>IF(A238="","",SUMIFS(Chicks!$P:$P,Chicks!$G:$G,A238))</f>
        <v/>
      </c>
      <c r="N238" s="6" t="str">
        <f t="shared" si="0"/>
        <v/>
      </c>
    </row>
    <row r="239" spans="1:14" ht="14.25" customHeight="1" x14ac:dyDescent="0.3">
      <c r="A239" s="4"/>
      <c r="B239" s="4"/>
      <c r="C239" s="4"/>
      <c r="D239" s="4"/>
      <c r="E239" s="4"/>
      <c r="F239" s="6" t="str">
        <f>IF(A239="","",COUNTIF(Chicks!$G:$G,A239))</f>
        <v/>
      </c>
      <c r="G239" s="6" t="str">
        <f>IF(A239="","",COUNTIFS(Chicks!$G:$G,A239,Chicks!$I:$I,"Yes"))</f>
        <v/>
      </c>
      <c r="H239" s="6" t="str">
        <f>IF(A239="","",SUMIFS(Chicks!$J:$J,Chicks!$G:$G,A239))</f>
        <v/>
      </c>
      <c r="I239" s="6" t="str">
        <f>IF(A239="","",COUNTIFS(Chicks!$G:$G,A239,Chicks!$I:$I,"No"))</f>
        <v/>
      </c>
      <c r="J239" s="6" t="str">
        <f>IF(A239="","",IFERROR(AVERAGEIF(Chicks!$G:$G,A239,Chicks!$M:$M),""))</f>
        <v/>
      </c>
      <c r="K239" s="6" t="str">
        <f>IF(A239="","",SUMIFS(Chicks!$N:$N,Chicks!$G:$G,A239))</f>
        <v/>
      </c>
      <c r="L239" s="6" t="str">
        <f>IF(A239="","",SUMIFS(Chicks!$O:$O,Chicks!$G:$G,A239))</f>
        <v/>
      </c>
      <c r="M239" s="6" t="str">
        <f>IF(A239="","",SUMIFS(Chicks!$P:$P,Chicks!$G:$G,A239))</f>
        <v/>
      </c>
      <c r="N239" s="6" t="str">
        <f t="shared" si="0"/>
        <v/>
      </c>
    </row>
    <row r="240" spans="1:14" ht="14.25" customHeight="1" x14ac:dyDescent="0.3">
      <c r="A240" s="4"/>
      <c r="B240" s="4"/>
      <c r="C240" s="4"/>
      <c r="D240" s="4"/>
      <c r="E240" s="4"/>
      <c r="F240" s="6" t="str">
        <f>IF(A240="","",COUNTIF(Chicks!$G:$G,A240))</f>
        <v/>
      </c>
      <c r="G240" s="6" t="str">
        <f>IF(A240="","",COUNTIFS(Chicks!$G:$G,A240,Chicks!$I:$I,"Yes"))</f>
        <v/>
      </c>
      <c r="H240" s="6" t="str">
        <f>IF(A240="","",SUMIFS(Chicks!$J:$J,Chicks!$G:$G,A240))</f>
        <v/>
      </c>
      <c r="I240" s="6" t="str">
        <f>IF(A240="","",COUNTIFS(Chicks!$G:$G,A240,Chicks!$I:$I,"No"))</f>
        <v/>
      </c>
      <c r="J240" s="6" t="str">
        <f>IF(A240="","",IFERROR(AVERAGEIF(Chicks!$G:$G,A240,Chicks!$M:$M),""))</f>
        <v/>
      </c>
      <c r="K240" s="6" t="str">
        <f>IF(A240="","",SUMIFS(Chicks!$N:$N,Chicks!$G:$G,A240))</f>
        <v/>
      </c>
      <c r="L240" s="6" t="str">
        <f>IF(A240="","",SUMIFS(Chicks!$O:$O,Chicks!$G:$G,A240))</f>
        <v/>
      </c>
      <c r="M240" s="6" t="str">
        <f>IF(A240="","",SUMIFS(Chicks!$P:$P,Chicks!$G:$G,A240))</f>
        <v/>
      </c>
      <c r="N240" s="6" t="str">
        <f t="shared" si="0"/>
        <v/>
      </c>
    </row>
    <row r="241" spans="1:14" ht="14.25" customHeight="1" x14ac:dyDescent="0.3">
      <c r="A241" s="4"/>
      <c r="B241" s="4"/>
      <c r="C241" s="4"/>
      <c r="D241" s="4"/>
      <c r="E241" s="4"/>
      <c r="F241" s="6" t="str">
        <f>IF(A241="","",COUNTIF(Chicks!$G:$G,A241))</f>
        <v/>
      </c>
      <c r="G241" s="6" t="str">
        <f>IF(A241="","",COUNTIFS(Chicks!$G:$G,A241,Chicks!$I:$I,"Yes"))</f>
        <v/>
      </c>
      <c r="H241" s="6" t="str">
        <f>IF(A241="","",SUMIFS(Chicks!$J:$J,Chicks!$G:$G,A241))</f>
        <v/>
      </c>
      <c r="I241" s="6" t="str">
        <f>IF(A241="","",COUNTIFS(Chicks!$G:$G,A241,Chicks!$I:$I,"No"))</f>
        <v/>
      </c>
      <c r="J241" s="6" t="str">
        <f>IF(A241="","",IFERROR(AVERAGEIF(Chicks!$G:$G,A241,Chicks!$M:$M),""))</f>
        <v/>
      </c>
      <c r="K241" s="6" t="str">
        <f>IF(A241="","",SUMIFS(Chicks!$N:$N,Chicks!$G:$G,A241))</f>
        <v/>
      </c>
      <c r="L241" s="6" t="str">
        <f>IF(A241="","",SUMIFS(Chicks!$O:$O,Chicks!$G:$G,A241))</f>
        <v/>
      </c>
      <c r="M241" s="6" t="str">
        <f>IF(A241="","",SUMIFS(Chicks!$P:$P,Chicks!$G:$G,A241))</f>
        <v/>
      </c>
      <c r="N241" s="6" t="str">
        <f t="shared" si="0"/>
        <v/>
      </c>
    </row>
    <row r="242" spans="1:14" ht="14.25" customHeight="1" x14ac:dyDescent="0.3">
      <c r="A242" s="4"/>
      <c r="B242" s="4"/>
      <c r="C242" s="4"/>
      <c r="D242" s="4"/>
      <c r="E242" s="4"/>
      <c r="F242" s="6" t="str">
        <f>IF(A242="","",COUNTIF(Chicks!$G:$G,A242))</f>
        <v/>
      </c>
      <c r="G242" s="6" t="str">
        <f>IF(A242="","",COUNTIFS(Chicks!$G:$G,A242,Chicks!$I:$I,"Yes"))</f>
        <v/>
      </c>
      <c r="H242" s="6" t="str">
        <f>IF(A242="","",SUMIFS(Chicks!$J:$J,Chicks!$G:$G,A242))</f>
        <v/>
      </c>
      <c r="I242" s="6" t="str">
        <f>IF(A242="","",COUNTIFS(Chicks!$G:$G,A242,Chicks!$I:$I,"No"))</f>
        <v/>
      </c>
      <c r="J242" s="6" t="str">
        <f>IF(A242="","",IFERROR(AVERAGEIF(Chicks!$G:$G,A242,Chicks!$M:$M),""))</f>
        <v/>
      </c>
      <c r="K242" s="6" t="str">
        <f>IF(A242="","",SUMIFS(Chicks!$N:$N,Chicks!$G:$G,A242))</f>
        <v/>
      </c>
      <c r="L242" s="6" t="str">
        <f>IF(A242="","",SUMIFS(Chicks!$O:$O,Chicks!$G:$G,A242))</f>
        <v/>
      </c>
      <c r="M242" s="6" t="str">
        <f>IF(A242="","",SUMIFS(Chicks!$P:$P,Chicks!$G:$G,A242))</f>
        <v/>
      </c>
      <c r="N242" s="6" t="str">
        <f t="shared" si="0"/>
        <v/>
      </c>
    </row>
    <row r="243" spans="1:14" ht="14.25" customHeight="1" x14ac:dyDescent="0.3">
      <c r="A243" s="4"/>
      <c r="B243" s="4"/>
      <c r="C243" s="4"/>
      <c r="D243" s="4"/>
      <c r="E243" s="4"/>
      <c r="F243" s="6" t="str">
        <f>IF(A243="","",COUNTIF(Chicks!$G:$G,A243))</f>
        <v/>
      </c>
      <c r="G243" s="6" t="str">
        <f>IF(A243="","",COUNTIFS(Chicks!$G:$G,A243,Chicks!$I:$I,"Yes"))</f>
        <v/>
      </c>
      <c r="H243" s="6" t="str">
        <f>IF(A243="","",SUMIFS(Chicks!$J:$J,Chicks!$G:$G,A243))</f>
        <v/>
      </c>
      <c r="I243" s="6" t="str">
        <f>IF(A243="","",COUNTIFS(Chicks!$G:$G,A243,Chicks!$I:$I,"No"))</f>
        <v/>
      </c>
      <c r="J243" s="6" t="str">
        <f>IF(A243="","",IFERROR(AVERAGEIF(Chicks!$G:$G,A243,Chicks!$M:$M),""))</f>
        <v/>
      </c>
      <c r="K243" s="6" t="str">
        <f>IF(A243="","",SUMIFS(Chicks!$N:$N,Chicks!$G:$G,A243))</f>
        <v/>
      </c>
      <c r="L243" s="6" t="str">
        <f>IF(A243="","",SUMIFS(Chicks!$O:$O,Chicks!$G:$G,A243))</f>
        <v/>
      </c>
      <c r="M243" s="6" t="str">
        <f>IF(A243="","",SUMIFS(Chicks!$P:$P,Chicks!$G:$G,A243))</f>
        <v/>
      </c>
      <c r="N243" s="6" t="str">
        <f t="shared" si="0"/>
        <v/>
      </c>
    </row>
    <row r="244" spans="1:14" ht="14.25" customHeight="1" x14ac:dyDescent="0.3">
      <c r="A244" s="4"/>
      <c r="B244" s="4"/>
      <c r="C244" s="4"/>
      <c r="D244" s="4"/>
      <c r="E244" s="4"/>
      <c r="F244" s="6" t="str">
        <f>IF(A244="","",COUNTIF(Chicks!$G:$G,A244))</f>
        <v/>
      </c>
      <c r="G244" s="6" t="str">
        <f>IF(A244="","",COUNTIFS(Chicks!$G:$G,A244,Chicks!$I:$I,"Yes"))</f>
        <v/>
      </c>
      <c r="H244" s="6" t="str">
        <f>IF(A244="","",SUMIFS(Chicks!$J:$J,Chicks!$G:$G,A244))</f>
        <v/>
      </c>
      <c r="I244" s="6" t="str">
        <f>IF(A244="","",COUNTIFS(Chicks!$G:$G,A244,Chicks!$I:$I,"No"))</f>
        <v/>
      </c>
      <c r="J244" s="6" t="str">
        <f>IF(A244="","",IFERROR(AVERAGEIF(Chicks!$G:$G,A244,Chicks!$M:$M),""))</f>
        <v/>
      </c>
      <c r="K244" s="6" t="str">
        <f>IF(A244="","",SUMIFS(Chicks!$N:$N,Chicks!$G:$G,A244))</f>
        <v/>
      </c>
      <c r="L244" s="6" t="str">
        <f>IF(A244="","",SUMIFS(Chicks!$O:$O,Chicks!$G:$G,A244))</f>
        <v/>
      </c>
      <c r="M244" s="6" t="str">
        <f>IF(A244="","",SUMIFS(Chicks!$P:$P,Chicks!$G:$G,A244))</f>
        <v/>
      </c>
      <c r="N244" s="6" t="str">
        <f t="shared" si="0"/>
        <v/>
      </c>
    </row>
    <row r="245" spans="1:14" ht="14.25" customHeight="1" x14ac:dyDescent="0.3">
      <c r="A245" s="4"/>
      <c r="B245" s="4"/>
      <c r="C245" s="4"/>
      <c r="D245" s="4"/>
      <c r="E245" s="4"/>
      <c r="F245" s="6" t="str">
        <f>IF(A245="","",COUNTIF(Chicks!$G:$G,A245))</f>
        <v/>
      </c>
      <c r="G245" s="6" t="str">
        <f>IF(A245="","",COUNTIFS(Chicks!$G:$G,A245,Chicks!$I:$I,"Yes"))</f>
        <v/>
      </c>
      <c r="H245" s="6" t="str">
        <f>IF(A245="","",SUMIFS(Chicks!$J:$J,Chicks!$G:$G,A245))</f>
        <v/>
      </c>
      <c r="I245" s="6" t="str">
        <f>IF(A245="","",COUNTIFS(Chicks!$G:$G,A245,Chicks!$I:$I,"No"))</f>
        <v/>
      </c>
      <c r="J245" s="6" t="str">
        <f>IF(A245="","",IFERROR(AVERAGEIF(Chicks!$G:$G,A245,Chicks!$M:$M),""))</f>
        <v/>
      </c>
      <c r="K245" s="6" t="str">
        <f>IF(A245="","",SUMIFS(Chicks!$N:$N,Chicks!$G:$G,A245))</f>
        <v/>
      </c>
      <c r="L245" s="6" t="str">
        <f>IF(A245="","",SUMIFS(Chicks!$O:$O,Chicks!$G:$G,A245))</f>
        <v/>
      </c>
      <c r="M245" s="6" t="str">
        <f>IF(A245="","",SUMIFS(Chicks!$P:$P,Chicks!$G:$G,A245))</f>
        <v/>
      </c>
      <c r="N245" s="6" t="str">
        <f t="shared" si="0"/>
        <v/>
      </c>
    </row>
    <row r="246" spans="1:14" ht="14.25" customHeight="1" x14ac:dyDescent="0.3">
      <c r="A246" s="4"/>
      <c r="B246" s="4"/>
      <c r="C246" s="4"/>
      <c r="D246" s="4"/>
      <c r="E246" s="4"/>
      <c r="F246" s="6" t="str">
        <f>IF(A246="","",COUNTIF(Chicks!$G:$G,A246))</f>
        <v/>
      </c>
      <c r="G246" s="6" t="str">
        <f>IF(A246="","",COUNTIFS(Chicks!$G:$G,A246,Chicks!$I:$I,"Yes"))</f>
        <v/>
      </c>
      <c r="H246" s="6" t="str">
        <f>IF(A246="","",SUMIFS(Chicks!$J:$J,Chicks!$G:$G,A246))</f>
        <v/>
      </c>
      <c r="I246" s="6" t="str">
        <f>IF(A246="","",COUNTIFS(Chicks!$G:$G,A246,Chicks!$I:$I,"No"))</f>
        <v/>
      </c>
      <c r="J246" s="6" t="str">
        <f>IF(A246="","",IFERROR(AVERAGEIF(Chicks!$G:$G,A246,Chicks!$M:$M),""))</f>
        <v/>
      </c>
      <c r="K246" s="6" t="str">
        <f>IF(A246="","",SUMIFS(Chicks!$N:$N,Chicks!$G:$G,A246))</f>
        <v/>
      </c>
      <c r="L246" s="6" t="str">
        <f>IF(A246="","",SUMIFS(Chicks!$O:$O,Chicks!$G:$G,A246))</f>
        <v/>
      </c>
      <c r="M246" s="6" t="str">
        <f>IF(A246="","",SUMIFS(Chicks!$P:$P,Chicks!$G:$G,A246))</f>
        <v/>
      </c>
      <c r="N246" s="6" t="str">
        <f t="shared" si="0"/>
        <v/>
      </c>
    </row>
    <row r="247" spans="1:14" ht="14.25" customHeight="1" x14ac:dyDescent="0.3">
      <c r="A247" s="4"/>
      <c r="B247" s="4"/>
      <c r="C247" s="4"/>
      <c r="D247" s="4"/>
      <c r="E247" s="4"/>
      <c r="F247" s="6" t="str">
        <f>IF(A247="","",COUNTIF(Chicks!$G:$G,A247))</f>
        <v/>
      </c>
      <c r="G247" s="6" t="str">
        <f>IF(A247="","",COUNTIFS(Chicks!$G:$G,A247,Chicks!$I:$I,"Yes"))</f>
        <v/>
      </c>
      <c r="H247" s="6" t="str">
        <f>IF(A247="","",SUMIFS(Chicks!$J:$J,Chicks!$G:$G,A247))</f>
        <v/>
      </c>
      <c r="I247" s="6" t="str">
        <f>IF(A247="","",COUNTIFS(Chicks!$G:$G,A247,Chicks!$I:$I,"No"))</f>
        <v/>
      </c>
      <c r="J247" s="6" t="str">
        <f>IF(A247="","",IFERROR(AVERAGEIF(Chicks!$G:$G,A247,Chicks!$M:$M),""))</f>
        <v/>
      </c>
      <c r="K247" s="6" t="str">
        <f>IF(A247="","",SUMIFS(Chicks!$N:$N,Chicks!$G:$G,A247))</f>
        <v/>
      </c>
      <c r="L247" s="6" t="str">
        <f>IF(A247="","",SUMIFS(Chicks!$O:$O,Chicks!$G:$G,A247))</f>
        <v/>
      </c>
      <c r="M247" s="6" t="str">
        <f>IF(A247="","",SUMIFS(Chicks!$P:$P,Chicks!$G:$G,A247))</f>
        <v/>
      </c>
      <c r="N247" s="6" t="str">
        <f t="shared" si="0"/>
        <v/>
      </c>
    </row>
    <row r="248" spans="1:14" ht="14.25" customHeight="1" x14ac:dyDescent="0.3">
      <c r="A248" s="4"/>
      <c r="B248" s="4"/>
      <c r="C248" s="4"/>
      <c r="D248" s="4"/>
      <c r="E248" s="4"/>
      <c r="F248" s="6" t="str">
        <f>IF(A248="","",COUNTIF(Chicks!$G:$G,A248))</f>
        <v/>
      </c>
      <c r="G248" s="6" t="str">
        <f>IF(A248="","",COUNTIFS(Chicks!$G:$G,A248,Chicks!$I:$I,"Yes"))</f>
        <v/>
      </c>
      <c r="H248" s="6" t="str">
        <f>IF(A248="","",SUMIFS(Chicks!$J:$J,Chicks!$G:$G,A248))</f>
        <v/>
      </c>
      <c r="I248" s="6" t="str">
        <f>IF(A248="","",COUNTIFS(Chicks!$G:$G,A248,Chicks!$I:$I,"No"))</f>
        <v/>
      </c>
      <c r="J248" s="6" t="str">
        <f>IF(A248="","",IFERROR(AVERAGEIF(Chicks!$G:$G,A248,Chicks!$M:$M),""))</f>
        <v/>
      </c>
      <c r="K248" s="6" t="str">
        <f>IF(A248="","",SUMIFS(Chicks!$N:$N,Chicks!$G:$G,A248))</f>
        <v/>
      </c>
      <c r="L248" s="6" t="str">
        <f>IF(A248="","",SUMIFS(Chicks!$O:$O,Chicks!$G:$G,A248))</f>
        <v/>
      </c>
      <c r="M248" s="6" t="str">
        <f>IF(A248="","",SUMIFS(Chicks!$P:$P,Chicks!$G:$G,A248))</f>
        <v/>
      </c>
      <c r="N248" s="6" t="str">
        <f t="shared" si="0"/>
        <v/>
      </c>
    </row>
    <row r="249" spans="1:14" ht="14.25" customHeight="1" x14ac:dyDescent="0.3">
      <c r="A249" s="4"/>
      <c r="B249" s="4"/>
      <c r="C249" s="4"/>
      <c r="D249" s="4"/>
      <c r="E249" s="4"/>
      <c r="F249" s="6" t="str">
        <f>IF(A249="","",COUNTIF(Chicks!$G:$G,A249))</f>
        <v/>
      </c>
      <c r="G249" s="6" t="str">
        <f>IF(A249="","",COUNTIFS(Chicks!$G:$G,A249,Chicks!$I:$I,"Yes"))</f>
        <v/>
      </c>
      <c r="H249" s="6" t="str">
        <f>IF(A249="","",SUMIFS(Chicks!$J:$J,Chicks!$G:$G,A249))</f>
        <v/>
      </c>
      <c r="I249" s="6" t="str">
        <f>IF(A249="","",COUNTIFS(Chicks!$G:$G,A249,Chicks!$I:$I,"No"))</f>
        <v/>
      </c>
      <c r="J249" s="6" t="str">
        <f>IF(A249="","",IFERROR(AVERAGEIF(Chicks!$G:$G,A249,Chicks!$M:$M),""))</f>
        <v/>
      </c>
      <c r="K249" s="6" t="str">
        <f>IF(A249="","",SUMIFS(Chicks!$N:$N,Chicks!$G:$G,A249))</f>
        <v/>
      </c>
      <c r="L249" s="6" t="str">
        <f>IF(A249="","",SUMIFS(Chicks!$O:$O,Chicks!$G:$G,A249))</f>
        <v/>
      </c>
      <c r="M249" s="6" t="str">
        <f>IF(A249="","",SUMIFS(Chicks!$P:$P,Chicks!$G:$G,A249))</f>
        <v/>
      </c>
      <c r="N249" s="6" t="str">
        <f t="shared" si="0"/>
        <v/>
      </c>
    </row>
    <row r="250" spans="1:14" ht="14.25" customHeight="1" x14ac:dyDescent="0.3">
      <c r="A250" s="4"/>
      <c r="B250" s="4"/>
      <c r="C250" s="4"/>
      <c r="D250" s="4"/>
      <c r="E250" s="4"/>
      <c r="F250" s="6" t="str">
        <f>IF(A250="","",COUNTIF(Chicks!$G:$G,A250))</f>
        <v/>
      </c>
      <c r="G250" s="6" t="str">
        <f>IF(A250="","",COUNTIFS(Chicks!$G:$G,A250,Chicks!$I:$I,"Yes"))</f>
        <v/>
      </c>
      <c r="H250" s="6" t="str">
        <f>IF(A250="","",SUMIFS(Chicks!$J:$J,Chicks!$G:$G,A250))</f>
        <v/>
      </c>
      <c r="I250" s="6" t="str">
        <f>IF(A250="","",COUNTIFS(Chicks!$G:$G,A250,Chicks!$I:$I,"No"))</f>
        <v/>
      </c>
      <c r="J250" s="6" t="str">
        <f>IF(A250="","",IFERROR(AVERAGEIF(Chicks!$G:$G,A250,Chicks!$M:$M),""))</f>
        <v/>
      </c>
      <c r="K250" s="6" t="str">
        <f>IF(A250="","",SUMIFS(Chicks!$N:$N,Chicks!$G:$G,A250))</f>
        <v/>
      </c>
      <c r="L250" s="6" t="str">
        <f>IF(A250="","",SUMIFS(Chicks!$O:$O,Chicks!$G:$G,A250))</f>
        <v/>
      </c>
      <c r="M250" s="6" t="str">
        <f>IF(A250="","",SUMIFS(Chicks!$P:$P,Chicks!$G:$G,A250))</f>
        <v/>
      </c>
      <c r="N250" s="6" t="str">
        <f t="shared" si="0"/>
        <v/>
      </c>
    </row>
    <row r="251" spans="1:14" ht="14.25" customHeight="1" x14ac:dyDescent="0.3">
      <c r="A251" s="4"/>
      <c r="B251" s="4"/>
      <c r="C251" s="4"/>
      <c r="D251" s="4"/>
      <c r="E251" s="4"/>
      <c r="F251" s="6" t="str">
        <f>IF(A251="","",COUNTIF(Chicks!$G:$G,A251))</f>
        <v/>
      </c>
      <c r="G251" s="6" t="str">
        <f>IF(A251="","",COUNTIFS(Chicks!$G:$G,A251,Chicks!$I:$I,"Yes"))</f>
        <v/>
      </c>
      <c r="H251" s="6" t="str">
        <f>IF(A251="","",SUMIFS(Chicks!$J:$J,Chicks!$G:$G,A251))</f>
        <v/>
      </c>
      <c r="I251" s="6" t="str">
        <f>IF(A251="","",COUNTIFS(Chicks!$G:$G,A251,Chicks!$I:$I,"No"))</f>
        <v/>
      </c>
      <c r="J251" s="6" t="str">
        <f>IF(A251="","",IFERROR(AVERAGEIF(Chicks!$G:$G,A251,Chicks!$M:$M),""))</f>
        <v/>
      </c>
      <c r="K251" s="6" t="str">
        <f>IF(A251="","",SUMIFS(Chicks!$N:$N,Chicks!$G:$G,A251))</f>
        <v/>
      </c>
      <c r="L251" s="6" t="str">
        <f>IF(A251="","",SUMIFS(Chicks!$O:$O,Chicks!$G:$G,A251))</f>
        <v/>
      </c>
      <c r="M251" s="6" t="str">
        <f>IF(A251="","",SUMIFS(Chicks!$P:$P,Chicks!$G:$G,A251))</f>
        <v/>
      </c>
      <c r="N251" s="6" t="str">
        <f t="shared" si="0"/>
        <v/>
      </c>
    </row>
    <row r="252" spans="1:14" ht="14.25" customHeight="1" x14ac:dyDescent="0.3">
      <c r="A252" s="4"/>
      <c r="B252" s="4"/>
      <c r="C252" s="4"/>
      <c r="D252" s="4"/>
      <c r="E252" s="4"/>
      <c r="F252" s="6" t="str">
        <f>IF(A252="","",COUNTIF(Chicks!$G:$G,A252))</f>
        <v/>
      </c>
      <c r="G252" s="6" t="str">
        <f>IF(A252="","",COUNTIFS(Chicks!$G:$G,A252,Chicks!$I:$I,"Yes"))</f>
        <v/>
      </c>
      <c r="H252" s="6" t="str">
        <f>IF(A252="","",SUMIFS(Chicks!$J:$J,Chicks!$G:$G,A252))</f>
        <v/>
      </c>
      <c r="I252" s="6" t="str">
        <f>IF(A252="","",COUNTIFS(Chicks!$G:$G,A252,Chicks!$I:$I,"No"))</f>
        <v/>
      </c>
      <c r="J252" s="6" t="str">
        <f>IF(A252="","",IFERROR(AVERAGEIF(Chicks!$G:$G,A252,Chicks!$M:$M),""))</f>
        <v/>
      </c>
      <c r="K252" s="6" t="str">
        <f>IF(A252="","",SUMIFS(Chicks!$N:$N,Chicks!$G:$G,A252))</f>
        <v/>
      </c>
      <c r="L252" s="6" t="str">
        <f>IF(A252="","",SUMIFS(Chicks!$O:$O,Chicks!$G:$G,A252))</f>
        <v/>
      </c>
      <c r="M252" s="6" t="str">
        <f>IF(A252="","",SUMIFS(Chicks!$P:$P,Chicks!$G:$G,A252))</f>
        <v/>
      </c>
      <c r="N252" s="6" t="str">
        <f t="shared" si="0"/>
        <v/>
      </c>
    </row>
    <row r="253" spans="1:14" ht="14.25" customHeight="1" x14ac:dyDescent="0.3">
      <c r="A253" s="4"/>
      <c r="B253" s="4"/>
      <c r="C253" s="4"/>
      <c r="D253" s="4"/>
      <c r="E253" s="4"/>
      <c r="F253" s="6" t="str">
        <f>IF(A253="","",COUNTIF(Chicks!$G:$G,A253))</f>
        <v/>
      </c>
      <c r="G253" s="6" t="str">
        <f>IF(A253="","",COUNTIFS(Chicks!$G:$G,A253,Chicks!$I:$I,"Yes"))</f>
        <v/>
      </c>
      <c r="H253" s="6" t="str">
        <f>IF(A253="","",SUMIFS(Chicks!$J:$J,Chicks!$G:$G,A253))</f>
        <v/>
      </c>
      <c r="I253" s="6" t="str">
        <f>IF(A253="","",COUNTIFS(Chicks!$G:$G,A253,Chicks!$I:$I,"No"))</f>
        <v/>
      </c>
      <c r="J253" s="6" t="str">
        <f>IF(A253="","",IFERROR(AVERAGEIF(Chicks!$G:$G,A253,Chicks!$M:$M),""))</f>
        <v/>
      </c>
      <c r="K253" s="6" t="str">
        <f>IF(A253="","",SUMIFS(Chicks!$N:$N,Chicks!$G:$G,A253))</f>
        <v/>
      </c>
      <c r="L253" s="6" t="str">
        <f>IF(A253="","",SUMIFS(Chicks!$O:$O,Chicks!$G:$G,A253))</f>
        <v/>
      </c>
      <c r="M253" s="6" t="str">
        <f>IF(A253="","",SUMIFS(Chicks!$P:$P,Chicks!$G:$G,A253))</f>
        <v/>
      </c>
      <c r="N253" s="6" t="str">
        <f t="shared" si="0"/>
        <v/>
      </c>
    </row>
    <row r="254" spans="1:14" ht="14.25" customHeight="1" x14ac:dyDescent="0.3">
      <c r="A254" s="4"/>
      <c r="B254" s="4"/>
      <c r="C254" s="4"/>
      <c r="D254" s="4"/>
      <c r="E254" s="4"/>
      <c r="F254" s="6" t="str">
        <f>IF(A254="","",COUNTIF(Chicks!$G:$G,A254))</f>
        <v/>
      </c>
      <c r="G254" s="6" t="str">
        <f>IF(A254="","",COUNTIFS(Chicks!$G:$G,A254,Chicks!$I:$I,"Yes"))</f>
        <v/>
      </c>
      <c r="H254" s="6" t="str">
        <f>IF(A254="","",SUMIFS(Chicks!$J:$J,Chicks!$G:$G,A254))</f>
        <v/>
      </c>
      <c r="I254" s="6" t="str">
        <f>IF(A254="","",COUNTIFS(Chicks!$G:$G,A254,Chicks!$I:$I,"No"))</f>
        <v/>
      </c>
      <c r="J254" s="6" t="str">
        <f>IF(A254="","",IFERROR(AVERAGEIF(Chicks!$G:$G,A254,Chicks!$M:$M),""))</f>
        <v/>
      </c>
      <c r="K254" s="6" t="str">
        <f>IF(A254="","",SUMIFS(Chicks!$N:$N,Chicks!$G:$G,A254))</f>
        <v/>
      </c>
      <c r="L254" s="6" t="str">
        <f>IF(A254="","",SUMIFS(Chicks!$O:$O,Chicks!$G:$G,A254))</f>
        <v/>
      </c>
      <c r="M254" s="6" t="str">
        <f>IF(A254="","",SUMIFS(Chicks!$P:$P,Chicks!$G:$G,A254))</f>
        <v/>
      </c>
      <c r="N254" s="6" t="str">
        <f t="shared" si="0"/>
        <v/>
      </c>
    </row>
    <row r="255" spans="1:14" ht="14.25" customHeight="1" x14ac:dyDescent="0.3">
      <c r="A255" s="4"/>
      <c r="B255" s="4"/>
      <c r="C255" s="4"/>
      <c r="D255" s="4"/>
      <c r="E255" s="4"/>
      <c r="F255" s="6" t="str">
        <f>IF(A255="","",COUNTIF(Chicks!$G:$G,A255))</f>
        <v/>
      </c>
      <c r="G255" s="6" t="str">
        <f>IF(A255="","",COUNTIFS(Chicks!$G:$G,A255,Chicks!$I:$I,"Yes"))</f>
        <v/>
      </c>
      <c r="H255" s="6" t="str">
        <f>IF(A255="","",SUMIFS(Chicks!$J:$J,Chicks!$G:$G,A255))</f>
        <v/>
      </c>
      <c r="I255" s="6" t="str">
        <f>IF(A255="","",COUNTIFS(Chicks!$G:$G,A255,Chicks!$I:$I,"No"))</f>
        <v/>
      </c>
      <c r="J255" s="6" t="str">
        <f>IF(A255="","",IFERROR(AVERAGEIF(Chicks!$G:$G,A255,Chicks!$M:$M),""))</f>
        <v/>
      </c>
      <c r="K255" s="6" t="str">
        <f>IF(A255="","",SUMIFS(Chicks!$N:$N,Chicks!$G:$G,A255))</f>
        <v/>
      </c>
      <c r="L255" s="6" t="str">
        <f>IF(A255="","",SUMIFS(Chicks!$O:$O,Chicks!$G:$G,A255))</f>
        <v/>
      </c>
      <c r="M255" s="6" t="str">
        <f>IF(A255="","",SUMIFS(Chicks!$P:$P,Chicks!$G:$G,A255))</f>
        <v/>
      </c>
      <c r="N255" s="6" t="str">
        <f t="shared" si="0"/>
        <v/>
      </c>
    </row>
    <row r="256" spans="1:14" ht="14.25" customHeight="1" x14ac:dyDescent="0.3">
      <c r="A256" s="4"/>
      <c r="B256" s="4"/>
      <c r="C256" s="4"/>
      <c r="D256" s="4"/>
      <c r="E256" s="4"/>
      <c r="F256" s="6" t="str">
        <f>IF(A256="","",COUNTIF(Chicks!$G:$G,A256))</f>
        <v/>
      </c>
      <c r="G256" s="6" t="str">
        <f>IF(A256="","",COUNTIFS(Chicks!$G:$G,A256,Chicks!$I:$I,"Yes"))</f>
        <v/>
      </c>
      <c r="H256" s="6" t="str">
        <f>IF(A256="","",SUMIFS(Chicks!$J:$J,Chicks!$G:$G,A256))</f>
        <v/>
      </c>
      <c r="I256" s="6" t="str">
        <f>IF(A256="","",COUNTIFS(Chicks!$G:$G,A256,Chicks!$I:$I,"No"))</f>
        <v/>
      </c>
      <c r="J256" s="6" t="str">
        <f>IF(A256="","",IFERROR(AVERAGEIF(Chicks!$G:$G,A256,Chicks!$M:$M),""))</f>
        <v/>
      </c>
      <c r="K256" s="6" t="str">
        <f>IF(A256="","",SUMIFS(Chicks!$N:$N,Chicks!$G:$G,A256))</f>
        <v/>
      </c>
      <c r="L256" s="6" t="str">
        <f>IF(A256="","",SUMIFS(Chicks!$O:$O,Chicks!$G:$G,A256))</f>
        <v/>
      </c>
      <c r="M256" s="6" t="str">
        <f>IF(A256="","",SUMIFS(Chicks!$P:$P,Chicks!$G:$G,A256))</f>
        <v/>
      </c>
      <c r="N256" s="6" t="str">
        <f t="shared" si="0"/>
        <v/>
      </c>
    </row>
    <row r="257" spans="1:14" ht="14.25" customHeight="1" x14ac:dyDescent="0.3">
      <c r="A257" s="4"/>
      <c r="B257" s="4"/>
      <c r="C257" s="4"/>
      <c r="D257" s="4"/>
      <c r="E257" s="4"/>
      <c r="F257" s="6" t="str">
        <f>IF(A257="","",COUNTIF(Chicks!$G:$G,A257))</f>
        <v/>
      </c>
      <c r="G257" s="6" t="str">
        <f>IF(A257="","",COUNTIFS(Chicks!$G:$G,A257,Chicks!$I:$I,"Yes"))</f>
        <v/>
      </c>
      <c r="H257" s="6" t="str">
        <f>IF(A257="","",SUMIFS(Chicks!$J:$J,Chicks!$G:$G,A257))</f>
        <v/>
      </c>
      <c r="I257" s="6" t="str">
        <f>IF(A257="","",COUNTIFS(Chicks!$G:$G,A257,Chicks!$I:$I,"No"))</f>
        <v/>
      </c>
      <c r="J257" s="6" t="str">
        <f>IF(A257="","",IFERROR(AVERAGEIF(Chicks!$G:$G,A257,Chicks!$M:$M),""))</f>
        <v/>
      </c>
      <c r="K257" s="6" t="str">
        <f>IF(A257="","",SUMIFS(Chicks!$N:$N,Chicks!$G:$G,A257))</f>
        <v/>
      </c>
      <c r="L257" s="6" t="str">
        <f>IF(A257="","",SUMIFS(Chicks!$O:$O,Chicks!$G:$G,A257))</f>
        <v/>
      </c>
      <c r="M257" s="6" t="str">
        <f>IF(A257="","",SUMIFS(Chicks!$P:$P,Chicks!$G:$G,A257))</f>
        <v/>
      </c>
      <c r="N257" s="6" t="str">
        <f t="shared" ref="N257:N511" si="2">IF($J257="","",RANK($J257,$J$2:$J$998,0))</f>
        <v/>
      </c>
    </row>
    <row r="258" spans="1:14" ht="14.25" customHeight="1" x14ac:dyDescent="0.3">
      <c r="A258" s="4"/>
      <c r="B258" s="4"/>
      <c r="C258" s="4"/>
      <c r="D258" s="4"/>
      <c r="E258" s="4"/>
      <c r="F258" s="6" t="str">
        <f>IF(A258="","",COUNTIF(Chicks!$G:$G,A258))</f>
        <v/>
      </c>
      <c r="G258" s="6" t="str">
        <f>IF(A258="","",COUNTIFS(Chicks!$G:$G,A258,Chicks!$I:$I,"Yes"))</f>
        <v/>
      </c>
      <c r="H258" s="6" t="str">
        <f>IF(A258="","",SUMIFS(Chicks!$J:$J,Chicks!$G:$G,A258))</f>
        <v/>
      </c>
      <c r="I258" s="6" t="str">
        <f>IF(A258="","",COUNTIFS(Chicks!$G:$G,A258,Chicks!$I:$I,"No"))</f>
        <v/>
      </c>
      <c r="J258" s="6" t="str">
        <f>IF(A258="","",IFERROR(AVERAGEIF(Chicks!$G:$G,A258,Chicks!$M:$M),""))</f>
        <v/>
      </c>
      <c r="K258" s="6" t="str">
        <f>IF(A258="","",SUMIFS(Chicks!$N:$N,Chicks!$G:$G,A258))</f>
        <v/>
      </c>
      <c r="L258" s="6" t="str">
        <f>IF(A258="","",SUMIFS(Chicks!$O:$O,Chicks!$G:$G,A258))</f>
        <v/>
      </c>
      <c r="M258" s="6" t="str">
        <f>IF(A258="","",SUMIFS(Chicks!$P:$P,Chicks!$G:$G,A258))</f>
        <v/>
      </c>
      <c r="N258" s="6" t="str">
        <f t="shared" si="2"/>
        <v/>
      </c>
    </row>
    <row r="259" spans="1:14" ht="14.25" customHeight="1" x14ac:dyDescent="0.3">
      <c r="A259" s="4"/>
      <c r="B259" s="4"/>
      <c r="C259" s="4"/>
      <c r="D259" s="4"/>
      <c r="E259" s="4"/>
      <c r="F259" s="6" t="str">
        <f>IF(A259="","",COUNTIF(Chicks!$G:$G,A259))</f>
        <v/>
      </c>
      <c r="G259" s="6" t="str">
        <f>IF(A259="","",COUNTIFS(Chicks!$G:$G,A259,Chicks!$I:$I,"Yes"))</f>
        <v/>
      </c>
      <c r="H259" s="6" t="str">
        <f>IF(A259="","",SUMIFS(Chicks!$J:$J,Chicks!$G:$G,A259))</f>
        <v/>
      </c>
      <c r="I259" s="6" t="str">
        <f>IF(A259="","",COUNTIFS(Chicks!$G:$G,A259,Chicks!$I:$I,"No"))</f>
        <v/>
      </c>
      <c r="J259" s="6" t="str">
        <f>IF(A259="","",IFERROR(AVERAGEIF(Chicks!$G:$G,A259,Chicks!$M:$M),""))</f>
        <v/>
      </c>
      <c r="K259" s="6" t="str">
        <f>IF(A259="","",SUMIFS(Chicks!$N:$N,Chicks!$G:$G,A259))</f>
        <v/>
      </c>
      <c r="L259" s="6" t="str">
        <f>IF(A259="","",SUMIFS(Chicks!$O:$O,Chicks!$G:$G,A259))</f>
        <v/>
      </c>
      <c r="M259" s="6" t="str">
        <f>IF(A259="","",SUMIFS(Chicks!$P:$P,Chicks!$G:$G,A259))</f>
        <v/>
      </c>
      <c r="N259" s="6" t="str">
        <f t="shared" si="2"/>
        <v/>
      </c>
    </row>
    <row r="260" spans="1:14" ht="14.25" customHeight="1" x14ac:dyDescent="0.3">
      <c r="A260" s="4"/>
      <c r="B260" s="4"/>
      <c r="C260" s="4"/>
      <c r="D260" s="4"/>
      <c r="E260" s="4"/>
      <c r="F260" s="6" t="str">
        <f>IF(A260="","",COUNTIF(Chicks!$G:$G,A260))</f>
        <v/>
      </c>
      <c r="G260" s="6" t="str">
        <f>IF(A260="","",COUNTIFS(Chicks!$G:$G,A260,Chicks!$I:$I,"Yes"))</f>
        <v/>
      </c>
      <c r="H260" s="6" t="str">
        <f>IF(A260="","",SUMIFS(Chicks!$J:$J,Chicks!$G:$G,A260))</f>
        <v/>
      </c>
      <c r="I260" s="6" t="str">
        <f>IF(A260="","",COUNTIFS(Chicks!$G:$G,A260,Chicks!$I:$I,"No"))</f>
        <v/>
      </c>
      <c r="J260" s="6" t="str">
        <f>IF(A260="","",IFERROR(AVERAGEIF(Chicks!$G:$G,A260,Chicks!$M:$M),""))</f>
        <v/>
      </c>
      <c r="K260" s="6" t="str">
        <f>IF(A260="","",SUMIFS(Chicks!$N:$N,Chicks!$G:$G,A260))</f>
        <v/>
      </c>
      <c r="L260" s="6" t="str">
        <f>IF(A260="","",SUMIFS(Chicks!$O:$O,Chicks!$G:$G,A260))</f>
        <v/>
      </c>
      <c r="M260" s="6" t="str">
        <f>IF(A260="","",SUMIFS(Chicks!$P:$P,Chicks!$G:$G,A260))</f>
        <v/>
      </c>
      <c r="N260" s="6" t="str">
        <f t="shared" si="2"/>
        <v/>
      </c>
    </row>
    <row r="261" spans="1:14" ht="14.25" customHeight="1" x14ac:dyDescent="0.3">
      <c r="A261" s="4"/>
      <c r="B261" s="4"/>
      <c r="C261" s="4"/>
      <c r="D261" s="4"/>
      <c r="E261" s="4"/>
      <c r="F261" s="6" t="str">
        <f>IF(A261="","",COUNTIF(Chicks!$G:$G,A261))</f>
        <v/>
      </c>
      <c r="G261" s="6" t="str">
        <f>IF(A261="","",COUNTIFS(Chicks!$G:$G,A261,Chicks!$I:$I,"Yes"))</f>
        <v/>
      </c>
      <c r="H261" s="6" t="str">
        <f>IF(A261="","",SUMIFS(Chicks!$J:$J,Chicks!$G:$G,A261))</f>
        <v/>
      </c>
      <c r="I261" s="6" t="str">
        <f>IF(A261="","",COUNTIFS(Chicks!$G:$G,A261,Chicks!$I:$I,"No"))</f>
        <v/>
      </c>
      <c r="J261" s="6" t="str">
        <f>IF(A261="","",IFERROR(AVERAGEIF(Chicks!$G:$G,A261,Chicks!$M:$M),""))</f>
        <v/>
      </c>
      <c r="K261" s="6" t="str">
        <f>IF(A261="","",SUMIFS(Chicks!$N:$N,Chicks!$G:$G,A261))</f>
        <v/>
      </c>
      <c r="L261" s="6" t="str">
        <f>IF(A261="","",SUMIFS(Chicks!$O:$O,Chicks!$G:$G,A261))</f>
        <v/>
      </c>
      <c r="M261" s="6" t="str">
        <f>IF(A261="","",SUMIFS(Chicks!$P:$P,Chicks!$G:$G,A261))</f>
        <v/>
      </c>
      <c r="N261" s="6" t="str">
        <f t="shared" si="2"/>
        <v/>
      </c>
    </row>
    <row r="262" spans="1:14" ht="14.25" customHeight="1" x14ac:dyDescent="0.3">
      <c r="A262" s="4"/>
      <c r="B262" s="4"/>
      <c r="C262" s="4"/>
      <c r="D262" s="4"/>
      <c r="E262" s="4"/>
      <c r="F262" s="6" t="str">
        <f>IF(A262="","",COUNTIF(Chicks!$G:$G,A262))</f>
        <v/>
      </c>
      <c r="G262" s="6" t="str">
        <f>IF(A262="","",COUNTIFS(Chicks!$G:$G,A262,Chicks!$I:$I,"Yes"))</f>
        <v/>
      </c>
      <c r="H262" s="6" t="str">
        <f>IF(A262="","",SUMIFS(Chicks!$J:$J,Chicks!$G:$G,A262))</f>
        <v/>
      </c>
      <c r="I262" s="6" t="str">
        <f>IF(A262="","",COUNTIFS(Chicks!$G:$G,A262,Chicks!$I:$I,"No"))</f>
        <v/>
      </c>
      <c r="J262" s="6" t="str">
        <f>IF(A262="","",IFERROR(AVERAGEIF(Chicks!$G:$G,A262,Chicks!$M:$M),""))</f>
        <v/>
      </c>
      <c r="K262" s="6" t="str">
        <f>IF(A262="","",SUMIFS(Chicks!$N:$N,Chicks!$G:$G,A262))</f>
        <v/>
      </c>
      <c r="L262" s="6" t="str">
        <f>IF(A262="","",SUMIFS(Chicks!$O:$O,Chicks!$G:$G,A262))</f>
        <v/>
      </c>
      <c r="M262" s="6" t="str">
        <f>IF(A262="","",SUMIFS(Chicks!$P:$P,Chicks!$G:$G,A262))</f>
        <v/>
      </c>
      <c r="N262" s="6" t="str">
        <f t="shared" si="2"/>
        <v/>
      </c>
    </row>
    <row r="263" spans="1:14" ht="14.25" customHeight="1" x14ac:dyDescent="0.3">
      <c r="A263" s="4"/>
      <c r="B263" s="4"/>
      <c r="C263" s="4"/>
      <c r="D263" s="4"/>
      <c r="E263" s="4"/>
      <c r="F263" s="6" t="str">
        <f>IF(A263="","",COUNTIF(Chicks!$G:$G,A263))</f>
        <v/>
      </c>
      <c r="G263" s="6" t="str">
        <f>IF(A263="","",COUNTIFS(Chicks!$G:$G,A263,Chicks!$I:$I,"Yes"))</f>
        <v/>
      </c>
      <c r="H263" s="6" t="str">
        <f>IF(A263="","",SUMIFS(Chicks!$J:$J,Chicks!$G:$G,A263))</f>
        <v/>
      </c>
      <c r="I263" s="6" t="str">
        <f>IF(A263="","",COUNTIFS(Chicks!$G:$G,A263,Chicks!$I:$I,"No"))</f>
        <v/>
      </c>
      <c r="J263" s="6" t="str">
        <f>IF(A263="","",IFERROR(AVERAGEIF(Chicks!$G:$G,A263,Chicks!$M:$M),""))</f>
        <v/>
      </c>
      <c r="K263" s="6" t="str">
        <f>IF(A263="","",SUMIFS(Chicks!$N:$N,Chicks!$G:$G,A263))</f>
        <v/>
      </c>
      <c r="L263" s="6" t="str">
        <f>IF(A263="","",SUMIFS(Chicks!$O:$O,Chicks!$G:$G,A263))</f>
        <v/>
      </c>
      <c r="M263" s="6" t="str">
        <f>IF(A263="","",SUMIFS(Chicks!$P:$P,Chicks!$G:$G,A263))</f>
        <v/>
      </c>
      <c r="N263" s="6" t="str">
        <f t="shared" si="2"/>
        <v/>
      </c>
    </row>
    <row r="264" spans="1:14" ht="14.25" customHeight="1" x14ac:dyDescent="0.3">
      <c r="A264" s="4"/>
      <c r="B264" s="4"/>
      <c r="C264" s="4"/>
      <c r="D264" s="4"/>
      <c r="E264" s="4"/>
      <c r="F264" s="6" t="str">
        <f>IF(A264="","",COUNTIF(Chicks!$G:$G,A264))</f>
        <v/>
      </c>
      <c r="G264" s="6" t="str">
        <f>IF(A264="","",COUNTIFS(Chicks!$G:$G,A264,Chicks!$I:$I,"Yes"))</f>
        <v/>
      </c>
      <c r="H264" s="6" t="str">
        <f>IF(A264="","",SUMIFS(Chicks!$J:$J,Chicks!$G:$G,A264))</f>
        <v/>
      </c>
      <c r="I264" s="6" t="str">
        <f>IF(A264="","",COUNTIFS(Chicks!$G:$G,A264,Chicks!$I:$I,"No"))</f>
        <v/>
      </c>
      <c r="J264" s="6" t="str">
        <f>IF(A264="","",IFERROR(AVERAGEIF(Chicks!$G:$G,A264,Chicks!$M:$M),""))</f>
        <v/>
      </c>
      <c r="K264" s="6" t="str">
        <f>IF(A264="","",SUMIFS(Chicks!$N:$N,Chicks!$G:$G,A264))</f>
        <v/>
      </c>
      <c r="L264" s="6" t="str">
        <f>IF(A264="","",SUMIFS(Chicks!$O:$O,Chicks!$G:$G,A264))</f>
        <v/>
      </c>
      <c r="M264" s="6" t="str">
        <f>IF(A264="","",SUMIFS(Chicks!$P:$P,Chicks!$G:$G,A264))</f>
        <v/>
      </c>
      <c r="N264" s="6" t="str">
        <f t="shared" si="2"/>
        <v/>
      </c>
    </row>
    <row r="265" spans="1:14" ht="14.25" customHeight="1" x14ac:dyDescent="0.3">
      <c r="A265" s="4"/>
      <c r="B265" s="4"/>
      <c r="C265" s="4"/>
      <c r="D265" s="4"/>
      <c r="E265" s="4"/>
      <c r="F265" s="6" t="str">
        <f>IF(A265="","",COUNTIF(Chicks!$G:$G,A265))</f>
        <v/>
      </c>
      <c r="G265" s="6" t="str">
        <f>IF(A265="","",COUNTIFS(Chicks!$G:$G,A265,Chicks!$I:$I,"Yes"))</f>
        <v/>
      </c>
      <c r="H265" s="6" t="str">
        <f>IF(A265="","",SUMIFS(Chicks!$J:$J,Chicks!$G:$G,A265))</f>
        <v/>
      </c>
      <c r="I265" s="6" t="str">
        <f>IF(A265="","",COUNTIFS(Chicks!$G:$G,A265,Chicks!$I:$I,"No"))</f>
        <v/>
      </c>
      <c r="J265" s="6" t="str">
        <f>IF(A265="","",IFERROR(AVERAGEIF(Chicks!$G:$G,A265,Chicks!$M:$M),""))</f>
        <v/>
      </c>
      <c r="K265" s="6" t="str">
        <f>IF(A265="","",SUMIFS(Chicks!$N:$N,Chicks!$G:$G,A265))</f>
        <v/>
      </c>
      <c r="L265" s="6" t="str">
        <f>IF(A265="","",SUMIFS(Chicks!$O:$O,Chicks!$G:$G,A265))</f>
        <v/>
      </c>
      <c r="M265" s="6" t="str">
        <f>IF(A265="","",SUMIFS(Chicks!$P:$P,Chicks!$G:$G,A265))</f>
        <v/>
      </c>
      <c r="N265" s="6" t="str">
        <f t="shared" si="2"/>
        <v/>
      </c>
    </row>
    <row r="266" spans="1:14" ht="14.25" customHeight="1" x14ac:dyDescent="0.3">
      <c r="A266" s="4"/>
      <c r="B266" s="4"/>
      <c r="C266" s="4"/>
      <c r="D266" s="4"/>
      <c r="E266" s="4"/>
      <c r="F266" s="6" t="str">
        <f>IF(A266="","",COUNTIF(Chicks!$G:$G,A266))</f>
        <v/>
      </c>
      <c r="G266" s="6" t="str">
        <f>IF(A266="","",COUNTIFS(Chicks!$G:$G,A266,Chicks!$I:$I,"Yes"))</f>
        <v/>
      </c>
      <c r="H266" s="6" t="str">
        <f>IF(A266="","",SUMIFS(Chicks!$J:$J,Chicks!$G:$G,A266))</f>
        <v/>
      </c>
      <c r="I266" s="6" t="str">
        <f>IF(A266="","",COUNTIFS(Chicks!$G:$G,A266,Chicks!$I:$I,"No"))</f>
        <v/>
      </c>
      <c r="J266" s="6" t="str">
        <f>IF(A266="","",IFERROR(AVERAGEIF(Chicks!$G:$G,A266,Chicks!$M:$M),""))</f>
        <v/>
      </c>
      <c r="K266" s="6" t="str">
        <f>IF(A266="","",SUMIFS(Chicks!$N:$N,Chicks!$G:$G,A266))</f>
        <v/>
      </c>
      <c r="L266" s="6" t="str">
        <f>IF(A266="","",SUMIFS(Chicks!$O:$O,Chicks!$G:$G,A266))</f>
        <v/>
      </c>
      <c r="M266" s="6" t="str">
        <f>IF(A266="","",SUMIFS(Chicks!$P:$P,Chicks!$G:$G,A266))</f>
        <v/>
      </c>
      <c r="N266" s="6" t="str">
        <f t="shared" si="2"/>
        <v/>
      </c>
    </row>
    <row r="267" spans="1:14" ht="14.25" customHeight="1" x14ac:dyDescent="0.3">
      <c r="A267" s="4"/>
      <c r="B267" s="4"/>
      <c r="C267" s="4"/>
      <c r="D267" s="4"/>
      <c r="E267" s="4"/>
      <c r="F267" s="6" t="str">
        <f>IF(A267="","",COUNTIF(Chicks!$G:$G,A267))</f>
        <v/>
      </c>
      <c r="G267" s="6" t="str">
        <f>IF(A267="","",COUNTIFS(Chicks!$G:$G,A267,Chicks!$I:$I,"Yes"))</f>
        <v/>
      </c>
      <c r="H267" s="6" t="str">
        <f>IF(A267="","",SUMIFS(Chicks!$J:$J,Chicks!$G:$G,A267))</f>
        <v/>
      </c>
      <c r="I267" s="6" t="str">
        <f>IF(A267="","",COUNTIFS(Chicks!$G:$G,A267,Chicks!$I:$I,"No"))</f>
        <v/>
      </c>
      <c r="J267" s="6" t="str">
        <f>IF(A267="","",IFERROR(AVERAGEIF(Chicks!$G:$G,A267,Chicks!$M:$M),""))</f>
        <v/>
      </c>
      <c r="K267" s="6" t="str">
        <f>IF(A267="","",SUMIFS(Chicks!$N:$N,Chicks!$G:$G,A267))</f>
        <v/>
      </c>
      <c r="L267" s="6" t="str">
        <f>IF(A267="","",SUMIFS(Chicks!$O:$O,Chicks!$G:$G,A267))</f>
        <v/>
      </c>
      <c r="M267" s="6" t="str">
        <f>IF(A267="","",SUMIFS(Chicks!$P:$P,Chicks!$G:$G,A267))</f>
        <v/>
      </c>
      <c r="N267" s="6" t="str">
        <f t="shared" si="2"/>
        <v/>
      </c>
    </row>
    <row r="268" spans="1:14" ht="14.25" customHeight="1" x14ac:dyDescent="0.3">
      <c r="A268" s="4"/>
      <c r="B268" s="4"/>
      <c r="C268" s="4"/>
      <c r="D268" s="4"/>
      <c r="E268" s="4"/>
      <c r="F268" s="6" t="str">
        <f>IF(A268="","",COUNTIF(Chicks!$G:$G,A268))</f>
        <v/>
      </c>
      <c r="G268" s="6" t="str">
        <f>IF(A268="","",COUNTIFS(Chicks!$G:$G,A268,Chicks!$I:$I,"Yes"))</f>
        <v/>
      </c>
      <c r="H268" s="6" t="str">
        <f>IF(A268="","",SUMIFS(Chicks!$J:$J,Chicks!$G:$G,A268))</f>
        <v/>
      </c>
      <c r="I268" s="6" t="str">
        <f>IF(A268="","",COUNTIFS(Chicks!$G:$G,A268,Chicks!$I:$I,"No"))</f>
        <v/>
      </c>
      <c r="J268" s="6" t="str">
        <f>IF(A268="","",IFERROR(AVERAGEIF(Chicks!$G:$G,A268,Chicks!$M:$M),""))</f>
        <v/>
      </c>
      <c r="K268" s="6" t="str">
        <f>IF(A268="","",SUMIFS(Chicks!$N:$N,Chicks!$G:$G,A268))</f>
        <v/>
      </c>
      <c r="L268" s="6" t="str">
        <f>IF(A268="","",SUMIFS(Chicks!$O:$O,Chicks!$G:$G,A268))</f>
        <v/>
      </c>
      <c r="M268" s="6" t="str">
        <f>IF(A268="","",SUMIFS(Chicks!$P:$P,Chicks!$G:$G,A268))</f>
        <v/>
      </c>
      <c r="N268" s="6" t="str">
        <f t="shared" si="2"/>
        <v/>
      </c>
    </row>
    <row r="269" spans="1:14" ht="14.25" customHeight="1" x14ac:dyDescent="0.3">
      <c r="A269" s="4"/>
      <c r="B269" s="4"/>
      <c r="C269" s="4"/>
      <c r="D269" s="4"/>
      <c r="E269" s="4"/>
      <c r="F269" s="6" t="str">
        <f>IF(A269="","",COUNTIF(Chicks!$G:$G,A269))</f>
        <v/>
      </c>
      <c r="G269" s="6" t="str">
        <f>IF(A269="","",COUNTIFS(Chicks!$G:$G,A269,Chicks!$I:$I,"Yes"))</f>
        <v/>
      </c>
      <c r="H269" s="6" t="str">
        <f>IF(A269="","",SUMIFS(Chicks!$J:$J,Chicks!$G:$G,A269))</f>
        <v/>
      </c>
      <c r="I269" s="6" t="str">
        <f>IF(A269="","",COUNTIFS(Chicks!$G:$G,A269,Chicks!$I:$I,"No"))</f>
        <v/>
      </c>
      <c r="J269" s="6" t="str">
        <f>IF(A269="","",IFERROR(AVERAGEIF(Chicks!$G:$G,A269,Chicks!$M:$M),""))</f>
        <v/>
      </c>
      <c r="K269" s="6" t="str">
        <f>IF(A269="","",SUMIFS(Chicks!$N:$N,Chicks!$G:$G,A269))</f>
        <v/>
      </c>
      <c r="L269" s="6" t="str">
        <f>IF(A269="","",SUMIFS(Chicks!$O:$O,Chicks!$G:$G,A269))</f>
        <v/>
      </c>
      <c r="M269" s="6" t="str">
        <f>IF(A269="","",SUMIFS(Chicks!$P:$P,Chicks!$G:$G,A269))</f>
        <v/>
      </c>
      <c r="N269" s="6" t="str">
        <f t="shared" si="2"/>
        <v/>
      </c>
    </row>
    <row r="270" spans="1:14" ht="14.25" customHeight="1" x14ac:dyDescent="0.3">
      <c r="A270" s="4"/>
      <c r="B270" s="4"/>
      <c r="C270" s="4"/>
      <c r="D270" s="4"/>
      <c r="E270" s="4"/>
      <c r="F270" s="6" t="str">
        <f>IF(A270="","",COUNTIF(Chicks!$G:$G,A270))</f>
        <v/>
      </c>
      <c r="G270" s="6" t="str">
        <f>IF(A270="","",COUNTIFS(Chicks!$G:$G,A270,Chicks!$I:$I,"Yes"))</f>
        <v/>
      </c>
      <c r="H270" s="6" t="str">
        <f>IF(A270="","",SUMIFS(Chicks!$J:$J,Chicks!$G:$G,A270))</f>
        <v/>
      </c>
      <c r="I270" s="6" t="str">
        <f>IF(A270="","",COUNTIFS(Chicks!$G:$G,A270,Chicks!$I:$I,"No"))</f>
        <v/>
      </c>
      <c r="J270" s="6" t="str">
        <f>IF(A270="","",IFERROR(AVERAGEIF(Chicks!$G:$G,A270,Chicks!$M:$M),""))</f>
        <v/>
      </c>
      <c r="K270" s="6" t="str">
        <f>IF(A270="","",SUMIFS(Chicks!$N:$N,Chicks!$G:$G,A270))</f>
        <v/>
      </c>
      <c r="L270" s="6" t="str">
        <f>IF(A270="","",SUMIFS(Chicks!$O:$O,Chicks!$G:$G,A270))</f>
        <v/>
      </c>
      <c r="M270" s="6" t="str">
        <f>IF(A270="","",SUMIFS(Chicks!$P:$P,Chicks!$G:$G,A270))</f>
        <v/>
      </c>
      <c r="N270" s="6" t="str">
        <f t="shared" si="2"/>
        <v/>
      </c>
    </row>
    <row r="271" spans="1:14" ht="14.25" customHeight="1" x14ac:dyDescent="0.3">
      <c r="A271" s="4"/>
      <c r="B271" s="4"/>
      <c r="C271" s="4"/>
      <c r="D271" s="4"/>
      <c r="E271" s="4"/>
      <c r="F271" s="6" t="str">
        <f>IF(A271="","",COUNTIF(Chicks!$G:$G,A271))</f>
        <v/>
      </c>
      <c r="G271" s="6" t="str">
        <f>IF(A271="","",COUNTIFS(Chicks!$G:$G,A271,Chicks!$I:$I,"Yes"))</f>
        <v/>
      </c>
      <c r="H271" s="6" t="str">
        <f>IF(A271="","",SUMIFS(Chicks!$J:$J,Chicks!$G:$G,A271))</f>
        <v/>
      </c>
      <c r="I271" s="6" t="str">
        <f>IF(A271="","",COUNTIFS(Chicks!$G:$G,A271,Chicks!$I:$I,"No"))</f>
        <v/>
      </c>
      <c r="J271" s="6" t="str">
        <f>IF(A271="","",IFERROR(AVERAGEIF(Chicks!$G:$G,A271,Chicks!$M:$M),""))</f>
        <v/>
      </c>
      <c r="K271" s="6" t="str">
        <f>IF(A271="","",SUMIFS(Chicks!$N:$N,Chicks!$G:$G,A271))</f>
        <v/>
      </c>
      <c r="L271" s="6" t="str">
        <f>IF(A271="","",SUMIFS(Chicks!$O:$O,Chicks!$G:$G,A271))</f>
        <v/>
      </c>
      <c r="M271" s="6" t="str">
        <f>IF(A271="","",SUMIFS(Chicks!$P:$P,Chicks!$G:$G,A271))</f>
        <v/>
      </c>
      <c r="N271" s="6" t="str">
        <f t="shared" si="2"/>
        <v/>
      </c>
    </row>
    <row r="272" spans="1:14" ht="14.25" customHeight="1" x14ac:dyDescent="0.3">
      <c r="A272" s="4"/>
      <c r="B272" s="4"/>
      <c r="C272" s="4"/>
      <c r="D272" s="4"/>
      <c r="E272" s="4"/>
      <c r="F272" s="6" t="str">
        <f>IF(A272="","",COUNTIF(Chicks!$G:$G,A272))</f>
        <v/>
      </c>
      <c r="G272" s="6" t="str">
        <f>IF(A272="","",COUNTIFS(Chicks!$G:$G,A272,Chicks!$I:$I,"Yes"))</f>
        <v/>
      </c>
      <c r="H272" s="6" t="str">
        <f>IF(A272="","",SUMIFS(Chicks!$J:$J,Chicks!$G:$G,A272))</f>
        <v/>
      </c>
      <c r="I272" s="6" t="str">
        <f>IF(A272="","",COUNTIFS(Chicks!$G:$G,A272,Chicks!$I:$I,"No"))</f>
        <v/>
      </c>
      <c r="J272" s="6" t="str">
        <f>IF(A272="","",IFERROR(AVERAGEIF(Chicks!$G:$G,A272,Chicks!$M:$M),""))</f>
        <v/>
      </c>
      <c r="K272" s="6" t="str">
        <f>IF(A272="","",SUMIFS(Chicks!$N:$N,Chicks!$G:$G,A272))</f>
        <v/>
      </c>
      <c r="L272" s="6" t="str">
        <f>IF(A272="","",SUMIFS(Chicks!$O:$O,Chicks!$G:$G,A272))</f>
        <v/>
      </c>
      <c r="M272" s="6" t="str">
        <f>IF(A272="","",SUMIFS(Chicks!$P:$P,Chicks!$G:$G,A272))</f>
        <v/>
      </c>
      <c r="N272" s="6" t="str">
        <f t="shared" si="2"/>
        <v/>
      </c>
    </row>
    <row r="273" spans="1:14" ht="14.25" customHeight="1" x14ac:dyDescent="0.3">
      <c r="A273" s="4"/>
      <c r="B273" s="4"/>
      <c r="C273" s="4"/>
      <c r="D273" s="4"/>
      <c r="E273" s="4"/>
      <c r="F273" s="6" t="str">
        <f>IF(A273="","",COUNTIF(Chicks!$G:$G,A273))</f>
        <v/>
      </c>
      <c r="G273" s="6" t="str">
        <f>IF(A273="","",COUNTIFS(Chicks!$G:$G,A273,Chicks!$I:$I,"Yes"))</f>
        <v/>
      </c>
      <c r="H273" s="6" t="str">
        <f>IF(A273="","",SUMIFS(Chicks!$J:$J,Chicks!$G:$G,A273))</f>
        <v/>
      </c>
      <c r="I273" s="6" t="str">
        <f>IF(A273="","",COUNTIFS(Chicks!$G:$G,A273,Chicks!$I:$I,"No"))</f>
        <v/>
      </c>
      <c r="J273" s="6" t="str">
        <f>IF(A273="","",IFERROR(AVERAGEIF(Chicks!$G:$G,A273,Chicks!$M:$M),""))</f>
        <v/>
      </c>
      <c r="K273" s="6" t="str">
        <f>IF(A273="","",SUMIFS(Chicks!$N:$N,Chicks!$G:$G,A273))</f>
        <v/>
      </c>
      <c r="L273" s="6" t="str">
        <f>IF(A273="","",SUMIFS(Chicks!$O:$O,Chicks!$G:$G,A273))</f>
        <v/>
      </c>
      <c r="M273" s="6" t="str">
        <f>IF(A273="","",SUMIFS(Chicks!$P:$P,Chicks!$G:$G,A273))</f>
        <v/>
      </c>
      <c r="N273" s="6" t="str">
        <f t="shared" si="2"/>
        <v/>
      </c>
    </row>
    <row r="274" spans="1:14" ht="14.25" customHeight="1" x14ac:dyDescent="0.3">
      <c r="A274" s="4"/>
      <c r="B274" s="4"/>
      <c r="C274" s="4"/>
      <c r="D274" s="4"/>
      <c r="E274" s="4"/>
      <c r="F274" s="6" t="str">
        <f>IF(A274="","",COUNTIF(Chicks!$G:$G,A274))</f>
        <v/>
      </c>
      <c r="G274" s="6" t="str">
        <f>IF(A274="","",COUNTIFS(Chicks!$G:$G,A274,Chicks!$I:$I,"Yes"))</f>
        <v/>
      </c>
      <c r="H274" s="6" t="str">
        <f>IF(A274="","",SUMIFS(Chicks!$J:$J,Chicks!$G:$G,A274))</f>
        <v/>
      </c>
      <c r="I274" s="6" t="str">
        <f>IF(A274="","",COUNTIFS(Chicks!$G:$G,A274,Chicks!$I:$I,"No"))</f>
        <v/>
      </c>
      <c r="J274" s="6" t="str">
        <f>IF(A274="","",IFERROR(AVERAGEIF(Chicks!$G:$G,A274,Chicks!$M:$M),""))</f>
        <v/>
      </c>
      <c r="K274" s="6" t="str">
        <f>IF(A274="","",SUMIFS(Chicks!$N:$N,Chicks!$G:$G,A274))</f>
        <v/>
      </c>
      <c r="L274" s="6" t="str">
        <f>IF(A274="","",SUMIFS(Chicks!$O:$O,Chicks!$G:$G,A274))</f>
        <v/>
      </c>
      <c r="M274" s="6" t="str">
        <f>IF(A274="","",SUMIFS(Chicks!$P:$P,Chicks!$G:$G,A274))</f>
        <v/>
      </c>
      <c r="N274" s="6" t="str">
        <f t="shared" si="2"/>
        <v/>
      </c>
    </row>
    <row r="275" spans="1:14" ht="14.25" customHeight="1" x14ac:dyDescent="0.3">
      <c r="A275" s="4"/>
      <c r="B275" s="4"/>
      <c r="C275" s="4"/>
      <c r="D275" s="4"/>
      <c r="E275" s="4"/>
      <c r="F275" s="6" t="str">
        <f>IF(A275="","",COUNTIF(Chicks!$G:$G,A275))</f>
        <v/>
      </c>
      <c r="G275" s="6" t="str">
        <f>IF(A275="","",COUNTIFS(Chicks!$G:$G,A275,Chicks!$I:$I,"Yes"))</f>
        <v/>
      </c>
      <c r="H275" s="6" t="str">
        <f>IF(A275="","",SUMIFS(Chicks!$J:$J,Chicks!$G:$G,A275))</f>
        <v/>
      </c>
      <c r="I275" s="6" t="str">
        <f>IF(A275="","",COUNTIFS(Chicks!$G:$G,A275,Chicks!$I:$I,"No"))</f>
        <v/>
      </c>
      <c r="J275" s="6" t="str">
        <f>IF(A275="","",IFERROR(AVERAGEIF(Chicks!$G:$G,A275,Chicks!$M:$M),""))</f>
        <v/>
      </c>
      <c r="K275" s="6" t="str">
        <f>IF(A275="","",SUMIFS(Chicks!$N:$N,Chicks!$G:$G,A275))</f>
        <v/>
      </c>
      <c r="L275" s="6" t="str">
        <f>IF(A275="","",SUMIFS(Chicks!$O:$O,Chicks!$G:$G,A275))</f>
        <v/>
      </c>
      <c r="M275" s="6" t="str">
        <f>IF(A275="","",SUMIFS(Chicks!$P:$P,Chicks!$G:$G,A275))</f>
        <v/>
      </c>
      <c r="N275" s="6" t="str">
        <f t="shared" si="2"/>
        <v/>
      </c>
    </row>
    <row r="276" spans="1:14" ht="14.25" customHeight="1" x14ac:dyDescent="0.3">
      <c r="A276" s="4"/>
      <c r="B276" s="4"/>
      <c r="C276" s="4"/>
      <c r="D276" s="4"/>
      <c r="E276" s="4"/>
      <c r="F276" s="6" t="str">
        <f>IF(A276="","",COUNTIF(Chicks!$G:$G,A276))</f>
        <v/>
      </c>
      <c r="G276" s="6" t="str">
        <f>IF(A276="","",COUNTIFS(Chicks!$G:$G,A276,Chicks!$I:$I,"Yes"))</f>
        <v/>
      </c>
      <c r="H276" s="6" t="str">
        <f>IF(A276="","",SUMIFS(Chicks!$J:$J,Chicks!$G:$G,A276))</f>
        <v/>
      </c>
      <c r="I276" s="6" t="str">
        <f>IF(A276="","",COUNTIFS(Chicks!$G:$G,A276,Chicks!$I:$I,"No"))</f>
        <v/>
      </c>
      <c r="J276" s="6" t="str">
        <f>IF(A276="","",IFERROR(AVERAGEIF(Chicks!$G:$G,A276,Chicks!$M:$M),""))</f>
        <v/>
      </c>
      <c r="K276" s="6" t="str">
        <f>IF(A276="","",SUMIFS(Chicks!$N:$N,Chicks!$G:$G,A276))</f>
        <v/>
      </c>
      <c r="L276" s="6" t="str">
        <f>IF(A276="","",SUMIFS(Chicks!$O:$O,Chicks!$G:$G,A276))</f>
        <v/>
      </c>
      <c r="M276" s="6" t="str">
        <f>IF(A276="","",SUMIFS(Chicks!$P:$P,Chicks!$G:$G,A276))</f>
        <v/>
      </c>
      <c r="N276" s="6" t="str">
        <f t="shared" si="2"/>
        <v/>
      </c>
    </row>
    <row r="277" spans="1:14" ht="14.25" customHeight="1" x14ac:dyDescent="0.3">
      <c r="A277" s="4"/>
      <c r="B277" s="4"/>
      <c r="C277" s="4"/>
      <c r="D277" s="4"/>
      <c r="E277" s="4"/>
      <c r="F277" s="6" t="str">
        <f>IF(A277="","",COUNTIF(Chicks!$G:$G,A277))</f>
        <v/>
      </c>
      <c r="G277" s="6" t="str">
        <f>IF(A277="","",COUNTIFS(Chicks!$G:$G,A277,Chicks!$I:$I,"Yes"))</f>
        <v/>
      </c>
      <c r="H277" s="6" t="str">
        <f>IF(A277="","",SUMIFS(Chicks!$J:$J,Chicks!$G:$G,A277))</f>
        <v/>
      </c>
      <c r="I277" s="6" t="str">
        <f>IF(A277="","",COUNTIFS(Chicks!$G:$G,A277,Chicks!$I:$I,"No"))</f>
        <v/>
      </c>
      <c r="J277" s="6" t="str">
        <f>IF(A277="","",IFERROR(AVERAGEIF(Chicks!$G:$G,A277,Chicks!$M:$M),""))</f>
        <v/>
      </c>
      <c r="K277" s="6" t="str">
        <f>IF(A277="","",SUMIFS(Chicks!$N:$N,Chicks!$G:$G,A277))</f>
        <v/>
      </c>
      <c r="L277" s="6" t="str">
        <f>IF(A277="","",SUMIFS(Chicks!$O:$O,Chicks!$G:$G,A277))</f>
        <v/>
      </c>
      <c r="M277" s="6" t="str">
        <f>IF(A277="","",SUMIFS(Chicks!$P:$P,Chicks!$G:$G,A277))</f>
        <v/>
      </c>
      <c r="N277" s="6" t="str">
        <f t="shared" si="2"/>
        <v/>
      </c>
    </row>
    <row r="278" spans="1:14" ht="14.25" customHeight="1" x14ac:dyDescent="0.3">
      <c r="A278" s="4"/>
      <c r="B278" s="4"/>
      <c r="C278" s="4"/>
      <c r="D278" s="4"/>
      <c r="E278" s="4"/>
      <c r="F278" s="6" t="str">
        <f>IF(A278="","",COUNTIF(Chicks!$G:$G,A278))</f>
        <v/>
      </c>
      <c r="G278" s="6" t="str">
        <f>IF(A278="","",COUNTIFS(Chicks!$G:$G,A278,Chicks!$I:$I,"Yes"))</f>
        <v/>
      </c>
      <c r="H278" s="6" t="str">
        <f>IF(A278="","",SUMIFS(Chicks!$J:$J,Chicks!$G:$G,A278))</f>
        <v/>
      </c>
      <c r="I278" s="6" t="str">
        <f>IF(A278="","",COUNTIFS(Chicks!$G:$G,A278,Chicks!$I:$I,"No"))</f>
        <v/>
      </c>
      <c r="J278" s="6" t="str">
        <f>IF(A278="","",IFERROR(AVERAGEIF(Chicks!$G:$G,A278,Chicks!$M:$M),""))</f>
        <v/>
      </c>
      <c r="K278" s="6" t="str">
        <f>IF(A278="","",SUMIFS(Chicks!$N:$N,Chicks!$G:$G,A278))</f>
        <v/>
      </c>
      <c r="L278" s="6" t="str">
        <f>IF(A278="","",SUMIFS(Chicks!$O:$O,Chicks!$G:$G,A278))</f>
        <v/>
      </c>
      <c r="M278" s="6" t="str">
        <f>IF(A278="","",SUMIFS(Chicks!$P:$P,Chicks!$G:$G,A278))</f>
        <v/>
      </c>
      <c r="N278" s="6" t="str">
        <f t="shared" si="2"/>
        <v/>
      </c>
    </row>
    <row r="279" spans="1:14" ht="14.25" customHeight="1" x14ac:dyDescent="0.3">
      <c r="A279" s="4"/>
      <c r="B279" s="4"/>
      <c r="C279" s="4"/>
      <c r="D279" s="4"/>
      <c r="E279" s="4"/>
      <c r="F279" s="6" t="str">
        <f>IF(A279="","",COUNTIF(Chicks!$G:$G,A279))</f>
        <v/>
      </c>
      <c r="G279" s="6" t="str">
        <f>IF(A279="","",COUNTIFS(Chicks!$G:$G,A279,Chicks!$I:$I,"Yes"))</f>
        <v/>
      </c>
      <c r="H279" s="6" t="str">
        <f>IF(A279="","",SUMIFS(Chicks!$J:$J,Chicks!$G:$G,A279))</f>
        <v/>
      </c>
      <c r="I279" s="6" t="str">
        <f>IF(A279="","",COUNTIFS(Chicks!$G:$G,A279,Chicks!$I:$I,"No"))</f>
        <v/>
      </c>
      <c r="J279" s="6" t="str">
        <f>IF(A279="","",IFERROR(AVERAGEIF(Chicks!$G:$G,A279,Chicks!$M:$M),""))</f>
        <v/>
      </c>
      <c r="K279" s="6" t="str">
        <f>IF(A279="","",SUMIFS(Chicks!$N:$N,Chicks!$G:$G,A279))</f>
        <v/>
      </c>
      <c r="L279" s="6" t="str">
        <f>IF(A279="","",SUMIFS(Chicks!$O:$O,Chicks!$G:$G,A279))</f>
        <v/>
      </c>
      <c r="M279" s="6" t="str">
        <f>IF(A279="","",SUMIFS(Chicks!$P:$P,Chicks!$G:$G,A279))</f>
        <v/>
      </c>
      <c r="N279" s="6" t="str">
        <f t="shared" si="2"/>
        <v/>
      </c>
    </row>
    <row r="280" spans="1:14" ht="14.25" customHeight="1" x14ac:dyDescent="0.3">
      <c r="A280" s="4"/>
      <c r="B280" s="4"/>
      <c r="C280" s="4"/>
      <c r="D280" s="4"/>
      <c r="E280" s="4"/>
      <c r="F280" s="6" t="str">
        <f>IF(A280="","",COUNTIF(Chicks!$G:$G,A280))</f>
        <v/>
      </c>
      <c r="G280" s="6" t="str">
        <f>IF(A280="","",COUNTIFS(Chicks!$G:$G,A280,Chicks!$I:$I,"Yes"))</f>
        <v/>
      </c>
      <c r="H280" s="6" t="str">
        <f>IF(A280="","",SUMIFS(Chicks!$J:$J,Chicks!$G:$G,A280))</f>
        <v/>
      </c>
      <c r="I280" s="6" t="str">
        <f>IF(A280="","",COUNTIFS(Chicks!$G:$G,A280,Chicks!$I:$I,"No"))</f>
        <v/>
      </c>
      <c r="J280" s="6" t="str">
        <f>IF(A280="","",IFERROR(AVERAGEIF(Chicks!$G:$G,A280,Chicks!$M:$M),""))</f>
        <v/>
      </c>
      <c r="K280" s="6" t="str">
        <f>IF(A280="","",SUMIFS(Chicks!$N:$N,Chicks!$G:$G,A280))</f>
        <v/>
      </c>
      <c r="L280" s="6" t="str">
        <f>IF(A280="","",SUMIFS(Chicks!$O:$O,Chicks!$G:$G,A280))</f>
        <v/>
      </c>
      <c r="M280" s="6" t="str">
        <f>IF(A280="","",SUMIFS(Chicks!$P:$P,Chicks!$G:$G,A280))</f>
        <v/>
      </c>
      <c r="N280" s="6" t="str">
        <f t="shared" si="2"/>
        <v/>
      </c>
    </row>
    <row r="281" spans="1:14" ht="14.25" customHeight="1" x14ac:dyDescent="0.3">
      <c r="A281" s="4"/>
      <c r="B281" s="4"/>
      <c r="C281" s="4"/>
      <c r="D281" s="4"/>
      <c r="E281" s="4"/>
      <c r="F281" s="6" t="str">
        <f>IF(A281="","",COUNTIF(Chicks!$G:$G,A281))</f>
        <v/>
      </c>
      <c r="G281" s="6" t="str">
        <f>IF(A281="","",COUNTIFS(Chicks!$G:$G,A281,Chicks!$I:$I,"Yes"))</f>
        <v/>
      </c>
      <c r="H281" s="6" t="str">
        <f>IF(A281="","",SUMIFS(Chicks!$J:$J,Chicks!$G:$G,A281))</f>
        <v/>
      </c>
      <c r="I281" s="6" t="str">
        <f>IF(A281="","",COUNTIFS(Chicks!$G:$G,A281,Chicks!$I:$I,"No"))</f>
        <v/>
      </c>
      <c r="J281" s="6" t="str">
        <f>IF(A281="","",IFERROR(AVERAGEIF(Chicks!$G:$G,A281,Chicks!$M:$M),""))</f>
        <v/>
      </c>
      <c r="K281" s="6" t="str">
        <f>IF(A281="","",SUMIFS(Chicks!$N:$N,Chicks!$G:$G,A281))</f>
        <v/>
      </c>
      <c r="L281" s="6" t="str">
        <f>IF(A281="","",SUMIFS(Chicks!$O:$O,Chicks!$G:$G,A281))</f>
        <v/>
      </c>
      <c r="M281" s="6" t="str">
        <f>IF(A281="","",SUMIFS(Chicks!$P:$P,Chicks!$G:$G,A281))</f>
        <v/>
      </c>
      <c r="N281" s="6" t="str">
        <f t="shared" si="2"/>
        <v/>
      </c>
    </row>
    <row r="282" spans="1:14" ht="14.25" customHeight="1" x14ac:dyDescent="0.3">
      <c r="A282" s="4"/>
      <c r="B282" s="4"/>
      <c r="C282" s="4"/>
      <c r="D282" s="4"/>
      <c r="E282" s="4"/>
      <c r="F282" s="6" t="str">
        <f>IF(A282="","",COUNTIF(Chicks!$G:$G,A282))</f>
        <v/>
      </c>
      <c r="G282" s="6" t="str">
        <f>IF(A282="","",COUNTIFS(Chicks!$G:$G,A282,Chicks!$I:$I,"Yes"))</f>
        <v/>
      </c>
      <c r="H282" s="6" t="str">
        <f>IF(A282="","",SUMIFS(Chicks!$J:$J,Chicks!$G:$G,A282))</f>
        <v/>
      </c>
      <c r="I282" s="6" t="str">
        <f>IF(A282="","",COUNTIFS(Chicks!$G:$G,A282,Chicks!$I:$I,"No"))</f>
        <v/>
      </c>
      <c r="J282" s="6" t="str">
        <f>IF(A282="","",IFERROR(AVERAGEIF(Chicks!$G:$G,A282,Chicks!$M:$M),""))</f>
        <v/>
      </c>
      <c r="K282" s="6" t="str">
        <f>IF(A282="","",SUMIFS(Chicks!$N:$N,Chicks!$G:$G,A282))</f>
        <v/>
      </c>
      <c r="L282" s="6" t="str">
        <f>IF(A282="","",SUMIFS(Chicks!$O:$O,Chicks!$G:$G,A282))</f>
        <v/>
      </c>
      <c r="M282" s="6" t="str">
        <f>IF(A282="","",SUMIFS(Chicks!$P:$P,Chicks!$G:$G,A282))</f>
        <v/>
      </c>
      <c r="N282" s="6" t="str">
        <f t="shared" si="2"/>
        <v/>
      </c>
    </row>
    <row r="283" spans="1:14" ht="14.25" customHeight="1" x14ac:dyDescent="0.3">
      <c r="A283" s="4"/>
      <c r="B283" s="4"/>
      <c r="C283" s="4"/>
      <c r="D283" s="4"/>
      <c r="E283" s="4"/>
      <c r="F283" s="6" t="str">
        <f>IF(A283="","",COUNTIF(Chicks!$G:$G,A283))</f>
        <v/>
      </c>
      <c r="G283" s="6" t="str">
        <f>IF(A283="","",COUNTIFS(Chicks!$G:$G,A283,Chicks!$I:$I,"Yes"))</f>
        <v/>
      </c>
      <c r="H283" s="6" t="str">
        <f>IF(A283="","",SUMIFS(Chicks!$J:$J,Chicks!$G:$G,A283))</f>
        <v/>
      </c>
      <c r="I283" s="6" t="str">
        <f>IF(A283="","",COUNTIFS(Chicks!$G:$G,A283,Chicks!$I:$I,"No"))</f>
        <v/>
      </c>
      <c r="J283" s="6" t="str">
        <f>IF(A283="","",IFERROR(AVERAGEIF(Chicks!$G:$G,A283,Chicks!$M:$M),""))</f>
        <v/>
      </c>
      <c r="K283" s="6" t="str">
        <f>IF(A283="","",SUMIFS(Chicks!$N:$N,Chicks!$G:$G,A283))</f>
        <v/>
      </c>
      <c r="L283" s="6" t="str">
        <f>IF(A283="","",SUMIFS(Chicks!$O:$O,Chicks!$G:$G,A283))</f>
        <v/>
      </c>
      <c r="M283" s="6" t="str">
        <f>IF(A283="","",SUMIFS(Chicks!$P:$P,Chicks!$G:$G,A283))</f>
        <v/>
      </c>
      <c r="N283" s="6" t="str">
        <f t="shared" si="2"/>
        <v/>
      </c>
    </row>
    <row r="284" spans="1:14" ht="14.25" customHeight="1" x14ac:dyDescent="0.3">
      <c r="A284" s="4"/>
      <c r="B284" s="4"/>
      <c r="C284" s="4"/>
      <c r="D284" s="4"/>
      <c r="E284" s="4"/>
      <c r="F284" s="6" t="str">
        <f>IF(A284="","",COUNTIF(Chicks!$G:$G,A284))</f>
        <v/>
      </c>
      <c r="G284" s="6" t="str">
        <f>IF(A284="","",COUNTIFS(Chicks!$G:$G,A284,Chicks!$I:$I,"Yes"))</f>
        <v/>
      </c>
      <c r="H284" s="6" t="str">
        <f>IF(A284="","",SUMIFS(Chicks!$J:$J,Chicks!$G:$G,A284))</f>
        <v/>
      </c>
      <c r="I284" s="6" t="str">
        <f>IF(A284="","",COUNTIFS(Chicks!$G:$G,A284,Chicks!$I:$I,"No"))</f>
        <v/>
      </c>
      <c r="J284" s="6" t="str">
        <f>IF(A284="","",IFERROR(AVERAGEIF(Chicks!$G:$G,A284,Chicks!$M:$M),""))</f>
        <v/>
      </c>
      <c r="K284" s="6" t="str">
        <f>IF(A284="","",SUMIFS(Chicks!$N:$N,Chicks!$G:$G,A284))</f>
        <v/>
      </c>
      <c r="L284" s="6" t="str">
        <f>IF(A284="","",SUMIFS(Chicks!$O:$O,Chicks!$G:$G,A284))</f>
        <v/>
      </c>
      <c r="M284" s="6" t="str">
        <f>IF(A284="","",SUMIFS(Chicks!$P:$P,Chicks!$G:$G,A284))</f>
        <v/>
      </c>
      <c r="N284" s="6" t="str">
        <f t="shared" si="2"/>
        <v/>
      </c>
    </row>
    <row r="285" spans="1:14" ht="14.25" customHeight="1" x14ac:dyDescent="0.3">
      <c r="A285" s="4"/>
      <c r="B285" s="4"/>
      <c r="C285" s="4"/>
      <c r="D285" s="4"/>
      <c r="E285" s="4"/>
      <c r="F285" s="6" t="str">
        <f>IF(A285="","",COUNTIF(Chicks!$G:$G,A285))</f>
        <v/>
      </c>
      <c r="G285" s="6" t="str">
        <f>IF(A285="","",COUNTIFS(Chicks!$G:$G,A285,Chicks!$I:$I,"Yes"))</f>
        <v/>
      </c>
      <c r="H285" s="6" t="str">
        <f>IF(A285="","",SUMIFS(Chicks!$J:$J,Chicks!$G:$G,A285))</f>
        <v/>
      </c>
      <c r="I285" s="6" t="str">
        <f>IF(A285="","",COUNTIFS(Chicks!$G:$G,A285,Chicks!$I:$I,"No"))</f>
        <v/>
      </c>
      <c r="J285" s="6" t="str">
        <f>IF(A285="","",IFERROR(AVERAGEIF(Chicks!$G:$G,A285,Chicks!$M:$M),""))</f>
        <v/>
      </c>
      <c r="K285" s="6" t="str">
        <f>IF(A285="","",SUMIFS(Chicks!$N:$N,Chicks!$G:$G,A285))</f>
        <v/>
      </c>
      <c r="L285" s="6" t="str">
        <f>IF(A285="","",SUMIFS(Chicks!$O:$O,Chicks!$G:$G,A285))</f>
        <v/>
      </c>
      <c r="M285" s="6" t="str">
        <f>IF(A285="","",SUMIFS(Chicks!$P:$P,Chicks!$G:$G,A285))</f>
        <v/>
      </c>
      <c r="N285" s="6" t="str">
        <f t="shared" si="2"/>
        <v/>
      </c>
    </row>
    <row r="286" spans="1:14" ht="14.25" customHeight="1" x14ac:dyDescent="0.3">
      <c r="A286" s="4"/>
      <c r="B286" s="4"/>
      <c r="C286" s="4"/>
      <c r="D286" s="4"/>
      <c r="E286" s="4"/>
      <c r="F286" s="6" t="str">
        <f>IF(A286="","",COUNTIF(Chicks!$G:$G,A286))</f>
        <v/>
      </c>
      <c r="G286" s="6" t="str">
        <f>IF(A286="","",COUNTIFS(Chicks!$G:$G,A286,Chicks!$I:$I,"Yes"))</f>
        <v/>
      </c>
      <c r="H286" s="6" t="str">
        <f>IF(A286="","",SUMIFS(Chicks!$J:$J,Chicks!$G:$G,A286))</f>
        <v/>
      </c>
      <c r="I286" s="6" t="str">
        <f>IF(A286="","",COUNTIFS(Chicks!$G:$G,A286,Chicks!$I:$I,"No"))</f>
        <v/>
      </c>
      <c r="J286" s="6" t="str">
        <f>IF(A286="","",IFERROR(AVERAGEIF(Chicks!$G:$G,A286,Chicks!$M:$M),""))</f>
        <v/>
      </c>
      <c r="K286" s="6" t="str">
        <f>IF(A286="","",SUMIFS(Chicks!$N:$N,Chicks!$G:$G,A286))</f>
        <v/>
      </c>
      <c r="L286" s="6" t="str">
        <f>IF(A286="","",SUMIFS(Chicks!$O:$O,Chicks!$G:$G,A286))</f>
        <v/>
      </c>
      <c r="M286" s="6" t="str">
        <f>IF(A286="","",SUMIFS(Chicks!$P:$P,Chicks!$G:$G,A286))</f>
        <v/>
      </c>
      <c r="N286" s="6" t="str">
        <f t="shared" si="2"/>
        <v/>
      </c>
    </row>
    <row r="287" spans="1:14" ht="14.25" customHeight="1" x14ac:dyDescent="0.3">
      <c r="A287" s="4"/>
      <c r="B287" s="4"/>
      <c r="C287" s="4"/>
      <c r="D287" s="4"/>
      <c r="E287" s="4"/>
      <c r="F287" s="6" t="str">
        <f>IF(A287="","",COUNTIF(Chicks!$G:$G,A287))</f>
        <v/>
      </c>
      <c r="G287" s="6" t="str">
        <f>IF(A287="","",COUNTIFS(Chicks!$G:$G,A287,Chicks!$I:$I,"Yes"))</f>
        <v/>
      </c>
      <c r="H287" s="6" t="str">
        <f>IF(A287="","",SUMIFS(Chicks!$J:$J,Chicks!$G:$G,A287))</f>
        <v/>
      </c>
      <c r="I287" s="6" t="str">
        <f>IF(A287="","",COUNTIFS(Chicks!$G:$G,A287,Chicks!$I:$I,"No"))</f>
        <v/>
      </c>
      <c r="J287" s="6" t="str">
        <f>IF(A287="","",IFERROR(AVERAGEIF(Chicks!$G:$G,A287,Chicks!$M:$M),""))</f>
        <v/>
      </c>
      <c r="K287" s="6" t="str">
        <f>IF(A287="","",SUMIFS(Chicks!$N:$N,Chicks!$G:$G,A287))</f>
        <v/>
      </c>
      <c r="L287" s="6" t="str">
        <f>IF(A287="","",SUMIFS(Chicks!$O:$O,Chicks!$G:$G,A287))</f>
        <v/>
      </c>
      <c r="M287" s="6" t="str">
        <f>IF(A287="","",SUMIFS(Chicks!$P:$P,Chicks!$G:$G,A287))</f>
        <v/>
      </c>
      <c r="N287" s="6" t="str">
        <f t="shared" si="2"/>
        <v/>
      </c>
    </row>
    <row r="288" spans="1:14" ht="14.25" customHeight="1" x14ac:dyDescent="0.3">
      <c r="A288" s="4"/>
      <c r="B288" s="4"/>
      <c r="C288" s="4"/>
      <c r="D288" s="4"/>
      <c r="E288" s="4"/>
      <c r="F288" s="6" t="str">
        <f>IF(A288="","",COUNTIF(Chicks!$G:$G,A288))</f>
        <v/>
      </c>
      <c r="G288" s="6" t="str">
        <f>IF(A288="","",COUNTIFS(Chicks!$G:$G,A288,Chicks!$I:$I,"Yes"))</f>
        <v/>
      </c>
      <c r="H288" s="6" t="str">
        <f>IF(A288="","",SUMIFS(Chicks!$J:$J,Chicks!$G:$G,A288))</f>
        <v/>
      </c>
      <c r="I288" s="6" t="str">
        <f>IF(A288="","",COUNTIFS(Chicks!$G:$G,A288,Chicks!$I:$I,"No"))</f>
        <v/>
      </c>
      <c r="J288" s="6" t="str">
        <f>IF(A288="","",IFERROR(AVERAGEIF(Chicks!$G:$G,A288,Chicks!$M:$M),""))</f>
        <v/>
      </c>
      <c r="K288" s="6" t="str">
        <f>IF(A288="","",SUMIFS(Chicks!$N:$N,Chicks!$G:$G,A288))</f>
        <v/>
      </c>
      <c r="L288" s="6" t="str">
        <f>IF(A288="","",SUMIFS(Chicks!$O:$O,Chicks!$G:$G,A288))</f>
        <v/>
      </c>
      <c r="M288" s="6" t="str">
        <f>IF(A288="","",SUMIFS(Chicks!$P:$P,Chicks!$G:$G,A288))</f>
        <v/>
      </c>
      <c r="N288" s="6" t="str">
        <f t="shared" si="2"/>
        <v/>
      </c>
    </row>
    <row r="289" spans="1:14" ht="14.25" customHeight="1" x14ac:dyDescent="0.3">
      <c r="A289" s="4"/>
      <c r="B289" s="4"/>
      <c r="C289" s="4"/>
      <c r="D289" s="4"/>
      <c r="E289" s="4"/>
      <c r="F289" s="6" t="str">
        <f>IF(A289="","",COUNTIF(Chicks!$G:$G,A289))</f>
        <v/>
      </c>
      <c r="G289" s="6" t="str">
        <f>IF(A289="","",COUNTIFS(Chicks!$G:$G,A289,Chicks!$I:$I,"Yes"))</f>
        <v/>
      </c>
      <c r="H289" s="6" t="str">
        <f>IF(A289="","",SUMIFS(Chicks!$J:$J,Chicks!$G:$G,A289))</f>
        <v/>
      </c>
      <c r="I289" s="6" t="str">
        <f>IF(A289="","",COUNTIFS(Chicks!$G:$G,A289,Chicks!$I:$I,"No"))</f>
        <v/>
      </c>
      <c r="J289" s="6" t="str">
        <f>IF(A289="","",IFERROR(AVERAGEIF(Chicks!$G:$G,A289,Chicks!$M:$M),""))</f>
        <v/>
      </c>
      <c r="K289" s="6" t="str">
        <f>IF(A289="","",SUMIFS(Chicks!$N:$N,Chicks!$G:$G,A289))</f>
        <v/>
      </c>
      <c r="L289" s="6" t="str">
        <f>IF(A289="","",SUMIFS(Chicks!$O:$O,Chicks!$G:$G,A289))</f>
        <v/>
      </c>
      <c r="M289" s="6" t="str">
        <f>IF(A289="","",SUMIFS(Chicks!$P:$P,Chicks!$G:$G,A289))</f>
        <v/>
      </c>
      <c r="N289" s="6" t="str">
        <f t="shared" si="2"/>
        <v/>
      </c>
    </row>
    <row r="290" spans="1:14" ht="14.25" customHeight="1" x14ac:dyDescent="0.3">
      <c r="A290" s="4"/>
      <c r="B290" s="4"/>
      <c r="C290" s="4"/>
      <c r="D290" s="4"/>
      <c r="E290" s="4"/>
      <c r="F290" s="6" t="str">
        <f>IF(A290="","",COUNTIF(Chicks!$G:$G,A290))</f>
        <v/>
      </c>
      <c r="G290" s="6" t="str">
        <f>IF(A290="","",COUNTIFS(Chicks!$G:$G,A290,Chicks!$I:$I,"Yes"))</f>
        <v/>
      </c>
      <c r="H290" s="6" t="str">
        <f>IF(A290="","",SUMIFS(Chicks!$J:$J,Chicks!$G:$G,A290))</f>
        <v/>
      </c>
      <c r="I290" s="6" t="str">
        <f>IF(A290="","",COUNTIFS(Chicks!$G:$G,A290,Chicks!$I:$I,"No"))</f>
        <v/>
      </c>
      <c r="J290" s="6" t="str">
        <f>IF(A290="","",IFERROR(AVERAGEIF(Chicks!$G:$G,A290,Chicks!$M:$M),""))</f>
        <v/>
      </c>
      <c r="K290" s="6" t="str">
        <f>IF(A290="","",SUMIFS(Chicks!$N:$N,Chicks!$G:$G,A290))</f>
        <v/>
      </c>
      <c r="L290" s="6" t="str">
        <f>IF(A290="","",SUMIFS(Chicks!$O:$O,Chicks!$G:$G,A290))</f>
        <v/>
      </c>
      <c r="M290" s="6" t="str">
        <f>IF(A290="","",SUMIFS(Chicks!$P:$P,Chicks!$G:$G,A290))</f>
        <v/>
      </c>
      <c r="N290" s="6" t="str">
        <f t="shared" si="2"/>
        <v/>
      </c>
    </row>
    <row r="291" spans="1:14" ht="14.25" customHeight="1" x14ac:dyDescent="0.3">
      <c r="A291" s="4"/>
      <c r="B291" s="4"/>
      <c r="C291" s="4"/>
      <c r="D291" s="4"/>
      <c r="E291" s="4"/>
      <c r="F291" s="6" t="str">
        <f>IF(A291="","",COUNTIF(Chicks!$G:$G,A291))</f>
        <v/>
      </c>
      <c r="G291" s="6" t="str">
        <f>IF(A291="","",COUNTIFS(Chicks!$G:$G,A291,Chicks!$I:$I,"Yes"))</f>
        <v/>
      </c>
      <c r="H291" s="6" t="str">
        <f>IF(A291="","",SUMIFS(Chicks!$J:$J,Chicks!$G:$G,A291))</f>
        <v/>
      </c>
      <c r="I291" s="6" t="str">
        <f>IF(A291="","",COUNTIFS(Chicks!$G:$G,A291,Chicks!$I:$I,"No"))</f>
        <v/>
      </c>
      <c r="J291" s="6" t="str">
        <f>IF(A291="","",IFERROR(AVERAGEIF(Chicks!$G:$G,A291,Chicks!$M:$M),""))</f>
        <v/>
      </c>
      <c r="K291" s="6" t="str">
        <f>IF(A291="","",SUMIFS(Chicks!$N:$N,Chicks!$G:$G,A291))</f>
        <v/>
      </c>
      <c r="L291" s="6" t="str">
        <f>IF(A291="","",SUMIFS(Chicks!$O:$O,Chicks!$G:$G,A291))</f>
        <v/>
      </c>
      <c r="M291" s="6" t="str">
        <f>IF(A291="","",SUMIFS(Chicks!$P:$P,Chicks!$G:$G,A291))</f>
        <v/>
      </c>
      <c r="N291" s="6" t="str">
        <f t="shared" si="2"/>
        <v/>
      </c>
    </row>
    <row r="292" spans="1:14" ht="14.25" customHeight="1" x14ac:dyDescent="0.3">
      <c r="A292" s="4"/>
      <c r="B292" s="4"/>
      <c r="C292" s="4"/>
      <c r="D292" s="4"/>
      <c r="E292" s="4"/>
      <c r="F292" s="6" t="str">
        <f>IF(A292="","",COUNTIF(Chicks!$G:$G,A292))</f>
        <v/>
      </c>
      <c r="G292" s="6" t="str">
        <f>IF(A292="","",COUNTIFS(Chicks!$G:$G,A292,Chicks!$I:$I,"Yes"))</f>
        <v/>
      </c>
      <c r="H292" s="6" t="str">
        <f>IF(A292="","",SUMIFS(Chicks!$J:$J,Chicks!$G:$G,A292))</f>
        <v/>
      </c>
      <c r="I292" s="6" t="str">
        <f>IF(A292="","",COUNTIFS(Chicks!$G:$G,A292,Chicks!$I:$I,"No"))</f>
        <v/>
      </c>
      <c r="J292" s="6" t="str">
        <f>IF(A292="","",IFERROR(AVERAGEIF(Chicks!$G:$G,A292,Chicks!$M:$M),""))</f>
        <v/>
      </c>
      <c r="K292" s="6" t="str">
        <f>IF(A292="","",SUMIFS(Chicks!$N:$N,Chicks!$G:$G,A292))</f>
        <v/>
      </c>
      <c r="L292" s="6" t="str">
        <f>IF(A292="","",SUMIFS(Chicks!$O:$O,Chicks!$G:$G,A292))</f>
        <v/>
      </c>
      <c r="M292" s="6" t="str">
        <f>IF(A292="","",SUMIFS(Chicks!$P:$P,Chicks!$G:$G,A292))</f>
        <v/>
      </c>
      <c r="N292" s="6" t="str">
        <f t="shared" si="2"/>
        <v/>
      </c>
    </row>
    <row r="293" spans="1:14" ht="14.25" customHeight="1" x14ac:dyDescent="0.3">
      <c r="A293" s="4"/>
      <c r="B293" s="4"/>
      <c r="C293" s="4"/>
      <c r="D293" s="4"/>
      <c r="E293" s="4"/>
      <c r="F293" s="6" t="str">
        <f>IF(A293="","",COUNTIF(Chicks!$G:$G,A293))</f>
        <v/>
      </c>
      <c r="G293" s="6" t="str">
        <f>IF(A293="","",COUNTIFS(Chicks!$G:$G,A293,Chicks!$I:$I,"Yes"))</f>
        <v/>
      </c>
      <c r="H293" s="6" t="str">
        <f>IF(A293="","",SUMIFS(Chicks!$J:$J,Chicks!$G:$G,A293))</f>
        <v/>
      </c>
      <c r="I293" s="6" t="str">
        <f>IF(A293="","",COUNTIFS(Chicks!$G:$G,A293,Chicks!$I:$I,"No"))</f>
        <v/>
      </c>
      <c r="J293" s="6" t="str">
        <f>IF(A293="","",IFERROR(AVERAGEIF(Chicks!$G:$G,A293,Chicks!$M:$M),""))</f>
        <v/>
      </c>
      <c r="K293" s="6" t="str">
        <f>IF(A293="","",SUMIFS(Chicks!$N:$N,Chicks!$G:$G,A293))</f>
        <v/>
      </c>
      <c r="L293" s="6" t="str">
        <f>IF(A293="","",SUMIFS(Chicks!$O:$O,Chicks!$G:$G,A293))</f>
        <v/>
      </c>
      <c r="M293" s="6" t="str">
        <f>IF(A293="","",SUMIFS(Chicks!$P:$P,Chicks!$G:$G,A293))</f>
        <v/>
      </c>
      <c r="N293" s="6" t="str">
        <f t="shared" si="2"/>
        <v/>
      </c>
    </row>
    <row r="294" spans="1:14" ht="14.25" customHeight="1" x14ac:dyDescent="0.3">
      <c r="A294" s="4"/>
      <c r="B294" s="4"/>
      <c r="C294" s="4"/>
      <c r="D294" s="4"/>
      <c r="E294" s="4"/>
      <c r="F294" s="6" t="str">
        <f>IF(A294="","",COUNTIF(Chicks!$G:$G,A294))</f>
        <v/>
      </c>
      <c r="G294" s="6" t="str">
        <f>IF(A294="","",COUNTIFS(Chicks!$G:$G,A294,Chicks!$I:$I,"Yes"))</f>
        <v/>
      </c>
      <c r="H294" s="6" t="str">
        <f>IF(A294="","",SUMIFS(Chicks!$J:$J,Chicks!$G:$G,A294))</f>
        <v/>
      </c>
      <c r="I294" s="6" t="str">
        <f>IF(A294="","",COUNTIFS(Chicks!$G:$G,A294,Chicks!$I:$I,"No"))</f>
        <v/>
      </c>
      <c r="J294" s="6" t="str">
        <f>IF(A294="","",IFERROR(AVERAGEIF(Chicks!$G:$G,A294,Chicks!$M:$M),""))</f>
        <v/>
      </c>
      <c r="K294" s="6" t="str">
        <f>IF(A294="","",SUMIFS(Chicks!$N:$N,Chicks!$G:$G,A294))</f>
        <v/>
      </c>
      <c r="L294" s="6" t="str">
        <f>IF(A294="","",SUMIFS(Chicks!$O:$O,Chicks!$G:$G,A294))</f>
        <v/>
      </c>
      <c r="M294" s="6" t="str">
        <f>IF(A294="","",SUMIFS(Chicks!$P:$P,Chicks!$G:$G,A294))</f>
        <v/>
      </c>
      <c r="N294" s="6" t="str">
        <f t="shared" si="2"/>
        <v/>
      </c>
    </row>
    <row r="295" spans="1:14" ht="14.25" customHeight="1" x14ac:dyDescent="0.3">
      <c r="A295" s="4"/>
      <c r="B295" s="4"/>
      <c r="C295" s="4"/>
      <c r="D295" s="4"/>
      <c r="E295" s="4"/>
      <c r="F295" s="6" t="str">
        <f>IF(A295="","",COUNTIF(Chicks!$G:$G,A295))</f>
        <v/>
      </c>
      <c r="G295" s="6" t="str">
        <f>IF(A295="","",COUNTIFS(Chicks!$G:$G,A295,Chicks!$I:$I,"Yes"))</f>
        <v/>
      </c>
      <c r="H295" s="6" t="str">
        <f>IF(A295="","",SUMIFS(Chicks!$J:$J,Chicks!$G:$G,A295))</f>
        <v/>
      </c>
      <c r="I295" s="6" t="str">
        <f>IF(A295="","",COUNTIFS(Chicks!$G:$G,A295,Chicks!$I:$I,"No"))</f>
        <v/>
      </c>
      <c r="J295" s="6" t="str">
        <f>IF(A295="","",IFERROR(AVERAGEIF(Chicks!$G:$G,A295,Chicks!$M:$M),""))</f>
        <v/>
      </c>
      <c r="K295" s="6" t="str">
        <f>IF(A295="","",SUMIFS(Chicks!$N:$N,Chicks!$G:$G,A295))</f>
        <v/>
      </c>
      <c r="L295" s="6" t="str">
        <f>IF(A295="","",SUMIFS(Chicks!$O:$O,Chicks!$G:$G,A295))</f>
        <v/>
      </c>
      <c r="M295" s="6" t="str">
        <f>IF(A295="","",SUMIFS(Chicks!$P:$P,Chicks!$G:$G,A295))</f>
        <v/>
      </c>
      <c r="N295" s="6" t="str">
        <f t="shared" si="2"/>
        <v/>
      </c>
    </row>
    <row r="296" spans="1:14" ht="14.25" customHeight="1" x14ac:dyDescent="0.3">
      <c r="A296" s="4"/>
      <c r="B296" s="4"/>
      <c r="C296" s="4"/>
      <c r="D296" s="4"/>
      <c r="E296" s="4"/>
      <c r="F296" s="6" t="str">
        <f>IF(A296="","",COUNTIF(Chicks!$G:$G,A296))</f>
        <v/>
      </c>
      <c r="G296" s="6" t="str">
        <f>IF(A296="","",COUNTIFS(Chicks!$G:$G,A296,Chicks!$I:$I,"Yes"))</f>
        <v/>
      </c>
      <c r="H296" s="6" t="str">
        <f>IF(A296="","",SUMIFS(Chicks!$J:$J,Chicks!$G:$G,A296))</f>
        <v/>
      </c>
      <c r="I296" s="6" t="str">
        <f>IF(A296="","",COUNTIFS(Chicks!$G:$G,A296,Chicks!$I:$I,"No"))</f>
        <v/>
      </c>
      <c r="J296" s="6" t="str">
        <f>IF(A296="","",IFERROR(AVERAGEIF(Chicks!$G:$G,A296,Chicks!$M:$M),""))</f>
        <v/>
      </c>
      <c r="K296" s="6" t="str">
        <f>IF(A296="","",SUMIFS(Chicks!$N:$N,Chicks!$G:$G,A296))</f>
        <v/>
      </c>
      <c r="L296" s="6" t="str">
        <f>IF(A296="","",SUMIFS(Chicks!$O:$O,Chicks!$G:$G,A296))</f>
        <v/>
      </c>
      <c r="M296" s="6" t="str">
        <f>IF(A296="","",SUMIFS(Chicks!$P:$P,Chicks!$G:$G,A296))</f>
        <v/>
      </c>
      <c r="N296" s="6" t="str">
        <f t="shared" si="2"/>
        <v/>
      </c>
    </row>
    <row r="297" spans="1:14" ht="14.25" customHeight="1" x14ac:dyDescent="0.3">
      <c r="A297" s="4"/>
      <c r="B297" s="4"/>
      <c r="C297" s="4"/>
      <c r="D297" s="4"/>
      <c r="E297" s="4"/>
      <c r="F297" s="6" t="str">
        <f>IF(A297="","",COUNTIF(Chicks!$G:$G,A297))</f>
        <v/>
      </c>
      <c r="G297" s="6" t="str">
        <f>IF(A297="","",COUNTIFS(Chicks!$G:$G,A297,Chicks!$I:$I,"Yes"))</f>
        <v/>
      </c>
      <c r="H297" s="6" t="str">
        <f>IF(A297="","",SUMIFS(Chicks!$J:$J,Chicks!$G:$G,A297))</f>
        <v/>
      </c>
      <c r="I297" s="6" t="str">
        <f>IF(A297="","",COUNTIFS(Chicks!$G:$G,A297,Chicks!$I:$I,"No"))</f>
        <v/>
      </c>
      <c r="J297" s="6" t="str">
        <f>IF(A297="","",IFERROR(AVERAGEIF(Chicks!$G:$G,A297,Chicks!$M:$M),""))</f>
        <v/>
      </c>
      <c r="K297" s="6" t="str">
        <f>IF(A297="","",SUMIFS(Chicks!$N:$N,Chicks!$G:$G,A297))</f>
        <v/>
      </c>
      <c r="L297" s="6" t="str">
        <f>IF(A297="","",SUMIFS(Chicks!$O:$O,Chicks!$G:$G,A297))</f>
        <v/>
      </c>
      <c r="M297" s="6" t="str">
        <f>IF(A297="","",SUMIFS(Chicks!$P:$P,Chicks!$G:$G,A297))</f>
        <v/>
      </c>
      <c r="N297" s="6" t="str">
        <f t="shared" si="2"/>
        <v/>
      </c>
    </row>
    <row r="298" spans="1:14" ht="14.25" customHeight="1" x14ac:dyDescent="0.3">
      <c r="A298" s="4"/>
      <c r="B298" s="4"/>
      <c r="C298" s="4"/>
      <c r="D298" s="4"/>
      <c r="E298" s="4"/>
      <c r="F298" s="6" t="str">
        <f>IF(A298="","",COUNTIF(Chicks!$G:$G,A298))</f>
        <v/>
      </c>
      <c r="G298" s="6" t="str">
        <f>IF(A298="","",COUNTIFS(Chicks!$G:$G,A298,Chicks!$I:$I,"Yes"))</f>
        <v/>
      </c>
      <c r="H298" s="6" t="str">
        <f>IF(A298="","",SUMIFS(Chicks!$J:$J,Chicks!$G:$G,A298))</f>
        <v/>
      </c>
      <c r="I298" s="6" t="str">
        <f>IF(A298="","",COUNTIFS(Chicks!$G:$G,A298,Chicks!$I:$I,"No"))</f>
        <v/>
      </c>
      <c r="J298" s="6" t="str">
        <f>IF(A298="","",IFERROR(AVERAGEIF(Chicks!$G:$G,A298,Chicks!$M:$M),""))</f>
        <v/>
      </c>
      <c r="K298" s="6" t="str">
        <f>IF(A298="","",SUMIFS(Chicks!$N:$N,Chicks!$G:$G,A298))</f>
        <v/>
      </c>
      <c r="L298" s="6" t="str">
        <f>IF(A298="","",SUMIFS(Chicks!$O:$O,Chicks!$G:$G,A298))</f>
        <v/>
      </c>
      <c r="M298" s="6" t="str">
        <f>IF(A298="","",SUMIFS(Chicks!$P:$P,Chicks!$G:$G,A298))</f>
        <v/>
      </c>
      <c r="N298" s="6" t="str">
        <f t="shared" si="2"/>
        <v/>
      </c>
    </row>
    <row r="299" spans="1:14" ht="14.25" customHeight="1" x14ac:dyDescent="0.3">
      <c r="A299" s="4"/>
      <c r="B299" s="4"/>
      <c r="C299" s="4"/>
      <c r="D299" s="4"/>
      <c r="E299" s="4"/>
      <c r="F299" s="6" t="str">
        <f>IF(A299="","",COUNTIF(Chicks!$G:$G,A299))</f>
        <v/>
      </c>
      <c r="G299" s="6" t="str">
        <f>IF(A299="","",COUNTIFS(Chicks!$G:$G,A299,Chicks!$I:$I,"Yes"))</f>
        <v/>
      </c>
      <c r="H299" s="6" t="str">
        <f>IF(A299="","",SUMIFS(Chicks!$J:$J,Chicks!$G:$G,A299))</f>
        <v/>
      </c>
      <c r="I299" s="6" t="str">
        <f>IF(A299="","",COUNTIFS(Chicks!$G:$G,A299,Chicks!$I:$I,"No"))</f>
        <v/>
      </c>
      <c r="J299" s="6" t="str">
        <f>IF(A299="","",IFERROR(AVERAGEIF(Chicks!$G:$G,A299,Chicks!$M:$M),""))</f>
        <v/>
      </c>
      <c r="K299" s="6" t="str">
        <f>IF(A299="","",SUMIFS(Chicks!$N:$N,Chicks!$G:$G,A299))</f>
        <v/>
      </c>
      <c r="L299" s="6" t="str">
        <f>IF(A299="","",SUMIFS(Chicks!$O:$O,Chicks!$G:$G,A299))</f>
        <v/>
      </c>
      <c r="M299" s="6" t="str">
        <f>IF(A299="","",SUMIFS(Chicks!$P:$P,Chicks!$G:$G,A299))</f>
        <v/>
      </c>
      <c r="N299" s="6" t="str">
        <f t="shared" si="2"/>
        <v/>
      </c>
    </row>
    <row r="300" spans="1:14" ht="14.25" customHeight="1" x14ac:dyDescent="0.3">
      <c r="A300" s="4"/>
      <c r="B300" s="4"/>
      <c r="C300" s="4"/>
      <c r="D300" s="4"/>
      <c r="E300" s="4"/>
      <c r="F300" s="6" t="str">
        <f>IF(A300="","",COUNTIF(Chicks!$G:$G,A300))</f>
        <v/>
      </c>
      <c r="G300" s="6" t="str">
        <f>IF(A300="","",COUNTIFS(Chicks!$G:$G,A300,Chicks!$I:$I,"Yes"))</f>
        <v/>
      </c>
      <c r="H300" s="6" t="str">
        <f>IF(A300="","",SUMIFS(Chicks!$J:$J,Chicks!$G:$G,A300))</f>
        <v/>
      </c>
      <c r="I300" s="6" t="str">
        <f>IF(A300="","",COUNTIFS(Chicks!$G:$G,A300,Chicks!$I:$I,"No"))</f>
        <v/>
      </c>
      <c r="J300" s="6" t="str">
        <f>IF(A300="","",IFERROR(AVERAGEIF(Chicks!$G:$G,A300,Chicks!$M:$M),""))</f>
        <v/>
      </c>
      <c r="K300" s="6" t="str">
        <f>IF(A300="","",SUMIFS(Chicks!$N:$N,Chicks!$G:$G,A300))</f>
        <v/>
      </c>
      <c r="L300" s="6" t="str">
        <f>IF(A300="","",SUMIFS(Chicks!$O:$O,Chicks!$G:$G,A300))</f>
        <v/>
      </c>
      <c r="M300" s="6" t="str">
        <f>IF(A300="","",SUMIFS(Chicks!$P:$P,Chicks!$G:$G,A300))</f>
        <v/>
      </c>
      <c r="N300" s="6" t="str">
        <f t="shared" si="2"/>
        <v/>
      </c>
    </row>
    <row r="301" spans="1:14" ht="14.25" customHeight="1" x14ac:dyDescent="0.3">
      <c r="A301" s="4"/>
      <c r="B301" s="4"/>
      <c r="C301" s="4"/>
      <c r="D301" s="4"/>
      <c r="E301" s="4"/>
      <c r="F301" s="6" t="str">
        <f>IF(A301="","",COUNTIF(Chicks!$G:$G,A301))</f>
        <v/>
      </c>
      <c r="G301" s="6" t="str">
        <f>IF(A301="","",COUNTIFS(Chicks!$G:$G,A301,Chicks!$I:$I,"Yes"))</f>
        <v/>
      </c>
      <c r="H301" s="6" t="str">
        <f>IF(A301="","",SUMIFS(Chicks!$J:$J,Chicks!$G:$G,A301))</f>
        <v/>
      </c>
      <c r="I301" s="6" t="str">
        <f>IF(A301="","",COUNTIFS(Chicks!$G:$G,A301,Chicks!$I:$I,"No"))</f>
        <v/>
      </c>
      <c r="J301" s="6" t="str">
        <f>IF(A301="","",IFERROR(AVERAGEIF(Chicks!$G:$G,A301,Chicks!$M:$M),""))</f>
        <v/>
      </c>
      <c r="K301" s="6" t="str">
        <f>IF(A301="","",SUMIFS(Chicks!$N:$N,Chicks!$G:$G,A301))</f>
        <v/>
      </c>
      <c r="L301" s="6" t="str">
        <f>IF(A301="","",SUMIFS(Chicks!$O:$O,Chicks!$G:$G,A301))</f>
        <v/>
      </c>
      <c r="M301" s="6" t="str">
        <f>IF(A301="","",SUMIFS(Chicks!$P:$P,Chicks!$G:$G,A301))</f>
        <v/>
      </c>
      <c r="N301" s="6" t="str">
        <f t="shared" si="2"/>
        <v/>
      </c>
    </row>
    <row r="302" spans="1:14" ht="14.25" customHeight="1" x14ac:dyDescent="0.3">
      <c r="A302" s="4"/>
      <c r="B302" s="4"/>
      <c r="C302" s="4"/>
      <c r="D302" s="4"/>
      <c r="E302" s="4"/>
      <c r="F302" s="6" t="str">
        <f>IF(A302="","",COUNTIF(Chicks!$G:$G,A302))</f>
        <v/>
      </c>
      <c r="G302" s="6" t="str">
        <f>IF(A302="","",COUNTIFS(Chicks!$G:$G,A302,Chicks!$I:$I,"Yes"))</f>
        <v/>
      </c>
      <c r="H302" s="6" t="str">
        <f>IF(A302="","",SUMIFS(Chicks!$J:$J,Chicks!$G:$G,A302))</f>
        <v/>
      </c>
      <c r="I302" s="6" t="str">
        <f>IF(A302="","",COUNTIFS(Chicks!$G:$G,A302,Chicks!$I:$I,"No"))</f>
        <v/>
      </c>
      <c r="J302" s="6" t="str">
        <f>IF(A302="","",IFERROR(AVERAGEIF(Chicks!$G:$G,A302,Chicks!$M:$M),""))</f>
        <v/>
      </c>
      <c r="K302" s="6" t="str">
        <f>IF(A302="","",SUMIFS(Chicks!$N:$N,Chicks!$G:$G,A302))</f>
        <v/>
      </c>
      <c r="L302" s="6" t="str">
        <f>IF(A302="","",SUMIFS(Chicks!$O:$O,Chicks!$G:$G,A302))</f>
        <v/>
      </c>
      <c r="M302" s="6" t="str">
        <f>IF(A302="","",SUMIFS(Chicks!$P:$P,Chicks!$G:$G,A302))</f>
        <v/>
      </c>
      <c r="N302" s="6" t="str">
        <f t="shared" si="2"/>
        <v/>
      </c>
    </row>
    <row r="303" spans="1:14" ht="14.25" customHeight="1" x14ac:dyDescent="0.3">
      <c r="A303" s="4"/>
      <c r="B303" s="4"/>
      <c r="C303" s="4"/>
      <c r="D303" s="4"/>
      <c r="E303" s="4"/>
      <c r="F303" s="6" t="str">
        <f>IF(A303="","",COUNTIF(Chicks!$G:$G,A303))</f>
        <v/>
      </c>
      <c r="G303" s="6" t="str">
        <f>IF(A303="","",COUNTIFS(Chicks!$G:$G,A303,Chicks!$I:$I,"Yes"))</f>
        <v/>
      </c>
      <c r="H303" s="6" t="str">
        <f>IF(A303="","",SUMIFS(Chicks!$J:$J,Chicks!$G:$G,A303))</f>
        <v/>
      </c>
      <c r="I303" s="6" t="str">
        <f>IF(A303="","",COUNTIFS(Chicks!$G:$G,A303,Chicks!$I:$I,"No"))</f>
        <v/>
      </c>
      <c r="J303" s="6" t="str">
        <f>IF(A303="","",IFERROR(AVERAGEIF(Chicks!$G:$G,A303,Chicks!$M:$M),""))</f>
        <v/>
      </c>
      <c r="K303" s="6" t="str">
        <f>IF(A303="","",SUMIFS(Chicks!$N:$N,Chicks!$G:$G,A303))</f>
        <v/>
      </c>
      <c r="L303" s="6" t="str">
        <f>IF(A303="","",SUMIFS(Chicks!$O:$O,Chicks!$G:$G,A303))</f>
        <v/>
      </c>
      <c r="M303" s="6" t="str">
        <f>IF(A303="","",SUMIFS(Chicks!$P:$P,Chicks!$G:$G,A303))</f>
        <v/>
      </c>
      <c r="N303" s="6" t="str">
        <f t="shared" si="2"/>
        <v/>
      </c>
    </row>
    <row r="304" spans="1:14" ht="14.25" customHeight="1" x14ac:dyDescent="0.3">
      <c r="A304" s="4"/>
      <c r="B304" s="4"/>
      <c r="C304" s="4"/>
      <c r="D304" s="4"/>
      <c r="E304" s="4"/>
      <c r="F304" s="6" t="str">
        <f>IF(A304="","",COUNTIF(Chicks!$G:$G,A304))</f>
        <v/>
      </c>
      <c r="G304" s="6" t="str">
        <f>IF(A304="","",COUNTIFS(Chicks!$G:$G,A304,Chicks!$I:$I,"Yes"))</f>
        <v/>
      </c>
      <c r="H304" s="6" t="str">
        <f>IF(A304="","",SUMIFS(Chicks!$J:$J,Chicks!$G:$G,A304))</f>
        <v/>
      </c>
      <c r="I304" s="6" t="str">
        <f>IF(A304="","",COUNTIFS(Chicks!$G:$G,A304,Chicks!$I:$I,"No"))</f>
        <v/>
      </c>
      <c r="J304" s="6" t="str">
        <f>IF(A304="","",IFERROR(AVERAGEIF(Chicks!$G:$G,A304,Chicks!$M:$M),""))</f>
        <v/>
      </c>
      <c r="K304" s="6" t="str">
        <f>IF(A304="","",SUMIFS(Chicks!$N:$N,Chicks!$G:$G,A304))</f>
        <v/>
      </c>
      <c r="L304" s="6" t="str">
        <f>IF(A304="","",SUMIFS(Chicks!$O:$O,Chicks!$G:$G,A304))</f>
        <v/>
      </c>
      <c r="M304" s="6" t="str">
        <f>IF(A304="","",SUMIFS(Chicks!$P:$P,Chicks!$G:$G,A304))</f>
        <v/>
      </c>
      <c r="N304" s="6" t="str">
        <f t="shared" si="2"/>
        <v/>
      </c>
    </row>
    <row r="305" spans="1:14" ht="14.25" customHeight="1" x14ac:dyDescent="0.3">
      <c r="A305" s="4"/>
      <c r="B305" s="4"/>
      <c r="C305" s="4"/>
      <c r="D305" s="4"/>
      <c r="E305" s="4"/>
      <c r="F305" s="6" t="str">
        <f>IF(A305="","",COUNTIF(Chicks!$G:$G,A305))</f>
        <v/>
      </c>
      <c r="G305" s="6" t="str">
        <f>IF(A305="","",COUNTIFS(Chicks!$G:$G,A305,Chicks!$I:$I,"Yes"))</f>
        <v/>
      </c>
      <c r="H305" s="6" t="str">
        <f>IF(A305="","",SUMIFS(Chicks!$J:$J,Chicks!$G:$G,A305))</f>
        <v/>
      </c>
      <c r="I305" s="6" t="str">
        <f>IF(A305="","",COUNTIFS(Chicks!$G:$G,A305,Chicks!$I:$I,"No"))</f>
        <v/>
      </c>
      <c r="J305" s="6" t="str">
        <f>IF(A305="","",IFERROR(AVERAGEIF(Chicks!$G:$G,A305,Chicks!$M:$M),""))</f>
        <v/>
      </c>
      <c r="K305" s="6" t="str">
        <f>IF(A305="","",SUMIFS(Chicks!$N:$N,Chicks!$G:$G,A305))</f>
        <v/>
      </c>
      <c r="L305" s="6" t="str">
        <f>IF(A305="","",SUMIFS(Chicks!$O:$O,Chicks!$G:$G,A305))</f>
        <v/>
      </c>
      <c r="M305" s="6" t="str">
        <f>IF(A305="","",SUMIFS(Chicks!$P:$P,Chicks!$G:$G,A305))</f>
        <v/>
      </c>
      <c r="N305" s="6" t="str">
        <f t="shared" si="2"/>
        <v/>
      </c>
    </row>
    <row r="306" spans="1:14" ht="14.25" customHeight="1" x14ac:dyDescent="0.3">
      <c r="A306" s="4"/>
      <c r="B306" s="4"/>
      <c r="C306" s="4"/>
      <c r="D306" s="4"/>
      <c r="E306" s="4"/>
      <c r="F306" s="6" t="str">
        <f>IF(A306="","",COUNTIF(Chicks!$G:$G,A306))</f>
        <v/>
      </c>
      <c r="G306" s="6" t="str">
        <f>IF(A306="","",COUNTIFS(Chicks!$G:$G,A306,Chicks!$I:$I,"Yes"))</f>
        <v/>
      </c>
      <c r="H306" s="6" t="str">
        <f>IF(A306="","",SUMIFS(Chicks!$J:$J,Chicks!$G:$G,A306))</f>
        <v/>
      </c>
      <c r="I306" s="6" t="str">
        <f>IF(A306="","",COUNTIFS(Chicks!$G:$G,A306,Chicks!$I:$I,"No"))</f>
        <v/>
      </c>
      <c r="J306" s="6" t="str">
        <f>IF(A306="","",IFERROR(AVERAGEIF(Chicks!$G:$G,A306,Chicks!$M:$M),""))</f>
        <v/>
      </c>
      <c r="K306" s="6" t="str">
        <f>IF(A306="","",SUMIFS(Chicks!$N:$N,Chicks!$G:$G,A306))</f>
        <v/>
      </c>
      <c r="L306" s="6" t="str">
        <f>IF(A306="","",SUMIFS(Chicks!$O:$O,Chicks!$G:$G,A306))</f>
        <v/>
      </c>
      <c r="M306" s="6" t="str">
        <f>IF(A306="","",SUMIFS(Chicks!$P:$P,Chicks!$G:$G,A306))</f>
        <v/>
      </c>
      <c r="N306" s="6" t="str">
        <f t="shared" si="2"/>
        <v/>
      </c>
    </row>
    <row r="307" spans="1:14" ht="14.25" customHeight="1" x14ac:dyDescent="0.3">
      <c r="A307" s="4"/>
      <c r="B307" s="4"/>
      <c r="C307" s="4"/>
      <c r="D307" s="4"/>
      <c r="E307" s="4"/>
      <c r="F307" s="6" t="str">
        <f>IF(A307="","",COUNTIF(Chicks!$G:$G,A307))</f>
        <v/>
      </c>
      <c r="G307" s="6" t="str">
        <f>IF(A307="","",COUNTIFS(Chicks!$G:$G,A307,Chicks!$I:$I,"Yes"))</f>
        <v/>
      </c>
      <c r="H307" s="6" t="str">
        <f>IF(A307="","",SUMIFS(Chicks!$J:$J,Chicks!$G:$G,A307))</f>
        <v/>
      </c>
      <c r="I307" s="6" t="str">
        <f>IF(A307="","",COUNTIFS(Chicks!$G:$G,A307,Chicks!$I:$I,"No"))</f>
        <v/>
      </c>
      <c r="J307" s="6" t="str">
        <f>IF(A307="","",IFERROR(AVERAGEIF(Chicks!$G:$G,A307,Chicks!$M:$M),""))</f>
        <v/>
      </c>
      <c r="K307" s="6" t="str">
        <f>IF(A307="","",SUMIFS(Chicks!$N:$N,Chicks!$G:$G,A307))</f>
        <v/>
      </c>
      <c r="L307" s="6" t="str">
        <f>IF(A307="","",SUMIFS(Chicks!$O:$O,Chicks!$G:$G,A307))</f>
        <v/>
      </c>
      <c r="M307" s="6" t="str">
        <f>IF(A307="","",SUMIFS(Chicks!$P:$P,Chicks!$G:$G,A307))</f>
        <v/>
      </c>
      <c r="N307" s="6" t="str">
        <f t="shared" si="2"/>
        <v/>
      </c>
    </row>
    <row r="308" spans="1:14" ht="14.25" customHeight="1" x14ac:dyDescent="0.3">
      <c r="A308" s="4"/>
      <c r="B308" s="4"/>
      <c r="C308" s="4"/>
      <c r="D308" s="4"/>
      <c r="E308" s="4"/>
      <c r="F308" s="6" t="str">
        <f>IF(A308="","",COUNTIF(Chicks!$G:$G,A308))</f>
        <v/>
      </c>
      <c r="G308" s="6" t="str">
        <f>IF(A308="","",COUNTIFS(Chicks!$G:$G,A308,Chicks!$I:$I,"Yes"))</f>
        <v/>
      </c>
      <c r="H308" s="6" t="str">
        <f>IF(A308="","",SUMIFS(Chicks!$J:$J,Chicks!$G:$G,A308))</f>
        <v/>
      </c>
      <c r="I308" s="6" t="str">
        <f>IF(A308="","",COUNTIFS(Chicks!$G:$G,A308,Chicks!$I:$I,"No"))</f>
        <v/>
      </c>
      <c r="J308" s="6" t="str">
        <f>IF(A308="","",IFERROR(AVERAGEIF(Chicks!$G:$G,A308,Chicks!$M:$M),""))</f>
        <v/>
      </c>
      <c r="K308" s="6" t="str">
        <f>IF(A308="","",SUMIFS(Chicks!$N:$N,Chicks!$G:$G,A308))</f>
        <v/>
      </c>
      <c r="L308" s="6" t="str">
        <f>IF(A308="","",SUMIFS(Chicks!$O:$O,Chicks!$G:$G,A308))</f>
        <v/>
      </c>
      <c r="M308" s="6" t="str">
        <f>IF(A308="","",SUMIFS(Chicks!$P:$P,Chicks!$G:$G,A308))</f>
        <v/>
      </c>
      <c r="N308" s="6" t="str">
        <f t="shared" si="2"/>
        <v/>
      </c>
    </row>
    <row r="309" spans="1:14" ht="14.25" customHeight="1" x14ac:dyDescent="0.3">
      <c r="A309" s="4"/>
      <c r="B309" s="4"/>
      <c r="C309" s="4"/>
      <c r="D309" s="4"/>
      <c r="E309" s="4"/>
      <c r="F309" s="6" t="str">
        <f>IF(A309="","",COUNTIF(Chicks!$G:$G,A309))</f>
        <v/>
      </c>
      <c r="G309" s="6" t="str">
        <f>IF(A309="","",COUNTIFS(Chicks!$G:$G,A309,Chicks!$I:$I,"Yes"))</f>
        <v/>
      </c>
      <c r="H309" s="6" t="str">
        <f>IF(A309="","",SUMIFS(Chicks!$J:$J,Chicks!$G:$G,A309))</f>
        <v/>
      </c>
      <c r="I309" s="6" t="str">
        <f>IF(A309="","",COUNTIFS(Chicks!$G:$G,A309,Chicks!$I:$I,"No"))</f>
        <v/>
      </c>
      <c r="J309" s="6" t="str">
        <f>IF(A309="","",IFERROR(AVERAGEIF(Chicks!$G:$G,A309,Chicks!$M:$M),""))</f>
        <v/>
      </c>
      <c r="K309" s="6" t="str">
        <f>IF(A309="","",SUMIFS(Chicks!$N:$N,Chicks!$G:$G,A309))</f>
        <v/>
      </c>
      <c r="L309" s="6" t="str">
        <f>IF(A309="","",SUMIFS(Chicks!$O:$O,Chicks!$G:$G,A309))</f>
        <v/>
      </c>
      <c r="M309" s="6" t="str">
        <f>IF(A309="","",SUMIFS(Chicks!$P:$P,Chicks!$G:$G,A309))</f>
        <v/>
      </c>
      <c r="N309" s="6" t="str">
        <f t="shared" si="2"/>
        <v/>
      </c>
    </row>
    <row r="310" spans="1:14" ht="14.25" customHeight="1" x14ac:dyDescent="0.3">
      <c r="A310" s="4"/>
      <c r="B310" s="4"/>
      <c r="C310" s="4"/>
      <c r="D310" s="4"/>
      <c r="E310" s="4"/>
      <c r="F310" s="6" t="str">
        <f>IF(A310="","",COUNTIF(Chicks!$G:$G,A310))</f>
        <v/>
      </c>
      <c r="G310" s="6" t="str">
        <f>IF(A310="","",COUNTIFS(Chicks!$G:$G,A310,Chicks!$I:$I,"Yes"))</f>
        <v/>
      </c>
      <c r="H310" s="6" t="str">
        <f>IF(A310="","",SUMIFS(Chicks!$J:$J,Chicks!$G:$G,A310))</f>
        <v/>
      </c>
      <c r="I310" s="6" t="str">
        <f>IF(A310="","",COUNTIFS(Chicks!$G:$G,A310,Chicks!$I:$I,"No"))</f>
        <v/>
      </c>
      <c r="J310" s="6" t="str">
        <f>IF(A310="","",IFERROR(AVERAGEIF(Chicks!$G:$G,A310,Chicks!$M:$M),""))</f>
        <v/>
      </c>
      <c r="K310" s="6" t="str">
        <f>IF(A310="","",SUMIFS(Chicks!$N:$N,Chicks!$G:$G,A310))</f>
        <v/>
      </c>
      <c r="L310" s="6" t="str">
        <f>IF(A310="","",SUMIFS(Chicks!$O:$O,Chicks!$G:$G,A310))</f>
        <v/>
      </c>
      <c r="M310" s="6" t="str">
        <f>IF(A310="","",SUMIFS(Chicks!$P:$P,Chicks!$G:$G,A310))</f>
        <v/>
      </c>
      <c r="N310" s="6" t="str">
        <f t="shared" si="2"/>
        <v/>
      </c>
    </row>
    <row r="311" spans="1:14" ht="14.25" customHeight="1" x14ac:dyDescent="0.3">
      <c r="A311" s="4"/>
      <c r="B311" s="4"/>
      <c r="C311" s="4"/>
      <c r="D311" s="4"/>
      <c r="E311" s="4"/>
      <c r="F311" s="6" t="str">
        <f>IF(A311="","",COUNTIF(Chicks!$G:$G,A311))</f>
        <v/>
      </c>
      <c r="G311" s="6" t="str">
        <f>IF(A311="","",COUNTIFS(Chicks!$G:$G,A311,Chicks!$I:$I,"Yes"))</f>
        <v/>
      </c>
      <c r="H311" s="6" t="str">
        <f>IF(A311="","",SUMIFS(Chicks!$J:$J,Chicks!$G:$G,A311))</f>
        <v/>
      </c>
      <c r="I311" s="6" t="str">
        <f>IF(A311="","",COUNTIFS(Chicks!$G:$G,A311,Chicks!$I:$I,"No"))</f>
        <v/>
      </c>
      <c r="J311" s="6" t="str">
        <f>IF(A311="","",IFERROR(AVERAGEIF(Chicks!$G:$G,A311,Chicks!$M:$M),""))</f>
        <v/>
      </c>
      <c r="K311" s="6" t="str">
        <f>IF(A311="","",SUMIFS(Chicks!$N:$N,Chicks!$G:$G,A311))</f>
        <v/>
      </c>
      <c r="L311" s="6" t="str">
        <f>IF(A311="","",SUMIFS(Chicks!$O:$O,Chicks!$G:$G,A311))</f>
        <v/>
      </c>
      <c r="M311" s="6" t="str">
        <f>IF(A311="","",SUMIFS(Chicks!$P:$P,Chicks!$G:$G,A311))</f>
        <v/>
      </c>
      <c r="N311" s="6" t="str">
        <f t="shared" si="2"/>
        <v/>
      </c>
    </row>
    <row r="312" spans="1:14" ht="14.25" customHeight="1" x14ac:dyDescent="0.3">
      <c r="A312" s="4"/>
      <c r="B312" s="4"/>
      <c r="C312" s="4"/>
      <c r="D312" s="4"/>
      <c r="E312" s="4"/>
      <c r="F312" s="6" t="str">
        <f>IF(A312="","",COUNTIF(Chicks!$G:$G,A312))</f>
        <v/>
      </c>
      <c r="G312" s="6" t="str">
        <f>IF(A312="","",COUNTIFS(Chicks!$G:$G,A312,Chicks!$I:$I,"Yes"))</f>
        <v/>
      </c>
      <c r="H312" s="6" t="str">
        <f>IF(A312="","",SUMIFS(Chicks!$J:$J,Chicks!$G:$G,A312))</f>
        <v/>
      </c>
      <c r="I312" s="6" t="str">
        <f>IF(A312="","",COUNTIFS(Chicks!$G:$G,A312,Chicks!$I:$I,"No"))</f>
        <v/>
      </c>
      <c r="J312" s="6" t="str">
        <f>IF(A312="","",IFERROR(AVERAGEIF(Chicks!$G:$G,A312,Chicks!$M:$M),""))</f>
        <v/>
      </c>
      <c r="K312" s="6" t="str">
        <f>IF(A312="","",SUMIFS(Chicks!$N:$N,Chicks!$G:$G,A312))</f>
        <v/>
      </c>
      <c r="L312" s="6" t="str">
        <f>IF(A312="","",SUMIFS(Chicks!$O:$O,Chicks!$G:$G,A312))</f>
        <v/>
      </c>
      <c r="M312" s="6" t="str">
        <f>IF(A312="","",SUMIFS(Chicks!$P:$P,Chicks!$G:$G,A312))</f>
        <v/>
      </c>
      <c r="N312" s="6" t="str">
        <f t="shared" si="2"/>
        <v/>
      </c>
    </row>
    <row r="313" spans="1:14" ht="14.25" customHeight="1" x14ac:dyDescent="0.3">
      <c r="A313" s="4"/>
      <c r="B313" s="4"/>
      <c r="C313" s="4"/>
      <c r="D313" s="4"/>
      <c r="E313" s="4"/>
      <c r="F313" s="6" t="str">
        <f>IF(A313="","",COUNTIF(Chicks!$G:$G,A313))</f>
        <v/>
      </c>
      <c r="G313" s="6" t="str">
        <f>IF(A313="","",COUNTIFS(Chicks!$G:$G,A313,Chicks!$I:$I,"Yes"))</f>
        <v/>
      </c>
      <c r="H313" s="6" t="str">
        <f>IF(A313="","",SUMIFS(Chicks!$J:$J,Chicks!$G:$G,A313))</f>
        <v/>
      </c>
      <c r="I313" s="6" t="str">
        <f>IF(A313="","",COUNTIFS(Chicks!$G:$G,A313,Chicks!$I:$I,"No"))</f>
        <v/>
      </c>
      <c r="J313" s="6" t="str">
        <f>IF(A313="","",IFERROR(AVERAGEIF(Chicks!$G:$G,A313,Chicks!$M:$M),""))</f>
        <v/>
      </c>
      <c r="K313" s="6" t="str">
        <f>IF(A313="","",SUMIFS(Chicks!$N:$N,Chicks!$G:$G,A313))</f>
        <v/>
      </c>
      <c r="L313" s="6" t="str">
        <f>IF(A313="","",SUMIFS(Chicks!$O:$O,Chicks!$G:$G,A313))</f>
        <v/>
      </c>
      <c r="M313" s="6" t="str">
        <f>IF(A313="","",SUMIFS(Chicks!$P:$P,Chicks!$G:$G,A313))</f>
        <v/>
      </c>
      <c r="N313" s="6" t="str">
        <f t="shared" si="2"/>
        <v/>
      </c>
    </row>
    <row r="314" spans="1:14" ht="14.25" customHeight="1" x14ac:dyDescent="0.3">
      <c r="A314" s="4"/>
      <c r="B314" s="4"/>
      <c r="C314" s="4"/>
      <c r="D314" s="4"/>
      <c r="E314" s="4"/>
      <c r="F314" s="6" t="str">
        <f>IF(A314="","",COUNTIF(Chicks!$G:$G,A314))</f>
        <v/>
      </c>
      <c r="G314" s="6" t="str">
        <f>IF(A314="","",COUNTIFS(Chicks!$G:$G,A314,Chicks!$I:$I,"Yes"))</f>
        <v/>
      </c>
      <c r="H314" s="6" t="str">
        <f>IF(A314="","",SUMIFS(Chicks!$J:$J,Chicks!$G:$G,A314))</f>
        <v/>
      </c>
      <c r="I314" s="6" t="str">
        <f>IF(A314="","",COUNTIFS(Chicks!$G:$G,A314,Chicks!$I:$I,"No"))</f>
        <v/>
      </c>
      <c r="J314" s="6" t="str">
        <f>IF(A314="","",IFERROR(AVERAGEIF(Chicks!$G:$G,A314,Chicks!$M:$M),""))</f>
        <v/>
      </c>
      <c r="K314" s="6" t="str">
        <f>IF(A314="","",SUMIFS(Chicks!$N:$N,Chicks!$G:$G,A314))</f>
        <v/>
      </c>
      <c r="L314" s="6" t="str">
        <f>IF(A314="","",SUMIFS(Chicks!$O:$O,Chicks!$G:$G,A314))</f>
        <v/>
      </c>
      <c r="M314" s="6" t="str">
        <f>IF(A314="","",SUMIFS(Chicks!$P:$P,Chicks!$G:$G,A314))</f>
        <v/>
      </c>
      <c r="N314" s="6" t="str">
        <f t="shared" si="2"/>
        <v/>
      </c>
    </row>
    <row r="315" spans="1:14" ht="14.25" customHeight="1" x14ac:dyDescent="0.3">
      <c r="A315" s="4"/>
      <c r="B315" s="4"/>
      <c r="C315" s="4"/>
      <c r="D315" s="4"/>
      <c r="E315" s="4"/>
      <c r="F315" s="6" t="str">
        <f>IF(A315="","",COUNTIF(Chicks!$G:$G,A315))</f>
        <v/>
      </c>
      <c r="G315" s="6" t="str">
        <f>IF(A315="","",COUNTIFS(Chicks!$G:$G,A315,Chicks!$I:$I,"Yes"))</f>
        <v/>
      </c>
      <c r="H315" s="6" t="str">
        <f>IF(A315="","",SUMIFS(Chicks!$J:$J,Chicks!$G:$G,A315))</f>
        <v/>
      </c>
      <c r="I315" s="6" t="str">
        <f>IF(A315="","",COUNTIFS(Chicks!$G:$G,A315,Chicks!$I:$I,"No"))</f>
        <v/>
      </c>
      <c r="J315" s="6" t="str">
        <f>IF(A315="","",IFERROR(AVERAGEIF(Chicks!$G:$G,A315,Chicks!$M:$M),""))</f>
        <v/>
      </c>
      <c r="K315" s="6" t="str">
        <f>IF(A315="","",SUMIFS(Chicks!$N:$N,Chicks!$G:$G,A315))</f>
        <v/>
      </c>
      <c r="L315" s="6" t="str">
        <f>IF(A315="","",SUMIFS(Chicks!$O:$O,Chicks!$G:$G,A315))</f>
        <v/>
      </c>
      <c r="M315" s="6" t="str">
        <f>IF(A315="","",SUMIFS(Chicks!$P:$P,Chicks!$G:$G,A315))</f>
        <v/>
      </c>
      <c r="N315" s="6" t="str">
        <f t="shared" si="2"/>
        <v/>
      </c>
    </row>
    <row r="316" spans="1:14" ht="14.25" customHeight="1" x14ac:dyDescent="0.3">
      <c r="A316" s="4"/>
      <c r="B316" s="4"/>
      <c r="C316" s="4"/>
      <c r="D316" s="4"/>
      <c r="E316" s="4"/>
      <c r="F316" s="6" t="str">
        <f>IF(A316="","",COUNTIF(Chicks!$G:$G,A316))</f>
        <v/>
      </c>
      <c r="G316" s="6" t="str">
        <f>IF(A316="","",COUNTIFS(Chicks!$G:$G,A316,Chicks!$I:$I,"Yes"))</f>
        <v/>
      </c>
      <c r="H316" s="6" t="str">
        <f>IF(A316="","",SUMIFS(Chicks!$J:$J,Chicks!$G:$G,A316))</f>
        <v/>
      </c>
      <c r="I316" s="6" t="str">
        <f>IF(A316="","",COUNTIFS(Chicks!$G:$G,A316,Chicks!$I:$I,"No"))</f>
        <v/>
      </c>
      <c r="J316" s="6" t="str">
        <f>IF(A316="","",IFERROR(AVERAGEIF(Chicks!$G:$G,A316,Chicks!$M:$M),""))</f>
        <v/>
      </c>
      <c r="K316" s="6" t="str">
        <f>IF(A316="","",SUMIFS(Chicks!$N:$N,Chicks!$G:$G,A316))</f>
        <v/>
      </c>
      <c r="L316" s="6" t="str">
        <f>IF(A316="","",SUMIFS(Chicks!$O:$O,Chicks!$G:$G,A316))</f>
        <v/>
      </c>
      <c r="M316" s="6" t="str">
        <f>IF(A316="","",SUMIFS(Chicks!$P:$P,Chicks!$G:$G,A316))</f>
        <v/>
      </c>
      <c r="N316" s="6" t="str">
        <f t="shared" si="2"/>
        <v/>
      </c>
    </row>
    <row r="317" spans="1:14" ht="14.25" customHeight="1" x14ac:dyDescent="0.3">
      <c r="A317" s="4"/>
      <c r="B317" s="4"/>
      <c r="C317" s="4"/>
      <c r="D317" s="4"/>
      <c r="E317" s="4"/>
      <c r="F317" s="6" t="str">
        <f>IF(A317="","",COUNTIF(Chicks!$G:$G,A317))</f>
        <v/>
      </c>
      <c r="G317" s="6" t="str">
        <f>IF(A317="","",COUNTIFS(Chicks!$G:$G,A317,Chicks!$I:$I,"Yes"))</f>
        <v/>
      </c>
      <c r="H317" s="6" t="str">
        <f>IF(A317="","",SUMIFS(Chicks!$J:$J,Chicks!$G:$G,A317))</f>
        <v/>
      </c>
      <c r="I317" s="6" t="str">
        <f>IF(A317="","",COUNTIFS(Chicks!$G:$G,A317,Chicks!$I:$I,"No"))</f>
        <v/>
      </c>
      <c r="J317" s="6" t="str">
        <f>IF(A317="","",IFERROR(AVERAGEIF(Chicks!$G:$G,A317,Chicks!$M:$M),""))</f>
        <v/>
      </c>
      <c r="K317" s="6" t="str">
        <f>IF(A317="","",SUMIFS(Chicks!$N:$N,Chicks!$G:$G,A317))</f>
        <v/>
      </c>
      <c r="L317" s="6" t="str">
        <f>IF(A317="","",SUMIFS(Chicks!$O:$O,Chicks!$G:$G,A317))</f>
        <v/>
      </c>
      <c r="M317" s="6" t="str">
        <f>IF(A317="","",SUMIFS(Chicks!$P:$P,Chicks!$G:$G,A317))</f>
        <v/>
      </c>
      <c r="N317" s="6" t="str">
        <f t="shared" si="2"/>
        <v/>
      </c>
    </row>
    <row r="318" spans="1:14" ht="14.25" customHeight="1" x14ac:dyDescent="0.3">
      <c r="A318" s="4"/>
      <c r="B318" s="4"/>
      <c r="C318" s="4"/>
      <c r="D318" s="4"/>
      <c r="E318" s="4"/>
      <c r="F318" s="6" t="str">
        <f>IF(A318="","",COUNTIF(Chicks!$G:$G,A318))</f>
        <v/>
      </c>
      <c r="G318" s="6" t="str">
        <f>IF(A318="","",COUNTIFS(Chicks!$G:$G,A318,Chicks!$I:$I,"Yes"))</f>
        <v/>
      </c>
      <c r="H318" s="6" t="str">
        <f>IF(A318="","",SUMIFS(Chicks!$J:$J,Chicks!$G:$G,A318))</f>
        <v/>
      </c>
      <c r="I318" s="6" t="str">
        <f>IF(A318="","",COUNTIFS(Chicks!$G:$G,A318,Chicks!$I:$I,"No"))</f>
        <v/>
      </c>
      <c r="J318" s="6" t="str">
        <f>IF(A318="","",IFERROR(AVERAGEIF(Chicks!$G:$G,A318,Chicks!$M:$M),""))</f>
        <v/>
      </c>
      <c r="K318" s="6" t="str">
        <f>IF(A318="","",SUMIFS(Chicks!$N:$N,Chicks!$G:$G,A318))</f>
        <v/>
      </c>
      <c r="L318" s="6" t="str">
        <f>IF(A318="","",SUMIFS(Chicks!$O:$O,Chicks!$G:$G,A318))</f>
        <v/>
      </c>
      <c r="M318" s="6" t="str">
        <f>IF(A318="","",SUMIFS(Chicks!$P:$P,Chicks!$G:$G,A318))</f>
        <v/>
      </c>
      <c r="N318" s="6" t="str">
        <f t="shared" si="2"/>
        <v/>
      </c>
    </row>
    <row r="319" spans="1:14" ht="14.25" customHeight="1" x14ac:dyDescent="0.3">
      <c r="A319" s="4"/>
      <c r="B319" s="4"/>
      <c r="C319" s="4"/>
      <c r="D319" s="4"/>
      <c r="E319" s="4"/>
      <c r="F319" s="6" t="str">
        <f>IF(A319="","",COUNTIF(Chicks!$G:$G,A319))</f>
        <v/>
      </c>
      <c r="G319" s="6" t="str">
        <f>IF(A319="","",COUNTIFS(Chicks!$G:$G,A319,Chicks!$I:$I,"Yes"))</f>
        <v/>
      </c>
      <c r="H319" s="6" t="str">
        <f>IF(A319="","",SUMIFS(Chicks!$J:$J,Chicks!$G:$G,A319))</f>
        <v/>
      </c>
      <c r="I319" s="6" t="str">
        <f>IF(A319="","",COUNTIFS(Chicks!$G:$G,A319,Chicks!$I:$I,"No"))</f>
        <v/>
      </c>
      <c r="J319" s="6" t="str">
        <f>IF(A319="","",IFERROR(AVERAGEIF(Chicks!$G:$G,A319,Chicks!$M:$M),""))</f>
        <v/>
      </c>
      <c r="K319" s="6" t="str">
        <f>IF(A319="","",SUMIFS(Chicks!$N:$N,Chicks!$G:$G,A319))</f>
        <v/>
      </c>
      <c r="L319" s="6" t="str">
        <f>IF(A319="","",SUMIFS(Chicks!$O:$O,Chicks!$G:$G,A319))</f>
        <v/>
      </c>
      <c r="M319" s="6" t="str">
        <f>IF(A319="","",SUMIFS(Chicks!$P:$P,Chicks!$G:$G,A319))</f>
        <v/>
      </c>
      <c r="N319" s="6" t="str">
        <f t="shared" si="2"/>
        <v/>
      </c>
    </row>
    <row r="320" spans="1:14" ht="14.25" customHeight="1" x14ac:dyDescent="0.3">
      <c r="A320" s="4"/>
      <c r="B320" s="4"/>
      <c r="C320" s="4"/>
      <c r="D320" s="4"/>
      <c r="E320" s="4"/>
      <c r="F320" s="6" t="str">
        <f>IF(A320="","",COUNTIF(Chicks!$G:$G,A320))</f>
        <v/>
      </c>
      <c r="G320" s="6" t="str">
        <f>IF(A320="","",COUNTIFS(Chicks!$G:$G,A320,Chicks!$I:$I,"Yes"))</f>
        <v/>
      </c>
      <c r="H320" s="6" t="str">
        <f>IF(A320="","",SUMIFS(Chicks!$J:$J,Chicks!$G:$G,A320))</f>
        <v/>
      </c>
      <c r="I320" s="6" t="str">
        <f>IF(A320="","",COUNTIFS(Chicks!$G:$G,A320,Chicks!$I:$I,"No"))</f>
        <v/>
      </c>
      <c r="J320" s="6" t="str">
        <f>IF(A320="","",IFERROR(AVERAGEIF(Chicks!$G:$G,A320,Chicks!$M:$M),""))</f>
        <v/>
      </c>
      <c r="K320" s="6" t="str">
        <f>IF(A320="","",SUMIFS(Chicks!$N:$N,Chicks!$G:$G,A320))</f>
        <v/>
      </c>
      <c r="L320" s="6" t="str">
        <f>IF(A320="","",SUMIFS(Chicks!$O:$O,Chicks!$G:$G,A320))</f>
        <v/>
      </c>
      <c r="M320" s="6" t="str">
        <f>IF(A320="","",SUMIFS(Chicks!$P:$P,Chicks!$G:$G,A320))</f>
        <v/>
      </c>
      <c r="N320" s="6" t="str">
        <f t="shared" si="2"/>
        <v/>
      </c>
    </row>
    <row r="321" spans="1:14" ht="14.25" customHeight="1" x14ac:dyDescent="0.3">
      <c r="A321" s="4"/>
      <c r="B321" s="4"/>
      <c r="C321" s="4"/>
      <c r="D321" s="4"/>
      <c r="E321" s="4"/>
      <c r="F321" s="6" t="str">
        <f>IF(A321="","",COUNTIF(Chicks!$G:$G,A321))</f>
        <v/>
      </c>
      <c r="G321" s="6" t="str">
        <f>IF(A321="","",COUNTIFS(Chicks!$G:$G,A321,Chicks!$I:$I,"Yes"))</f>
        <v/>
      </c>
      <c r="H321" s="6" t="str">
        <f>IF(A321="","",SUMIFS(Chicks!$J:$J,Chicks!$G:$G,A321))</f>
        <v/>
      </c>
      <c r="I321" s="6" t="str">
        <f>IF(A321="","",COUNTIFS(Chicks!$G:$G,A321,Chicks!$I:$I,"No"))</f>
        <v/>
      </c>
      <c r="J321" s="6" t="str">
        <f>IF(A321="","",IFERROR(AVERAGEIF(Chicks!$G:$G,A321,Chicks!$M:$M),""))</f>
        <v/>
      </c>
      <c r="K321" s="6" t="str">
        <f>IF(A321="","",SUMIFS(Chicks!$N:$N,Chicks!$G:$G,A321))</f>
        <v/>
      </c>
      <c r="L321" s="6" t="str">
        <f>IF(A321="","",SUMIFS(Chicks!$O:$O,Chicks!$G:$G,A321))</f>
        <v/>
      </c>
      <c r="M321" s="6" t="str">
        <f>IF(A321="","",SUMIFS(Chicks!$P:$P,Chicks!$G:$G,A321))</f>
        <v/>
      </c>
      <c r="N321" s="6" t="str">
        <f t="shared" si="2"/>
        <v/>
      </c>
    </row>
    <row r="322" spans="1:14" ht="14.25" customHeight="1" x14ac:dyDescent="0.3">
      <c r="A322" s="4"/>
      <c r="B322" s="4"/>
      <c r="C322" s="4"/>
      <c r="D322" s="4"/>
      <c r="E322" s="4"/>
      <c r="F322" s="6" t="str">
        <f>IF(A322="","",COUNTIF(Chicks!$G:$G,A322))</f>
        <v/>
      </c>
      <c r="G322" s="6" t="str">
        <f>IF(A322="","",COUNTIFS(Chicks!$G:$G,A322,Chicks!$I:$I,"Yes"))</f>
        <v/>
      </c>
      <c r="H322" s="6" t="str">
        <f>IF(A322="","",SUMIFS(Chicks!$J:$J,Chicks!$G:$G,A322))</f>
        <v/>
      </c>
      <c r="I322" s="6" t="str">
        <f>IF(A322="","",COUNTIFS(Chicks!$G:$G,A322,Chicks!$I:$I,"No"))</f>
        <v/>
      </c>
      <c r="J322" s="6" t="str">
        <f>IF(A322="","",IFERROR(AVERAGEIF(Chicks!$G:$G,A322,Chicks!$M:$M),""))</f>
        <v/>
      </c>
      <c r="K322" s="6" t="str">
        <f>IF(A322="","",SUMIFS(Chicks!$N:$N,Chicks!$G:$G,A322))</f>
        <v/>
      </c>
      <c r="L322" s="6" t="str">
        <f>IF(A322="","",SUMIFS(Chicks!$O:$O,Chicks!$G:$G,A322))</f>
        <v/>
      </c>
      <c r="M322" s="6" t="str">
        <f>IF(A322="","",SUMIFS(Chicks!$P:$P,Chicks!$G:$G,A322))</f>
        <v/>
      </c>
      <c r="N322" s="6" t="str">
        <f t="shared" si="2"/>
        <v/>
      </c>
    </row>
    <row r="323" spans="1:14" ht="14.25" customHeight="1" x14ac:dyDescent="0.3">
      <c r="A323" s="4"/>
      <c r="B323" s="4"/>
      <c r="C323" s="4"/>
      <c r="D323" s="4"/>
      <c r="E323" s="4"/>
      <c r="F323" s="6" t="str">
        <f>IF(A323="","",COUNTIF(Chicks!$G:$G,A323))</f>
        <v/>
      </c>
      <c r="G323" s="6" t="str">
        <f>IF(A323="","",COUNTIFS(Chicks!$G:$G,A323,Chicks!$I:$I,"Yes"))</f>
        <v/>
      </c>
      <c r="H323" s="6" t="str">
        <f>IF(A323="","",SUMIFS(Chicks!$J:$J,Chicks!$G:$G,A323))</f>
        <v/>
      </c>
      <c r="I323" s="6" t="str">
        <f>IF(A323="","",COUNTIFS(Chicks!$G:$G,A323,Chicks!$I:$I,"No"))</f>
        <v/>
      </c>
      <c r="J323" s="6" t="str">
        <f>IF(A323="","",IFERROR(AVERAGEIF(Chicks!$G:$G,A323,Chicks!$M:$M),""))</f>
        <v/>
      </c>
      <c r="K323" s="6" t="str">
        <f>IF(A323="","",SUMIFS(Chicks!$N:$N,Chicks!$G:$G,A323))</f>
        <v/>
      </c>
      <c r="L323" s="6" t="str">
        <f>IF(A323="","",SUMIFS(Chicks!$O:$O,Chicks!$G:$G,A323))</f>
        <v/>
      </c>
      <c r="M323" s="6" t="str">
        <f>IF(A323="","",SUMIFS(Chicks!$P:$P,Chicks!$G:$G,A323))</f>
        <v/>
      </c>
      <c r="N323" s="6" t="str">
        <f t="shared" si="2"/>
        <v/>
      </c>
    </row>
    <row r="324" spans="1:14" ht="14.25" customHeight="1" x14ac:dyDescent="0.3">
      <c r="A324" s="4"/>
      <c r="B324" s="4"/>
      <c r="C324" s="4"/>
      <c r="D324" s="4"/>
      <c r="E324" s="4"/>
      <c r="F324" s="6" t="str">
        <f>IF(A324="","",COUNTIF(Chicks!$G:$G,A324))</f>
        <v/>
      </c>
      <c r="G324" s="6" t="str">
        <f>IF(A324="","",COUNTIFS(Chicks!$G:$G,A324,Chicks!$I:$I,"Yes"))</f>
        <v/>
      </c>
      <c r="H324" s="6" t="str">
        <f>IF(A324="","",SUMIFS(Chicks!$J:$J,Chicks!$G:$G,A324))</f>
        <v/>
      </c>
      <c r="I324" s="6" t="str">
        <f>IF(A324="","",COUNTIFS(Chicks!$G:$G,A324,Chicks!$I:$I,"No"))</f>
        <v/>
      </c>
      <c r="J324" s="6" t="str">
        <f>IF(A324="","",IFERROR(AVERAGEIF(Chicks!$G:$G,A324,Chicks!$M:$M),""))</f>
        <v/>
      </c>
      <c r="K324" s="6" t="str">
        <f>IF(A324="","",SUMIFS(Chicks!$N:$N,Chicks!$G:$G,A324))</f>
        <v/>
      </c>
      <c r="L324" s="6" t="str">
        <f>IF(A324="","",SUMIFS(Chicks!$O:$O,Chicks!$G:$G,A324))</f>
        <v/>
      </c>
      <c r="M324" s="6" t="str">
        <f>IF(A324="","",SUMIFS(Chicks!$P:$P,Chicks!$G:$G,A324))</f>
        <v/>
      </c>
      <c r="N324" s="6" t="str">
        <f t="shared" si="2"/>
        <v/>
      </c>
    </row>
    <row r="325" spans="1:14" ht="14.25" customHeight="1" x14ac:dyDescent="0.3">
      <c r="A325" s="4"/>
      <c r="B325" s="4"/>
      <c r="C325" s="4"/>
      <c r="D325" s="4"/>
      <c r="E325" s="4"/>
      <c r="F325" s="6" t="str">
        <f>IF(A325="","",COUNTIF(Chicks!$G:$G,A325))</f>
        <v/>
      </c>
      <c r="G325" s="6" t="str">
        <f>IF(A325="","",COUNTIFS(Chicks!$G:$G,A325,Chicks!$I:$I,"Yes"))</f>
        <v/>
      </c>
      <c r="H325" s="6" t="str">
        <f>IF(A325="","",SUMIFS(Chicks!$J:$J,Chicks!$G:$G,A325))</f>
        <v/>
      </c>
      <c r="I325" s="6" t="str">
        <f>IF(A325="","",COUNTIFS(Chicks!$G:$G,A325,Chicks!$I:$I,"No"))</f>
        <v/>
      </c>
      <c r="J325" s="6" t="str">
        <f>IF(A325="","",IFERROR(AVERAGEIF(Chicks!$G:$G,A325,Chicks!$M:$M),""))</f>
        <v/>
      </c>
      <c r="K325" s="6" t="str">
        <f>IF(A325="","",SUMIFS(Chicks!$N:$N,Chicks!$G:$G,A325))</f>
        <v/>
      </c>
      <c r="L325" s="6" t="str">
        <f>IF(A325="","",SUMIFS(Chicks!$O:$O,Chicks!$G:$G,A325))</f>
        <v/>
      </c>
      <c r="M325" s="6" t="str">
        <f>IF(A325="","",SUMIFS(Chicks!$P:$P,Chicks!$G:$G,A325))</f>
        <v/>
      </c>
      <c r="N325" s="6" t="str">
        <f t="shared" si="2"/>
        <v/>
      </c>
    </row>
    <row r="326" spans="1:14" ht="14.25" customHeight="1" x14ac:dyDescent="0.3">
      <c r="A326" s="4"/>
      <c r="B326" s="4"/>
      <c r="C326" s="4"/>
      <c r="D326" s="4"/>
      <c r="E326" s="4"/>
      <c r="F326" s="6" t="str">
        <f>IF(A326="","",COUNTIF(Chicks!$G:$G,A326))</f>
        <v/>
      </c>
      <c r="G326" s="6" t="str">
        <f>IF(A326="","",COUNTIFS(Chicks!$G:$G,A326,Chicks!$I:$I,"Yes"))</f>
        <v/>
      </c>
      <c r="H326" s="6" t="str">
        <f>IF(A326="","",SUMIFS(Chicks!$J:$J,Chicks!$G:$G,A326))</f>
        <v/>
      </c>
      <c r="I326" s="6" t="str">
        <f>IF(A326="","",COUNTIFS(Chicks!$G:$G,A326,Chicks!$I:$I,"No"))</f>
        <v/>
      </c>
      <c r="J326" s="6" t="str">
        <f>IF(A326="","",IFERROR(AVERAGEIF(Chicks!$G:$G,A326,Chicks!$M:$M),""))</f>
        <v/>
      </c>
      <c r="K326" s="6" t="str">
        <f>IF(A326="","",SUMIFS(Chicks!$N:$N,Chicks!$G:$G,A326))</f>
        <v/>
      </c>
      <c r="L326" s="6" t="str">
        <f>IF(A326="","",SUMIFS(Chicks!$O:$O,Chicks!$G:$G,A326))</f>
        <v/>
      </c>
      <c r="M326" s="6" t="str">
        <f>IF(A326="","",SUMIFS(Chicks!$P:$P,Chicks!$G:$G,A326))</f>
        <v/>
      </c>
      <c r="N326" s="6" t="str">
        <f t="shared" si="2"/>
        <v/>
      </c>
    </row>
    <row r="327" spans="1:14" ht="14.25" customHeight="1" x14ac:dyDescent="0.3">
      <c r="A327" s="4"/>
      <c r="B327" s="4"/>
      <c r="C327" s="4"/>
      <c r="D327" s="4"/>
      <c r="E327" s="4"/>
      <c r="F327" s="6" t="str">
        <f>IF(A327="","",COUNTIF(Chicks!$G:$G,A327))</f>
        <v/>
      </c>
      <c r="G327" s="6" t="str">
        <f>IF(A327="","",COUNTIFS(Chicks!$G:$G,A327,Chicks!$I:$I,"Yes"))</f>
        <v/>
      </c>
      <c r="H327" s="6" t="str">
        <f>IF(A327="","",SUMIFS(Chicks!$J:$J,Chicks!$G:$G,A327))</f>
        <v/>
      </c>
      <c r="I327" s="6" t="str">
        <f>IF(A327="","",COUNTIFS(Chicks!$G:$G,A327,Chicks!$I:$I,"No"))</f>
        <v/>
      </c>
      <c r="J327" s="6" t="str">
        <f>IF(A327="","",IFERROR(AVERAGEIF(Chicks!$G:$G,A327,Chicks!$M:$M),""))</f>
        <v/>
      </c>
      <c r="K327" s="6" t="str">
        <f>IF(A327="","",SUMIFS(Chicks!$N:$N,Chicks!$G:$G,A327))</f>
        <v/>
      </c>
      <c r="L327" s="6" t="str">
        <f>IF(A327="","",SUMIFS(Chicks!$O:$O,Chicks!$G:$G,A327))</f>
        <v/>
      </c>
      <c r="M327" s="6" t="str">
        <f>IF(A327="","",SUMIFS(Chicks!$P:$P,Chicks!$G:$G,A327))</f>
        <v/>
      </c>
      <c r="N327" s="6" t="str">
        <f t="shared" si="2"/>
        <v/>
      </c>
    </row>
    <row r="328" spans="1:14" ht="14.25" customHeight="1" x14ac:dyDescent="0.3">
      <c r="A328" s="4"/>
      <c r="B328" s="4"/>
      <c r="C328" s="4"/>
      <c r="D328" s="4"/>
      <c r="E328" s="4"/>
      <c r="F328" s="6" t="str">
        <f>IF(A328="","",COUNTIF(Chicks!$G:$G,A328))</f>
        <v/>
      </c>
      <c r="G328" s="6" t="str">
        <f>IF(A328="","",COUNTIFS(Chicks!$G:$G,A328,Chicks!$I:$I,"Yes"))</f>
        <v/>
      </c>
      <c r="H328" s="6" t="str">
        <f>IF(A328="","",SUMIFS(Chicks!$J:$J,Chicks!$G:$G,A328))</f>
        <v/>
      </c>
      <c r="I328" s="6" t="str">
        <f>IF(A328="","",COUNTIFS(Chicks!$G:$G,A328,Chicks!$I:$I,"No"))</f>
        <v/>
      </c>
      <c r="J328" s="6" t="str">
        <f>IF(A328="","",IFERROR(AVERAGEIF(Chicks!$G:$G,A328,Chicks!$M:$M),""))</f>
        <v/>
      </c>
      <c r="K328" s="6" t="str">
        <f>IF(A328="","",SUMIFS(Chicks!$N:$N,Chicks!$G:$G,A328))</f>
        <v/>
      </c>
      <c r="L328" s="6" t="str">
        <f>IF(A328="","",SUMIFS(Chicks!$O:$O,Chicks!$G:$G,A328))</f>
        <v/>
      </c>
      <c r="M328" s="6" t="str">
        <f>IF(A328="","",SUMIFS(Chicks!$P:$P,Chicks!$G:$G,A328))</f>
        <v/>
      </c>
      <c r="N328" s="6" t="str">
        <f t="shared" si="2"/>
        <v/>
      </c>
    </row>
    <row r="329" spans="1:14" ht="14.25" customHeight="1" x14ac:dyDescent="0.3">
      <c r="A329" s="4"/>
      <c r="B329" s="4"/>
      <c r="C329" s="4"/>
      <c r="D329" s="4"/>
      <c r="E329" s="4"/>
      <c r="F329" s="6" t="str">
        <f>IF(A329="","",COUNTIF(Chicks!$G:$G,A329))</f>
        <v/>
      </c>
      <c r="G329" s="6" t="str">
        <f>IF(A329="","",COUNTIFS(Chicks!$G:$G,A329,Chicks!$I:$I,"Yes"))</f>
        <v/>
      </c>
      <c r="H329" s="6" t="str">
        <f>IF(A329="","",SUMIFS(Chicks!$J:$J,Chicks!$G:$G,A329))</f>
        <v/>
      </c>
      <c r="I329" s="6" t="str">
        <f>IF(A329="","",COUNTIFS(Chicks!$G:$G,A329,Chicks!$I:$I,"No"))</f>
        <v/>
      </c>
      <c r="J329" s="6" t="str">
        <f>IF(A329="","",IFERROR(AVERAGEIF(Chicks!$G:$G,A329,Chicks!$M:$M),""))</f>
        <v/>
      </c>
      <c r="K329" s="6" t="str">
        <f>IF(A329="","",SUMIFS(Chicks!$N:$N,Chicks!$G:$G,A329))</f>
        <v/>
      </c>
      <c r="L329" s="6" t="str">
        <f>IF(A329="","",SUMIFS(Chicks!$O:$O,Chicks!$G:$G,A329))</f>
        <v/>
      </c>
      <c r="M329" s="6" t="str">
        <f>IF(A329="","",SUMIFS(Chicks!$P:$P,Chicks!$G:$G,A329))</f>
        <v/>
      </c>
      <c r="N329" s="6" t="str">
        <f t="shared" si="2"/>
        <v/>
      </c>
    </row>
    <row r="330" spans="1:14" ht="14.25" customHeight="1" x14ac:dyDescent="0.3">
      <c r="A330" s="4"/>
      <c r="B330" s="4"/>
      <c r="C330" s="4"/>
      <c r="D330" s="4"/>
      <c r="E330" s="4"/>
      <c r="F330" s="6" t="str">
        <f>IF(A330="","",COUNTIF(Chicks!$G:$G,A330))</f>
        <v/>
      </c>
      <c r="G330" s="6" t="str">
        <f>IF(A330="","",COUNTIFS(Chicks!$G:$G,A330,Chicks!$I:$I,"Yes"))</f>
        <v/>
      </c>
      <c r="H330" s="6" t="str">
        <f>IF(A330="","",SUMIFS(Chicks!$J:$J,Chicks!$G:$G,A330))</f>
        <v/>
      </c>
      <c r="I330" s="6" t="str">
        <f>IF(A330="","",COUNTIFS(Chicks!$G:$G,A330,Chicks!$I:$I,"No"))</f>
        <v/>
      </c>
      <c r="J330" s="6" t="str">
        <f>IF(A330="","",IFERROR(AVERAGEIF(Chicks!$G:$G,A330,Chicks!$M:$M),""))</f>
        <v/>
      </c>
      <c r="K330" s="6" t="str">
        <f>IF(A330="","",SUMIFS(Chicks!$N:$N,Chicks!$G:$G,A330))</f>
        <v/>
      </c>
      <c r="L330" s="6" t="str">
        <f>IF(A330="","",SUMIFS(Chicks!$O:$O,Chicks!$G:$G,A330))</f>
        <v/>
      </c>
      <c r="M330" s="6" t="str">
        <f>IF(A330="","",SUMIFS(Chicks!$P:$P,Chicks!$G:$G,A330))</f>
        <v/>
      </c>
      <c r="N330" s="6" t="str">
        <f t="shared" si="2"/>
        <v/>
      </c>
    </row>
    <row r="331" spans="1:14" ht="14.25" customHeight="1" x14ac:dyDescent="0.3">
      <c r="A331" s="4"/>
      <c r="B331" s="4"/>
      <c r="C331" s="4"/>
      <c r="D331" s="4"/>
      <c r="E331" s="4"/>
      <c r="F331" s="6" t="str">
        <f>IF(A331="","",COUNTIF(Chicks!$G:$G,A331))</f>
        <v/>
      </c>
      <c r="G331" s="6" t="str">
        <f>IF(A331="","",COUNTIFS(Chicks!$G:$G,A331,Chicks!$I:$I,"Yes"))</f>
        <v/>
      </c>
      <c r="H331" s="6" t="str">
        <f>IF(A331="","",SUMIFS(Chicks!$J:$J,Chicks!$G:$G,A331))</f>
        <v/>
      </c>
      <c r="I331" s="6" t="str">
        <f>IF(A331="","",COUNTIFS(Chicks!$G:$G,A331,Chicks!$I:$I,"No"))</f>
        <v/>
      </c>
      <c r="J331" s="6" t="str">
        <f>IF(A331="","",IFERROR(AVERAGEIF(Chicks!$G:$G,A331,Chicks!$M:$M),""))</f>
        <v/>
      </c>
      <c r="K331" s="6" t="str">
        <f>IF(A331="","",SUMIFS(Chicks!$N:$N,Chicks!$G:$G,A331))</f>
        <v/>
      </c>
      <c r="L331" s="6" t="str">
        <f>IF(A331="","",SUMIFS(Chicks!$O:$O,Chicks!$G:$G,A331))</f>
        <v/>
      </c>
      <c r="M331" s="6" t="str">
        <f>IF(A331="","",SUMIFS(Chicks!$P:$P,Chicks!$G:$G,A331))</f>
        <v/>
      </c>
      <c r="N331" s="6" t="str">
        <f t="shared" si="2"/>
        <v/>
      </c>
    </row>
    <row r="332" spans="1:14" ht="14.25" customHeight="1" x14ac:dyDescent="0.3">
      <c r="A332" s="4"/>
      <c r="B332" s="4"/>
      <c r="C332" s="4"/>
      <c r="D332" s="4"/>
      <c r="E332" s="4"/>
      <c r="F332" s="6" t="str">
        <f>IF(A332="","",COUNTIF(Chicks!$G:$G,A332))</f>
        <v/>
      </c>
      <c r="G332" s="6" t="str">
        <f>IF(A332="","",COUNTIFS(Chicks!$G:$G,A332,Chicks!$I:$I,"Yes"))</f>
        <v/>
      </c>
      <c r="H332" s="6" t="str">
        <f>IF(A332="","",SUMIFS(Chicks!$J:$J,Chicks!$G:$G,A332))</f>
        <v/>
      </c>
      <c r="I332" s="6" t="str">
        <f>IF(A332="","",COUNTIFS(Chicks!$G:$G,A332,Chicks!$I:$I,"No"))</f>
        <v/>
      </c>
      <c r="J332" s="6" t="str">
        <f>IF(A332="","",IFERROR(AVERAGEIF(Chicks!$G:$G,A332,Chicks!$M:$M),""))</f>
        <v/>
      </c>
      <c r="K332" s="6" t="str">
        <f>IF(A332="","",SUMIFS(Chicks!$N:$N,Chicks!$G:$G,A332))</f>
        <v/>
      </c>
      <c r="L332" s="6" t="str">
        <f>IF(A332="","",SUMIFS(Chicks!$O:$O,Chicks!$G:$G,A332))</f>
        <v/>
      </c>
      <c r="M332" s="6" t="str">
        <f>IF(A332="","",SUMIFS(Chicks!$P:$P,Chicks!$G:$G,A332))</f>
        <v/>
      </c>
      <c r="N332" s="6" t="str">
        <f t="shared" si="2"/>
        <v/>
      </c>
    </row>
    <row r="333" spans="1:14" ht="14.25" customHeight="1" x14ac:dyDescent="0.3">
      <c r="A333" s="4"/>
      <c r="B333" s="4"/>
      <c r="C333" s="4"/>
      <c r="D333" s="4"/>
      <c r="E333" s="4"/>
      <c r="F333" s="6" t="str">
        <f>IF(A333="","",COUNTIF(Chicks!$G:$G,A333))</f>
        <v/>
      </c>
      <c r="G333" s="6" t="str">
        <f>IF(A333="","",COUNTIFS(Chicks!$G:$G,A333,Chicks!$I:$I,"Yes"))</f>
        <v/>
      </c>
      <c r="H333" s="6" t="str">
        <f>IF(A333="","",SUMIFS(Chicks!$J:$J,Chicks!$G:$G,A333))</f>
        <v/>
      </c>
      <c r="I333" s="6" t="str">
        <f>IF(A333="","",COUNTIFS(Chicks!$G:$G,A333,Chicks!$I:$I,"No"))</f>
        <v/>
      </c>
      <c r="J333" s="6" t="str">
        <f>IF(A333="","",IFERROR(AVERAGEIF(Chicks!$G:$G,A333,Chicks!$M:$M),""))</f>
        <v/>
      </c>
      <c r="K333" s="6" t="str">
        <f>IF(A333="","",SUMIFS(Chicks!$N:$N,Chicks!$G:$G,A333))</f>
        <v/>
      </c>
      <c r="L333" s="6" t="str">
        <f>IF(A333="","",SUMIFS(Chicks!$O:$O,Chicks!$G:$G,A333))</f>
        <v/>
      </c>
      <c r="M333" s="6" t="str">
        <f>IF(A333="","",SUMIFS(Chicks!$P:$P,Chicks!$G:$G,A333))</f>
        <v/>
      </c>
      <c r="N333" s="6" t="str">
        <f t="shared" si="2"/>
        <v/>
      </c>
    </row>
    <row r="334" spans="1:14" ht="14.25" customHeight="1" x14ac:dyDescent="0.3">
      <c r="A334" s="4"/>
      <c r="B334" s="4"/>
      <c r="C334" s="4"/>
      <c r="D334" s="4"/>
      <c r="E334" s="4"/>
      <c r="F334" s="6" t="str">
        <f>IF(A334="","",COUNTIF(Chicks!$G:$G,A334))</f>
        <v/>
      </c>
      <c r="G334" s="6" t="str">
        <f>IF(A334="","",COUNTIFS(Chicks!$G:$G,A334,Chicks!$I:$I,"Yes"))</f>
        <v/>
      </c>
      <c r="H334" s="6" t="str">
        <f>IF(A334="","",SUMIFS(Chicks!$J:$J,Chicks!$G:$G,A334))</f>
        <v/>
      </c>
      <c r="I334" s="6" t="str">
        <f>IF(A334="","",COUNTIFS(Chicks!$G:$G,A334,Chicks!$I:$I,"No"))</f>
        <v/>
      </c>
      <c r="J334" s="6" t="str">
        <f>IF(A334="","",IFERROR(AVERAGEIF(Chicks!$G:$G,A334,Chicks!$M:$M),""))</f>
        <v/>
      </c>
      <c r="K334" s="6" t="str">
        <f>IF(A334="","",SUMIFS(Chicks!$N:$N,Chicks!$G:$G,A334))</f>
        <v/>
      </c>
      <c r="L334" s="6" t="str">
        <f>IF(A334="","",SUMIFS(Chicks!$O:$O,Chicks!$G:$G,A334))</f>
        <v/>
      </c>
      <c r="M334" s="6" t="str">
        <f>IF(A334="","",SUMIFS(Chicks!$P:$P,Chicks!$G:$G,A334))</f>
        <v/>
      </c>
      <c r="N334" s="6" t="str">
        <f t="shared" si="2"/>
        <v/>
      </c>
    </row>
    <row r="335" spans="1:14" ht="14.25" customHeight="1" x14ac:dyDescent="0.3">
      <c r="A335" s="4"/>
      <c r="B335" s="4"/>
      <c r="C335" s="4"/>
      <c r="D335" s="4"/>
      <c r="E335" s="4"/>
      <c r="F335" s="6" t="str">
        <f>IF(A335="","",COUNTIF(Chicks!$G:$G,A335))</f>
        <v/>
      </c>
      <c r="G335" s="6" t="str">
        <f>IF(A335="","",COUNTIFS(Chicks!$G:$G,A335,Chicks!$I:$I,"Yes"))</f>
        <v/>
      </c>
      <c r="H335" s="6" t="str">
        <f>IF(A335="","",SUMIFS(Chicks!$J:$J,Chicks!$G:$G,A335))</f>
        <v/>
      </c>
      <c r="I335" s="6" t="str">
        <f>IF(A335="","",COUNTIFS(Chicks!$G:$G,A335,Chicks!$I:$I,"No"))</f>
        <v/>
      </c>
      <c r="J335" s="6" t="str">
        <f>IF(A335="","",IFERROR(AVERAGEIF(Chicks!$G:$G,A335,Chicks!$M:$M),""))</f>
        <v/>
      </c>
      <c r="K335" s="6" t="str">
        <f>IF(A335="","",SUMIFS(Chicks!$N:$N,Chicks!$G:$G,A335))</f>
        <v/>
      </c>
      <c r="L335" s="6" t="str">
        <f>IF(A335="","",SUMIFS(Chicks!$O:$O,Chicks!$G:$G,A335))</f>
        <v/>
      </c>
      <c r="M335" s="6" t="str">
        <f>IF(A335="","",SUMIFS(Chicks!$P:$P,Chicks!$G:$G,A335))</f>
        <v/>
      </c>
      <c r="N335" s="6" t="str">
        <f t="shared" si="2"/>
        <v/>
      </c>
    </row>
    <row r="336" spans="1:14" ht="14.25" customHeight="1" x14ac:dyDescent="0.3">
      <c r="A336" s="4"/>
      <c r="B336" s="4"/>
      <c r="C336" s="4"/>
      <c r="D336" s="4"/>
      <c r="E336" s="4"/>
      <c r="F336" s="6" t="str">
        <f>IF(A336="","",COUNTIF(Chicks!$G:$G,A336))</f>
        <v/>
      </c>
      <c r="G336" s="6" t="str">
        <f>IF(A336="","",COUNTIFS(Chicks!$G:$G,A336,Chicks!$I:$I,"Yes"))</f>
        <v/>
      </c>
      <c r="H336" s="6" t="str">
        <f>IF(A336="","",SUMIFS(Chicks!$J:$J,Chicks!$G:$G,A336))</f>
        <v/>
      </c>
      <c r="I336" s="6" t="str">
        <f>IF(A336="","",COUNTIFS(Chicks!$G:$G,A336,Chicks!$I:$I,"No"))</f>
        <v/>
      </c>
      <c r="J336" s="6" t="str">
        <f>IF(A336="","",IFERROR(AVERAGEIF(Chicks!$G:$G,A336,Chicks!$M:$M),""))</f>
        <v/>
      </c>
      <c r="K336" s="6" t="str">
        <f>IF(A336="","",SUMIFS(Chicks!$N:$N,Chicks!$G:$G,A336))</f>
        <v/>
      </c>
      <c r="L336" s="6" t="str">
        <f>IF(A336="","",SUMIFS(Chicks!$O:$O,Chicks!$G:$G,A336))</f>
        <v/>
      </c>
      <c r="M336" s="6" t="str">
        <f>IF(A336="","",SUMIFS(Chicks!$P:$P,Chicks!$G:$G,A336))</f>
        <v/>
      </c>
      <c r="N336" s="6" t="str">
        <f t="shared" si="2"/>
        <v/>
      </c>
    </row>
    <row r="337" spans="1:14" ht="14.25" customHeight="1" x14ac:dyDescent="0.3">
      <c r="A337" s="4"/>
      <c r="B337" s="4"/>
      <c r="C337" s="4"/>
      <c r="D337" s="4"/>
      <c r="E337" s="4"/>
      <c r="F337" s="6" t="str">
        <f>IF(A337="","",COUNTIF(Chicks!$G:$G,A337))</f>
        <v/>
      </c>
      <c r="G337" s="6" t="str">
        <f>IF(A337="","",COUNTIFS(Chicks!$G:$G,A337,Chicks!$I:$I,"Yes"))</f>
        <v/>
      </c>
      <c r="H337" s="6" t="str">
        <f>IF(A337="","",SUMIFS(Chicks!$J:$J,Chicks!$G:$G,A337))</f>
        <v/>
      </c>
      <c r="I337" s="6" t="str">
        <f>IF(A337="","",COUNTIFS(Chicks!$G:$G,A337,Chicks!$I:$I,"No"))</f>
        <v/>
      </c>
      <c r="J337" s="6" t="str">
        <f>IF(A337="","",IFERROR(AVERAGEIF(Chicks!$G:$G,A337,Chicks!$M:$M),""))</f>
        <v/>
      </c>
      <c r="K337" s="6" t="str">
        <f>IF(A337="","",SUMIFS(Chicks!$N:$N,Chicks!$G:$G,A337))</f>
        <v/>
      </c>
      <c r="L337" s="6" t="str">
        <f>IF(A337="","",SUMIFS(Chicks!$O:$O,Chicks!$G:$G,A337))</f>
        <v/>
      </c>
      <c r="M337" s="6" t="str">
        <f>IF(A337="","",SUMIFS(Chicks!$P:$P,Chicks!$G:$G,A337))</f>
        <v/>
      </c>
      <c r="N337" s="6" t="str">
        <f t="shared" si="2"/>
        <v/>
      </c>
    </row>
    <row r="338" spans="1:14" ht="14.25" customHeight="1" x14ac:dyDescent="0.3">
      <c r="A338" s="4"/>
      <c r="B338" s="4"/>
      <c r="C338" s="4"/>
      <c r="D338" s="4"/>
      <c r="E338" s="4"/>
      <c r="F338" s="6" t="str">
        <f>IF(A338="","",COUNTIF(Chicks!$G:$G,A338))</f>
        <v/>
      </c>
      <c r="G338" s="6" t="str">
        <f>IF(A338="","",COUNTIFS(Chicks!$G:$G,A338,Chicks!$I:$I,"Yes"))</f>
        <v/>
      </c>
      <c r="H338" s="6" t="str">
        <f>IF(A338="","",SUMIFS(Chicks!$J:$J,Chicks!$G:$G,A338))</f>
        <v/>
      </c>
      <c r="I338" s="6" t="str">
        <f>IF(A338="","",COUNTIFS(Chicks!$G:$G,A338,Chicks!$I:$I,"No"))</f>
        <v/>
      </c>
      <c r="J338" s="6" t="str">
        <f>IF(A338="","",IFERROR(AVERAGEIF(Chicks!$G:$G,A338,Chicks!$M:$M),""))</f>
        <v/>
      </c>
      <c r="K338" s="6" t="str">
        <f>IF(A338="","",SUMIFS(Chicks!$N:$N,Chicks!$G:$G,A338))</f>
        <v/>
      </c>
      <c r="L338" s="6" t="str">
        <f>IF(A338="","",SUMIFS(Chicks!$O:$O,Chicks!$G:$G,A338))</f>
        <v/>
      </c>
      <c r="M338" s="6" t="str">
        <f>IF(A338="","",SUMIFS(Chicks!$P:$P,Chicks!$G:$G,A338))</f>
        <v/>
      </c>
      <c r="N338" s="6" t="str">
        <f t="shared" si="2"/>
        <v/>
      </c>
    </row>
    <row r="339" spans="1:14" ht="14.25" customHeight="1" x14ac:dyDescent="0.3">
      <c r="A339" s="4"/>
      <c r="B339" s="4"/>
      <c r="C339" s="4"/>
      <c r="D339" s="4"/>
      <c r="E339" s="4"/>
      <c r="F339" s="6" t="str">
        <f>IF(A339="","",COUNTIF(Chicks!$G:$G,A339))</f>
        <v/>
      </c>
      <c r="G339" s="6" t="str">
        <f>IF(A339="","",COUNTIFS(Chicks!$G:$G,A339,Chicks!$I:$I,"Yes"))</f>
        <v/>
      </c>
      <c r="H339" s="6" t="str">
        <f>IF(A339="","",SUMIFS(Chicks!$J:$J,Chicks!$G:$G,A339))</f>
        <v/>
      </c>
      <c r="I339" s="6" t="str">
        <f>IF(A339="","",COUNTIFS(Chicks!$G:$G,A339,Chicks!$I:$I,"No"))</f>
        <v/>
      </c>
      <c r="J339" s="6" t="str">
        <f>IF(A339="","",IFERROR(AVERAGEIF(Chicks!$G:$G,A339,Chicks!$M:$M),""))</f>
        <v/>
      </c>
      <c r="K339" s="6" t="str">
        <f>IF(A339="","",SUMIFS(Chicks!$N:$N,Chicks!$G:$G,A339))</f>
        <v/>
      </c>
      <c r="L339" s="6" t="str">
        <f>IF(A339="","",SUMIFS(Chicks!$O:$O,Chicks!$G:$G,A339))</f>
        <v/>
      </c>
      <c r="M339" s="6" t="str">
        <f>IF(A339="","",SUMIFS(Chicks!$P:$P,Chicks!$G:$G,A339))</f>
        <v/>
      </c>
      <c r="N339" s="6" t="str">
        <f t="shared" si="2"/>
        <v/>
      </c>
    </row>
    <row r="340" spans="1:14" ht="14.25" customHeight="1" x14ac:dyDescent="0.3">
      <c r="A340" s="4"/>
      <c r="B340" s="4"/>
      <c r="C340" s="4"/>
      <c r="D340" s="4"/>
      <c r="E340" s="4"/>
      <c r="F340" s="6" t="str">
        <f>IF(A340="","",COUNTIF(Chicks!$G:$G,A340))</f>
        <v/>
      </c>
      <c r="G340" s="6" t="str">
        <f>IF(A340="","",COUNTIFS(Chicks!$G:$G,A340,Chicks!$I:$I,"Yes"))</f>
        <v/>
      </c>
      <c r="H340" s="6" t="str">
        <f>IF(A340="","",SUMIFS(Chicks!$J:$J,Chicks!$G:$G,A340))</f>
        <v/>
      </c>
      <c r="I340" s="6" t="str">
        <f>IF(A340="","",COUNTIFS(Chicks!$G:$G,A340,Chicks!$I:$I,"No"))</f>
        <v/>
      </c>
      <c r="J340" s="6" t="str">
        <f>IF(A340="","",IFERROR(AVERAGEIF(Chicks!$G:$G,A340,Chicks!$M:$M),""))</f>
        <v/>
      </c>
      <c r="K340" s="6" t="str">
        <f>IF(A340="","",SUMIFS(Chicks!$N:$N,Chicks!$G:$G,A340))</f>
        <v/>
      </c>
      <c r="L340" s="6" t="str">
        <f>IF(A340="","",SUMIFS(Chicks!$O:$O,Chicks!$G:$G,A340))</f>
        <v/>
      </c>
      <c r="M340" s="6" t="str">
        <f>IF(A340="","",SUMIFS(Chicks!$P:$P,Chicks!$G:$G,A340))</f>
        <v/>
      </c>
      <c r="N340" s="6" t="str">
        <f t="shared" si="2"/>
        <v/>
      </c>
    </row>
    <row r="341" spans="1:14" ht="14.25" customHeight="1" x14ac:dyDescent="0.3">
      <c r="A341" s="4"/>
      <c r="B341" s="4"/>
      <c r="C341" s="4"/>
      <c r="D341" s="4"/>
      <c r="E341" s="4"/>
      <c r="F341" s="6" t="str">
        <f>IF(A341="","",COUNTIF(Chicks!$G:$G,A341))</f>
        <v/>
      </c>
      <c r="G341" s="6" t="str">
        <f>IF(A341="","",COUNTIFS(Chicks!$G:$G,A341,Chicks!$I:$I,"Yes"))</f>
        <v/>
      </c>
      <c r="H341" s="6" t="str">
        <f>IF(A341="","",SUMIFS(Chicks!$J:$J,Chicks!$G:$G,A341))</f>
        <v/>
      </c>
      <c r="I341" s="6" t="str">
        <f>IF(A341="","",COUNTIFS(Chicks!$G:$G,A341,Chicks!$I:$I,"No"))</f>
        <v/>
      </c>
      <c r="J341" s="6" t="str">
        <f>IF(A341="","",IFERROR(AVERAGEIF(Chicks!$G:$G,A341,Chicks!$M:$M),""))</f>
        <v/>
      </c>
      <c r="K341" s="6" t="str">
        <f>IF(A341="","",SUMIFS(Chicks!$N:$N,Chicks!$G:$G,A341))</f>
        <v/>
      </c>
      <c r="L341" s="6" t="str">
        <f>IF(A341="","",SUMIFS(Chicks!$O:$O,Chicks!$G:$G,A341))</f>
        <v/>
      </c>
      <c r="M341" s="6" t="str">
        <f>IF(A341="","",SUMIFS(Chicks!$P:$P,Chicks!$G:$G,A341))</f>
        <v/>
      </c>
      <c r="N341" s="6" t="str">
        <f t="shared" si="2"/>
        <v/>
      </c>
    </row>
    <row r="342" spans="1:14" ht="14.25" customHeight="1" x14ac:dyDescent="0.3">
      <c r="A342" s="4"/>
      <c r="B342" s="4"/>
      <c r="C342" s="4"/>
      <c r="D342" s="4"/>
      <c r="E342" s="4"/>
      <c r="F342" s="6" t="str">
        <f>IF(A342="","",COUNTIF(Chicks!$G:$G,A342))</f>
        <v/>
      </c>
      <c r="G342" s="6" t="str">
        <f>IF(A342="","",COUNTIFS(Chicks!$G:$G,A342,Chicks!$I:$I,"Yes"))</f>
        <v/>
      </c>
      <c r="H342" s="6" t="str">
        <f>IF(A342="","",SUMIFS(Chicks!$J:$J,Chicks!$G:$G,A342))</f>
        <v/>
      </c>
      <c r="I342" s="6" t="str">
        <f>IF(A342="","",COUNTIFS(Chicks!$G:$G,A342,Chicks!$I:$I,"No"))</f>
        <v/>
      </c>
      <c r="J342" s="6" t="str">
        <f>IF(A342="","",IFERROR(AVERAGEIF(Chicks!$G:$G,A342,Chicks!$M:$M),""))</f>
        <v/>
      </c>
      <c r="K342" s="6" t="str">
        <f>IF(A342="","",SUMIFS(Chicks!$N:$N,Chicks!$G:$G,A342))</f>
        <v/>
      </c>
      <c r="L342" s="6" t="str">
        <f>IF(A342="","",SUMIFS(Chicks!$O:$O,Chicks!$G:$G,A342))</f>
        <v/>
      </c>
      <c r="M342" s="6" t="str">
        <f>IF(A342="","",SUMIFS(Chicks!$P:$P,Chicks!$G:$G,A342))</f>
        <v/>
      </c>
      <c r="N342" s="6" t="str">
        <f t="shared" si="2"/>
        <v/>
      </c>
    </row>
    <row r="343" spans="1:14" ht="14.25" customHeight="1" x14ac:dyDescent="0.3">
      <c r="A343" s="4"/>
      <c r="B343" s="4"/>
      <c r="C343" s="4"/>
      <c r="D343" s="4"/>
      <c r="E343" s="4"/>
      <c r="F343" s="6" t="str">
        <f>IF(A343="","",COUNTIF(Chicks!$G:$G,A343))</f>
        <v/>
      </c>
      <c r="G343" s="6" t="str">
        <f>IF(A343="","",COUNTIFS(Chicks!$G:$G,A343,Chicks!$I:$I,"Yes"))</f>
        <v/>
      </c>
      <c r="H343" s="6" t="str">
        <f>IF(A343="","",SUMIFS(Chicks!$J:$J,Chicks!$G:$G,A343))</f>
        <v/>
      </c>
      <c r="I343" s="6" t="str">
        <f>IF(A343="","",COUNTIFS(Chicks!$G:$G,A343,Chicks!$I:$I,"No"))</f>
        <v/>
      </c>
      <c r="J343" s="6" t="str">
        <f>IF(A343="","",IFERROR(AVERAGEIF(Chicks!$G:$G,A343,Chicks!$M:$M),""))</f>
        <v/>
      </c>
      <c r="K343" s="6" t="str">
        <f>IF(A343="","",SUMIFS(Chicks!$N:$N,Chicks!$G:$G,A343))</f>
        <v/>
      </c>
      <c r="L343" s="6" t="str">
        <f>IF(A343="","",SUMIFS(Chicks!$O:$O,Chicks!$G:$G,A343))</f>
        <v/>
      </c>
      <c r="M343" s="6" t="str">
        <f>IF(A343="","",SUMIFS(Chicks!$P:$P,Chicks!$G:$G,A343))</f>
        <v/>
      </c>
      <c r="N343" s="6" t="str">
        <f t="shared" si="2"/>
        <v/>
      </c>
    </row>
    <row r="344" spans="1:14" ht="14.25" customHeight="1" x14ac:dyDescent="0.3">
      <c r="A344" s="4"/>
      <c r="B344" s="4"/>
      <c r="C344" s="4"/>
      <c r="D344" s="4"/>
      <c r="E344" s="4"/>
      <c r="F344" s="6" t="str">
        <f>IF(A344="","",COUNTIF(Chicks!$G:$G,A344))</f>
        <v/>
      </c>
      <c r="G344" s="6" t="str">
        <f>IF(A344="","",COUNTIFS(Chicks!$G:$G,A344,Chicks!$I:$I,"Yes"))</f>
        <v/>
      </c>
      <c r="H344" s="6" t="str">
        <f>IF(A344="","",SUMIFS(Chicks!$J:$J,Chicks!$G:$G,A344))</f>
        <v/>
      </c>
      <c r="I344" s="6" t="str">
        <f>IF(A344="","",COUNTIFS(Chicks!$G:$G,A344,Chicks!$I:$I,"No"))</f>
        <v/>
      </c>
      <c r="J344" s="6" t="str">
        <f>IF(A344="","",IFERROR(AVERAGEIF(Chicks!$G:$G,A344,Chicks!$M:$M),""))</f>
        <v/>
      </c>
      <c r="K344" s="6" t="str">
        <f>IF(A344="","",SUMIFS(Chicks!$N:$N,Chicks!$G:$G,A344))</f>
        <v/>
      </c>
      <c r="L344" s="6" t="str">
        <f>IF(A344="","",SUMIFS(Chicks!$O:$O,Chicks!$G:$G,A344))</f>
        <v/>
      </c>
      <c r="M344" s="6" t="str">
        <f>IF(A344="","",SUMIFS(Chicks!$P:$P,Chicks!$G:$G,A344))</f>
        <v/>
      </c>
      <c r="N344" s="6" t="str">
        <f t="shared" si="2"/>
        <v/>
      </c>
    </row>
    <row r="345" spans="1:14" ht="14.25" customHeight="1" x14ac:dyDescent="0.3">
      <c r="A345" s="4"/>
      <c r="B345" s="4"/>
      <c r="C345" s="4"/>
      <c r="D345" s="4"/>
      <c r="E345" s="4"/>
      <c r="F345" s="6" t="str">
        <f>IF(A345="","",COUNTIF(Chicks!$G:$G,A345))</f>
        <v/>
      </c>
      <c r="G345" s="6" t="str">
        <f>IF(A345="","",COUNTIFS(Chicks!$G:$G,A345,Chicks!$I:$I,"Yes"))</f>
        <v/>
      </c>
      <c r="H345" s="6" t="str">
        <f>IF(A345="","",SUMIFS(Chicks!$J:$J,Chicks!$G:$G,A345))</f>
        <v/>
      </c>
      <c r="I345" s="6" t="str">
        <f>IF(A345="","",COUNTIFS(Chicks!$G:$G,A345,Chicks!$I:$I,"No"))</f>
        <v/>
      </c>
      <c r="J345" s="6" t="str">
        <f>IF(A345="","",IFERROR(AVERAGEIF(Chicks!$G:$G,A345,Chicks!$M:$M),""))</f>
        <v/>
      </c>
      <c r="K345" s="6" t="str">
        <f>IF(A345="","",SUMIFS(Chicks!$N:$N,Chicks!$G:$G,A345))</f>
        <v/>
      </c>
      <c r="L345" s="6" t="str">
        <f>IF(A345="","",SUMIFS(Chicks!$O:$O,Chicks!$G:$G,A345))</f>
        <v/>
      </c>
      <c r="M345" s="6" t="str">
        <f>IF(A345="","",SUMIFS(Chicks!$P:$P,Chicks!$G:$G,A345))</f>
        <v/>
      </c>
      <c r="N345" s="6" t="str">
        <f t="shared" si="2"/>
        <v/>
      </c>
    </row>
    <row r="346" spans="1:14" ht="14.25" customHeight="1" x14ac:dyDescent="0.3">
      <c r="A346" s="4"/>
      <c r="B346" s="4"/>
      <c r="C346" s="4"/>
      <c r="D346" s="4"/>
      <c r="E346" s="4"/>
      <c r="F346" s="6" t="str">
        <f>IF(A346="","",COUNTIF(Chicks!$G:$G,A346))</f>
        <v/>
      </c>
      <c r="G346" s="6" t="str">
        <f>IF(A346="","",COUNTIFS(Chicks!$G:$G,A346,Chicks!$I:$I,"Yes"))</f>
        <v/>
      </c>
      <c r="H346" s="6" t="str">
        <f>IF(A346="","",SUMIFS(Chicks!$J:$J,Chicks!$G:$G,A346))</f>
        <v/>
      </c>
      <c r="I346" s="6" t="str">
        <f>IF(A346="","",COUNTIFS(Chicks!$G:$G,A346,Chicks!$I:$I,"No"))</f>
        <v/>
      </c>
      <c r="J346" s="6" t="str">
        <f>IF(A346="","",IFERROR(AVERAGEIF(Chicks!$G:$G,A346,Chicks!$M:$M),""))</f>
        <v/>
      </c>
      <c r="K346" s="6" t="str">
        <f>IF(A346="","",SUMIFS(Chicks!$N:$N,Chicks!$G:$G,A346))</f>
        <v/>
      </c>
      <c r="L346" s="6" t="str">
        <f>IF(A346="","",SUMIFS(Chicks!$O:$O,Chicks!$G:$G,A346))</f>
        <v/>
      </c>
      <c r="M346" s="6" t="str">
        <f>IF(A346="","",SUMIFS(Chicks!$P:$P,Chicks!$G:$G,A346))</f>
        <v/>
      </c>
      <c r="N346" s="6" t="str">
        <f t="shared" si="2"/>
        <v/>
      </c>
    </row>
    <row r="347" spans="1:14" ht="14.25" customHeight="1" x14ac:dyDescent="0.3">
      <c r="A347" s="4"/>
      <c r="B347" s="4"/>
      <c r="C347" s="4"/>
      <c r="D347" s="4"/>
      <c r="E347" s="4"/>
      <c r="F347" s="6" t="str">
        <f>IF(A347="","",COUNTIF(Chicks!$G:$G,A347))</f>
        <v/>
      </c>
      <c r="G347" s="6" t="str">
        <f>IF(A347="","",COUNTIFS(Chicks!$G:$G,A347,Chicks!$I:$I,"Yes"))</f>
        <v/>
      </c>
      <c r="H347" s="6" t="str">
        <f>IF(A347="","",SUMIFS(Chicks!$J:$J,Chicks!$G:$G,A347))</f>
        <v/>
      </c>
      <c r="I347" s="6" t="str">
        <f>IF(A347="","",COUNTIFS(Chicks!$G:$G,A347,Chicks!$I:$I,"No"))</f>
        <v/>
      </c>
      <c r="J347" s="6" t="str">
        <f>IF(A347="","",IFERROR(AVERAGEIF(Chicks!$G:$G,A347,Chicks!$M:$M),""))</f>
        <v/>
      </c>
      <c r="K347" s="6" t="str">
        <f>IF(A347="","",SUMIFS(Chicks!$N:$N,Chicks!$G:$G,A347))</f>
        <v/>
      </c>
      <c r="L347" s="6" t="str">
        <f>IF(A347="","",SUMIFS(Chicks!$O:$O,Chicks!$G:$G,A347))</f>
        <v/>
      </c>
      <c r="M347" s="6" t="str">
        <f>IF(A347="","",SUMIFS(Chicks!$P:$P,Chicks!$G:$G,A347))</f>
        <v/>
      </c>
      <c r="N347" s="6" t="str">
        <f t="shared" si="2"/>
        <v/>
      </c>
    </row>
    <row r="348" spans="1:14" ht="14.25" customHeight="1" x14ac:dyDescent="0.3">
      <c r="A348" s="4"/>
      <c r="B348" s="4"/>
      <c r="C348" s="4"/>
      <c r="D348" s="4"/>
      <c r="E348" s="4"/>
      <c r="F348" s="6" t="str">
        <f>IF(A348="","",COUNTIF(Chicks!$G:$G,A348))</f>
        <v/>
      </c>
      <c r="G348" s="6" t="str">
        <f>IF(A348="","",COUNTIFS(Chicks!$G:$G,A348,Chicks!$I:$I,"Yes"))</f>
        <v/>
      </c>
      <c r="H348" s="6" t="str">
        <f>IF(A348="","",SUMIFS(Chicks!$J:$J,Chicks!$G:$G,A348))</f>
        <v/>
      </c>
      <c r="I348" s="6" t="str">
        <f>IF(A348="","",COUNTIFS(Chicks!$G:$G,A348,Chicks!$I:$I,"No"))</f>
        <v/>
      </c>
      <c r="J348" s="6" t="str">
        <f>IF(A348="","",IFERROR(AVERAGEIF(Chicks!$G:$G,A348,Chicks!$M:$M),""))</f>
        <v/>
      </c>
      <c r="K348" s="6" t="str">
        <f>IF(A348="","",SUMIFS(Chicks!$N:$N,Chicks!$G:$G,A348))</f>
        <v/>
      </c>
      <c r="L348" s="6" t="str">
        <f>IF(A348="","",SUMIFS(Chicks!$O:$O,Chicks!$G:$G,A348))</f>
        <v/>
      </c>
      <c r="M348" s="6" t="str">
        <f>IF(A348="","",SUMIFS(Chicks!$P:$P,Chicks!$G:$G,A348))</f>
        <v/>
      </c>
      <c r="N348" s="6" t="str">
        <f t="shared" si="2"/>
        <v/>
      </c>
    </row>
    <row r="349" spans="1:14" ht="14.25" customHeight="1" x14ac:dyDescent="0.3">
      <c r="A349" s="4"/>
      <c r="B349" s="4"/>
      <c r="C349" s="4"/>
      <c r="D349" s="4"/>
      <c r="E349" s="4"/>
      <c r="F349" s="6" t="str">
        <f>IF(A349="","",COUNTIF(Chicks!$G:$G,A349))</f>
        <v/>
      </c>
      <c r="G349" s="6" t="str">
        <f>IF(A349="","",COUNTIFS(Chicks!$G:$G,A349,Chicks!$I:$I,"Yes"))</f>
        <v/>
      </c>
      <c r="H349" s="6" t="str">
        <f>IF(A349="","",SUMIFS(Chicks!$J:$J,Chicks!$G:$G,A349))</f>
        <v/>
      </c>
      <c r="I349" s="6" t="str">
        <f>IF(A349="","",COUNTIFS(Chicks!$G:$G,A349,Chicks!$I:$I,"No"))</f>
        <v/>
      </c>
      <c r="J349" s="6" t="str">
        <f>IF(A349="","",IFERROR(AVERAGEIF(Chicks!$G:$G,A349,Chicks!$M:$M),""))</f>
        <v/>
      </c>
      <c r="K349" s="6" t="str">
        <f>IF(A349="","",SUMIFS(Chicks!$N:$N,Chicks!$G:$G,A349))</f>
        <v/>
      </c>
      <c r="L349" s="6" t="str">
        <f>IF(A349="","",SUMIFS(Chicks!$O:$O,Chicks!$G:$G,A349))</f>
        <v/>
      </c>
      <c r="M349" s="6" t="str">
        <f>IF(A349="","",SUMIFS(Chicks!$P:$P,Chicks!$G:$G,A349))</f>
        <v/>
      </c>
      <c r="N349" s="6" t="str">
        <f t="shared" si="2"/>
        <v/>
      </c>
    </row>
    <row r="350" spans="1:14" ht="14.25" customHeight="1" x14ac:dyDescent="0.3">
      <c r="A350" s="4"/>
      <c r="B350" s="4"/>
      <c r="C350" s="4"/>
      <c r="D350" s="4"/>
      <c r="E350" s="4"/>
      <c r="F350" s="6" t="str">
        <f>IF(A350="","",COUNTIF(Chicks!$G:$G,A350))</f>
        <v/>
      </c>
      <c r="G350" s="6" t="str">
        <f>IF(A350="","",COUNTIFS(Chicks!$G:$G,A350,Chicks!$I:$I,"Yes"))</f>
        <v/>
      </c>
      <c r="H350" s="6" t="str">
        <f>IF(A350="","",SUMIFS(Chicks!$J:$J,Chicks!$G:$G,A350))</f>
        <v/>
      </c>
      <c r="I350" s="6" t="str">
        <f>IF(A350="","",COUNTIFS(Chicks!$G:$G,A350,Chicks!$I:$I,"No"))</f>
        <v/>
      </c>
      <c r="J350" s="6" t="str">
        <f>IF(A350="","",IFERROR(AVERAGEIF(Chicks!$G:$G,A350,Chicks!$M:$M),""))</f>
        <v/>
      </c>
      <c r="K350" s="6" t="str">
        <f>IF(A350="","",SUMIFS(Chicks!$N:$N,Chicks!$G:$G,A350))</f>
        <v/>
      </c>
      <c r="L350" s="6" t="str">
        <f>IF(A350="","",SUMIFS(Chicks!$O:$O,Chicks!$G:$G,A350))</f>
        <v/>
      </c>
      <c r="M350" s="6" t="str">
        <f>IF(A350="","",SUMIFS(Chicks!$P:$P,Chicks!$G:$G,A350))</f>
        <v/>
      </c>
      <c r="N350" s="6" t="str">
        <f t="shared" si="2"/>
        <v/>
      </c>
    </row>
    <row r="351" spans="1:14" ht="14.25" customHeight="1" x14ac:dyDescent="0.3">
      <c r="A351" s="4"/>
      <c r="B351" s="4"/>
      <c r="C351" s="4"/>
      <c r="D351" s="4"/>
      <c r="E351" s="4"/>
      <c r="F351" s="6" t="str">
        <f>IF(A351="","",COUNTIF(Chicks!$G:$G,A351))</f>
        <v/>
      </c>
      <c r="G351" s="6" t="str">
        <f>IF(A351="","",COUNTIFS(Chicks!$G:$G,A351,Chicks!$I:$I,"Yes"))</f>
        <v/>
      </c>
      <c r="H351" s="6" t="str">
        <f>IF(A351="","",SUMIFS(Chicks!$J:$J,Chicks!$G:$G,A351))</f>
        <v/>
      </c>
      <c r="I351" s="6" t="str">
        <f>IF(A351="","",COUNTIFS(Chicks!$G:$G,A351,Chicks!$I:$I,"No"))</f>
        <v/>
      </c>
      <c r="J351" s="6" t="str">
        <f>IF(A351="","",IFERROR(AVERAGEIF(Chicks!$G:$G,A351,Chicks!$M:$M),""))</f>
        <v/>
      </c>
      <c r="K351" s="6" t="str">
        <f>IF(A351="","",SUMIFS(Chicks!$N:$N,Chicks!$G:$G,A351))</f>
        <v/>
      </c>
      <c r="L351" s="6" t="str">
        <f>IF(A351="","",SUMIFS(Chicks!$O:$O,Chicks!$G:$G,A351))</f>
        <v/>
      </c>
      <c r="M351" s="6" t="str">
        <f>IF(A351="","",SUMIFS(Chicks!$P:$P,Chicks!$G:$G,A351))</f>
        <v/>
      </c>
      <c r="N351" s="6" t="str">
        <f t="shared" si="2"/>
        <v/>
      </c>
    </row>
    <row r="352" spans="1:14" ht="14.25" customHeight="1" x14ac:dyDescent="0.3">
      <c r="A352" s="4"/>
      <c r="B352" s="4"/>
      <c r="C352" s="4"/>
      <c r="D352" s="4"/>
      <c r="E352" s="4"/>
      <c r="F352" s="6" t="str">
        <f>IF(A352="","",COUNTIF(Chicks!$G:$G,A352))</f>
        <v/>
      </c>
      <c r="G352" s="6" t="str">
        <f>IF(A352="","",COUNTIFS(Chicks!$G:$G,A352,Chicks!$I:$I,"Yes"))</f>
        <v/>
      </c>
      <c r="H352" s="6" t="str">
        <f>IF(A352="","",SUMIFS(Chicks!$J:$J,Chicks!$G:$G,A352))</f>
        <v/>
      </c>
      <c r="I352" s="6" t="str">
        <f>IF(A352="","",COUNTIFS(Chicks!$G:$G,A352,Chicks!$I:$I,"No"))</f>
        <v/>
      </c>
      <c r="J352" s="6" t="str">
        <f>IF(A352="","",IFERROR(AVERAGEIF(Chicks!$G:$G,A352,Chicks!$M:$M),""))</f>
        <v/>
      </c>
      <c r="K352" s="6" t="str">
        <f>IF(A352="","",SUMIFS(Chicks!$N:$N,Chicks!$G:$G,A352))</f>
        <v/>
      </c>
      <c r="L352" s="6" t="str">
        <f>IF(A352="","",SUMIFS(Chicks!$O:$O,Chicks!$G:$G,A352))</f>
        <v/>
      </c>
      <c r="M352" s="6" t="str">
        <f>IF(A352="","",SUMIFS(Chicks!$P:$P,Chicks!$G:$G,A352))</f>
        <v/>
      </c>
      <c r="N352" s="6" t="str">
        <f t="shared" si="2"/>
        <v/>
      </c>
    </row>
    <row r="353" spans="1:14" ht="14.25" customHeight="1" x14ac:dyDescent="0.3">
      <c r="A353" s="4"/>
      <c r="B353" s="4"/>
      <c r="C353" s="4"/>
      <c r="D353" s="4"/>
      <c r="E353" s="4"/>
      <c r="F353" s="6" t="str">
        <f>IF(A353="","",COUNTIF(Chicks!$G:$G,A353))</f>
        <v/>
      </c>
      <c r="G353" s="6" t="str">
        <f>IF(A353="","",COUNTIFS(Chicks!$G:$G,A353,Chicks!$I:$I,"Yes"))</f>
        <v/>
      </c>
      <c r="H353" s="6" t="str">
        <f>IF(A353="","",SUMIFS(Chicks!$J:$J,Chicks!$G:$G,A353))</f>
        <v/>
      </c>
      <c r="I353" s="6" t="str">
        <f>IF(A353="","",COUNTIFS(Chicks!$G:$G,A353,Chicks!$I:$I,"No"))</f>
        <v/>
      </c>
      <c r="J353" s="6" t="str">
        <f>IF(A353="","",IFERROR(AVERAGEIF(Chicks!$G:$G,A353,Chicks!$M:$M),""))</f>
        <v/>
      </c>
      <c r="K353" s="6" t="str">
        <f>IF(A353="","",SUMIFS(Chicks!$N:$N,Chicks!$G:$G,A353))</f>
        <v/>
      </c>
      <c r="L353" s="6" t="str">
        <f>IF(A353="","",SUMIFS(Chicks!$O:$O,Chicks!$G:$G,A353))</f>
        <v/>
      </c>
      <c r="M353" s="6" t="str">
        <f>IF(A353="","",SUMIFS(Chicks!$P:$P,Chicks!$G:$G,A353))</f>
        <v/>
      </c>
      <c r="N353" s="6" t="str">
        <f t="shared" si="2"/>
        <v/>
      </c>
    </row>
    <row r="354" spans="1:14" ht="14.25" customHeight="1" x14ac:dyDescent="0.3">
      <c r="A354" s="4"/>
      <c r="B354" s="4"/>
      <c r="C354" s="4"/>
      <c r="D354" s="4"/>
      <c r="E354" s="4"/>
      <c r="F354" s="6" t="str">
        <f>IF(A354="","",COUNTIF(Chicks!$G:$G,A354))</f>
        <v/>
      </c>
      <c r="G354" s="6" t="str">
        <f>IF(A354="","",COUNTIFS(Chicks!$G:$G,A354,Chicks!$I:$I,"Yes"))</f>
        <v/>
      </c>
      <c r="H354" s="6" t="str">
        <f>IF(A354="","",SUMIFS(Chicks!$J:$J,Chicks!$G:$G,A354))</f>
        <v/>
      </c>
      <c r="I354" s="6" t="str">
        <f>IF(A354="","",COUNTIFS(Chicks!$G:$G,A354,Chicks!$I:$I,"No"))</f>
        <v/>
      </c>
      <c r="J354" s="6" t="str">
        <f>IF(A354="","",IFERROR(AVERAGEIF(Chicks!$G:$G,A354,Chicks!$M:$M),""))</f>
        <v/>
      </c>
      <c r="K354" s="6" t="str">
        <f>IF(A354="","",SUMIFS(Chicks!$N:$N,Chicks!$G:$G,A354))</f>
        <v/>
      </c>
      <c r="L354" s="6" t="str">
        <f>IF(A354="","",SUMIFS(Chicks!$O:$O,Chicks!$G:$G,A354))</f>
        <v/>
      </c>
      <c r="M354" s="6" t="str">
        <f>IF(A354="","",SUMIFS(Chicks!$P:$P,Chicks!$G:$G,A354))</f>
        <v/>
      </c>
      <c r="N354" s="6" t="str">
        <f t="shared" si="2"/>
        <v/>
      </c>
    </row>
    <row r="355" spans="1:14" ht="14.25" customHeight="1" x14ac:dyDescent="0.3">
      <c r="A355" s="4"/>
      <c r="B355" s="4"/>
      <c r="C355" s="4"/>
      <c r="D355" s="4"/>
      <c r="E355" s="4"/>
      <c r="F355" s="6" t="str">
        <f>IF(A355="","",COUNTIF(Chicks!$G:$G,A355))</f>
        <v/>
      </c>
      <c r="G355" s="6" t="str">
        <f>IF(A355="","",COUNTIFS(Chicks!$G:$G,A355,Chicks!$I:$I,"Yes"))</f>
        <v/>
      </c>
      <c r="H355" s="6" t="str">
        <f>IF(A355="","",SUMIFS(Chicks!$J:$J,Chicks!$G:$G,A355))</f>
        <v/>
      </c>
      <c r="I355" s="6" t="str">
        <f>IF(A355="","",COUNTIFS(Chicks!$G:$G,A355,Chicks!$I:$I,"No"))</f>
        <v/>
      </c>
      <c r="J355" s="6" t="str">
        <f>IF(A355="","",IFERROR(AVERAGEIF(Chicks!$G:$G,A355,Chicks!$M:$M),""))</f>
        <v/>
      </c>
      <c r="K355" s="6" t="str">
        <f>IF(A355="","",SUMIFS(Chicks!$N:$N,Chicks!$G:$G,A355))</f>
        <v/>
      </c>
      <c r="L355" s="6" t="str">
        <f>IF(A355="","",SUMIFS(Chicks!$O:$O,Chicks!$G:$G,A355))</f>
        <v/>
      </c>
      <c r="M355" s="6" t="str">
        <f>IF(A355="","",SUMIFS(Chicks!$P:$P,Chicks!$G:$G,A355))</f>
        <v/>
      </c>
      <c r="N355" s="6" t="str">
        <f t="shared" si="2"/>
        <v/>
      </c>
    </row>
    <row r="356" spans="1:14" ht="14.25" customHeight="1" x14ac:dyDescent="0.3">
      <c r="A356" s="4"/>
      <c r="B356" s="4"/>
      <c r="C356" s="4"/>
      <c r="D356" s="4"/>
      <c r="E356" s="4"/>
      <c r="F356" s="6" t="str">
        <f>IF(A356="","",COUNTIF(Chicks!$G:$G,A356))</f>
        <v/>
      </c>
      <c r="G356" s="6" t="str">
        <f>IF(A356="","",COUNTIFS(Chicks!$G:$G,A356,Chicks!$I:$I,"Yes"))</f>
        <v/>
      </c>
      <c r="H356" s="6" t="str">
        <f>IF(A356="","",SUMIFS(Chicks!$J:$J,Chicks!$G:$G,A356))</f>
        <v/>
      </c>
      <c r="I356" s="6" t="str">
        <f>IF(A356="","",COUNTIFS(Chicks!$G:$G,A356,Chicks!$I:$I,"No"))</f>
        <v/>
      </c>
      <c r="J356" s="6" t="str">
        <f>IF(A356="","",IFERROR(AVERAGEIF(Chicks!$G:$G,A356,Chicks!$M:$M),""))</f>
        <v/>
      </c>
      <c r="K356" s="6" t="str">
        <f>IF(A356="","",SUMIFS(Chicks!$N:$N,Chicks!$G:$G,A356))</f>
        <v/>
      </c>
      <c r="L356" s="6" t="str">
        <f>IF(A356="","",SUMIFS(Chicks!$O:$O,Chicks!$G:$G,A356))</f>
        <v/>
      </c>
      <c r="M356" s="6" t="str">
        <f>IF(A356="","",SUMIFS(Chicks!$P:$P,Chicks!$G:$G,A356))</f>
        <v/>
      </c>
      <c r="N356" s="6" t="str">
        <f t="shared" si="2"/>
        <v/>
      </c>
    </row>
    <row r="357" spans="1:14" ht="14.25" customHeight="1" x14ac:dyDescent="0.3">
      <c r="A357" s="4"/>
      <c r="B357" s="4"/>
      <c r="C357" s="4"/>
      <c r="D357" s="4"/>
      <c r="E357" s="4"/>
      <c r="F357" s="6" t="str">
        <f>IF(A357="","",COUNTIF(Chicks!$G:$G,A357))</f>
        <v/>
      </c>
      <c r="G357" s="6" t="str">
        <f>IF(A357="","",COUNTIFS(Chicks!$G:$G,A357,Chicks!$I:$I,"Yes"))</f>
        <v/>
      </c>
      <c r="H357" s="6" t="str">
        <f>IF(A357="","",SUMIFS(Chicks!$J:$J,Chicks!$G:$G,A357))</f>
        <v/>
      </c>
      <c r="I357" s="6" t="str">
        <f>IF(A357="","",COUNTIFS(Chicks!$G:$G,A357,Chicks!$I:$I,"No"))</f>
        <v/>
      </c>
      <c r="J357" s="6" t="str">
        <f>IF(A357="","",IFERROR(AVERAGEIF(Chicks!$G:$G,A357,Chicks!$M:$M),""))</f>
        <v/>
      </c>
      <c r="K357" s="6" t="str">
        <f>IF(A357="","",SUMIFS(Chicks!$N:$N,Chicks!$G:$G,A357))</f>
        <v/>
      </c>
      <c r="L357" s="6" t="str">
        <f>IF(A357="","",SUMIFS(Chicks!$O:$O,Chicks!$G:$G,A357))</f>
        <v/>
      </c>
      <c r="M357" s="6" t="str">
        <f>IF(A357="","",SUMIFS(Chicks!$P:$P,Chicks!$G:$G,A357))</f>
        <v/>
      </c>
      <c r="N357" s="6" t="str">
        <f t="shared" si="2"/>
        <v/>
      </c>
    </row>
    <row r="358" spans="1:14" ht="14.25" customHeight="1" x14ac:dyDescent="0.3">
      <c r="A358" s="4"/>
      <c r="B358" s="4"/>
      <c r="C358" s="4"/>
      <c r="D358" s="4"/>
      <c r="E358" s="4"/>
      <c r="F358" s="6" t="str">
        <f>IF(A358="","",COUNTIF(Chicks!$G:$G,A358))</f>
        <v/>
      </c>
      <c r="G358" s="6" t="str">
        <f>IF(A358="","",COUNTIFS(Chicks!$G:$G,A358,Chicks!$I:$I,"Yes"))</f>
        <v/>
      </c>
      <c r="H358" s="6" t="str">
        <f>IF(A358="","",SUMIFS(Chicks!$J:$J,Chicks!$G:$G,A358))</f>
        <v/>
      </c>
      <c r="I358" s="6" t="str">
        <f>IF(A358="","",COUNTIFS(Chicks!$G:$G,A358,Chicks!$I:$I,"No"))</f>
        <v/>
      </c>
      <c r="J358" s="6" t="str">
        <f>IF(A358="","",IFERROR(AVERAGEIF(Chicks!$G:$G,A358,Chicks!$M:$M),""))</f>
        <v/>
      </c>
      <c r="K358" s="6" t="str">
        <f>IF(A358="","",SUMIFS(Chicks!$N:$N,Chicks!$G:$G,A358))</f>
        <v/>
      </c>
      <c r="L358" s="6" t="str">
        <f>IF(A358="","",SUMIFS(Chicks!$O:$O,Chicks!$G:$G,A358))</f>
        <v/>
      </c>
      <c r="M358" s="6" t="str">
        <f>IF(A358="","",SUMIFS(Chicks!$P:$P,Chicks!$G:$G,A358))</f>
        <v/>
      </c>
      <c r="N358" s="6" t="str">
        <f t="shared" si="2"/>
        <v/>
      </c>
    </row>
    <row r="359" spans="1:14" ht="14.25" customHeight="1" x14ac:dyDescent="0.3">
      <c r="A359" s="4"/>
      <c r="B359" s="4"/>
      <c r="C359" s="4"/>
      <c r="D359" s="4"/>
      <c r="E359" s="4"/>
      <c r="F359" s="6" t="str">
        <f>IF(A359="","",COUNTIF(Chicks!$G:$G,A359))</f>
        <v/>
      </c>
      <c r="G359" s="6" t="str">
        <f>IF(A359="","",COUNTIFS(Chicks!$G:$G,A359,Chicks!$I:$I,"Yes"))</f>
        <v/>
      </c>
      <c r="H359" s="6" t="str">
        <f>IF(A359="","",SUMIFS(Chicks!$J:$J,Chicks!$G:$G,A359))</f>
        <v/>
      </c>
      <c r="I359" s="6" t="str">
        <f>IF(A359="","",COUNTIFS(Chicks!$G:$G,A359,Chicks!$I:$I,"No"))</f>
        <v/>
      </c>
      <c r="J359" s="6" t="str">
        <f>IF(A359="","",IFERROR(AVERAGEIF(Chicks!$G:$G,A359,Chicks!$M:$M),""))</f>
        <v/>
      </c>
      <c r="K359" s="6" t="str">
        <f>IF(A359="","",SUMIFS(Chicks!$N:$N,Chicks!$G:$G,A359))</f>
        <v/>
      </c>
      <c r="L359" s="6" t="str">
        <f>IF(A359="","",SUMIFS(Chicks!$O:$O,Chicks!$G:$G,A359))</f>
        <v/>
      </c>
      <c r="M359" s="6" t="str">
        <f>IF(A359="","",SUMIFS(Chicks!$P:$P,Chicks!$G:$G,A359))</f>
        <v/>
      </c>
      <c r="N359" s="6" t="str">
        <f t="shared" si="2"/>
        <v/>
      </c>
    </row>
    <row r="360" spans="1:14" ht="14.25" customHeight="1" x14ac:dyDescent="0.3">
      <c r="A360" s="4"/>
      <c r="B360" s="4"/>
      <c r="C360" s="4"/>
      <c r="D360" s="4"/>
      <c r="E360" s="4"/>
      <c r="F360" s="6" t="str">
        <f>IF(A360="","",COUNTIF(Chicks!$G:$G,A360))</f>
        <v/>
      </c>
      <c r="G360" s="6" t="str">
        <f>IF(A360="","",COUNTIFS(Chicks!$G:$G,A360,Chicks!$I:$I,"Yes"))</f>
        <v/>
      </c>
      <c r="H360" s="6" t="str">
        <f>IF(A360="","",SUMIFS(Chicks!$J:$J,Chicks!$G:$G,A360))</f>
        <v/>
      </c>
      <c r="I360" s="6" t="str">
        <f>IF(A360="","",COUNTIFS(Chicks!$G:$G,A360,Chicks!$I:$I,"No"))</f>
        <v/>
      </c>
      <c r="J360" s="6" t="str">
        <f>IF(A360="","",IFERROR(AVERAGEIF(Chicks!$G:$G,A360,Chicks!$M:$M),""))</f>
        <v/>
      </c>
      <c r="K360" s="6" t="str">
        <f>IF(A360="","",SUMIFS(Chicks!$N:$N,Chicks!$G:$G,A360))</f>
        <v/>
      </c>
      <c r="L360" s="6" t="str">
        <f>IF(A360="","",SUMIFS(Chicks!$O:$O,Chicks!$G:$G,A360))</f>
        <v/>
      </c>
      <c r="M360" s="6" t="str">
        <f>IF(A360="","",SUMIFS(Chicks!$P:$P,Chicks!$G:$G,A360))</f>
        <v/>
      </c>
      <c r="N360" s="6" t="str">
        <f t="shared" si="2"/>
        <v/>
      </c>
    </row>
    <row r="361" spans="1:14" ht="14.25" customHeight="1" x14ac:dyDescent="0.3">
      <c r="A361" s="4"/>
      <c r="B361" s="4"/>
      <c r="C361" s="4"/>
      <c r="D361" s="4"/>
      <c r="E361" s="4"/>
      <c r="F361" s="6" t="str">
        <f>IF(A361="","",COUNTIF(Chicks!$G:$G,A361))</f>
        <v/>
      </c>
      <c r="G361" s="6" t="str">
        <f>IF(A361="","",COUNTIFS(Chicks!$G:$G,A361,Chicks!$I:$I,"Yes"))</f>
        <v/>
      </c>
      <c r="H361" s="6" t="str">
        <f>IF(A361="","",SUMIFS(Chicks!$J:$J,Chicks!$G:$G,A361))</f>
        <v/>
      </c>
      <c r="I361" s="6" t="str">
        <f>IF(A361="","",COUNTIFS(Chicks!$G:$G,A361,Chicks!$I:$I,"No"))</f>
        <v/>
      </c>
      <c r="J361" s="6" t="str">
        <f>IF(A361="","",IFERROR(AVERAGEIF(Chicks!$G:$G,A361,Chicks!$M:$M),""))</f>
        <v/>
      </c>
      <c r="K361" s="6" t="str">
        <f>IF(A361="","",SUMIFS(Chicks!$N:$N,Chicks!$G:$G,A361))</f>
        <v/>
      </c>
      <c r="L361" s="6" t="str">
        <f>IF(A361="","",SUMIFS(Chicks!$O:$O,Chicks!$G:$G,A361))</f>
        <v/>
      </c>
      <c r="M361" s="6" t="str">
        <f>IF(A361="","",SUMIFS(Chicks!$P:$P,Chicks!$G:$G,A361))</f>
        <v/>
      </c>
      <c r="N361" s="6" t="str">
        <f t="shared" si="2"/>
        <v/>
      </c>
    </row>
    <row r="362" spans="1:14" ht="14.25" customHeight="1" x14ac:dyDescent="0.3">
      <c r="A362" s="4"/>
      <c r="B362" s="4"/>
      <c r="C362" s="4"/>
      <c r="D362" s="4"/>
      <c r="E362" s="4"/>
      <c r="F362" s="6" t="str">
        <f>IF(A362="","",COUNTIF(Chicks!$G:$G,A362))</f>
        <v/>
      </c>
      <c r="G362" s="6" t="str">
        <f>IF(A362="","",COUNTIFS(Chicks!$G:$G,A362,Chicks!$I:$I,"Yes"))</f>
        <v/>
      </c>
      <c r="H362" s="6" t="str">
        <f>IF(A362="","",SUMIFS(Chicks!$J:$J,Chicks!$G:$G,A362))</f>
        <v/>
      </c>
      <c r="I362" s="6" t="str">
        <f>IF(A362="","",COUNTIFS(Chicks!$G:$G,A362,Chicks!$I:$I,"No"))</f>
        <v/>
      </c>
      <c r="J362" s="6" t="str">
        <f>IF(A362="","",IFERROR(AVERAGEIF(Chicks!$G:$G,A362,Chicks!$M:$M),""))</f>
        <v/>
      </c>
      <c r="K362" s="6" t="str">
        <f>IF(A362="","",SUMIFS(Chicks!$N:$N,Chicks!$G:$G,A362))</f>
        <v/>
      </c>
      <c r="L362" s="6" t="str">
        <f>IF(A362="","",SUMIFS(Chicks!$O:$O,Chicks!$G:$G,A362))</f>
        <v/>
      </c>
      <c r="M362" s="6" t="str">
        <f>IF(A362="","",SUMIFS(Chicks!$P:$P,Chicks!$G:$G,A362))</f>
        <v/>
      </c>
      <c r="N362" s="6" t="str">
        <f t="shared" si="2"/>
        <v/>
      </c>
    </row>
    <row r="363" spans="1:14" ht="14.25" customHeight="1" x14ac:dyDescent="0.3">
      <c r="A363" s="4"/>
      <c r="B363" s="4"/>
      <c r="C363" s="4"/>
      <c r="D363" s="4"/>
      <c r="E363" s="4"/>
      <c r="F363" s="6" t="str">
        <f>IF(A363="","",COUNTIF(Chicks!$G:$G,A363))</f>
        <v/>
      </c>
      <c r="G363" s="6" t="str">
        <f>IF(A363="","",COUNTIFS(Chicks!$G:$G,A363,Chicks!$I:$I,"Yes"))</f>
        <v/>
      </c>
      <c r="H363" s="6" t="str">
        <f>IF(A363="","",SUMIFS(Chicks!$J:$J,Chicks!$G:$G,A363))</f>
        <v/>
      </c>
      <c r="I363" s="6" t="str">
        <f>IF(A363="","",COUNTIFS(Chicks!$G:$G,A363,Chicks!$I:$I,"No"))</f>
        <v/>
      </c>
      <c r="J363" s="6" t="str">
        <f>IF(A363="","",IFERROR(AVERAGEIF(Chicks!$G:$G,A363,Chicks!$M:$M),""))</f>
        <v/>
      </c>
      <c r="K363" s="6" t="str">
        <f>IF(A363="","",SUMIFS(Chicks!$N:$N,Chicks!$G:$G,A363))</f>
        <v/>
      </c>
      <c r="L363" s="6" t="str">
        <f>IF(A363="","",SUMIFS(Chicks!$O:$O,Chicks!$G:$G,A363))</f>
        <v/>
      </c>
      <c r="M363" s="6" t="str">
        <f>IF(A363="","",SUMIFS(Chicks!$P:$P,Chicks!$G:$G,A363))</f>
        <v/>
      </c>
      <c r="N363" s="6" t="str">
        <f t="shared" si="2"/>
        <v/>
      </c>
    </row>
    <row r="364" spans="1:14" ht="14.25" customHeight="1" x14ac:dyDescent="0.3">
      <c r="A364" s="4"/>
      <c r="B364" s="4"/>
      <c r="C364" s="4"/>
      <c r="D364" s="4"/>
      <c r="E364" s="4"/>
      <c r="F364" s="6" t="str">
        <f>IF(A364="","",COUNTIF(Chicks!$G:$G,A364))</f>
        <v/>
      </c>
      <c r="G364" s="6" t="str">
        <f>IF(A364="","",COUNTIFS(Chicks!$G:$G,A364,Chicks!$I:$I,"Yes"))</f>
        <v/>
      </c>
      <c r="H364" s="6" t="str">
        <f>IF(A364="","",SUMIFS(Chicks!$J:$J,Chicks!$G:$G,A364))</f>
        <v/>
      </c>
      <c r="I364" s="6" t="str">
        <f>IF(A364="","",COUNTIFS(Chicks!$G:$G,A364,Chicks!$I:$I,"No"))</f>
        <v/>
      </c>
      <c r="J364" s="6" t="str">
        <f>IF(A364="","",IFERROR(AVERAGEIF(Chicks!$G:$G,A364,Chicks!$M:$M),""))</f>
        <v/>
      </c>
      <c r="K364" s="6" t="str">
        <f>IF(A364="","",SUMIFS(Chicks!$N:$N,Chicks!$G:$G,A364))</f>
        <v/>
      </c>
      <c r="L364" s="6" t="str">
        <f>IF(A364="","",SUMIFS(Chicks!$O:$O,Chicks!$G:$G,A364))</f>
        <v/>
      </c>
      <c r="M364" s="6" t="str">
        <f>IF(A364="","",SUMIFS(Chicks!$P:$P,Chicks!$G:$G,A364))</f>
        <v/>
      </c>
      <c r="N364" s="6" t="str">
        <f t="shared" si="2"/>
        <v/>
      </c>
    </row>
    <row r="365" spans="1:14" ht="14.25" customHeight="1" x14ac:dyDescent="0.3">
      <c r="A365" s="4"/>
      <c r="B365" s="4"/>
      <c r="C365" s="4"/>
      <c r="D365" s="4"/>
      <c r="E365" s="4"/>
      <c r="F365" s="6" t="str">
        <f>IF(A365="","",COUNTIF(Chicks!$G:$G,A365))</f>
        <v/>
      </c>
      <c r="G365" s="6" t="str">
        <f>IF(A365="","",COUNTIFS(Chicks!$G:$G,A365,Chicks!$I:$I,"Yes"))</f>
        <v/>
      </c>
      <c r="H365" s="6" t="str">
        <f>IF(A365="","",SUMIFS(Chicks!$J:$J,Chicks!$G:$G,A365))</f>
        <v/>
      </c>
      <c r="I365" s="6" t="str">
        <f>IF(A365="","",COUNTIFS(Chicks!$G:$G,A365,Chicks!$I:$I,"No"))</f>
        <v/>
      </c>
      <c r="J365" s="6" t="str">
        <f>IF(A365="","",IFERROR(AVERAGEIF(Chicks!$G:$G,A365,Chicks!$M:$M),""))</f>
        <v/>
      </c>
      <c r="K365" s="6" t="str">
        <f>IF(A365="","",SUMIFS(Chicks!$N:$N,Chicks!$G:$G,A365))</f>
        <v/>
      </c>
      <c r="L365" s="6" t="str">
        <f>IF(A365="","",SUMIFS(Chicks!$O:$O,Chicks!$G:$G,A365))</f>
        <v/>
      </c>
      <c r="M365" s="6" t="str">
        <f>IF(A365="","",SUMIFS(Chicks!$P:$P,Chicks!$G:$G,A365))</f>
        <v/>
      </c>
      <c r="N365" s="6" t="str">
        <f t="shared" si="2"/>
        <v/>
      </c>
    </row>
    <row r="366" spans="1:14" ht="14.25" customHeight="1" x14ac:dyDescent="0.3">
      <c r="A366" s="4"/>
      <c r="B366" s="4"/>
      <c r="C366" s="4"/>
      <c r="D366" s="4"/>
      <c r="E366" s="4"/>
      <c r="F366" s="6" t="str">
        <f>IF(A366="","",COUNTIF(Chicks!$G:$G,A366))</f>
        <v/>
      </c>
      <c r="G366" s="6" t="str">
        <f>IF(A366="","",COUNTIFS(Chicks!$G:$G,A366,Chicks!$I:$I,"Yes"))</f>
        <v/>
      </c>
      <c r="H366" s="6" t="str">
        <f>IF(A366="","",SUMIFS(Chicks!$J:$J,Chicks!$G:$G,A366))</f>
        <v/>
      </c>
      <c r="I366" s="6" t="str">
        <f>IF(A366="","",COUNTIFS(Chicks!$G:$G,A366,Chicks!$I:$I,"No"))</f>
        <v/>
      </c>
      <c r="J366" s="6" t="str">
        <f>IF(A366="","",IFERROR(AVERAGEIF(Chicks!$G:$G,A366,Chicks!$M:$M),""))</f>
        <v/>
      </c>
      <c r="K366" s="6" t="str">
        <f>IF(A366="","",SUMIFS(Chicks!$N:$N,Chicks!$G:$G,A366))</f>
        <v/>
      </c>
      <c r="L366" s="6" t="str">
        <f>IF(A366="","",SUMIFS(Chicks!$O:$O,Chicks!$G:$G,A366))</f>
        <v/>
      </c>
      <c r="M366" s="6" t="str">
        <f>IF(A366="","",SUMIFS(Chicks!$P:$P,Chicks!$G:$G,A366))</f>
        <v/>
      </c>
      <c r="N366" s="6" t="str">
        <f t="shared" si="2"/>
        <v/>
      </c>
    </row>
    <row r="367" spans="1:14" ht="14.25" customHeight="1" x14ac:dyDescent="0.3">
      <c r="A367" s="4"/>
      <c r="B367" s="4"/>
      <c r="C367" s="4"/>
      <c r="D367" s="4"/>
      <c r="E367" s="4"/>
      <c r="F367" s="6" t="str">
        <f>IF(A367="","",COUNTIF(Chicks!$G:$G,A367))</f>
        <v/>
      </c>
      <c r="G367" s="6" t="str">
        <f>IF(A367="","",COUNTIFS(Chicks!$G:$G,A367,Chicks!$I:$I,"Yes"))</f>
        <v/>
      </c>
      <c r="H367" s="6" t="str">
        <f>IF(A367="","",SUMIFS(Chicks!$J:$J,Chicks!$G:$G,A367))</f>
        <v/>
      </c>
      <c r="I367" s="6" t="str">
        <f>IF(A367="","",COUNTIFS(Chicks!$G:$G,A367,Chicks!$I:$I,"No"))</f>
        <v/>
      </c>
      <c r="J367" s="6" t="str">
        <f>IF(A367="","",IFERROR(AVERAGEIF(Chicks!$G:$G,A367,Chicks!$M:$M),""))</f>
        <v/>
      </c>
      <c r="K367" s="6" t="str">
        <f>IF(A367="","",SUMIFS(Chicks!$N:$N,Chicks!$G:$G,A367))</f>
        <v/>
      </c>
      <c r="L367" s="6" t="str">
        <f>IF(A367="","",SUMIFS(Chicks!$O:$O,Chicks!$G:$G,A367))</f>
        <v/>
      </c>
      <c r="M367" s="6" t="str">
        <f>IF(A367="","",SUMIFS(Chicks!$P:$P,Chicks!$G:$G,A367))</f>
        <v/>
      </c>
      <c r="N367" s="6" t="str">
        <f t="shared" si="2"/>
        <v/>
      </c>
    </row>
    <row r="368" spans="1:14" ht="14.25" customHeight="1" x14ac:dyDescent="0.3">
      <c r="A368" s="4"/>
      <c r="B368" s="4"/>
      <c r="C368" s="4"/>
      <c r="D368" s="4"/>
      <c r="E368" s="4"/>
      <c r="F368" s="6" t="str">
        <f>IF(A368="","",COUNTIF(Chicks!$G:$G,A368))</f>
        <v/>
      </c>
      <c r="G368" s="6" t="str">
        <f>IF(A368="","",COUNTIFS(Chicks!$G:$G,A368,Chicks!$I:$I,"Yes"))</f>
        <v/>
      </c>
      <c r="H368" s="6" t="str">
        <f>IF(A368="","",SUMIFS(Chicks!$J:$J,Chicks!$G:$G,A368))</f>
        <v/>
      </c>
      <c r="I368" s="6" t="str">
        <f>IF(A368="","",COUNTIFS(Chicks!$G:$G,A368,Chicks!$I:$I,"No"))</f>
        <v/>
      </c>
      <c r="J368" s="6" t="str">
        <f>IF(A368="","",IFERROR(AVERAGEIF(Chicks!$G:$G,A368,Chicks!$M:$M),""))</f>
        <v/>
      </c>
      <c r="K368" s="6" t="str">
        <f>IF(A368="","",SUMIFS(Chicks!$N:$N,Chicks!$G:$G,A368))</f>
        <v/>
      </c>
      <c r="L368" s="6" t="str">
        <f>IF(A368="","",SUMIFS(Chicks!$O:$O,Chicks!$G:$G,A368))</f>
        <v/>
      </c>
      <c r="M368" s="6" t="str">
        <f>IF(A368="","",SUMIFS(Chicks!$P:$P,Chicks!$G:$G,A368))</f>
        <v/>
      </c>
      <c r="N368" s="6" t="str">
        <f t="shared" si="2"/>
        <v/>
      </c>
    </row>
    <row r="369" spans="1:14" ht="14.25" customHeight="1" x14ac:dyDescent="0.3">
      <c r="A369" s="4"/>
      <c r="B369" s="4"/>
      <c r="C369" s="4"/>
      <c r="D369" s="4"/>
      <c r="E369" s="4"/>
      <c r="F369" s="6" t="str">
        <f>IF(A369="","",COUNTIF(Chicks!$G:$G,A369))</f>
        <v/>
      </c>
      <c r="G369" s="6" t="str">
        <f>IF(A369="","",COUNTIFS(Chicks!$G:$G,A369,Chicks!$I:$I,"Yes"))</f>
        <v/>
      </c>
      <c r="H369" s="6" t="str">
        <f>IF(A369="","",SUMIFS(Chicks!$J:$J,Chicks!$G:$G,A369))</f>
        <v/>
      </c>
      <c r="I369" s="6" t="str">
        <f>IF(A369="","",COUNTIFS(Chicks!$G:$G,A369,Chicks!$I:$I,"No"))</f>
        <v/>
      </c>
      <c r="J369" s="6" t="str">
        <f>IF(A369="","",IFERROR(AVERAGEIF(Chicks!$G:$G,A369,Chicks!$M:$M),""))</f>
        <v/>
      </c>
      <c r="K369" s="6" t="str">
        <f>IF(A369="","",SUMIFS(Chicks!$N:$N,Chicks!$G:$G,A369))</f>
        <v/>
      </c>
      <c r="L369" s="6" t="str">
        <f>IF(A369="","",SUMIFS(Chicks!$O:$O,Chicks!$G:$G,A369))</f>
        <v/>
      </c>
      <c r="M369" s="6" t="str">
        <f>IF(A369="","",SUMIFS(Chicks!$P:$P,Chicks!$G:$G,A369))</f>
        <v/>
      </c>
      <c r="N369" s="6" t="str">
        <f t="shared" si="2"/>
        <v/>
      </c>
    </row>
    <row r="370" spans="1:14" ht="14.25" customHeight="1" x14ac:dyDescent="0.3">
      <c r="A370" s="4"/>
      <c r="B370" s="4"/>
      <c r="C370" s="4"/>
      <c r="D370" s="4"/>
      <c r="E370" s="4"/>
      <c r="F370" s="6" t="str">
        <f>IF(A370="","",COUNTIF(Chicks!$G:$G,A370))</f>
        <v/>
      </c>
      <c r="G370" s="6" t="str">
        <f>IF(A370="","",COUNTIFS(Chicks!$G:$G,A370,Chicks!$I:$I,"Yes"))</f>
        <v/>
      </c>
      <c r="H370" s="6" t="str">
        <f>IF(A370="","",SUMIFS(Chicks!$J:$J,Chicks!$G:$G,A370))</f>
        <v/>
      </c>
      <c r="I370" s="6" t="str">
        <f>IF(A370="","",COUNTIFS(Chicks!$G:$G,A370,Chicks!$I:$I,"No"))</f>
        <v/>
      </c>
      <c r="J370" s="6" t="str">
        <f>IF(A370="","",IFERROR(AVERAGEIF(Chicks!$G:$G,A370,Chicks!$M:$M),""))</f>
        <v/>
      </c>
      <c r="K370" s="6" t="str">
        <f>IF(A370="","",SUMIFS(Chicks!$N:$N,Chicks!$G:$G,A370))</f>
        <v/>
      </c>
      <c r="L370" s="6" t="str">
        <f>IF(A370="","",SUMIFS(Chicks!$O:$O,Chicks!$G:$G,A370))</f>
        <v/>
      </c>
      <c r="M370" s="6" t="str">
        <f>IF(A370="","",SUMIFS(Chicks!$P:$P,Chicks!$G:$G,A370))</f>
        <v/>
      </c>
      <c r="N370" s="6" t="str">
        <f t="shared" si="2"/>
        <v/>
      </c>
    </row>
    <row r="371" spans="1:14" ht="14.25" customHeight="1" x14ac:dyDescent="0.3">
      <c r="A371" s="4"/>
      <c r="B371" s="4"/>
      <c r="C371" s="4"/>
      <c r="D371" s="4"/>
      <c r="E371" s="4"/>
      <c r="F371" s="6" t="str">
        <f>IF(A371="","",COUNTIF(Chicks!$G:$G,A371))</f>
        <v/>
      </c>
      <c r="G371" s="6" t="str">
        <f>IF(A371="","",COUNTIFS(Chicks!$G:$G,A371,Chicks!$I:$I,"Yes"))</f>
        <v/>
      </c>
      <c r="H371" s="6" t="str">
        <f>IF(A371="","",SUMIFS(Chicks!$J:$J,Chicks!$G:$G,A371))</f>
        <v/>
      </c>
      <c r="I371" s="6" t="str">
        <f>IF(A371="","",COUNTIFS(Chicks!$G:$G,A371,Chicks!$I:$I,"No"))</f>
        <v/>
      </c>
      <c r="J371" s="6" t="str">
        <f>IF(A371="","",IFERROR(AVERAGEIF(Chicks!$G:$G,A371,Chicks!$M:$M),""))</f>
        <v/>
      </c>
      <c r="K371" s="6" t="str">
        <f>IF(A371="","",SUMIFS(Chicks!$N:$N,Chicks!$G:$G,A371))</f>
        <v/>
      </c>
      <c r="L371" s="6" t="str">
        <f>IF(A371="","",SUMIFS(Chicks!$O:$O,Chicks!$G:$G,A371))</f>
        <v/>
      </c>
      <c r="M371" s="6" t="str">
        <f>IF(A371="","",SUMIFS(Chicks!$P:$P,Chicks!$G:$G,A371))</f>
        <v/>
      </c>
      <c r="N371" s="6" t="str">
        <f t="shared" si="2"/>
        <v/>
      </c>
    </row>
    <row r="372" spans="1:14" ht="14.25" customHeight="1" x14ac:dyDescent="0.3">
      <c r="A372" s="4"/>
      <c r="B372" s="4"/>
      <c r="C372" s="4"/>
      <c r="D372" s="4"/>
      <c r="E372" s="4"/>
      <c r="F372" s="6" t="str">
        <f>IF(A372="","",COUNTIF(Chicks!$G:$G,A372))</f>
        <v/>
      </c>
      <c r="G372" s="6" t="str">
        <f>IF(A372="","",COUNTIFS(Chicks!$G:$G,A372,Chicks!$I:$I,"Yes"))</f>
        <v/>
      </c>
      <c r="H372" s="6" t="str">
        <f>IF(A372="","",SUMIFS(Chicks!$J:$J,Chicks!$G:$G,A372))</f>
        <v/>
      </c>
      <c r="I372" s="6" t="str">
        <f>IF(A372="","",COUNTIFS(Chicks!$G:$G,A372,Chicks!$I:$I,"No"))</f>
        <v/>
      </c>
      <c r="J372" s="6" t="str">
        <f>IF(A372="","",IFERROR(AVERAGEIF(Chicks!$G:$G,A372,Chicks!$M:$M),""))</f>
        <v/>
      </c>
      <c r="K372" s="6" t="str">
        <f>IF(A372="","",SUMIFS(Chicks!$N:$N,Chicks!$G:$G,A372))</f>
        <v/>
      </c>
      <c r="L372" s="6" t="str">
        <f>IF(A372="","",SUMIFS(Chicks!$O:$O,Chicks!$G:$G,A372))</f>
        <v/>
      </c>
      <c r="M372" s="6" t="str">
        <f>IF(A372="","",SUMIFS(Chicks!$P:$P,Chicks!$G:$G,A372))</f>
        <v/>
      </c>
      <c r="N372" s="6" t="str">
        <f t="shared" si="2"/>
        <v/>
      </c>
    </row>
    <row r="373" spans="1:14" ht="14.25" customHeight="1" x14ac:dyDescent="0.3">
      <c r="A373" s="4"/>
      <c r="B373" s="4"/>
      <c r="C373" s="4"/>
      <c r="D373" s="4"/>
      <c r="E373" s="4"/>
      <c r="F373" s="6" t="str">
        <f>IF(A373="","",COUNTIF(Chicks!$G:$G,A373))</f>
        <v/>
      </c>
      <c r="G373" s="6" t="str">
        <f>IF(A373="","",COUNTIFS(Chicks!$G:$G,A373,Chicks!$I:$I,"Yes"))</f>
        <v/>
      </c>
      <c r="H373" s="6" t="str">
        <f>IF(A373="","",SUMIFS(Chicks!$J:$J,Chicks!$G:$G,A373))</f>
        <v/>
      </c>
      <c r="I373" s="6" t="str">
        <f>IF(A373="","",COUNTIFS(Chicks!$G:$G,A373,Chicks!$I:$I,"No"))</f>
        <v/>
      </c>
      <c r="J373" s="6" t="str">
        <f>IF(A373="","",IFERROR(AVERAGEIF(Chicks!$G:$G,A373,Chicks!$M:$M),""))</f>
        <v/>
      </c>
      <c r="K373" s="6" t="str">
        <f>IF(A373="","",SUMIFS(Chicks!$N:$N,Chicks!$G:$G,A373))</f>
        <v/>
      </c>
      <c r="L373" s="6" t="str">
        <f>IF(A373="","",SUMIFS(Chicks!$O:$O,Chicks!$G:$G,A373))</f>
        <v/>
      </c>
      <c r="M373" s="6" t="str">
        <f>IF(A373="","",SUMIFS(Chicks!$P:$P,Chicks!$G:$G,A373))</f>
        <v/>
      </c>
      <c r="N373" s="6" t="str">
        <f t="shared" si="2"/>
        <v/>
      </c>
    </row>
    <row r="374" spans="1:14" ht="14.25" customHeight="1" x14ac:dyDescent="0.3">
      <c r="A374" s="4"/>
      <c r="B374" s="4"/>
      <c r="C374" s="4"/>
      <c r="D374" s="4"/>
      <c r="E374" s="4"/>
      <c r="F374" s="6" t="str">
        <f>IF(A374="","",COUNTIF(Chicks!$G:$G,A374))</f>
        <v/>
      </c>
      <c r="G374" s="6" t="str">
        <f>IF(A374="","",COUNTIFS(Chicks!$G:$G,A374,Chicks!$I:$I,"Yes"))</f>
        <v/>
      </c>
      <c r="H374" s="6" t="str">
        <f>IF(A374="","",SUMIFS(Chicks!$J:$J,Chicks!$G:$G,A374))</f>
        <v/>
      </c>
      <c r="I374" s="6" t="str">
        <f>IF(A374="","",COUNTIFS(Chicks!$G:$G,A374,Chicks!$I:$I,"No"))</f>
        <v/>
      </c>
      <c r="J374" s="6" t="str">
        <f>IF(A374="","",IFERROR(AVERAGEIF(Chicks!$G:$G,A374,Chicks!$M:$M),""))</f>
        <v/>
      </c>
      <c r="K374" s="6" t="str">
        <f>IF(A374="","",SUMIFS(Chicks!$N:$N,Chicks!$G:$G,A374))</f>
        <v/>
      </c>
      <c r="L374" s="6" t="str">
        <f>IF(A374="","",SUMIFS(Chicks!$O:$O,Chicks!$G:$G,A374))</f>
        <v/>
      </c>
      <c r="M374" s="6" t="str">
        <f>IF(A374="","",SUMIFS(Chicks!$P:$P,Chicks!$G:$G,A374))</f>
        <v/>
      </c>
      <c r="N374" s="6" t="str">
        <f t="shared" si="2"/>
        <v/>
      </c>
    </row>
    <row r="375" spans="1:14" ht="14.25" customHeight="1" x14ac:dyDescent="0.3">
      <c r="A375" s="4"/>
      <c r="B375" s="4"/>
      <c r="C375" s="4"/>
      <c r="D375" s="4"/>
      <c r="E375" s="4"/>
      <c r="F375" s="6" t="str">
        <f>IF(A375="","",COUNTIF(Chicks!$G:$G,A375))</f>
        <v/>
      </c>
      <c r="G375" s="6" t="str">
        <f>IF(A375="","",COUNTIFS(Chicks!$G:$G,A375,Chicks!$I:$I,"Yes"))</f>
        <v/>
      </c>
      <c r="H375" s="6" t="str">
        <f>IF(A375="","",SUMIFS(Chicks!$J:$J,Chicks!$G:$G,A375))</f>
        <v/>
      </c>
      <c r="I375" s="6" t="str">
        <f>IF(A375="","",COUNTIFS(Chicks!$G:$G,A375,Chicks!$I:$I,"No"))</f>
        <v/>
      </c>
      <c r="J375" s="6" t="str">
        <f>IF(A375="","",IFERROR(AVERAGEIF(Chicks!$G:$G,A375,Chicks!$M:$M),""))</f>
        <v/>
      </c>
      <c r="K375" s="6" t="str">
        <f>IF(A375="","",SUMIFS(Chicks!$N:$N,Chicks!$G:$G,A375))</f>
        <v/>
      </c>
      <c r="L375" s="6" t="str">
        <f>IF(A375="","",SUMIFS(Chicks!$O:$O,Chicks!$G:$G,A375))</f>
        <v/>
      </c>
      <c r="M375" s="6" t="str">
        <f>IF(A375="","",SUMIFS(Chicks!$P:$P,Chicks!$G:$G,A375))</f>
        <v/>
      </c>
      <c r="N375" s="6" t="str">
        <f t="shared" si="2"/>
        <v/>
      </c>
    </row>
    <row r="376" spans="1:14" ht="14.25" customHeight="1" x14ac:dyDescent="0.3">
      <c r="A376" s="4"/>
      <c r="B376" s="4"/>
      <c r="C376" s="4"/>
      <c r="D376" s="4"/>
      <c r="E376" s="4"/>
      <c r="F376" s="6" t="str">
        <f>IF(A376="","",COUNTIF(Chicks!$G:$G,A376))</f>
        <v/>
      </c>
      <c r="G376" s="6" t="str">
        <f>IF(A376="","",COUNTIFS(Chicks!$G:$G,A376,Chicks!$I:$I,"Yes"))</f>
        <v/>
      </c>
      <c r="H376" s="6" t="str">
        <f>IF(A376="","",SUMIFS(Chicks!$J:$J,Chicks!$G:$G,A376))</f>
        <v/>
      </c>
      <c r="I376" s="6" t="str">
        <f>IF(A376="","",COUNTIFS(Chicks!$G:$G,A376,Chicks!$I:$I,"No"))</f>
        <v/>
      </c>
      <c r="J376" s="6" t="str">
        <f>IF(A376="","",IFERROR(AVERAGEIF(Chicks!$G:$G,A376,Chicks!$M:$M),""))</f>
        <v/>
      </c>
      <c r="K376" s="6" t="str">
        <f>IF(A376="","",SUMIFS(Chicks!$N:$N,Chicks!$G:$G,A376))</f>
        <v/>
      </c>
      <c r="L376" s="6" t="str">
        <f>IF(A376="","",SUMIFS(Chicks!$O:$O,Chicks!$G:$G,A376))</f>
        <v/>
      </c>
      <c r="M376" s="6" t="str">
        <f>IF(A376="","",SUMIFS(Chicks!$P:$P,Chicks!$G:$G,A376))</f>
        <v/>
      </c>
      <c r="N376" s="6" t="str">
        <f t="shared" si="2"/>
        <v/>
      </c>
    </row>
    <row r="377" spans="1:14" ht="14.25" customHeight="1" x14ac:dyDescent="0.3">
      <c r="A377" s="4"/>
      <c r="B377" s="4"/>
      <c r="C377" s="4"/>
      <c r="D377" s="4"/>
      <c r="E377" s="4"/>
      <c r="F377" s="6" t="str">
        <f>IF(A377="","",COUNTIF(Chicks!$G:$G,A377))</f>
        <v/>
      </c>
      <c r="G377" s="6" t="str">
        <f>IF(A377="","",COUNTIFS(Chicks!$G:$G,A377,Chicks!$I:$I,"Yes"))</f>
        <v/>
      </c>
      <c r="H377" s="6" t="str">
        <f>IF(A377="","",SUMIFS(Chicks!$J:$J,Chicks!$G:$G,A377))</f>
        <v/>
      </c>
      <c r="I377" s="6" t="str">
        <f>IF(A377="","",COUNTIFS(Chicks!$G:$G,A377,Chicks!$I:$I,"No"))</f>
        <v/>
      </c>
      <c r="J377" s="6" t="str">
        <f>IF(A377="","",IFERROR(AVERAGEIF(Chicks!$G:$G,A377,Chicks!$M:$M),""))</f>
        <v/>
      </c>
      <c r="K377" s="6" t="str">
        <f>IF(A377="","",SUMIFS(Chicks!$N:$N,Chicks!$G:$G,A377))</f>
        <v/>
      </c>
      <c r="L377" s="6" t="str">
        <f>IF(A377="","",SUMIFS(Chicks!$O:$O,Chicks!$G:$G,A377))</f>
        <v/>
      </c>
      <c r="M377" s="6" t="str">
        <f>IF(A377="","",SUMIFS(Chicks!$P:$P,Chicks!$G:$G,A377))</f>
        <v/>
      </c>
      <c r="N377" s="6" t="str">
        <f t="shared" si="2"/>
        <v/>
      </c>
    </row>
    <row r="378" spans="1:14" ht="14.25" customHeight="1" x14ac:dyDescent="0.3">
      <c r="A378" s="4"/>
      <c r="B378" s="4"/>
      <c r="C378" s="4"/>
      <c r="D378" s="4"/>
      <c r="E378" s="4"/>
      <c r="F378" s="6" t="str">
        <f>IF(A378="","",COUNTIF(Chicks!$G:$G,A378))</f>
        <v/>
      </c>
      <c r="G378" s="6" t="str">
        <f>IF(A378="","",COUNTIFS(Chicks!$G:$G,A378,Chicks!$I:$I,"Yes"))</f>
        <v/>
      </c>
      <c r="H378" s="6" t="str">
        <f>IF(A378="","",SUMIFS(Chicks!$J:$J,Chicks!$G:$G,A378))</f>
        <v/>
      </c>
      <c r="I378" s="6" t="str">
        <f>IF(A378="","",COUNTIFS(Chicks!$G:$G,A378,Chicks!$I:$I,"No"))</f>
        <v/>
      </c>
      <c r="J378" s="6" t="str">
        <f>IF(A378="","",IFERROR(AVERAGEIF(Chicks!$G:$G,A378,Chicks!$M:$M),""))</f>
        <v/>
      </c>
      <c r="K378" s="6" t="str">
        <f>IF(A378="","",SUMIFS(Chicks!$N:$N,Chicks!$G:$G,A378))</f>
        <v/>
      </c>
      <c r="L378" s="6" t="str">
        <f>IF(A378="","",SUMIFS(Chicks!$O:$O,Chicks!$G:$G,A378))</f>
        <v/>
      </c>
      <c r="M378" s="6" t="str">
        <f>IF(A378="","",SUMIFS(Chicks!$P:$P,Chicks!$G:$G,A378))</f>
        <v/>
      </c>
      <c r="N378" s="6" t="str">
        <f t="shared" si="2"/>
        <v/>
      </c>
    </row>
    <row r="379" spans="1:14" ht="14.25" customHeight="1" x14ac:dyDescent="0.3">
      <c r="A379" s="4"/>
      <c r="B379" s="4"/>
      <c r="C379" s="4"/>
      <c r="D379" s="4"/>
      <c r="E379" s="4"/>
      <c r="F379" s="6" t="str">
        <f>IF(A379="","",COUNTIF(Chicks!$G:$G,A379))</f>
        <v/>
      </c>
      <c r="G379" s="6" t="str">
        <f>IF(A379="","",COUNTIFS(Chicks!$G:$G,A379,Chicks!$I:$I,"Yes"))</f>
        <v/>
      </c>
      <c r="H379" s="6" t="str">
        <f>IF(A379="","",SUMIFS(Chicks!$J:$J,Chicks!$G:$G,A379))</f>
        <v/>
      </c>
      <c r="I379" s="6" t="str">
        <f>IF(A379="","",COUNTIFS(Chicks!$G:$G,A379,Chicks!$I:$I,"No"))</f>
        <v/>
      </c>
      <c r="J379" s="6" t="str">
        <f>IF(A379="","",IFERROR(AVERAGEIF(Chicks!$G:$G,A379,Chicks!$M:$M),""))</f>
        <v/>
      </c>
      <c r="K379" s="6" t="str">
        <f>IF(A379="","",SUMIFS(Chicks!$N:$N,Chicks!$G:$G,A379))</f>
        <v/>
      </c>
      <c r="L379" s="6" t="str">
        <f>IF(A379="","",SUMIFS(Chicks!$O:$O,Chicks!$G:$G,A379))</f>
        <v/>
      </c>
      <c r="M379" s="6" t="str">
        <f>IF(A379="","",SUMIFS(Chicks!$P:$P,Chicks!$G:$G,A379))</f>
        <v/>
      </c>
      <c r="N379" s="6" t="str">
        <f t="shared" si="2"/>
        <v/>
      </c>
    </row>
    <row r="380" spans="1:14" ht="14.25" customHeight="1" x14ac:dyDescent="0.3">
      <c r="A380" s="4"/>
      <c r="B380" s="4"/>
      <c r="C380" s="4"/>
      <c r="D380" s="4"/>
      <c r="E380" s="4"/>
      <c r="F380" s="6" t="str">
        <f>IF(A380="","",COUNTIF(Chicks!$G:$G,A380))</f>
        <v/>
      </c>
      <c r="G380" s="6" t="str">
        <f>IF(A380="","",COUNTIFS(Chicks!$G:$G,A380,Chicks!$I:$I,"Yes"))</f>
        <v/>
      </c>
      <c r="H380" s="6" t="str">
        <f>IF(A380="","",SUMIFS(Chicks!$J:$J,Chicks!$G:$G,A380))</f>
        <v/>
      </c>
      <c r="I380" s="6" t="str">
        <f>IF(A380="","",COUNTIFS(Chicks!$G:$G,A380,Chicks!$I:$I,"No"))</f>
        <v/>
      </c>
      <c r="J380" s="6" t="str">
        <f>IF(A380="","",IFERROR(AVERAGEIF(Chicks!$G:$G,A380,Chicks!$M:$M),""))</f>
        <v/>
      </c>
      <c r="K380" s="6" t="str">
        <f>IF(A380="","",SUMIFS(Chicks!$N:$N,Chicks!$G:$G,A380))</f>
        <v/>
      </c>
      <c r="L380" s="6" t="str">
        <f>IF(A380="","",SUMIFS(Chicks!$O:$O,Chicks!$G:$G,A380))</f>
        <v/>
      </c>
      <c r="M380" s="6" t="str">
        <f>IF(A380="","",SUMIFS(Chicks!$P:$P,Chicks!$G:$G,A380))</f>
        <v/>
      </c>
      <c r="N380" s="6" t="str">
        <f t="shared" si="2"/>
        <v/>
      </c>
    </row>
    <row r="381" spans="1:14" ht="14.25" customHeight="1" x14ac:dyDescent="0.3">
      <c r="A381" s="4"/>
      <c r="B381" s="4"/>
      <c r="C381" s="4"/>
      <c r="D381" s="4"/>
      <c r="E381" s="4"/>
      <c r="F381" s="6" t="str">
        <f>IF(A381="","",COUNTIF(Chicks!$G:$G,A381))</f>
        <v/>
      </c>
      <c r="G381" s="6" t="str">
        <f>IF(A381="","",COUNTIFS(Chicks!$G:$G,A381,Chicks!$I:$I,"Yes"))</f>
        <v/>
      </c>
      <c r="H381" s="6" t="str">
        <f>IF(A381="","",SUMIFS(Chicks!$J:$J,Chicks!$G:$G,A381))</f>
        <v/>
      </c>
      <c r="I381" s="6" t="str">
        <f>IF(A381="","",COUNTIFS(Chicks!$G:$G,A381,Chicks!$I:$I,"No"))</f>
        <v/>
      </c>
      <c r="J381" s="6" t="str">
        <f>IF(A381="","",IFERROR(AVERAGEIF(Chicks!$G:$G,A381,Chicks!$M:$M),""))</f>
        <v/>
      </c>
      <c r="K381" s="6" t="str">
        <f>IF(A381="","",SUMIFS(Chicks!$N:$N,Chicks!$G:$G,A381))</f>
        <v/>
      </c>
      <c r="L381" s="6" t="str">
        <f>IF(A381="","",SUMIFS(Chicks!$O:$O,Chicks!$G:$G,A381))</f>
        <v/>
      </c>
      <c r="M381" s="6" t="str">
        <f>IF(A381="","",SUMIFS(Chicks!$P:$P,Chicks!$G:$G,A381))</f>
        <v/>
      </c>
      <c r="N381" s="6" t="str">
        <f t="shared" si="2"/>
        <v/>
      </c>
    </row>
    <row r="382" spans="1:14" ht="14.25" customHeight="1" x14ac:dyDescent="0.3">
      <c r="A382" s="4"/>
      <c r="B382" s="4"/>
      <c r="C382" s="4"/>
      <c r="D382" s="4"/>
      <c r="E382" s="4"/>
      <c r="F382" s="6" t="str">
        <f>IF(A382="","",COUNTIF(Chicks!$G:$G,A382))</f>
        <v/>
      </c>
      <c r="G382" s="6" t="str">
        <f>IF(A382="","",COUNTIFS(Chicks!$G:$G,A382,Chicks!$I:$I,"Yes"))</f>
        <v/>
      </c>
      <c r="H382" s="6" t="str">
        <f>IF(A382="","",SUMIFS(Chicks!$J:$J,Chicks!$G:$G,A382))</f>
        <v/>
      </c>
      <c r="I382" s="6" t="str">
        <f>IF(A382="","",COUNTIFS(Chicks!$G:$G,A382,Chicks!$I:$I,"No"))</f>
        <v/>
      </c>
      <c r="J382" s="6" t="str">
        <f>IF(A382="","",IFERROR(AVERAGEIF(Chicks!$G:$G,A382,Chicks!$M:$M),""))</f>
        <v/>
      </c>
      <c r="K382" s="6" t="str">
        <f>IF(A382="","",SUMIFS(Chicks!$N:$N,Chicks!$G:$G,A382))</f>
        <v/>
      </c>
      <c r="L382" s="6" t="str">
        <f>IF(A382="","",SUMIFS(Chicks!$O:$O,Chicks!$G:$G,A382))</f>
        <v/>
      </c>
      <c r="M382" s="6" t="str">
        <f>IF(A382="","",SUMIFS(Chicks!$P:$P,Chicks!$G:$G,A382))</f>
        <v/>
      </c>
      <c r="N382" s="6" t="str">
        <f t="shared" si="2"/>
        <v/>
      </c>
    </row>
    <row r="383" spans="1:14" ht="14.25" customHeight="1" x14ac:dyDescent="0.3">
      <c r="A383" s="4"/>
      <c r="B383" s="4"/>
      <c r="C383" s="4"/>
      <c r="D383" s="4"/>
      <c r="E383" s="4"/>
      <c r="F383" s="6" t="str">
        <f>IF(A383="","",COUNTIF(Chicks!$G:$G,A383))</f>
        <v/>
      </c>
      <c r="G383" s="6" t="str">
        <f>IF(A383="","",COUNTIFS(Chicks!$G:$G,A383,Chicks!$I:$I,"Yes"))</f>
        <v/>
      </c>
      <c r="H383" s="6" t="str">
        <f>IF(A383="","",SUMIFS(Chicks!$J:$J,Chicks!$G:$G,A383))</f>
        <v/>
      </c>
      <c r="I383" s="6" t="str">
        <f>IF(A383="","",COUNTIFS(Chicks!$G:$G,A383,Chicks!$I:$I,"No"))</f>
        <v/>
      </c>
      <c r="J383" s="6" t="str">
        <f>IF(A383="","",IFERROR(AVERAGEIF(Chicks!$G:$G,A383,Chicks!$M:$M),""))</f>
        <v/>
      </c>
      <c r="K383" s="6" t="str">
        <f>IF(A383="","",SUMIFS(Chicks!$N:$N,Chicks!$G:$G,A383))</f>
        <v/>
      </c>
      <c r="L383" s="6" t="str">
        <f>IF(A383="","",SUMIFS(Chicks!$O:$O,Chicks!$G:$G,A383))</f>
        <v/>
      </c>
      <c r="M383" s="6" t="str">
        <f>IF(A383="","",SUMIFS(Chicks!$P:$P,Chicks!$G:$G,A383))</f>
        <v/>
      </c>
      <c r="N383" s="6" t="str">
        <f t="shared" si="2"/>
        <v/>
      </c>
    </row>
    <row r="384" spans="1:14" ht="14.25" customHeight="1" x14ac:dyDescent="0.3">
      <c r="A384" s="4"/>
      <c r="B384" s="4"/>
      <c r="C384" s="4"/>
      <c r="D384" s="4"/>
      <c r="E384" s="4"/>
      <c r="F384" s="6" t="str">
        <f>IF(A384="","",COUNTIF(Chicks!$G:$G,A384))</f>
        <v/>
      </c>
      <c r="G384" s="6" t="str">
        <f>IF(A384="","",COUNTIFS(Chicks!$G:$G,A384,Chicks!$I:$I,"Yes"))</f>
        <v/>
      </c>
      <c r="H384" s="6" t="str">
        <f>IF(A384="","",SUMIFS(Chicks!$J:$J,Chicks!$G:$G,A384))</f>
        <v/>
      </c>
      <c r="I384" s="6" t="str">
        <f>IF(A384="","",COUNTIFS(Chicks!$G:$G,A384,Chicks!$I:$I,"No"))</f>
        <v/>
      </c>
      <c r="J384" s="6" t="str">
        <f>IF(A384="","",IFERROR(AVERAGEIF(Chicks!$G:$G,A384,Chicks!$M:$M),""))</f>
        <v/>
      </c>
      <c r="K384" s="6" t="str">
        <f>IF(A384="","",SUMIFS(Chicks!$N:$N,Chicks!$G:$G,A384))</f>
        <v/>
      </c>
      <c r="L384" s="6" t="str">
        <f>IF(A384="","",SUMIFS(Chicks!$O:$O,Chicks!$G:$G,A384))</f>
        <v/>
      </c>
      <c r="M384" s="6" t="str">
        <f>IF(A384="","",SUMIFS(Chicks!$P:$P,Chicks!$G:$G,A384))</f>
        <v/>
      </c>
      <c r="N384" s="6" t="str">
        <f t="shared" si="2"/>
        <v/>
      </c>
    </row>
    <row r="385" spans="1:14" ht="14.25" customHeight="1" x14ac:dyDescent="0.3">
      <c r="A385" s="4"/>
      <c r="B385" s="4"/>
      <c r="C385" s="4"/>
      <c r="D385" s="4"/>
      <c r="E385" s="4"/>
      <c r="F385" s="6" t="str">
        <f>IF(A385="","",COUNTIF(Chicks!$G:$G,A385))</f>
        <v/>
      </c>
      <c r="G385" s="6" t="str">
        <f>IF(A385="","",COUNTIFS(Chicks!$G:$G,A385,Chicks!$I:$I,"Yes"))</f>
        <v/>
      </c>
      <c r="H385" s="6" t="str">
        <f>IF(A385="","",SUMIFS(Chicks!$J:$J,Chicks!$G:$G,A385))</f>
        <v/>
      </c>
      <c r="I385" s="6" t="str">
        <f>IF(A385="","",COUNTIFS(Chicks!$G:$G,A385,Chicks!$I:$I,"No"))</f>
        <v/>
      </c>
      <c r="J385" s="6" t="str">
        <f>IF(A385="","",IFERROR(AVERAGEIF(Chicks!$G:$G,A385,Chicks!$M:$M),""))</f>
        <v/>
      </c>
      <c r="K385" s="6" t="str">
        <f>IF(A385="","",SUMIFS(Chicks!$N:$N,Chicks!$G:$G,A385))</f>
        <v/>
      </c>
      <c r="L385" s="6" t="str">
        <f>IF(A385="","",SUMIFS(Chicks!$O:$O,Chicks!$G:$G,A385))</f>
        <v/>
      </c>
      <c r="M385" s="6" t="str">
        <f>IF(A385="","",SUMIFS(Chicks!$P:$P,Chicks!$G:$G,A385))</f>
        <v/>
      </c>
      <c r="N385" s="6" t="str">
        <f t="shared" si="2"/>
        <v/>
      </c>
    </row>
    <row r="386" spans="1:14" ht="14.25" customHeight="1" x14ac:dyDescent="0.3">
      <c r="A386" s="4"/>
      <c r="B386" s="4"/>
      <c r="C386" s="4"/>
      <c r="D386" s="4"/>
      <c r="E386" s="4"/>
      <c r="F386" s="6" t="str">
        <f>IF(A386="","",COUNTIF(Chicks!$G:$G,A386))</f>
        <v/>
      </c>
      <c r="G386" s="6" t="str">
        <f>IF(A386="","",COUNTIFS(Chicks!$G:$G,A386,Chicks!$I:$I,"Yes"))</f>
        <v/>
      </c>
      <c r="H386" s="6" t="str">
        <f>IF(A386="","",SUMIFS(Chicks!$J:$J,Chicks!$G:$G,A386))</f>
        <v/>
      </c>
      <c r="I386" s="6" t="str">
        <f>IF(A386="","",COUNTIFS(Chicks!$G:$G,A386,Chicks!$I:$I,"No"))</f>
        <v/>
      </c>
      <c r="J386" s="6" t="str">
        <f>IF(A386="","",IFERROR(AVERAGEIF(Chicks!$G:$G,A386,Chicks!$M:$M),""))</f>
        <v/>
      </c>
      <c r="K386" s="6" t="str">
        <f>IF(A386="","",SUMIFS(Chicks!$N:$N,Chicks!$G:$G,A386))</f>
        <v/>
      </c>
      <c r="L386" s="6" t="str">
        <f>IF(A386="","",SUMIFS(Chicks!$O:$O,Chicks!$G:$G,A386))</f>
        <v/>
      </c>
      <c r="M386" s="6" t="str">
        <f>IF(A386="","",SUMIFS(Chicks!$P:$P,Chicks!$G:$G,A386))</f>
        <v/>
      </c>
      <c r="N386" s="6" t="str">
        <f t="shared" si="2"/>
        <v/>
      </c>
    </row>
    <row r="387" spans="1:14" ht="14.25" customHeight="1" x14ac:dyDescent="0.3">
      <c r="A387" s="4"/>
      <c r="B387" s="4"/>
      <c r="C387" s="4"/>
      <c r="D387" s="4"/>
      <c r="E387" s="4"/>
      <c r="F387" s="6" t="str">
        <f>IF(A387="","",COUNTIF(Chicks!$G:$G,A387))</f>
        <v/>
      </c>
      <c r="G387" s="6" t="str">
        <f>IF(A387="","",COUNTIFS(Chicks!$G:$G,A387,Chicks!$I:$I,"Yes"))</f>
        <v/>
      </c>
      <c r="H387" s="6" t="str">
        <f>IF(A387="","",SUMIFS(Chicks!$J:$J,Chicks!$G:$G,A387))</f>
        <v/>
      </c>
      <c r="I387" s="6" t="str">
        <f>IF(A387="","",COUNTIFS(Chicks!$G:$G,A387,Chicks!$I:$I,"No"))</f>
        <v/>
      </c>
      <c r="J387" s="6" t="str">
        <f>IF(A387="","",IFERROR(AVERAGEIF(Chicks!$G:$G,A387,Chicks!$M:$M),""))</f>
        <v/>
      </c>
      <c r="K387" s="6" t="str">
        <f>IF(A387="","",SUMIFS(Chicks!$N:$N,Chicks!$G:$G,A387))</f>
        <v/>
      </c>
      <c r="L387" s="6" t="str">
        <f>IF(A387="","",SUMIFS(Chicks!$O:$O,Chicks!$G:$G,A387))</f>
        <v/>
      </c>
      <c r="M387" s="6" t="str">
        <f>IF(A387="","",SUMIFS(Chicks!$P:$P,Chicks!$G:$G,A387))</f>
        <v/>
      </c>
      <c r="N387" s="6" t="str">
        <f t="shared" si="2"/>
        <v/>
      </c>
    </row>
    <row r="388" spans="1:14" ht="14.25" customHeight="1" x14ac:dyDescent="0.3">
      <c r="A388" s="4"/>
      <c r="B388" s="4"/>
      <c r="C388" s="4"/>
      <c r="D388" s="4"/>
      <c r="E388" s="4"/>
      <c r="F388" s="6" t="str">
        <f>IF(A388="","",COUNTIF(Chicks!$G:$G,A388))</f>
        <v/>
      </c>
      <c r="G388" s="6" t="str">
        <f>IF(A388="","",COUNTIFS(Chicks!$G:$G,A388,Chicks!$I:$I,"Yes"))</f>
        <v/>
      </c>
      <c r="H388" s="6" t="str">
        <f>IF(A388="","",SUMIFS(Chicks!$J:$J,Chicks!$G:$G,A388))</f>
        <v/>
      </c>
      <c r="I388" s="6" t="str">
        <f>IF(A388="","",COUNTIFS(Chicks!$G:$G,A388,Chicks!$I:$I,"No"))</f>
        <v/>
      </c>
      <c r="J388" s="6" t="str">
        <f>IF(A388="","",IFERROR(AVERAGEIF(Chicks!$G:$G,A388,Chicks!$M:$M),""))</f>
        <v/>
      </c>
      <c r="K388" s="6" t="str">
        <f>IF(A388="","",SUMIFS(Chicks!$N:$N,Chicks!$G:$G,A388))</f>
        <v/>
      </c>
      <c r="L388" s="6" t="str">
        <f>IF(A388="","",SUMIFS(Chicks!$O:$O,Chicks!$G:$G,A388))</f>
        <v/>
      </c>
      <c r="M388" s="6" t="str">
        <f>IF(A388="","",SUMIFS(Chicks!$P:$P,Chicks!$G:$G,A388))</f>
        <v/>
      </c>
      <c r="N388" s="6" t="str">
        <f t="shared" si="2"/>
        <v/>
      </c>
    </row>
    <row r="389" spans="1:14" ht="14.25" customHeight="1" x14ac:dyDescent="0.3">
      <c r="A389" s="4"/>
      <c r="B389" s="4"/>
      <c r="C389" s="4"/>
      <c r="D389" s="4"/>
      <c r="E389" s="4"/>
      <c r="F389" s="6" t="str">
        <f>IF(A389="","",COUNTIF(Chicks!$G:$G,A389))</f>
        <v/>
      </c>
      <c r="G389" s="6" t="str">
        <f>IF(A389="","",COUNTIFS(Chicks!$G:$G,A389,Chicks!$I:$I,"Yes"))</f>
        <v/>
      </c>
      <c r="H389" s="6" t="str">
        <f>IF(A389="","",SUMIFS(Chicks!$J:$J,Chicks!$G:$G,A389))</f>
        <v/>
      </c>
      <c r="I389" s="6" t="str">
        <f>IF(A389="","",COUNTIFS(Chicks!$G:$G,A389,Chicks!$I:$I,"No"))</f>
        <v/>
      </c>
      <c r="J389" s="6" t="str">
        <f>IF(A389="","",IFERROR(AVERAGEIF(Chicks!$G:$G,A389,Chicks!$M:$M),""))</f>
        <v/>
      </c>
      <c r="K389" s="6" t="str">
        <f>IF(A389="","",SUMIFS(Chicks!$N:$N,Chicks!$G:$G,A389))</f>
        <v/>
      </c>
      <c r="L389" s="6" t="str">
        <f>IF(A389="","",SUMIFS(Chicks!$O:$O,Chicks!$G:$G,A389))</f>
        <v/>
      </c>
      <c r="M389" s="6" t="str">
        <f>IF(A389="","",SUMIFS(Chicks!$P:$P,Chicks!$G:$G,A389))</f>
        <v/>
      </c>
      <c r="N389" s="6" t="str">
        <f t="shared" si="2"/>
        <v/>
      </c>
    </row>
    <row r="390" spans="1:14" ht="14.25" customHeight="1" x14ac:dyDescent="0.3">
      <c r="A390" s="4"/>
      <c r="B390" s="4"/>
      <c r="C390" s="4"/>
      <c r="D390" s="4"/>
      <c r="E390" s="4"/>
      <c r="F390" s="6" t="str">
        <f>IF(A390="","",COUNTIF(Chicks!$G:$G,A390))</f>
        <v/>
      </c>
      <c r="G390" s="6" t="str">
        <f>IF(A390="","",COUNTIFS(Chicks!$G:$G,A390,Chicks!$I:$I,"Yes"))</f>
        <v/>
      </c>
      <c r="H390" s="6" t="str">
        <f>IF(A390="","",SUMIFS(Chicks!$J:$J,Chicks!$G:$G,A390))</f>
        <v/>
      </c>
      <c r="I390" s="6" t="str">
        <f>IF(A390="","",COUNTIFS(Chicks!$G:$G,A390,Chicks!$I:$I,"No"))</f>
        <v/>
      </c>
      <c r="J390" s="6" t="str">
        <f>IF(A390="","",IFERROR(AVERAGEIF(Chicks!$G:$G,A390,Chicks!$M:$M),""))</f>
        <v/>
      </c>
      <c r="K390" s="6" t="str">
        <f>IF(A390="","",SUMIFS(Chicks!$N:$N,Chicks!$G:$G,A390))</f>
        <v/>
      </c>
      <c r="L390" s="6" t="str">
        <f>IF(A390="","",SUMIFS(Chicks!$O:$O,Chicks!$G:$G,A390))</f>
        <v/>
      </c>
      <c r="M390" s="6" t="str">
        <f>IF(A390="","",SUMIFS(Chicks!$P:$P,Chicks!$G:$G,A390))</f>
        <v/>
      </c>
      <c r="N390" s="6" t="str">
        <f t="shared" si="2"/>
        <v/>
      </c>
    </row>
    <row r="391" spans="1:14" ht="14.25" customHeight="1" x14ac:dyDescent="0.3">
      <c r="A391" s="4"/>
      <c r="B391" s="4"/>
      <c r="C391" s="4"/>
      <c r="D391" s="4"/>
      <c r="E391" s="4"/>
      <c r="F391" s="6" t="str">
        <f>IF(A391="","",COUNTIF(Chicks!$G:$G,A391))</f>
        <v/>
      </c>
      <c r="G391" s="6" t="str">
        <f>IF(A391="","",COUNTIFS(Chicks!$G:$G,A391,Chicks!$I:$I,"Yes"))</f>
        <v/>
      </c>
      <c r="H391" s="6" t="str">
        <f>IF(A391="","",SUMIFS(Chicks!$J:$J,Chicks!$G:$G,A391))</f>
        <v/>
      </c>
      <c r="I391" s="6" t="str">
        <f>IF(A391="","",COUNTIFS(Chicks!$G:$G,A391,Chicks!$I:$I,"No"))</f>
        <v/>
      </c>
      <c r="J391" s="6" t="str">
        <f>IF(A391="","",IFERROR(AVERAGEIF(Chicks!$G:$G,A391,Chicks!$M:$M),""))</f>
        <v/>
      </c>
      <c r="K391" s="6" t="str">
        <f>IF(A391="","",SUMIFS(Chicks!$N:$N,Chicks!$G:$G,A391))</f>
        <v/>
      </c>
      <c r="L391" s="6" t="str">
        <f>IF(A391="","",SUMIFS(Chicks!$O:$O,Chicks!$G:$G,A391))</f>
        <v/>
      </c>
      <c r="M391" s="6" t="str">
        <f>IF(A391="","",SUMIFS(Chicks!$P:$P,Chicks!$G:$G,A391))</f>
        <v/>
      </c>
      <c r="N391" s="6" t="str">
        <f t="shared" si="2"/>
        <v/>
      </c>
    </row>
    <row r="392" spans="1:14" ht="14.25" customHeight="1" x14ac:dyDescent="0.3">
      <c r="A392" s="4"/>
      <c r="B392" s="4"/>
      <c r="C392" s="4"/>
      <c r="D392" s="4"/>
      <c r="E392" s="4"/>
      <c r="F392" s="6" t="str">
        <f>IF(A392="","",COUNTIF(Chicks!$G:$G,A392))</f>
        <v/>
      </c>
      <c r="G392" s="6" t="str">
        <f>IF(A392="","",COUNTIFS(Chicks!$G:$G,A392,Chicks!$I:$I,"Yes"))</f>
        <v/>
      </c>
      <c r="H392" s="6" t="str">
        <f>IF(A392="","",SUMIFS(Chicks!$J:$J,Chicks!$G:$G,A392))</f>
        <v/>
      </c>
      <c r="I392" s="6" t="str">
        <f>IF(A392="","",COUNTIFS(Chicks!$G:$G,A392,Chicks!$I:$I,"No"))</f>
        <v/>
      </c>
      <c r="J392" s="6" t="str">
        <f>IF(A392="","",IFERROR(AVERAGEIF(Chicks!$G:$G,A392,Chicks!$M:$M),""))</f>
        <v/>
      </c>
      <c r="K392" s="6" t="str">
        <f>IF(A392="","",SUMIFS(Chicks!$N:$N,Chicks!$G:$G,A392))</f>
        <v/>
      </c>
      <c r="L392" s="6" t="str">
        <f>IF(A392="","",SUMIFS(Chicks!$O:$O,Chicks!$G:$G,A392))</f>
        <v/>
      </c>
      <c r="M392" s="6" t="str">
        <f>IF(A392="","",SUMIFS(Chicks!$P:$P,Chicks!$G:$G,A392))</f>
        <v/>
      </c>
      <c r="N392" s="6" t="str">
        <f t="shared" si="2"/>
        <v/>
      </c>
    </row>
    <row r="393" spans="1:14" ht="14.25" customHeight="1" x14ac:dyDescent="0.3">
      <c r="A393" s="4"/>
      <c r="B393" s="4"/>
      <c r="C393" s="4"/>
      <c r="D393" s="4"/>
      <c r="E393" s="4"/>
      <c r="F393" s="6" t="str">
        <f>IF(A393="","",COUNTIF(Chicks!$G:$G,A393))</f>
        <v/>
      </c>
      <c r="G393" s="6" t="str">
        <f>IF(A393="","",COUNTIFS(Chicks!$G:$G,A393,Chicks!$I:$I,"Yes"))</f>
        <v/>
      </c>
      <c r="H393" s="6" t="str">
        <f>IF(A393="","",SUMIFS(Chicks!$J:$J,Chicks!$G:$G,A393))</f>
        <v/>
      </c>
      <c r="I393" s="6" t="str">
        <f>IF(A393="","",COUNTIFS(Chicks!$G:$G,A393,Chicks!$I:$I,"No"))</f>
        <v/>
      </c>
      <c r="J393" s="6" t="str">
        <f>IF(A393="","",IFERROR(AVERAGEIF(Chicks!$G:$G,A393,Chicks!$M:$M),""))</f>
        <v/>
      </c>
      <c r="K393" s="6" t="str">
        <f>IF(A393="","",SUMIFS(Chicks!$N:$N,Chicks!$G:$G,A393))</f>
        <v/>
      </c>
      <c r="L393" s="6" t="str">
        <f>IF(A393="","",SUMIFS(Chicks!$O:$O,Chicks!$G:$G,A393))</f>
        <v/>
      </c>
      <c r="M393" s="6" t="str">
        <f>IF(A393="","",SUMIFS(Chicks!$P:$P,Chicks!$G:$G,A393))</f>
        <v/>
      </c>
      <c r="N393" s="6" t="str">
        <f t="shared" si="2"/>
        <v/>
      </c>
    </row>
    <row r="394" spans="1:14" ht="14.25" customHeight="1" x14ac:dyDescent="0.3">
      <c r="A394" s="4"/>
      <c r="B394" s="4"/>
      <c r="C394" s="4"/>
      <c r="D394" s="4"/>
      <c r="E394" s="4"/>
      <c r="F394" s="6" t="str">
        <f>IF(A394="","",COUNTIF(Chicks!$G:$G,A394))</f>
        <v/>
      </c>
      <c r="G394" s="6" t="str">
        <f>IF(A394="","",COUNTIFS(Chicks!$G:$G,A394,Chicks!$I:$I,"Yes"))</f>
        <v/>
      </c>
      <c r="H394" s="6" t="str">
        <f>IF(A394="","",SUMIFS(Chicks!$J:$J,Chicks!$G:$G,A394))</f>
        <v/>
      </c>
      <c r="I394" s="6" t="str">
        <f>IF(A394="","",COUNTIFS(Chicks!$G:$G,A394,Chicks!$I:$I,"No"))</f>
        <v/>
      </c>
      <c r="J394" s="6" t="str">
        <f>IF(A394="","",IFERROR(AVERAGEIF(Chicks!$G:$G,A394,Chicks!$M:$M),""))</f>
        <v/>
      </c>
      <c r="K394" s="6" t="str">
        <f>IF(A394="","",SUMIFS(Chicks!$N:$N,Chicks!$G:$G,A394))</f>
        <v/>
      </c>
      <c r="L394" s="6" t="str">
        <f>IF(A394="","",SUMIFS(Chicks!$O:$O,Chicks!$G:$G,A394))</f>
        <v/>
      </c>
      <c r="M394" s="6" t="str">
        <f>IF(A394="","",SUMIFS(Chicks!$P:$P,Chicks!$G:$G,A394))</f>
        <v/>
      </c>
      <c r="N394" s="6" t="str">
        <f t="shared" si="2"/>
        <v/>
      </c>
    </row>
    <row r="395" spans="1:14" ht="14.25" customHeight="1" x14ac:dyDescent="0.3">
      <c r="A395" s="4"/>
      <c r="B395" s="4"/>
      <c r="C395" s="4"/>
      <c r="D395" s="4"/>
      <c r="E395" s="4"/>
      <c r="F395" s="6" t="str">
        <f>IF(A395="","",COUNTIF(Chicks!$G:$G,A395))</f>
        <v/>
      </c>
      <c r="G395" s="6" t="str">
        <f>IF(A395="","",COUNTIFS(Chicks!$G:$G,A395,Chicks!$I:$I,"Yes"))</f>
        <v/>
      </c>
      <c r="H395" s="6" t="str">
        <f>IF(A395="","",SUMIFS(Chicks!$J:$J,Chicks!$G:$G,A395))</f>
        <v/>
      </c>
      <c r="I395" s="6" t="str">
        <f>IF(A395="","",COUNTIFS(Chicks!$G:$G,A395,Chicks!$I:$I,"No"))</f>
        <v/>
      </c>
      <c r="J395" s="6" t="str">
        <f>IF(A395="","",IFERROR(AVERAGEIF(Chicks!$G:$G,A395,Chicks!$M:$M),""))</f>
        <v/>
      </c>
      <c r="K395" s="6" t="str">
        <f>IF(A395="","",SUMIFS(Chicks!$N:$N,Chicks!$G:$G,A395))</f>
        <v/>
      </c>
      <c r="L395" s="6" t="str">
        <f>IF(A395="","",SUMIFS(Chicks!$O:$O,Chicks!$G:$G,A395))</f>
        <v/>
      </c>
      <c r="M395" s="6" t="str">
        <f>IF(A395="","",SUMIFS(Chicks!$P:$P,Chicks!$G:$G,A395))</f>
        <v/>
      </c>
      <c r="N395" s="6" t="str">
        <f t="shared" si="2"/>
        <v/>
      </c>
    </row>
    <row r="396" spans="1:14" ht="14.25" customHeight="1" x14ac:dyDescent="0.3">
      <c r="A396" s="4"/>
      <c r="B396" s="4"/>
      <c r="C396" s="4"/>
      <c r="D396" s="4"/>
      <c r="E396" s="4"/>
      <c r="F396" s="6" t="str">
        <f>IF(A396="","",COUNTIF(Chicks!$G:$G,A396))</f>
        <v/>
      </c>
      <c r="G396" s="6" t="str">
        <f>IF(A396="","",COUNTIFS(Chicks!$G:$G,A396,Chicks!$I:$I,"Yes"))</f>
        <v/>
      </c>
      <c r="H396" s="6" t="str">
        <f>IF(A396="","",SUMIFS(Chicks!$J:$J,Chicks!$G:$G,A396))</f>
        <v/>
      </c>
      <c r="I396" s="6" t="str">
        <f>IF(A396="","",COUNTIFS(Chicks!$G:$G,A396,Chicks!$I:$I,"No"))</f>
        <v/>
      </c>
      <c r="J396" s="6" t="str">
        <f>IF(A396="","",IFERROR(AVERAGEIF(Chicks!$G:$G,A396,Chicks!$M:$M),""))</f>
        <v/>
      </c>
      <c r="K396" s="6" t="str">
        <f>IF(A396="","",SUMIFS(Chicks!$N:$N,Chicks!$G:$G,A396))</f>
        <v/>
      </c>
      <c r="L396" s="6" t="str">
        <f>IF(A396="","",SUMIFS(Chicks!$O:$O,Chicks!$G:$G,A396))</f>
        <v/>
      </c>
      <c r="M396" s="6" t="str">
        <f>IF(A396="","",SUMIFS(Chicks!$P:$P,Chicks!$G:$G,A396))</f>
        <v/>
      </c>
      <c r="N396" s="6" t="str">
        <f t="shared" si="2"/>
        <v/>
      </c>
    </row>
    <row r="397" spans="1:14" ht="14.25" customHeight="1" x14ac:dyDescent="0.3">
      <c r="A397" s="4"/>
      <c r="B397" s="4"/>
      <c r="C397" s="4"/>
      <c r="D397" s="4"/>
      <c r="E397" s="4"/>
      <c r="F397" s="6" t="str">
        <f>IF(A397="","",COUNTIF(Chicks!$G:$G,A397))</f>
        <v/>
      </c>
      <c r="G397" s="6" t="str">
        <f>IF(A397="","",COUNTIFS(Chicks!$G:$G,A397,Chicks!$I:$I,"Yes"))</f>
        <v/>
      </c>
      <c r="H397" s="6" t="str">
        <f>IF(A397="","",SUMIFS(Chicks!$J:$J,Chicks!$G:$G,A397))</f>
        <v/>
      </c>
      <c r="I397" s="6" t="str">
        <f>IF(A397="","",COUNTIFS(Chicks!$G:$G,A397,Chicks!$I:$I,"No"))</f>
        <v/>
      </c>
      <c r="J397" s="6" t="str">
        <f>IF(A397="","",IFERROR(AVERAGEIF(Chicks!$G:$G,A397,Chicks!$M:$M),""))</f>
        <v/>
      </c>
      <c r="K397" s="6" t="str">
        <f>IF(A397="","",SUMIFS(Chicks!$N:$N,Chicks!$G:$G,A397))</f>
        <v/>
      </c>
      <c r="L397" s="6" t="str">
        <f>IF(A397="","",SUMIFS(Chicks!$O:$O,Chicks!$G:$G,A397))</f>
        <v/>
      </c>
      <c r="M397" s="6" t="str">
        <f>IF(A397="","",SUMIFS(Chicks!$P:$P,Chicks!$G:$G,A397))</f>
        <v/>
      </c>
      <c r="N397" s="6" t="str">
        <f t="shared" si="2"/>
        <v/>
      </c>
    </row>
    <row r="398" spans="1:14" ht="14.25" customHeight="1" x14ac:dyDescent="0.3">
      <c r="A398" s="4"/>
      <c r="B398" s="4"/>
      <c r="C398" s="4"/>
      <c r="D398" s="4"/>
      <c r="E398" s="4"/>
      <c r="F398" s="6" t="str">
        <f>IF(A398="","",COUNTIF(Chicks!$G:$G,A398))</f>
        <v/>
      </c>
      <c r="G398" s="6" t="str">
        <f>IF(A398="","",COUNTIFS(Chicks!$G:$G,A398,Chicks!$I:$I,"Yes"))</f>
        <v/>
      </c>
      <c r="H398" s="6" t="str">
        <f>IF(A398="","",SUMIFS(Chicks!$J:$J,Chicks!$G:$G,A398))</f>
        <v/>
      </c>
      <c r="I398" s="6" t="str">
        <f>IF(A398="","",COUNTIFS(Chicks!$G:$G,A398,Chicks!$I:$I,"No"))</f>
        <v/>
      </c>
      <c r="J398" s="6" t="str">
        <f>IF(A398="","",IFERROR(AVERAGEIF(Chicks!$G:$G,A398,Chicks!$M:$M),""))</f>
        <v/>
      </c>
      <c r="K398" s="6" t="str">
        <f>IF(A398="","",SUMIFS(Chicks!$N:$N,Chicks!$G:$G,A398))</f>
        <v/>
      </c>
      <c r="L398" s="6" t="str">
        <f>IF(A398="","",SUMIFS(Chicks!$O:$O,Chicks!$G:$G,A398))</f>
        <v/>
      </c>
      <c r="M398" s="6" t="str">
        <f>IF(A398="","",SUMIFS(Chicks!$P:$P,Chicks!$G:$G,A398))</f>
        <v/>
      </c>
      <c r="N398" s="6" t="str">
        <f t="shared" si="2"/>
        <v/>
      </c>
    </row>
    <row r="399" spans="1:14" ht="14.25" customHeight="1" x14ac:dyDescent="0.3">
      <c r="A399" s="4"/>
      <c r="B399" s="4"/>
      <c r="C399" s="4"/>
      <c r="D399" s="4"/>
      <c r="E399" s="4"/>
      <c r="F399" s="6" t="str">
        <f>IF(A399="","",COUNTIF(Chicks!$G:$G,A399))</f>
        <v/>
      </c>
      <c r="G399" s="6" t="str">
        <f>IF(A399="","",COUNTIFS(Chicks!$G:$G,A399,Chicks!$I:$I,"Yes"))</f>
        <v/>
      </c>
      <c r="H399" s="6" t="str">
        <f>IF(A399="","",SUMIFS(Chicks!$J:$J,Chicks!$G:$G,A399))</f>
        <v/>
      </c>
      <c r="I399" s="6" t="str">
        <f>IF(A399="","",COUNTIFS(Chicks!$G:$G,A399,Chicks!$I:$I,"No"))</f>
        <v/>
      </c>
      <c r="J399" s="6" t="str">
        <f>IF(A399="","",IFERROR(AVERAGEIF(Chicks!$G:$G,A399,Chicks!$M:$M),""))</f>
        <v/>
      </c>
      <c r="K399" s="6" t="str">
        <f>IF(A399="","",SUMIFS(Chicks!$N:$N,Chicks!$G:$G,A399))</f>
        <v/>
      </c>
      <c r="L399" s="6" t="str">
        <f>IF(A399="","",SUMIFS(Chicks!$O:$O,Chicks!$G:$G,A399))</f>
        <v/>
      </c>
      <c r="M399" s="6" t="str">
        <f>IF(A399="","",SUMIFS(Chicks!$P:$P,Chicks!$G:$G,A399))</f>
        <v/>
      </c>
      <c r="N399" s="6" t="str">
        <f t="shared" si="2"/>
        <v/>
      </c>
    </row>
    <row r="400" spans="1:14" ht="14.25" customHeight="1" x14ac:dyDescent="0.3">
      <c r="A400" s="4"/>
      <c r="B400" s="4"/>
      <c r="C400" s="4"/>
      <c r="D400" s="4"/>
      <c r="E400" s="4"/>
      <c r="F400" s="6" t="str">
        <f>IF(A400="","",COUNTIF(Chicks!$G:$G,A400))</f>
        <v/>
      </c>
      <c r="G400" s="6" t="str">
        <f>IF(A400="","",COUNTIFS(Chicks!$G:$G,A400,Chicks!$I:$I,"Yes"))</f>
        <v/>
      </c>
      <c r="H400" s="6" t="str">
        <f>IF(A400="","",SUMIFS(Chicks!$J:$J,Chicks!$G:$G,A400))</f>
        <v/>
      </c>
      <c r="I400" s="6" t="str">
        <f>IF(A400="","",COUNTIFS(Chicks!$G:$G,A400,Chicks!$I:$I,"No"))</f>
        <v/>
      </c>
      <c r="J400" s="6" t="str">
        <f>IF(A400="","",IFERROR(AVERAGEIF(Chicks!$G:$G,A400,Chicks!$M:$M),""))</f>
        <v/>
      </c>
      <c r="K400" s="6" t="str">
        <f>IF(A400="","",SUMIFS(Chicks!$N:$N,Chicks!$G:$G,A400))</f>
        <v/>
      </c>
      <c r="L400" s="6" t="str">
        <f>IF(A400="","",SUMIFS(Chicks!$O:$O,Chicks!$G:$G,A400))</f>
        <v/>
      </c>
      <c r="M400" s="6" t="str">
        <f>IF(A400="","",SUMIFS(Chicks!$P:$P,Chicks!$G:$G,A400))</f>
        <v/>
      </c>
      <c r="N400" s="6" t="str">
        <f t="shared" si="2"/>
        <v/>
      </c>
    </row>
    <row r="401" spans="1:14" ht="14.25" customHeight="1" x14ac:dyDescent="0.3">
      <c r="A401" s="4"/>
      <c r="B401" s="4"/>
      <c r="C401" s="4"/>
      <c r="D401" s="4"/>
      <c r="E401" s="4"/>
      <c r="F401" s="6" t="str">
        <f>IF(A401="","",COUNTIF(Chicks!$G:$G,A401))</f>
        <v/>
      </c>
      <c r="G401" s="6" t="str">
        <f>IF(A401="","",COUNTIFS(Chicks!$G:$G,A401,Chicks!$I:$I,"Yes"))</f>
        <v/>
      </c>
      <c r="H401" s="6" t="str">
        <f>IF(A401="","",SUMIFS(Chicks!$J:$J,Chicks!$G:$G,A401))</f>
        <v/>
      </c>
      <c r="I401" s="6" t="str">
        <f>IF(A401="","",COUNTIFS(Chicks!$G:$G,A401,Chicks!$I:$I,"No"))</f>
        <v/>
      </c>
      <c r="J401" s="6" t="str">
        <f>IF(A401="","",IFERROR(AVERAGEIF(Chicks!$G:$G,A401,Chicks!$M:$M),""))</f>
        <v/>
      </c>
      <c r="K401" s="6" t="str">
        <f>IF(A401="","",SUMIFS(Chicks!$N:$N,Chicks!$G:$G,A401))</f>
        <v/>
      </c>
      <c r="L401" s="6" t="str">
        <f>IF(A401="","",SUMIFS(Chicks!$O:$O,Chicks!$G:$G,A401))</f>
        <v/>
      </c>
      <c r="M401" s="6" t="str">
        <f>IF(A401="","",SUMIFS(Chicks!$P:$P,Chicks!$G:$G,A401))</f>
        <v/>
      </c>
      <c r="N401" s="6" t="str">
        <f t="shared" si="2"/>
        <v/>
      </c>
    </row>
    <row r="402" spans="1:14" ht="14.25" customHeight="1" x14ac:dyDescent="0.3">
      <c r="A402" s="4"/>
      <c r="B402" s="4"/>
      <c r="C402" s="4"/>
      <c r="D402" s="4"/>
      <c r="E402" s="4"/>
      <c r="F402" s="6" t="str">
        <f>IF(A402="","",COUNTIF(Chicks!$G:$G,A402))</f>
        <v/>
      </c>
      <c r="G402" s="6" t="str">
        <f>IF(A402="","",COUNTIFS(Chicks!$G:$G,A402,Chicks!$I:$I,"Yes"))</f>
        <v/>
      </c>
      <c r="H402" s="6" t="str">
        <f>IF(A402="","",SUMIFS(Chicks!$J:$J,Chicks!$G:$G,A402))</f>
        <v/>
      </c>
      <c r="I402" s="6" t="str">
        <f>IF(A402="","",COUNTIFS(Chicks!$G:$G,A402,Chicks!$I:$I,"No"))</f>
        <v/>
      </c>
      <c r="J402" s="6" t="str">
        <f>IF(A402="","",IFERROR(AVERAGEIF(Chicks!$G:$G,A402,Chicks!$M:$M),""))</f>
        <v/>
      </c>
      <c r="K402" s="6" t="str">
        <f>IF(A402="","",SUMIFS(Chicks!$N:$N,Chicks!$G:$G,A402))</f>
        <v/>
      </c>
      <c r="L402" s="6" t="str">
        <f>IF(A402="","",SUMIFS(Chicks!$O:$O,Chicks!$G:$G,A402))</f>
        <v/>
      </c>
      <c r="M402" s="6" t="str">
        <f>IF(A402="","",SUMIFS(Chicks!$P:$P,Chicks!$G:$G,A402))</f>
        <v/>
      </c>
      <c r="N402" s="6" t="str">
        <f t="shared" si="2"/>
        <v/>
      </c>
    </row>
    <row r="403" spans="1:14" ht="14.25" customHeight="1" x14ac:dyDescent="0.3">
      <c r="A403" s="4"/>
      <c r="B403" s="4"/>
      <c r="C403" s="4"/>
      <c r="D403" s="4"/>
      <c r="E403" s="4"/>
      <c r="F403" s="6" t="str">
        <f>IF(A403="","",COUNTIF(Chicks!$G:$G,A403))</f>
        <v/>
      </c>
      <c r="G403" s="6" t="str">
        <f>IF(A403="","",COUNTIFS(Chicks!$G:$G,A403,Chicks!$I:$I,"Yes"))</f>
        <v/>
      </c>
      <c r="H403" s="6" t="str">
        <f>IF(A403="","",SUMIFS(Chicks!$J:$J,Chicks!$G:$G,A403))</f>
        <v/>
      </c>
      <c r="I403" s="6" t="str">
        <f>IF(A403="","",COUNTIFS(Chicks!$G:$G,A403,Chicks!$I:$I,"No"))</f>
        <v/>
      </c>
      <c r="J403" s="6" t="str">
        <f>IF(A403="","",IFERROR(AVERAGEIF(Chicks!$G:$G,A403,Chicks!$M:$M),""))</f>
        <v/>
      </c>
      <c r="K403" s="6" t="str">
        <f>IF(A403="","",SUMIFS(Chicks!$N:$N,Chicks!$G:$G,A403))</f>
        <v/>
      </c>
      <c r="L403" s="6" t="str">
        <f>IF(A403="","",SUMIFS(Chicks!$O:$O,Chicks!$G:$G,A403))</f>
        <v/>
      </c>
      <c r="M403" s="6" t="str">
        <f>IF(A403="","",SUMIFS(Chicks!$P:$P,Chicks!$G:$G,A403))</f>
        <v/>
      </c>
      <c r="N403" s="6" t="str">
        <f t="shared" si="2"/>
        <v/>
      </c>
    </row>
    <row r="404" spans="1:14" ht="14.25" customHeight="1" x14ac:dyDescent="0.3">
      <c r="A404" s="4"/>
      <c r="B404" s="4"/>
      <c r="C404" s="4"/>
      <c r="D404" s="4"/>
      <c r="E404" s="4"/>
      <c r="F404" s="6" t="str">
        <f>IF(A404="","",COUNTIF(Chicks!$G:$G,A404))</f>
        <v/>
      </c>
      <c r="G404" s="6" t="str">
        <f>IF(A404="","",COUNTIFS(Chicks!$G:$G,A404,Chicks!$I:$I,"Yes"))</f>
        <v/>
      </c>
      <c r="H404" s="6" t="str">
        <f>IF(A404="","",SUMIFS(Chicks!$J:$J,Chicks!$G:$G,A404))</f>
        <v/>
      </c>
      <c r="I404" s="6" t="str">
        <f>IF(A404="","",COUNTIFS(Chicks!$G:$G,A404,Chicks!$I:$I,"No"))</f>
        <v/>
      </c>
      <c r="J404" s="6" t="str">
        <f>IF(A404="","",IFERROR(AVERAGEIF(Chicks!$G:$G,A404,Chicks!$M:$M),""))</f>
        <v/>
      </c>
      <c r="K404" s="6" t="str">
        <f>IF(A404="","",SUMIFS(Chicks!$N:$N,Chicks!$G:$G,A404))</f>
        <v/>
      </c>
      <c r="L404" s="6" t="str">
        <f>IF(A404="","",SUMIFS(Chicks!$O:$O,Chicks!$G:$G,A404))</f>
        <v/>
      </c>
      <c r="M404" s="6" t="str">
        <f>IF(A404="","",SUMIFS(Chicks!$P:$P,Chicks!$G:$G,A404))</f>
        <v/>
      </c>
      <c r="N404" s="6" t="str">
        <f t="shared" si="2"/>
        <v/>
      </c>
    </row>
    <row r="405" spans="1:14" ht="14.25" customHeight="1" x14ac:dyDescent="0.3">
      <c r="A405" s="4"/>
      <c r="B405" s="4"/>
      <c r="C405" s="4"/>
      <c r="D405" s="4"/>
      <c r="E405" s="4"/>
      <c r="F405" s="6" t="str">
        <f>IF(A405="","",COUNTIF(Chicks!$G:$G,A405))</f>
        <v/>
      </c>
      <c r="G405" s="6" t="str">
        <f>IF(A405="","",COUNTIFS(Chicks!$G:$G,A405,Chicks!$I:$I,"Yes"))</f>
        <v/>
      </c>
      <c r="H405" s="6" t="str">
        <f>IF(A405="","",SUMIFS(Chicks!$J:$J,Chicks!$G:$G,A405))</f>
        <v/>
      </c>
      <c r="I405" s="6" t="str">
        <f>IF(A405="","",COUNTIFS(Chicks!$G:$G,A405,Chicks!$I:$I,"No"))</f>
        <v/>
      </c>
      <c r="J405" s="6" t="str">
        <f>IF(A405="","",IFERROR(AVERAGEIF(Chicks!$G:$G,A405,Chicks!$M:$M),""))</f>
        <v/>
      </c>
      <c r="K405" s="6" t="str">
        <f>IF(A405="","",SUMIFS(Chicks!$N:$N,Chicks!$G:$G,A405))</f>
        <v/>
      </c>
      <c r="L405" s="6" t="str">
        <f>IF(A405="","",SUMIFS(Chicks!$O:$O,Chicks!$G:$G,A405))</f>
        <v/>
      </c>
      <c r="M405" s="6" t="str">
        <f>IF(A405="","",SUMIFS(Chicks!$P:$P,Chicks!$G:$G,A405))</f>
        <v/>
      </c>
      <c r="N405" s="6" t="str">
        <f t="shared" si="2"/>
        <v/>
      </c>
    </row>
    <row r="406" spans="1:14" ht="14.25" customHeight="1" x14ac:dyDescent="0.3">
      <c r="A406" s="4"/>
      <c r="B406" s="4"/>
      <c r="C406" s="4"/>
      <c r="D406" s="4"/>
      <c r="E406" s="4"/>
      <c r="F406" s="6" t="str">
        <f>IF(A406="","",COUNTIF(Chicks!$G:$G,A406))</f>
        <v/>
      </c>
      <c r="G406" s="6" t="str">
        <f>IF(A406="","",COUNTIFS(Chicks!$G:$G,A406,Chicks!$I:$I,"Yes"))</f>
        <v/>
      </c>
      <c r="H406" s="6" t="str">
        <f>IF(A406="","",SUMIFS(Chicks!$J:$J,Chicks!$G:$G,A406))</f>
        <v/>
      </c>
      <c r="I406" s="6" t="str">
        <f>IF(A406="","",COUNTIFS(Chicks!$G:$G,A406,Chicks!$I:$I,"No"))</f>
        <v/>
      </c>
      <c r="J406" s="6" t="str">
        <f>IF(A406="","",IFERROR(AVERAGEIF(Chicks!$G:$G,A406,Chicks!$M:$M),""))</f>
        <v/>
      </c>
      <c r="K406" s="6" t="str">
        <f>IF(A406="","",SUMIFS(Chicks!$N:$N,Chicks!$G:$G,A406))</f>
        <v/>
      </c>
      <c r="L406" s="6" t="str">
        <f>IF(A406="","",SUMIFS(Chicks!$O:$O,Chicks!$G:$G,A406))</f>
        <v/>
      </c>
      <c r="M406" s="6" t="str">
        <f>IF(A406="","",SUMIFS(Chicks!$P:$P,Chicks!$G:$G,A406))</f>
        <v/>
      </c>
      <c r="N406" s="6" t="str">
        <f t="shared" si="2"/>
        <v/>
      </c>
    </row>
    <row r="407" spans="1:14" ht="14.25" customHeight="1" x14ac:dyDescent="0.3">
      <c r="A407" s="4"/>
      <c r="B407" s="4"/>
      <c r="C407" s="4"/>
      <c r="D407" s="4"/>
      <c r="E407" s="4"/>
      <c r="F407" s="6" t="str">
        <f>IF(A407="","",COUNTIF(Chicks!$G:$G,A407))</f>
        <v/>
      </c>
      <c r="G407" s="6" t="str">
        <f>IF(A407="","",COUNTIFS(Chicks!$G:$G,A407,Chicks!$I:$I,"Yes"))</f>
        <v/>
      </c>
      <c r="H407" s="6" t="str">
        <f>IF(A407="","",SUMIFS(Chicks!$J:$J,Chicks!$G:$G,A407))</f>
        <v/>
      </c>
      <c r="I407" s="6" t="str">
        <f>IF(A407="","",COUNTIFS(Chicks!$G:$G,A407,Chicks!$I:$I,"No"))</f>
        <v/>
      </c>
      <c r="J407" s="6" t="str">
        <f>IF(A407="","",IFERROR(AVERAGEIF(Chicks!$G:$G,A407,Chicks!$M:$M),""))</f>
        <v/>
      </c>
      <c r="K407" s="6" t="str">
        <f>IF(A407="","",SUMIFS(Chicks!$N:$N,Chicks!$G:$G,A407))</f>
        <v/>
      </c>
      <c r="L407" s="6" t="str">
        <f>IF(A407="","",SUMIFS(Chicks!$O:$O,Chicks!$G:$G,A407))</f>
        <v/>
      </c>
      <c r="M407" s="6" t="str">
        <f>IF(A407="","",SUMIFS(Chicks!$P:$P,Chicks!$G:$G,A407))</f>
        <v/>
      </c>
      <c r="N407" s="6" t="str">
        <f t="shared" si="2"/>
        <v/>
      </c>
    </row>
    <row r="408" spans="1:14" ht="14.25" customHeight="1" x14ac:dyDescent="0.3">
      <c r="A408" s="4"/>
      <c r="B408" s="4"/>
      <c r="C408" s="4"/>
      <c r="D408" s="4"/>
      <c r="E408" s="4"/>
      <c r="F408" s="6" t="str">
        <f>IF(A408="","",COUNTIF(Chicks!$G:$G,A408))</f>
        <v/>
      </c>
      <c r="G408" s="6" t="str">
        <f>IF(A408="","",COUNTIFS(Chicks!$G:$G,A408,Chicks!$I:$I,"Yes"))</f>
        <v/>
      </c>
      <c r="H408" s="6" t="str">
        <f>IF(A408="","",SUMIFS(Chicks!$J:$J,Chicks!$G:$G,A408))</f>
        <v/>
      </c>
      <c r="I408" s="6" t="str">
        <f>IF(A408="","",COUNTIFS(Chicks!$G:$G,A408,Chicks!$I:$I,"No"))</f>
        <v/>
      </c>
      <c r="J408" s="6" t="str">
        <f>IF(A408="","",IFERROR(AVERAGEIF(Chicks!$G:$G,A408,Chicks!$M:$M),""))</f>
        <v/>
      </c>
      <c r="K408" s="6" t="str">
        <f>IF(A408="","",SUMIFS(Chicks!$N:$N,Chicks!$G:$G,A408))</f>
        <v/>
      </c>
      <c r="L408" s="6" t="str">
        <f>IF(A408="","",SUMIFS(Chicks!$O:$O,Chicks!$G:$G,A408))</f>
        <v/>
      </c>
      <c r="M408" s="6" t="str">
        <f>IF(A408="","",SUMIFS(Chicks!$P:$P,Chicks!$G:$G,A408))</f>
        <v/>
      </c>
      <c r="N408" s="6" t="str">
        <f t="shared" si="2"/>
        <v/>
      </c>
    </row>
    <row r="409" spans="1:14" ht="14.25" customHeight="1" x14ac:dyDescent="0.3">
      <c r="A409" s="4"/>
      <c r="B409" s="4"/>
      <c r="C409" s="4"/>
      <c r="D409" s="4"/>
      <c r="E409" s="4"/>
      <c r="F409" s="6" t="str">
        <f>IF(A409="","",COUNTIF(Chicks!$G:$G,A409))</f>
        <v/>
      </c>
      <c r="G409" s="6" t="str">
        <f>IF(A409="","",COUNTIFS(Chicks!$G:$G,A409,Chicks!$I:$I,"Yes"))</f>
        <v/>
      </c>
      <c r="H409" s="6" t="str">
        <f>IF(A409="","",SUMIFS(Chicks!$J:$J,Chicks!$G:$G,A409))</f>
        <v/>
      </c>
      <c r="I409" s="6" t="str">
        <f>IF(A409="","",COUNTIFS(Chicks!$G:$G,A409,Chicks!$I:$I,"No"))</f>
        <v/>
      </c>
      <c r="J409" s="6" t="str">
        <f>IF(A409="","",IFERROR(AVERAGEIF(Chicks!$G:$G,A409,Chicks!$M:$M),""))</f>
        <v/>
      </c>
      <c r="K409" s="6" t="str">
        <f>IF(A409="","",SUMIFS(Chicks!$N:$N,Chicks!$G:$G,A409))</f>
        <v/>
      </c>
      <c r="L409" s="6" t="str">
        <f>IF(A409="","",SUMIFS(Chicks!$O:$O,Chicks!$G:$G,A409))</f>
        <v/>
      </c>
      <c r="M409" s="6" t="str">
        <f>IF(A409="","",SUMIFS(Chicks!$P:$P,Chicks!$G:$G,A409))</f>
        <v/>
      </c>
      <c r="N409" s="6" t="str">
        <f t="shared" si="2"/>
        <v/>
      </c>
    </row>
    <row r="410" spans="1:14" ht="14.25" customHeight="1" x14ac:dyDescent="0.3">
      <c r="A410" s="4"/>
      <c r="B410" s="4"/>
      <c r="C410" s="4"/>
      <c r="D410" s="4"/>
      <c r="E410" s="4"/>
      <c r="F410" s="6" t="str">
        <f>IF(A410="","",COUNTIF(Chicks!$G:$G,A410))</f>
        <v/>
      </c>
      <c r="G410" s="6" t="str">
        <f>IF(A410="","",COUNTIFS(Chicks!$G:$G,A410,Chicks!$I:$I,"Yes"))</f>
        <v/>
      </c>
      <c r="H410" s="6" t="str">
        <f>IF(A410="","",SUMIFS(Chicks!$J:$J,Chicks!$G:$G,A410))</f>
        <v/>
      </c>
      <c r="I410" s="6" t="str">
        <f>IF(A410="","",COUNTIFS(Chicks!$G:$G,A410,Chicks!$I:$I,"No"))</f>
        <v/>
      </c>
      <c r="J410" s="6" t="str">
        <f>IF(A410="","",IFERROR(AVERAGEIF(Chicks!$G:$G,A410,Chicks!$M:$M),""))</f>
        <v/>
      </c>
      <c r="K410" s="6" t="str">
        <f>IF(A410="","",SUMIFS(Chicks!$N:$N,Chicks!$G:$G,A410))</f>
        <v/>
      </c>
      <c r="L410" s="6" t="str">
        <f>IF(A410="","",SUMIFS(Chicks!$O:$O,Chicks!$G:$G,A410))</f>
        <v/>
      </c>
      <c r="M410" s="6" t="str">
        <f>IF(A410="","",SUMIFS(Chicks!$P:$P,Chicks!$G:$G,A410))</f>
        <v/>
      </c>
      <c r="N410" s="6" t="str">
        <f t="shared" si="2"/>
        <v/>
      </c>
    </row>
    <row r="411" spans="1:14" ht="14.25" customHeight="1" x14ac:dyDescent="0.3">
      <c r="A411" s="4"/>
      <c r="B411" s="4"/>
      <c r="C411" s="4"/>
      <c r="D411" s="4"/>
      <c r="E411" s="4"/>
      <c r="F411" s="6" t="str">
        <f>IF(A411="","",COUNTIF(Chicks!$G:$G,A411))</f>
        <v/>
      </c>
      <c r="G411" s="6" t="str">
        <f>IF(A411="","",COUNTIFS(Chicks!$G:$G,A411,Chicks!$I:$I,"Yes"))</f>
        <v/>
      </c>
      <c r="H411" s="6" t="str">
        <f>IF(A411="","",SUMIFS(Chicks!$J:$J,Chicks!$G:$G,A411))</f>
        <v/>
      </c>
      <c r="I411" s="6" t="str">
        <f>IF(A411="","",COUNTIFS(Chicks!$G:$G,A411,Chicks!$I:$I,"No"))</f>
        <v/>
      </c>
      <c r="J411" s="6" t="str">
        <f>IF(A411="","",IFERROR(AVERAGEIF(Chicks!$G:$G,A411,Chicks!$M:$M),""))</f>
        <v/>
      </c>
      <c r="K411" s="6" t="str">
        <f>IF(A411="","",SUMIFS(Chicks!$N:$N,Chicks!$G:$G,A411))</f>
        <v/>
      </c>
      <c r="L411" s="6" t="str">
        <f>IF(A411="","",SUMIFS(Chicks!$O:$O,Chicks!$G:$G,A411))</f>
        <v/>
      </c>
      <c r="M411" s="6" t="str">
        <f>IF(A411="","",SUMIFS(Chicks!$P:$P,Chicks!$G:$G,A411))</f>
        <v/>
      </c>
      <c r="N411" s="6" t="str">
        <f t="shared" si="2"/>
        <v/>
      </c>
    </row>
    <row r="412" spans="1:14" ht="14.25" customHeight="1" x14ac:dyDescent="0.3">
      <c r="A412" s="4"/>
      <c r="B412" s="4"/>
      <c r="C412" s="4"/>
      <c r="D412" s="4"/>
      <c r="E412" s="4"/>
      <c r="F412" s="6" t="str">
        <f>IF(A412="","",COUNTIF(Chicks!$G:$G,A412))</f>
        <v/>
      </c>
      <c r="G412" s="6" t="str">
        <f>IF(A412="","",COUNTIFS(Chicks!$G:$G,A412,Chicks!$I:$I,"Yes"))</f>
        <v/>
      </c>
      <c r="H412" s="6" t="str">
        <f>IF(A412="","",SUMIFS(Chicks!$J:$J,Chicks!$G:$G,A412))</f>
        <v/>
      </c>
      <c r="I412" s="6" t="str">
        <f>IF(A412="","",COUNTIFS(Chicks!$G:$G,A412,Chicks!$I:$I,"No"))</f>
        <v/>
      </c>
      <c r="J412" s="6" t="str">
        <f>IF(A412="","",IFERROR(AVERAGEIF(Chicks!$G:$G,A412,Chicks!$M:$M),""))</f>
        <v/>
      </c>
      <c r="K412" s="6" t="str">
        <f>IF(A412="","",SUMIFS(Chicks!$N:$N,Chicks!$G:$G,A412))</f>
        <v/>
      </c>
      <c r="L412" s="6" t="str">
        <f>IF(A412="","",SUMIFS(Chicks!$O:$O,Chicks!$G:$G,A412))</f>
        <v/>
      </c>
      <c r="M412" s="6" t="str">
        <f>IF(A412="","",SUMIFS(Chicks!$P:$P,Chicks!$G:$G,A412))</f>
        <v/>
      </c>
      <c r="N412" s="6" t="str">
        <f t="shared" si="2"/>
        <v/>
      </c>
    </row>
    <row r="413" spans="1:14" ht="14.25" customHeight="1" x14ac:dyDescent="0.3">
      <c r="A413" s="4"/>
      <c r="B413" s="4"/>
      <c r="C413" s="4"/>
      <c r="D413" s="4"/>
      <c r="E413" s="4"/>
      <c r="F413" s="6" t="str">
        <f>IF(A413="","",COUNTIF(Chicks!$G:$G,A413))</f>
        <v/>
      </c>
      <c r="G413" s="6" t="str">
        <f>IF(A413="","",COUNTIFS(Chicks!$G:$G,A413,Chicks!$I:$I,"Yes"))</f>
        <v/>
      </c>
      <c r="H413" s="6" t="str">
        <f>IF(A413="","",SUMIFS(Chicks!$J:$J,Chicks!$G:$G,A413))</f>
        <v/>
      </c>
      <c r="I413" s="6" t="str">
        <f>IF(A413="","",COUNTIFS(Chicks!$G:$G,A413,Chicks!$I:$I,"No"))</f>
        <v/>
      </c>
      <c r="J413" s="6" t="str">
        <f>IF(A413="","",IFERROR(AVERAGEIF(Chicks!$G:$G,A413,Chicks!$M:$M),""))</f>
        <v/>
      </c>
      <c r="K413" s="6" t="str">
        <f>IF(A413="","",SUMIFS(Chicks!$N:$N,Chicks!$G:$G,A413))</f>
        <v/>
      </c>
      <c r="L413" s="6" t="str">
        <f>IF(A413="","",SUMIFS(Chicks!$O:$O,Chicks!$G:$G,A413))</f>
        <v/>
      </c>
      <c r="M413" s="6" t="str">
        <f>IF(A413="","",SUMIFS(Chicks!$P:$P,Chicks!$G:$G,A413))</f>
        <v/>
      </c>
      <c r="N413" s="6" t="str">
        <f t="shared" si="2"/>
        <v/>
      </c>
    </row>
    <row r="414" spans="1:14" ht="14.25" customHeight="1" x14ac:dyDescent="0.3">
      <c r="A414" s="4"/>
      <c r="B414" s="4"/>
      <c r="C414" s="4"/>
      <c r="D414" s="4"/>
      <c r="E414" s="4"/>
      <c r="F414" s="6" t="str">
        <f>IF(A414="","",COUNTIF(Chicks!$G:$G,A414))</f>
        <v/>
      </c>
      <c r="G414" s="6" t="str">
        <f>IF(A414="","",COUNTIFS(Chicks!$G:$G,A414,Chicks!$I:$I,"Yes"))</f>
        <v/>
      </c>
      <c r="H414" s="6" t="str">
        <f>IF(A414="","",SUMIFS(Chicks!$J:$J,Chicks!$G:$G,A414))</f>
        <v/>
      </c>
      <c r="I414" s="6" t="str">
        <f>IF(A414="","",COUNTIFS(Chicks!$G:$G,A414,Chicks!$I:$I,"No"))</f>
        <v/>
      </c>
      <c r="J414" s="6" t="str">
        <f>IF(A414="","",IFERROR(AVERAGEIF(Chicks!$G:$G,A414,Chicks!$M:$M),""))</f>
        <v/>
      </c>
      <c r="K414" s="6" t="str">
        <f>IF(A414="","",SUMIFS(Chicks!$N:$N,Chicks!$G:$G,A414))</f>
        <v/>
      </c>
      <c r="L414" s="6" t="str">
        <f>IF(A414="","",SUMIFS(Chicks!$O:$O,Chicks!$G:$G,A414))</f>
        <v/>
      </c>
      <c r="M414" s="6" t="str">
        <f>IF(A414="","",SUMIFS(Chicks!$P:$P,Chicks!$G:$G,A414))</f>
        <v/>
      </c>
      <c r="N414" s="6" t="str">
        <f t="shared" si="2"/>
        <v/>
      </c>
    </row>
    <row r="415" spans="1:14" ht="14.25" customHeight="1" x14ac:dyDescent="0.3">
      <c r="A415" s="4"/>
      <c r="B415" s="4"/>
      <c r="C415" s="4"/>
      <c r="D415" s="4"/>
      <c r="E415" s="4"/>
      <c r="F415" s="6" t="str">
        <f>IF(A415="","",COUNTIF(Chicks!$G:$G,A415))</f>
        <v/>
      </c>
      <c r="G415" s="6" t="str">
        <f>IF(A415="","",COUNTIFS(Chicks!$G:$G,A415,Chicks!$I:$I,"Yes"))</f>
        <v/>
      </c>
      <c r="H415" s="6" t="str">
        <f>IF(A415="","",SUMIFS(Chicks!$J:$J,Chicks!$G:$G,A415))</f>
        <v/>
      </c>
      <c r="I415" s="6" t="str">
        <f>IF(A415="","",COUNTIFS(Chicks!$G:$G,A415,Chicks!$I:$I,"No"))</f>
        <v/>
      </c>
      <c r="J415" s="6" t="str">
        <f>IF(A415="","",IFERROR(AVERAGEIF(Chicks!$G:$G,A415,Chicks!$M:$M),""))</f>
        <v/>
      </c>
      <c r="K415" s="6" t="str">
        <f>IF(A415="","",SUMIFS(Chicks!$N:$N,Chicks!$G:$G,A415))</f>
        <v/>
      </c>
      <c r="L415" s="6" t="str">
        <f>IF(A415="","",SUMIFS(Chicks!$O:$O,Chicks!$G:$G,A415))</f>
        <v/>
      </c>
      <c r="M415" s="6" t="str">
        <f>IF(A415="","",SUMIFS(Chicks!$P:$P,Chicks!$G:$G,A415))</f>
        <v/>
      </c>
      <c r="N415" s="6" t="str">
        <f t="shared" si="2"/>
        <v/>
      </c>
    </row>
    <row r="416" spans="1:14" ht="14.25" customHeight="1" x14ac:dyDescent="0.3">
      <c r="A416" s="4"/>
      <c r="B416" s="4"/>
      <c r="C416" s="4"/>
      <c r="D416" s="4"/>
      <c r="E416" s="4"/>
      <c r="F416" s="6" t="str">
        <f>IF(A416="","",COUNTIF(Chicks!$G:$G,A416))</f>
        <v/>
      </c>
      <c r="G416" s="6" t="str">
        <f>IF(A416="","",COUNTIFS(Chicks!$G:$G,A416,Chicks!$I:$I,"Yes"))</f>
        <v/>
      </c>
      <c r="H416" s="6" t="str">
        <f>IF(A416="","",SUMIFS(Chicks!$J:$J,Chicks!$G:$G,A416))</f>
        <v/>
      </c>
      <c r="I416" s="6" t="str">
        <f>IF(A416="","",COUNTIFS(Chicks!$G:$G,A416,Chicks!$I:$I,"No"))</f>
        <v/>
      </c>
      <c r="J416" s="6" t="str">
        <f>IF(A416="","",IFERROR(AVERAGEIF(Chicks!$G:$G,A416,Chicks!$M:$M),""))</f>
        <v/>
      </c>
      <c r="K416" s="6" t="str">
        <f>IF(A416="","",SUMIFS(Chicks!$N:$N,Chicks!$G:$G,A416))</f>
        <v/>
      </c>
      <c r="L416" s="6" t="str">
        <f>IF(A416="","",SUMIFS(Chicks!$O:$O,Chicks!$G:$G,A416))</f>
        <v/>
      </c>
      <c r="M416" s="6" t="str">
        <f>IF(A416="","",SUMIFS(Chicks!$P:$P,Chicks!$G:$G,A416))</f>
        <v/>
      </c>
      <c r="N416" s="6" t="str">
        <f t="shared" si="2"/>
        <v/>
      </c>
    </row>
    <row r="417" spans="1:14" ht="14.25" customHeight="1" x14ac:dyDescent="0.3">
      <c r="A417" s="4"/>
      <c r="B417" s="4"/>
      <c r="C417" s="4"/>
      <c r="D417" s="4"/>
      <c r="E417" s="4"/>
      <c r="F417" s="6" t="str">
        <f>IF(A417="","",COUNTIF(Chicks!$G:$G,A417))</f>
        <v/>
      </c>
      <c r="G417" s="6" t="str">
        <f>IF(A417="","",COUNTIFS(Chicks!$G:$G,A417,Chicks!$I:$I,"Yes"))</f>
        <v/>
      </c>
      <c r="H417" s="6" t="str">
        <f>IF(A417="","",SUMIFS(Chicks!$J:$J,Chicks!$G:$G,A417))</f>
        <v/>
      </c>
      <c r="I417" s="6" t="str">
        <f>IF(A417="","",COUNTIFS(Chicks!$G:$G,A417,Chicks!$I:$I,"No"))</f>
        <v/>
      </c>
      <c r="J417" s="6" t="str">
        <f>IF(A417="","",IFERROR(AVERAGEIF(Chicks!$G:$G,A417,Chicks!$M:$M),""))</f>
        <v/>
      </c>
      <c r="K417" s="6" t="str">
        <f>IF(A417="","",SUMIFS(Chicks!$N:$N,Chicks!$G:$G,A417))</f>
        <v/>
      </c>
      <c r="L417" s="6" t="str">
        <f>IF(A417="","",SUMIFS(Chicks!$O:$O,Chicks!$G:$G,A417))</f>
        <v/>
      </c>
      <c r="M417" s="6" t="str">
        <f>IF(A417="","",SUMIFS(Chicks!$P:$P,Chicks!$G:$G,A417))</f>
        <v/>
      </c>
      <c r="N417" s="6" t="str">
        <f t="shared" si="2"/>
        <v/>
      </c>
    </row>
    <row r="418" spans="1:14" ht="14.25" customHeight="1" x14ac:dyDescent="0.3">
      <c r="A418" s="4"/>
      <c r="B418" s="4"/>
      <c r="C418" s="4"/>
      <c r="D418" s="4"/>
      <c r="E418" s="4"/>
      <c r="F418" s="6" t="str">
        <f>IF(A418="","",COUNTIF(Chicks!$G:$G,A418))</f>
        <v/>
      </c>
      <c r="G418" s="6" t="str">
        <f>IF(A418="","",COUNTIFS(Chicks!$G:$G,A418,Chicks!$I:$I,"Yes"))</f>
        <v/>
      </c>
      <c r="H418" s="6" t="str">
        <f>IF(A418="","",SUMIFS(Chicks!$J:$J,Chicks!$G:$G,A418))</f>
        <v/>
      </c>
      <c r="I418" s="6" t="str">
        <f>IF(A418="","",COUNTIFS(Chicks!$G:$G,A418,Chicks!$I:$I,"No"))</f>
        <v/>
      </c>
      <c r="J418" s="6" t="str">
        <f>IF(A418="","",IFERROR(AVERAGEIF(Chicks!$G:$G,A418,Chicks!$M:$M),""))</f>
        <v/>
      </c>
      <c r="K418" s="6" t="str">
        <f>IF(A418="","",SUMIFS(Chicks!$N:$N,Chicks!$G:$G,A418))</f>
        <v/>
      </c>
      <c r="L418" s="6" t="str">
        <f>IF(A418="","",SUMIFS(Chicks!$O:$O,Chicks!$G:$G,A418))</f>
        <v/>
      </c>
      <c r="M418" s="6" t="str">
        <f>IF(A418="","",SUMIFS(Chicks!$P:$P,Chicks!$G:$G,A418))</f>
        <v/>
      </c>
      <c r="N418" s="6" t="str">
        <f t="shared" si="2"/>
        <v/>
      </c>
    </row>
    <row r="419" spans="1:14" ht="14.25" customHeight="1" x14ac:dyDescent="0.3">
      <c r="A419" s="4"/>
      <c r="B419" s="4"/>
      <c r="C419" s="4"/>
      <c r="D419" s="4"/>
      <c r="E419" s="4"/>
      <c r="F419" s="6" t="str">
        <f>IF(A419="","",COUNTIF(Chicks!$G:$G,A419))</f>
        <v/>
      </c>
      <c r="G419" s="6" t="str">
        <f>IF(A419="","",COUNTIFS(Chicks!$G:$G,A419,Chicks!$I:$I,"Yes"))</f>
        <v/>
      </c>
      <c r="H419" s="6" t="str">
        <f>IF(A419="","",SUMIFS(Chicks!$J:$J,Chicks!$G:$G,A419))</f>
        <v/>
      </c>
      <c r="I419" s="6" t="str">
        <f>IF(A419="","",COUNTIFS(Chicks!$G:$G,A419,Chicks!$I:$I,"No"))</f>
        <v/>
      </c>
      <c r="J419" s="6" t="str">
        <f>IF(A419="","",IFERROR(AVERAGEIF(Chicks!$G:$G,A419,Chicks!$M:$M),""))</f>
        <v/>
      </c>
      <c r="K419" s="6" t="str">
        <f>IF(A419="","",SUMIFS(Chicks!$N:$N,Chicks!$G:$G,A419))</f>
        <v/>
      </c>
      <c r="L419" s="6" t="str">
        <f>IF(A419="","",SUMIFS(Chicks!$O:$O,Chicks!$G:$G,A419))</f>
        <v/>
      </c>
      <c r="M419" s="6" t="str">
        <f>IF(A419="","",SUMIFS(Chicks!$P:$P,Chicks!$G:$G,A419))</f>
        <v/>
      </c>
      <c r="N419" s="6" t="str">
        <f t="shared" si="2"/>
        <v/>
      </c>
    </row>
    <row r="420" spans="1:14" ht="14.25" customHeight="1" x14ac:dyDescent="0.3">
      <c r="A420" s="4"/>
      <c r="B420" s="4"/>
      <c r="C420" s="4"/>
      <c r="D420" s="4"/>
      <c r="E420" s="4"/>
      <c r="F420" s="6" t="str">
        <f>IF(A420="","",COUNTIF(Chicks!$G:$G,A420))</f>
        <v/>
      </c>
      <c r="G420" s="6" t="str">
        <f>IF(A420="","",COUNTIFS(Chicks!$G:$G,A420,Chicks!$I:$I,"Yes"))</f>
        <v/>
      </c>
      <c r="H420" s="6" t="str">
        <f>IF(A420="","",SUMIFS(Chicks!$J:$J,Chicks!$G:$G,A420))</f>
        <v/>
      </c>
      <c r="I420" s="6" t="str">
        <f>IF(A420="","",COUNTIFS(Chicks!$G:$G,A420,Chicks!$I:$I,"No"))</f>
        <v/>
      </c>
      <c r="J420" s="6" t="str">
        <f>IF(A420="","",IFERROR(AVERAGEIF(Chicks!$G:$G,A420,Chicks!$M:$M),""))</f>
        <v/>
      </c>
      <c r="K420" s="6" t="str">
        <f>IF(A420="","",SUMIFS(Chicks!$N:$N,Chicks!$G:$G,A420))</f>
        <v/>
      </c>
      <c r="L420" s="6" t="str">
        <f>IF(A420="","",SUMIFS(Chicks!$O:$O,Chicks!$G:$G,A420))</f>
        <v/>
      </c>
      <c r="M420" s="6" t="str">
        <f>IF(A420="","",SUMIFS(Chicks!$P:$P,Chicks!$G:$G,A420))</f>
        <v/>
      </c>
      <c r="N420" s="6" t="str">
        <f t="shared" si="2"/>
        <v/>
      </c>
    </row>
    <row r="421" spans="1:14" ht="14.25" customHeight="1" x14ac:dyDescent="0.3">
      <c r="A421" s="4"/>
      <c r="B421" s="4"/>
      <c r="C421" s="4"/>
      <c r="D421" s="4"/>
      <c r="E421" s="4"/>
      <c r="F421" s="6" t="str">
        <f>IF(A421="","",COUNTIF(Chicks!$G:$G,A421))</f>
        <v/>
      </c>
      <c r="G421" s="6" t="str">
        <f>IF(A421="","",COUNTIFS(Chicks!$G:$G,A421,Chicks!$I:$I,"Yes"))</f>
        <v/>
      </c>
      <c r="H421" s="6" t="str">
        <f>IF(A421="","",SUMIFS(Chicks!$J:$J,Chicks!$G:$G,A421))</f>
        <v/>
      </c>
      <c r="I421" s="6" t="str">
        <f>IF(A421="","",COUNTIFS(Chicks!$G:$G,A421,Chicks!$I:$I,"No"))</f>
        <v/>
      </c>
      <c r="J421" s="6" t="str">
        <f>IF(A421="","",IFERROR(AVERAGEIF(Chicks!$G:$G,A421,Chicks!$M:$M),""))</f>
        <v/>
      </c>
      <c r="K421" s="6" t="str">
        <f>IF(A421="","",SUMIFS(Chicks!$N:$N,Chicks!$G:$G,A421))</f>
        <v/>
      </c>
      <c r="L421" s="6" t="str">
        <f>IF(A421="","",SUMIFS(Chicks!$O:$O,Chicks!$G:$G,A421))</f>
        <v/>
      </c>
      <c r="M421" s="6" t="str">
        <f>IF(A421="","",SUMIFS(Chicks!$P:$P,Chicks!$G:$G,A421))</f>
        <v/>
      </c>
      <c r="N421" s="6" t="str">
        <f t="shared" si="2"/>
        <v/>
      </c>
    </row>
    <row r="422" spans="1:14" ht="14.25" customHeight="1" x14ac:dyDescent="0.3">
      <c r="A422" s="4"/>
      <c r="B422" s="4"/>
      <c r="C422" s="4"/>
      <c r="D422" s="4"/>
      <c r="E422" s="4"/>
      <c r="F422" s="6" t="str">
        <f>IF(A422="","",COUNTIF(Chicks!$G:$G,A422))</f>
        <v/>
      </c>
      <c r="G422" s="6" t="str">
        <f>IF(A422="","",COUNTIFS(Chicks!$G:$G,A422,Chicks!$I:$I,"Yes"))</f>
        <v/>
      </c>
      <c r="H422" s="6" t="str">
        <f>IF(A422="","",SUMIFS(Chicks!$J:$J,Chicks!$G:$G,A422))</f>
        <v/>
      </c>
      <c r="I422" s="6" t="str">
        <f>IF(A422="","",COUNTIFS(Chicks!$G:$G,A422,Chicks!$I:$I,"No"))</f>
        <v/>
      </c>
      <c r="J422" s="6" t="str">
        <f>IF(A422="","",IFERROR(AVERAGEIF(Chicks!$G:$G,A422,Chicks!$M:$M),""))</f>
        <v/>
      </c>
      <c r="K422" s="6" t="str">
        <f>IF(A422="","",SUMIFS(Chicks!$N:$N,Chicks!$G:$G,A422))</f>
        <v/>
      </c>
      <c r="L422" s="6" t="str">
        <f>IF(A422="","",SUMIFS(Chicks!$O:$O,Chicks!$G:$G,A422))</f>
        <v/>
      </c>
      <c r="M422" s="6" t="str">
        <f>IF(A422="","",SUMIFS(Chicks!$P:$P,Chicks!$G:$G,A422))</f>
        <v/>
      </c>
      <c r="N422" s="6" t="str">
        <f t="shared" si="2"/>
        <v/>
      </c>
    </row>
    <row r="423" spans="1:14" ht="14.25" customHeight="1" x14ac:dyDescent="0.3">
      <c r="A423" s="4"/>
      <c r="B423" s="4"/>
      <c r="C423" s="4"/>
      <c r="D423" s="4"/>
      <c r="E423" s="4"/>
      <c r="F423" s="6" t="str">
        <f>IF(A423="","",COUNTIF(Chicks!$G:$G,A423))</f>
        <v/>
      </c>
      <c r="G423" s="6" t="str">
        <f>IF(A423="","",COUNTIFS(Chicks!$G:$G,A423,Chicks!$I:$I,"Yes"))</f>
        <v/>
      </c>
      <c r="H423" s="6" t="str">
        <f>IF(A423="","",SUMIFS(Chicks!$J:$J,Chicks!$G:$G,A423))</f>
        <v/>
      </c>
      <c r="I423" s="6" t="str">
        <f>IF(A423="","",COUNTIFS(Chicks!$G:$G,A423,Chicks!$I:$I,"No"))</f>
        <v/>
      </c>
      <c r="J423" s="6" t="str">
        <f>IF(A423="","",IFERROR(AVERAGEIF(Chicks!$G:$G,A423,Chicks!$M:$M),""))</f>
        <v/>
      </c>
      <c r="K423" s="6" t="str">
        <f>IF(A423="","",SUMIFS(Chicks!$N:$N,Chicks!$G:$G,A423))</f>
        <v/>
      </c>
      <c r="L423" s="6" t="str">
        <f>IF(A423="","",SUMIFS(Chicks!$O:$O,Chicks!$G:$G,A423))</f>
        <v/>
      </c>
      <c r="M423" s="6" t="str">
        <f>IF(A423="","",SUMIFS(Chicks!$P:$P,Chicks!$G:$G,A423))</f>
        <v/>
      </c>
      <c r="N423" s="6" t="str">
        <f t="shared" si="2"/>
        <v/>
      </c>
    </row>
    <row r="424" spans="1:14" ht="14.25" customHeight="1" x14ac:dyDescent="0.3">
      <c r="A424" s="4"/>
      <c r="B424" s="4"/>
      <c r="C424" s="4"/>
      <c r="D424" s="4"/>
      <c r="E424" s="4"/>
      <c r="F424" s="6" t="str">
        <f>IF(A424="","",COUNTIF(Chicks!$G:$G,A424))</f>
        <v/>
      </c>
      <c r="G424" s="6" t="str">
        <f>IF(A424="","",COUNTIFS(Chicks!$G:$G,A424,Chicks!$I:$I,"Yes"))</f>
        <v/>
      </c>
      <c r="H424" s="6" t="str">
        <f>IF(A424="","",SUMIFS(Chicks!$J:$J,Chicks!$G:$G,A424))</f>
        <v/>
      </c>
      <c r="I424" s="6" t="str">
        <f>IF(A424="","",COUNTIFS(Chicks!$G:$G,A424,Chicks!$I:$I,"No"))</f>
        <v/>
      </c>
      <c r="J424" s="6" t="str">
        <f>IF(A424="","",IFERROR(AVERAGEIF(Chicks!$G:$G,A424,Chicks!$M:$M),""))</f>
        <v/>
      </c>
      <c r="K424" s="6" t="str">
        <f>IF(A424="","",SUMIFS(Chicks!$N:$N,Chicks!$G:$G,A424))</f>
        <v/>
      </c>
      <c r="L424" s="6" t="str">
        <f>IF(A424="","",SUMIFS(Chicks!$O:$O,Chicks!$G:$G,A424))</f>
        <v/>
      </c>
      <c r="M424" s="6" t="str">
        <f>IF(A424="","",SUMIFS(Chicks!$P:$P,Chicks!$G:$G,A424))</f>
        <v/>
      </c>
      <c r="N424" s="6" t="str">
        <f t="shared" si="2"/>
        <v/>
      </c>
    </row>
    <row r="425" spans="1:14" ht="14.25" customHeight="1" x14ac:dyDescent="0.3">
      <c r="A425" s="4"/>
      <c r="B425" s="4"/>
      <c r="C425" s="4"/>
      <c r="D425" s="4"/>
      <c r="E425" s="4"/>
      <c r="F425" s="6" t="str">
        <f>IF(A425="","",COUNTIF(Chicks!$G:$G,A425))</f>
        <v/>
      </c>
      <c r="G425" s="6" t="str">
        <f>IF(A425="","",COUNTIFS(Chicks!$G:$G,A425,Chicks!$I:$I,"Yes"))</f>
        <v/>
      </c>
      <c r="H425" s="6" t="str">
        <f>IF(A425="","",SUMIFS(Chicks!$J:$J,Chicks!$G:$G,A425))</f>
        <v/>
      </c>
      <c r="I425" s="6" t="str">
        <f>IF(A425="","",COUNTIFS(Chicks!$G:$G,A425,Chicks!$I:$I,"No"))</f>
        <v/>
      </c>
      <c r="J425" s="6" t="str">
        <f>IF(A425="","",IFERROR(AVERAGEIF(Chicks!$G:$G,A425,Chicks!$M:$M),""))</f>
        <v/>
      </c>
      <c r="K425" s="6" t="str">
        <f>IF(A425="","",SUMIFS(Chicks!$N:$N,Chicks!$G:$G,A425))</f>
        <v/>
      </c>
      <c r="L425" s="6" t="str">
        <f>IF(A425="","",SUMIFS(Chicks!$O:$O,Chicks!$G:$G,A425))</f>
        <v/>
      </c>
      <c r="M425" s="6" t="str">
        <f>IF(A425="","",SUMIFS(Chicks!$P:$P,Chicks!$G:$G,A425))</f>
        <v/>
      </c>
      <c r="N425" s="6" t="str">
        <f t="shared" si="2"/>
        <v/>
      </c>
    </row>
    <row r="426" spans="1:14" ht="14.25" customHeight="1" x14ac:dyDescent="0.3">
      <c r="A426" s="4"/>
      <c r="B426" s="4"/>
      <c r="C426" s="4"/>
      <c r="D426" s="4"/>
      <c r="E426" s="4"/>
      <c r="F426" s="6" t="str">
        <f>IF(A426="","",COUNTIF(Chicks!$G:$G,A426))</f>
        <v/>
      </c>
      <c r="G426" s="6" t="str">
        <f>IF(A426="","",COUNTIFS(Chicks!$G:$G,A426,Chicks!$I:$I,"Yes"))</f>
        <v/>
      </c>
      <c r="H426" s="6" t="str">
        <f>IF(A426="","",SUMIFS(Chicks!$J:$J,Chicks!$G:$G,A426))</f>
        <v/>
      </c>
      <c r="I426" s="6" t="str">
        <f>IF(A426="","",COUNTIFS(Chicks!$G:$G,A426,Chicks!$I:$I,"No"))</f>
        <v/>
      </c>
      <c r="J426" s="6" t="str">
        <f>IF(A426="","",IFERROR(AVERAGEIF(Chicks!$G:$G,A426,Chicks!$M:$M),""))</f>
        <v/>
      </c>
      <c r="K426" s="6" t="str">
        <f>IF(A426="","",SUMIFS(Chicks!$N:$N,Chicks!$G:$G,A426))</f>
        <v/>
      </c>
      <c r="L426" s="6" t="str">
        <f>IF(A426="","",SUMIFS(Chicks!$O:$O,Chicks!$G:$G,A426))</f>
        <v/>
      </c>
      <c r="M426" s="6" t="str">
        <f>IF(A426="","",SUMIFS(Chicks!$P:$P,Chicks!$G:$G,A426))</f>
        <v/>
      </c>
      <c r="N426" s="6" t="str">
        <f t="shared" si="2"/>
        <v/>
      </c>
    </row>
    <row r="427" spans="1:14" ht="14.25" customHeight="1" x14ac:dyDescent="0.3">
      <c r="A427" s="4"/>
      <c r="B427" s="4"/>
      <c r="C427" s="4"/>
      <c r="D427" s="4"/>
      <c r="E427" s="4"/>
      <c r="F427" s="6" t="str">
        <f>IF(A427="","",COUNTIF(Chicks!$G:$G,A427))</f>
        <v/>
      </c>
      <c r="G427" s="6" t="str">
        <f>IF(A427="","",COUNTIFS(Chicks!$G:$G,A427,Chicks!$I:$I,"Yes"))</f>
        <v/>
      </c>
      <c r="H427" s="6" t="str">
        <f>IF(A427="","",SUMIFS(Chicks!$J:$J,Chicks!$G:$G,A427))</f>
        <v/>
      </c>
      <c r="I427" s="6" t="str">
        <f>IF(A427="","",COUNTIFS(Chicks!$G:$G,A427,Chicks!$I:$I,"No"))</f>
        <v/>
      </c>
      <c r="J427" s="6" t="str">
        <f>IF(A427="","",IFERROR(AVERAGEIF(Chicks!$G:$G,A427,Chicks!$M:$M),""))</f>
        <v/>
      </c>
      <c r="K427" s="6" t="str">
        <f>IF(A427="","",SUMIFS(Chicks!$N:$N,Chicks!$G:$G,A427))</f>
        <v/>
      </c>
      <c r="L427" s="6" t="str">
        <f>IF(A427="","",SUMIFS(Chicks!$O:$O,Chicks!$G:$G,A427))</f>
        <v/>
      </c>
      <c r="M427" s="6" t="str">
        <f>IF(A427="","",SUMIFS(Chicks!$P:$P,Chicks!$G:$G,A427))</f>
        <v/>
      </c>
      <c r="N427" s="6" t="str">
        <f t="shared" si="2"/>
        <v/>
      </c>
    </row>
    <row r="428" spans="1:14" ht="14.25" customHeight="1" x14ac:dyDescent="0.3">
      <c r="A428" s="4"/>
      <c r="B428" s="4"/>
      <c r="C428" s="4"/>
      <c r="D428" s="4"/>
      <c r="E428" s="4"/>
      <c r="F428" s="6" t="str">
        <f>IF(A428="","",COUNTIF(Chicks!$G:$G,A428))</f>
        <v/>
      </c>
      <c r="G428" s="6" t="str">
        <f>IF(A428="","",COUNTIFS(Chicks!$G:$G,A428,Chicks!$I:$I,"Yes"))</f>
        <v/>
      </c>
      <c r="H428" s="6" t="str">
        <f>IF(A428="","",SUMIFS(Chicks!$J:$J,Chicks!$G:$G,A428))</f>
        <v/>
      </c>
      <c r="I428" s="6" t="str">
        <f>IF(A428="","",COUNTIFS(Chicks!$G:$G,A428,Chicks!$I:$I,"No"))</f>
        <v/>
      </c>
      <c r="J428" s="6" t="str">
        <f>IF(A428="","",IFERROR(AVERAGEIF(Chicks!$G:$G,A428,Chicks!$M:$M),""))</f>
        <v/>
      </c>
      <c r="K428" s="6" t="str">
        <f>IF(A428="","",SUMIFS(Chicks!$N:$N,Chicks!$G:$G,A428))</f>
        <v/>
      </c>
      <c r="L428" s="6" t="str">
        <f>IF(A428="","",SUMIFS(Chicks!$O:$O,Chicks!$G:$G,A428))</f>
        <v/>
      </c>
      <c r="M428" s="6" t="str">
        <f>IF(A428="","",SUMIFS(Chicks!$P:$P,Chicks!$G:$G,A428))</f>
        <v/>
      </c>
      <c r="N428" s="6" t="str">
        <f t="shared" si="2"/>
        <v/>
      </c>
    </row>
    <row r="429" spans="1:14" ht="14.25" customHeight="1" x14ac:dyDescent="0.3">
      <c r="A429" s="4"/>
      <c r="B429" s="4"/>
      <c r="C429" s="4"/>
      <c r="D429" s="4"/>
      <c r="E429" s="4"/>
      <c r="F429" s="6" t="str">
        <f>IF(A429="","",COUNTIF(Chicks!$G:$G,A429))</f>
        <v/>
      </c>
      <c r="G429" s="6" t="str">
        <f>IF(A429="","",COUNTIFS(Chicks!$G:$G,A429,Chicks!$I:$I,"Yes"))</f>
        <v/>
      </c>
      <c r="H429" s="6" t="str">
        <f>IF(A429="","",SUMIFS(Chicks!$J:$J,Chicks!$G:$G,A429))</f>
        <v/>
      </c>
      <c r="I429" s="6" t="str">
        <f>IF(A429="","",COUNTIFS(Chicks!$G:$G,A429,Chicks!$I:$I,"No"))</f>
        <v/>
      </c>
      <c r="J429" s="6" t="str">
        <f>IF(A429="","",IFERROR(AVERAGEIF(Chicks!$G:$G,A429,Chicks!$M:$M),""))</f>
        <v/>
      </c>
      <c r="K429" s="6" t="str">
        <f>IF(A429="","",SUMIFS(Chicks!$N:$N,Chicks!$G:$G,A429))</f>
        <v/>
      </c>
      <c r="L429" s="6" t="str">
        <f>IF(A429="","",SUMIFS(Chicks!$O:$O,Chicks!$G:$G,A429))</f>
        <v/>
      </c>
      <c r="M429" s="6" t="str">
        <f>IF(A429="","",SUMIFS(Chicks!$P:$P,Chicks!$G:$G,A429))</f>
        <v/>
      </c>
      <c r="N429" s="6" t="str">
        <f t="shared" si="2"/>
        <v/>
      </c>
    </row>
    <row r="430" spans="1:14" ht="14.25" customHeight="1" x14ac:dyDescent="0.3">
      <c r="A430" s="4"/>
      <c r="B430" s="4"/>
      <c r="C430" s="4"/>
      <c r="D430" s="4"/>
      <c r="E430" s="4"/>
      <c r="F430" s="6" t="str">
        <f>IF(A430="","",COUNTIF(Chicks!$G:$G,A430))</f>
        <v/>
      </c>
      <c r="G430" s="6" t="str">
        <f>IF(A430="","",COUNTIFS(Chicks!$G:$G,A430,Chicks!$I:$I,"Yes"))</f>
        <v/>
      </c>
      <c r="H430" s="6" t="str">
        <f>IF(A430="","",SUMIFS(Chicks!$J:$J,Chicks!$G:$G,A430))</f>
        <v/>
      </c>
      <c r="I430" s="6" t="str">
        <f>IF(A430="","",COUNTIFS(Chicks!$G:$G,A430,Chicks!$I:$I,"No"))</f>
        <v/>
      </c>
      <c r="J430" s="6" t="str">
        <f>IF(A430="","",IFERROR(AVERAGEIF(Chicks!$G:$G,A430,Chicks!$M:$M),""))</f>
        <v/>
      </c>
      <c r="K430" s="6" t="str">
        <f>IF(A430="","",SUMIFS(Chicks!$N:$N,Chicks!$G:$G,A430))</f>
        <v/>
      </c>
      <c r="L430" s="6" t="str">
        <f>IF(A430="","",SUMIFS(Chicks!$O:$O,Chicks!$G:$G,A430))</f>
        <v/>
      </c>
      <c r="M430" s="6" t="str">
        <f>IF(A430="","",SUMIFS(Chicks!$P:$P,Chicks!$G:$G,A430))</f>
        <v/>
      </c>
      <c r="N430" s="6" t="str">
        <f t="shared" si="2"/>
        <v/>
      </c>
    </row>
    <row r="431" spans="1:14" ht="14.25" customHeight="1" x14ac:dyDescent="0.3">
      <c r="A431" s="4"/>
      <c r="B431" s="4"/>
      <c r="C431" s="4"/>
      <c r="D431" s="4"/>
      <c r="E431" s="4"/>
      <c r="F431" s="6" t="str">
        <f>IF(A431="","",COUNTIF(Chicks!$G:$G,A431))</f>
        <v/>
      </c>
      <c r="G431" s="6" t="str">
        <f>IF(A431="","",COUNTIFS(Chicks!$G:$G,A431,Chicks!$I:$I,"Yes"))</f>
        <v/>
      </c>
      <c r="H431" s="6" t="str">
        <f>IF(A431="","",SUMIFS(Chicks!$J:$J,Chicks!$G:$G,A431))</f>
        <v/>
      </c>
      <c r="I431" s="6" t="str">
        <f>IF(A431="","",COUNTIFS(Chicks!$G:$G,A431,Chicks!$I:$I,"No"))</f>
        <v/>
      </c>
      <c r="J431" s="6" t="str">
        <f>IF(A431="","",IFERROR(AVERAGEIF(Chicks!$G:$G,A431,Chicks!$M:$M),""))</f>
        <v/>
      </c>
      <c r="K431" s="6" t="str">
        <f>IF(A431="","",SUMIFS(Chicks!$N:$N,Chicks!$G:$G,A431))</f>
        <v/>
      </c>
      <c r="L431" s="6" t="str">
        <f>IF(A431="","",SUMIFS(Chicks!$O:$O,Chicks!$G:$G,A431))</f>
        <v/>
      </c>
      <c r="M431" s="6" t="str">
        <f>IF(A431="","",SUMIFS(Chicks!$P:$P,Chicks!$G:$G,A431))</f>
        <v/>
      </c>
      <c r="N431" s="6" t="str">
        <f t="shared" si="2"/>
        <v/>
      </c>
    </row>
    <row r="432" spans="1:14" ht="14.25" customHeight="1" x14ac:dyDescent="0.3">
      <c r="A432" s="4"/>
      <c r="B432" s="4"/>
      <c r="C432" s="4"/>
      <c r="D432" s="4"/>
      <c r="E432" s="4"/>
      <c r="F432" s="6" t="str">
        <f>IF(A432="","",COUNTIF(Chicks!$G:$G,A432))</f>
        <v/>
      </c>
      <c r="G432" s="6" t="str">
        <f>IF(A432="","",COUNTIFS(Chicks!$G:$G,A432,Chicks!$I:$I,"Yes"))</f>
        <v/>
      </c>
      <c r="H432" s="6" t="str">
        <f>IF(A432="","",SUMIFS(Chicks!$J:$J,Chicks!$G:$G,A432))</f>
        <v/>
      </c>
      <c r="I432" s="6" t="str">
        <f>IF(A432="","",COUNTIFS(Chicks!$G:$G,A432,Chicks!$I:$I,"No"))</f>
        <v/>
      </c>
      <c r="J432" s="6" t="str">
        <f>IF(A432="","",IFERROR(AVERAGEIF(Chicks!$G:$G,A432,Chicks!$M:$M),""))</f>
        <v/>
      </c>
      <c r="K432" s="6" t="str">
        <f>IF(A432="","",SUMIFS(Chicks!$N:$N,Chicks!$G:$G,A432))</f>
        <v/>
      </c>
      <c r="L432" s="6" t="str">
        <f>IF(A432="","",SUMIFS(Chicks!$O:$O,Chicks!$G:$G,A432))</f>
        <v/>
      </c>
      <c r="M432" s="6" t="str">
        <f>IF(A432="","",SUMIFS(Chicks!$P:$P,Chicks!$G:$G,A432))</f>
        <v/>
      </c>
      <c r="N432" s="6" t="str">
        <f t="shared" si="2"/>
        <v/>
      </c>
    </row>
    <row r="433" spans="1:14" ht="14.25" customHeight="1" x14ac:dyDescent="0.3">
      <c r="A433" s="4"/>
      <c r="B433" s="4"/>
      <c r="C433" s="4"/>
      <c r="D433" s="4"/>
      <c r="E433" s="4"/>
      <c r="F433" s="6" t="str">
        <f>IF(A433="","",COUNTIF(Chicks!$G:$G,A433))</f>
        <v/>
      </c>
      <c r="G433" s="6" t="str">
        <f>IF(A433="","",COUNTIFS(Chicks!$G:$G,A433,Chicks!$I:$I,"Yes"))</f>
        <v/>
      </c>
      <c r="H433" s="6" t="str">
        <f>IF(A433="","",SUMIFS(Chicks!$J:$J,Chicks!$G:$G,A433))</f>
        <v/>
      </c>
      <c r="I433" s="6" t="str">
        <f>IF(A433="","",COUNTIFS(Chicks!$G:$G,A433,Chicks!$I:$I,"No"))</f>
        <v/>
      </c>
      <c r="J433" s="6" t="str">
        <f>IF(A433="","",IFERROR(AVERAGEIF(Chicks!$G:$G,A433,Chicks!$M:$M),""))</f>
        <v/>
      </c>
      <c r="K433" s="6" t="str">
        <f>IF(A433="","",SUMIFS(Chicks!$N:$N,Chicks!$G:$G,A433))</f>
        <v/>
      </c>
      <c r="L433" s="6" t="str">
        <f>IF(A433="","",SUMIFS(Chicks!$O:$O,Chicks!$G:$G,A433))</f>
        <v/>
      </c>
      <c r="M433" s="6" t="str">
        <f>IF(A433="","",SUMIFS(Chicks!$P:$P,Chicks!$G:$G,A433))</f>
        <v/>
      </c>
      <c r="N433" s="6" t="str">
        <f t="shared" si="2"/>
        <v/>
      </c>
    </row>
    <row r="434" spans="1:14" ht="14.25" customHeight="1" x14ac:dyDescent="0.3">
      <c r="A434" s="4"/>
      <c r="B434" s="4"/>
      <c r="C434" s="4"/>
      <c r="D434" s="4"/>
      <c r="E434" s="4"/>
      <c r="F434" s="6" t="str">
        <f>IF(A434="","",COUNTIF(Chicks!$G:$G,A434))</f>
        <v/>
      </c>
      <c r="G434" s="6" t="str">
        <f>IF(A434="","",COUNTIFS(Chicks!$G:$G,A434,Chicks!$I:$I,"Yes"))</f>
        <v/>
      </c>
      <c r="H434" s="6" t="str">
        <f>IF(A434="","",SUMIFS(Chicks!$J:$J,Chicks!$G:$G,A434))</f>
        <v/>
      </c>
      <c r="I434" s="6" t="str">
        <f>IF(A434="","",COUNTIFS(Chicks!$G:$G,A434,Chicks!$I:$I,"No"))</f>
        <v/>
      </c>
      <c r="J434" s="6" t="str">
        <f>IF(A434="","",IFERROR(AVERAGEIF(Chicks!$G:$G,A434,Chicks!$M:$M),""))</f>
        <v/>
      </c>
      <c r="K434" s="6" t="str">
        <f>IF(A434="","",SUMIFS(Chicks!$N:$N,Chicks!$G:$G,A434))</f>
        <v/>
      </c>
      <c r="L434" s="6" t="str">
        <f>IF(A434="","",SUMIFS(Chicks!$O:$O,Chicks!$G:$G,A434))</f>
        <v/>
      </c>
      <c r="M434" s="6" t="str">
        <f>IF(A434="","",SUMIFS(Chicks!$P:$P,Chicks!$G:$G,A434))</f>
        <v/>
      </c>
      <c r="N434" s="6" t="str">
        <f t="shared" si="2"/>
        <v/>
      </c>
    </row>
    <row r="435" spans="1:14" ht="14.25" customHeight="1" x14ac:dyDescent="0.3">
      <c r="A435" s="4"/>
      <c r="B435" s="4"/>
      <c r="C435" s="4"/>
      <c r="D435" s="4"/>
      <c r="E435" s="4"/>
      <c r="F435" s="6" t="str">
        <f>IF(A435="","",COUNTIF(Chicks!$G:$G,A435))</f>
        <v/>
      </c>
      <c r="G435" s="6" t="str">
        <f>IF(A435="","",COUNTIFS(Chicks!$G:$G,A435,Chicks!$I:$I,"Yes"))</f>
        <v/>
      </c>
      <c r="H435" s="6" t="str">
        <f>IF(A435="","",SUMIFS(Chicks!$J:$J,Chicks!$G:$G,A435))</f>
        <v/>
      </c>
      <c r="I435" s="6" t="str">
        <f>IF(A435="","",COUNTIFS(Chicks!$G:$G,A435,Chicks!$I:$I,"No"))</f>
        <v/>
      </c>
      <c r="J435" s="6" t="str">
        <f>IF(A435="","",IFERROR(AVERAGEIF(Chicks!$G:$G,A435,Chicks!$M:$M),""))</f>
        <v/>
      </c>
      <c r="K435" s="6" t="str">
        <f>IF(A435="","",SUMIFS(Chicks!$N:$N,Chicks!$G:$G,A435))</f>
        <v/>
      </c>
      <c r="L435" s="6" t="str">
        <f>IF(A435="","",SUMIFS(Chicks!$O:$O,Chicks!$G:$G,A435))</f>
        <v/>
      </c>
      <c r="M435" s="6" t="str">
        <f>IF(A435="","",SUMIFS(Chicks!$P:$P,Chicks!$G:$G,A435))</f>
        <v/>
      </c>
      <c r="N435" s="6" t="str">
        <f t="shared" si="2"/>
        <v/>
      </c>
    </row>
    <row r="436" spans="1:14" ht="14.25" customHeight="1" x14ac:dyDescent="0.3">
      <c r="A436" s="4"/>
      <c r="B436" s="4"/>
      <c r="C436" s="4"/>
      <c r="D436" s="4"/>
      <c r="E436" s="4"/>
      <c r="F436" s="6" t="str">
        <f>IF(A436="","",COUNTIF(Chicks!$G:$G,A436))</f>
        <v/>
      </c>
      <c r="G436" s="6" t="str">
        <f>IF(A436="","",COUNTIFS(Chicks!$G:$G,A436,Chicks!$I:$I,"Yes"))</f>
        <v/>
      </c>
      <c r="H436" s="6" t="str">
        <f>IF(A436="","",SUMIFS(Chicks!$J:$J,Chicks!$G:$G,A436))</f>
        <v/>
      </c>
      <c r="I436" s="6" t="str">
        <f>IF(A436="","",COUNTIFS(Chicks!$G:$G,A436,Chicks!$I:$I,"No"))</f>
        <v/>
      </c>
      <c r="J436" s="6" t="str">
        <f>IF(A436="","",IFERROR(AVERAGEIF(Chicks!$G:$G,A436,Chicks!$M:$M),""))</f>
        <v/>
      </c>
      <c r="K436" s="6" t="str">
        <f>IF(A436="","",SUMIFS(Chicks!$N:$N,Chicks!$G:$G,A436))</f>
        <v/>
      </c>
      <c r="L436" s="6" t="str">
        <f>IF(A436="","",SUMIFS(Chicks!$O:$O,Chicks!$G:$G,A436))</f>
        <v/>
      </c>
      <c r="M436" s="6" t="str">
        <f>IF(A436="","",SUMIFS(Chicks!$P:$P,Chicks!$G:$G,A436))</f>
        <v/>
      </c>
      <c r="N436" s="6" t="str">
        <f t="shared" si="2"/>
        <v/>
      </c>
    </row>
    <row r="437" spans="1:14" ht="14.25" customHeight="1" x14ac:dyDescent="0.3">
      <c r="A437" s="4"/>
      <c r="B437" s="4"/>
      <c r="C437" s="4"/>
      <c r="D437" s="4"/>
      <c r="E437" s="4"/>
      <c r="F437" s="6" t="str">
        <f>IF(A437="","",COUNTIF(Chicks!$G:$G,A437))</f>
        <v/>
      </c>
      <c r="G437" s="6" t="str">
        <f>IF(A437="","",COUNTIFS(Chicks!$G:$G,A437,Chicks!$I:$I,"Yes"))</f>
        <v/>
      </c>
      <c r="H437" s="6" t="str">
        <f>IF(A437="","",SUMIFS(Chicks!$J:$J,Chicks!$G:$G,A437))</f>
        <v/>
      </c>
      <c r="I437" s="6" t="str">
        <f>IF(A437="","",COUNTIFS(Chicks!$G:$G,A437,Chicks!$I:$I,"No"))</f>
        <v/>
      </c>
      <c r="J437" s="6" t="str">
        <f>IF(A437="","",IFERROR(AVERAGEIF(Chicks!$G:$G,A437,Chicks!$M:$M),""))</f>
        <v/>
      </c>
      <c r="K437" s="6" t="str">
        <f>IF(A437="","",SUMIFS(Chicks!$N:$N,Chicks!$G:$G,A437))</f>
        <v/>
      </c>
      <c r="L437" s="6" t="str">
        <f>IF(A437="","",SUMIFS(Chicks!$O:$O,Chicks!$G:$G,A437))</f>
        <v/>
      </c>
      <c r="M437" s="6" t="str">
        <f>IF(A437="","",SUMIFS(Chicks!$P:$P,Chicks!$G:$G,A437))</f>
        <v/>
      </c>
      <c r="N437" s="6" t="str">
        <f t="shared" si="2"/>
        <v/>
      </c>
    </row>
    <row r="438" spans="1:14" ht="14.25" customHeight="1" x14ac:dyDescent="0.3">
      <c r="A438" s="4"/>
      <c r="B438" s="4"/>
      <c r="C438" s="4"/>
      <c r="D438" s="4"/>
      <c r="E438" s="4"/>
      <c r="F438" s="6" t="str">
        <f>IF(A438="","",COUNTIF(Chicks!$G:$G,A438))</f>
        <v/>
      </c>
      <c r="G438" s="6" t="str">
        <f>IF(A438="","",COUNTIFS(Chicks!$G:$G,A438,Chicks!$I:$I,"Yes"))</f>
        <v/>
      </c>
      <c r="H438" s="6" t="str">
        <f>IF(A438="","",SUMIFS(Chicks!$J:$J,Chicks!$G:$G,A438))</f>
        <v/>
      </c>
      <c r="I438" s="6" t="str">
        <f>IF(A438="","",COUNTIFS(Chicks!$G:$G,A438,Chicks!$I:$I,"No"))</f>
        <v/>
      </c>
      <c r="J438" s="6" t="str">
        <f>IF(A438="","",IFERROR(AVERAGEIF(Chicks!$G:$G,A438,Chicks!$M:$M),""))</f>
        <v/>
      </c>
      <c r="K438" s="6" t="str">
        <f>IF(A438="","",SUMIFS(Chicks!$N:$N,Chicks!$G:$G,A438))</f>
        <v/>
      </c>
      <c r="L438" s="6" t="str">
        <f>IF(A438="","",SUMIFS(Chicks!$O:$O,Chicks!$G:$G,A438))</f>
        <v/>
      </c>
      <c r="M438" s="6" t="str">
        <f>IF(A438="","",SUMIFS(Chicks!$P:$P,Chicks!$G:$G,A438))</f>
        <v/>
      </c>
      <c r="N438" s="6" t="str">
        <f t="shared" si="2"/>
        <v/>
      </c>
    </row>
    <row r="439" spans="1:14" ht="14.25" customHeight="1" x14ac:dyDescent="0.3">
      <c r="A439" s="4"/>
      <c r="B439" s="4"/>
      <c r="C439" s="4"/>
      <c r="D439" s="4"/>
      <c r="E439" s="4"/>
      <c r="F439" s="6" t="str">
        <f>IF(A439="","",COUNTIF(Chicks!$G:$G,A439))</f>
        <v/>
      </c>
      <c r="G439" s="6" t="str">
        <f>IF(A439="","",COUNTIFS(Chicks!$G:$G,A439,Chicks!$I:$I,"Yes"))</f>
        <v/>
      </c>
      <c r="H439" s="6" t="str">
        <f>IF(A439="","",SUMIFS(Chicks!$J:$J,Chicks!$G:$G,A439))</f>
        <v/>
      </c>
      <c r="I439" s="6" t="str">
        <f>IF(A439="","",COUNTIFS(Chicks!$G:$G,A439,Chicks!$I:$I,"No"))</f>
        <v/>
      </c>
      <c r="J439" s="6" t="str">
        <f>IF(A439="","",IFERROR(AVERAGEIF(Chicks!$G:$G,A439,Chicks!$M:$M),""))</f>
        <v/>
      </c>
      <c r="K439" s="6" t="str">
        <f>IF(A439="","",SUMIFS(Chicks!$N:$N,Chicks!$G:$G,A439))</f>
        <v/>
      </c>
      <c r="L439" s="6" t="str">
        <f>IF(A439="","",SUMIFS(Chicks!$O:$O,Chicks!$G:$G,A439))</f>
        <v/>
      </c>
      <c r="M439" s="6" t="str">
        <f>IF(A439="","",SUMIFS(Chicks!$P:$P,Chicks!$G:$G,A439))</f>
        <v/>
      </c>
      <c r="N439" s="6" t="str">
        <f t="shared" si="2"/>
        <v/>
      </c>
    </row>
    <row r="440" spans="1:14" ht="14.25" customHeight="1" x14ac:dyDescent="0.3">
      <c r="A440" s="4"/>
      <c r="B440" s="4"/>
      <c r="C440" s="4"/>
      <c r="D440" s="4"/>
      <c r="E440" s="4"/>
      <c r="F440" s="6" t="str">
        <f>IF(A440="","",COUNTIF(Chicks!$G:$G,A440))</f>
        <v/>
      </c>
      <c r="G440" s="6" t="str">
        <f>IF(A440="","",COUNTIFS(Chicks!$G:$G,A440,Chicks!$I:$I,"Yes"))</f>
        <v/>
      </c>
      <c r="H440" s="6" t="str">
        <f>IF(A440="","",SUMIFS(Chicks!$J:$J,Chicks!$G:$G,A440))</f>
        <v/>
      </c>
      <c r="I440" s="6" t="str">
        <f>IF(A440="","",COUNTIFS(Chicks!$G:$G,A440,Chicks!$I:$I,"No"))</f>
        <v/>
      </c>
      <c r="J440" s="6" t="str">
        <f>IF(A440="","",IFERROR(AVERAGEIF(Chicks!$G:$G,A440,Chicks!$M:$M),""))</f>
        <v/>
      </c>
      <c r="K440" s="6" t="str">
        <f>IF(A440="","",SUMIFS(Chicks!$N:$N,Chicks!$G:$G,A440))</f>
        <v/>
      </c>
      <c r="L440" s="6" t="str">
        <f>IF(A440="","",SUMIFS(Chicks!$O:$O,Chicks!$G:$G,A440))</f>
        <v/>
      </c>
      <c r="M440" s="6" t="str">
        <f>IF(A440="","",SUMIFS(Chicks!$P:$P,Chicks!$G:$G,A440))</f>
        <v/>
      </c>
      <c r="N440" s="6" t="str">
        <f t="shared" si="2"/>
        <v/>
      </c>
    </row>
    <row r="441" spans="1:14" ht="14.25" customHeight="1" x14ac:dyDescent="0.3">
      <c r="A441" s="4"/>
      <c r="B441" s="4"/>
      <c r="C441" s="4"/>
      <c r="D441" s="4"/>
      <c r="E441" s="4"/>
      <c r="F441" s="6" t="str">
        <f>IF(A441="","",COUNTIF(Chicks!$G:$G,A441))</f>
        <v/>
      </c>
      <c r="G441" s="6" t="str">
        <f>IF(A441="","",COUNTIFS(Chicks!$G:$G,A441,Chicks!$I:$I,"Yes"))</f>
        <v/>
      </c>
      <c r="H441" s="6" t="str">
        <f>IF(A441="","",SUMIFS(Chicks!$J:$J,Chicks!$G:$G,A441))</f>
        <v/>
      </c>
      <c r="I441" s="6" t="str">
        <f>IF(A441="","",COUNTIFS(Chicks!$G:$G,A441,Chicks!$I:$I,"No"))</f>
        <v/>
      </c>
      <c r="J441" s="6" t="str">
        <f>IF(A441="","",IFERROR(AVERAGEIF(Chicks!$G:$G,A441,Chicks!$M:$M),""))</f>
        <v/>
      </c>
      <c r="K441" s="6" t="str">
        <f>IF(A441="","",SUMIFS(Chicks!$N:$N,Chicks!$G:$G,A441))</f>
        <v/>
      </c>
      <c r="L441" s="6" t="str">
        <f>IF(A441="","",SUMIFS(Chicks!$O:$O,Chicks!$G:$G,A441))</f>
        <v/>
      </c>
      <c r="M441" s="6" t="str">
        <f>IF(A441="","",SUMIFS(Chicks!$P:$P,Chicks!$G:$G,A441))</f>
        <v/>
      </c>
      <c r="N441" s="6" t="str">
        <f t="shared" si="2"/>
        <v/>
      </c>
    </row>
    <row r="442" spans="1:14" ht="14.25" customHeight="1" x14ac:dyDescent="0.3">
      <c r="A442" s="4"/>
      <c r="B442" s="4"/>
      <c r="C442" s="4"/>
      <c r="D442" s="4"/>
      <c r="E442" s="4"/>
      <c r="F442" s="6" t="str">
        <f>IF(A442="","",COUNTIF(Chicks!$G:$G,A442))</f>
        <v/>
      </c>
      <c r="G442" s="6" t="str">
        <f>IF(A442="","",COUNTIFS(Chicks!$G:$G,A442,Chicks!$I:$I,"Yes"))</f>
        <v/>
      </c>
      <c r="H442" s="6" t="str">
        <f>IF(A442="","",SUMIFS(Chicks!$J:$J,Chicks!$G:$G,A442))</f>
        <v/>
      </c>
      <c r="I442" s="6" t="str">
        <f>IF(A442="","",COUNTIFS(Chicks!$G:$G,A442,Chicks!$I:$I,"No"))</f>
        <v/>
      </c>
      <c r="J442" s="6" t="str">
        <f>IF(A442="","",IFERROR(AVERAGEIF(Chicks!$G:$G,A442,Chicks!$M:$M),""))</f>
        <v/>
      </c>
      <c r="K442" s="6" t="str">
        <f>IF(A442="","",SUMIFS(Chicks!$N:$N,Chicks!$G:$G,A442))</f>
        <v/>
      </c>
      <c r="L442" s="6" t="str">
        <f>IF(A442="","",SUMIFS(Chicks!$O:$O,Chicks!$G:$G,A442))</f>
        <v/>
      </c>
      <c r="M442" s="6" t="str">
        <f>IF(A442="","",SUMIFS(Chicks!$P:$P,Chicks!$G:$G,A442))</f>
        <v/>
      </c>
      <c r="N442" s="6" t="str">
        <f t="shared" si="2"/>
        <v/>
      </c>
    </row>
    <row r="443" spans="1:14" ht="14.25" customHeight="1" x14ac:dyDescent="0.3">
      <c r="A443" s="4"/>
      <c r="B443" s="4"/>
      <c r="C443" s="4"/>
      <c r="D443" s="4"/>
      <c r="E443" s="4"/>
      <c r="F443" s="6" t="str">
        <f>IF(A443="","",COUNTIF(Chicks!$G:$G,A443))</f>
        <v/>
      </c>
      <c r="G443" s="6" t="str">
        <f>IF(A443="","",COUNTIFS(Chicks!$G:$G,A443,Chicks!$I:$I,"Yes"))</f>
        <v/>
      </c>
      <c r="H443" s="6" t="str">
        <f>IF(A443="","",SUMIFS(Chicks!$J:$J,Chicks!$G:$G,A443))</f>
        <v/>
      </c>
      <c r="I443" s="6" t="str">
        <f>IF(A443="","",COUNTIFS(Chicks!$G:$G,A443,Chicks!$I:$I,"No"))</f>
        <v/>
      </c>
      <c r="J443" s="6" t="str">
        <f>IF(A443="","",IFERROR(AVERAGEIF(Chicks!$G:$G,A443,Chicks!$M:$M),""))</f>
        <v/>
      </c>
      <c r="K443" s="6" t="str">
        <f>IF(A443="","",SUMIFS(Chicks!$N:$N,Chicks!$G:$G,A443))</f>
        <v/>
      </c>
      <c r="L443" s="6" t="str">
        <f>IF(A443="","",SUMIFS(Chicks!$O:$O,Chicks!$G:$G,A443))</f>
        <v/>
      </c>
      <c r="M443" s="6" t="str">
        <f>IF(A443="","",SUMIFS(Chicks!$P:$P,Chicks!$G:$G,A443))</f>
        <v/>
      </c>
      <c r="N443" s="6" t="str">
        <f t="shared" si="2"/>
        <v/>
      </c>
    </row>
    <row r="444" spans="1:14" ht="14.25" customHeight="1" x14ac:dyDescent="0.3">
      <c r="A444" s="4"/>
      <c r="B444" s="4"/>
      <c r="C444" s="4"/>
      <c r="D444" s="4"/>
      <c r="E444" s="4"/>
      <c r="F444" s="6" t="str">
        <f>IF(A444="","",COUNTIF(Chicks!$G:$G,A444))</f>
        <v/>
      </c>
      <c r="G444" s="6" t="str">
        <f>IF(A444="","",COUNTIFS(Chicks!$G:$G,A444,Chicks!$I:$I,"Yes"))</f>
        <v/>
      </c>
      <c r="H444" s="6" t="str">
        <f>IF(A444="","",SUMIFS(Chicks!$J:$J,Chicks!$G:$G,A444))</f>
        <v/>
      </c>
      <c r="I444" s="6" t="str">
        <f>IF(A444="","",COUNTIFS(Chicks!$G:$G,A444,Chicks!$I:$I,"No"))</f>
        <v/>
      </c>
      <c r="J444" s="6" t="str">
        <f>IF(A444="","",IFERROR(AVERAGEIF(Chicks!$G:$G,A444,Chicks!$M:$M),""))</f>
        <v/>
      </c>
      <c r="K444" s="6" t="str">
        <f>IF(A444="","",SUMIFS(Chicks!$N:$N,Chicks!$G:$G,A444))</f>
        <v/>
      </c>
      <c r="L444" s="6" t="str">
        <f>IF(A444="","",SUMIFS(Chicks!$O:$O,Chicks!$G:$G,A444))</f>
        <v/>
      </c>
      <c r="M444" s="6" t="str">
        <f>IF(A444="","",SUMIFS(Chicks!$P:$P,Chicks!$G:$G,A444))</f>
        <v/>
      </c>
      <c r="N444" s="6" t="str">
        <f t="shared" si="2"/>
        <v/>
      </c>
    </row>
    <row r="445" spans="1:14" ht="14.25" customHeight="1" x14ac:dyDescent="0.3">
      <c r="A445" s="4"/>
      <c r="B445" s="4"/>
      <c r="C445" s="4"/>
      <c r="D445" s="4"/>
      <c r="E445" s="4"/>
      <c r="F445" s="6" t="str">
        <f>IF(A445="","",COUNTIF(Chicks!$G:$G,A445))</f>
        <v/>
      </c>
      <c r="G445" s="6" t="str">
        <f>IF(A445="","",COUNTIFS(Chicks!$G:$G,A445,Chicks!$I:$I,"Yes"))</f>
        <v/>
      </c>
      <c r="H445" s="6" t="str">
        <f>IF(A445="","",SUMIFS(Chicks!$J:$J,Chicks!$G:$G,A445))</f>
        <v/>
      </c>
      <c r="I445" s="6" t="str">
        <f>IF(A445="","",COUNTIFS(Chicks!$G:$G,A445,Chicks!$I:$I,"No"))</f>
        <v/>
      </c>
      <c r="J445" s="6" t="str">
        <f>IF(A445="","",IFERROR(AVERAGEIF(Chicks!$G:$G,A445,Chicks!$M:$M),""))</f>
        <v/>
      </c>
      <c r="K445" s="6" t="str">
        <f>IF(A445="","",SUMIFS(Chicks!$N:$N,Chicks!$G:$G,A445))</f>
        <v/>
      </c>
      <c r="L445" s="6" t="str">
        <f>IF(A445="","",SUMIFS(Chicks!$O:$O,Chicks!$G:$G,A445))</f>
        <v/>
      </c>
      <c r="M445" s="6" t="str">
        <f>IF(A445="","",SUMIFS(Chicks!$P:$P,Chicks!$G:$G,A445))</f>
        <v/>
      </c>
      <c r="N445" s="6" t="str">
        <f t="shared" si="2"/>
        <v/>
      </c>
    </row>
    <row r="446" spans="1:14" ht="14.25" customHeight="1" x14ac:dyDescent="0.3">
      <c r="A446" s="4"/>
      <c r="B446" s="4"/>
      <c r="C446" s="4"/>
      <c r="D446" s="4"/>
      <c r="E446" s="4"/>
      <c r="F446" s="6" t="str">
        <f>IF(A446="","",COUNTIF(Chicks!$G:$G,A446))</f>
        <v/>
      </c>
      <c r="G446" s="6" t="str">
        <f>IF(A446="","",COUNTIFS(Chicks!$G:$G,A446,Chicks!$I:$I,"Yes"))</f>
        <v/>
      </c>
      <c r="H446" s="6" t="str">
        <f>IF(A446="","",SUMIFS(Chicks!$J:$J,Chicks!$G:$G,A446))</f>
        <v/>
      </c>
      <c r="I446" s="6" t="str">
        <f>IF(A446="","",COUNTIFS(Chicks!$G:$G,A446,Chicks!$I:$I,"No"))</f>
        <v/>
      </c>
      <c r="J446" s="6" t="str">
        <f>IF(A446="","",IFERROR(AVERAGEIF(Chicks!$G:$G,A446,Chicks!$M:$M),""))</f>
        <v/>
      </c>
      <c r="K446" s="6" t="str">
        <f>IF(A446="","",SUMIFS(Chicks!$N:$N,Chicks!$G:$G,A446))</f>
        <v/>
      </c>
      <c r="L446" s="6" t="str">
        <f>IF(A446="","",SUMIFS(Chicks!$O:$O,Chicks!$G:$G,A446))</f>
        <v/>
      </c>
      <c r="M446" s="6" t="str">
        <f>IF(A446="","",SUMIFS(Chicks!$P:$P,Chicks!$G:$G,A446))</f>
        <v/>
      </c>
      <c r="N446" s="6" t="str">
        <f t="shared" si="2"/>
        <v/>
      </c>
    </row>
    <row r="447" spans="1:14" ht="14.25" customHeight="1" x14ac:dyDescent="0.3">
      <c r="A447" s="4"/>
      <c r="B447" s="4"/>
      <c r="C447" s="4"/>
      <c r="D447" s="4"/>
      <c r="E447" s="4"/>
      <c r="F447" s="6" t="str">
        <f>IF(A447="","",COUNTIF(Chicks!$G:$G,A447))</f>
        <v/>
      </c>
      <c r="G447" s="6" t="str">
        <f>IF(A447="","",COUNTIFS(Chicks!$G:$G,A447,Chicks!$I:$I,"Yes"))</f>
        <v/>
      </c>
      <c r="H447" s="6" t="str">
        <f>IF(A447="","",SUMIFS(Chicks!$J:$J,Chicks!$G:$G,A447))</f>
        <v/>
      </c>
      <c r="I447" s="6" t="str">
        <f>IF(A447="","",COUNTIFS(Chicks!$G:$G,A447,Chicks!$I:$I,"No"))</f>
        <v/>
      </c>
      <c r="J447" s="6" t="str">
        <f>IF(A447="","",IFERROR(AVERAGEIF(Chicks!$G:$G,A447,Chicks!$M:$M),""))</f>
        <v/>
      </c>
      <c r="K447" s="6" t="str">
        <f>IF(A447="","",SUMIFS(Chicks!$N:$N,Chicks!$G:$G,A447))</f>
        <v/>
      </c>
      <c r="L447" s="6" t="str">
        <f>IF(A447="","",SUMIFS(Chicks!$O:$O,Chicks!$G:$G,A447))</f>
        <v/>
      </c>
      <c r="M447" s="6" t="str">
        <f>IF(A447="","",SUMIFS(Chicks!$P:$P,Chicks!$G:$G,A447))</f>
        <v/>
      </c>
      <c r="N447" s="6" t="str">
        <f t="shared" si="2"/>
        <v/>
      </c>
    </row>
    <row r="448" spans="1:14" ht="14.25" customHeight="1" x14ac:dyDescent="0.3">
      <c r="A448" s="4"/>
      <c r="B448" s="4"/>
      <c r="C448" s="4"/>
      <c r="D448" s="4"/>
      <c r="E448" s="4"/>
      <c r="F448" s="6" t="str">
        <f>IF(A448="","",COUNTIF(Chicks!$G:$G,A448))</f>
        <v/>
      </c>
      <c r="G448" s="6" t="str">
        <f>IF(A448="","",COUNTIFS(Chicks!$G:$G,A448,Chicks!$I:$I,"Yes"))</f>
        <v/>
      </c>
      <c r="H448" s="6" t="str">
        <f>IF(A448="","",SUMIFS(Chicks!$J:$J,Chicks!$G:$G,A448))</f>
        <v/>
      </c>
      <c r="I448" s="6" t="str">
        <f>IF(A448="","",COUNTIFS(Chicks!$G:$G,A448,Chicks!$I:$I,"No"))</f>
        <v/>
      </c>
      <c r="J448" s="6" t="str">
        <f>IF(A448="","",IFERROR(AVERAGEIF(Chicks!$G:$G,A448,Chicks!$M:$M),""))</f>
        <v/>
      </c>
      <c r="K448" s="6" t="str">
        <f>IF(A448="","",SUMIFS(Chicks!$N:$N,Chicks!$G:$G,A448))</f>
        <v/>
      </c>
      <c r="L448" s="6" t="str">
        <f>IF(A448="","",SUMIFS(Chicks!$O:$O,Chicks!$G:$G,A448))</f>
        <v/>
      </c>
      <c r="M448" s="6" t="str">
        <f>IF(A448="","",SUMIFS(Chicks!$P:$P,Chicks!$G:$G,A448))</f>
        <v/>
      </c>
      <c r="N448" s="6" t="str">
        <f t="shared" si="2"/>
        <v/>
      </c>
    </row>
    <row r="449" spans="1:14" ht="14.25" customHeight="1" x14ac:dyDescent="0.3">
      <c r="A449" s="4"/>
      <c r="B449" s="4"/>
      <c r="C449" s="4"/>
      <c r="D449" s="4"/>
      <c r="E449" s="4"/>
      <c r="F449" s="6" t="str">
        <f>IF(A449="","",COUNTIF(Chicks!$G:$G,A449))</f>
        <v/>
      </c>
      <c r="G449" s="6" t="str">
        <f>IF(A449="","",COUNTIFS(Chicks!$G:$G,A449,Chicks!$I:$I,"Yes"))</f>
        <v/>
      </c>
      <c r="H449" s="6" t="str">
        <f>IF(A449="","",SUMIFS(Chicks!$J:$J,Chicks!$G:$G,A449))</f>
        <v/>
      </c>
      <c r="I449" s="6" t="str">
        <f>IF(A449="","",COUNTIFS(Chicks!$G:$G,A449,Chicks!$I:$I,"No"))</f>
        <v/>
      </c>
      <c r="J449" s="6" t="str">
        <f>IF(A449="","",IFERROR(AVERAGEIF(Chicks!$G:$G,A449,Chicks!$M:$M),""))</f>
        <v/>
      </c>
      <c r="K449" s="6" t="str">
        <f>IF(A449="","",SUMIFS(Chicks!$N:$N,Chicks!$G:$G,A449))</f>
        <v/>
      </c>
      <c r="L449" s="6" t="str">
        <f>IF(A449="","",SUMIFS(Chicks!$O:$O,Chicks!$G:$G,A449))</f>
        <v/>
      </c>
      <c r="M449" s="6" t="str">
        <f>IF(A449="","",SUMIFS(Chicks!$P:$P,Chicks!$G:$G,A449))</f>
        <v/>
      </c>
      <c r="N449" s="6" t="str">
        <f t="shared" si="2"/>
        <v/>
      </c>
    </row>
    <row r="450" spans="1:14" ht="14.25" customHeight="1" x14ac:dyDescent="0.3">
      <c r="A450" s="4"/>
      <c r="B450" s="4"/>
      <c r="C450" s="4"/>
      <c r="D450" s="4"/>
      <c r="E450" s="4"/>
      <c r="F450" s="6" t="str">
        <f>IF(A450="","",COUNTIF(Chicks!$G:$G,A450))</f>
        <v/>
      </c>
      <c r="G450" s="6" t="str">
        <f>IF(A450="","",COUNTIFS(Chicks!$G:$G,A450,Chicks!$I:$I,"Yes"))</f>
        <v/>
      </c>
      <c r="H450" s="6" t="str">
        <f>IF(A450="","",SUMIFS(Chicks!$J:$J,Chicks!$G:$G,A450))</f>
        <v/>
      </c>
      <c r="I450" s="6" t="str">
        <f>IF(A450="","",COUNTIFS(Chicks!$G:$G,A450,Chicks!$I:$I,"No"))</f>
        <v/>
      </c>
      <c r="J450" s="6" t="str">
        <f>IF(A450="","",IFERROR(AVERAGEIF(Chicks!$G:$G,A450,Chicks!$M:$M),""))</f>
        <v/>
      </c>
      <c r="K450" s="6" t="str">
        <f>IF(A450="","",SUMIFS(Chicks!$N:$N,Chicks!$G:$G,A450))</f>
        <v/>
      </c>
      <c r="L450" s="6" t="str">
        <f>IF(A450="","",SUMIFS(Chicks!$O:$O,Chicks!$G:$G,A450))</f>
        <v/>
      </c>
      <c r="M450" s="6" t="str">
        <f>IF(A450="","",SUMIFS(Chicks!$P:$P,Chicks!$G:$G,A450))</f>
        <v/>
      </c>
      <c r="N450" s="6" t="str">
        <f t="shared" si="2"/>
        <v/>
      </c>
    </row>
    <row r="451" spans="1:14" ht="14.25" customHeight="1" x14ac:dyDescent="0.3">
      <c r="A451" s="4"/>
      <c r="B451" s="4"/>
      <c r="C451" s="4"/>
      <c r="D451" s="4"/>
      <c r="E451" s="4"/>
      <c r="F451" s="6" t="str">
        <f>IF(A451="","",COUNTIF(Chicks!$G:$G,A451))</f>
        <v/>
      </c>
      <c r="G451" s="6" t="str">
        <f>IF(A451="","",COUNTIFS(Chicks!$G:$G,A451,Chicks!$I:$I,"Yes"))</f>
        <v/>
      </c>
      <c r="H451" s="6" t="str">
        <f>IF(A451="","",SUMIFS(Chicks!$J:$J,Chicks!$G:$G,A451))</f>
        <v/>
      </c>
      <c r="I451" s="6" t="str">
        <f>IF(A451="","",COUNTIFS(Chicks!$G:$G,A451,Chicks!$I:$I,"No"))</f>
        <v/>
      </c>
      <c r="J451" s="6" t="str">
        <f>IF(A451="","",IFERROR(AVERAGEIF(Chicks!$G:$G,A451,Chicks!$M:$M),""))</f>
        <v/>
      </c>
      <c r="K451" s="6" t="str">
        <f>IF(A451="","",SUMIFS(Chicks!$N:$N,Chicks!$G:$G,A451))</f>
        <v/>
      </c>
      <c r="L451" s="6" t="str">
        <f>IF(A451="","",SUMIFS(Chicks!$O:$O,Chicks!$G:$G,A451))</f>
        <v/>
      </c>
      <c r="M451" s="6" t="str">
        <f>IF(A451="","",SUMIFS(Chicks!$P:$P,Chicks!$G:$G,A451))</f>
        <v/>
      </c>
      <c r="N451" s="6" t="str">
        <f t="shared" si="2"/>
        <v/>
      </c>
    </row>
    <row r="452" spans="1:14" ht="14.25" customHeight="1" x14ac:dyDescent="0.3">
      <c r="A452" s="4"/>
      <c r="B452" s="4"/>
      <c r="C452" s="4"/>
      <c r="D452" s="4"/>
      <c r="E452" s="4"/>
      <c r="F452" s="6" t="str">
        <f>IF(A452="","",COUNTIF(Chicks!$G:$G,A452))</f>
        <v/>
      </c>
      <c r="G452" s="6" t="str">
        <f>IF(A452="","",COUNTIFS(Chicks!$G:$G,A452,Chicks!$I:$I,"Yes"))</f>
        <v/>
      </c>
      <c r="H452" s="6" t="str">
        <f>IF(A452="","",SUMIFS(Chicks!$J:$J,Chicks!$G:$G,A452))</f>
        <v/>
      </c>
      <c r="I452" s="6" t="str">
        <f>IF(A452="","",COUNTIFS(Chicks!$G:$G,A452,Chicks!$I:$I,"No"))</f>
        <v/>
      </c>
      <c r="J452" s="6" t="str">
        <f>IF(A452="","",IFERROR(AVERAGEIF(Chicks!$G:$G,A452,Chicks!$M:$M),""))</f>
        <v/>
      </c>
      <c r="K452" s="6" t="str">
        <f>IF(A452="","",SUMIFS(Chicks!$N:$N,Chicks!$G:$G,A452))</f>
        <v/>
      </c>
      <c r="L452" s="6" t="str">
        <f>IF(A452="","",SUMIFS(Chicks!$O:$O,Chicks!$G:$G,A452))</f>
        <v/>
      </c>
      <c r="M452" s="6" t="str">
        <f>IF(A452="","",SUMIFS(Chicks!$P:$P,Chicks!$G:$G,A452))</f>
        <v/>
      </c>
      <c r="N452" s="6" t="str">
        <f t="shared" si="2"/>
        <v/>
      </c>
    </row>
    <row r="453" spans="1:14" ht="14.25" customHeight="1" x14ac:dyDescent="0.3">
      <c r="A453" s="4"/>
      <c r="B453" s="4"/>
      <c r="C453" s="4"/>
      <c r="D453" s="4"/>
      <c r="E453" s="4"/>
      <c r="F453" s="6" t="str">
        <f>IF(A453="","",COUNTIF(Chicks!$G:$G,A453))</f>
        <v/>
      </c>
      <c r="G453" s="6" t="str">
        <f>IF(A453="","",COUNTIFS(Chicks!$G:$G,A453,Chicks!$I:$I,"Yes"))</f>
        <v/>
      </c>
      <c r="H453" s="6" t="str">
        <f>IF(A453="","",SUMIFS(Chicks!$J:$J,Chicks!$G:$G,A453))</f>
        <v/>
      </c>
      <c r="I453" s="6" t="str">
        <f>IF(A453="","",COUNTIFS(Chicks!$G:$G,A453,Chicks!$I:$I,"No"))</f>
        <v/>
      </c>
      <c r="J453" s="6" t="str">
        <f>IF(A453="","",IFERROR(AVERAGEIF(Chicks!$G:$G,A453,Chicks!$M:$M),""))</f>
        <v/>
      </c>
      <c r="K453" s="6" t="str">
        <f>IF(A453="","",SUMIFS(Chicks!$N:$N,Chicks!$G:$G,A453))</f>
        <v/>
      </c>
      <c r="L453" s="6" t="str">
        <f>IF(A453="","",SUMIFS(Chicks!$O:$O,Chicks!$G:$G,A453))</f>
        <v/>
      </c>
      <c r="M453" s="6" t="str">
        <f>IF(A453="","",SUMIFS(Chicks!$P:$P,Chicks!$G:$G,A453))</f>
        <v/>
      </c>
      <c r="N453" s="6" t="str">
        <f t="shared" si="2"/>
        <v/>
      </c>
    </row>
    <row r="454" spans="1:14" ht="14.25" customHeight="1" x14ac:dyDescent="0.3">
      <c r="A454" s="4"/>
      <c r="B454" s="4"/>
      <c r="C454" s="4"/>
      <c r="D454" s="4"/>
      <c r="E454" s="4"/>
      <c r="F454" s="6" t="str">
        <f>IF(A454="","",COUNTIF(Chicks!$G:$G,A454))</f>
        <v/>
      </c>
      <c r="G454" s="6" t="str">
        <f>IF(A454="","",COUNTIFS(Chicks!$G:$G,A454,Chicks!$I:$I,"Yes"))</f>
        <v/>
      </c>
      <c r="H454" s="6" t="str">
        <f>IF(A454="","",SUMIFS(Chicks!$J:$J,Chicks!$G:$G,A454))</f>
        <v/>
      </c>
      <c r="I454" s="6" t="str">
        <f>IF(A454="","",COUNTIFS(Chicks!$G:$G,A454,Chicks!$I:$I,"No"))</f>
        <v/>
      </c>
      <c r="J454" s="6" t="str">
        <f>IF(A454="","",IFERROR(AVERAGEIF(Chicks!$G:$G,A454,Chicks!$M:$M),""))</f>
        <v/>
      </c>
      <c r="K454" s="6" t="str">
        <f>IF(A454="","",SUMIFS(Chicks!$N:$N,Chicks!$G:$G,A454))</f>
        <v/>
      </c>
      <c r="L454" s="6" t="str">
        <f>IF(A454="","",SUMIFS(Chicks!$O:$O,Chicks!$G:$G,A454))</f>
        <v/>
      </c>
      <c r="M454" s="6" t="str">
        <f>IF(A454="","",SUMIFS(Chicks!$P:$P,Chicks!$G:$G,A454))</f>
        <v/>
      </c>
      <c r="N454" s="6" t="str">
        <f t="shared" si="2"/>
        <v/>
      </c>
    </row>
    <row r="455" spans="1:14" ht="14.25" customHeight="1" x14ac:dyDescent="0.3">
      <c r="A455" s="4"/>
      <c r="B455" s="4"/>
      <c r="C455" s="4"/>
      <c r="D455" s="4"/>
      <c r="E455" s="4"/>
      <c r="F455" s="6" t="str">
        <f>IF(A455="","",COUNTIF(Chicks!$G:$G,A455))</f>
        <v/>
      </c>
      <c r="G455" s="6" t="str">
        <f>IF(A455="","",COUNTIFS(Chicks!$G:$G,A455,Chicks!$I:$I,"Yes"))</f>
        <v/>
      </c>
      <c r="H455" s="6" t="str">
        <f>IF(A455="","",SUMIFS(Chicks!$J:$J,Chicks!$G:$G,A455))</f>
        <v/>
      </c>
      <c r="I455" s="6" t="str">
        <f>IF(A455="","",COUNTIFS(Chicks!$G:$G,A455,Chicks!$I:$I,"No"))</f>
        <v/>
      </c>
      <c r="J455" s="6" t="str">
        <f>IF(A455="","",IFERROR(AVERAGEIF(Chicks!$G:$G,A455,Chicks!$M:$M),""))</f>
        <v/>
      </c>
      <c r="K455" s="6" t="str">
        <f>IF(A455="","",SUMIFS(Chicks!$N:$N,Chicks!$G:$G,A455))</f>
        <v/>
      </c>
      <c r="L455" s="6" t="str">
        <f>IF(A455="","",SUMIFS(Chicks!$O:$O,Chicks!$G:$G,A455))</f>
        <v/>
      </c>
      <c r="M455" s="6" t="str">
        <f>IF(A455="","",SUMIFS(Chicks!$P:$P,Chicks!$G:$G,A455))</f>
        <v/>
      </c>
      <c r="N455" s="6" t="str">
        <f t="shared" si="2"/>
        <v/>
      </c>
    </row>
    <row r="456" spans="1:14" ht="14.25" customHeight="1" x14ac:dyDescent="0.3">
      <c r="A456" s="4"/>
      <c r="B456" s="4"/>
      <c r="C456" s="4"/>
      <c r="D456" s="4"/>
      <c r="E456" s="4"/>
      <c r="F456" s="6" t="str">
        <f>IF(A456="","",COUNTIF(Chicks!$G:$G,A456))</f>
        <v/>
      </c>
      <c r="G456" s="6" t="str">
        <f>IF(A456="","",COUNTIFS(Chicks!$G:$G,A456,Chicks!$I:$I,"Yes"))</f>
        <v/>
      </c>
      <c r="H456" s="6" t="str">
        <f>IF(A456="","",SUMIFS(Chicks!$J:$J,Chicks!$G:$G,A456))</f>
        <v/>
      </c>
      <c r="I456" s="6" t="str">
        <f>IF(A456="","",COUNTIFS(Chicks!$G:$G,A456,Chicks!$I:$I,"No"))</f>
        <v/>
      </c>
      <c r="J456" s="6" t="str">
        <f>IF(A456="","",IFERROR(AVERAGEIF(Chicks!$G:$G,A456,Chicks!$M:$M),""))</f>
        <v/>
      </c>
      <c r="K456" s="6" t="str">
        <f>IF(A456="","",SUMIFS(Chicks!$N:$N,Chicks!$G:$G,A456))</f>
        <v/>
      </c>
      <c r="L456" s="6" t="str">
        <f>IF(A456="","",SUMIFS(Chicks!$O:$O,Chicks!$G:$G,A456))</f>
        <v/>
      </c>
      <c r="M456" s="6" t="str">
        <f>IF(A456="","",SUMIFS(Chicks!$P:$P,Chicks!$G:$G,A456))</f>
        <v/>
      </c>
      <c r="N456" s="6" t="str">
        <f t="shared" si="2"/>
        <v/>
      </c>
    </row>
    <row r="457" spans="1:14" ht="14.25" customHeight="1" x14ac:dyDescent="0.3">
      <c r="A457" s="4"/>
      <c r="B457" s="4"/>
      <c r="C457" s="4"/>
      <c r="D457" s="4"/>
      <c r="E457" s="4"/>
      <c r="F457" s="6" t="str">
        <f>IF(A457="","",COUNTIF(Chicks!$G:$G,A457))</f>
        <v/>
      </c>
      <c r="G457" s="6" t="str">
        <f>IF(A457="","",COUNTIFS(Chicks!$G:$G,A457,Chicks!$I:$I,"Yes"))</f>
        <v/>
      </c>
      <c r="H457" s="6" t="str">
        <f>IF(A457="","",SUMIFS(Chicks!$J:$J,Chicks!$G:$G,A457))</f>
        <v/>
      </c>
      <c r="I457" s="6" t="str">
        <f>IF(A457="","",COUNTIFS(Chicks!$G:$G,A457,Chicks!$I:$I,"No"))</f>
        <v/>
      </c>
      <c r="J457" s="6" t="str">
        <f>IF(A457="","",IFERROR(AVERAGEIF(Chicks!$G:$G,A457,Chicks!$M:$M),""))</f>
        <v/>
      </c>
      <c r="K457" s="6" t="str">
        <f>IF(A457="","",SUMIFS(Chicks!$N:$N,Chicks!$G:$G,A457))</f>
        <v/>
      </c>
      <c r="L457" s="6" t="str">
        <f>IF(A457="","",SUMIFS(Chicks!$O:$O,Chicks!$G:$G,A457))</f>
        <v/>
      </c>
      <c r="M457" s="6" t="str">
        <f>IF(A457="","",SUMIFS(Chicks!$P:$P,Chicks!$G:$G,A457))</f>
        <v/>
      </c>
      <c r="N457" s="6" t="str">
        <f t="shared" si="2"/>
        <v/>
      </c>
    </row>
    <row r="458" spans="1:14" ht="14.25" customHeight="1" x14ac:dyDescent="0.3">
      <c r="A458" s="4"/>
      <c r="B458" s="4"/>
      <c r="C458" s="4"/>
      <c r="D458" s="4"/>
      <c r="E458" s="4"/>
      <c r="F458" s="6" t="str">
        <f>IF(A458="","",COUNTIF(Chicks!$G:$G,A458))</f>
        <v/>
      </c>
      <c r="G458" s="6" t="str">
        <f>IF(A458="","",COUNTIFS(Chicks!$G:$G,A458,Chicks!$I:$I,"Yes"))</f>
        <v/>
      </c>
      <c r="H458" s="6" t="str">
        <f>IF(A458="","",SUMIFS(Chicks!$J:$J,Chicks!$G:$G,A458))</f>
        <v/>
      </c>
      <c r="I458" s="6" t="str">
        <f>IF(A458="","",COUNTIFS(Chicks!$G:$G,A458,Chicks!$I:$I,"No"))</f>
        <v/>
      </c>
      <c r="J458" s="6" t="str">
        <f>IF(A458="","",IFERROR(AVERAGEIF(Chicks!$G:$G,A458,Chicks!$M:$M),""))</f>
        <v/>
      </c>
      <c r="K458" s="6" t="str">
        <f>IF(A458="","",SUMIFS(Chicks!$N:$N,Chicks!$G:$G,A458))</f>
        <v/>
      </c>
      <c r="L458" s="6" t="str">
        <f>IF(A458="","",SUMIFS(Chicks!$O:$O,Chicks!$G:$G,A458))</f>
        <v/>
      </c>
      <c r="M458" s="6" t="str">
        <f>IF(A458="","",SUMIFS(Chicks!$P:$P,Chicks!$G:$G,A458))</f>
        <v/>
      </c>
      <c r="N458" s="6" t="str">
        <f t="shared" si="2"/>
        <v/>
      </c>
    </row>
    <row r="459" spans="1:14" ht="14.25" customHeight="1" x14ac:dyDescent="0.3">
      <c r="A459" s="4"/>
      <c r="B459" s="4"/>
      <c r="C459" s="4"/>
      <c r="D459" s="4"/>
      <c r="E459" s="4"/>
      <c r="F459" s="6" t="str">
        <f>IF(A459="","",COUNTIF(Chicks!$G:$G,A459))</f>
        <v/>
      </c>
      <c r="G459" s="6" t="str">
        <f>IF(A459="","",COUNTIFS(Chicks!$G:$G,A459,Chicks!$I:$I,"Yes"))</f>
        <v/>
      </c>
      <c r="H459" s="6" t="str">
        <f>IF(A459="","",SUMIFS(Chicks!$J:$J,Chicks!$G:$G,A459))</f>
        <v/>
      </c>
      <c r="I459" s="6" t="str">
        <f>IF(A459="","",COUNTIFS(Chicks!$G:$G,A459,Chicks!$I:$I,"No"))</f>
        <v/>
      </c>
      <c r="J459" s="6" t="str">
        <f>IF(A459="","",IFERROR(AVERAGEIF(Chicks!$G:$G,A459,Chicks!$M:$M),""))</f>
        <v/>
      </c>
      <c r="K459" s="6" t="str">
        <f>IF(A459="","",SUMIFS(Chicks!$N:$N,Chicks!$G:$G,A459))</f>
        <v/>
      </c>
      <c r="L459" s="6" t="str">
        <f>IF(A459="","",SUMIFS(Chicks!$O:$O,Chicks!$G:$G,A459))</f>
        <v/>
      </c>
      <c r="M459" s="6" t="str">
        <f>IF(A459="","",SUMIFS(Chicks!$P:$P,Chicks!$G:$G,A459))</f>
        <v/>
      </c>
      <c r="N459" s="6" t="str">
        <f t="shared" si="2"/>
        <v/>
      </c>
    </row>
    <row r="460" spans="1:14" ht="14.25" customHeight="1" x14ac:dyDescent="0.3">
      <c r="A460" s="4"/>
      <c r="B460" s="4"/>
      <c r="C460" s="4"/>
      <c r="D460" s="4"/>
      <c r="E460" s="4"/>
      <c r="F460" s="6" t="str">
        <f>IF(A460="","",COUNTIF(Chicks!$G:$G,A460))</f>
        <v/>
      </c>
      <c r="G460" s="6" t="str">
        <f>IF(A460="","",COUNTIFS(Chicks!$G:$G,A460,Chicks!$I:$I,"Yes"))</f>
        <v/>
      </c>
      <c r="H460" s="6" t="str">
        <f>IF(A460="","",SUMIFS(Chicks!$J:$J,Chicks!$G:$G,A460))</f>
        <v/>
      </c>
      <c r="I460" s="6" t="str">
        <f>IF(A460="","",COUNTIFS(Chicks!$G:$G,A460,Chicks!$I:$I,"No"))</f>
        <v/>
      </c>
      <c r="J460" s="6" t="str">
        <f>IF(A460="","",IFERROR(AVERAGEIF(Chicks!$G:$G,A460,Chicks!$M:$M),""))</f>
        <v/>
      </c>
      <c r="K460" s="6" t="str">
        <f>IF(A460="","",SUMIFS(Chicks!$N:$N,Chicks!$G:$G,A460))</f>
        <v/>
      </c>
      <c r="L460" s="6" t="str">
        <f>IF(A460="","",SUMIFS(Chicks!$O:$O,Chicks!$G:$G,A460))</f>
        <v/>
      </c>
      <c r="M460" s="6" t="str">
        <f>IF(A460="","",SUMIFS(Chicks!$P:$P,Chicks!$G:$G,A460))</f>
        <v/>
      </c>
      <c r="N460" s="6" t="str">
        <f t="shared" si="2"/>
        <v/>
      </c>
    </row>
    <row r="461" spans="1:14" ht="14.25" customHeight="1" x14ac:dyDescent="0.3">
      <c r="A461" s="4"/>
      <c r="B461" s="4"/>
      <c r="C461" s="4"/>
      <c r="D461" s="4"/>
      <c r="E461" s="4"/>
      <c r="F461" s="6" t="str">
        <f>IF(A461="","",COUNTIF(Chicks!$G:$G,A461))</f>
        <v/>
      </c>
      <c r="G461" s="6" t="str">
        <f>IF(A461="","",COUNTIFS(Chicks!$G:$G,A461,Chicks!$I:$I,"Yes"))</f>
        <v/>
      </c>
      <c r="H461" s="6" t="str">
        <f>IF(A461="","",SUMIFS(Chicks!$J:$J,Chicks!$G:$G,A461))</f>
        <v/>
      </c>
      <c r="I461" s="6" t="str">
        <f>IF(A461="","",COUNTIFS(Chicks!$G:$G,A461,Chicks!$I:$I,"No"))</f>
        <v/>
      </c>
      <c r="J461" s="6" t="str">
        <f>IF(A461="","",IFERROR(AVERAGEIF(Chicks!$G:$G,A461,Chicks!$M:$M),""))</f>
        <v/>
      </c>
      <c r="K461" s="6" t="str">
        <f>IF(A461="","",SUMIFS(Chicks!$N:$N,Chicks!$G:$G,A461))</f>
        <v/>
      </c>
      <c r="L461" s="6" t="str">
        <f>IF(A461="","",SUMIFS(Chicks!$O:$O,Chicks!$G:$G,A461))</f>
        <v/>
      </c>
      <c r="M461" s="6" t="str">
        <f>IF(A461="","",SUMIFS(Chicks!$P:$P,Chicks!$G:$G,A461))</f>
        <v/>
      </c>
      <c r="N461" s="6" t="str">
        <f t="shared" si="2"/>
        <v/>
      </c>
    </row>
    <row r="462" spans="1:14" ht="14.25" customHeight="1" x14ac:dyDescent="0.3">
      <c r="A462" s="4"/>
      <c r="B462" s="4"/>
      <c r="C462" s="4"/>
      <c r="D462" s="4"/>
      <c r="E462" s="4"/>
      <c r="F462" s="6" t="str">
        <f>IF(A462="","",COUNTIF(Chicks!$G:$G,A462))</f>
        <v/>
      </c>
      <c r="G462" s="6" t="str">
        <f>IF(A462="","",COUNTIFS(Chicks!$G:$G,A462,Chicks!$I:$I,"Yes"))</f>
        <v/>
      </c>
      <c r="H462" s="6" t="str">
        <f>IF(A462="","",SUMIFS(Chicks!$J:$J,Chicks!$G:$G,A462))</f>
        <v/>
      </c>
      <c r="I462" s="6" t="str">
        <f>IF(A462="","",COUNTIFS(Chicks!$G:$G,A462,Chicks!$I:$I,"No"))</f>
        <v/>
      </c>
      <c r="J462" s="6" t="str">
        <f>IF(A462="","",IFERROR(AVERAGEIF(Chicks!$G:$G,A462,Chicks!$M:$M),""))</f>
        <v/>
      </c>
      <c r="K462" s="6" t="str">
        <f>IF(A462="","",SUMIFS(Chicks!$N:$N,Chicks!$G:$G,A462))</f>
        <v/>
      </c>
      <c r="L462" s="6" t="str">
        <f>IF(A462="","",SUMIFS(Chicks!$O:$O,Chicks!$G:$G,A462))</f>
        <v/>
      </c>
      <c r="M462" s="6" t="str">
        <f>IF(A462="","",SUMIFS(Chicks!$P:$P,Chicks!$G:$G,A462))</f>
        <v/>
      </c>
      <c r="N462" s="6" t="str">
        <f t="shared" si="2"/>
        <v/>
      </c>
    </row>
    <row r="463" spans="1:14" ht="14.25" customHeight="1" x14ac:dyDescent="0.3">
      <c r="A463" s="4"/>
      <c r="B463" s="4"/>
      <c r="C463" s="4"/>
      <c r="D463" s="4"/>
      <c r="E463" s="4"/>
      <c r="F463" s="6" t="str">
        <f>IF(A463="","",COUNTIF(Chicks!$G:$G,A463))</f>
        <v/>
      </c>
      <c r="G463" s="6" t="str">
        <f>IF(A463="","",COUNTIFS(Chicks!$G:$G,A463,Chicks!$I:$I,"Yes"))</f>
        <v/>
      </c>
      <c r="H463" s="6" t="str">
        <f>IF(A463="","",SUMIFS(Chicks!$J:$J,Chicks!$G:$G,A463))</f>
        <v/>
      </c>
      <c r="I463" s="6" t="str">
        <f>IF(A463="","",COUNTIFS(Chicks!$G:$G,A463,Chicks!$I:$I,"No"))</f>
        <v/>
      </c>
      <c r="J463" s="6" t="str">
        <f>IF(A463="","",IFERROR(AVERAGEIF(Chicks!$G:$G,A463,Chicks!$M:$M),""))</f>
        <v/>
      </c>
      <c r="K463" s="6" t="str">
        <f>IF(A463="","",SUMIFS(Chicks!$N:$N,Chicks!$G:$G,A463))</f>
        <v/>
      </c>
      <c r="L463" s="6" t="str">
        <f>IF(A463="","",SUMIFS(Chicks!$O:$O,Chicks!$G:$G,A463))</f>
        <v/>
      </c>
      <c r="M463" s="6" t="str">
        <f>IF(A463="","",SUMIFS(Chicks!$P:$P,Chicks!$G:$G,A463))</f>
        <v/>
      </c>
      <c r="N463" s="6" t="str">
        <f t="shared" si="2"/>
        <v/>
      </c>
    </row>
    <row r="464" spans="1:14" ht="14.25" customHeight="1" x14ac:dyDescent="0.3">
      <c r="A464" s="4"/>
      <c r="B464" s="4"/>
      <c r="C464" s="4"/>
      <c r="D464" s="4"/>
      <c r="E464" s="4"/>
      <c r="F464" s="6" t="str">
        <f>IF(A464="","",COUNTIF(Chicks!$G:$G,A464))</f>
        <v/>
      </c>
      <c r="G464" s="6" t="str">
        <f>IF(A464="","",COUNTIFS(Chicks!$G:$G,A464,Chicks!$I:$I,"Yes"))</f>
        <v/>
      </c>
      <c r="H464" s="6" t="str">
        <f>IF(A464="","",SUMIFS(Chicks!$J:$J,Chicks!$G:$G,A464))</f>
        <v/>
      </c>
      <c r="I464" s="6" t="str">
        <f>IF(A464="","",COUNTIFS(Chicks!$G:$G,A464,Chicks!$I:$I,"No"))</f>
        <v/>
      </c>
      <c r="J464" s="6" t="str">
        <f>IF(A464="","",IFERROR(AVERAGEIF(Chicks!$G:$G,A464,Chicks!$M:$M),""))</f>
        <v/>
      </c>
      <c r="K464" s="6" t="str">
        <f>IF(A464="","",SUMIFS(Chicks!$N:$N,Chicks!$G:$G,A464))</f>
        <v/>
      </c>
      <c r="L464" s="6" t="str">
        <f>IF(A464="","",SUMIFS(Chicks!$O:$O,Chicks!$G:$G,A464))</f>
        <v/>
      </c>
      <c r="M464" s="6" t="str">
        <f>IF(A464="","",SUMIFS(Chicks!$P:$P,Chicks!$G:$G,A464))</f>
        <v/>
      </c>
      <c r="N464" s="6" t="str">
        <f t="shared" si="2"/>
        <v/>
      </c>
    </row>
    <row r="465" spans="1:14" ht="14.25" customHeight="1" x14ac:dyDescent="0.3">
      <c r="A465" s="4"/>
      <c r="B465" s="4"/>
      <c r="C465" s="4"/>
      <c r="D465" s="4"/>
      <c r="E465" s="4"/>
      <c r="F465" s="6" t="str">
        <f>IF(A465="","",COUNTIF(Chicks!$G:$G,A465))</f>
        <v/>
      </c>
      <c r="G465" s="6" t="str">
        <f>IF(A465="","",COUNTIFS(Chicks!$G:$G,A465,Chicks!$I:$I,"Yes"))</f>
        <v/>
      </c>
      <c r="H465" s="6" t="str">
        <f>IF(A465="","",SUMIFS(Chicks!$J:$J,Chicks!$G:$G,A465))</f>
        <v/>
      </c>
      <c r="I465" s="6" t="str">
        <f>IF(A465="","",COUNTIFS(Chicks!$G:$G,A465,Chicks!$I:$I,"No"))</f>
        <v/>
      </c>
      <c r="J465" s="6" t="str">
        <f>IF(A465="","",IFERROR(AVERAGEIF(Chicks!$G:$G,A465,Chicks!$M:$M),""))</f>
        <v/>
      </c>
      <c r="K465" s="6" t="str">
        <f>IF(A465="","",SUMIFS(Chicks!$N:$N,Chicks!$G:$G,A465))</f>
        <v/>
      </c>
      <c r="L465" s="6" t="str">
        <f>IF(A465="","",SUMIFS(Chicks!$O:$O,Chicks!$G:$G,A465))</f>
        <v/>
      </c>
      <c r="M465" s="6" t="str">
        <f>IF(A465="","",SUMIFS(Chicks!$P:$P,Chicks!$G:$G,A465))</f>
        <v/>
      </c>
      <c r="N465" s="6" t="str">
        <f t="shared" si="2"/>
        <v/>
      </c>
    </row>
    <row r="466" spans="1:14" ht="14.25" customHeight="1" x14ac:dyDescent="0.3">
      <c r="A466" s="4"/>
      <c r="B466" s="4"/>
      <c r="C466" s="4"/>
      <c r="D466" s="4"/>
      <c r="E466" s="4"/>
      <c r="F466" s="6" t="str">
        <f>IF(A466="","",COUNTIF(Chicks!$G:$G,A466))</f>
        <v/>
      </c>
      <c r="G466" s="6" t="str">
        <f>IF(A466="","",COUNTIFS(Chicks!$G:$G,A466,Chicks!$I:$I,"Yes"))</f>
        <v/>
      </c>
      <c r="H466" s="6" t="str">
        <f>IF(A466="","",SUMIFS(Chicks!$J:$J,Chicks!$G:$G,A466))</f>
        <v/>
      </c>
      <c r="I466" s="6" t="str">
        <f>IF(A466="","",COUNTIFS(Chicks!$G:$G,A466,Chicks!$I:$I,"No"))</f>
        <v/>
      </c>
      <c r="J466" s="6" t="str">
        <f>IF(A466="","",IFERROR(AVERAGEIF(Chicks!$G:$G,A466,Chicks!$M:$M),""))</f>
        <v/>
      </c>
      <c r="K466" s="6" t="str">
        <f>IF(A466="","",SUMIFS(Chicks!$N:$N,Chicks!$G:$G,A466))</f>
        <v/>
      </c>
      <c r="L466" s="6" t="str">
        <f>IF(A466="","",SUMIFS(Chicks!$O:$O,Chicks!$G:$G,A466))</f>
        <v/>
      </c>
      <c r="M466" s="6" t="str">
        <f>IF(A466="","",SUMIFS(Chicks!$P:$P,Chicks!$G:$G,A466))</f>
        <v/>
      </c>
      <c r="N466" s="6" t="str">
        <f t="shared" si="2"/>
        <v/>
      </c>
    </row>
    <row r="467" spans="1:14" ht="14.25" customHeight="1" x14ac:dyDescent="0.3">
      <c r="A467" s="4"/>
      <c r="B467" s="4"/>
      <c r="C467" s="4"/>
      <c r="D467" s="4"/>
      <c r="E467" s="4"/>
      <c r="F467" s="6" t="str">
        <f>IF(A467="","",COUNTIF(Chicks!$G:$G,A467))</f>
        <v/>
      </c>
      <c r="G467" s="6" t="str">
        <f>IF(A467="","",COUNTIFS(Chicks!$G:$G,A467,Chicks!$I:$I,"Yes"))</f>
        <v/>
      </c>
      <c r="H467" s="6" t="str">
        <f>IF(A467="","",SUMIFS(Chicks!$J:$J,Chicks!$G:$G,A467))</f>
        <v/>
      </c>
      <c r="I467" s="6" t="str">
        <f>IF(A467="","",COUNTIFS(Chicks!$G:$G,A467,Chicks!$I:$I,"No"))</f>
        <v/>
      </c>
      <c r="J467" s="6" t="str">
        <f>IF(A467="","",IFERROR(AVERAGEIF(Chicks!$G:$G,A467,Chicks!$M:$M),""))</f>
        <v/>
      </c>
      <c r="K467" s="6" t="str">
        <f>IF(A467="","",SUMIFS(Chicks!$N:$N,Chicks!$G:$G,A467))</f>
        <v/>
      </c>
      <c r="L467" s="6" t="str">
        <f>IF(A467="","",SUMIFS(Chicks!$O:$O,Chicks!$G:$G,A467))</f>
        <v/>
      </c>
      <c r="M467" s="6" t="str">
        <f>IF(A467="","",SUMIFS(Chicks!$P:$P,Chicks!$G:$G,A467))</f>
        <v/>
      </c>
      <c r="N467" s="6" t="str">
        <f t="shared" si="2"/>
        <v/>
      </c>
    </row>
    <row r="468" spans="1:14" ht="14.25" customHeight="1" x14ac:dyDescent="0.3">
      <c r="A468" s="4"/>
      <c r="B468" s="4"/>
      <c r="C468" s="4"/>
      <c r="D468" s="4"/>
      <c r="E468" s="4"/>
      <c r="F468" s="6" t="str">
        <f>IF(A468="","",COUNTIF(Chicks!$G:$G,A468))</f>
        <v/>
      </c>
      <c r="G468" s="6" t="str">
        <f>IF(A468="","",COUNTIFS(Chicks!$G:$G,A468,Chicks!$I:$I,"Yes"))</f>
        <v/>
      </c>
      <c r="H468" s="6" t="str">
        <f>IF(A468="","",SUMIFS(Chicks!$J:$J,Chicks!$G:$G,A468))</f>
        <v/>
      </c>
      <c r="I468" s="6" t="str">
        <f>IF(A468="","",COUNTIFS(Chicks!$G:$G,A468,Chicks!$I:$I,"No"))</f>
        <v/>
      </c>
      <c r="J468" s="6" t="str">
        <f>IF(A468="","",IFERROR(AVERAGEIF(Chicks!$G:$G,A468,Chicks!$M:$M),""))</f>
        <v/>
      </c>
      <c r="K468" s="6" t="str">
        <f>IF(A468="","",SUMIFS(Chicks!$N:$N,Chicks!$G:$G,A468))</f>
        <v/>
      </c>
      <c r="L468" s="6" t="str">
        <f>IF(A468="","",SUMIFS(Chicks!$O:$O,Chicks!$G:$G,A468))</f>
        <v/>
      </c>
      <c r="M468" s="6" t="str">
        <f>IF(A468="","",SUMIFS(Chicks!$P:$P,Chicks!$G:$G,A468))</f>
        <v/>
      </c>
      <c r="N468" s="6" t="str">
        <f t="shared" si="2"/>
        <v/>
      </c>
    </row>
    <row r="469" spans="1:14" ht="14.25" customHeight="1" x14ac:dyDescent="0.3">
      <c r="A469" s="4"/>
      <c r="B469" s="4"/>
      <c r="C469" s="4"/>
      <c r="D469" s="4"/>
      <c r="E469" s="4"/>
      <c r="F469" s="6" t="str">
        <f>IF(A469="","",COUNTIF(Chicks!$G:$G,A469))</f>
        <v/>
      </c>
      <c r="G469" s="6" t="str">
        <f>IF(A469="","",COUNTIFS(Chicks!$G:$G,A469,Chicks!$I:$I,"Yes"))</f>
        <v/>
      </c>
      <c r="H469" s="6" t="str">
        <f>IF(A469="","",SUMIFS(Chicks!$J:$J,Chicks!$G:$G,A469))</f>
        <v/>
      </c>
      <c r="I469" s="6" t="str">
        <f>IF(A469="","",COUNTIFS(Chicks!$G:$G,A469,Chicks!$I:$I,"No"))</f>
        <v/>
      </c>
      <c r="J469" s="6" t="str">
        <f>IF(A469="","",IFERROR(AVERAGEIF(Chicks!$G:$G,A469,Chicks!$M:$M),""))</f>
        <v/>
      </c>
      <c r="K469" s="6" t="str">
        <f>IF(A469="","",SUMIFS(Chicks!$N:$N,Chicks!$G:$G,A469))</f>
        <v/>
      </c>
      <c r="L469" s="6" t="str">
        <f>IF(A469="","",SUMIFS(Chicks!$O:$O,Chicks!$G:$G,A469))</f>
        <v/>
      </c>
      <c r="M469" s="6" t="str">
        <f>IF(A469="","",SUMIFS(Chicks!$P:$P,Chicks!$G:$G,A469))</f>
        <v/>
      </c>
      <c r="N469" s="6" t="str">
        <f t="shared" si="2"/>
        <v/>
      </c>
    </row>
    <row r="470" spans="1:14" ht="14.25" customHeight="1" x14ac:dyDescent="0.3">
      <c r="A470" s="4"/>
      <c r="B470" s="4"/>
      <c r="C470" s="4"/>
      <c r="D470" s="4"/>
      <c r="E470" s="4"/>
      <c r="F470" s="6" t="str">
        <f>IF(A470="","",COUNTIF(Chicks!$G:$G,A470))</f>
        <v/>
      </c>
      <c r="G470" s="6" t="str">
        <f>IF(A470="","",COUNTIFS(Chicks!$G:$G,A470,Chicks!$I:$I,"Yes"))</f>
        <v/>
      </c>
      <c r="H470" s="6" t="str">
        <f>IF(A470="","",SUMIFS(Chicks!$J:$J,Chicks!$G:$G,A470))</f>
        <v/>
      </c>
      <c r="I470" s="6" t="str">
        <f>IF(A470="","",COUNTIFS(Chicks!$G:$G,A470,Chicks!$I:$I,"No"))</f>
        <v/>
      </c>
      <c r="J470" s="6" t="str">
        <f>IF(A470="","",IFERROR(AVERAGEIF(Chicks!$G:$G,A470,Chicks!$M:$M),""))</f>
        <v/>
      </c>
      <c r="K470" s="6" t="str">
        <f>IF(A470="","",SUMIFS(Chicks!$N:$N,Chicks!$G:$G,A470))</f>
        <v/>
      </c>
      <c r="L470" s="6" t="str">
        <f>IF(A470="","",SUMIFS(Chicks!$O:$O,Chicks!$G:$G,A470))</f>
        <v/>
      </c>
      <c r="M470" s="6" t="str">
        <f>IF(A470="","",SUMIFS(Chicks!$P:$P,Chicks!$G:$G,A470))</f>
        <v/>
      </c>
      <c r="N470" s="6" t="str">
        <f t="shared" si="2"/>
        <v/>
      </c>
    </row>
    <row r="471" spans="1:14" ht="14.25" customHeight="1" x14ac:dyDescent="0.3">
      <c r="A471" s="4"/>
      <c r="B471" s="4"/>
      <c r="C471" s="4"/>
      <c r="D471" s="4"/>
      <c r="E471" s="4"/>
      <c r="F471" s="6" t="str">
        <f>IF(A471="","",COUNTIF(Chicks!$G:$G,A471))</f>
        <v/>
      </c>
      <c r="G471" s="6" t="str">
        <f>IF(A471="","",COUNTIFS(Chicks!$G:$G,A471,Chicks!$I:$I,"Yes"))</f>
        <v/>
      </c>
      <c r="H471" s="6" t="str">
        <f>IF(A471="","",SUMIFS(Chicks!$J:$J,Chicks!$G:$G,A471))</f>
        <v/>
      </c>
      <c r="I471" s="6" t="str">
        <f>IF(A471="","",COUNTIFS(Chicks!$G:$G,A471,Chicks!$I:$I,"No"))</f>
        <v/>
      </c>
      <c r="J471" s="6" t="str">
        <f>IF(A471="","",IFERROR(AVERAGEIF(Chicks!$G:$G,A471,Chicks!$M:$M),""))</f>
        <v/>
      </c>
      <c r="K471" s="6" t="str">
        <f>IF(A471="","",SUMIFS(Chicks!$N:$N,Chicks!$G:$G,A471))</f>
        <v/>
      </c>
      <c r="L471" s="6" t="str">
        <f>IF(A471="","",SUMIFS(Chicks!$O:$O,Chicks!$G:$G,A471))</f>
        <v/>
      </c>
      <c r="M471" s="6" t="str">
        <f>IF(A471="","",SUMIFS(Chicks!$P:$P,Chicks!$G:$G,A471))</f>
        <v/>
      </c>
      <c r="N471" s="6" t="str">
        <f t="shared" si="2"/>
        <v/>
      </c>
    </row>
    <row r="472" spans="1:14" ht="14.25" customHeight="1" x14ac:dyDescent="0.3">
      <c r="A472" s="4"/>
      <c r="B472" s="4"/>
      <c r="C472" s="4"/>
      <c r="D472" s="4"/>
      <c r="E472" s="4"/>
      <c r="F472" s="6" t="str">
        <f>IF(A472="","",COUNTIF(Chicks!$G:$G,A472))</f>
        <v/>
      </c>
      <c r="G472" s="6" t="str">
        <f>IF(A472="","",COUNTIFS(Chicks!$G:$G,A472,Chicks!$I:$I,"Yes"))</f>
        <v/>
      </c>
      <c r="H472" s="6" t="str">
        <f>IF(A472="","",SUMIFS(Chicks!$J:$J,Chicks!$G:$G,A472))</f>
        <v/>
      </c>
      <c r="I472" s="6" t="str">
        <f>IF(A472="","",COUNTIFS(Chicks!$G:$G,A472,Chicks!$I:$I,"No"))</f>
        <v/>
      </c>
      <c r="J472" s="6" t="str">
        <f>IF(A472="","",IFERROR(AVERAGEIF(Chicks!$G:$G,A472,Chicks!$M:$M),""))</f>
        <v/>
      </c>
      <c r="K472" s="6" t="str">
        <f>IF(A472="","",SUMIFS(Chicks!$N:$N,Chicks!$G:$G,A472))</f>
        <v/>
      </c>
      <c r="L472" s="6" t="str">
        <f>IF(A472="","",SUMIFS(Chicks!$O:$O,Chicks!$G:$G,A472))</f>
        <v/>
      </c>
      <c r="M472" s="6" t="str">
        <f>IF(A472="","",SUMIFS(Chicks!$P:$P,Chicks!$G:$G,A472))</f>
        <v/>
      </c>
      <c r="N472" s="6" t="str">
        <f t="shared" si="2"/>
        <v/>
      </c>
    </row>
    <row r="473" spans="1:14" ht="14.25" customHeight="1" x14ac:dyDescent="0.3">
      <c r="A473" s="4"/>
      <c r="B473" s="4"/>
      <c r="C473" s="4"/>
      <c r="D473" s="4"/>
      <c r="E473" s="4"/>
      <c r="F473" s="6" t="str">
        <f>IF(A473="","",COUNTIF(Chicks!$G:$G,A473))</f>
        <v/>
      </c>
      <c r="G473" s="6" t="str">
        <f>IF(A473="","",COUNTIFS(Chicks!$G:$G,A473,Chicks!$I:$I,"Yes"))</f>
        <v/>
      </c>
      <c r="H473" s="6" t="str">
        <f>IF(A473="","",SUMIFS(Chicks!$J:$J,Chicks!$G:$G,A473))</f>
        <v/>
      </c>
      <c r="I473" s="6" t="str">
        <f>IF(A473="","",COUNTIFS(Chicks!$G:$G,A473,Chicks!$I:$I,"No"))</f>
        <v/>
      </c>
      <c r="J473" s="6" t="str">
        <f>IF(A473="","",IFERROR(AVERAGEIF(Chicks!$G:$G,A473,Chicks!$M:$M),""))</f>
        <v/>
      </c>
      <c r="K473" s="6" t="str">
        <f>IF(A473="","",SUMIFS(Chicks!$N:$N,Chicks!$G:$G,A473))</f>
        <v/>
      </c>
      <c r="L473" s="6" t="str">
        <f>IF(A473="","",SUMIFS(Chicks!$O:$O,Chicks!$G:$G,A473))</f>
        <v/>
      </c>
      <c r="M473" s="6" t="str">
        <f>IF(A473="","",SUMIFS(Chicks!$P:$P,Chicks!$G:$G,A473))</f>
        <v/>
      </c>
      <c r="N473" s="6" t="str">
        <f t="shared" si="2"/>
        <v/>
      </c>
    </row>
    <row r="474" spans="1:14" ht="14.25" customHeight="1" x14ac:dyDescent="0.3">
      <c r="A474" s="4"/>
      <c r="B474" s="4"/>
      <c r="C474" s="4"/>
      <c r="D474" s="4"/>
      <c r="E474" s="4"/>
      <c r="F474" s="6" t="str">
        <f>IF(A474="","",COUNTIF(Chicks!$G:$G,A474))</f>
        <v/>
      </c>
      <c r="G474" s="6" t="str">
        <f>IF(A474="","",COUNTIFS(Chicks!$G:$G,A474,Chicks!$I:$I,"Yes"))</f>
        <v/>
      </c>
      <c r="H474" s="6" t="str">
        <f>IF(A474="","",SUMIFS(Chicks!$J:$J,Chicks!$G:$G,A474))</f>
        <v/>
      </c>
      <c r="I474" s="6" t="str">
        <f>IF(A474="","",COUNTIFS(Chicks!$G:$G,A474,Chicks!$I:$I,"No"))</f>
        <v/>
      </c>
      <c r="J474" s="6" t="str">
        <f>IF(A474="","",IFERROR(AVERAGEIF(Chicks!$G:$G,A474,Chicks!$M:$M),""))</f>
        <v/>
      </c>
      <c r="K474" s="6" t="str">
        <f>IF(A474="","",SUMIFS(Chicks!$N:$N,Chicks!$G:$G,A474))</f>
        <v/>
      </c>
      <c r="L474" s="6" t="str">
        <f>IF(A474="","",SUMIFS(Chicks!$O:$O,Chicks!$G:$G,A474))</f>
        <v/>
      </c>
      <c r="M474" s="6" t="str">
        <f>IF(A474="","",SUMIFS(Chicks!$P:$P,Chicks!$G:$G,A474))</f>
        <v/>
      </c>
      <c r="N474" s="6" t="str">
        <f t="shared" si="2"/>
        <v/>
      </c>
    </row>
    <row r="475" spans="1:14" ht="14.25" customHeight="1" x14ac:dyDescent="0.3">
      <c r="A475" s="4"/>
      <c r="B475" s="4"/>
      <c r="C475" s="4"/>
      <c r="D475" s="4"/>
      <c r="E475" s="4"/>
      <c r="F475" s="6" t="str">
        <f>IF(A475="","",COUNTIF(Chicks!$G:$G,A475))</f>
        <v/>
      </c>
      <c r="G475" s="6" t="str">
        <f>IF(A475="","",COUNTIFS(Chicks!$G:$G,A475,Chicks!$I:$I,"Yes"))</f>
        <v/>
      </c>
      <c r="H475" s="6" t="str">
        <f>IF(A475="","",SUMIFS(Chicks!$J:$J,Chicks!$G:$G,A475))</f>
        <v/>
      </c>
      <c r="I475" s="6" t="str">
        <f>IF(A475="","",COUNTIFS(Chicks!$G:$G,A475,Chicks!$I:$I,"No"))</f>
        <v/>
      </c>
      <c r="J475" s="6" t="str">
        <f>IF(A475="","",IFERROR(AVERAGEIF(Chicks!$G:$G,A475,Chicks!$M:$M),""))</f>
        <v/>
      </c>
      <c r="K475" s="6" t="str">
        <f>IF(A475="","",SUMIFS(Chicks!$N:$N,Chicks!$G:$G,A475))</f>
        <v/>
      </c>
      <c r="L475" s="6" t="str">
        <f>IF(A475="","",SUMIFS(Chicks!$O:$O,Chicks!$G:$G,A475))</f>
        <v/>
      </c>
      <c r="M475" s="6" t="str">
        <f>IF(A475="","",SUMIFS(Chicks!$P:$P,Chicks!$G:$G,A475))</f>
        <v/>
      </c>
      <c r="N475" s="6" t="str">
        <f t="shared" si="2"/>
        <v/>
      </c>
    </row>
    <row r="476" spans="1:14" ht="14.25" customHeight="1" x14ac:dyDescent="0.3">
      <c r="A476" s="4"/>
      <c r="B476" s="4"/>
      <c r="C476" s="4"/>
      <c r="D476" s="4"/>
      <c r="E476" s="4"/>
      <c r="F476" s="6" t="str">
        <f>IF(A476="","",COUNTIF(Chicks!$G:$G,A476))</f>
        <v/>
      </c>
      <c r="G476" s="6" t="str">
        <f>IF(A476="","",COUNTIFS(Chicks!$G:$G,A476,Chicks!$I:$I,"Yes"))</f>
        <v/>
      </c>
      <c r="H476" s="6" t="str">
        <f>IF(A476="","",SUMIFS(Chicks!$J:$J,Chicks!$G:$G,A476))</f>
        <v/>
      </c>
      <c r="I476" s="6" t="str">
        <f>IF(A476="","",COUNTIFS(Chicks!$G:$G,A476,Chicks!$I:$I,"No"))</f>
        <v/>
      </c>
      <c r="J476" s="6" t="str">
        <f>IF(A476="","",IFERROR(AVERAGEIF(Chicks!$G:$G,A476,Chicks!$M:$M),""))</f>
        <v/>
      </c>
      <c r="K476" s="6" t="str">
        <f>IF(A476="","",SUMIFS(Chicks!$N:$N,Chicks!$G:$G,A476))</f>
        <v/>
      </c>
      <c r="L476" s="6" t="str">
        <f>IF(A476="","",SUMIFS(Chicks!$O:$O,Chicks!$G:$G,A476))</f>
        <v/>
      </c>
      <c r="M476" s="6" t="str">
        <f>IF(A476="","",SUMIFS(Chicks!$P:$P,Chicks!$G:$G,A476))</f>
        <v/>
      </c>
      <c r="N476" s="6" t="str">
        <f t="shared" si="2"/>
        <v/>
      </c>
    </row>
    <row r="477" spans="1:14" ht="14.25" customHeight="1" x14ac:dyDescent="0.3">
      <c r="A477" s="4"/>
      <c r="B477" s="4"/>
      <c r="C477" s="4"/>
      <c r="D477" s="4"/>
      <c r="E477" s="4"/>
      <c r="F477" s="6" t="str">
        <f>IF(A477="","",COUNTIF(Chicks!$G:$G,A477))</f>
        <v/>
      </c>
      <c r="G477" s="6" t="str">
        <f>IF(A477="","",COUNTIFS(Chicks!$G:$G,A477,Chicks!$I:$I,"Yes"))</f>
        <v/>
      </c>
      <c r="H477" s="6" t="str">
        <f>IF(A477="","",SUMIFS(Chicks!$J:$J,Chicks!$G:$G,A477))</f>
        <v/>
      </c>
      <c r="I477" s="6" t="str">
        <f>IF(A477="","",COUNTIFS(Chicks!$G:$G,A477,Chicks!$I:$I,"No"))</f>
        <v/>
      </c>
      <c r="J477" s="6" t="str">
        <f>IF(A477="","",IFERROR(AVERAGEIF(Chicks!$G:$G,A477,Chicks!$M:$M),""))</f>
        <v/>
      </c>
      <c r="K477" s="6" t="str">
        <f>IF(A477="","",SUMIFS(Chicks!$N:$N,Chicks!$G:$G,A477))</f>
        <v/>
      </c>
      <c r="L477" s="6" t="str">
        <f>IF(A477="","",SUMIFS(Chicks!$O:$O,Chicks!$G:$G,A477))</f>
        <v/>
      </c>
      <c r="M477" s="6" t="str">
        <f>IF(A477="","",SUMIFS(Chicks!$P:$P,Chicks!$G:$G,A477))</f>
        <v/>
      </c>
      <c r="N477" s="6" t="str">
        <f t="shared" si="2"/>
        <v/>
      </c>
    </row>
    <row r="478" spans="1:14" ht="14.25" customHeight="1" x14ac:dyDescent="0.3">
      <c r="A478" s="4"/>
      <c r="B478" s="4"/>
      <c r="C478" s="4"/>
      <c r="D478" s="4"/>
      <c r="E478" s="4"/>
      <c r="F478" s="6" t="str">
        <f>IF(A478="","",COUNTIF(Chicks!$G:$G,A478))</f>
        <v/>
      </c>
      <c r="G478" s="6" t="str">
        <f>IF(A478="","",COUNTIFS(Chicks!$G:$G,A478,Chicks!$I:$I,"Yes"))</f>
        <v/>
      </c>
      <c r="H478" s="6" t="str">
        <f>IF(A478="","",SUMIFS(Chicks!$J:$J,Chicks!$G:$G,A478))</f>
        <v/>
      </c>
      <c r="I478" s="6" t="str">
        <f>IF(A478="","",COUNTIFS(Chicks!$G:$G,A478,Chicks!$I:$I,"No"))</f>
        <v/>
      </c>
      <c r="J478" s="6" t="str">
        <f>IF(A478="","",IFERROR(AVERAGEIF(Chicks!$G:$G,A478,Chicks!$M:$M),""))</f>
        <v/>
      </c>
      <c r="K478" s="6" t="str">
        <f>IF(A478="","",SUMIFS(Chicks!$N:$N,Chicks!$G:$G,A478))</f>
        <v/>
      </c>
      <c r="L478" s="6" t="str">
        <f>IF(A478="","",SUMIFS(Chicks!$O:$O,Chicks!$G:$G,A478))</f>
        <v/>
      </c>
      <c r="M478" s="6" t="str">
        <f>IF(A478="","",SUMIFS(Chicks!$P:$P,Chicks!$G:$G,A478))</f>
        <v/>
      </c>
      <c r="N478" s="6" t="str">
        <f t="shared" si="2"/>
        <v/>
      </c>
    </row>
    <row r="479" spans="1:14" ht="14.25" customHeight="1" x14ac:dyDescent="0.3">
      <c r="A479" s="4"/>
      <c r="B479" s="4"/>
      <c r="C479" s="4"/>
      <c r="D479" s="4"/>
      <c r="E479" s="4"/>
      <c r="F479" s="6" t="str">
        <f>IF(A479="","",COUNTIF(Chicks!$G:$G,A479))</f>
        <v/>
      </c>
      <c r="G479" s="6" t="str">
        <f>IF(A479="","",COUNTIFS(Chicks!$G:$G,A479,Chicks!$I:$I,"Yes"))</f>
        <v/>
      </c>
      <c r="H479" s="6" t="str">
        <f>IF(A479="","",SUMIFS(Chicks!$J:$J,Chicks!$G:$G,A479))</f>
        <v/>
      </c>
      <c r="I479" s="6" t="str">
        <f>IF(A479="","",COUNTIFS(Chicks!$G:$G,A479,Chicks!$I:$I,"No"))</f>
        <v/>
      </c>
      <c r="J479" s="6" t="str">
        <f>IF(A479="","",IFERROR(AVERAGEIF(Chicks!$G:$G,A479,Chicks!$M:$M),""))</f>
        <v/>
      </c>
      <c r="K479" s="6" t="str">
        <f>IF(A479="","",SUMIFS(Chicks!$N:$N,Chicks!$G:$G,A479))</f>
        <v/>
      </c>
      <c r="L479" s="6" t="str">
        <f>IF(A479="","",SUMIFS(Chicks!$O:$O,Chicks!$G:$G,A479))</f>
        <v/>
      </c>
      <c r="M479" s="6" t="str">
        <f>IF(A479="","",SUMIFS(Chicks!$P:$P,Chicks!$G:$G,A479))</f>
        <v/>
      </c>
      <c r="N479" s="6" t="str">
        <f t="shared" si="2"/>
        <v/>
      </c>
    </row>
    <row r="480" spans="1:14" ht="14.25" customHeight="1" x14ac:dyDescent="0.3">
      <c r="A480" s="4"/>
      <c r="B480" s="4"/>
      <c r="C480" s="4"/>
      <c r="D480" s="4"/>
      <c r="E480" s="4"/>
      <c r="F480" s="6" t="str">
        <f>IF(A480="","",COUNTIF(Chicks!$G:$G,A480))</f>
        <v/>
      </c>
      <c r="G480" s="6" t="str">
        <f>IF(A480="","",COUNTIFS(Chicks!$G:$G,A480,Chicks!$I:$I,"Yes"))</f>
        <v/>
      </c>
      <c r="H480" s="6" t="str">
        <f>IF(A480="","",SUMIFS(Chicks!$J:$J,Chicks!$G:$G,A480))</f>
        <v/>
      </c>
      <c r="I480" s="6" t="str">
        <f>IF(A480="","",COUNTIFS(Chicks!$G:$G,A480,Chicks!$I:$I,"No"))</f>
        <v/>
      </c>
      <c r="J480" s="6" t="str">
        <f>IF(A480="","",IFERROR(AVERAGEIF(Chicks!$G:$G,A480,Chicks!$M:$M),""))</f>
        <v/>
      </c>
      <c r="K480" s="6" t="str">
        <f>IF(A480="","",SUMIFS(Chicks!$N:$N,Chicks!$G:$G,A480))</f>
        <v/>
      </c>
      <c r="L480" s="6" t="str">
        <f>IF(A480="","",SUMIFS(Chicks!$O:$O,Chicks!$G:$G,A480))</f>
        <v/>
      </c>
      <c r="M480" s="6" t="str">
        <f>IF(A480="","",SUMIFS(Chicks!$P:$P,Chicks!$G:$G,A480))</f>
        <v/>
      </c>
      <c r="N480" s="6" t="str">
        <f t="shared" si="2"/>
        <v/>
      </c>
    </row>
    <row r="481" spans="1:14" ht="14.25" customHeight="1" x14ac:dyDescent="0.3">
      <c r="A481" s="4"/>
      <c r="B481" s="4"/>
      <c r="C481" s="4"/>
      <c r="D481" s="4"/>
      <c r="E481" s="4"/>
      <c r="F481" s="6" t="str">
        <f>IF(A481="","",COUNTIF(Chicks!$G:$G,A481))</f>
        <v/>
      </c>
      <c r="G481" s="6" t="str">
        <f>IF(A481="","",COUNTIFS(Chicks!$G:$G,A481,Chicks!$I:$I,"Yes"))</f>
        <v/>
      </c>
      <c r="H481" s="6" t="str">
        <f>IF(A481="","",SUMIFS(Chicks!$J:$J,Chicks!$G:$G,A481))</f>
        <v/>
      </c>
      <c r="I481" s="6" t="str">
        <f>IF(A481="","",COUNTIFS(Chicks!$G:$G,A481,Chicks!$I:$I,"No"))</f>
        <v/>
      </c>
      <c r="J481" s="6" t="str">
        <f>IF(A481="","",IFERROR(AVERAGEIF(Chicks!$G:$G,A481,Chicks!$M:$M),""))</f>
        <v/>
      </c>
      <c r="K481" s="6" t="str">
        <f>IF(A481="","",SUMIFS(Chicks!$N:$N,Chicks!$G:$G,A481))</f>
        <v/>
      </c>
      <c r="L481" s="6" t="str">
        <f>IF(A481="","",SUMIFS(Chicks!$O:$O,Chicks!$G:$G,A481))</f>
        <v/>
      </c>
      <c r="M481" s="6" t="str">
        <f>IF(A481="","",SUMIFS(Chicks!$P:$P,Chicks!$G:$G,A481))</f>
        <v/>
      </c>
      <c r="N481" s="6" t="str">
        <f t="shared" si="2"/>
        <v/>
      </c>
    </row>
    <row r="482" spans="1:14" ht="14.25" customHeight="1" x14ac:dyDescent="0.3">
      <c r="A482" s="4"/>
      <c r="B482" s="4"/>
      <c r="C482" s="4"/>
      <c r="D482" s="4"/>
      <c r="E482" s="4"/>
      <c r="F482" s="6" t="str">
        <f>IF(A482="","",COUNTIF(Chicks!$G:$G,A482))</f>
        <v/>
      </c>
      <c r="G482" s="6" t="str">
        <f>IF(A482="","",COUNTIFS(Chicks!$G:$G,A482,Chicks!$I:$I,"Yes"))</f>
        <v/>
      </c>
      <c r="H482" s="6" t="str">
        <f>IF(A482="","",SUMIFS(Chicks!$J:$J,Chicks!$G:$G,A482))</f>
        <v/>
      </c>
      <c r="I482" s="6" t="str">
        <f>IF(A482="","",COUNTIFS(Chicks!$G:$G,A482,Chicks!$I:$I,"No"))</f>
        <v/>
      </c>
      <c r="J482" s="6" t="str">
        <f>IF(A482="","",IFERROR(AVERAGEIF(Chicks!$G:$G,A482,Chicks!$M:$M),""))</f>
        <v/>
      </c>
      <c r="K482" s="6" t="str">
        <f>IF(A482="","",SUMIFS(Chicks!$N:$N,Chicks!$G:$G,A482))</f>
        <v/>
      </c>
      <c r="L482" s="6" t="str">
        <f>IF(A482="","",SUMIFS(Chicks!$O:$O,Chicks!$G:$G,A482))</f>
        <v/>
      </c>
      <c r="M482" s="6" t="str">
        <f>IF(A482="","",SUMIFS(Chicks!$P:$P,Chicks!$G:$G,A482))</f>
        <v/>
      </c>
      <c r="N482" s="6" t="str">
        <f t="shared" si="2"/>
        <v/>
      </c>
    </row>
    <row r="483" spans="1:14" ht="14.25" customHeight="1" x14ac:dyDescent="0.3">
      <c r="A483" s="4"/>
      <c r="B483" s="4"/>
      <c r="C483" s="4"/>
      <c r="D483" s="4"/>
      <c r="E483" s="4"/>
      <c r="F483" s="6" t="str">
        <f>IF(A483="","",COUNTIF(Chicks!$G:$G,A483))</f>
        <v/>
      </c>
      <c r="G483" s="6" t="str">
        <f>IF(A483="","",COUNTIFS(Chicks!$G:$G,A483,Chicks!$I:$I,"Yes"))</f>
        <v/>
      </c>
      <c r="H483" s="6" t="str">
        <f>IF(A483="","",SUMIFS(Chicks!$J:$J,Chicks!$G:$G,A483))</f>
        <v/>
      </c>
      <c r="I483" s="6" t="str">
        <f>IF(A483="","",COUNTIFS(Chicks!$G:$G,A483,Chicks!$I:$I,"No"))</f>
        <v/>
      </c>
      <c r="J483" s="6" t="str">
        <f>IF(A483="","",IFERROR(AVERAGEIF(Chicks!$G:$G,A483,Chicks!$M:$M),""))</f>
        <v/>
      </c>
      <c r="K483" s="6" t="str">
        <f>IF(A483="","",SUMIFS(Chicks!$N:$N,Chicks!$G:$G,A483))</f>
        <v/>
      </c>
      <c r="L483" s="6" t="str">
        <f>IF(A483="","",SUMIFS(Chicks!$O:$O,Chicks!$G:$G,A483))</f>
        <v/>
      </c>
      <c r="M483" s="6" t="str">
        <f>IF(A483="","",SUMIFS(Chicks!$P:$P,Chicks!$G:$G,A483))</f>
        <v/>
      </c>
      <c r="N483" s="6" t="str">
        <f t="shared" si="2"/>
        <v/>
      </c>
    </row>
    <row r="484" spans="1:14" ht="14.25" customHeight="1" x14ac:dyDescent="0.3">
      <c r="A484" s="4"/>
      <c r="B484" s="4"/>
      <c r="C484" s="4"/>
      <c r="D484" s="4"/>
      <c r="E484" s="4"/>
      <c r="F484" s="6" t="str">
        <f>IF(A484="","",COUNTIF(Chicks!$G:$G,A484))</f>
        <v/>
      </c>
      <c r="G484" s="6" t="str">
        <f>IF(A484="","",COUNTIFS(Chicks!$G:$G,A484,Chicks!$I:$I,"Yes"))</f>
        <v/>
      </c>
      <c r="H484" s="6" t="str">
        <f>IF(A484="","",SUMIFS(Chicks!$J:$J,Chicks!$G:$G,A484))</f>
        <v/>
      </c>
      <c r="I484" s="6" t="str">
        <f>IF(A484="","",COUNTIFS(Chicks!$G:$G,A484,Chicks!$I:$I,"No"))</f>
        <v/>
      </c>
      <c r="J484" s="6" t="str">
        <f>IF(A484="","",IFERROR(AVERAGEIF(Chicks!$G:$G,A484,Chicks!$M:$M),""))</f>
        <v/>
      </c>
      <c r="K484" s="6" t="str">
        <f>IF(A484="","",SUMIFS(Chicks!$N:$N,Chicks!$G:$G,A484))</f>
        <v/>
      </c>
      <c r="L484" s="6" t="str">
        <f>IF(A484="","",SUMIFS(Chicks!$O:$O,Chicks!$G:$G,A484))</f>
        <v/>
      </c>
      <c r="M484" s="6" t="str">
        <f>IF(A484="","",SUMIFS(Chicks!$P:$P,Chicks!$G:$G,A484))</f>
        <v/>
      </c>
      <c r="N484" s="6" t="str">
        <f t="shared" si="2"/>
        <v/>
      </c>
    </row>
    <row r="485" spans="1:14" ht="14.25" customHeight="1" x14ac:dyDescent="0.3">
      <c r="A485" s="4"/>
      <c r="B485" s="4"/>
      <c r="C485" s="4"/>
      <c r="D485" s="4"/>
      <c r="E485" s="4"/>
      <c r="F485" s="6" t="str">
        <f>IF(A485="","",COUNTIF(Chicks!$G:$G,A485))</f>
        <v/>
      </c>
      <c r="G485" s="6" t="str">
        <f>IF(A485="","",COUNTIFS(Chicks!$G:$G,A485,Chicks!$I:$I,"Yes"))</f>
        <v/>
      </c>
      <c r="H485" s="6" t="str">
        <f>IF(A485="","",SUMIFS(Chicks!$J:$J,Chicks!$G:$G,A485))</f>
        <v/>
      </c>
      <c r="I485" s="6" t="str">
        <f>IF(A485="","",COUNTIFS(Chicks!$G:$G,A485,Chicks!$I:$I,"No"))</f>
        <v/>
      </c>
      <c r="J485" s="6" t="str">
        <f>IF(A485="","",IFERROR(AVERAGEIF(Chicks!$G:$G,A485,Chicks!$M:$M),""))</f>
        <v/>
      </c>
      <c r="K485" s="6" t="str">
        <f>IF(A485="","",SUMIFS(Chicks!$N:$N,Chicks!$G:$G,A485))</f>
        <v/>
      </c>
      <c r="L485" s="6" t="str">
        <f>IF(A485="","",SUMIFS(Chicks!$O:$O,Chicks!$G:$G,A485))</f>
        <v/>
      </c>
      <c r="M485" s="6" t="str">
        <f>IF(A485="","",SUMIFS(Chicks!$P:$P,Chicks!$G:$G,A485))</f>
        <v/>
      </c>
      <c r="N485" s="6" t="str">
        <f t="shared" si="2"/>
        <v/>
      </c>
    </row>
    <row r="486" spans="1:14" ht="14.25" customHeight="1" x14ac:dyDescent="0.3">
      <c r="A486" s="4"/>
      <c r="B486" s="4"/>
      <c r="C486" s="4"/>
      <c r="D486" s="4"/>
      <c r="E486" s="4"/>
      <c r="F486" s="6" t="str">
        <f>IF(A486="","",COUNTIF(Chicks!$G:$G,A486))</f>
        <v/>
      </c>
      <c r="G486" s="6" t="str">
        <f>IF(A486="","",COUNTIFS(Chicks!$G:$G,A486,Chicks!$I:$I,"Yes"))</f>
        <v/>
      </c>
      <c r="H486" s="6" t="str">
        <f>IF(A486="","",SUMIFS(Chicks!$J:$J,Chicks!$G:$G,A486))</f>
        <v/>
      </c>
      <c r="I486" s="6" t="str">
        <f>IF(A486="","",COUNTIFS(Chicks!$G:$G,A486,Chicks!$I:$I,"No"))</f>
        <v/>
      </c>
      <c r="J486" s="6" t="str">
        <f>IF(A486="","",IFERROR(AVERAGEIF(Chicks!$G:$G,A486,Chicks!$M:$M),""))</f>
        <v/>
      </c>
      <c r="K486" s="6" t="str">
        <f>IF(A486="","",SUMIFS(Chicks!$N:$N,Chicks!$G:$G,A486))</f>
        <v/>
      </c>
      <c r="L486" s="6" t="str">
        <f>IF(A486="","",SUMIFS(Chicks!$O:$O,Chicks!$G:$G,A486))</f>
        <v/>
      </c>
      <c r="M486" s="6" t="str">
        <f>IF(A486="","",SUMIFS(Chicks!$P:$P,Chicks!$G:$G,A486))</f>
        <v/>
      </c>
      <c r="N486" s="6" t="str">
        <f t="shared" si="2"/>
        <v/>
      </c>
    </row>
    <row r="487" spans="1:14" ht="14.25" customHeight="1" x14ac:dyDescent="0.3">
      <c r="A487" s="4"/>
      <c r="B487" s="4"/>
      <c r="C487" s="4"/>
      <c r="D487" s="4"/>
      <c r="E487" s="4"/>
      <c r="F487" s="6" t="str">
        <f>IF(A487="","",COUNTIF(Chicks!$G:$G,A487))</f>
        <v/>
      </c>
      <c r="G487" s="6" t="str">
        <f>IF(A487="","",COUNTIFS(Chicks!$G:$G,A487,Chicks!$I:$I,"Yes"))</f>
        <v/>
      </c>
      <c r="H487" s="6" t="str">
        <f>IF(A487="","",SUMIFS(Chicks!$J:$J,Chicks!$G:$G,A487))</f>
        <v/>
      </c>
      <c r="I487" s="6" t="str">
        <f>IF(A487="","",COUNTIFS(Chicks!$G:$G,A487,Chicks!$I:$I,"No"))</f>
        <v/>
      </c>
      <c r="J487" s="6" t="str">
        <f>IF(A487="","",IFERROR(AVERAGEIF(Chicks!$G:$G,A487,Chicks!$M:$M),""))</f>
        <v/>
      </c>
      <c r="K487" s="6" t="str">
        <f>IF(A487="","",SUMIFS(Chicks!$N:$N,Chicks!$G:$G,A487))</f>
        <v/>
      </c>
      <c r="L487" s="6" t="str">
        <f>IF(A487="","",SUMIFS(Chicks!$O:$O,Chicks!$G:$G,A487))</f>
        <v/>
      </c>
      <c r="M487" s="6" t="str">
        <f>IF(A487="","",SUMIFS(Chicks!$P:$P,Chicks!$G:$G,A487))</f>
        <v/>
      </c>
      <c r="N487" s="6" t="str">
        <f t="shared" si="2"/>
        <v/>
      </c>
    </row>
    <row r="488" spans="1:14" ht="14.25" customHeight="1" x14ac:dyDescent="0.3">
      <c r="A488" s="4"/>
      <c r="B488" s="4"/>
      <c r="C488" s="4"/>
      <c r="D488" s="4"/>
      <c r="E488" s="4"/>
      <c r="F488" s="6" t="str">
        <f>IF(A488="","",COUNTIF(Chicks!$G:$G,A488))</f>
        <v/>
      </c>
      <c r="G488" s="6" t="str">
        <f>IF(A488="","",COUNTIFS(Chicks!$G:$G,A488,Chicks!$I:$I,"Yes"))</f>
        <v/>
      </c>
      <c r="H488" s="6" t="str">
        <f>IF(A488="","",SUMIFS(Chicks!$J:$J,Chicks!$G:$G,A488))</f>
        <v/>
      </c>
      <c r="I488" s="6" t="str">
        <f>IF(A488="","",COUNTIFS(Chicks!$G:$G,A488,Chicks!$I:$I,"No"))</f>
        <v/>
      </c>
      <c r="J488" s="6" t="str">
        <f>IF(A488="","",IFERROR(AVERAGEIF(Chicks!$G:$G,A488,Chicks!$M:$M),""))</f>
        <v/>
      </c>
      <c r="K488" s="6" t="str">
        <f>IF(A488="","",SUMIFS(Chicks!$N:$N,Chicks!$G:$G,A488))</f>
        <v/>
      </c>
      <c r="L488" s="6" t="str">
        <f>IF(A488="","",SUMIFS(Chicks!$O:$O,Chicks!$G:$G,A488))</f>
        <v/>
      </c>
      <c r="M488" s="6" t="str">
        <f>IF(A488="","",SUMIFS(Chicks!$P:$P,Chicks!$G:$G,A488))</f>
        <v/>
      </c>
      <c r="N488" s="6" t="str">
        <f t="shared" si="2"/>
        <v/>
      </c>
    </row>
    <row r="489" spans="1:14" ht="14.25" customHeight="1" x14ac:dyDescent="0.3">
      <c r="A489" s="4"/>
      <c r="B489" s="4"/>
      <c r="C489" s="4"/>
      <c r="D489" s="4"/>
      <c r="E489" s="4"/>
      <c r="F489" s="6" t="str">
        <f>IF(A489="","",COUNTIF(Chicks!$G:$G,A489))</f>
        <v/>
      </c>
      <c r="G489" s="6" t="str">
        <f>IF(A489="","",COUNTIFS(Chicks!$G:$G,A489,Chicks!$I:$I,"Yes"))</f>
        <v/>
      </c>
      <c r="H489" s="6" t="str">
        <f>IF(A489="","",SUMIFS(Chicks!$J:$J,Chicks!$G:$G,A489))</f>
        <v/>
      </c>
      <c r="I489" s="6" t="str">
        <f>IF(A489="","",COUNTIFS(Chicks!$G:$G,A489,Chicks!$I:$I,"No"))</f>
        <v/>
      </c>
      <c r="J489" s="6" t="str">
        <f>IF(A489="","",IFERROR(AVERAGEIF(Chicks!$G:$G,A489,Chicks!$M:$M),""))</f>
        <v/>
      </c>
      <c r="K489" s="6" t="str">
        <f>IF(A489="","",SUMIFS(Chicks!$N:$N,Chicks!$G:$G,A489))</f>
        <v/>
      </c>
      <c r="L489" s="6" t="str">
        <f>IF(A489="","",SUMIFS(Chicks!$O:$O,Chicks!$G:$G,A489))</f>
        <v/>
      </c>
      <c r="M489" s="6" t="str">
        <f>IF(A489="","",SUMIFS(Chicks!$P:$P,Chicks!$G:$G,A489))</f>
        <v/>
      </c>
      <c r="N489" s="6" t="str">
        <f t="shared" si="2"/>
        <v/>
      </c>
    </row>
    <row r="490" spans="1:14" ht="14.25" customHeight="1" x14ac:dyDescent="0.3">
      <c r="A490" s="4"/>
      <c r="B490" s="4"/>
      <c r="C490" s="4"/>
      <c r="D490" s="4"/>
      <c r="E490" s="4"/>
      <c r="F490" s="6" t="str">
        <f>IF(A490="","",COUNTIF(Chicks!$G:$G,A490))</f>
        <v/>
      </c>
      <c r="G490" s="6" t="str">
        <f>IF(A490="","",COUNTIFS(Chicks!$G:$G,A490,Chicks!$I:$I,"Yes"))</f>
        <v/>
      </c>
      <c r="H490" s="6" t="str">
        <f>IF(A490="","",SUMIFS(Chicks!$J:$J,Chicks!$G:$G,A490))</f>
        <v/>
      </c>
      <c r="I490" s="6" t="str">
        <f>IF(A490="","",COUNTIFS(Chicks!$G:$G,A490,Chicks!$I:$I,"No"))</f>
        <v/>
      </c>
      <c r="J490" s="6" t="str">
        <f>IF(A490="","",IFERROR(AVERAGEIF(Chicks!$G:$G,A490,Chicks!$M:$M),""))</f>
        <v/>
      </c>
      <c r="K490" s="6" t="str">
        <f>IF(A490="","",SUMIFS(Chicks!$N:$N,Chicks!$G:$G,A490))</f>
        <v/>
      </c>
      <c r="L490" s="6" t="str">
        <f>IF(A490="","",SUMIFS(Chicks!$O:$O,Chicks!$G:$G,A490))</f>
        <v/>
      </c>
      <c r="M490" s="6" t="str">
        <f>IF(A490="","",SUMIFS(Chicks!$P:$P,Chicks!$G:$G,A490))</f>
        <v/>
      </c>
      <c r="N490" s="6" t="str">
        <f t="shared" si="2"/>
        <v/>
      </c>
    </row>
    <row r="491" spans="1:14" ht="14.25" customHeight="1" x14ac:dyDescent="0.3">
      <c r="A491" s="4"/>
      <c r="B491" s="4"/>
      <c r="C491" s="4"/>
      <c r="D491" s="4"/>
      <c r="E491" s="4"/>
      <c r="F491" s="6" t="str">
        <f>IF(A491="","",COUNTIF(Chicks!$G:$G,A491))</f>
        <v/>
      </c>
      <c r="G491" s="6" t="str">
        <f>IF(A491="","",COUNTIFS(Chicks!$G:$G,A491,Chicks!$I:$I,"Yes"))</f>
        <v/>
      </c>
      <c r="H491" s="6" t="str">
        <f>IF(A491="","",SUMIFS(Chicks!$J:$J,Chicks!$G:$G,A491))</f>
        <v/>
      </c>
      <c r="I491" s="6" t="str">
        <f>IF(A491="","",COUNTIFS(Chicks!$G:$G,A491,Chicks!$I:$I,"No"))</f>
        <v/>
      </c>
      <c r="J491" s="6" t="str">
        <f>IF(A491="","",IFERROR(AVERAGEIF(Chicks!$G:$G,A491,Chicks!$M:$M),""))</f>
        <v/>
      </c>
      <c r="K491" s="6" t="str">
        <f>IF(A491="","",SUMIFS(Chicks!$N:$N,Chicks!$G:$G,A491))</f>
        <v/>
      </c>
      <c r="L491" s="6" t="str">
        <f>IF(A491="","",SUMIFS(Chicks!$O:$O,Chicks!$G:$G,A491))</f>
        <v/>
      </c>
      <c r="M491" s="6" t="str">
        <f>IF(A491="","",SUMIFS(Chicks!$P:$P,Chicks!$G:$G,A491))</f>
        <v/>
      </c>
      <c r="N491" s="6" t="str">
        <f t="shared" si="2"/>
        <v/>
      </c>
    </row>
    <row r="492" spans="1:14" ht="14.25" customHeight="1" x14ac:dyDescent="0.3">
      <c r="A492" s="4"/>
      <c r="B492" s="4"/>
      <c r="C492" s="4"/>
      <c r="D492" s="4"/>
      <c r="E492" s="4"/>
      <c r="F492" s="6" t="str">
        <f>IF(A492="","",COUNTIF(Chicks!$G:$G,A492))</f>
        <v/>
      </c>
      <c r="G492" s="6" t="str">
        <f>IF(A492="","",COUNTIFS(Chicks!$G:$G,A492,Chicks!$I:$I,"Yes"))</f>
        <v/>
      </c>
      <c r="H492" s="6" t="str">
        <f>IF(A492="","",SUMIFS(Chicks!$J:$J,Chicks!$G:$G,A492))</f>
        <v/>
      </c>
      <c r="I492" s="6" t="str">
        <f>IF(A492="","",COUNTIFS(Chicks!$G:$G,A492,Chicks!$I:$I,"No"))</f>
        <v/>
      </c>
      <c r="J492" s="6" t="str">
        <f>IF(A492="","",IFERROR(AVERAGEIF(Chicks!$G:$G,A492,Chicks!$M:$M),""))</f>
        <v/>
      </c>
      <c r="K492" s="6" t="str">
        <f>IF(A492="","",SUMIFS(Chicks!$N:$N,Chicks!$G:$G,A492))</f>
        <v/>
      </c>
      <c r="L492" s="6" t="str">
        <f>IF(A492="","",SUMIFS(Chicks!$O:$O,Chicks!$G:$G,A492))</f>
        <v/>
      </c>
      <c r="M492" s="6" t="str">
        <f>IF(A492="","",SUMIFS(Chicks!$P:$P,Chicks!$G:$G,A492))</f>
        <v/>
      </c>
      <c r="N492" s="6" t="str">
        <f t="shared" si="2"/>
        <v/>
      </c>
    </row>
    <row r="493" spans="1:14" ht="14.25" customHeight="1" x14ac:dyDescent="0.3">
      <c r="A493" s="4"/>
      <c r="B493" s="4"/>
      <c r="C493" s="4"/>
      <c r="D493" s="4"/>
      <c r="E493" s="4"/>
      <c r="F493" s="6" t="str">
        <f>IF(A493="","",COUNTIF(Chicks!$G:$G,A493))</f>
        <v/>
      </c>
      <c r="G493" s="6" t="str">
        <f>IF(A493="","",COUNTIFS(Chicks!$G:$G,A493,Chicks!$I:$I,"Yes"))</f>
        <v/>
      </c>
      <c r="H493" s="6" t="str">
        <f>IF(A493="","",SUMIFS(Chicks!$J:$J,Chicks!$G:$G,A493))</f>
        <v/>
      </c>
      <c r="I493" s="6" t="str">
        <f>IF(A493="","",COUNTIFS(Chicks!$G:$G,A493,Chicks!$I:$I,"No"))</f>
        <v/>
      </c>
      <c r="J493" s="6" t="str">
        <f>IF(A493="","",IFERROR(AVERAGEIF(Chicks!$G:$G,A493,Chicks!$M:$M),""))</f>
        <v/>
      </c>
      <c r="K493" s="6" t="str">
        <f>IF(A493="","",SUMIFS(Chicks!$N:$N,Chicks!$G:$G,A493))</f>
        <v/>
      </c>
      <c r="L493" s="6" t="str">
        <f>IF(A493="","",SUMIFS(Chicks!$O:$O,Chicks!$G:$G,A493))</f>
        <v/>
      </c>
      <c r="M493" s="6" t="str">
        <f>IF(A493="","",SUMIFS(Chicks!$P:$P,Chicks!$G:$G,A493))</f>
        <v/>
      </c>
      <c r="N493" s="6" t="str">
        <f t="shared" si="2"/>
        <v/>
      </c>
    </row>
    <row r="494" spans="1:14" ht="14.25" customHeight="1" x14ac:dyDescent="0.3">
      <c r="A494" s="4"/>
      <c r="B494" s="4"/>
      <c r="C494" s="4"/>
      <c r="D494" s="4"/>
      <c r="E494" s="4"/>
      <c r="F494" s="6" t="str">
        <f>IF(A494="","",COUNTIF(Chicks!$G:$G,A494))</f>
        <v/>
      </c>
      <c r="G494" s="6" t="str">
        <f>IF(A494="","",COUNTIFS(Chicks!$G:$G,A494,Chicks!$I:$I,"Yes"))</f>
        <v/>
      </c>
      <c r="H494" s="6" t="str">
        <f>IF(A494="","",SUMIFS(Chicks!$J:$J,Chicks!$G:$G,A494))</f>
        <v/>
      </c>
      <c r="I494" s="6" t="str">
        <f>IF(A494="","",COUNTIFS(Chicks!$G:$G,A494,Chicks!$I:$I,"No"))</f>
        <v/>
      </c>
      <c r="J494" s="6" t="str">
        <f>IF(A494="","",IFERROR(AVERAGEIF(Chicks!$G:$G,A494,Chicks!$M:$M),""))</f>
        <v/>
      </c>
      <c r="K494" s="6" t="str">
        <f>IF(A494="","",SUMIFS(Chicks!$N:$N,Chicks!$G:$G,A494))</f>
        <v/>
      </c>
      <c r="L494" s="6" t="str">
        <f>IF(A494="","",SUMIFS(Chicks!$O:$O,Chicks!$G:$G,A494))</f>
        <v/>
      </c>
      <c r="M494" s="6" t="str">
        <f>IF(A494="","",SUMIFS(Chicks!$P:$P,Chicks!$G:$G,A494))</f>
        <v/>
      </c>
      <c r="N494" s="6" t="str">
        <f t="shared" si="2"/>
        <v/>
      </c>
    </row>
    <row r="495" spans="1:14" ht="14.25" customHeight="1" x14ac:dyDescent="0.3">
      <c r="A495" s="4"/>
      <c r="B495" s="4"/>
      <c r="C495" s="4"/>
      <c r="D495" s="4"/>
      <c r="E495" s="4"/>
      <c r="F495" s="6" t="str">
        <f>IF(A495="","",COUNTIF(Chicks!$G:$G,A495))</f>
        <v/>
      </c>
      <c r="G495" s="6" t="str">
        <f>IF(A495="","",COUNTIFS(Chicks!$G:$G,A495,Chicks!$I:$I,"Yes"))</f>
        <v/>
      </c>
      <c r="H495" s="6" t="str">
        <f>IF(A495="","",SUMIFS(Chicks!$J:$J,Chicks!$G:$G,A495))</f>
        <v/>
      </c>
      <c r="I495" s="6" t="str">
        <f>IF(A495="","",COUNTIFS(Chicks!$G:$G,A495,Chicks!$I:$I,"No"))</f>
        <v/>
      </c>
      <c r="J495" s="6" t="str">
        <f>IF(A495="","",IFERROR(AVERAGEIF(Chicks!$G:$G,A495,Chicks!$M:$M),""))</f>
        <v/>
      </c>
      <c r="K495" s="6" t="str">
        <f>IF(A495="","",SUMIFS(Chicks!$N:$N,Chicks!$G:$G,A495))</f>
        <v/>
      </c>
      <c r="L495" s="6" t="str">
        <f>IF(A495="","",SUMIFS(Chicks!$O:$O,Chicks!$G:$G,A495))</f>
        <v/>
      </c>
      <c r="M495" s="6" t="str">
        <f>IF(A495="","",SUMIFS(Chicks!$P:$P,Chicks!$G:$G,A495))</f>
        <v/>
      </c>
      <c r="N495" s="6" t="str">
        <f t="shared" si="2"/>
        <v/>
      </c>
    </row>
    <row r="496" spans="1:14" ht="14.25" customHeight="1" x14ac:dyDescent="0.3">
      <c r="A496" s="4"/>
      <c r="B496" s="4"/>
      <c r="C496" s="4"/>
      <c r="D496" s="4"/>
      <c r="E496" s="4"/>
      <c r="F496" s="6" t="str">
        <f>IF(A496="","",COUNTIF(Chicks!$G:$G,A496))</f>
        <v/>
      </c>
      <c r="G496" s="6" t="str">
        <f>IF(A496="","",COUNTIFS(Chicks!$G:$G,A496,Chicks!$I:$I,"Yes"))</f>
        <v/>
      </c>
      <c r="H496" s="6" t="str">
        <f>IF(A496="","",SUMIFS(Chicks!$J:$J,Chicks!$G:$G,A496))</f>
        <v/>
      </c>
      <c r="I496" s="6" t="str">
        <f>IF(A496="","",COUNTIFS(Chicks!$G:$G,A496,Chicks!$I:$I,"No"))</f>
        <v/>
      </c>
      <c r="J496" s="6" t="str">
        <f>IF(A496="","",IFERROR(AVERAGEIF(Chicks!$G:$G,A496,Chicks!$M:$M),""))</f>
        <v/>
      </c>
      <c r="K496" s="6" t="str">
        <f>IF(A496="","",SUMIFS(Chicks!$N:$N,Chicks!$G:$G,A496))</f>
        <v/>
      </c>
      <c r="L496" s="6" t="str">
        <f>IF(A496="","",SUMIFS(Chicks!$O:$O,Chicks!$G:$G,A496))</f>
        <v/>
      </c>
      <c r="M496" s="6" t="str">
        <f>IF(A496="","",SUMIFS(Chicks!$P:$P,Chicks!$G:$G,A496))</f>
        <v/>
      </c>
      <c r="N496" s="6" t="str">
        <f t="shared" si="2"/>
        <v/>
      </c>
    </row>
    <row r="497" spans="1:14" ht="14.25" customHeight="1" x14ac:dyDescent="0.3">
      <c r="A497" s="4"/>
      <c r="B497" s="4"/>
      <c r="C497" s="4"/>
      <c r="D497" s="4"/>
      <c r="E497" s="4"/>
      <c r="F497" s="6" t="str">
        <f>IF(A497="","",COUNTIF(Chicks!$G:$G,A497))</f>
        <v/>
      </c>
      <c r="G497" s="6" t="str">
        <f>IF(A497="","",COUNTIFS(Chicks!$G:$G,A497,Chicks!$I:$I,"Yes"))</f>
        <v/>
      </c>
      <c r="H497" s="6" t="str">
        <f>IF(A497="","",SUMIFS(Chicks!$J:$J,Chicks!$G:$G,A497))</f>
        <v/>
      </c>
      <c r="I497" s="6" t="str">
        <f>IF(A497="","",COUNTIFS(Chicks!$G:$G,A497,Chicks!$I:$I,"No"))</f>
        <v/>
      </c>
      <c r="J497" s="6" t="str">
        <f>IF(A497="","",IFERROR(AVERAGEIF(Chicks!$G:$G,A497,Chicks!$M:$M),""))</f>
        <v/>
      </c>
      <c r="K497" s="6" t="str">
        <f>IF(A497="","",SUMIFS(Chicks!$N:$N,Chicks!$G:$G,A497))</f>
        <v/>
      </c>
      <c r="L497" s="6" t="str">
        <f>IF(A497="","",SUMIFS(Chicks!$O:$O,Chicks!$G:$G,A497))</f>
        <v/>
      </c>
      <c r="M497" s="6" t="str">
        <f>IF(A497="","",SUMIFS(Chicks!$P:$P,Chicks!$G:$G,A497))</f>
        <v/>
      </c>
      <c r="N497" s="6" t="str">
        <f t="shared" si="2"/>
        <v/>
      </c>
    </row>
    <row r="498" spans="1:14" ht="14.25" customHeight="1" x14ac:dyDescent="0.3">
      <c r="A498" s="4"/>
      <c r="B498" s="4"/>
      <c r="C498" s="4"/>
      <c r="D498" s="4"/>
      <c r="E498" s="4"/>
      <c r="F498" s="6" t="str">
        <f>IF(A498="","",COUNTIF(Chicks!$G:$G,A498))</f>
        <v/>
      </c>
      <c r="G498" s="6" t="str">
        <f>IF(A498="","",COUNTIFS(Chicks!$G:$G,A498,Chicks!$I:$I,"Yes"))</f>
        <v/>
      </c>
      <c r="H498" s="6" t="str">
        <f>IF(A498="","",SUMIFS(Chicks!$J:$J,Chicks!$G:$G,A498))</f>
        <v/>
      </c>
      <c r="I498" s="6" t="str">
        <f>IF(A498="","",COUNTIFS(Chicks!$G:$G,A498,Chicks!$I:$I,"No"))</f>
        <v/>
      </c>
      <c r="J498" s="6" t="str">
        <f>IF(A498="","",IFERROR(AVERAGEIF(Chicks!$G:$G,A498,Chicks!$M:$M),""))</f>
        <v/>
      </c>
      <c r="K498" s="6" t="str">
        <f>IF(A498="","",SUMIFS(Chicks!$N:$N,Chicks!$G:$G,A498))</f>
        <v/>
      </c>
      <c r="L498" s="6" t="str">
        <f>IF(A498="","",SUMIFS(Chicks!$O:$O,Chicks!$G:$G,A498))</f>
        <v/>
      </c>
      <c r="M498" s="6" t="str">
        <f>IF(A498="","",SUMIFS(Chicks!$P:$P,Chicks!$G:$G,A498))</f>
        <v/>
      </c>
      <c r="N498" s="6" t="str">
        <f t="shared" si="2"/>
        <v/>
      </c>
    </row>
    <row r="499" spans="1:14" ht="14.25" customHeight="1" x14ac:dyDescent="0.3">
      <c r="F499" s="6" t="str">
        <f>IF(A499="","",COUNTIF(Chicks!$G:$G,A499))</f>
        <v/>
      </c>
      <c r="G499" s="6" t="str">
        <f>IF(A499="","",COUNTIFS(Chicks!$G:$G,A499,Chicks!$I:$I,"Yes"))</f>
        <v/>
      </c>
      <c r="H499" s="6" t="str">
        <f>IF(A499="","",SUMIFS(Chicks!$J:$J,Chicks!$G:$G,A499))</f>
        <v/>
      </c>
      <c r="I499" s="6" t="str">
        <f>IF(A499="","",COUNTIFS(Chicks!$G:$G,A499,Chicks!$I:$I,"No"))</f>
        <v/>
      </c>
      <c r="J499" s="6" t="str">
        <f>IF(A499="","",IFERROR(AVERAGEIF(Chicks!$G:$G,A499,Chicks!$M:$M),""))</f>
        <v/>
      </c>
      <c r="K499" s="6" t="str">
        <f>IF(A499="","",SUMIFS(Chicks!$N:$N,Chicks!$G:$G,A499))</f>
        <v/>
      </c>
      <c r="L499" s="6" t="str">
        <f>IF(A499="","",SUMIFS(Chicks!$O:$O,Chicks!$G:$G,A499))</f>
        <v/>
      </c>
      <c r="M499" s="6" t="str">
        <f>IF(A499="","",SUMIFS(Chicks!$P:$P,Chicks!$G:$G,A499))</f>
        <v/>
      </c>
      <c r="N499" s="6" t="str">
        <f t="shared" si="2"/>
        <v/>
      </c>
    </row>
    <row r="500" spans="1:14" ht="14.25" customHeight="1" x14ac:dyDescent="0.3">
      <c r="F500" s="6" t="str">
        <f>IF(A500="","",COUNTIF(Chicks!$G:$G,A500))</f>
        <v/>
      </c>
      <c r="G500" s="6" t="str">
        <f>IF(A500="","",COUNTIFS(Chicks!$G:$G,A500,Chicks!$I:$I,"Yes"))</f>
        <v/>
      </c>
      <c r="H500" s="6" t="str">
        <f>IF(A500="","",SUMIFS(Chicks!$J:$J,Chicks!$G:$G,A500))</f>
        <v/>
      </c>
      <c r="I500" s="6" t="str">
        <f>IF(A500="","",COUNTIFS(Chicks!$G:$G,A500,Chicks!$I:$I,"No"))</f>
        <v/>
      </c>
      <c r="J500" s="6" t="str">
        <f>IF(A500="","",IFERROR(AVERAGEIF(Chicks!$G:$G,A500,Chicks!$M:$M),""))</f>
        <v/>
      </c>
      <c r="K500" s="6" t="str">
        <f>IF(A500="","",SUMIFS(Chicks!$N:$N,Chicks!$G:$G,A500))</f>
        <v/>
      </c>
      <c r="L500" s="6" t="str">
        <f>IF(A500="","",SUMIFS(Chicks!$O:$O,Chicks!$G:$G,A500))</f>
        <v/>
      </c>
      <c r="M500" s="6" t="str">
        <f>IF(A500="","",SUMIFS(Chicks!$P:$P,Chicks!$G:$G,A500))</f>
        <v/>
      </c>
      <c r="N500" s="6" t="str">
        <f t="shared" si="2"/>
        <v/>
      </c>
    </row>
    <row r="501" spans="1:14" ht="14.25" customHeight="1" x14ac:dyDescent="0.3">
      <c r="F501" s="6" t="str">
        <f>IF(A501="","",COUNTIF(Chicks!$G:$G,A501))</f>
        <v/>
      </c>
      <c r="G501" s="6" t="str">
        <f>IF(A501="","",COUNTIFS(Chicks!$G:$G,A501,Chicks!$I:$I,"Yes"))</f>
        <v/>
      </c>
      <c r="H501" s="6" t="str">
        <f>IF(A501="","",SUMIFS(Chicks!$J:$J,Chicks!$G:$G,A501))</f>
        <v/>
      </c>
      <c r="I501" s="6" t="str">
        <f>IF(A501="","",COUNTIFS(Chicks!$G:$G,A501,Chicks!$I:$I,"No"))</f>
        <v/>
      </c>
      <c r="J501" s="6" t="str">
        <f>IF(A501="","",IFERROR(AVERAGEIF(Chicks!$G:$G,A501,Chicks!$M:$M),""))</f>
        <v/>
      </c>
      <c r="K501" s="6" t="str">
        <f>IF(A501="","",SUMIFS(Chicks!$N:$N,Chicks!$G:$G,A501))</f>
        <v/>
      </c>
      <c r="L501" s="6" t="str">
        <f>IF(A501="","",SUMIFS(Chicks!$O:$O,Chicks!$G:$G,A501))</f>
        <v/>
      </c>
      <c r="M501" s="6" t="str">
        <f>IF(A501="","",SUMIFS(Chicks!$P:$P,Chicks!$G:$G,A501))</f>
        <v/>
      </c>
      <c r="N501" s="6" t="str">
        <f t="shared" si="2"/>
        <v/>
      </c>
    </row>
    <row r="502" spans="1:14" ht="14.25" customHeight="1" x14ac:dyDescent="0.3">
      <c r="F502" s="6" t="str">
        <f>IF(A502="","",COUNTIF(Chicks!$G:$G,A502))</f>
        <v/>
      </c>
      <c r="G502" s="6" t="str">
        <f>IF(A502="","",COUNTIFS(Chicks!$G:$G,A502,Chicks!$I:$I,"Yes"))</f>
        <v/>
      </c>
      <c r="H502" s="6" t="str">
        <f>IF(A502="","",SUMIFS(Chicks!$J:$J,Chicks!$G:$G,A502))</f>
        <v/>
      </c>
      <c r="I502" s="6" t="str">
        <f>IF(A502="","",COUNTIFS(Chicks!$G:$G,A502,Chicks!$I:$I,"No"))</f>
        <v/>
      </c>
      <c r="J502" s="6" t="str">
        <f>IF(A502="","",IFERROR(AVERAGEIF(Chicks!$G:$G,A502,Chicks!$M:$M),""))</f>
        <v/>
      </c>
      <c r="K502" s="6" t="str">
        <f>IF(A502="","",SUMIFS(Chicks!$N:$N,Chicks!$G:$G,A502))</f>
        <v/>
      </c>
      <c r="L502" s="6" t="str">
        <f>IF(A502="","",SUMIFS(Chicks!$O:$O,Chicks!$G:$G,A502))</f>
        <v/>
      </c>
      <c r="M502" s="6" t="str">
        <f>IF(A502="","",SUMIFS(Chicks!$P:$P,Chicks!$G:$G,A502))</f>
        <v/>
      </c>
      <c r="N502" s="6" t="str">
        <f t="shared" si="2"/>
        <v/>
      </c>
    </row>
    <row r="503" spans="1:14" ht="14.25" customHeight="1" x14ac:dyDescent="0.3">
      <c r="F503" s="6" t="str">
        <f>IF(A503="","",COUNTIF(Chicks!$G:$G,A503))</f>
        <v/>
      </c>
      <c r="G503" s="6" t="str">
        <f>IF(A503="","",COUNTIFS(Chicks!$G:$G,A503,Chicks!$I:$I,"Yes"))</f>
        <v/>
      </c>
      <c r="H503" s="6" t="str">
        <f>IF(A503="","",SUMIFS(Chicks!$J:$J,Chicks!$G:$G,A503))</f>
        <v/>
      </c>
      <c r="I503" s="6" t="str">
        <f>IF(A503="","",COUNTIFS(Chicks!$G:$G,A503,Chicks!$I:$I,"No"))</f>
        <v/>
      </c>
      <c r="J503" s="6" t="str">
        <f>IF(A503="","",IFERROR(AVERAGEIF(Chicks!$G:$G,A503,Chicks!$M:$M),""))</f>
        <v/>
      </c>
      <c r="K503" s="6" t="str">
        <f>IF(A503="","",SUMIFS(Chicks!$N:$N,Chicks!$G:$G,A503))</f>
        <v/>
      </c>
      <c r="L503" s="6" t="str">
        <f>IF(A503="","",SUMIFS(Chicks!$O:$O,Chicks!$G:$G,A503))</f>
        <v/>
      </c>
      <c r="M503" s="6" t="str">
        <f>IF(A503="","",SUMIFS(Chicks!$P:$P,Chicks!$G:$G,A503))</f>
        <v/>
      </c>
      <c r="N503" s="6" t="str">
        <f t="shared" si="2"/>
        <v/>
      </c>
    </row>
    <row r="504" spans="1:14" ht="14.25" customHeight="1" x14ac:dyDescent="0.3">
      <c r="F504" s="6" t="str">
        <f>IF(A504="","",COUNTIF(Chicks!$G:$G,A504))</f>
        <v/>
      </c>
      <c r="G504" s="6" t="str">
        <f>IF(A504="","",COUNTIFS(Chicks!$G:$G,A504,Chicks!$I:$I,"Yes"))</f>
        <v/>
      </c>
      <c r="H504" s="6" t="str">
        <f>IF(A504="","",SUMIFS(Chicks!$J:$J,Chicks!$G:$G,A504))</f>
        <v/>
      </c>
      <c r="I504" s="6" t="str">
        <f>IF(A504="","",COUNTIFS(Chicks!$G:$G,A504,Chicks!$I:$I,"No"))</f>
        <v/>
      </c>
      <c r="J504" s="6" t="str">
        <f>IF(A504="","",IFERROR(AVERAGEIF(Chicks!$G:$G,A504,Chicks!$M:$M),""))</f>
        <v/>
      </c>
      <c r="K504" s="6" t="str">
        <f>IF(A504="","",SUMIFS(Chicks!$N:$N,Chicks!$G:$G,A504))</f>
        <v/>
      </c>
      <c r="L504" s="6" t="str">
        <f>IF(A504="","",SUMIFS(Chicks!$O:$O,Chicks!$G:$G,A504))</f>
        <v/>
      </c>
      <c r="M504" s="6" t="str">
        <f>IF(A504="","",SUMIFS(Chicks!$P:$P,Chicks!$G:$G,A504))</f>
        <v/>
      </c>
      <c r="N504" s="6" t="str">
        <f t="shared" si="2"/>
        <v/>
      </c>
    </row>
    <row r="505" spans="1:14" ht="14.25" customHeight="1" x14ac:dyDescent="0.3">
      <c r="F505" s="6" t="str">
        <f>IF(A505="","",COUNTIF(Chicks!$G:$G,A505))</f>
        <v/>
      </c>
      <c r="G505" s="6" t="str">
        <f>IF(A505="","",COUNTIFS(Chicks!$G:$G,A505,Chicks!$I:$I,"Yes"))</f>
        <v/>
      </c>
      <c r="H505" s="6" t="str">
        <f>IF(A505="","",SUMIFS(Chicks!$J:$J,Chicks!$G:$G,A505))</f>
        <v/>
      </c>
      <c r="I505" s="6" t="str">
        <f>IF(A505="","",COUNTIFS(Chicks!$G:$G,A505,Chicks!$I:$I,"No"))</f>
        <v/>
      </c>
      <c r="J505" s="6" t="str">
        <f>IF(A505="","",IFERROR(AVERAGEIF(Chicks!$G:$G,A505,Chicks!$M:$M),""))</f>
        <v/>
      </c>
      <c r="K505" s="6" t="str">
        <f>IF(A505="","",SUMIFS(Chicks!$N:$N,Chicks!$G:$G,A505))</f>
        <v/>
      </c>
      <c r="L505" s="6" t="str">
        <f>IF(A505="","",SUMIFS(Chicks!$O:$O,Chicks!$G:$G,A505))</f>
        <v/>
      </c>
      <c r="M505" s="6" t="str">
        <f>IF(A505="","",SUMIFS(Chicks!$P:$P,Chicks!$G:$G,A505))</f>
        <v/>
      </c>
      <c r="N505" s="6" t="str">
        <f t="shared" si="2"/>
        <v/>
      </c>
    </row>
    <row r="506" spans="1:14" ht="14.25" customHeight="1" x14ac:dyDescent="0.3">
      <c r="F506" s="6" t="str">
        <f>IF(A506="","",COUNTIF(Chicks!$G:$G,A506))</f>
        <v/>
      </c>
      <c r="G506" s="6" t="str">
        <f>IF(A506="","",COUNTIFS(Chicks!$G:$G,A506,Chicks!$I:$I,"Yes"))</f>
        <v/>
      </c>
      <c r="H506" s="6" t="str">
        <f>IF(A506="","",SUMIFS(Chicks!$J:$J,Chicks!$G:$G,A506))</f>
        <v/>
      </c>
      <c r="I506" s="6" t="str">
        <f>IF(A506="","",COUNTIFS(Chicks!$G:$G,A506,Chicks!$I:$I,"No"))</f>
        <v/>
      </c>
      <c r="J506" s="6" t="str">
        <f>IF(A506="","",IFERROR(AVERAGEIF(Chicks!$G:$G,A506,Chicks!$M:$M),""))</f>
        <v/>
      </c>
      <c r="K506" s="6" t="str">
        <f>IF(A506="","",SUMIFS(Chicks!$N:$N,Chicks!$G:$G,A506))</f>
        <v/>
      </c>
      <c r="L506" s="6" t="str">
        <f>IF(A506="","",SUMIFS(Chicks!$O:$O,Chicks!$G:$G,A506))</f>
        <v/>
      </c>
      <c r="M506" s="6" t="str">
        <f>IF(A506="","",SUMIFS(Chicks!$P:$P,Chicks!$G:$G,A506))</f>
        <v/>
      </c>
      <c r="N506" s="6" t="str">
        <f t="shared" si="2"/>
        <v/>
      </c>
    </row>
    <row r="507" spans="1:14" ht="14.25" customHeight="1" x14ac:dyDescent="0.3">
      <c r="F507" s="6" t="str">
        <f>IF(A507="","",COUNTIF(Chicks!$G:$G,A507))</f>
        <v/>
      </c>
      <c r="G507" s="6" t="str">
        <f>IF(A507="","",COUNTIFS(Chicks!$G:$G,A507,Chicks!$I:$I,"Yes"))</f>
        <v/>
      </c>
      <c r="H507" s="6" t="str">
        <f>IF(A507="","",SUMIFS(Chicks!$J:$J,Chicks!$G:$G,A507))</f>
        <v/>
      </c>
      <c r="I507" s="6" t="str">
        <f>IF(A507="","",COUNTIFS(Chicks!$G:$G,A507,Chicks!$I:$I,"No"))</f>
        <v/>
      </c>
      <c r="J507" s="6" t="str">
        <f>IF(A507="","",IFERROR(AVERAGEIF(Chicks!$G:$G,A507,Chicks!$M:$M),""))</f>
        <v/>
      </c>
      <c r="K507" s="6" t="str">
        <f>IF(A507="","",SUMIFS(Chicks!$N:$N,Chicks!$G:$G,A507))</f>
        <v/>
      </c>
      <c r="L507" s="6" t="str">
        <f>IF(A507="","",SUMIFS(Chicks!$O:$O,Chicks!$G:$G,A507))</f>
        <v/>
      </c>
      <c r="M507" s="6" t="str">
        <f>IF(A507="","",SUMIFS(Chicks!$P:$P,Chicks!$G:$G,A507))</f>
        <v/>
      </c>
      <c r="N507" s="6" t="str">
        <f t="shared" si="2"/>
        <v/>
      </c>
    </row>
    <row r="508" spans="1:14" ht="14.25" customHeight="1" x14ac:dyDescent="0.3">
      <c r="F508" s="6" t="str">
        <f>IF(A508="","",COUNTIF(Chicks!$G:$G,A508))</f>
        <v/>
      </c>
      <c r="G508" s="6" t="str">
        <f>IF(A508="","",COUNTIFS(Chicks!$G:$G,A508,Chicks!$I:$I,"Yes"))</f>
        <v/>
      </c>
      <c r="H508" s="6" t="str">
        <f>IF(A508="","",SUMIFS(Chicks!$J:$J,Chicks!$G:$G,A508))</f>
        <v/>
      </c>
      <c r="I508" s="6" t="str">
        <f>IF(A508="","",COUNTIFS(Chicks!$G:$G,A508,Chicks!$I:$I,"No"))</f>
        <v/>
      </c>
      <c r="J508" s="6" t="str">
        <f>IF(A508="","",IFERROR(AVERAGEIF(Chicks!$G:$G,A508,Chicks!$M:$M),""))</f>
        <v/>
      </c>
      <c r="K508" s="6" t="str">
        <f>IF(A508="","",SUMIFS(Chicks!$N:$N,Chicks!$G:$G,A508))</f>
        <v/>
      </c>
      <c r="L508" s="6" t="str">
        <f>IF(A508="","",SUMIFS(Chicks!$O:$O,Chicks!$G:$G,A508))</f>
        <v/>
      </c>
      <c r="M508" s="6" t="str">
        <f>IF(A508="","",SUMIFS(Chicks!$P:$P,Chicks!$G:$G,A508))</f>
        <v/>
      </c>
      <c r="N508" s="6" t="str">
        <f t="shared" si="2"/>
        <v/>
      </c>
    </row>
    <row r="509" spans="1:14" ht="14.25" customHeight="1" x14ac:dyDescent="0.3">
      <c r="F509" s="6" t="str">
        <f>IF(A509="","",COUNTIF(Chicks!$G:$G,A509))</f>
        <v/>
      </c>
      <c r="G509" s="6" t="str">
        <f>IF(A509="","",COUNTIFS(Chicks!$G:$G,A509,Chicks!$I:$I,"Yes"))</f>
        <v/>
      </c>
      <c r="H509" s="6" t="str">
        <f>IF(A509="","",SUMIFS(Chicks!$J:$J,Chicks!$G:$G,A509))</f>
        <v/>
      </c>
      <c r="I509" s="6" t="str">
        <f>IF(A509="","",COUNTIFS(Chicks!$G:$G,A509,Chicks!$I:$I,"No"))</f>
        <v/>
      </c>
      <c r="J509" s="6" t="str">
        <f>IF(A509="","",IFERROR(AVERAGEIF(Chicks!$G:$G,A509,Chicks!$M:$M),""))</f>
        <v/>
      </c>
      <c r="K509" s="6" t="str">
        <f>IF(A509="","",SUMIFS(Chicks!$N:$N,Chicks!$G:$G,A509))</f>
        <v/>
      </c>
      <c r="L509" s="6" t="str">
        <f>IF(A509="","",SUMIFS(Chicks!$O:$O,Chicks!$G:$G,A509))</f>
        <v/>
      </c>
      <c r="M509" s="6" t="str">
        <f>IF(A509="","",SUMIFS(Chicks!$P:$P,Chicks!$G:$G,A509))</f>
        <v/>
      </c>
      <c r="N509" s="6" t="str">
        <f t="shared" si="2"/>
        <v/>
      </c>
    </row>
    <row r="510" spans="1:14" ht="14.25" customHeight="1" x14ac:dyDescent="0.3">
      <c r="F510" s="6" t="str">
        <f>IF(A510="","",COUNTIF(Chicks!$G:$G,A510))</f>
        <v/>
      </c>
      <c r="G510" s="6" t="str">
        <f>IF(A510="","",COUNTIFS(Chicks!$G:$G,A510,Chicks!$I:$I,"Yes"))</f>
        <v/>
      </c>
      <c r="H510" s="6" t="str">
        <f>IF(A510="","",SUMIFS(Chicks!$J:$J,Chicks!$G:$G,A510))</f>
        <v/>
      </c>
      <c r="I510" s="6" t="str">
        <f>IF(A510="","",COUNTIFS(Chicks!$G:$G,A510,Chicks!$I:$I,"No"))</f>
        <v/>
      </c>
      <c r="J510" s="6" t="str">
        <f>IF(A510="","",IFERROR(AVERAGEIF(Chicks!$G:$G,A510,Chicks!$M:$M),""))</f>
        <v/>
      </c>
      <c r="K510" s="6" t="str">
        <f>IF(A510="","",SUMIFS(Chicks!$N:$N,Chicks!$G:$G,A510))</f>
        <v/>
      </c>
      <c r="L510" s="6" t="str">
        <f>IF(A510="","",SUMIFS(Chicks!$O:$O,Chicks!$G:$G,A510))</f>
        <v/>
      </c>
      <c r="M510" s="6" t="str">
        <f>IF(A510="","",SUMIFS(Chicks!$P:$P,Chicks!$G:$G,A510))</f>
        <v/>
      </c>
      <c r="N510" s="6" t="str">
        <f t="shared" si="2"/>
        <v/>
      </c>
    </row>
    <row r="511" spans="1:14" ht="14.25" customHeight="1" x14ac:dyDescent="0.3">
      <c r="F511" s="6" t="str">
        <f>IF(A511="","",COUNTIF(Chicks!$G:$G,A511))</f>
        <v/>
      </c>
      <c r="G511" s="6" t="str">
        <f>IF(A511="","",COUNTIFS(Chicks!$G:$G,A511,Chicks!$I:$I,"Yes"))</f>
        <v/>
      </c>
      <c r="H511" s="6" t="str">
        <f>IF(A511="","",SUMIFS(Chicks!$J:$J,Chicks!$G:$G,A511))</f>
        <v/>
      </c>
      <c r="I511" s="6" t="str">
        <f>IF(A511="","",COUNTIFS(Chicks!$G:$G,A511,Chicks!$I:$I,"No"))</f>
        <v/>
      </c>
      <c r="J511" s="6" t="str">
        <f>IF(A511="","",IFERROR(AVERAGEIF(Chicks!$G:$G,A511,Chicks!$M:$M),""))</f>
        <v/>
      </c>
      <c r="K511" s="6" t="str">
        <f>IF(A511="","",SUMIFS(Chicks!$N:$N,Chicks!$G:$G,A511))</f>
        <v/>
      </c>
      <c r="L511" s="6" t="str">
        <f>IF(A511="","",SUMIFS(Chicks!$O:$O,Chicks!$G:$G,A511))</f>
        <v/>
      </c>
      <c r="M511" s="6" t="str">
        <f>IF(A511="","",SUMIFS(Chicks!$P:$P,Chicks!$G:$G,A511))</f>
        <v/>
      </c>
      <c r="N511" s="6" t="str">
        <f t="shared" si="2"/>
        <v/>
      </c>
    </row>
    <row r="512" spans="1:14" ht="14.25" customHeight="1" x14ac:dyDescent="0.3">
      <c r="F512" s="6" t="str">
        <f>IF(A512="","",COUNTIF(Chicks!$G:$G,A512))</f>
        <v/>
      </c>
      <c r="G512" s="6" t="str">
        <f>IF(A512="","",COUNTIFS(Chicks!$G:$G,A512,Chicks!$I:$I,"Yes"))</f>
        <v/>
      </c>
      <c r="H512" s="6" t="str">
        <f>IF(A512="","",SUMIFS(Chicks!$J:$J,Chicks!$G:$G,A512))</f>
        <v/>
      </c>
      <c r="I512" s="6" t="str">
        <f>IF(A512="","",COUNTIFS(Chicks!$G:$G,A512,Chicks!$I:$I,"No"))</f>
        <v/>
      </c>
      <c r="J512" s="6" t="str">
        <f>IF(A512="","",IFERROR(AVERAGEIF(Chicks!$G:$G,A512,Chicks!$M:$M),""))</f>
        <v/>
      </c>
      <c r="K512" s="6" t="str">
        <f>IF(A512="","",SUMIFS(Chicks!$N:$N,Chicks!$G:$G,A512))</f>
        <v/>
      </c>
      <c r="L512" s="6" t="str">
        <f>IF(A512="","",SUMIFS(Chicks!$O:$O,Chicks!$G:$G,A512))</f>
        <v/>
      </c>
      <c r="M512" s="6" t="str">
        <f>IF(A512="","",SUMIFS(Chicks!$P:$P,Chicks!$G:$G,A512))</f>
        <v/>
      </c>
      <c r="N512" s="6" t="str">
        <f t="shared" ref="N512:N766" si="3">IF($J512="","",RANK($J512,$J$2:$J$998,0))</f>
        <v/>
      </c>
    </row>
    <row r="513" spans="6:14" ht="14.25" customHeight="1" x14ac:dyDescent="0.3">
      <c r="F513" s="6" t="str">
        <f>IF(A513="","",COUNTIF(Chicks!$G:$G,A513))</f>
        <v/>
      </c>
      <c r="G513" s="6" t="str">
        <f>IF(A513="","",COUNTIFS(Chicks!$G:$G,A513,Chicks!$I:$I,"Yes"))</f>
        <v/>
      </c>
      <c r="H513" s="6" t="str">
        <f>IF(A513="","",SUMIFS(Chicks!$J:$J,Chicks!$G:$G,A513))</f>
        <v/>
      </c>
      <c r="I513" s="6" t="str">
        <f>IF(A513="","",COUNTIFS(Chicks!$G:$G,A513,Chicks!$I:$I,"No"))</f>
        <v/>
      </c>
      <c r="J513" s="6" t="str">
        <f>IF(A513="","",IFERROR(AVERAGEIF(Chicks!$G:$G,A513,Chicks!$M:$M),""))</f>
        <v/>
      </c>
      <c r="K513" s="6" t="str">
        <f>IF(A513="","",SUMIFS(Chicks!$N:$N,Chicks!$G:$G,A513))</f>
        <v/>
      </c>
      <c r="L513" s="6" t="str">
        <f>IF(A513="","",SUMIFS(Chicks!$O:$O,Chicks!$G:$G,A513))</f>
        <v/>
      </c>
      <c r="M513" s="6" t="str">
        <f>IF(A513="","",SUMIFS(Chicks!$P:$P,Chicks!$G:$G,A513))</f>
        <v/>
      </c>
      <c r="N513" s="6" t="str">
        <f t="shared" si="3"/>
        <v/>
      </c>
    </row>
    <row r="514" spans="6:14" ht="14.25" customHeight="1" x14ac:dyDescent="0.3">
      <c r="F514" s="6" t="str">
        <f>IF(A514="","",COUNTIF(Chicks!$G:$G,A514))</f>
        <v/>
      </c>
      <c r="G514" s="6" t="str">
        <f>IF(A514="","",COUNTIFS(Chicks!$G:$G,A514,Chicks!$I:$I,"Yes"))</f>
        <v/>
      </c>
      <c r="H514" s="6" t="str">
        <f>IF(A514="","",SUMIFS(Chicks!$J:$J,Chicks!$G:$G,A514))</f>
        <v/>
      </c>
      <c r="I514" s="6" t="str">
        <f>IF(A514="","",COUNTIFS(Chicks!$G:$G,A514,Chicks!$I:$I,"No"))</f>
        <v/>
      </c>
      <c r="J514" s="6" t="str">
        <f>IF(A514="","",IFERROR(AVERAGEIF(Chicks!$G:$G,A514,Chicks!$M:$M),""))</f>
        <v/>
      </c>
      <c r="K514" s="6" t="str">
        <f>IF(A514="","",SUMIFS(Chicks!$N:$N,Chicks!$G:$G,A514))</f>
        <v/>
      </c>
      <c r="L514" s="6" t="str">
        <f>IF(A514="","",SUMIFS(Chicks!$O:$O,Chicks!$G:$G,A514))</f>
        <v/>
      </c>
      <c r="M514" s="6" t="str">
        <f>IF(A514="","",SUMIFS(Chicks!$P:$P,Chicks!$G:$G,A514))</f>
        <v/>
      </c>
      <c r="N514" s="6" t="str">
        <f t="shared" si="3"/>
        <v/>
      </c>
    </row>
    <row r="515" spans="6:14" ht="14.25" customHeight="1" x14ac:dyDescent="0.3">
      <c r="F515" s="6" t="str">
        <f>IF(A515="","",COUNTIF(Chicks!$G:$G,A515))</f>
        <v/>
      </c>
      <c r="G515" s="6" t="str">
        <f>IF(A515="","",COUNTIFS(Chicks!$G:$G,A515,Chicks!$I:$I,"Yes"))</f>
        <v/>
      </c>
      <c r="H515" s="6" t="str">
        <f>IF(A515="","",SUMIFS(Chicks!$J:$J,Chicks!$G:$G,A515))</f>
        <v/>
      </c>
      <c r="I515" s="6" t="str">
        <f>IF(A515="","",COUNTIFS(Chicks!$G:$G,A515,Chicks!$I:$I,"No"))</f>
        <v/>
      </c>
      <c r="J515" s="6" t="str">
        <f>IF(A515="","",IFERROR(AVERAGEIF(Chicks!$G:$G,A515,Chicks!$M:$M),""))</f>
        <v/>
      </c>
      <c r="K515" s="6" t="str">
        <f>IF(A515="","",SUMIFS(Chicks!$N:$N,Chicks!$G:$G,A515))</f>
        <v/>
      </c>
      <c r="L515" s="6" t="str">
        <f>IF(A515="","",SUMIFS(Chicks!$O:$O,Chicks!$G:$G,A515))</f>
        <v/>
      </c>
      <c r="M515" s="6" t="str">
        <f>IF(A515="","",SUMIFS(Chicks!$P:$P,Chicks!$G:$G,A515))</f>
        <v/>
      </c>
      <c r="N515" s="6" t="str">
        <f t="shared" si="3"/>
        <v/>
      </c>
    </row>
    <row r="516" spans="6:14" ht="14.25" customHeight="1" x14ac:dyDescent="0.3">
      <c r="F516" s="6" t="str">
        <f>IF(A516="","",COUNTIF(Chicks!$G:$G,A516))</f>
        <v/>
      </c>
      <c r="G516" s="6" t="str">
        <f>IF(A516="","",COUNTIFS(Chicks!$G:$G,A516,Chicks!$I:$I,"Yes"))</f>
        <v/>
      </c>
      <c r="H516" s="6" t="str">
        <f>IF(A516="","",SUMIFS(Chicks!$J:$J,Chicks!$G:$G,A516))</f>
        <v/>
      </c>
      <c r="I516" s="6" t="str">
        <f>IF(A516="","",COUNTIFS(Chicks!$G:$G,A516,Chicks!$I:$I,"No"))</f>
        <v/>
      </c>
      <c r="J516" s="6" t="str">
        <f>IF(A516="","",IFERROR(AVERAGEIF(Chicks!$G:$G,A516,Chicks!$M:$M),""))</f>
        <v/>
      </c>
      <c r="K516" s="6" t="str">
        <f>IF(A516="","",SUMIFS(Chicks!$N:$N,Chicks!$G:$G,A516))</f>
        <v/>
      </c>
      <c r="L516" s="6" t="str">
        <f>IF(A516="","",SUMIFS(Chicks!$O:$O,Chicks!$G:$G,A516))</f>
        <v/>
      </c>
      <c r="M516" s="6" t="str">
        <f>IF(A516="","",SUMIFS(Chicks!$P:$P,Chicks!$G:$G,A516))</f>
        <v/>
      </c>
      <c r="N516" s="6" t="str">
        <f t="shared" si="3"/>
        <v/>
      </c>
    </row>
    <row r="517" spans="6:14" ht="14.25" customHeight="1" x14ac:dyDescent="0.3">
      <c r="F517" s="6" t="str">
        <f>IF(A517="","",COUNTIF(Chicks!$G:$G,A517))</f>
        <v/>
      </c>
      <c r="G517" s="6" t="str">
        <f>IF(A517="","",COUNTIFS(Chicks!$G:$G,A517,Chicks!$I:$I,"Yes"))</f>
        <v/>
      </c>
      <c r="H517" s="6" t="str">
        <f>IF(A517="","",SUMIFS(Chicks!$J:$J,Chicks!$G:$G,A517))</f>
        <v/>
      </c>
      <c r="I517" s="6" t="str">
        <f>IF(A517="","",COUNTIFS(Chicks!$G:$G,A517,Chicks!$I:$I,"No"))</f>
        <v/>
      </c>
      <c r="J517" s="6" t="str">
        <f>IF(A517="","",IFERROR(AVERAGEIF(Chicks!$G:$G,A517,Chicks!$M:$M),""))</f>
        <v/>
      </c>
      <c r="K517" s="6" t="str">
        <f>IF(A517="","",SUMIFS(Chicks!$N:$N,Chicks!$G:$G,A517))</f>
        <v/>
      </c>
      <c r="L517" s="6" t="str">
        <f>IF(A517="","",SUMIFS(Chicks!$O:$O,Chicks!$G:$G,A517))</f>
        <v/>
      </c>
      <c r="M517" s="6" t="str">
        <f>IF(A517="","",SUMIFS(Chicks!$P:$P,Chicks!$G:$G,A517))</f>
        <v/>
      </c>
      <c r="N517" s="6" t="str">
        <f t="shared" si="3"/>
        <v/>
      </c>
    </row>
    <row r="518" spans="6:14" ht="14.25" customHeight="1" x14ac:dyDescent="0.3">
      <c r="F518" s="6" t="str">
        <f>IF(A518="","",COUNTIF(Chicks!$G:$G,A518))</f>
        <v/>
      </c>
      <c r="G518" s="6" t="str">
        <f>IF(A518="","",COUNTIFS(Chicks!$G:$G,A518,Chicks!$I:$I,"Yes"))</f>
        <v/>
      </c>
      <c r="H518" s="6" t="str">
        <f>IF(A518="","",SUMIFS(Chicks!$J:$J,Chicks!$G:$G,A518))</f>
        <v/>
      </c>
      <c r="I518" s="6" t="str">
        <f>IF(A518="","",COUNTIFS(Chicks!$G:$G,A518,Chicks!$I:$I,"No"))</f>
        <v/>
      </c>
      <c r="J518" s="6" t="str">
        <f>IF(A518="","",IFERROR(AVERAGEIF(Chicks!$G:$G,A518,Chicks!$M:$M),""))</f>
        <v/>
      </c>
      <c r="K518" s="6" t="str">
        <f>IF(A518="","",SUMIFS(Chicks!$N:$N,Chicks!$G:$G,A518))</f>
        <v/>
      </c>
      <c r="L518" s="6" t="str">
        <f>IF(A518="","",SUMIFS(Chicks!$O:$O,Chicks!$G:$G,A518))</f>
        <v/>
      </c>
      <c r="M518" s="6" t="str">
        <f>IF(A518="","",SUMIFS(Chicks!$P:$P,Chicks!$G:$G,A518))</f>
        <v/>
      </c>
      <c r="N518" s="6" t="str">
        <f t="shared" si="3"/>
        <v/>
      </c>
    </row>
    <row r="519" spans="6:14" ht="14.25" customHeight="1" x14ac:dyDescent="0.3">
      <c r="F519" s="6" t="str">
        <f>IF(A519="","",COUNTIF(Chicks!$G:$G,A519))</f>
        <v/>
      </c>
      <c r="G519" s="6" t="str">
        <f>IF(A519="","",COUNTIFS(Chicks!$G:$G,A519,Chicks!$I:$I,"Yes"))</f>
        <v/>
      </c>
      <c r="H519" s="6" t="str">
        <f>IF(A519="","",SUMIFS(Chicks!$J:$J,Chicks!$G:$G,A519))</f>
        <v/>
      </c>
      <c r="I519" s="6" t="str">
        <f>IF(A519="","",COUNTIFS(Chicks!$G:$G,A519,Chicks!$I:$I,"No"))</f>
        <v/>
      </c>
      <c r="J519" s="6" t="str">
        <f>IF(A519="","",IFERROR(AVERAGEIF(Chicks!$G:$G,A519,Chicks!$M:$M),""))</f>
        <v/>
      </c>
      <c r="K519" s="6" t="str">
        <f>IF(A519="","",SUMIFS(Chicks!$N:$N,Chicks!$G:$G,A519))</f>
        <v/>
      </c>
      <c r="L519" s="6" t="str">
        <f>IF(A519="","",SUMIFS(Chicks!$O:$O,Chicks!$G:$G,A519))</f>
        <v/>
      </c>
      <c r="M519" s="6" t="str">
        <f>IF(A519="","",SUMIFS(Chicks!$P:$P,Chicks!$G:$G,A519))</f>
        <v/>
      </c>
      <c r="N519" s="6" t="str">
        <f t="shared" si="3"/>
        <v/>
      </c>
    </row>
    <row r="520" spans="6:14" ht="14.25" customHeight="1" x14ac:dyDescent="0.3">
      <c r="F520" s="6" t="str">
        <f>IF(A520="","",COUNTIF(Chicks!$G:$G,A520))</f>
        <v/>
      </c>
      <c r="G520" s="6" t="str">
        <f>IF(A520="","",COUNTIFS(Chicks!$G:$G,A520,Chicks!$I:$I,"Yes"))</f>
        <v/>
      </c>
      <c r="H520" s="6" t="str">
        <f>IF(A520="","",SUMIFS(Chicks!$J:$J,Chicks!$G:$G,A520))</f>
        <v/>
      </c>
      <c r="I520" s="6" t="str">
        <f>IF(A520="","",COUNTIFS(Chicks!$G:$G,A520,Chicks!$I:$I,"No"))</f>
        <v/>
      </c>
      <c r="J520" s="6" t="str">
        <f>IF(A520="","",IFERROR(AVERAGEIF(Chicks!$G:$G,A520,Chicks!$M:$M),""))</f>
        <v/>
      </c>
      <c r="K520" s="6" t="str">
        <f>IF(A520="","",SUMIFS(Chicks!$N:$N,Chicks!$G:$G,A520))</f>
        <v/>
      </c>
      <c r="L520" s="6" t="str">
        <f>IF(A520="","",SUMIFS(Chicks!$O:$O,Chicks!$G:$G,A520))</f>
        <v/>
      </c>
      <c r="M520" s="6" t="str">
        <f>IF(A520="","",SUMIFS(Chicks!$P:$P,Chicks!$G:$G,A520))</f>
        <v/>
      </c>
      <c r="N520" s="6" t="str">
        <f t="shared" si="3"/>
        <v/>
      </c>
    </row>
    <row r="521" spans="6:14" ht="14.25" customHeight="1" x14ac:dyDescent="0.3">
      <c r="F521" s="6" t="str">
        <f>IF(A521="","",COUNTIF(Chicks!$G:$G,A521))</f>
        <v/>
      </c>
      <c r="G521" s="6" t="str">
        <f>IF(A521="","",COUNTIFS(Chicks!$G:$G,A521,Chicks!$I:$I,"Yes"))</f>
        <v/>
      </c>
      <c r="H521" s="6" t="str">
        <f>IF(A521="","",SUMIFS(Chicks!$J:$J,Chicks!$G:$G,A521))</f>
        <v/>
      </c>
      <c r="I521" s="6" t="str">
        <f>IF(A521="","",COUNTIFS(Chicks!$G:$G,A521,Chicks!$I:$I,"No"))</f>
        <v/>
      </c>
      <c r="J521" s="6" t="str">
        <f>IF(A521="","",IFERROR(AVERAGEIF(Chicks!$G:$G,A521,Chicks!$M:$M),""))</f>
        <v/>
      </c>
      <c r="K521" s="6" t="str">
        <f>IF(A521="","",SUMIFS(Chicks!$N:$N,Chicks!$G:$G,A521))</f>
        <v/>
      </c>
      <c r="L521" s="6" t="str">
        <f>IF(A521="","",SUMIFS(Chicks!$O:$O,Chicks!$G:$G,A521))</f>
        <v/>
      </c>
      <c r="M521" s="6" t="str">
        <f>IF(A521="","",SUMIFS(Chicks!$P:$P,Chicks!$G:$G,A521))</f>
        <v/>
      </c>
      <c r="N521" s="6" t="str">
        <f t="shared" si="3"/>
        <v/>
      </c>
    </row>
    <row r="522" spans="6:14" ht="14.25" customHeight="1" x14ac:dyDescent="0.3">
      <c r="F522" s="6" t="str">
        <f>IF(A522="","",COUNTIF(Chicks!$G:$G,A522))</f>
        <v/>
      </c>
      <c r="G522" s="6" t="str">
        <f>IF(A522="","",COUNTIFS(Chicks!$G:$G,A522,Chicks!$I:$I,"Yes"))</f>
        <v/>
      </c>
      <c r="H522" s="6" t="str">
        <f>IF(A522="","",SUMIFS(Chicks!$J:$J,Chicks!$G:$G,A522))</f>
        <v/>
      </c>
      <c r="I522" s="6" t="str">
        <f>IF(A522="","",COUNTIFS(Chicks!$G:$G,A522,Chicks!$I:$I,"No"))</f>
        <v/>
      </c>
      <c r="J522" s="6" t="str">
        <f>IF(A522="","",IFERROR(AVERAGEIF(Chicks!$G:$G,A522,Chicks!$M:$M),""))</f>
        <v/>
      </c>
      <c r="K522" s="6" t="str">
        <f>IF(A522="","",SUMIFS(Chicks!$N:$N,Chicks!$G:$G,A522))</f>
        <v/>
      </c>
      <c r="L522" s="6" t="str">
        <f>IF(A522="","",SUMIFS(Chicks!$O:$O,Chicks!$G:$G,A522))</f>
        <v/>
      </c>
      <c r="M522" s="6" t="str">
        <f>IF(A522="","",SUMIFS(Chicks!$P:$P,Chicks!$G:$G,A522))</f>
        <v/>
      </c>
      <c r="N522" s="6" t="str">
        <f t="shared" si="3"/>
        <v/>
      </c>
    </row>
    <row r="523" spans="6:14" ht="14.25" customHeight="1" x14ac:dyDescent="0.3">
      <c r="F523" s="6" t="str">
        <f>IF(A523="","",COUNTIF(Chicks!$G:$G,A523))</f>
        <v/>
      </c>
      <c r="G523" s="6" t="str">
        <f>IF(A523="","",COUNTIFS(Chicks!$G:$G,A523,Chicks!$I:$I,"Yes"))</f>
        <v/>
      </c>
      <c r="H523" s="6" t="str">
        <f>IF(A523="","",SUMIFS(Chicks!$J:$J,Chicks!$G:$G,A523))</f>
        <v/>
      </c>
      <c r="I523" s="6" t="str">
        <f>IF(A523="","",COUNTIFS(Chicks!$G:$G,A523,Chicks!$I:$I,"No"))</f>
        <v/>
      </c>
      <c r="J523" s="6" t="str">
        <f>IF(A523="","",IFERROR(AVERAGEIF(Chicks!$G:$G,A523,Chicks!$M:$M),""))</f>
        <v/>
      </c>
      <c r="K523" s="6" t="str">
        <f>IF(A523="","",SUMIFS(Chicks!$N:$N,Chicks!$G:$G,A523))</f>
        <v/>
      </c>
      <c r="L523" s="6" t="str">
        <f>IF(A523="","",SUMIFS(Chicks!$O:$O,Chicks!$G:$G,A523))</f>
        <v/>
      </c>
      <c r="M523" s="6" t="str">
        <f>IF(A523="","",SUMIFS(Chicks!$P:$P,Chicks!$G:$G,A523))</f>
        <v/>
      </c>
      <c r="N523" s="6" t="str">
        <f t="shared" si="3"/>
        <v/>
      </c>
    </row>
    <row r="524" spans="6:14" ht="14.25" customHeight="1" x14ac:dyDescent="0.3">
      <c r="F524" s="6" t="str">
        <f>IF(A524="","",COUNTIF(Chicks!$G:$G,A524))</f>
        <v/>
      </c>
      <c r="G524" s="6" t="str">
        <f>IF(A524="","",COUNTIFS(Chicks!$G:$G,A524,Chicks!$I:$I,"Yes"))</f>
        <v/>
      </c>
      <c r="H524" s="6" t="str">
        <f>IF(A524="","",SUMIFS(Chicks!$J:$J,Chicks!$G:$G,A524))</f>
        <v/>
      </c>
      <c r="I524" s="6" t="str">
        <f>IF(A524="","",COUNTIFS(Chicks!$G:$G,A524,Chicks!$I:$I,"No"))</f>
        <v/>
      </c>
      <c r="J524" s="6" t="str">
        <f>IF(A524="","",IFERROR(AVERAGEIF(Chicks!$G:$G,A524,Chicks!$M:$M),""))</f>
        <v/>
      </c>
      <c r="K524" s="6" t="str">
        <f>IF(A524="","",SUMIFS(Chicks!$N:$N,Chicks!$G:$G,A524))</f>
        <v/>
      </c>
      <c r="L524" s="6" t="str">
        <f>IF(A524="","",SUMIFS(Chicks!$O:$O,Chicks!$G:$G,A524))</f>
        <v/>
      </c>
      <c r="M524" s="6" t="str">
        <f>IF(A524="","",SUMIFS(Chicks!$P:$P,Chicks!$G:$G,A524))</f>
        <v/>
      </c>
      <c r="N524" s="6" t="str">
        <f t="shared" si="3"/>
        <v/>
      </c>
    </row>
    <row r="525" spans="6:14" ht="14.25" customHeight="1" x14ac:dyDescent="0.3">
      <c r="F525" s="6" t="str">
        <f>IF(A525="","",COUNTIF(Chicks!$G:$G,A525))</f>
        <v/>
      </c>
      <c r="G525" s="6" t="str">
        <f>IF(A525="","",COUNTIFS(Chicks!$G:$G,A525,Chicks!$I:$I,"Yes"))</f>
        <v/>
      </c>
      <c r="H525" s="6" t="str">
        <f>IF(A525="","",SUMIFS(Chicks!$J:$J,Chicks!$G:$G,A525))</f>
        <v/>
      </c>
      <c r="I525" s="6" t="str">
        <f>IF(A525="","",COUNTIFS(Chicks!$G:$G,A525,Chicks!$I:$I,"No"))</f>
        <v/>
      </c>
      <c r="J525" s="6" t="str">
        <f>IF(A525="","",IFERROR(AVERAGEIF(Chicks!$G:$G,A525,Chicks!$M:$M),""))</f>
        <v/>
      </c>
      <c r="K525" s="6" t="str">
        <f>IF(A525="","",SUMIFS(Chicks!$N:$N,Chicks!$G:$G,A525))</f>
        <v/>
      </c>
      <c r="L525" s="6" t="str">
        <f>IF(A525="","",SUMIFS(Chicks!$O:$O,Chicks!$G:$G,A525))</f>
        <v/>
      </c>
      <c r="M525" s="6" t="str">
        <f>IF(A525="","",SUMIFS(Chicks!$P:$P,Chicks!$G:$G,A525))</f>
        <v/>
      </c>
      <c r="N525" s="6" t="str">
        <f t="shared" si="3"/>
        <v/>
      </c>
    </row>
    <row r="526" spans="6:14" ht="14.25" customHeight="1" x14ac:dyDescent="0.3">
      <c r="F526" s="6" t="str">
        <f>IF(A526="","",COUNTIF(Chicks!$G:$G,A526))</f>
        <v/>
      </c>
      <c r="G526" s="6" t="str">
        <f>IF(A526="","",COUNTIFS(Chicks!$G:$G,A526,Chicks!$I:$I,"Yes"))</f>
        <v/>
      </c>
      <c r="H526" s="6" t="str">
        <f>IF(A526="","",SUMIFS(Chicks!$J:$J,Chicks!$G:$G,A526))</f>
        <v/>
      </c>
      <c r="I526" s="6" t="str">
        <f>IF(A526="","",COUNTIFS(Chicks!$G:$G,A526,Chicks!$I:$I,"No"))</f>
        <v/>
      </c>
      <c r="J526" s="6" t="str">
        <f>IF(A526="","",IFERROR(AVERAGEIF(Chicks!$G:$G,A526,Chicks!$M:$M),""))</f>
        <v/>
      </c>
      <c r="K526" s="6" t="str">
        <f>IF(A526="","",SUMIFS(Chicks!$N:$N,Chicks!$G:$G,A526))</f>
        <v/>
      </c>
      <c r="L526" s="6" t="str">
        <f>IF(A526="","",SUMIFS(Chicks!$O:$O,Chicks!$G:$G,A526))</f>
        <v/>
      </c>
      <c r="M526" s="6" t="str">
        <f>IF(A526="","",SUMIFS(Chicks!$P:$P,Chicks!$G:$G,A526))</f>
        <v/>
      </c>
      <c r="N526" s="6" t="str">
        <f t="shared" si="3"/>
        <v/>
      </c>
    </row>
    <row r="527" spans="6:14" ht="14.25" customHeight="1" x14ac:dyDescent="0.3">
      <c r="F527" s="6" t="str">
        <f>IF(A527="","",COUNTIF(Chicks!$G:$G,A527))</f>
        <v/>
      </c>
      <c r="G527" s="6" t="str">
        <f>IF(A527="","",COUNTIFS(Chicks!$G:$G,A527,Chicks!$I:$I,"Yes"))</f>
        <v/>
      </c>
      <c r="H527" s="6" t="str">
        <f>IF(A527="","",SUMIFS(Chicks!$J:$J,Chicks!$G:$G,A527))</f>
        <v/>
      </c>
      <c r="I527" s="6" t="str">
        <f>IF(A527="","",COUNTIFS(Chicks!$G:$G,A527,Chicks!$I:$I,"No"))</f>
        <v/>
      </c>
      <c r="J527" s="6" t="str">
        <f>IF(A527="","",IFERROR(AVERAGEIF(Chicks!$G:$G,A527,Chicks!$M:$M),""))</f>
        <v/>
      </c>
      <c r="K527" s="6" t="str">
        <f>IF(A527="","",SUMIFS(Chicks!$N:$N,Chicks!$G:$G,A527))</f>
        <v/>
      </c>
      <c r="L527" s="6" t="str">
        <f>IF(A527="","",SUMIFS(Chicks!$O:$O,Chicks!$G:$G,A527))</f>
        <v/>
      </c>
      <c r="M527" s="6" t="str">
        <f>IF(A527="","",SUMIFS(Chicks!$P:$P,Chicks!$G:$G,A527))</f>
        <v/>
      </c>
      <c r="N527" s="6" t="str">
        <f t="shared" si="3"/>
        <v/>
      </c>
    </row>
    <row r="528" spans="6:14" ht="14.25" customHeight="1" x14ac:dyDescent="0.3">
      <c r="F528" s="6" t="str">
        <f>IF(A528="","",COUNTIF(Chicks!$G:$G,A528))</f>
        <v/>
      </c>
      <c r="G528" s="6" t="str">
        <f>IF(A528="","",COUNTIFS(Chicks!$G:$G,A528,Chicks!$I:$I,"Yes"))</f>
        <v/>
      </c>
      <c r="H528" s="6" t="str">
        <f>IF(A528="","",SUMIFS(Chicks!$J:$J,Chicks!$G:$G,A528))</f>
        <v/>
      </c>
      <c r="I528" s="6" t="str">
        <f>IF(A528="","",COUNTIFS(Chicks!$G:$G,A528,Chicks!$I:$I,"No"))</f>
        <v/>
      </c>
      <c r="J528" s="6" t="str">
        <f>IF(A528="","",IFERROR(AVERAGEIF(Chicks!$G:$G,A528,Chicks!$M:$M),""))</f>
        <v/>
      </c>
      <c r="K528" s="6" t="str">
        <f>IF(A528="","",SUMIFS(Chicks!$N:$N,Chicks!$G:$G,A528))</f>
        <v/>
      </c>
      <c r="L528" s="6" t="str">
        <f>IF(A528="","",SUMIFS(Chicks!$O:$O,Chicks!$G:$G,A528))</f>
        <v/>
      </c>
      <c r="M528" s="6" t="str">
        <f>IF(A528="","",SUMIFS(Chicks!$P:$P,Chicks!$G:$G,A528))</f>
        <v/>
      </c>
      <c r="N528" s="6" t="str">
        <f t="shared" si="3"/>
        <v/>
      </c>
    </row>
    <row r="529" spans="6:14" ht="14.25" customHeight="1" x14ac:dyDescent="0.3">
      <c r="F529" s="6" t="str">
        <f>IF(A529="","",COUNTIF(Chicks!$G:$G,A529))</f>
        <v/>
      </c>
      <c r="G529" s="6" t="str">
        <f>IF(A529="","",COUNTIFS(Chicks!$G:$G,A529,Chicks!$I:$I,"Yes"))</f>
        <v/>
      </c>
      <c r="H529" s="6" t="str">
        <f>IF(A529="","",SUMIFS(Chicks!$J:$J,Chicks!$G:$G,A529))</f>
        <v/>
      </c>
      <c r="I529" s="6" t="str">
        <f>IF(A529="","",COUNTIFS(Chicks!$G:$G,A529,Chicks!$I:$I,"No"))</f>
        <v/>
      </c>
      <c r="J529" s="6" t="str">
        <f>IF(A529="","",IFERROR(AVERAGEIF(Chicks!$G:$G,A529,Chicks!$M:$M),""))</f>
        <v/>
      </c>
      <c r="K529" s="6" t="str">
        <f>IF(A529="","",SUMIFS(Chicks!$N:$N,Chicks!$G:$G,A529))</f>
        <v/>
      </c>
      <c r="L529" s="6" t="str">
        <f>IF(A529="","",SUMIFS(Chicks!$O:$O,Chicks!$G:$G,A529))</f>
        <v/>
      </c>
      <c r="M529" s="6" t="str">
        <f>IF(A529="","",SUMIFS(Chicks!$P:$P,Chicks!$G:$G,A529))</f>
        <v/>
      </c>
      <c r="N529" s="6" t="str">
        <f t="shared" si="3"/>
        <v/>
      </c>
    </row>
    <row r="530" spans="6:14" ht="14.25" customHeight="1" x14ac:dyDescent="0.3">
      <c r="F530" s="6" t="str">
        <f>IF(A530="","",COUNTIF(Chicks!$G:$G,A530))</f>
        <v/>
      </c>
      <c r="G530" s="6" t="str">
        <f>IF(A530="","",COUNTIFS(Chicks!$G:$G,A530,Chicks!$I:$I,"Yes"))</f>
        <v/>
      </c>
      <c r="H530" s="6" t="str">
        <f>IF(A530="","",SUMIFS(Chicks!$J:$J,Chicks!$G:$G,A530))</f>
        <v/>
      </c>
      <c r="I530" s="6" t="str">
        <f>IF(A530="","",COUNTIFS(Chicks!$G:$G,A530,Chicks!$I:$I,"No"))</f>
        <v/>
      </c>
      <c r="J530" s="6" t="str">
        <f>IF(A530="","",IFERROR(AVERAGEIF(Chicks!$G:$G,A530,Chicks!$M:$M),""))</f>
        <v/>
      </c>
      <c r="K530" s="6" t="str">
        <f>IF(A530="","",SUMIFS(Chicks!$N:$N,Chicks!$G:$G,A530))</f>
        <v/>
      </c>
      <c r="L530" s="6" t="str">
        <f>IF(A530="","",SUMIFS(Chicks!$O:$O,Chicks!$G:$G,A530))</f>
        <v/>
      </c>
      <c r="M530" s="6" t="str">
        <f>IF(A530="","",SUMIFS(Chicks!$P:$P,Chicks!$G:$G,A530))</f>
        <v/>
      </c>
      <c r="N530" s="6" t="str">
        <f t="shared" si="3"/>
        <v/>
      </c>
    </row>
    <row r="531" spans="6:14" ht="14.25" customHeight="1" x14ac:dyDescent="0.3">
      <c r="F531" s="6" t="str">
        <f>IF(A531="","",COUNTIF(Chicks!$G:$G,A531))</f>
        <v/>
      </c>
      <c r="G531" s="6" t="str">
        <f>IF(A531="","",COUNTIFS(Chicks!$G:$G,A531,Chicks!$I:$I,"Yes"))</f>
        <v/>
      </c>
      <c r="H531" s="6" t="str">
        <f>IF(A531="","",SUMIFS(Chicks!$J:$J,Chicks!$G:$G,A531))</f>
        <v/>
      </c>
      <c r="I531" s="6" t="str">
        <f>IF(A531="","",COUNTIFS(Chicks!$G:$G,A531,Chicks!$I:$I,"No"))</f>
        <v/>
      </c>
      <c r="J531" s="6" t="str">
        <f>IF(A531="","",IFERROR(AVERAGEIF(Chicks!$G:$G,A531,Chicks!$M:$M),""))</f>
        <v/>
      </c>
      <c r="K531" s="6" t="str">
        <f>IF(A531="","",SUMIFS(Chicks!$N:$N,Chicks!$G:$G,A531))</f>
        <v/>
      </c>
      <c r="L531" s="6" t="str">
        <f>IF(A531="","",SUMIFS(Chicks!$O:$O,Chicks!$G:$G,A531))</f>
        <v/>
      </c>
      <c r="M531" s="6" t="str">
        <f>IF(A531="","",SUMIFS(Chicks!$P:$P,Chicks!$G:$G,A531))</f>
        <v/>
      </c>
      <c r="N531" s="6" t="str">
        <f t="shared" si="3"/>
        <v/>
      </c>
    </row>
    <row r="532" spans="6:14" ht="14.25" customHeight="1" x14ac:dyDescent="0.3">
      <c r="F532" s="6" t="str">
        <f>IF(A532="","",COUNTIF(Chicks!$G:$G,A532))</f>
        <v/>
      </c>
      <c r="G532" s="6" t="str">
        <f>IF(A532="","",COUNTIFS(Chicks!$G:$G,A532,Chicks!$I:$I,"Yes"))</f>
        <v/>
      </c>
      <c r="H532" s="6" t="str">
        <f>IF(A532="","",SUMIFS(Chicks!$J:$J,Chicks!$G:$G,A532))</f>
        <v/>
      </c>
      <c r="I532" s="6" t="str">
        <f>IF(A532="","",COUNTIFS(Chicks!$G:$G,A532,Chicks!$I:$I,"No"))</f>
        <v/>
      </c>
      <c r="J532" s="6" t="str">
        <f>IF(A532="","",IFERROR(AVERAGEIF(Chicks!$G:$G,A532,Chicks!$M:$M),""))</f>
        <v/>
      </c>
      <c r="K532" s="6" t="str">
        <f>IF(A532="","",SUMIFS(Chicks!$N:$N,Chicks!$G:$G,A532))</f>
        <v/>
      </c>
      <c r="L532" s="6" t="str">
        <f>IF(A532="","",SUMIFS(Chicks!$O:$O,Chicks!$G:$G,A532))</f>
        <v/>
      </c>
      <c r="M532" s="6" t="str">
        <f>IF(A532="","",SUMIFS(Chicks!$P:$P,Chicks!$G:$G,A532))</f>
        <v/>
      </c>
      <c r="N532" s="6" t="str">
        <f t="shared" si="3"/>
        <v/>
      </c>
    </row>
    <row r="533" spans="6:14" ht="14.25" customHeight="1" x14ac:dyDescent="0.3">
      <c r="F533" s="6" t="str">
        <f>IF(A533="","",COUNTIF(Chicks!$G:$G,A533))</f>
        <v/>
      </c>
      <c r="G533" s="6" t="str">
        <f>IF(A533="","",COUNTIFS(Chicks!$G:$G,A533,Chicks!$I:$I,"Yes"))</f>
        <v/>
      </c>
      <c r="H533" s="6" t="str">
        <f>IF(A533="","",SUMIFS(Chicks!$J:$J,Chicks!$G:$G,A533))</f>
        <v/>
      </c>
      <c r="I533" s="6" t="str">
        <f>IF(A533="","",COUNTIFS(Chicks!$G:$G,A533,Chicks!$I:$I,"No"))</f>
        <v/>
      </c>
      <c r="J533" s="6" t="str">
        <f>IF(A533="","",IFERROR(AVERAGEIF(Chicks!$G:$G,A533,Chicks!$M:$M),""))</f>
        <v/>
      </c>
      <c r="K533" s="6" t="str">
        <f>IF(A533="","",SUMIFS(Chicks!$N:$N,Chicks!$G:$G,A533))</f>
        <v/>
      </c>
      <c r="L533" s="6" t="str">
        <f>IF(A533="","",SUMIFS(Chicks!$O:$O,Chicks!$G:$G,A533))</f>
        <v/>
      </c>
      <c r="M533" s="6" t="str">
        <f>IF(A533="","",SUMIFS(Chicks!$P:$P,Chicks!$G:$G,A533))</f>
        <v/>
      </c>
      <c r="N533" s="6" t="str">
        <f t="shared" si="3"/>
        <v/>
      </c>
    </row>
    <row r="534" spans="6:14" ht="14.25" customHeight="1" x14ac:dyDescent="0.3">
      <c r="F534" s="6" t="str">
        <f>IF(A534="","",COUNTIF(Chicks!$G:$G,A534))</f>
        <v/>
      </c>
      <c r="G534" s="6" t="str">
        <f>IF(A534="","",COUNTIFS(Chicks!$G:$G,A534,Chicks!$I:$I,"Yes"))</f>
        <v/>
      </c>
      <c r="H534" s="6" t="str">
        <f>IF(A534="","",SUMIFS(Chicks!$J:$J,Chicks!$G:$G,A534))</f>
        <v/>
      </c>
      <c r="I534" s="6" t="str">
        <f>IF(A534="","",COUNTIFS(Chicks!$G:$G,A534,Chicks!$I:$I,"No"))</f>
        <v/>
      </c>
      <c r="J534" s="6" t="str">
        <f>IF(A534="","",IFERROR(AVERAGEIF(Chicks!$G:$G,A534,Chicks!$M:$M),""))</f>
        <v/>
      </c>
      <c r="K534" s="6" t="str">
        <f>IF(A534="","",SUMIFS(Chicks!$N:$N,Chicks!$G:$G,A534))</f>
        <v/>
      </c>
      <c r="L534" s="6" t="str">
        <f>IF(A534="","",SUMIFS(Chicks!$O:$O,Chicks!$G:$G,A534))</f>
        <v/>
      </c>
      <c r="M534" s="6" t="str">
        <f>IF(A534="","",SUMIFS(Chicks!$P:$P,Chicks!$G:$G,A534))</f>
        <v/>
      </c>
      <c r="N534" s="6" t="str">
        <f t="shared" si="3"/>
        <v/>
      </c>
    </row>
    <row r="535" spans="6:14" ht="14.25" customHeight="1" x14ac:dyDescent="0.3">
      <c r="F535" s="6" t="str">
        <f>IF(A535="","",COUNTIF(Chicks!$G:$G,A535))</f>
        <v/>
      </c>
      <c r="G535" s="6" t="str">
        <f>IF(A535="","",COUNTIFS(Chicks!$G:$G,A535,Chicks!$I:$I,"Yes"))</f>
        <v/>
      </c>
      <c r="H535" s="6" t="str">
        <f>IF(A535="","",SUMIFS(Chicks!$J:$J,Chicks!$G:$G,A535))</f>
        <v/>
      </c>
      <c r="I535" s="6" t="str">
        <f>IF(A535="","",COUNTIFS(Chicks!$G:$G,A535,Chicks!$I:$I,"No"))</f>
        <v/>
      </c>
      <c r="J535" s="6" t="str">
        <f>IF(A535="","",IFERROR(AVERAGEIF(Chicks!$G:$G,A535,Chicks!$M:$M),""))</f>
        <v/>
      </c>
      <c r="K535" s="6" t="str">
        <f>IF(A535="","",SUMIFS(Chicks!$N:$N,Chicks!$G:$G,A535))</f>
        <v/>
      </c>
      <c r="L535" s="6" t="str">
        <f>IF(A535="","",SUMIFS(Chicks!$O:$O,Chicks!$G:$G,A535))</f>
        <v/>
      </c>
      <c r="M535" s="6" t="str">
        <f>IF(A535="","",SUMIFS(Chicks!$P:$P,Chicks!$G:$G,A535))</f>
        <v/>
      </c>
      <c r="N535" s="6" t="str">
        <f t="shared" si="3"/>
        <v/>
      </c>
    </row>
    <row r="536" spans="6:14" ht="14.25" customHeight="1" x14ac:dyDescent="0.3">
      <c r="F536" s="6" t="str">
        <f>IF(A536="","",COUNTIF(Chicks!$G:$G,A536))</f>
        <v/>
      </c>
      <c r="G536" s="6" t="str">
        <f>IF(A536="","",COUNTIFS(Chicks!$G:$G,A536,Chicks!$I:$I,"Yes"))</f>
        <v/>
      </c>
      <c r="H536" s="6" t="str">
        <f>IF(A536="","",SUMIFS(Chicks!$J:$J,Chicks!$G:$G,A536))</f>
        <v/>
      </c>
      <c r="I536" s="6" t="str">
        <f>IF(A536="","",COUNTIFS(Chicks!$G:$G,A536,Chicks!$I:$I,"No"))</f>
        <v/>
      </c>
      <c r="J536" s="6" t="str">
        <f>IF(A536="","",IFERROR(AVERAGEIF(Chicks!$G:$G,A536,Chicks!$M:$M),""))</f>
        <v/>
      </c>
      <c r="K536" s="6" t="str">
        <f>IF(A536="","",SUMIFS(Chicks!$N:$N,Chicks!$G:$G,A536))</f>
        <v/>
      </c>
      <c r="L536" s="6" t="str">
        <f>IF(A536="","",SUMIFS(Chicks!$O:$O,Chicks!$G:$G,A536))</f>
        <v/>
      </c>
      <c r="M536" s="6" t="str">
        <f>IF(A536="","",SUMIFS(Chicks!$P:$P,Chicks!$G:$G,A536))</f>
        <v/>
      </c>
      <c r="N536" s="6" t="str">
        <f t="shared" si="3"/>
        <v/>
      </c>
    </row>
    <row r="537" spans="6:14" ht="14.25" customHeight="1" x14ac:dyDescent="0.3">
      <c r="F537" s="6" t="str">
        <f>IF(A537="","",COUNTIF(Chicks!$G:$G,A537))</f>
        <v/>
      </c>
      <c r="G537" s="6" t="str">
        <f>IF(A537="","",COUNTIFS(Chicks!$G:$G,A537,Chicks!$I:$I,"Yes"))</f>
        <v/>
      </c>
      <c r="H537" s="6" t="str">
        <f>IF(A537="","",SUMIFS(Chicks!$J:$J,Chicks!$G:$G,A537))</f>
        <v/>
      </c>
      <c r="I537" s="6" t="str">
        <f>IF(A537="","",COUNTIFS(Chicks!$G:$G,A537,Chicks!$I:$I,"No"))</f>
        <v/>
      </c>
      <c r="J537" s="6" t="str">
        <f>IF(A537="","",IFERROR(AVERAGEIF(Chicks!$G:$G,A537,Chicks!$M:$M),""))</f>
        <v/>
      </c>
      <c r="K537" s="6" t="str">
        <f>IF(A537="","",SUMIFS(Chicks!$N:$N,Chicks!$G:$G,A537))</f>
        <v/>
      </c>
      <c r="L537" s="6" t="str">
        <f>IF(A537="","",SUMIFS(Chicks!$O:$O,Chicks!$G:$G,A537))</f>
        <v/>
      </c>
      <c r="M537" s="6" t="str">
        <f>IF(A537="","",SUMIFS(Chicks!$P:$P,Chicks!$G:$G,A537))</f>
        <v/>
      </c>
      <c r="N537" s="6" t="str">
        <f t="shared" si="3"/>
        <v/>
      </c>
    </row>
    <row r="538" spans="6:14" ht="14.25" customHeight="1" x14ac:dyDescent="0.3">
      <c r="F538" s="6" t="str">
        <f>IF(A538="","",COUNTIF(Chicks!$G:$G,A538))</f>
        <v/>
      </c>
      <c r="G538" s="6" t="str">
        <f>IF(A538="","",COUNTIFS(Chicks!$G:$G,A538,Chicks!$I:$I,"Yes"))</f>
        <v/>
      </c>
      <c r="H538" s="6" t="str">
        <f>IF(A538="","",SUMIFS(Chicks!$J:$J,Chicks!$G:$G,A538))</f>
        <v/>
      </c>
      <c r="I538" s="6" t="str">
        <f>IF(A538="","",COUNTIFS(Chicks!$G:$G,A538,Chicks!$I:$I,"No"))</f>
        <v/>
      </c>
      <c r="J538" s="6" t="str">
        <f>IF(A538="","",IFERROR(AVERAGEIF(Chicks!$G:$G,A538,Chicks!$M:$M),""))</f>
        <v/>
      </c>
      <c r="K538" s="6" t="str">
        <f>IF(A538="","",SUMIFS(Chicks!$N:$N,Chicks!$G:$G,A538))</f>
        <v/>
      </c>
      <c r="L538" s="6" t="str">
        <f>IF(A538="","",SUMIFS(Chicks!$O:$O,Chicks!$G:$G,A538))</f>
        <v/>
      </c>
      <c r="M538" s="6" t="str">
        <f>IF(A538="","",SUMIFS(Chicks!$P:$P,Chicks!$G:$G,A538))</f>
        <v/>
      </c>
      <c r="N538" s="6" t="str">
        <f t="shared" si="3"/>
        <v/>
      </c>
    </row>
    <row r="539" spans="6:14" ht="14.25" customHeight="1" x14ac:dyDescent="0.3">
      <c r="F539" s="6" t="str">
        <f>IF(A539="","",COUNTIF(Chicks!$G:$G,A539))</f>
        <v/>
      </c>
      <c r="G539" s="6" t="str">
        <f>IF(A539="","",COUNTIFS(Chicks!$G:$G,A539,Chicks!$I:$I,"Yes"))</f>
        <v/>
      </c>
      <c r="H539" s="6" t="str">
        <f>IF(A539="","",SUMIFS(Chicks!$J:$J,Chicks!$G:$G,A539))</f>
        <v/>
      </c>
      <c r="I539" s="6" t="str">
        <f>IF(A539="","",COUNTIFS(Chicks!$G:$G,A539,Chicks!$I:$I,"No"))</f>
        <v/>
      </c>
      <c r="J539" s="6" t="str">
        <f>IF(A539="","",IFERROR(AVERAGEIF(Chicks!$G:$G,A539,Chicks!$M:$M),""))</f>
        <v/>
      </c>
      <c r="K539" s="6" t="str">
        <f>IF(A539="","",SUMIFS(Chicks!$N:$N,Chicks!$G:$G,A539))</f>
        <v/>
      </c>
      <c r="L539" s="6" t="str">
        <f>IF(A539="","",SUMIFS(Chicks!$O:$O,Chicks!$G:$G,A539))</f>
        <v/>
      </c>
      <c r="M539" s="6" t="str">
        <f>IF(A539="","",SUMIFS(Chicks!$P:$P,Chicks!$G:$G,A539))</f>
        <v/>
      </c>
      <c r="N539" s="6" t="str">
        <f t="shared" si="3"/>
        <v/>
      </c>
    </row>
    <row r="540" spans="6:14" ht="14.25" customHeight="1" x14ac:dyDescent="0.3">
      <c r="F540" s="6" t="str">
        <f>IF(A540="","",COUNTIF(Chicks!$G:$G,A540))</f>
        <v/>
      </c>
      <c r="G540" s="6" t="str">
        <f>IF(A540="","",COUNTIFS(Chicks!$G:$G,A540,Chicks!$I:$I,"Yes"))</f>
        <v/>
      </c>
      <c r="H540" s="6" t="str">
        <f>IF(A540="","",SUMIFS(Chicks!$J:$J,Chicks!$G:$G,A540))</f>
        <v/>
      </c>
      <c r="I540" s="6" t="str">
        <f>IF(A540="","",COUNTIFS(Chicks!$G:$G,A540,Chicks!$I:$I,"No"))</f>
        <v/>
      </c>
      <c r="J540" s="6" t="str">
        <f>IF(A540="","",IFERROR(AVERAGEIF(Chicks!$G:$G,A540,Chicks!$M:$M),""))</f>
        <v/>
      </c>
      <c r="K540" s="6" t="str">
        <f>IF(A540="","",SUMIFS(Chicks!$N:$N,Chicks!$G:$G,A540))</f>
        <v/>
      </c>
      <c r="L540" s="6" t="str">
        <f>IF(A540="","",SUMIFS(Chicks!$O:$O,Chicks!$G:$G,A540))</f>
        <v/>
      </c>
      <c r="M540" s="6" t="str">
        <f>IF(A540="","",SUMIFS(Chicks!$P:$P,Chicks!$G:$G,A540))</f>
        <v/>
      </c>
      <c r="N540" s="6" t="str">
        <f t="shared" si="3"/>
        <v/>
      </c>
    </row>
    <row r="541" spans="6:14" ht="14.25" customHeight="1" x14ac:dyDescent="0.3">
      <c r="F541" s="6" t="str">
        <f>IF(A541="","",COUNTIF(Chicks!$G:$G,A541))</f>
        <v/>
      </c>
      <c r="G541" s="6" t="str">
        <f>IF(A541="","",COUNTIFS(Chicks!$G:$G,A541,Chicks!$I:$I,"Yes"))</f>
        <v/>
      </c>
      <c r="H541" s="6" t="str">
        <f>IF(A541="","",SUMIFS(Chicks!$J:$J,Chicks!$G:$G,A541))</f>
        <v/>
      </c>
      <c r="I541" s="6" t="str">
        <f>IF(A541="","",COUNTIFS(Chicks!$G:$G,A541,Chicks!$I:$I,"No"))</f>
        <v/>
      </c>
      <c r="J541" s="6" t="str">
        <f>IF(A541="","",IFERROR(AVERAGEIF(Chicks!$G:$G,A541,Chicks!$M:$M),""))</f>
        <v/>
      </c>
      <c r="K541" s="6" t="str">
        <f>IF(A541="","",SUMIFS(Chicks!$N:$N,Chicks!$G:$G,A541))</f>
        <v/>
      </c>
      <c r="L541" s="6" t="str">
        <f>IF(A541="","",SUMIFS(Chicks!$O:$O,Chicks!$G:$G,A541))</f>
        <v/>
      </c>
      <c r="M541" s="6" t="str">
        <f>IF(A541="","",SUMIFS(Chicks!$P:$P,Chicks!$G:$G,A541))</f>
        <v/>
      </c>
      <c r="N541" s="6" t="str">
        <f t="shared" si="3"/>
        <v/>
      </c>
    </row>
    <row r="542" spans="6:14" ht="14.25" customHeight="1" x14ac:dyDescent="0.3">
      <c r="F542" s="6" t="str">
        <f>IF(A542="","",COUNTIF(Chicks!$G:$G,A542))</f>
        <v/>
      </c>
      <c r="G542" s="6" t="str">
        <f>IF(A542="","",COUNTIFS(Chicks!$G:$G,A542,Chicks!$I:$I,"Yes"))</f>
        <v/>
      </c>
      <c r="H542" s="6" t="str">
        <f>IF(A542="","",SUMIFS(Chicks!$J:$J,Chicks!$G:$G,A542))</f>
        <v/>
      </c>
      <c r="I542" s="6" t="str">
        <f>IF(A542="","",COUNTIFS(Chicks!$G:$G,A542,Chicks!$I:$I,"No"))</f>
        <v/>
      </c>
      <c r="J542" s="6" t="str">
        <f>IF(A542="","",IFERROR(AVERAGEIF(Chicks!$G:$G,A542,Chicks!$M:$M),""))</f>
        <v/>
      </c>
      <c r="K542" s="6" t="str">
        <f>IF(A542="","",SUMIFS(Chicks!$N:$N,Chicks!$G:$G,A542))</f>
        <v/>
      </c>
      <c r="L542" s="6" t="str">
        <f>IF(A542="","",SUMIFS(Chicks!$O:$O,Chicks!$G:$G,A542))</f>
        <v/>
      </c>
      <c r="M542" s="6" t="str">
        <f>IF(A542="","",SUMIFS(Chicks!$P:$P,Chicks!$G:$G,A542))</f>
        <v/>
      </c>
      <c r="N542" s="6" t="str">
        <f t="shared" si="3"/>
        <v/>
      </c>
    </row>
    <row r="543" spans="6:14" ht="14.25" customHeight="1" x14ac:dyDescent="0.3">
      <c r="F543" s="6" t="str">
        <f>IF(A543="","",COUNTIF(Chicks!$G:$G,A543))</f>
        <v/>
      </c>
      <c r="G543" s="6" t="str">
        <f>IF(A543="","",COUNTIFS(Chicks!$G:$G,A543,Chicks!$I:$I,"Yes"))</f>
        <v/>
      </c>
      <c r="H543" s="6" t="str">
        <f>IF(A543="","",SUMIFS(Chicks!$J:$J,Chicks!$G:$G,A543))</f>
        <v/>
      </c>
      <c r="I543" s="6" t="str">
        <f>IF(A543="","",COUNTIFS(Chicks!$G:$G,A543,Chicks!$I:$I,"No"))</f>
        <v/>
      </c>
      <c r="J543" s="6" t="str">
        <f>IF(A543="","",IFERROR(AVERAGEIF(Chicks!$G:$G,A543,Chicks!$M:$M),""))</f>
        <v/>
      </c>
      <c r="K543" s="6" t="str">
        <f>IF(A543="","",SUMIFS(Chicks!$N:$N,Chicks!$G:$G,A543))</f>
        <v/>
      </c>
      <c r="L543" s="6" t="str">
        <f>IF(A543="","",SUMIFS(Chicks!$O:$O,Chicks!$G:$G,A543))</f>
        <v/>
      </c>
      <c r="M543" s="6" t="str">
        <f>IF(A543="","",SUMIFS(Chicks!$P:$P,Chicks!$G:$G,A543))</f>
        <v/>
      </c>
      <c r="N543" s="6" t="str">
        <f t="shared" si="3"/>
        <v/>
      </c>
    </row>
    <row r="544" spans="6:14" ht="14.25" customHeight="1" x14ac:dyDescent="0.3">
      <c r="F544" s="6" t="str">
        <f>IF(A544="","",COUNTIF(Chicks!$G:$G,A544))</f>
        <v/>
      </c>
      <c r="G544" s="6" t="str">
        <f>IF(A544="","",COUNTIFS(Chicks!$G:$G,A544,Chicks!$I:$I,"Yes"))</f>
        <v/>
      </c>
      <c r="H544" s="6" t="str">
        <f>IF(A544="","",SUMIFS(Chicks!$J:$J,Chicks!$G:$G,A544))</f>
        <v/>
      </c>
      <c r="I544" s="6" t="str">
        <f>IF(A544="","",COUNTIFS(Chicks!$G:$G,A544,Chicks!$I:$I,"No"))</f>
        <v/>
      </c>
      <c r="J544" s="6" t="str">
        <f>IF(A544="","",IFERROR(AVERAGEIF(Chicks!$G:$G,A544,Chicks!$M:$M),""))</f>
        <v/>
      </c>
      <c r="K544" s="6" t="str">
        <f>IF(A544="","",SUMIFS(Chicks!$N:$N,Chicks!$G:$G,A544))</f>
        <v/>
      </c>
      <c r="L544" s="6" t="str">
        <f>IF(A544="","",SUMIFS(Chicks!$O:$O,Chicks!$G:$G,A544))</f>
        <v/>
      </c>
      <c r="M544" s="6" t="str">
        <f>IF(A544="","",SUMIFS(Chicks!$P:$P,Chicks!$G:$G,A544))</f>
        <v/>
      </c>
      <c r="N544" s="6" t="str">
        <f t="shared" si="3"/>
        <v/>
      </c>
    </row>
    <row r="545" spans="6:14" ht="14.25" customHeight="1" x14ac:dyDescent="0.3">
      <c r="F545" s="6" t="str">
        <f>IF(A545="","",COUNTIF(Chicks!$G:$G,A545))</f>
        <v/>
      </c>
      <c r="G545" s="6" t="str">
        <f>IF(A545="","",COUNTIFS(Chicks!$G:$G,A545,Chicks!$I:$I,"Yes"))</f>
        <v/>
      </c>
      <c r="H545" s="6" t="str">
        <f>IF(A545="","",SUMIFS(Chicks!$J:$J,Chicks!$G:$G,A545))</f>
        <v/>
      </c>
      <c r="I545" s="6" t="str">
        <f>IF(A545="","",COUNTIFS(Chicks!$G:$G,A545,Chicks!$I:$I,"No"))</f>
        <v/>
      </c>
      <c r="J545" s="6" t="str">
        <f>IF(A545="","",IFERROR(AVERAGEIF(Chicks!$G:$G,A545,Chicks!$M:$M),""))</f>
        <v/>
      </c>
      <c r="K545" s="6" t="str">
        <f>IF(A545="","",SUMIFS(Chicks!$N:$N,Chicks!$G:$G,A545))</f>
        <v/>
      </c>
      <c r="L545" s="6" t="str">
        <f>IF(A545="","",SUMIFS(Chicks!$O:$O,Chicks!$G:$G,A545))</f>
        <v/>
      </c>
      <c r="M545" s="6" t="str">
        <f>IF(A545="","",SUMIFS(Chicks!$P:$P,Chicks!$G:$G,A545))</f>
        <v/>
      </c>
      <c r="N545" s="6" t="str">
        <f t="shared" si="3"/>
        <v/>
      </c>
    </row>
    <row r="546" spans="6:14" ht="14.25" customHeight="1" x14ac:dyDescent="0.3">
      <c r="F546" s="6" t="str">
        <f>IF(A546="","",COUNTIF(Chicks!$G:$G,A546))</f>
        <v/>
      </c>
      <c r="G546" s="6" t="str">
        <f>IF(A546="","",COUNTIFS(Chicks!$G:$G,A546,Chicks!$I:$I,"Yes"))</f>
        <v/>
      </c>
      <c r="H546" s="6" t="str">
        <f>IF(A546="","",SUMIFS(Chicks!$J:$J,Chicks!$G:$G,A546))</f>
        <v/>
      </c>
      <c r="I546" s="6" t="str">
        <f>IF(A546="","",COUNTIFS(Chicks!$G:$G,A546,Chicks!$I:$I,"No"))</f>
        <v/>
      </c>
      <c r="J546" s="6" t="str">
        <f>IF(A546="","",IFERROR(AVERAGEIF(Chicks!$G:$G,A546,Chicks!$M:$M),""))</f>
        <v/>
      </c>
      <c r="K546" s="6" t="str">
        <f>IF(A546="","",SUMIFS(Chicks!$N:$N,Chicks!$G:$G,A546))</f>
        <v/>
      </c>
      <c r="L546" s="6" t="str">
        <f>IF(A546="","",SUMIFS(Chicks!$O:$O,Chicks!$G:$G,A546))</f>
        <v/>
      </c>
      <c r="M546" s="6" t="str">
        <f>IF(A546="","",SUMIFS(Chicks!$P:$P,Chicks!$G:$G,A546))</f>
        <v/>
      </c>
      <c r="N546" s="6" t="str">
        <f t="shared" si="3"/>
        <v/>
      </c>
    </row>
    <row r="547" spans="6:14" ht="14.25" customHeight="1" x14ac:dyDescent="0.3">
      <c r="F547" s="6" t="str">
        <f>IF(A547="","",COUNTIF(Chicks!$G:$G,A547))</f>
        <v/>
      </c>
      <c r="G547" s="6" t="str">
        <f>IF(A547="","",COUNTIFS(Chicks!$G:$G,A547,Chicks!$I:$I,"Yes"))</f>
        <v/>
      </c>
      <c r="H547" s="6" t="str">
        <f>IF(A547="","",SUMIFS(Chicks!$J:$J,Chicks!$G:$G,A547))</f>
        <v/>
      </c>
      <c r="I547" s="6" t="str">
        <f>IF(A547="","",COUNTIFS(Chicks!$G:$G,A547,Chicks!$I:$I,"No"))</f>
        <v/>
      </c>
      <c r="J547" s="6" t="str">
        <f>IF(A547="","",IFERROR(AVERAGEIF(Chicks!$G:$G,A547,Chicks!$M:$M),""))</f>
        <v/>
      </c>
      <c r="K547" s="6" t="str">
        <f>IF(A547="","",SUMIFS(Chicks!$N:$N,Chicks!$G:$G,A547))</f>
        <v/>
      </c>
      <c r="L547" s="6" t="str">
        <f>IF(A547="","",SUMIFS(Chicks!$O:$O,Chicks!$G:$G,A547))</f>
        <v/>
      </c>
      <c r="M547" s="6" t="str">
        <f>IF(A547="","",SUMIFS(Chicks!$P:$P,Chicks!$G:$G,A547))</f>
        <v/>
      </c>
      <c r="N547" s="6" t="str">
        <f t="shared" si="3"/>
        <v/>
      </c>
    </row>
    <row r="548" spans="6:14" ht="14.25" customHeight="1" x14ac:dyDescent="0.3">
      <c r="F548" s="6" t="str">
        <f>IF(A548="","",COUNTIF(Chicks!$G:$G,A548))</f>
        <v/>
      </c>
      <c r="G548" s="6" t="str">
        <f>IF(A548="","",COUNTIFS(Chicks!$G:$G,A548,Chicks!$I:$I,"Yes"))</f>
        <v/>
      </c>
      <c r="H548" s="6" t="str">
        <f>IF(A548="","",SUMIFS(Chicks!$J:$J,Chicks!$G:$G,A548))</f>
        <v/>
      </c>
      <c r="I548" s="6" t="str">
        <f>IF(A548="","",COUNTIFS(Chicks!$G:$G,A548,Chicks!$I:$I,"No"))</f>
        <v/>
      </c>
      <c r="J548" s="6" t="str">
        <f>IF(A548="","",IFERROR(AVERAGEIF(Chicks!$G:$G,A548,Chicks!$M:$M),""))</f>
        <v/>
      </c>
      <c r="K548" s="6" t="str">
        <f>IF(A548="","",SUMIFS(Chicks!$N:$N,Chicks!$G:$G,A548))</f>
        <v/>
      </c>
      <c r="L548" s="6" t="str">
        <f>IF(A548="","",SUMIFS(Chicks!$O:$O,Chicks!$G:$G,A548))</f>
        <v/>
      </c>
      <c r="M548" s="6" t="str">
        <f>IF(A548="","",SUMIFS(Chicks!$P:$P,Chicks!$G:$G,A548))</f>
        <v/>
      </c>
      <c r="N548" s="6" t="str">
        <f t="shared" si="3"/>
        <v/>
      </c>
    </row>
    <row r="549" spans="6:14" ht="14.25" customHeight="1" x14ac:dyDescent="0.3">
      <c r="F549" s="6" t="str">
        <f>IF(A549="","",COUNTIF(Chicks!$G:$G,A549))</f>
        <v/>
      </c>
      <c r="G549" s="6" t="str">
        <f>IF(A549="","",COUNTIFS(Chicks!$G:$G,A549,Chicks!$I:$I,"Yes"))</f>
        <v/>
      </c>
      <c r="H549" s="6" t="str">
        <f>IF(A549="","",SUMIFS(Chicks!$J:$J,Chicks!$G:$G,A549))</f>
        <v/>
      </c>
      <c r="I549" s="6" t="str">
        <f>IF(A549="","",COUNTIFS(Chicks!$G:$G,A549,Chicks!$I:$I,"No"))</f>
        <v/>
      </c>
      <c r="J549" s="6" t="str">
        <f>IF(A549="","",IFERROR(AVERAGEIF(Chicks!$G:$G,A549,Chicks!$M:$M),""))</f>
        <v/>
      </c>
      <c r="K549" s="6" t="str">
        <f>IF(A549="","",SUMIFS(Chicks!$N:$N,Chicks!$G:$G,A549))</f>
        <v/>
      </c>
      <c r="L549" s="6" t="str">
        <f>IF(A549="","",SUMIFS(Chicks!$O:$O,Chicks!$G:$G,A549))</f>
        <v/>
      </c>
      <c r="M549" s="6" t="str">
        <f>IF(A549="","",SUMIFS(Chicks!$P:$P,Chicks!$G:$G,A549))</f>
        <v/>
      </c>
      <c r="N549" s="6" t="str">
        <f t="shared" si="3"/>
        <v/>
      </c>
    </row>
    <row r="550" spans="6:14" ht="14.25" customHeight="1" x14ac:dyDescent="0.3">
      <c r="F550" s="6" t="str">
        <f>IF(A550="","",COUNTIF(Chicks!$G:$G,A550))</f>
        <v/>
      </c>
      <c r="G550" s="6" t="str">
        <f>IF(A550="","",COUNTIFS(Chicks!$G:$G,A550,Chicks!$I:$I,"Yes"))</f>
        <v/>
      </c>
      <c r="H550" s="6" t="str">
        <f>IF(A550="","",SUMIFS(Chicks!$J:$J,Chicks!$G:$G,A550))</f>
        <v/>
      </c>
      <c r="I550" s="6" t="str">
        <f>IF(A550="","",COUNTIFS(Chicks!$G:$G,A550,Chicks!$I:$I,"No"))</f>
        <v/>
      </c>
      <c r="J550" s="6" t="str">
        <f>IF(A550="","",IFERROR(AVERAGEIF(Chicks!$G:$G,A550,Chicks!$M:$M),""))</f>
        <v/>
      </c>
      <c r="K550" s="6" t="str">
        <f>IF(A550="","",SUMIFS(Chicks!$N:$N,Chicks!$G:$G,A550))</f>
        <v/>
      </c>
      <c r="L550" s="6" t="str">
        <f>IF(A550="","",SUMIFS(Chicks!$O:$O,Chicks!$G:$G,A550))</f>
        <v/>
      </c>
      <c r="M550" s="6" t="str">
        <f>IF(A550="","",SUMIFS(Chicks!$P:$P,Chicks!$G:$G,A550))</f>
        <v/>
      </c>
      <c r="N550" s="6" t="str">
        <f t="shared" si="3"/>
        <v/>
      </c>
    </row>
    <row r="551" spans="6:14" ht="14.25" customHeight="1" x14ac:dyDescent="0.3">
      <c r="F551" s="6" t="str">
        <f>IF(A551="","",COUNTIF(Chicks!$G:$G,A551))</f>
        <v/>
      </c>
      <c r="G551" s="6" t="str">
        <f>IF(A551="","",COUNTIFS(Chicks!$G:$G,A551,Chicks!$I:$I,"Yes"))</f>
        <v/>
      </c>
      <c r="H551" s="6" t="str">
        <f>IF(A551="","",SUMIFS(Chicks!$J:$J,Chicks!$G:$G,A551))</f>
        <v/>
      </c>
      <c r="I551" s="6" t="str">
        <f>IF(A551="","",COUNTIFS(Chicks!$G:$G,A551,Chicks!$I:$I,"No"))</f>
        <v/>
      </c>
      <c r="J551" s="6" t="str">
        <f>IF(A551="","",IFERROR(AVERAGEIF(Chicks!$G:$G,A551,Chicks!$M:$M),""))</f>
        <v/>
      </c>
      <c r="K551" s="6" t="str">
        <f>IF(A551="","",SUMIFS(Chicks!$N:$N,Chicks!$G:$G,A551))</f>
        <v/>
      </c>
      <c r="L551" s="6" t="str">
        <f>IF(A551="","",SUMIFS(Chicks!$O:$O,Chicks!$G:$G,A551))</f>
        <v/>
      </c>
      <c r="M551" s="6" t="str">
        <f>IF(A551="","",SUMIFS(Chicks!$P:$P,Chicks!$G:$G,A551))</f>
        <v/>
      </c>
      <c r="N551" s="6" t="str">
        <f t="shared" si="3"/>
        <v/>
      </c>
    </row>
    <row r="552" spans="6:14" ht="14.25" customHeight="1" x14ac:dyDescent="0.3">
      <c r="F552" s="6" t="str">
        <f>IF(A552="","",COUNTIF(Chicks!$G:$G,A552))</f>
        <v/>
      </c>
      <c r="G552" s="6" t="str">
        <f>IF(A552="","",COUNTIFS(Chicks!$G:$G,A552,Chicks!$I:$I,"Yes"))</f>
        <v/>
      </c>
      <c r="H552" s="6" t="str">
        <f>IF(A552="","",SUMIFS(Chicks!$J:$J,Chicks!$G:$G,A552))</f>
        <v/>
      </c>
      <c r="I552" s="6" t="str">
        <f>IF(A552="","",COUNTIFS(Chicks!$G:$G,A552,Chicks!$I:$I,"No"))</f>
        <v/>
      </c>
      <c r="J552" s="6" t="str">
        <f>IF(A552="","",IFERROR(AVERAGEIF(Chicks!$G:$G,A552,Chicks!$M:$M),""))</f>
        <v/>
      </c>
      <c r="K552" s="6" t="str">
        <f>IF(A552="","",SUMIFS(Chicks!$N:$N,Chicks!$G:$G,A552))</f>
        <v/>
      </c>
      <c r="L552" s="6" t="str">
        <f>IF(A552="","",SUMIFS(Chicks!$O:$O,Chicks!$G:$G,A552))</f>
        <v/>
      </c>
      <c r="M552" s="6" t="str">
        <f>IF(A552="","",SUMIFS(Chicks!$P:$P,Chicks!$G:$G,A552))</f>
        <v/>
      </c>
      <c r="N552" s="6" t="str">
        <f t="shared" si="3"/>
        <v/>
      </c>
    </row>
    <row r="553" spans="6:14" ht="14.25" customHeight="1" x14ac:dyDescent="0.3">
      <c r="F553" s="6" t="str">
        <f>IF(A553="","",COUNTIF(Chicks!$G:$G,A553))</f>
        <v/>
      </c>
      <c r="G553" s="6" t="str">
        <f>IF(A553="","",COUNTIFS(Chicks!$G:$G,A553,Chicks!$I:$I,"Yes"))</f>
        <v/>
      </c>
      <c r="H553" s="6" t="str">
        <f>IF(A553="","",SUMIFS(Chicks!$J:$J,Chicks!$G:$G,A553))</f>
        <v/>
      </c>
      <c r="I553" s="6" t="str">
        <f>IF(A553="","",COUNTIFS(Chicks!$G:$G,A553,Chicks!$I:$I,"No"))</f>
        <v/>
      </c>
      <c r="J553" s="6" t="str">
        <f>IF(A553="","",IFERROR(AVERAGEIF(Chicks!$G:$G,A553,Chicks!$M:$M),""))</f>
        <v/>
      </c>
      <c r="K553" s="6" t="str">
        <f>IF(A553="","",SUMIFS(Chicks!$N:$N,Chicks!$G:$G,A553))</f>
        <v/>
      </c>
      <c r="L553" s="6" t="str">
        <f>IF(A553="","",SUMIFS(Chicks!$O:$O,Chicks!$G:$G,A553))</f>
        <v/>
      </c>
      <c r="M553" s="6" t="str">
        <f>IF(A553="","",SUMIFS(Chicks!$P:$P,Chicks!$G:$G,A553))</f>
        <v/>
      </c>
      <c r="N553" s="6" t="str">
        <f t="shared" si="3"/>
        <v/>
      </c>
    </row>
    <row r="554" spans="6:14" ht="14.25" customHeight="1" x14ac:dyDescent="0.3">
      <c r="F554" s="6" t="str">
        <f>IF(A554="","",COUNTIF(Chicks!$G:$G,A554))</f>
        <v/>
      </c>
      <c r="G554" s="6" t="str">
        <f>IF(A554="","",COUNTIFS(Chicks!$G:$G,A554,Chicks!$I:$I,"Yes"))</f>
        <v/>
      </c>
      <c r="H554" s="6" t="str">
        <f>IF(A554="","",SUMIFS(Chicks!$J:$J,Chicks!$G:$G,A554))</f>
        <v/>
      </c>
      <c r="I554" s="6" t="str">
        <f>IF(A554="","",COUNTIFS(Chicks!$G:$G,A554,Chicks!$I:$I,"No"))</f>
        <v/>
      </c>
      <c r="J554" s="6" t="str">
        <f>IF(A554="","",IFERROR(AVERAGEIF(Chicks!$G:$G,A554,Chicks!$M:$M),""))</f>
        <v/>
      </c>
      <c r="K554" s="6" t="str">
        <f>IF(A554="","",SUMIFS(Chicks!$N:$N,Chicks!$G:$G,A554))</f>
        <v/>
      </c>
      <c r="L554" s="6" t="str">
        <f>IF(A554="","",SUMIFS(Chicks!$O:$O,Chicks!$G:$G,A554))</f>
        <v/>
      </c>
      <c r="M554" s="6" t="str">
        <f>IF(A554="","",SUMIFS(Chicks!$P:$P,Chicks!$G:$G,A554))</f>
        <v/>
      </c>
      <c r="N554" s="6" t="str">
        <f t="shared" si="3"/>
        <v/>
      </c>
    </row>
    <row r="555" spans="6:14" ht="14.25" customHeight="1" x14ac:dyDescent="0.3">
      <c r="F555" s="6" t="str">
        <f>IF(A555="","",COUNTIF(Chicks!$G:$G,A555))</f>
        <v/>
      </c>
      <c r="G555" s="6" t="str">
        <f>IF(A555="","",COUNTIFS(Chicks!$G:$G,A555,Chicks!$I:$I,"Yes"))</f>
        <v/>
      </c>
      <c r="H555" s="6" t="str">
        <f>IF(A555="","",SUMIFS(Chicks!$J:$J,Chicks!$G:$G,A555))</f>
        <v/>
      </c>
      <c r="I555" s="6" t="str">
        <f>IF(A555="","",COUNTIFS(Chicks!$G:$G,A555,Chicks!$I:$I,"No"))</f>
        <v/>
      </c>
      <c r="J555" s="6" t="str">
        <f>IF(A555="","",IFERROR(AVERAGEIF(Chicks!$G:$G,A555,Chicks!$M:$M),""))</f>
        <v/>
      </c>
      <c r="K555" s="6" t="str">
        <f>IF(A555="","",SUMIFS(Chicks!$N:$N,Chicks!$G:$G,A555))</f>
        <v/>
      </c>
      <c r="L555" s="6" t="str">
        <f>IF(A555="","",SUMIFS(Chicks!$O:$O,Chicks!$G:$G,A555))</f>
        <v/>
      </c>
      <c r="M555" s="6" t="str">
        <f>IF(A555="","",SUMIFS(Chicks!$P:$P,Chicks!$G:$G,A555))</f>
        <v/>
      </c>
      <c r="N555" s="6" t="str">
        <f t="shared" si="3"/>
        <v/>
      </c>
    </row>
    <row r="556" spans="6:14" ht="14.25" customHeight="1" x14ac:dyDescent="0.3">
      <c r="F556" s="6" t="str">
        <f>IF(A556="","",COUNTIF(Chicks!$G:$G,A556))</f>
        <v/>
      </c>
      <c r="G556" s="6" t="str">
        <f>IF(A556="","",COUNTIFS(Chicks!$G:$G,A556,Chicks!$I:$I,"Yes"))</f>
        <v/>
      </c>
      <c r="H556" s="6" t="str">
        <f>IF(A556="","",SUMIFS(Chicks!$J:$J,Chicks!$G:$G,A556))</f>
        <v/>
      </c>
      <c r="I556" s="6" t="str">
        <f>IF(A556="","",COUNTIFS(Chicks!$G:$G,A556,Chicks!$I:$I,"No"))</f>
        <v/>
      </c>
      <c r="J556" s="6" t="str">
        <f>IF(A556="","",IFERROR(AVERAGEIF(Chicks!$G:$G,A556,Chicks!$M:$M),""))</f>
        <v/>
      </c>
      <c r="K556" s="6" t="str">
        <f>IF(A556="","",SUMIFS(Chicks!$N:$N,Chicks!$G:$G,A556))</f>
        <v/>
      </c>
      <c r="L556" s="6" t="str">
        <f>IF(A556="","",SUMIFS(Chicks!$O:$O,Chicks!$G:$G,A556))</f>
        <v/>
      </c>
      <c r="M556" s="6" t="str">
        <f>IF(A556="","",SUMIFS(Chicks!$P:$P,Chicks!$G:$G,A556))</f>
        <v/>
      </c>
      <c r="N556" s="6" t="str">
        <f t="shared" si="3"/>
        <v/>
      </c>
    </row>
    <row r="557" spans="6:14" ht="14.25" customHeight="1" x14ac:dyDescent="0.3">
      <c r="F557" s="6" t="str">
        <f>IF(A557="","",COUNTIF(Chicks!$G:$G,A557))</f>
        <v/>
      </c>
      <c r="G557" s="6" t="str">
        <f>IF(A557="","",COUNTIFS(Chicks!$G:$G,A557,Chicks!$I:$I,"Yes"))</f>
        <v/>
      </c>
      <c r="H557" s="6" t="str">
        <f>IF(A557="","",SUMIFS(Chicks!$J:$J,Chicks!$G:$G,A557))</f>
        <v/>
      </c>
      <c r="I557" s="6" t="str">
        <f>IF(A557="","",COUNTIFS(Chicks!$G:$G,A557,Chicks!$I:$I,"No"))</f>
        <v/>
      </c>
      <c r="J557" s="6" t="str">
        <f>IF(A557="","",IFERROR(AVERAGEIF(Chicks!$G:$G,A557,Chicks!$M:$M),""))</f>
        <v/>
      </c>
      <c r="K557" s="6" t="str">
        <f>IF(A557="","",SUMIFS(Chicks!$N:$N,Chicks!$G:$G,A557))</f>
        <v/>
      </c>
      <c r="L557" s="6" t="str">
        <f>IF(A557="","",SUMIFS(Chicks!$O:$O,Chicks!$G:$G,A557))</f>
        <v/>
      </c>
      <c r="M557" s="6" t="str">
        <f>IF(A557="","",SUMIFS(Chicks!$P:$P,Chicks!$G:$G,A557))</f>
        <v/>
      </c>
      <c r="N557" s="6" t="str">
        <f t="shared" si="3"/>
        <v/>
      </c>
    </row>
    <row r="558" spans="6:14" ht="14.25" customHeight="1" x14ac:dyDescent="0.3">
      <c r="F558" s="6" t="str">
        <f>IF(A558="","",COUNTIF(Chicks!$G:$G,A558))</f>
        <v/>
      </c>
      <c r="G558" s="6" t="str">
        <f>IF(A558="","",COUNTIFS(Chicks!$G:$G,A558,Chicks!$I:$I,"Yes"))</f>
        <v/>
      </c>
      <c r="H558" s="6" t="str">
        <f>IF(A558="","",SUMIFS(Chicks!$J:$J,Chicks!$G:$G,A558))</f>
        <v/>
      </c>
      <c r="I558" s="6" t="str">
        <f>IF(A558="","",COUNTIFS(Chicks!$G:$G,A558,Chicks!$I:$I,"No"))</f>
        <v/>
      </c>
      <c r="J558" s="6" t="str">
        <f>IF(A558="","",IFERROR(AVERAGEIF(Chicks!$G:$G,A558,Chicks!$M:$M),""))</f>
        <v/>
      </c>
      <c r="K558" s="6" t="str">
        <f>IF(A558="","",SUMIFS(Chicks!$N:$N,Chicks!$G:$G,A558))</f>
        <v/>
      </c>
      <c r="L558" s="6" t="str">
        <f>IF(A558="","",SUMIFS(Chicks!$O:$O,Chicks!$G:$G,A558))</f>
        <v/>
      </c>
      <c r="M558" s="6" t="str">
        <f>IF(A558="","",SUMIFS(Chicks!$P:$P,Chicks!$G:$G,A558))</f>
        <v/>
      </c>
      <c r="N558" s="6" t="str">
        <f t="shared" si="3"/>
        <v/>
      </c>
    </row>
    <row r="559" spans="6:14" ht="14.25" customHeight="1" x14ac:dyDescent="0.3">
      <c r="F559" s="6" t="str">
        <f>IF(A559="","",COUNTIF(Chicks!$G:$G,A559))</f>
        <v/>
      </c>
      <c r="G559" s="6" t="str">
        <f>IF(A559="","",COUNTIFS(Chicks!$G:$G,A559,Chicks!$I:$I,"Yes"))</f>
        <v/>
      </c>
      <c r="H559" s="6" t="str">
        <f>IF(A559="","",SUMIFS(Chicks!$J:$J,Chicks!$G:$G,A559))</f>
        <v/>
      </c>
      <c r="I559" s="6" t="str">
        <f>IF(A559="","",COUNTIFS(Chicks!$G:$G,A559,Chicks!$I:$I,"No"))</f>
        <v/>
      </c>
      <c r="J559" s="6" t="str">
        <f>IF(A559="","",IFERROR(AVERAGEIF(Chicks!$G:$G,A559,Chicks!$M:$M),""))</f>
        <v/>
      </c>
      <c r="K559" s="6" t="str">
        <f>IF(A559="","",SUMIFS(Chicks!$N:$N,Chicks!$G:$G,A559))</f>
        <v/>
      </c>
      <c r="L559" s="6" t="str">
        <f>IF(A559="","",SUMIFS(Chicks!$O:$O,Chicks!$G:$G,A559))</f>
        <v/>
      </c>
      <c r="M559" s="6" t="str">
        <f>IF(A559="","",SUMIFS(Chicks!$P:$P,Chicks!$G:$G,A559))</f>
        <v/>
      </c>
      <c r="N559" s="6" t="str">
        <f t="shared" si="3"/>
        <v/>
      </c>
    </row>
    <row r="560" spans="6:14" ht="14.25" customHeight="1" x14ac:dyDescent="0.3">
      <c r="F560" s="6" t="str">
        <f>IF(A560="","",COUNTIF(Chicks!$G:$G,A560))</f>
        <v/>
      </c>
      <c r="G560" s="6" t="str">
        <f>IF(A560="","",COUNTIFS(Chicks!$G:$G,A560,Chicks!$I:$I,"Yes"))</f>
        <v/>
      </c>
      <c r="H560" s="6" t="str">
        <f>IF(A560="","",SUMIFS(Chicks!$J:$J,Chicks!$G:$G,A560))</f>
        <v/>
      </c>
      <c r="I560" s="6" t="str">
        <f>IF(A560="","",COUNTIFS(Chicks!$G:$G,A560,Chicks!$I:$I,"No"))</f>
        <v/>
      </c>
      <c r="J560" s="6" t="str">
        <f>IF(A560="","",IFERROR(AVERAGEIF(Chicks!$G:$G,A560,Chicks!$M:$M),""))</f>
        <v/>
      </c>
      <c r="K560" s="6" t="str">
        <f>IF(A560="","",SUMIFS(Chicks!$N:$N,Chicks!$G:$G,A560))</f>
        <v/>
      </c>
      <c r="L560" s="6" t="str">
        <f>IF(A560="","",SUMIFS(Chicks!$O:$O,Chicks!$G:$G,A560))</f>
        <v/>
      </c>
      <c r="M560" s="6" t="str">
        <f>IF(A560="","",SUMIFS(Chicks!$P:$P,Chicks!$G:$G,A560))</f>
        <v/>
      </c>
      <c r="N560" s="6" t="str">
        <f t="shared" si="3"/>
        <v/>
      </c>
    </row>
    <row r="561" spans="6:14" ht="14.25" customHeight="1" x14ac:dyDescent="0.3">
      <c r="F561" s="6" t="str">
        <f>IF(A561="","",COUNTIF(Chicks!$G:$G,A561))</f>
        <v/>
      </c>
      <c r="G561" s="6" t="str">
        <f>IF(A561="","",COUNTIFS(Chicks!$G:$G,A561,Chicks!$I:$I,"Yes"))</f>
        <v/>
      </c>
      <c r="H561" s="6" t="str">
        <f>IF(A561="","",SUMIFS(Chicks!$J:$J,Chicks!$G:$G,A561))</f>
        <v/>
      </c>
      <c r="I561" s="6" t="str">
        <f>IF(A561="","",COUNTIFS(Chicks!$G:$G,A561,Chicks!$I:$I,"No"))</f>
        <v/>
      </c>
      <c r="J561" s="6" t="str">
        <f>IF(A561="","",IFERROR(AVERAGEIF(Chicks!$G:$G,A561,Chicks!$M:$M),""))</f>
        <v/>
      </c>
      <c r="K561" s="6" t="str">
        <f>IF(A561="","",SUMIFS(Chicks!$N:$N,Chicks!$G:$G,A561))</f>
        <v/>
      </c>
      <c r="L561" s="6" t="str">
        <f>IF(A561="","",SUMIFS(Chicks!$O:$O,Chicks!$G:$G,A561))</f>
        <v/>
      </c>
      <c r="M561" s="6" t="str">
        <f>IF(A561="","",SUMIFS(Chicks!$P:$P,Chicks!$G:$G,A561))</f>
        <v/>
      </c>
      <c r="N561" s="6" t="str">
        <f t="shared" si="3"/>
        <v/>
      </c>
    </row>
    <row r="562" spans="6:14" ht="14.25" customHeight="1" x14ac:dyDescent="0.3">
      <c r="F562" s="6" t="str">
        <f>IF(A562="","",COUNTIF(Chicks!$G:$G,A562))</f>
        <v/>
      </c>
      <c r="G562" s="6" t="str">
        <f>IF(A562="","",COUNTIFS(Chicks!$G:$G,A562,Chicks!$I:$I,"Yes"))</f>
        <v/>
      </c>
      <c r="H562" s="6" t="str">
        <f>IF(A562="","",SUMIFS(Chicks!$J:$J,Chicks!$G:$G,A562))</f>
        <v/>
      </c>
      <c r="I562" s="6" t="str">
        <f>IF(A562="","",COUNTIFS(Chicks!$G:$G,A562,Chicks!$I:$I,"No"))</f>
        <v/>
      </c>
      <c r="J562" s="6" t="str">
        <f>IF(A562="","",IFERROR(AVERAGEIF(Chicks!$G:$G,A562,Chicks!$M:$M),""))</f>
        <v/>
      </c>
      <c r="K562" s="6" t="str">
        <f>IF(A562="","",SUMIFS(Chicks!$N:$N,Chicks!$G:$G,A562))</f>
        <v/>
      </c>
      <c r="L562" s="6" t="str">
        <f>IF(A562="","",SUMIFS(Chicks!$O:$O,Chicks!$G:$G,A562))</f>
        <v/>
      </c>
      <c r="M562" s="6" t="str">
        <f>IF(A562="","",SUMIFS(Chicks!$P:$P,Chicks!$G:$G,A562))</f>
        <v/>
      </c>
      <c r="N562" s="6" t="str">
        <f t="shared" si="3"/>
        <v/>
      </c>
    </row>
    <row r="563" spans="6:14" ht="14.25" customHeight="1" x14ac:dyDescent="0.3">
      <c r="F563" s="6" t="str">
        <f>IF(A563="","",COUNTIF(Chicks!$G:$G,A563))</f>
        <v/>
      </c>
      <c r="G563" s="6" t="str">
        <f>IF(A563="","",COUNTIFS(Chicks!$G:$G,A563,Chicks!$I:$I,"Yes"))</f>
        <v/>
      </c>
      <c r="H563" s="6" t="str">
        <f>IF(A563="","",SUMIFS(Chicks!$J:$J,Chicks!$G:$G,A563))</f>
        <v/>
      </c>
      <c r="I563" s="6" t="str">
        <f>IF(A563="","",COUNTIFS(Chicks!$G:$G,A563,Chicks!$I:$I,"No"))</f>
        <v/>
      </c>
      <c r="J563" s="6" t="str">
        <f>IF(A563="","",IFERROR(AVERAGEIF(Chicks!$G:$G,A563,Chicks!$M:$M),""))</f>
        <v/>
      </c>
      <c r="K563" s="6" t="str">
        <f>IF(A563="","",SUMIFS(Chicks!$N:$N,Chicks!$G:$G,A563))</f>
        <v/>
      </c>
      <c r="L563" s="6" t="str">
        <f>IF(A563="","",SUMIFS(Chicks!$O:$O,Chicks!$G:$G,A563))</f>
        <v/>
      </c>
      <c r="M563" s="6" t="str">
        <f>IF(A563="","",SUMIFS(Chicks!$P:$P,Chicks!$G:$G,A563))</f>
        <v/>
      </c>
      <c r="N563" s="6" t="str">
        <f t="shared" si="3"/>
        <v/>
      </c>
    </row>
    <row r="564" spans="6:14" ht="14.25" customHeight="1" x14ac:dyDescent="0.3">
      <c r="F564" s="6" t="str">
        <f>IF(A564="","",COUNTIF(Chicks!$G:$G,A564))</f>
        <v/>
      </c>
      <c r="G564" s="6" t="str">
        <f>IF(A564="","",COUNTIFS(Chicks!$G:$G,A564,Chicks!$I:$I,"Yes"))</f>
        <v/>
      </c>
      <c r="H564" s="6" t="str">
        <f>IF(A564="","",SUMIFS(Chicks!$J:$J,Chicks!$G:$G,A564))</f>
        <v/>
      </c>
      <c r="I564" s="6" t="str">
        <f>IF(A564="","",COUNTIFS(Chicks!$G:$G,A564,Chicks!$I:$I,"No"))</f>
        <v/>
      </c>
      <c r="J564" s="6" t="str">
        <f>IF(A564="","",IFERROR(AVERAGEIF(Chicks!$G:$G,A564,Chicks!$M:$M),""))</f>
        <v/>
      </c>
      <c r="K564" s="6" t="str">
        <f>IF(A564="","",SUMIFS(Chicks!$N:$N,Chicks!$G:$G,A564))</f>
        <v/>
      </c>
      <c r="L564" s="6" t="str">
        <f>IF(A564="","",SUMIFS(Chicks!$O:$O,Chicks!$G:$G,A564))</f>
        <v/>
      </c>
      <c r="M564" s="6" t="str">
        <f>IF(A564="","",SUMIFS(Chicks!$P:$P,Chicks!$G:$G,A564))</f>
        <v/>
      </c>
      <c r="N564" s="6" t="str">
        <f t="shared" si="3"/>
        <v/>
      </c>
    </row>
    <row r="565" spans="6:14" ht="14.25" customHeight="1" x14ac:dyDescent="0.3">
      <c r="F565" s="6" t="str">
        <f>IF(A565="","",COUNTIF(Chicks!$G:$G,A565))</f>
        <v/>
      </c>
      <c r="G565" s="6" t="str">
        <f>IF(A565="","",COUNTIFS(Chicks!$G:$G,A565,Chicks!$I:$I,"Yes"))</f>
        <v/>
      </c>
      <c r="H565" s="6" t="str">
        <f>IF(A565="","",SUMIFS(Chicks!$J:$J,Chicks!$G:$G,A565))</f>
        <v/>
      </c>
      <c r="I565" s="6" t="str">
        <f>IF(A565="","",COUNTIFS(Chicks!$G:$G,A565,Chicks!$I:$I,"No"))</f>
        <v/>
      </c>
      <c r="J565" s="6" t="str">
        <f>IF(A565="","",IFERROR(AVERAGEIF(Chicks!$G:$G,A565,Chicks!$M:$M),""))</f>
        <v/>
      </c>
      <c r="K565" s="6" t="str">
        <f>IF(A565="","",SUMIFS(Chicks!$N:$N,Chicks!$G:$G,A565))</f>
        <v/>
      </c>
      <c r="L565" s="6" t="str">
        <f>IF(A565="","",SUMIFS(Chicks!$O:$O,Chicks!$G:$G,A565))</f>
        <v/>
      </c>
      <c r="M565" s="6" t="str">
        <f>IF(A565="","",SUMIFS(Chicks!$P:$P,Chicks!$G:$G,A565))</f>
        <v/>
      </c>
      <c r="N565" s="6" t="str">
        <f t="shared" si="3"/>
        <v/>
      </c>
    </row>
    <row r="566" spans="6:14" ht="14.25" customHeight="1" x14ac:dyDescent="0.3">
      <c r="F566" s="6" t="str">
        <f>IF(A566="","",COUNTIF(Chicks!$G:$G,A566))</f>
        <v/>
      </c>
      <c r="G566" s="6" t="str">
        <f>IF(A566="","",COUNTIFS(Chicks!$G:$G,A566,Chicks!$I:$I,"Yes"))</f>
        <v/>
      </c>
      <c r="H566" s="6" t="str">
        <f>IF(A566="","",SUMIFS(Chicks!$J:$J,Chicks!$G:$G,A566))</f>
        <v/>
      </c>
      <c r="I566" s="6" t="str">
        <f>IF(A566="","",COUNTIFS(Chicks!$G:$G,A566,Chicks!$I:$I,"No"))</f>
        <v/>
      </c>
      <c r="J566" s="6" t="str">
        <f>IF(A566="","",IFERROR(AVERAGEIF(Chicks!$G:$G,A566,Chicks!$M:$M),""))</f>
        <v/>
      </c>
      <c r="K566" s="6" t="str">
        <f>IF(A566="","",SUMIFS(Chicks!$N:$N,Chicks!$G:$G,A566))</f>
        <v/>
      </c>
      <c r="L566" s="6" t="str">
        <f>IF(A566="","",SUMIFS(Chicks!$O:$O,Chicks!$G:$G,A566))</f>
        <v/>
      </c>
      <c r="M566" s="6" t="str">
        <f>IF(A566="","",SUMIFS(Chicks!$P:$P,Chicks!$G:$G,A566))</f>
        <v/>
      </c>
      <c r="N566" s="6" t="str">
        <f t="shared" si="3"/>
        <v/>
      </c>
    </row>
    <row r="567" spans="6:14" ht="14.25" customHeight="1" x14ac:dyDescent="0.3">
      <c r="F567" s="6" t="str">
        <f>IF(A567="","",COUNTIF(Chicks!$G:$G,A567))</f>
        <v/>
      </c>
      <c r="G567" s="6" t="str">
        <f>IF(A567="","",COUNTIFS(Chicks!$G:$G,A567,Chicks!$I:$I,"Yes"))</f>
        <v/>
      </c>
      <c r="H567" s="6" t="str">
        <f>IF(A567="","",SUMIFS(Chicks!$J:$J,Chicks!$G:$G,A567))</f>
        <v/>
      </c>
      <c r="I567" s="6" t="str">
        <f>IF(A567="","",COUNTIFS(Chicks!$G:$G,A567,Chicks!$I:$I,"No"))</f>
        <v/>
      </c>
      <c r="J567" s="6" t="str">
        <f>IF(A567="","",IFERROR(AVERAGEIF(Chicks!$G:$G,A567,Chicks!$M:$M),""))</f>
        <v/>
      </c>
      <c r="K567" s="6" t="str">
        <f>IF(A567="","",SUMIFS(Chicks!$N:$N,Chicks!$G:$G,A567))</f>
        <v/>
      </c>
      <c r="L567" s="6" t="str">
        <f>IF(A567="","",SUMIFS(Chicks!$O:$O,Chicks!$G:$G,A567))</f>
        <v/>
      </c>
      <c r="M567" s="6" t="str">
        <f>IF(A567="","",SUMIFS(Chicks!$P:$P,Chicks!$G:$G,A567))</f>
        <v/>
      </c>
      <c r="N567" s="6" t="str">
        <f t="shared" si="3"/>
        <v/>
      </c>
    </row>
    <row r="568" spans="6:14" ht="14.25" customHeight="1" x14ac:dyDescent="0.3">
      <c r="F568" s="6" t="str">
        <f>IF(A568="","",COUNTIF(Chicks!$G:$G,A568))</f>
        <v/>
      </c>
      <c r="G568" s="6" t="str">
        <f>IF(A568="","",COUNTIFS(Chicks!$G:$G,A568,Chicks!$I:$I,"Yes"))</f>
        <v/>
      </c>
      <c r="H568" s="6" t="str">
        <f>IF(A568="","",SUMIFS(Chicks!$J:$J,Chicks!$G:$G,A568))</f>
        <v/>
      </c>
      <c r="I568" s="6" t="str">
        <f>IF(A568="","",COUNTIFS(Chicks!$G:$G,A568,Chicks!$I:$I,"No"))</f>
        <v/>
      </c>
      <c r="J568" s="6" t="str">
        <f>IF(A568="","",IFERROR(AVERAGEIF(Chicks!$G:$G,A568,Chicks!$M:$M),""))</f>
        <v/>
      </c>
      <c r="K568" s="6" t="str">
        <f>IF(A568="","",SUMIFS(Chicks!$N:$N,Chicks!$G:$G,A568))</f>
        <v/>
      </c>
      <c r="L568" s="6" t="str">
        <f>IF(A568="","",SUMIFS(Chicks!$O:$O,Chicks!$G:$G,A568))</f>
        <v/>
      </c>
      <c r="M568" s="6" t="str">
        <f>IF(A568="","",SUMIFS(Chicks!$P:$P,Chicks!$G:$G,A568))</f>
        <v/>
      </c>
      <c r="N568" s="6" t="str">
        <f t="shared" si="3"/>
        <v/>
      </c>
    </row>
    <row r="569" spans="6:14" ht="14.25" customHeight="1" x14ac:dyDescent="0.3">
      <c r="F569" s="6" t="str">
        <f>IF(A569="","",COUNTIF(Chicks!$G:$G,A569))</f>
        <v/>
      </c>
      <c r="G569" s="6" t="str">
        <f>IF(A569="","",COUNTIFS(Chicks!$G:$G,A569,Chicks!$I:$I,"Yes"))</f>
        <v/>
      </c>
      <c r="H569" s="6" t="str">
        <f>IF(A569="","",SUMIFS(Chicks!$J:$J,Chicks!$G:$G,A569))</f>
        <v/>
      </c>
      <c r="I569" s="6" t="str">
        <f>IF(A569="","",COUNTIFS(Chicks!$G:$G,A569,Chicks!$I:$I,"No"))</f>
        <v/>
      </c>
      <c r="J569" s="6" t="str">
        <f>IF(A569="","",IFERROR(AVERAGEIF(Chicks!$G:$G,A569,Chicks!$M:$M),""))</f>
        <v/>
      </c>
      <c r="K569" s="6" t="str">
        <f>IF(A569="","",SUMIFS(Chicks!$N:$N,Chicks!$G:$G,A569))</f>
        <v/>
      </c>
      <c r="L569" s="6" t="str">
        <f>IF(A569="","",SUMIFS(Chicks!$O:$O,Chicks!$G:$G,A569))</f>
        <v/>
      </c>
      <c r="M569" s="6" t="str">
        <f>IF(A569="","",SUMIFS(Chicks!$P:$P,Chicks!$G:$G,A569))</f>
        <v/>
      </c>
      <c r="N569" s="6" t="str">
        <f t="shared" si="3"/>
        <v/>
      </c>
    </row>
    <row r="570" spans="6:14" ht="14.25" customHeight="1" x14ac:dyDescent="0.3">
      <c r="F570" s="6" t="str">
        <f>IF(A570="","",COUNTIF(Chicks!$G:$G,A570))</f>
        <v/>
      </c>
      <c r="G570" s="6" t="str">
        <f>IF(A570="","",COUNTIFS(Chicks!$G:$G,A570,Chicks!$I:$I,"Yes"))</f>
        <v/>
      </c>
      <c r="H570" s="6" t="str">
        <f>IF(A570="","",SUMIFS(Chicks!$J:$J,Chicks!$G:$G,A570))</f>
        <v/>
      </c>
      <c r="I570" s="6" t="str">
        <f>IF(A570="","",COUNTIFS(Chicks!$G:$G,A570,Chicks!$I:$I,"No"))</f>
        <v/>
      </c>
      <c r="J570" s="6" t="str">
        <f>IF(A570="","",IFERROR(AVERAGEIF(Chicks!$G:$G,A570,Chicks!$M:$M),""))</f>
        <v/>
      </c>
      <c r="K570" s="6" t="str">
        <f>IF(A570="","",SUMIFS(Chicks!$N:$N,Chicks!$G:$G,A570))</f>
        <v/>
      </c>
      <c r="L570" s="6" t="str">
        <f>IF(A570="","",SUMIFS(Chicks!$O:$O,Chicks!$G:$G,A570))</f>
        <v/>
      </c>
      <c r="M570" s="6" t="str">
        <f>IF(A570="","",SUMIFS(Chicks!$P:$P,Chicks!$G:$G,A570))</f>
        <v/>
      </c>
      <c r="N570" s="6" t="str">
        <f t="shared" si="3"/>
        <v/>
      </c>
    </row>
    <row r="571" spans="6:14" ht="14.25" customHeight="1" x14ac:dyDescent="0.3">
      <c r="F571" s="6" t="str">
        <f>IF(A571="","",COUNTIF(Chicks!$G:$G,A571))</f>
        <v/>
      </c>
      <c r="G571" s="6" t="str">
        <f>IF(A571="","",COUNTIFS(Chicks!$G:$G,A571,Chicks!$I:$I,"Yes"))</f>
        <v/>
      </c>
      <c r="H571" s="6" t="str">
        <f>IF(A571="","",SUMIFS(Chicks!$J:$J,Chicks!$G:$G,A571))</f>
        <v/>
      </c>
      <c r="I571" s="6" t="str">
        <f>IF(A571="","",COUNTIFS(Chicks!$G:$G,A571,Chicks!$I:$I,"No"))</f>
        <v/>
      </c>
      <c r="J571" s="6" t="str">
        <f>IF(A571="","",IFERROR(AVERAGEIF(Chicks!$G:$G,A571,Chicks!$M:$M),""))</f>
        <v/>
      </c>
      <c r="K571" s="6" t="str">
        <f>IF(A571="","",SUMIFS(Chicks!$N:$N,Chicks!$G:$G,A571))</f>
        <v/>
      </c>
      <c r="L571" s="6" t="str">
        <f>IF(A571="","",SUMIFS(Chicks!$O:$O,Chicks!$G:$G,A571))</f>
        <v/>
      </c>
      <c r="M571" s="6" t="str">
        <f>IF(A571="","",SUMIFS(Chicks!$P:$P,Chicks!$G:$G,A571))</f>
        <v/>
      </c>
      <c r="N571" s="6" t="str">
        <f t="shared" si="3"/>
        <v/>
      </c>
    </row>
    <row r="572" spans="6:14" ht="14.25" customHeight="1" x14ac:dyDescent="0.3">
      <c r="F572" s="6" t="str">
        <f>IF(A572="","",COUNTIF(Chicks!$G:$G,A572))</f>
        <v/>
      </c>
      <c r="G572" s="6" t="str">
        <f>IF(A572="","",COUNTIFS(Chicks!$G:$G,A572,Chicks!$I:$I,"Yes"))</f>
        <v/>
      </c>
      <c r="H572" s="6" t="str">
        <f>IF(A572="","",SUMIFS(Chicks!$J:$J,Chicks!$G:$G,A572))</f>
        <v/>
      </c>
      <c r="I572" s="6" t="str">
        <f>IF(A572="","",COUNTIFS(Chicks!$G:$G,A572,Chicks!$I:$I,"No"))</f>
        <v/>
      </c>
      <c r="J572" s="6" t="str">
        <f>IF(A572="","",IFERROR(AVERAGEIF(Chicks!$G:$G,A572,Chicks!$M:$M),""))</f>
        <v/>
      </c>
      <c r="K572" s="6" t="str">
        <f>IF(A572="","",SUMIFS(Chicks!$N:$N,Chicks!$G:$G,A572))</f>
        <v/>
      </c>
      <c r="L572" s="6" t="str">
        <f>IF(A572="","",SUMIFS(Chicks!$O:$O,Chicks!$G:$G,A572))</f>
        <v/>
      </c>
      <c r="M572" s="6" t="str">
        <f>IF(A572="","",SUMIFS(Chicks!$P:$P,Chicks!$G:$G,A572))</f>
        <v/>
      </c>
      <c r="N572" s="6" t="str">
        <f t="shared" si="3"/>
        <v/>
      </c>
    </row>
    <row r="573" spans="6:14" ht="14.25" customHeight="1" x14ac:dyDescent="0.3">
      <c r="F573" s="6" t="str">
        <f>IF(A573="","",COUNTIF(Chicks!$G:$G,A573))</f>
        <v/>
      </c>
      <c r="G573" s="6" t="str">
        <f>IF(A573="","",COUNTIFS(Chicks!$G:$G,A573,Chicks!$I:$I,"Yes"))</f>
        <v/>
      </c>
      <c r="H573" s="6" t="str">
        <f>IF(A573="","",SUMIFS(Chicks!$J:$J,Chicks!$G:$G,A573))</f>
        <v/>
      </c>
      <c r="I573" s="6" t="str">
        <f>IF(A573="","",COUNTIFS(Chicks!$G:$G,A573,Chicks!$I:$I,"No"))</f>
        <v/>
      </c>
      <c r="J573" s="6" t="str">
        <f>IF(A573="","",IFERROR(AVERAGEIF(Chicks!$G:$G,A573,Chicks!$M:$M),""))</f>
        <v/>
      </c>
      <c r="K573" s="6" t="str">
        <f>IF(A573="","",SUMIFS(Chicks!$N:$N,Chicks!$G:$G,A573))</f>
        <v/>
      </c>
      <c r="L573" s="6" t="str">
        <f>IF(A573="","",SUMIFS(Chicks!$O:$O,Chicks!$G:$G,A573))</f>
        <v/>
      </c>
      <c r="M573" s="6" t="str">
        <f>IF(A573="","",SUMIFS(Chicks!$P:$P,Chicks!$G:$G,A573))</f>
        <v/>
      </c>
      <c r="N573" s="6" t="str">
        <f t="shared" si="3"/>
        <v/>
      </c>
    </row>
    <row r="574" spans="6:14" ht="14.25" customHeight="1" x14ac:dyDescent="0.3">
      <c r="F574" s="6" t="str">
        <f>IF(A574="","",COUNTIF(Chicks!$G:$G,A574))</f>
        <v/>
      </c>
      <c r="G574" s="6" t="str">
        <f>IF(A574="","",COUNTIFS(Chicks!$G:$G,A574,Chicks!$I:$I,"Yes"))</f>
        <v/>
      </c>
      <c r="H574" s="6" t="str">
        <f>IF(A574="","",SUMIFS(Chicks!$J:$J,Chicks!$G:$G,A574))</f>
        <v/>
      </c>
      <c r="I574" s="6" t="str">
        <f>IF(A574="","",COUNTIFS(Chicks!$G:$G,A574,Chicks!$I:$I,"No"))</f>
        <v/>
      </c>
      <c r="J574" s="6" t="str">
        <f>IF(A574="","",IFERROR(AVERAGEIF(Chicks!$G:$G,A574,Chicks!$M:$M),""))</f>
        <v/>
      </c>
      <c r="K574" s="6" t="str">
        <f>IF(A574="","",SUMIFS(Chicks!$N:$N,Chicks!$G:$G,A574))</f>
        <v/>
      </c>
      <c r="L574" s="6" t="str">
        <f>IF(A574="","",SUMIFS(Chicks!$O:$O,Chicks!$G:$G,A574))</f>
        <v/>
      </c>
      <c r="M574" s="6" t="str">
        <f>IF(A574="","",SUMIFS(Chicks!$P:$P,Chicks!$G:$G,A574))</f>
        <v/>
      </c>
      <c r="N574" s="6" t="str">
        <f t="shared" si="3"/>
        <v/>
      </c>
    </row>
    <row r="575" spans="6:14" ht="14.25" customHeight="1" x14ac:dyDescent="0.3">
      <c r="F575" s="6" t="str">
        <f>IF(A575="","",COUNTIF(Chicks!$G:$G,A575))</f>
        <v/>
      </c>
      <c r="G575" s="6" t="str">
        <f>IF(A575="","",COUNTIFS(Chicks!$G:$G,A575,Chicks!$I:$I,"Yes"))</f>
        <v/>
      </c>
      <c r="H575" s="6" t="str">
        <f>IF(A575="","",SUMIFS(Chicks!$J:$J,Chicks!$G:$G,A575))</f>
        <v/>
      </c>
      <c r="I575" s="6" t="str">
        <f>IF(A575="","",COUNTIFS(Chicks!$G:$G,A575,Chicks!$I:$I,"No"))</f>
        <v/>
      </c>
      <c r="J575" s="6" t="str">
        <f>IF(A575="","",IFERROR(AVERAGEIF(Chicks!$G:$G,A575,Chicks!$M:$M),""))</f>
        <v/>
      </c>
      <c r="K575" s="6" t="str">
        <f>IF(A575="","",SUMIFS(Chicks!$N:$N,Chicks!$G:$G,A575))</f>
        <v/>
      </c>
      <c r="L575" s="6" t="str">
        <f>IF(A575="","",SUMIFS(Chicks!$O:$O,Chicks!$G:$G,A575))</f>
        <v/>
      </c>
      <c r="M575" s="6" t="str">
        <f>IF(A575="","",SUMIFS(Chicks!$P:$P,Chicks!$G:$G,A575))</f>
        <v/>
      </c>
      <c r="N575" s="6" t="str">
        <f t="shared" si="3"/>
        <v/>
      </c>
    </row>
    <row r="576" spans="6:14" ht="14.25" customHeight="1" x14ac:dyDescent="0.3">
      <c r="F576" s="6" t="str">
        <f>IF(A576="","",COUNTIF(Chicks!$G:$G,A576))</f>
        <v/>
      </c>
      <c r="G576" s="6" t="str">
        <f>IF(A576="","",COUNTIFS(Chicks!$G:$G,A576,Chicks!$I:$I,"Yes"))</f>
        <v/>
      </c>
      <c r="H576" s="6" t="str">
        <f>IF(A576="","",SUMIFS(Chicks!$J:$J,Chicks!$G:$G,A576))</f>
        <v/>
      </c>
      <c r="I576" s="6" t="str">
        <f>IF(A576="","",COUNTIFS(Chicks!$G:$G,A576,Chicks!$I:$I,"No"))</f>
        <v/>
      </c>
      <c r="J576" s="6" t="str">
        <f>IF(A576="","",IFERROR(AVERAGEIF(Chicks!$G:$G,A576,Chicks!$M:$M),""))</f>
        <v/>
      </c>
      <c r="K576" s="6" t="str">
        <f>IF(A576="","",SUMIFS(Chicks!$N:$N,Chicks!$G:$G,A576))</f>
        <v/>
      </c>
      <c r="L576" s="6" t="str">
        <f>IF(A576="","",SUMIFS(Chicks!$O:$O,Chicks!$G:$G,A576))</f>
        <v/>
      </c>
      <c r="M576" s="6" t="str">
        <f>IF(A576="","",SUMIFS(Chicks!$P:$P,Chicks!$G:$G,A576))</f>
        <v/>
      </c>
      <c r="N576" s="6" t="str">
        <f t="shared" si="3"/>
        <v/>
      </c>
    </row>
    <row r="577" spans="6:14" ht="14.25" customHeight="1" x14ac:dyDescent="0.3">
      <c r="F577" s="6" t="str">
        <f>IF(A577="","",COUNTIF(Chicks!$G:$G,A577))</f>
        <v/>
      </c>
      <c r="G577" s="6" t="str">
        <f>IF(A577="","",COUNTIFS(Chicks!$G:$G,A577,Chicks!$I:$I,"Yes"))</f>
        <v/>
      </c>
      <c r="H577" s="6" t="str">
        <f>IF(A577="","",SUMIFS(Chicks!$J:$J,Chicks!$G:$G,A577))</f>
        <v/>
      </c>
      <c r="I577" s="6" t="str">
        <f>IF(A577="","",COUNTIFS(Chicks!$G:$G,A577,Chicks!$I:$I,"No"))</f>
        <v/>
      </c>
      <c r="J577" s="6" t="str">
        <f>IF(A577="","",IFERROR(AVERAGEIF(Chicks!$G:$G,A577,Chicks!$M:$M),""))</f>
        <v/>
      </c>
      <c r="K577" s="6" t="str">
        <f>IF(A577="","",SUMIFS(Chicks!$N:$N,Chicks!$G:$G,A577))</f>
        <v/>
      </c>
      <c r="L577" s="6" t="str">
        <f>IF(A577="","",SUMIFS(Chicks!$O:$O,Chicks!$G:$G,A577))</f>
        <v/>
      </c>
      <c r="M577" s="6" t="str">
        <f>IF(A577="","",SUMIFS(Chicks!$P:$P,Chicks!$G:$G,A577))</f>
        <v/>
      </c>
      <c r="N577" s="6" t="str">
        <f t="shared" si="3"/>
        <v/>
      </c>
    </row>
    <row r="578" spans="6:14" ht="14.25" customHeight="1" x14ac:dyDescent="0.3">
      <c r="F578" s="6" t="str">
        <f>IF(A578="","",COUNTIF(Chicks!$G:$G,A578))</f>
        <v/>
      </c>
      <c r="G578" s="6" t="str">
        <f>IF(A578="","",COUNTIFS(Chicks!$G:$G,A578,Chicks!$I:$I,"Yes"))</f>
        <v/>
      </c>
      <c r="H578" s="6" t="str">
        <f>IF(A578="","",SUMIFS(Chicks!$J:$J,Chicks!$G:$G,A578))</f>
        <v/>
      </c>
      <c r="I578" s="6" t="str">
        <f>IF(A578="","",COUNTIFS(Chicks!$G:$G,A578,Chicks!$I:$I,"No"))</f>
        <v/>
      </c>
      <c r="J578" s="6" t="str">
        <f>IF(A578="","",IFERROR(AVERAGEIF(Chicks!$G:$G,A578,Chicks!$M:$M),""))</f>
        <v/>
      </c>
      <c r="K578" s="6" t="str">
        <f>IF(A578="","",SUMIFS(Chicks!$N:$N,Chicks!$G:$G,A578))</f>
        <v/>
      </c>
      <c r="L578" s="6" t="str">
        <f>IF(A578="","",SUMIFS(Chicks!$O:$O,Chicks!$G:$G,A578))</f>
        <v/>
      </c>
      <c r="M578" s="6" t="str">
        <f>IF(A578="","",SUMIFS(Chicks!$P:$P,Chicks!$G:$G,A578))</f>
        <v/>
      </c>
      <c r="N578" s="6" t="str">
        <f t="shared" si="3"/>
        <v/>
      </c>
    </row>
    <row r="579" spans="6:14" ht="14.25" customHeight="1" x14ac:dyDescent="0.3">
      <c r="F579" s="6" t="str">
        <f>IF(A579="","",COUNTIF(Chicks!$G:$G,A579))</f>
        <v/>
      </c>
      <c r="G579" s="6" t="str">
        <f>IF(A579="","",COUNTIFS(Chicks!$G:$G,A579,Chicks!$I:$I,"Yes"))</f>
        <v/>
      </c>
      <c r="H579" s="6" t="str">
        <f>IF(A579="","",SUMIFS(Chicks!$J:$J,Chicks!$G:$G,A579))</f>
        <v/>
      </c>
      <c r="I579" s="6" t="str">
        <f>IF(A579="","",COUNTIFS(Chicks!$G:$G,A579,Chicks!$I:$I,"No"))</f>
        <v/>
      </c>
      <c r="J579" s="6" t="str">
        <f>IF(A579="","",IFERROR(AVERAGEIF(Chicks!$G:$G,A579,Chicks!$M:$M),""))</f>
        <v/>
      </c>
      <c r="K579" s="6" t="str">
        <f>IF(A579="","",SUMIFS(Chicks!$N:$N,Chicks!$G:$G,A579))</f>
        <v/>
      </c>
      <c r="L579" s="6" t="str">
        <f>IF(A579="","",SUMIFS(Chicks!$O:$O,Chicks!$G:$G,A579))</f>
        <v/>
      </c>
      <c r="M579" s="6" t="str">
        <f>IF(A579="","",SUMIFS(Chicks!$P:$P,Chicks!$G:$G,A579))</f>
        <v/>
      </c>
      <c r="N579" s="6" t="str">
        <f t="shared" si="3"/>
        <v/>
      </c>
    </row>
    <row r="580" spans="6:14" ht="14.25" customHeight="1" x14ac:dyDescent="0.3">
      <c r="F580" s="6" t="str">
        <f>IF(A580="","",COUNTIF(Chicks!$G:$G,A580))</f>
        <v/>
      </c>
      <c r="G580" s="6" t="str">
        <f>IF(A580="","",COUNTIFS(Chicks!$G:$G,A580,Chicks!$I:$I,"Yes"))</f>
        <v/>
      </c>
      <c r="H580" s="6" t="str">
        <f>IF(A580="","",SUMIFS(Chicks!$J:$J,Chicks!$G:$G,A580))</f>
        <v/>
      </c>
      <c r="I580" s="6" t="str">
        <f>IF(A580="","",COUNTIFS(Chicks!$G:$G,A580,Chicks!$I:$I,"No"))</f>
        <v/>
      </c>
      <c r="J580" s="6" t="str">
        <f>IF(A580="","",IFERROR(AVERAGEIF(Chicks!$G:$G,A580,Chicks!$M:$M),""))</f>
        <v/>
      </c>
      <c r="K580" s="6" t="str">
        <f>IF(A580="","",SUMIFS(Chicks!$N:$N,Chicks!$G:$G,A580))</f>
        <v/>
      </c>
      <c r="L580" s="6" t="str">
        <f>IF(A580="","",SUMIFS(Chicks!$O:$O,Chicks!$G:$G,A580))</f>
        <v/>
      </c>
      <c r="M580" s="6" t="str">
        <f>IF(A580="","",SUMIFS(Chicks!$P:$P,Chicks!$G:$G,A580))</f>
        <v/>
      </c>
      <c r="N580" s="6" t="str">
        <f t="shared" si="3"/>
        <v/>
      </c>
    </row>
    <row r="581" spans="6:14" ht="14.25" customHeight="1" x14ac:dyDescent="0.3">
      <c r="F581" s="6" t="str">
        <f>IF(A581="","",COUNTIF(Chicks!$G:$G,A581))</f>
        <v/>
      </c>
      <c r="G581" s="6" t="str">
        <f>IF(A581="","",COUNTIFS(Chicks!$G:$G,A581,Chicks!$I:$I,"Yes"))</f>
        <v/>
      </c>
      <c r="H581" s="6" t="str">
        <f>IF(A581="","",SUMIFS(Chicks!$J:$J,Chicks!$G:$G,A581))</f>
        <v/>
      </c>
      <c r="I581" s="6" t="str">
        <f>IF(A581="","",COUNTIFS(Chicks!$G:$G,A581,Chicks!$I:$I,"No"))</f>
        <v/>
      </c>
      <c r="J581" s="6" t="str">
        <f>IF(A581="","",IFERROR(AVERAGEIF(Chicks!$G:$G,A581,Chicks!$M:$M),""))</f>
        <v/>
      </c>
      <c r="K581" s="6" t="str">
        <f>IF(A581="","",SUMIFS(Chicks!$N:$N,Chicks!$G:$G,A581))</f>
        <v/>
      </c>
      <c r="L581" s="6" t="str">
        <f>IF(A581="","",SUMIFS(Chicks!$O:$O,Chicks!$G:$G,A581))</f>
        <v/>
      </c>
      <c r="M581" s="6" t="str">
        <f>IF(A581="","",SUMIFS(Chicks!$P:$P,Chicks!$G:$G,A581))</f>
        <v/>
      </c>
      <c r="N581" s="6" t="str">
        <f t="shared" si="3"/>
        <v/>
      </c>
    </row>
    <row r="582" spans="6:14" ht="14.25" customHeight="1" x14ac:dyDescent="0.3">
      <c r="F582" s="6" t="str">
        <f>IF(A582="","",COUNTIF(Chicks!$G:$G,A582))</f>
        <v/>
      </c>
      <c r="G582" s="6" t="str">
        <f>IF(A582="","",COUNTIFS(Chicks!$G:$G,A582,Chicks!$I:$I,"Yes"))</f>
        <v/>
      </c>
      <c r="H582" s="6" t="str">
        <f>IF(A582="","",SUMIFS(Chicks!$J:$J,Chicks!$G:$G,A582))</f>
        <v/>
      </c>
      <c r="I582" s="6" t="str">
        <f>IF(A582="","",COUNTIFS(Chicks!$G:$G,A582,Chicks!$I:$I,"No"))</f>
        <v/>
      </c>
      <c r="J582" s="6" t="str">
        <f>IF(A582="","",IFERROR(AVERAGEIF(Chicks!$G:$G,A582,Chicks!$M:$M),""))</f>
        <v/>
      </c>
      <c r="K582" s="6" t="str">
        <f>IF(A582="","",SUMIFS(Chicks!$N:$N,Chicks!$G:$G,A582))</f>
        <v/>
      </c>
      <c r="L582" s="6" t="str">
        <f>IF(A582="","",SUMIFS(Chicks!$O:$O,Chicks!$G:$G,A582))</f>
        <v/>
      </c>
      <c r="M582" s="6" t="str">
        <f>IF(A582="","",SUMIFS(Chicks!$P:$P,Chicks!$G:$G,A582))</f>
        <v/>
      </c>
      <c r="N582" s="6" t="str">
        <f t="shared" si="3"/>
        <v/>
      </c>
    </row>
    <row r="583" spans="6:14" ht="14.25" customHeight="1" x14ac:dyDescent="0.3">
      <c r="F583" s="6" t="str">
        <f>IF(A583="","",COUNTIF(Chicks!$G:$G,A583))</f>
        <v/>
      </c>
      <c r="G583" s="6" t="str">
        <f>IF(A583="","",COUNTIFS(Chicks!$G:$G,A583,Chicks!$I:$I,"Yes"))</f>
        <v/>
      </c>
      <c r="H583" s="6" t="str">
        <f>IF(A583="","",SUMIFS(Chicks!$J:$J,Chicks!$G:$G,A583))</f>
        <v/>
      </c>
      <c r="I583" s="6" t="str">
        <f>IF(A583="","",COUNTIFS(Chicks!$G:$G,A583,Chicks!$I:$I,"No"))</f>
        <v/>
      </c>
      <c r="J583" s="6" t="str">
        <f>IF(A583="","",IFERROR(AVERAGEIF(Chicks!$G:$G,A583,Chicks!$M:$M),""))</f>
        <v/>
      </c>
      <c r="K583" s="6" t="str">
        <f>IF(A583="","",SUMIFS(Chicks!$N:$N,Chicks!$G:$G,A583))</f>
        <v/>
      </c>
      <c r="L583" s="6" t="str">
        <f>IF(A583="","",SUMIFS(Chicks!$O:$O,Chicks!$G:$G,A583))</f>
        <v/>
      </c>
      <c r="M583" s="6" t="str">
        <f>IF(A583="","",SUMIFS(Chicks!$P:$P,Chicks!$G:$G,A583))</f>
        <v/>
      </c>
      <c r="N583" s="6" t="str">
        <f t="shared" si="3"/>
        <v/>
      </c>
    </row>
    <row r="584" spans="6:14" ht="14.25" customHeight="1" x14ac:dyDescent="0.3">
      <c r="F584" s="6" t="str">
        <f>IF(A584="","",COUNTIF(Chicks!$G:$G,A584))</f>
        <v/>
      </c>
      <c r="G584" s="6" t="str">
        <f>IF(A584="","",COUNTIFS(Chicks!$G:$G,A584,Chicks!$I:$I,"Yes"))</f>
        <v/>
      </c>
      <c r="H584" s="6" t="str">
        <f>IF(A584="","",SUMIFS(Chicks!$J:$J,Chicks!$G:$G,A584))</f>
        <v/>
      </c>
      <c r="I584" s="6" t="str">
        <f>IF(A584="","",COUNTIFS(Chicks!$G:$G,A584,Chicks!$I:$I,"No"))</f>
        <v/>
      </c>
      <c r="J584" s="6" t="str">
        <f>IF(A584="","",IFERROR(AVERAGEIF(Chicks!$G:$G,A584,Chicks!$M:$M),""))</f>
        <v/>
      </c>
      <c r="K584" s="6" t="str">
        <f>IF(A584="","",SUMIFS(Chicks!$N:$N,Chicks!$G:$G,A584))</f>
        <v/>
      </c>
      <c r="L584" s="6" t="str">
        <f>IF(A584="","",SUMIFS(Chicks!$O:$O,Chicks!$G:$G,A584))</f>
        <v/>
      </c>
      <c r="M584" s="6" t="str">
        <f>IF(A584="","",SUMIFS(Chicks!$P:$P,Chicks!$G:$G,A584))</f>
        <v/>
      </c>
      <c r="N584" s="6" t="str">
        <f t="shared" si="3"/>
        <v/>
      </c>
    </row>
    <row r="585" spans="6:14" ht="14.25" customHeight="1" x14ac:dyDescent="0.3">
      <c r="F585" s="6" t="str">
        <f>IF(A585="","",COUNTIF(Chicks!$G:$G,A585))</f>
        <v/>
      </c>
      <c r="G585" s="6" t="str">
        <f>IF(A585="","",COUNTIFS(Chicks!$G:$G,A585,Chicks!$I:$I,"Yes"))</f>
        <v/>
      </c>
      <c r="H585" s="6" t="str">
        <f>IF(A585="","",SUMIFS(Chicks!$J:$J,Chicks!$G:$G,A585))</f>
        <v/>
      </c>
      <c r="I585" s="6" t="str">
        <f>IF(A585="","",COUNTIFS(Chicks!$G:$G,A585,Chicks!$I:$I,"No"))</f>
        <v/>
      </c>
      <c r="J585" s="6" t="str">
        <f>IF(A585="","",IFERROR(AVERAGEIF(Chicks!$G:$G,A585,Chicks!$M:$M),""))</f>
        <v/>
      </c>
      <c r="K585" s="6" t="str">
        <f>IF(A585="","",SUMIFS(Chicks!$N:$N,Chicks!$G:$G,A585))</f>
        <v/>
      </c>
      <c r="L585" s="6" t="str">
        <f>IF(A585="","",SUMIFS(Chicks!$O:$O,Chicks!$G:$G,A585))</f>
        <v/>
      </c>
      <c r="M585" s="6" t="str">
        <f>IF(A585="","",SUMIFS(Chicks!$P:$P,Chicks!$G:$G,A585))</f>
        <v/>
      </c>
      <c r="N585" s="6" t="str">
        <f t="shared" si="3"/>
        <v/>
      </c>
    </row>
    <row r="586" spans="6:14" ht="14.25" customHeight="1" x14ac:dyDescent="0.3">
      <c r="F586" s="6" t="str">
        <f>IF(A586="","",COUNTIF(Chicks!$G:$G,A586))</f>
        <v/>
      </c>
      <c r="G586" s="6" t="str">
        <f>IF(A586="","",COUNTIFS(Chicks!$G:$G,A586,Chicks!$I:$I,"Yes"))</f>
        <v/>
      </c>
      <c r="H586" s="6" t="str">
        <f>IF(A586="","",SUMIFS(Chicks!$J:$J,Chicks!$G:$G,A586))</f>
        <v/>
      </c>
      <c r="I586" s="6" t="str">
        <f>IF(A586="","",COUNTIFS(Chicks!$G:$G,A586,Chicks!$I:$I,"No"))</f>
        <v/>
      </c>
      <c r="J586" s="6" t="str">
        <f>IF(A586="","",IFERROR(AVERAGEIF(Chicks!$G:$G,A586,Chicks!$M:$M),""))</f>
        <v/>
      </c>
      <c r="K586" s="6" t="str">
        <f>IF(A586="","",SUMIFS(Chicks!$N:$N,Chicks!$G:$G,A586))</f>
        <v/>
      </c>
      <c r="L586" s="6" t="str">
        <f>IF(A586="","",SUMIFS(Chicks!$O:$O,Chicks!$G:$G,A586))</f>
        <v/>
      </c>
      <c r="M586" s="6" t="str">
        <f>IF(A586="","",SUMIFS(Chicks!$P:$P,Chicks!$G:$G,A586))</f>
        <v/>
      </c>
      <c r="N586" s="6" t="str">
        <f t="shared" si="3"/>
        <v/>
      </c>
    </row>
    <row r="587" spans="6:14" ht="14.25" customHeight="1" x14ac:dyDescent="0.3">
      <c r="F587" s="6" t="str">
        <f>IF(A587="","",COUNTIF(Chicks!$G:$G,A587))</f>
        <v/>
      </c>
      <c r="G587" s="6" t="str">
        <f>IF(A587="","",COUNTIFS(Chicks!$G:$G,A587,Chicks!$I:$I,"Yes"))</f>
        <v/>
      </c>
      <c r="H587" s="6" t="str">
        <f>IF(A587="","",SUMIFS(Chicks!$J:$J,Chicks!$G:$G,A587))</f>
        <v/>
      </c>
      <c r="I587" s="6" t="str">
        <f>IF(A587="","",COUNTIFS(Chicks!$G:$G,A587,Chicks!$I:$I,"No"))</f>
        <v/>
      </c>
      <c r="J587" s="6" t="str">
        <f>IF(A587="","",IFERROR(AVERAGEIF(Chicks!$G:$G,A587,Chicks!$M:$M),""))</f>
        <v/>
      </c>
      <c r="K587" s="6" t="str">
        <f>IF(A587="","",SUMIFS(Chicks!$N:$N,Chicks!$G:$G,A587))</f>
        <v/>
      </c>
      <c r="L587" s="6" t="str">
        <f>IF(A587="","",SUMIFS(Chicks!$O:$O,Chicks!$G:$G,A587))</f>
        <v/>
      </c>
      <c r="M587" s="6" t="str">
        <f>IF(A587="","",SUMIFS(Chicks!$P:$P,Chicks!$G:$G,A587))</f>
        <v/>
      </c>
      <c r="N587" s="6" t="str">
        <f t="shared" si="3"/>
        <v/>
      </c>
    </row>
    <row r="588" spans="6:14" ht="14.25" customHeight="1" x14ac:dyDescent="0.3">
      <c r="F588" s="6" t="str">
        <f>IF(A588="","",COUNTIF(Chicks!$G:$G,A588))</f>
        <v/>
      </c>
      <c r="G588" s="6" t="str">
        <f>IF(A588="","",COUNTIFS(Chicks!$G:$G,A588,Chicks!$I:$I,"Yes"))</f>
        <v/>
      </c>
      <c r="H588" s="6" t="str">
        <f>IF(A588="","",SUMIFS(Chicks!$J:$J,Chicks!$G:$G,A588))</f>
        <v/>
      </c>
      <c r="I588" s="6" t="str">
        <f>IF(A588="","",COUNTIFS(Chicks!$G:$G,A588,Chicks!$I:$I,"No"))</f>
        <v/>
      </c>
      <c r="J588" s="6" t="str">
        <f>IF(A588="","",IFERROR(AVERAGEIF(Chicks!$G:$G,A588,Chicks!$M:$M),""))</f>
        <v/>
      </c>
      <c r="K588" s="6" t="str">
        <f>IF(A588="","",SUMIFS(Chicks!$N:$N,Chicks!$G:$G,A588))</f>
        <v/>
      </c>
      <c r="L588" s="6" t="str">
        <f>IF(A588="","",SUMIFS(Chicks!$O:$O,Chicks!$G:$G,A588))</f>
        <v/>
      </c>
      <c r="M588" s="6" t="str">
        <f>IF(A588="","",SUMIFS(Chicks!$P:$P,Chicks!$G:$G,A588))</f>
        <v/>
      </c>
      <c r="N588" s="6" t="str">
        <f t="shared" si="3"/>
        <v/>
      </c>
    </row>
    <row r="589" spans="6:14" ht="14.25" customHeight="1" x14ac:dyDescent="0.3">
      <c r="F589" s="6" t="str">
        <f>IF(A589="","",COUNTIF(Chicks!$G:$G,A589))</f>
        <v/>
      </c>
      <c r="G589" s="6" t="str">
        <f>IF(A589="","",COUNTIFS(Chicks!$G:$G,A589,Chicks!$I:$I,"Yes"))</f>
        <v/>
      </c>
      <c r="H589" s="6" t="str">
        <f>IF(A589="","",SUMIFS(Chicks!$J:$J,Chicks!$G:$G,A589))</f>
        <v/>
      </c>
      <c r="I589" s="6" t="str">
        <f>IF(A589="","",COUNTIFS(Chicks!$G:$G,A589,Chicks!$I:$I,"No"))</f>
        <v/>
      </c>
      <c r="J589" s="6" t="str">
        <f>IF(A589="","",IFERROR(AVERAGEIF(Chicks!$G:$G,A589,Chicks!$M:$M),""))</f>
        <v/>
      </c>
      <c r="K589" s="6" t="str">
        <f>IF(A589="","",SUMIFS(Chicks!$N:$N,Chicks!$G:$G,A589))</f>
        <v/>
      </c>
      <c r="L589" s="6" t="str">
        <f>IF(A589="","",SUMIFS(Chicks!$O:$O,Chicks!$G:$G,A589))</f>
        <v/>
      </c>
      <c r="M589" s="6" t="str">
        <f>IF(A589="","",SUMIFS(Chicks!$P:$P,Chicks!$G:$G,A589))</f>
        <v/>
      </c>
      <c r="N589" s="6" t="str">
        <f t="shared" si="3"/>
        <v/>
      </c>
    </row>
    <row r="590" spans="6:14" ht="14.25" customHeight="1" x14ac:dyDescent="0.3">
      <c r="F590" s="6" t="str">
        <f>IF(A590="","",COUNTIF(Chicks!$G:$G,A590))</f>
        <v/>
      </c>
      <c r="G590" s="6" t="str">
        <f>IF(A590="","",COUNTIFS(Chicks!$G:$G,A590,Chicks!$I:$I,"Yes"))</f>
        <v/>
      </c>
      <c r="H590" s="6" t="str">
        <f>IF(A590="","",SUMIFS(Chicks!$J:$J,Chicks!$G:$G,A590))</f>
        <v/>
      </c>
      <c r="I590" s="6" t="str">
        <f>IF(A590="","",COUNTIFS(Chicks!$G:$G,A590,Chicks!$I:$I,"No"))</f>
        <v/>
      </c>
      <c r="J590" s="6" t="str">
        <f>IF(A590="","",IFERROR(AVERAGEIF(Chicks!$G:$G,A590,Chicks!$M:$M),""))</f>
        <v/>
      </c>
      <c r="K590" s="6" t="str">
        <f>IF(A590="","",SUMIFS(Chicks!$N:$N,Chicks!$G:$G,A590))</f>
        <v/>
      </c>
      <c r="L590" s="6" t="str">
        <f>IF(A590="","",SUMIFS(Chicks!$O:$O,Chicks!$G:$G,A590))</f>
        <v/>
      </c>
      <c r="M590" s="6" t="str">
        <f>IF(A590="","",SUMIFS(Chicks!$P:$P,Chicks!$G:$G,A590))</f>
        <v/>
      </c>
      <c r="N590" s="6" t="str">
        <f t="shared" si="3"/>
        <v/>
      </c>
    </row>
    <row r="591" spans="6:14" ht="14.25" customHeight="1" x14ac:dyDescent="0.3">
      <c r="F591" s="6" t="str">
        <f>IF(A591="","",COUNTIF(Chicks!$G:$G,A591))</f>
        <v/>
      </c>
      <c r="G591" s="6" t="str">
        <f>IF(A591="","",COUNTIFS(Chicks!$G:$G,A591,Chicks!$I:$I,"Yes"))</f>
        <v/>
      </c>
      <c r="H591" s="6" t="str">
        <f>IF(A591="","",SUMIFS(Chicks!$J:$J,Chicks!$G:$G,A591))</f>
        <v/>
      </c>
      <c r="I591" s="6" t="str">
        <f>IF(A591="","",COUNTIFS(Chicks!$G:$G,A591,Chicks!$I:$I,"No"))</f>
        <v/>
      </c>
      <c r="J591" s="6" t="str">
        <f>IF(A591="","",IFERROR(AVERAGEIF(Chicks!$G:$G,A591,Chicks!$M:$M),""))</f>
        <v/>
      </c>
      <c r="K591" s="6" t="str">
        <f>IF(A591="","",SUMIFS(Chicks!$N:$N,Chicks!$G:$G,A591))</f>
        <v/>
      </c>
      <c r="L591" s="6" t="str">
        <f>IF(A591="","",SUMIFS(Chicks!$O:$O,Chicks!$G:$G,A591))</f>
        <v/>
      </c>
      <c r="M591" s="6" t="str">
        <f>IF(A591="","",SUMIFS(Chicks!$P:$P,Chicks!$G:$G,A591))</f>
        <v/>
      </c>
      <c r="N591" s="6" t="str">
        <f t="shared" si="3"/>
        <v/>
      </c>
    </row>
    <row r="592" spans="6:14" ht="14.25" customHeight="1" x14ac:dyDescent="0.3">
      <c r="F592" s="6" t="str">
        <f>IF(A592="","",COUNTIF(Chicks!$G:$G,A592))</f>
        <v/>
      </c>
      <c r="G592" s="6" t="str">
        <f>IF(A592="","",COUNTIFS(Chicks!$G:$G,A592,Chicks!$I:$I,"Yes"))</f>
        <v/>
      </c>
      <c r="H592" s="6" t="str">
        <f>IF(A592="","",SUMIFS(Chicks!$J:$J,Chicks!$G:$G,A592))</f>
        <v/>
      </c>
      <c r="I592" s="6" t="str">
        <f>IF(A592="","",COUNTIFS(Chicks!$G:$G,A592,Chicks!$I:$I,"No"))</f>
        <v/>
      </c>
      <c r="J592" s="6" t="str">
        <f>IF(A592="","",IFERROR(AVERAGEIF(Chicks!$G:$G,A592,Chicks!$M:$M),""))</f>
        <v/>
      </c>
      <c r="K592" s="6" t="str">
        <f>IF(A592="","",SUMIFS(Chicks!$N:$N,Chicks!$G:$G,A592))</f>
        <v/>
      </c>
      <c r="L592" s="6" t="str">
        <f>IF(A592="","",SUMIFS(Chicks!$O:$O,Chicks!$G:$G,A592))</f>
        <v/>
      </c>
      <c r="M592" s="6" t="str">
        <f>IF(A592="","",SUMIFS(Chicks!$P:$P,Chicks!$G:$G,A592))</f>
        <v/>
      </c>
      <c r="N592" s="6" t="str">
        <f t="shared" si="3"/>
        <v/>
      </c>
    </row>
    <row r="593" spans="6:14" ht="14.25" customHeight="1" x14ac:dyDescent="0.3">
      <c r="F593" s="6" t="str">
        <f>IF(A593="","",COUNTIF(Chicks!$G:$G,A593))</f>
        <v/>
      </c>
      <c r="G593" s="6" t="str">
        <f>IF(A593="","",COUNTIFS(Chicks!$G:$G,A593,Chicks!$I:$I,"Yes"))</f>
        <v/>
      </c>
      <c r="H593" s="6" t="str">
        <f>IF(A593="","",SUMIFS(Chicks!$J:$J,Chicks!$G:$G,A593))</f>
        <v/>
      </c>
      <c r="I593" s="6" t="str">
        <f>IF(A593="","",COUNTIFS(Chicks!$G:$G,A593,Chicks!$I:$I,"No"))</f>
        <v/>
      </c>
      <c r="J593" s="6" t="str">
        <f>IF(A593="","",IFERROR(AVERAGEIF(Chicks!$G:$G,A593,Chicks!$M:$M),""))</f>
        <v/>
      </c>
      <c r="K593" s="6" t="str">
        <f>IF(A593="","",SUMIFS(Chicks!$N:$N,Chicks!$G:$G,A593))</f>
        <v/>
      </c>
      <c r="L593" s="6" t="str">
        <f>IF(A593="","",SUMIFS(Chicks!$O:$O,Chicks!$G:$G,A593))</f>
        <v/>
      </c>
      <c r="M593" s="6" t="str">
        <f>IF(A593="","",SUMIFS(Chicks!$P:$P,Chicks!$G:$G,A593))</f>
        <v/>
      </c>
      <c r="N593" s="6" t="str">
        <f t="shared" si="3"/>
        <v/>
      </c>
    </row>
    <row r="594" spans="6:14" ht="14.25" customHeight="1" x14ac:dyDescent="0.3">
      <c r="F594" s="6" t="str">
        <f>IF(A594="","",COUNTIF(Chicks!$G:$G,A594))</f>
        <v/>
      </c>
      <c r="G594" s="6" t="str">
        <f>IF(A594="","",COUNTIFS(Chicks!$G:$G,A594,Chicks!$I:$I,"Yes"))</f>
        <v/>
      </c>
      <c r="H594" s="6" t="str">
        <f>IF(A594="","",SUMIFS(Chicks!$J:$J,Chicks!$G:$G,A594))</f>
        <v/>
      </c>
      <c r="I594" s="6" t="str">
        <f>IF(A594="","",COUNTIFS(Chicks!$G:$G,A594,Chicks!$I:$I,"No"))</f>
        <v/>
      </c>
      <c r="J594" s="6" t="str">
        <f>IF(A594="","",IFERROR(AVERAGEIF(Chicks!$G:$G,A594,Chicks!$M:$M),""))</f>
        <v/>
      </c>
      <c r="K594" s="6" t="str">
        <f>IF(A594="","",SUMIFS(Chicks!$N:$N,Chicks!$G:$G,A594))</f>
        <v/>
      </c>
      <c r="L594" s="6" t="str">
        <f>IF(A594="","",SUMIFS(Chicks!$O:$O,Chicks!$G:$G,A594))</f>
        <v/>
      </c>
      <c r="M594" s="6" t="str">
        <f>IF(A594="","",SUMIFS(Chicks!$P:$P,Chicks!$G:$G,A594))</f>
        <v/>
      </c>
      <c r="N594" s="6" t="str">
        <f t="shared" si="3"/>
        <v/>
      </c>
    </row>
    <row r="595" spans="6:14" ht="14.25" customHeight="1" x14ac:dyDescent="0.3">
      <c r="F595" s="6" t="str">
        <f>IF(A595="","",COUNTIF(Chicks!$G:$G,A595))</f>
        <v/>
      </c>
      <c r="G595" s="6" t="str">
        <f>IF(A595="","",COUNTIFS(Chicks!$G:$G,A595,Chicks!$I:$I,"Yes"))</f>
        <v/>
      </c>
      <c r="H595" s="6" t="str">
        <f>IF(A595="","",SUMIFS(Chicks!$J:$J,Chicks!$G:$G,A595))</f>
        <v/>
      </c>
      <c r="I595" s="6" t="str">
        <f>IF(A595="","",COUNTIFS(Chicks!$G:$G,A595,Chicks!$I:$I,"No"))</f>
        <v/>
      </c>
      <c r="J595" s="6" t="str">
        <f>IF(A595="","",IFERROR(AVERAGEIF(Chicks!$G:$G,A595,Chicks!$M:$M),""))</f>
        <v/>
      </c>
      <c r="K595" s="6" t="str">
        <f>IF(A595="","",SUMIFS(Chicks!$N:$N,Chicks!$G:$G,A595))</f>
        <v/>
      </c>
      <c r="L595" s="6" t="str">
        <f>IF(A595="","",SUMIFS(Chicks!$O:$O,Chicks!$G:$G,A595))</f>
        <v/>
      </c>
      <c r="M595" s="6" t="str">
        <f>IF(A595="","",SUMIFS(Chicks!$P:$P,Chicks!$G:$G,A595))</f>
        <v/>
      </c>
      <c r="N595" s="6" t="str">
        <f t="shared" si="3"/>
        <v/>
      </c>
    </row>
    <row r="596" spans="6:14" ht="14.25" customHeight="1" x14ac:dyDescent="0.3">
      <c r="F596" s="6" t="str">
        <f>IF(A596="","",COUNTIF(Chicks!$G:$G,A596))</f>
        <v/>
      </c>
      <c r="G596" s="6" t="str">
        <f>IF(A596="","",COUNTIFS(Chicks!$G:$G,A596,Chicks!$I:$I,"Yes"))</f>
        <v/>
      </c>
      <c r="H596" s="6" t="str">
        <f>IF(A596="","",SUMIFS(Chicks!$J:$J,Chicks!$G:$G,A596))</f>
        <v/>
      </c>
      <c r="I596" s="6" t="str">
        <f>IF(A596="","",COUNTIFS(Chicks!$G:$G,A596,Chicks!$I:$I,"No"))</f>
        <v/>
      </c>
      <c r="J596" s="6" t="str">
        <f>IF(A596="","",IFERROR(AVERAGEIF(Chicks!$G:$G,A596,Chicks!$M:$M),""))</f>
        <v/>
      </c>
      <c r="K596" s="6" t="str">
        <f>IF(A596="","",SUMIFS(Chicks!$N:$N,Chicks!$G:$G,A596))</f>
        <v/>
      </c>
      <c r="L596" s="6" t="str">
        <f>IF(A596="","",SUMIFS(Chicks!$O:$O,Chicks!$G:$G,A596))</f>
        <v/>
      </c>
      <c r="M596" s="6" t="str">
        <f>IF(A596="","",SUMIFS(Chicks!$P:$P,Chicks!$G:$G,A596))</f>
        <v/>
      </c>
      <c r="N596" s="6" t="str">
        <f t="shared" si="3"/>
        <v/>
      </c>
    </row>
    <row r="597" spans="6:14" ht="14.25" customHeight="1" x14ac:dyDescent="0.3">
      <c r="F597" s="6" t="str">
        <f>IF(A597="","",COUNTIF(Chicks!$G:$G,A597))</f>
        <v/>
      </c>
      <c r="G597" s="6" t="str">
        <f>IF(A597="","",COUNTIFS(Chicks!$G:$G,A597,Chicks!$I:$I,"Yes"))</f>
        <v/>
      </c>
      <c r="H597" s="6" t="str">
        <f>IF(A597="","",SUMIFS(Chicks!$J:$J,Chicks!$G:$G,A597))</f>
        <v/>
      </c>
      <c r="I597" s="6" t="str">
        <f>IF(A597="","",COUNTIFS(Chicks!$G:$G,A597,Chicks!$I:$I,"No"))</f>
        <v/>
      </c>
      <c r="J597" s="6" t="str">
        <f>IF(A597="","",IFERROR(AVERAGEIF(Chicks!$G:$G,A597,Chicks!$M:$M),""))</f>
        <v/>
      </c>
      <c r="K597" s="6" t="str">
        <f>IF(A597="","",SUMIFS(Chicks!$N:$N,Chicks!$G:$G,A597))</f>
        <v/>
      </c>
      <c r="L597" s="6" t="str">
        <f>IF(A597="","",SUMIFS(Chicks!$O:$O,Chicks!$G:$G,A597))</f>
        <v/>
      </c>
      <c r="M597" s="6" t="str">
        <f>IF(A597="","",SUMIFS(Chicks!$P:$P,Chicks!$G:$G,A597))</f>
        <v/>
      </c>
      <c r="N597" s="6" t="str">
        <f t="shared" si="3"/>
        <v/>
      </c>
    </row>
    <row r="598" spans="6:14" ht="14.25" customHeight="1" x14ac:dyDescent="0.3">
      <c r="F598" s="6" t="str">
        <f>IF(A598="","",COUNTIF(Chicks!$G:$G,A598))</f>
        <v/>
      </c>
      <c r="G598" s="6" t="str">
        <f>IF(A598="","",COUNTIFS(Chicks!$G:$G,A598,Chicks!$I:$I,"Yes"))</f>
        <v/>
      </c>
      <c r="H598" s="6" t="str">
        <f>IF(A598="","",SUMIFS(Chicks!$J:$J,Chicks!$G:$G,A598))</f>
        <v/>
      </c>
      <c r="I598" s="6" t="str">
        <f>IF(A598="","",COUNTIFS(Chicks!$G:$G,A598,Chicks!$I:$I,"No"))</f>
        <v/>
      </c>
      <c r="J598" s="6" t="str">
        <f>IF(A598="","",IFERROR(AVERAGEIF(Chicks!$G:$G,A598,Chicks!$M:$M),""))</f>
        <v/>
      </c>
      <c r="K598" s="6" t="str">
        <f>IF(A598="","",SUMIFS(Chicks!$N:$N,Chicks!$G:$G,A598))</f>
        <v/>
      </c>
      <c r="L598" s="6" t="str">
        <f>IF(A598="","",SUMIFS(Chicks!$O:$O,Chicks!$G:$G,A598))</f>
        <v/>
      </c>
      <c r="M598" s="6" t="str">
        <f>IF(A598="","",SUMIFS(Chicks!$P:$P,Chicks!$G:$G,A598))</f>
        <v/>
      </c>
      <c r="N598" s="6" t="str">
        <f t="shared" si="3"/>
        <v/>
      </c>
    </row>
    <row r="599" spans="6:14" ht="14.25" customHeight="1" x14ac:dyDescent="0.3">
      <c r="F599" s="6" t="str">
        <f>IF(A599="","",COUNTIF(Chicks!$G:$G,A599))</f>
        <v/>
      </c>
      <c r="G599" s="6" t="str">
        <f>IF(A599="","",COUNTIFS(Chicks!$G:$G,A599,Chicks!$I:$I,"Yes"))</f>
        <v/>
      </c>
      <c r="H599" s="6" t="str">
        <f>IF(A599="","",SUMIFS(Chicks!$J:$J,Chicks!$G:$G,A599))</f>
        <v/>
      </c>
      <c r="I599" s="6" t="str">
        <f>IF(A599="","",COUNTIFS(Chicks!$G:$G,A599,Chicks!$I:$I,"No"))</f>
        <v/>
      </c>
      <c r="J599" s="6" t="str">
        <f>IF(A599="","",IFERROR(AVERAGEIF(Chicks!$G:$G,A599,Chicks!$M:$M),""))</f>
        <v/>
      </c>
      <c r="K599" s="6" t="str">
        <f>IF(A599="","",SUMIFS(Chicks!$N:$N,Chicks!$G:$G,A599))</f>
        <v/>
      </c>
      <c r="L599" s="6" t="str">
        <f>IF(A599="","",SUMIFS(Chicks!$O:$O,Chicks!$G:$G,A599))</f>
        <v/>
      </c>
      <c r="M599" s="6" t="str">
        <f>IF(A599="","",SUMIFS(Chicks!$P:$P,Chicks!$G:$G,A599))</f>
        <v/>
      </c>
      <c r="N599" s="6" t="str">
        <f t="shared" si="3"/>
        <v/>
      </c>
    </row>
    <row r="600" spans="6:14" ht="14.25" customHeight="1" x14ac:dyDescent="0.3">
      <c r="F600" s="6" t="str">
        <f>IF(A600="","",COUNTIF(Chicks!$G:$G,A600))</f>
        <v/>
      </c>
      <c r="G600" s="6" t="str">
        <f>IF(A600="","",COUNTIFS(Chicks!$G:$G,A600,Chicks!$I:$I,"Yes"))</f>
        <v/>
      </c>
      <c r="H600" s="6" t="str">
        <f>IF(A600="","",SUMIFS(Chicks!$J:$J,Chicks!$G:$G,A600))</f>
        <v/>
      </c>
      <c r="I600" s="6" t="str">
        <f>IF(A600="","",COUNTIFS(Chicks!$G:$G,A600,Chicks!$I:$I,"No"))</f>
        <v/>
      </c>
      <c r="J600" s="6" t="str">
        <f>IF(A600="","",IFERROR(AVERAGEIF(Chicks!$G:$G,A600,Chicks!$M:$M),""))</f>
        <v/>
      </c>
      <c r="K600" s="6" t="str">
        <f>IF(A600="","",SUMIFS(Chicks!$N:$N,Chicks!$G:$G,A600))</f>
        <v/>
      </c>
      <c r="L600" s="6" t="str">
        <f>IF(A600="","",SUMIFS(Chicks!$O:$O,Chicks!$G:$G,A600))</f>
        <v/>
      </c>
      <c r="M600" s="6" t="str">
        <f>IF(A600="","",SUMIFS(Chicks!$P:$P,Chicks!$G:$G,A600))</f>
        <v/>
      </c>
      <c r="N600" s="6" t="str">
        <f t="shared" si="3"/>
        <v/>
      </c>
    </row>
    <row r="601" spans="6:14" ht="14.25" customHeight="1" x14ac:dyDescent="0.3">
      <c r="F601" s="6" t="str">
        <f>IF(A601="","",COUNTIF(Chicks!$G:$G,A601))</f>
        <v/>
      </c>
      <c r="G601" s="6" t="str">
        <f>IF(A601="","",COUNTIFS(Chicks!$G:$G,A601,Chicks!$I:$I,"Yes"))</f>
        <v/>
      </c>
      <c r="H601" s="6" t="str">
        <f>IF(A601="","",SUMIFS(Chicks!$J:$J,Chicks!$G:$G,A601))</f>
        <v/>
      </c>
      <c r="I601" s="6" t="str">
        <f>IF(A601="","",COUNTIFS(Chicks!$G:$G,A601,Chicks!$I:$I,"No"))</f>
        <v/>
      </c>
      <c r="J601" s="6" t="str">
        <f>IF(A601="","",IFERROR(AVERAGEIF(Chicks!$G:$G,A601,Chicks!$M:$M),""))</f>
        <v/>
      </c>
      <c r="K601" s="6" t="str">
        <f>IF(A601="","",SUMIFS(Chicks!$N:$N,Chicks!$G:$G,A601))</f>
        <v/>
      </c>
      <c r="L601" s="6" t="str">
        <f>IF(A601="","",SUMIFS(Chicks!$O:$O,Chicks!$G:$G,A601))</f>
        <v/>
      </c>
      <c r="M601" s="6" t="str">
        <f>IF(A601="","",SUMIFS(Chicks!$P:$P,Chicks!$G:$G,A601))</f>
        <v/>
      </c>
      <c r="N601" s="6" t="str">
        <f t="shared" si="3"/>
        <v/>
      </c>
    </row>
    <row r="602" spans="6:14" ht="14.25" customHeight="1" x14ac:dyDescent="0.3">
      <c r="F602" s="6" t="str">
        <f>IF(A602="","",COUNTIF(Chicks!$G:$G,A602))</f>
        <v/>
      </c>
      <c r="G602" s="6" t="str">
        <f>IF(A602="","",COUNTIFS(Chicks!$G:$G,A602,Chicks!$I:$I,"Yes"))</f>
        <v/>
      </c>
      <c r="H602" s="6" t="str">
        <f>IF(A602="","",SUMIFS(Chicks!$J:$J,Chicks!$G:$G,A602))</f>
        <v/>
      </c>
      <c r="I602" s="6" t="str">
        <f>IF(A602="","",COUNTIFS(Chicks!$G:$G,A602,Chicks!$I:$I,"No"))</f>
        <v/>
      </c>
      <c r="J602" s="6" t="str">
        <f>IF(A602="","",IFERROR(AVERAGEIF(Chicks!$G:$G,A602,Chicks!$M:$M),""))</f>
        <v/>
      </c>
      <c r="K602" s="6" t="str">
        <f>IF(A602="","",SUMIFS(Chicks!$N:$N,Chicks!$G:$G,A602))</f>
        <v/>
      </c>
      <c r="L602" s="6" t="str">
        <f>IF(A602="","",SUMIFS(Chicks!$O:$O,Chicks!$G:$G,A602))</f>
        <v/>
      </c>
      <c r="M602" s="6" t="str">
        <f>IF(A602="","",SUMIFS(Chicks!$P:$P,Chicks!$G:$G,A602))</f>
        <v/>
      </c>
      <c r="N602" s="6" t="str">
        <f t="shared" si="3"/>
        <v/>
      </c>
    </row>
    <row r="603" spans="6:14" ht="14.25" customHeight="1" x14ac:dyDescent="0.3">
      <c r="F603" s="6" t="str">
        <f>IF(A603="","",COUNTIF(Chicks!$G:$G,A603))</f>
        <v/>
      </c>
      <c r="G603" s="6" t="str">
        <f>IF(A603="","",COUNTIFS(Chicks!$G:$G,A603,Chicks!$I:$I,"Yes"))</f>
        <v/>
      </c>
      <c r="H603" s="6" t="str">
        <f>IF(A603="","",SUMIFS(Chicks!$J:$J,Chicks!$G:$G,A603))</f>
        <v/>
      </c>
      <c r="I603" s="6" t="str">
        <f>IF(A603="","",COUNTIFS(Chicks!$G:$G,A603,Chicks!$I:$I,"No"))</f>
        <v/>
      </c>
      <c r="J603" s="6" t="str">
        <f>IF(A603="","",IFERROR(AVERAGEIF(Chicks!$G:$G,A603,Chicks!$M:$M),""))</f>
        <v/>
      </c>
      <c r="K603" s="6" t="str">
        <f>IF(A603="","",SUMIFS(Chicks!$N:$N,Chicks!$G:$G,A603))</f>
        <v/>
      </c>
      <c r="L603" s="6" t="str">
        <f>IF(A603="","",SUMIFS(Chicks!$O:$O,Chicks!$G:$G,A603))</f>
        <v/>
      </c>
      <c r="M603" s="6" t="str">
        <f>IF(A603="","",SUMIFS(Chicks!$P:$P,Chicks!$G:$G,A603))</f>
        <v/>
      </c>
      <c r="N603" s="6" t="str">
        <f t="shared" si="3"/>
        <v/>
      </c>
    </row>
    <row r="604" spans="6:14" ht="14.25" customHeight="1" x14ac:dyDescent="0.3">
      <c r="F604" s="6" t="str">
        <f>IF(A604="","",COUNTIF(Chicks!$G:$G,A604))</f>
        <v/>
      </c>
      <c r="G604" s="6" t="str">
        <f>IF(A604="","",COUNTIFS(Chicks!$G:$G,A604,Chicks!$I:$I,"Yes"))</f>
        <v/>
      </c>
      <c r="H604" s="6" t="str">
        <f>IF(A604="","",SUMIFS(Chicks!$J:$J,Chicks!$G:$G,A604))</f>
        <v/>
      </c>
      <c r="I604" s="6" t="str">
        <f>IF(A604="","",COUNTIFS(Chicks!$G:$G,A604,Chicks!$I:$I,"No"))</f>
        <v/>
      </c>
      <c r="J604" s="6" t="str">
        <f>IF(A604="","",IFERROR(AVERAGEIF(Chicks!$G:$G,A604,Chicks!$M:$M),""))</f>
        <v/>
      </c>
      <c r="K604" s="6" t="str">
        <f>IF(A604="","",SUMIFS(Chicks!$N:$N,Chicks!$G:$G,A604))</f>
        <v/>
      </c>
      <c r="L604" s="6" t="str">
        <f>IF(A604="","",SUMIFS(Chicks!$O:$O,Chicks!$G:$G,A604))</f>
        <v/>
      </c>
      <c r="M604" s="6" t="str">
        <f>IF(A604="","",SUMIFS(Chicks!$P:$P,Chicks!$G:$G,A604))</f>
        <v/>
      </c>
      <c r="N604" s="6" t="str">
        <f t="shared" si="3"/>
        <v/>
      </c>
    </row>
    <row r="605" spans="6:14" ht="14.25" customHeight="1" x14ac:dyDescent="0.3">
      <c r="F605" s="6" t="str">
        <f>IF(A605="","",COUNTIF(Chicks!$G:$G,A605))</f>
        <v/>
      </c>
      <c r="G605" s="6" t="str">
        <f>IF(A605="","",COUNTIFS(Chicks!$G:$G,A605,Chicks!$I:$I,"Yes"))</f>
        <v/>
      </c>
      <c r="H605" s="6" t="str">
        <f>IF(A605="","",SUMIFS(Chicks!$J:$J,Chicks!$G:$G,A605))</f>
        <v/>
      </c>
      <c r="I605" s="6" t="str">
        <f>IF(A605="","",COUNTIFS(Chicks!$G:$G,A605,Chicks!$I:$I,"No"))</f>
        <v/>
      </c>
      <c r="J605" s="6" t="str">
        <f>IF(A605="","",IFERROR(AVERAGEIF(Chicks!$G:$G,A605,Chicks!$M:$M),""))</f>
        <v/>
      </c>
      <c r="K605" s="6" t="str">
        <f>IF(A605="","",SUMIFS(Chicks!$N:$N,Chicks!$G:$G,A605))</f>
        <v/>
      </c>
      <c r="L605" s="6" t="str">
        <f>IF(A605="","",SUMIFS(Chicks!$O:$O,Chicks!$G:$G,A605))</f>
        <v/>
      </c>
      <c r="M605" s="6" t="str">
        <f>IF(A605="","",SUMIFS(Chicks!$P:$P,Chicks!$G:$G,A605))</f>
        <v/>
      </c>
      <c r="N605" s="6" t="str">
        <f t="shared" si="3"/>
        <v/>
      </c>
    </row>
    <row r="606" spans="6:14" ht="14.25" customHeight="1" x14ac:dyDescent="0.3">
      <c r="F606" s="6" t="str">
        <f>IF(A606="","",COUNTIF(Chicks!$G:$G,A606))</f>
        <v/>
      </c>
      <c r="G606" s="6" t="str">
        <f>IF(A606="","",COUNTIFS(Chicks!$G:$G,A606,Chicks!$I:$I,"Yes"))</f>
        <v/>
      </c>
      <c r="H606" s="6" t="str">
        <f>IF(A606="","",SUMIFS(Chicks!$J:$J,Chicks!$G:$G,A606))</f>
        <v/>
      </c>
      <c r="I606" s="6" t="str">
        <f>IF(A606="","",COUNTIFS(Chicks!$G:$G,A606,Chicks!$I:$I,"No"))</f>
        <v/>
      </c>
      <c r="J606" s="6" t="str">
        <f>IF(A606="","",IFERROR(AVERAGEIF(Chicks!$G:$G,A606,Chicks!$M:$M),""))</f>
        <v/>
      </c>
      <c r="K606" s="6" t="str">
        <f>IF(A606="","",SUMIFS(Chicks!$N:$N,Chicks!$G:$G,A606))</f>
        <v/>
      </c>
      <c r="L606" s="6" t="str">
        <f>IF(A606="","",SUMIFS(Chicks!$O:$O,Chicks!$G:$G,A606))</f>
        <v/>
      </c>
      <c r="M606" s="6" t="str">
        <f>IF(A606="","",SUMIFS(Chicks!$P:$P,Chicks!$G:$G,A606))</f>
        <v/>
      </c>
      <c r="N606" s="6" t="str">
        <f t="shared" si="3"/>
        <v/>
      </c>
    </row>
    <row r="607" spans="6:14" ht="14.25" customHeight="1" x14ac:dyDescent="0.3">
      <c r="F607" s="6" t="str">
        <f>IF(A607="","",COUNTIF(Chicks!$G:$G,A607))</f>
        <v/>
      </c>
      <c r="G607" s="6" t="str">
        <f>IF(A607="","",COUNTIFS(Chicks!$G:$G,A607,Chicks!$I:$I,"Yes"))</f>
        <v/>
      </c>
      <c r="H607" s="6" t="str">
        <f>IF(A607="","",SUMIFS(Chicks!$J:$J,Chicks!$G:$G,A607))</f>
        <v/>
      </c>
      <c r="I607" s="6" t="str">
        <f>IF(A607="","",COUNTIFS(Chicks!$G:$G,A607,Chicks!$I:$I,"No"))</f>
        <v/>
      </c>
      <c r="J607" s="6" t="str">
        <f>IF(A607="","",IFERROR(AVERAGEIF(Chicks!$G:$G,A607,Chicks!$M:$M),""))</f>
        <v/>
      </c>
      <c r="K607" s="6" t="str">
        <f>IF(A607="","",SUMIFS(Chicks!$N:$N,Chicks!$G:$G,A607))</f>
        <v/>
      </c>
      <c r="L607" s="6" t="str">
        <f>IF(A607="","",SUMIFS(Chicks!$O:$O,Chicks!$G:$G,A607))</f>
        <v/>
      </c>
      <c r="M607" s="6" t="str">
        <f>IF(A607="","",SUMIFS(Chicks!$P:$P,Chicks!$G:$G,A607))</f>
        <v/>
      </c>
      <c r="N607" s="6" t="str">
        <f t="shared" si="3"/>
        <v/>
      </c>
    </row>
    <row r="608" spans="6:14" ht="14.25" customHeight="1" x14ac:dyDescent="0.3">
      <c r="F608" s="6" t="str">
        <f>IF(A608="","",COUNTIF(Chicks!$G:$G,A608))</f>
        <v/>
      </c>
      <c r="G608" s="6" t="str">
        <f>IF(A608="","",COUNTIFS(Chicks!$G:$G,A608,Chicks!$I:$I,"Yes"))</f>
        <v/>
      </c>
      <c r="H608" s="6" t="str">
        <f>IF(A608="","",SUMIFS(Chicks!$J:$J,Chicks!$G:$G,A608))</f>
        <v/>
      </c>
      <c r="I608" s="6" t="str">
        <f>IF(A608="","",COUNTIFS(Chicks!$G:$G,A608,Chicks!$I:$I,"No"))</f>
        <v/>
      </c>
      <c r="J608" s="6" t="str">
        <f>IF(A608="","",IFERROR(AVERAGEIF(Chicks!$G:$G,A608,Chicks!$M:$M),""))</f>
        <v/>
      </c>
      <c r="K608" s="6" t="str">
        <f>IF(A608="","",SUMIFS(Chicks!$N:$N,Chicks!$G:$G,A608))</f>
        <v/>
      </c>
      <c r="L608" s="6" t="str">
        <f>IF(A608="","",SUMIFS(Chicks!$O:$O,Chicks!$G:$G,A608))</f>
        <v/>
      </c>
      <c r="M608" s="6" t="str">
        <f>IF(A608="","",SUMIFS(Chicks!$P:$P,Chicks!$G:$G,A608))</f>
        <v/>
      </c>
      <c r="N608" s="6" t="str">
        <f t="shared" si="3"/>
        <v/>
      </c>
    </row>
    <row r="609" spans="6:14" ht="14.25" customHeight="1" x14ac:dyDescent="0.3">
      <c r="F609" s="6" t="str">
        <f>IF(A609="","",COUNTIF(Chicks!$G:$G,A609))</f>
        <v/>
      </c>
      <c r="G609" s="6" t="str">
        <f>IF(A609="","",COUNTIFS(Chicks!$G:$G,A609,Chicks!$I:$I,"Yes"))</f>
        <v/>
      </c>
      <c r="H609" s="6" t="str">
        <f>IF(A609="","",SUMIFS(Chicks!$J:$J,Chicks!$G:$G,A609))</f>
        <v/>
      </c>
      <c r="I609" s="6" t="str">
        <f>IF(A609="","",COUNTIFS(Chicks!$G:$G,A609,Chicks!$I:$I,"No"))</f>
        <v/>
      </c>
      <c r="J609" s="6" t="str">
        <f>IF(A609="","",IFERROR(AVERAGEIF(Chicks!$G:$G,A609,Chicks!$M:$M),""))</f>
        <v/>
      </c>
      <c r="K609" s="6" t="str">
        <f>IF(A609="","",SUMIFS(Chicks!$N:$N,Chicks!$G:$G,A609))</f>
        <v/>
      </c>
      <c r="L609" s="6" t="str">
        <f>IF(A609="","",SUMIFS(Chicks!$O:$O,Chicks!$G:$G,A609))</f>
        <v/>
      </c>
      <c r="M609" s="6" t="str">
        <f>IF(A609="","",SUMIFS(Chicks!$P:$P,Chicks!$G:$G,A609))</f>
        <v/>
      </c>
      <c r="N609" s="6" t="str">
        <f t="shared" si="3"/>
        <v/>
      </c>
    </row>
    <row r="610" spans="6:14" ht="14.25" customHeight="1" x14ac:dyDescent="0.3">
      <c r="F610" s="6" t="str">
        <f>IF(A610="","",COUNTIF(Chicks!$G:$G,A610))</f>
        <v/>
      </c>
      <c r="G610" s="6" t="str">
        <f>IF(A610="","",COUNTIFS(Chicks!$G:$G,A610,Chicks!$I:$I,"Yes"))</f>
        <v/>
      </c>
      <c r="H610" s="6" t="str">
        <f>IF(A610="","",SUMIFS(Chicks!$J:$J,Chicks!$G:$G,A610))</f>
        <v/>
      </c>
      <c r="I610" s="6" t="str">
        <f>IF(A610="","",COUNTIFS(Chicks!$G:$G,A610,Chicks!$I:$I,"No"))</f>
        <v/>
      </c>
      <c r="J610" s="6" t="str">
        <f>IF(A610="","",IFERROR(AVERAGEIF(Chicks!$G:$G,A610,Chicks!$M:$M),""))</f>
        <v/>
      </c>
      <c r="K610" s="6" t="str">
        <f>IF(A610="","",SUMIFS(Chicks!$N:$N,Chicks!$G:$G,A610))</f>
        <v/>
      </c>
      <c r="L610" s="6" t="str">
        <f>IF(A610="","",SUMIFS(Chicks!$O:$O,Chicks!$G:$G,A610))</f>
        <v/>
      </c>
      <c r="M610" s="6" t="str">
        <f>IF(A610="","",SUMIFS(Chicks!$P:$P,Chicks!$G:$G,A610))</f>
        <v/>
      </c>
      <c r="N610" s="6" t="str">
        <f t="shared" si="3"/>
        <v/>
      </c>
    </row>
    <row r="611" spans="6:14" ht="14.25" customHeight="1" x14ac:dyDescent="0.3">
      <c r="F611" s="6" t="str">
        <f>IF(A611="","",COUNTIF(Chicks!$G:$G,A611))</f>
        <v/>
      </c>
      <c r="G611" s="6" t="str">
        <f>IF(A611="","",COUNTIFS(Chicks!$G:$G,A611,Chicks!$I:$I,"Yes"))</f>
        <v/>
      </c>
      <c r="H611" s="6" t="str">
        <f>IF(A611="","",SUMIFS(Chicks!$J:$J,Chicks!$G:$G,A611))</f>
        <v/>
      </c>
      <c r="I611" s="6" t="str">
        <f>IF(A611="","",COUNTIFS(Chicks!$G:$G,A611,Chicks!$I:$I,"No"))</f>
        <v/>
      </c>
      <c r="J611" s="6" t="str">
        <f>IF(A611="","",IFERROR(AVERAGEIF(Chicks!$G:$G,A611,Chicks!$M:$M),""))</f>
        <v/>
      </c>
      <c r="K611" s="6" t="str">
        <f>IF(A611="","",SUMIFS(Chicks!$N:$N,Chicks!$G:$G,A611))</f>
        <v/>
      </c>
      <c r="L611" s="6" t="str">
        <f>IF(A611="","",SUMIFS(Chicks!$O:$O,Chicks!$G:$G,A611))</f>
        <v/>
      </c>
      <c r="M611" s="6" t="str">
        <f>IF(A611="","",SUMIFS(Chicks!$P:$P,Chicks!$G:$G,A611))</f>
        <v/>
      </c>
      <c r="N611" s="6" t="str">
        <f t="shared" si="3"/>
        <v/>
      </c>
    </row>
    <row r="612" spans="6:14" ht="14.25" customHeight="1" x14ac:dyDescent="0.3">
      <c r="F612" s="6" t="str">
        <f>IF(A612="","",COUNTIF(Chicks!$G:$G,A612))</f>
        <v/>
      </c>
      <c r="G612" s="6" t="str">
        <f>IF(A612="","",COUNTIFS(Chicks!$G:$G,A612,Chicks!$I:$I,"Yes"))</f>
        <v/>
      </c>
      <c r="H612" s="6" t="str">
        <f>IF(A612="","",SUMIFS(Chicks!$J:$J,Chicks!$G:$G,A612))</f>
        <v/>
      </c>
      <c r="I612" s="6" t="str">
        <f>IF(A612="","",COUNTIFS(Chicks!$G:$G,A612,Chicks!$I:$I,"No"))</f>
        <v/>
      </c>
      <c r="J612" s="6" t="str">
        <f>IF(A612="","",IFERROR(AVERAGEIF(Chicks!$G:$G,A612,Chicks!$M:$M),""))</f>
        <v/>
      </c>
      <c r="K612" s="6" t="str">
        <f>IF(A612="","",SUMIFS(Chicks!$N:$N,Chicks!$G:$G,A612))</f>
        <v/>
      </c>
      <c r="L612" s="6" t="str">
        <f>IF(A612="","",SUMIFS(Chicks!$O:$O,Chicks!$G:$G,A612))</f>
        <v/>
      </c>
      <c r="M612" s="6" t="str">
        <f>IF(A612="","",SUMIFS(Chicks!$P:$P,Chicks!$G:$G,A612))</f>
        <v/>
      </c>
      <c r="N612" s="6" t="str">
        <f t="shared" si="3"/>
        <v/>
      </c>
    </row>
    <row r="613" spans="6:14" ht="14.25" customHeight="1" x14ac:dyDescent="0.3">
      <c r="F613" s="6" t="str">
        <f>IF(A613="","",COUNTIF(Chicks!$G:$G,A613))</f>
        <v/>
      </c>
      <c r="G613" s="6" t="str">
        <f>IF(A613="","",COUNTIFS(Chicks!$G:$G,A613,Chicks!$I:$I,"Yes"))</f>
        <v/>
      </c>
      <c r="H613" s="6" t="str">
        <f>IF(A613="","",SUMIFS(Chicks!$J:$J,Chicks!$G:$G,A613))</f>
        <v/>
      </c>
      <c r="I613" s="6" t="str">
        <f>IF(A613="","",COUNTIFS(Chicks!$G:$G,A613,Chicks!$I:$I,"No"))</f>
        <v/>
      </c>
      <c r="J613" s="6" t="str">
        <f>IF(A613="","",IFERROR(AVERAGEIF(Chicks!$G:$G,A613,Chicks!$M:$M),""))</f>
        <v/>
      </c>
      <c r="K613" s="6" t="str">
        <f>IF(A613="","",SUMIFS(Chicks!$N:$N,Chicks!$G:$G,A613))</f>
        <v/>
      </c>
      <c r="L613" s="6" t="str">
        <f>IF(A613="","",SUMIFS(Chicks!$O:$O,Chicks!$G:$G,A613))</f>
        <v/>
      </c>
      <c r="M613" s="6" t="str">
        <f>IF(A613="","",SUMIFS(Chicks!$P:$P,Chicks!$G:$G,A613))</f>
        <v/>
      </c>
      <c r="N613" s="6" t="str">
        <f t="shared" si="3"/>
        <v/>
      </c>
    </row>
    <row r="614" spans="6:14" ht="14.25" customHeight="1" x14ac:dyDescent="0.3">
      <c r="F614" s="6" t="str">
        <f>IF(A614="","",COUNTIF(Chicks!$G:$G,A614))</f>
        <v/>
      </c>
      <c r="G614" s="6" t="str">
        <f>IF(A614="","",COUNTIFS(Chicks!$G:$G,A614,Chicks!$I:$I,"Yes"))</f>
        <v/>
      </c>
      <c r="H614" s="6" t="str">
        <f>IF(A614="","",SUMIFS(Chicks!$J:$J,Chicks!$G:$G,A614))</f>
        <v/>
      </c>
      <c r="I614" s="6" t="str">
        <f>IF(A614="","",COUNTIFS(Chicks!$G:$G,A614,Chicks!$I:$I,"No"))</f>
        <v/>
      </c>
      <c r="J614" s="6" t="str">
        <f>IF(A614="","",IFERROR(AVERAGEIF(Chicks!$G:$G,A614,Chicks!$M:$M),""))</f>
        <v/>
      </c>
      <c r="K614" s="6" t="str">
        <f>IF(A614="","",SUMIFS(Chicks!$N:$N,Chicks!$G:$G,A614))</f>
        <v/>
      </c>
      <c r="L614" s="6" t="str">
        <f>IF(A614="","",SUMIFS(Chicks!$O:$O,Chicks!$G:$G,A614))</f>
        <v/>
      </c>
      <c r="M614" s="6" t="str">
        <f>IF(A614="","",SUMIFS(Chicks!$P:$P,Chicks!$G:$G,A614))</f>
        <v/>
      </c>
      <c r="N614" s="6" t="str">
        <f t="shared" si="3"/>
        <v/>
      </c>
    </row>
    <row r="615" spans="6:14" ht="14.25" customHeight="1" x14ac:dyDescent="0.3">
      <c r="F615" s="6" t="str">
        <f>IF(A615="","",COUNTIF(Chicks!$G:$G,A615))</f>
        <v/>
      </c>
      <c r="G615" s="6" t="str">
        <f>IF(A615="","",COUNTIFS(Chicks!$G:$G,A615,Chicks!$I:$I,"Yes"))</f>
        <v/>
      </c>
      <c r="H615" s="6" t="str">
        <f>IF(A615="","",SUMIFS(Chicks!$J:$J,Chicks!$G:$G,A615))</f>
        <v/>
      </c>
      <c r="I615" s="6" t="str">
        <f>IF(A615="","",COUNTIFS(Chicks!$G:$G,A615,Chicks!$I:$I,"No"))</f>
        <v/>
      </c>
      <c r="J615" s="6" t="str">
        <f>IF(A615="","",IFERROR(AVERAGEIF(Chicks!$G:$G,A615,Chicks!$M:$M),""))</f>
        <v/>
      </c>
      <c r="K615" s="6" t="str">
        <f>IF(A615="","",SUMIFS(Chicks!$N:$N,Chicks!$G:$G,A615))</f>
        <v/>
      </c>
      <c r="L615" s="6" t="str">
        <f>IF(A615="","",SUMIFS(Chicks!$O:$O,Chicks!$G:$G,A615))</f>
        <v/>
      </c>
      <c r="M615" s="6" t="str">
        <f>IF(A615="","",SUMIFS(Chicks!$P:$P,Chicks!$G:$G,A615))</f>
        <v/>
      </c>
      <c r="N615" s="6" t="str">
        <f t="shared" si="3"/>
        <v/>
      </c>
    </row>
    <row r="616" spans="6:14" ht="14.25" customHeight="1" x14ac:dyDescent="0.3">
      <c r="F616" s="6" t="str">
        <f>IF(A616="","",COUNTIF(Chicks!$G:$G,A616))</f>
        <v/>
      </c>
      <c r="G616" s="6" t="str">
        <f>IF(A616="","",COUNTIFS(Chicks!$G:$G,A616,Chicks!$I:$I,"Yes"))</f>
        <v/>
      </c>
      <c r="H616" s="6" t="str">
        <f>IF(A616="","",SUMIFS(Chicks!$J:$J,Chicks!$G:$G,A616))</f>
        <v/>
      </c>
      <c r="I616" s="6" t="str">
        <f>IF(A616="","",COUNTIFS(Chicks!$G:$G,A616,Chicks!$I:$I,"No"))</f>
        <v/>
      </c>
      <c r="J616" s="6" t="str">
        <f>IF(A616="","",IFERROR(AVERAGEIF(Chicks!$G:$G,A616,Chicks!$M:$M),""))</f>
        <v/>
      </c>
      <c r="K616" s="6" t="str">
        <f>IF(A616="","",SUMIFS(Chicks!$N:$N,Chicks!$G:$G,A616))</f>
        <v/>
      </c>
      <c r="L616" s="6" t="str">
        <f>IF(A616="","",SUMIFS(Chicks!$O:$O,Chicks!$G:$G,A616))</f>
        <v/>
      </c>
      <c r="M616" s="6" t="str">
        <f>IF(A616="","",SUMIFS(Chicks!$P:$P,Chicks!$G:$G,A616))</f>
        <v/>
      </c>
      <c r="N616" s="6" t="str">
        <f t="shared" si="3"/>
        <v/>
      </c>
    </row>
    <row r="617" spans="6:14" ht="14.25" customHeight="1" x14ac:dyDescent="0.3">
      <c r="F617" s="6" t="str">
        <f>IF(A617="","",COUNTIF(Chicks!$G:$G,A617))</f>
        <v/>
      </c>
      <c r="G617" s="6" t="str">
        <f>IF(A617="","",COUNTIFS(Chicks!$G:$G,A617,Chicks!$I:$I,"Yes"))</f>
        <v/>
      </c>
      <c r="H617" s="6" t="str">
        <f>IF(A617="","",SUMIFS(Chicks!$J:$J,Chicks!$G:$G,A617))</f>
        <v/>
      </c>
      <c r="I617" s="6" t="str">
        <f>IF(A617="","",COUNTIFS(Chicks!$G:$G,A617,Chicks!$I:$I,"No"))</f>
        <v/>
      </c>
      <c r="J617" s="6" t="str">
        <f>IF(A617="","",IFERROR(AVERAGEIF(Chicks!$G:$G,A617,Chicks!$M:$M),""))</f>
        <v/>
      </c>
      <c r="K617" s="6" t="str">
        <f>IF(A617="","",SUMIFS(Chicks!$N:$N,Chicks!$G:$G,A617))</f>
        <v/>
      </c>
      <c r="L617" s="6" t="str">
        <f>IF(A617="","",SUMIFS(Chicks!$O:$O,Chicks!$G:$G,A617))</f>
        <v/>
      </c>
      <c r="M617" s="6" t="str">
        <f>IF(A617="","",SUMIFS(Chicks!$P:$P,Chicks!$G:$G,A617))</f>
        <v/>
      </c>
      <c r="N617" s="6" t="str">
        <f t="shared" si="3"/>
        <v/>
      </c>
    </row>
    <row r="618" spans="6:14" ht="14.25" customHeight="1" x14ac:dyDescent="0.3">
      <c r="F618" s="6" t="str">
        <f>IF(A618="","",COUNTIF(Chicks!$G:$G,A618))</f>
        <v/>
      </c>
      <c r="G618" s="6" t="str">
        <f>IF(A618="","",COUNTIFS(Chicks!$G:$G,A618,Chicks!$I:$I,"Yes"))</f>
        <v/>
      </c>
      <c r="H618" s="6" t="str">
        <f>IF(A618="","",SUMIFS(Chicks!$J:$J,Chicks!$G:$G,A618))</f>
        <v/>
      </c>
      <c r="I618" s="6" t="str">
        <f>IF(A618="","",COUNTIFS(Chicks!$G:$G,A618,Chicks!$I:$I,"No"))</f>
        <v/>
      </c>
      <c r="J618" s="6" t="str">
        <f>IF(A618="","",IFERROR(AVERAGEIF(Chicks!$G:$G,A618,Chicks!$M:$M),""))</f>
        <v/>
      </c>
      <c r="K618" s="6" t="str">
        <f>IF(A618="","",SUMIFS(Chicks!$N:$N,Chicks!$G:$G,A618))</f>
        <v/>
      </c>
      <c r="L618" s="6" t="str">
        <f>IF(A618="","",SUMIFS(Chicks!$O:$O,Chicks!$G:$G,A618))</f>
        <v/>
      </c>
      <c r="M618" s="6" t="str">
        <f>IF(A618="","",SUMIFS(Chicks!$P:$P,Chicks!$G:$G,A618))</f>
        <v/>
      </c>
      <c r="N618" s="6" t="str">
        <f t="shared" si="3"/>
        <v/>
      </c>
    </row>
    <row r="619" spans="6:14" ht="14.25" customHeight="1" x14ac:dyDescent="0.3">
      <c r="F619" s="6" t="str">
        <f>IF(A619="","",COUNTIF(Chicks!$G:$G,A619))</f>
        <v/>
      </c>
      <c r="G619" s="6" t="str">
        <f>IF(A619="","",COUNTIFS(Chicks!$G:$G,A619,Chicks!$I:$I,"Yes"))</f>
        <v/>
      </c>
      <c r="H619" s="6" t="str">
        <f>IF(A619="","",SUMIFS(Chicks!$J:$J,Chicks!$G:$G,A619))</f>
        <v/>
      </c>
      <c r="I619" s="6" t="str">
        <f>IF(A619="","",COUNTIFS(Chicks!$G:$G,A619,Chicks!$I:$I,"No"))</f>
        <v/>
      </c>
      <c r="J619" s="6" t="str">
        <f>IF(A619="","",IFERROR(AVERAGEIF(Chicks!$G:$G,A619,Chicks!$M:$M),""))</f>
        <v/>
      </c>
      <c r="K619" s="6" t="str">
        <f>IF(A619="","",SUMIFS(Chicks!$N:$N,Chicks!$G:$G,A619))</f>
        <v/>
      </c>
      <c r="L619" s="6" t="str">
        <f>IF(A619="","",SUMIFS(Chicks!$O:$O,Chicks!$G:$G,A619))</f>
        <v/>
      </c>
      <c r="M619" s="6" t="str">
        <f>IF(A619="","",SUMIFS(Chicks!$P:$P,Chicks!$G:$G,A619))</f>
        <v/>
      </c>
      <c r="N619" s="6" t="str">
        <f t="shared" si="3"/>
        <v/>
      </c>
    </row>
    <row r="620" spans="6:14" ht="14.25" customHeight="1" x14ac:dyDescent="0.3">
      <c r="F620" s="6" t="str">
        <f>IF(A620="","",COUNTIF(Chicks!$G:$G,A620))</f>
        <v/>
      </c>
      <c r="G620" s="6" t="str">
        <f>IF(A620="","",COUNTIFS(Chicks!$G:$G,A620,Chicks!$I:$I,"Yes"))</f>
        <v/>
      </c>
      <c r="H620" s="6" t="str">
        <f>IF(A620="","",SUMIFS(Chicks!$J:$J,Chicks!$G:$G,A620))</f>
        <v/>
      </c>
      <c r="I620" s="6" t="str">
        <f>IF(A620="","",COUNTIFS(Chicks!$G:$G,A620,Chicks!$I:$I,"No"))</f>
        <v/>
      </c>
      <c r="J620" s="6" t="str">
        <f>IF(A620="","",IFERROR(AVERAGEIF(Chicks!$G:$G,A620,Chicks!$M:$M),""))</f>
        <v/>
      </c>
      <c r="K620" s="6" t="str">
        <f>IF(A620="","",SUMIFS(Chicks!$N:$N,Chicks!$G:$G,A620))</f>
        <v/>
      </c>
      <c r="L620" s="6" t="str">
        <f>IF(A620="","",SUMIFS(Chicks!$O:$O,Chicks!$G:$G,A620))</f>
        <v/>
      </c>
      <c r="M620" s="6" t="str">
        <f>IF(A620="","",SUMIFS(Chicks!$P:$P,Chicks!$G:$G,A620))</f>
        <v/>
      </c>
      <c r="N620" s="6" t="str">
        <f t="shared" si="3"/>
        <v/>
      </c>
    </row>
    <row r="621" spans="6:14" ht="14.25" customHeight="1" x14ac:dyDescent="0.3">
      <c r="F621" s="6" t="str">
        <f>IF(A621="","",COUNTIF(Chicks!$G:$G,A621))</f>
        <v/>
      </c>
      <c r="G621" s="6" t="str">
        <f>IF(A621="","",COUNTIFS(Chicks!$G:$G,A621,Chicks!$I:$I,"Yes"))</f>
        <v/>
      </c>
      <c r="H621" s="6" t="str">
        <f>IF(A621="","",SUMIFS(Chicks!$J:$J,Chicks!$G:$G,A621))</f>
        <v/>
      </c>
      <c r="I621" s="6" t="str">
        <f>IF(A621="","",COUNTIFS(Chicks!$G:$G,A621,Chicks!$I:$I,"No"))</f>
        <v/>
      </c>
      <c r="J621" s="6" t="str">
        <f>IF(A621="","",IFERROR(AVERAGEIF(Chicks!$G:$G,A621,Chicks!$M:$M),""))</f>
        <v/>
      </c>
      <c r="K621" s="6" t="str">
        <f>IF(A621="","",SUMIFS(Chicks!$N:$N,Chicks!$G:$G,A621))</f>
        <v/>
      </c>
      <c r="L621" s="6" t="str">
        <f>IF(A621="","",SUMIFS(Chicks!$O:$O,Chicks!$G:$G,A621))</f>
        <v/>
      </c>
      <c r="M621" s="6" t="str">
        <f>IF(A621="","",SUMIFS(Chicks!$P:$P,Chicks!$G:$G,A621))</f>
        <v/>
      </c>
      <c r="N621" s="6" t="str">
        <f t="shared" si="3"/>
        <v/>
      </c>
    </row>
    <row r="622" spans="6:14" ht="14.25" customHeight="1" x14ac:dyDescent="0.3">
      <c r="F622" s="6" t="str">
        <f>IF(A622="","",COUNTIF(Chicks!$G:$G,A622))</f>
        <v/>
      </c>
      <c r="G622" s="6" t="str">
        <f>IF(A622="","",COUNTIFS(Chicks!$G:$G,A622,Chicks!$I:$I,"Yes"))</f>
        <v/>
      </c>
      <c r="H622" s="6" t="str">
        <f>IF(A622="","",SUMIFS(Chicks!$J:$J,Chicks!$G:$G,A622))</f>
        <v/>
      </c>
      <c r="I622" s="6" t="str">
        <f>IF(A622="","",COUNTIFS(Chicks!$G:$G,A622,Chicks!$I:$I,"No"))</f>
        <v/>
      </c>
      <c r="J622" s="6" t="str">
        <f>IF(A622="","",IFERROR(AVERAGEIF(Chicks!$G:$G,A622,Chicks!$M:$M),""))</f>
        <v/>
      </c>
      <c r="K622" s="6" t="str">
        <f>IF(A622="","",SUMIFS(Chicks!$N:$N,Chicks!$G:$G,A622))</f>
        <v/>
      </c>
      <c r="L622" s="6" t="str">
        <f>IF(A622="","",SUMIFS(Chicks!$O:$O,Chicks!$G:$G,A622))</f>
        <v/>
      </c>
      <c r="M622" s="6" t="str">
        <f>IF(A622="","",SUMIFS(Chicks!$P:$P,Chicks!$G:$G,A622))</f>
        <v/>
      </c>
      <c r="N622" s="6" t="str">
        <f t="shared" si="3"/>
        <v/>
      </c>
    </row>
    <row r="623" spans="6:14" ht="14.25" customHeight="1" x14ac:dyDescent="0.3">
      <c r="F623" s="6" t="str">
        <f>IF(A623="","",COUNTIF(Chicks!$G:$G,A623))</f>
        <v/>
      </c>
      <c r="G623" s="6" t="str">
        <f>IF(A623="","",COUNTIFS(Chicks!$G:$G,A623,Chicks!$I:$I,"Yes"))</f>
        <v/>
      </c>
      <c r="H623" s="6" t="str">
        <f>IF(A623="","",SUMIFS(Chicks!$J:$J,Chicks!$G:$G,A623))</f>
        <v/>
      </c>
      <c r="I623" s="6" t="str">
        <f>IF(A623="","",COUNTIFS(Chicks!$G:$G,A623,Chicks!$I:$I,"No"))</f>
        <v/>
      </c>
      <c r="J623" s="6" t="str">
        <f>IF(A623="","",IFERROR(AVERAGEIF(Chicks!$G:$G,A623,Chicks!$M:$M),""))</f>
        <v/>
      </c>
      <c r="K623" s="6" t="str">
        <f>IF(A623="","",SUMIFS(Chicks!$N:$N,Chicks!$G:$G,A623))</f>
        <v/>
      </c>
      <c r="L623" s="6" t="str">
        <f>IF(A623="","",SUMIFS(Chicks!$O:$O,Chicks!$G:$G,A623))</f>
        <v/>
      </c>
      <c r="M623" s="6" t="str">
        <f>IF(A623="","",SUMIFS(Chicks!$P:$P,Chicks!$G:$G,A623))</f>
        <v/>
      </c>
      <c r="N623" s="6" t="str">
        <f t="shared" si="3"/>
        <v/>
      </c>
    </row>
    <row r="624" spans="6:14" ht="14.25" customHeight="1" x14ac:dyDescent="0.3">
      <c r="F624" s="6" t="str">
        <f>IF(A624="","",COUNTIF(Chicks!$G:$G,A624))</f>
        <v/>
      </c>
      <c r="G624" s="6" t="str">
        <f>IF(A624="","",COUNTIFS(Chicks!$G:$G,A624,Chicks!$I:$I,"Yes"))</f>
        <v/>
      </c>
      <c r="H624" s="6" t="str">
        <f>IF(A624="","",SUMIFS(Chicks!$J:$J,Chicks!$G:$G,A624))</f>
        <v/>
      </c>
      <c r="I624" s="6" t="str">
        <f>IF(A624="","",COUNTIFS(Chicks!$G:$G,A624,Chicks!$I:$I,"No"))</f>
        <v/>
      </c>
      <c r="J624" s="6" t="str">
        <f>IF(A624="","",IFERROR(AVERAGEIF(Chicks!$G:$G,A624,Chicks!$M:$M),""))</f>
        <v/>
      </c>
      <c r="K624" s="6" t="str">
        <f>IF(A624="","",SUMIFS(Chicks!$N:$N,Chicks!$G:$G,A624))</f>
        <v/>
      </c>
      <c r="L624" s="6" t="str">
        <f>IF(A624="","",SUMIFS(Chicks!$O:$O,Chicks!$G:$G,A624))</f>
        <v/>
      </c>
      <c r="M624" s="6" t="str">
        <f>IF(A624="","",SUMIFS(Chicks!$P:$P,Chicks!$G:$G,A624))</f>
        <v/>
      </c>
      <c r="N624" s="6" t="str">
        <f t="shared" si="3"/>
        <v/>
      </c>
    </row>
    <row r="625" spans="6:14" ht="14.25" customHeight="1" x14ac:dyDescent="0.3">
      <c r="F625" s="6" t="str">
        <f>IF(A625="","",COUNTIF(Chicks!$G:$G,A625))</f>
        <v/>
      </c>
      <c r="G625" s="6" t="str">
        <f>IF(A625="","",COUNTIFS(Chicks!$G:$G,A625,Chicks!$I:$I,"Yes"))</f>
        <v/>
      </c>
      <c r="H625" s="6" t="str">
        <f>IF(A625="","",SUMIFS(Chicks!$J:$J,Chicks!$G:$G,A625))</f>
        <v/>
      </c>
      <c r="I625" s="6" t="str">
        <f>IF(A625="","",COUNTIFS(Chicks!$G:$G,A625,Chicks!$I:$I,"No"))</f>
        <v/>
      </c>
      <c r="J625" s="6" t="str">
        <f>IF(A625="","",IFERROR(AVERAGEIF(Chicks!$G:$G,A625,Chicks!$M:$M),""))</f>
        <v/>
      </c>
      <c r="K625" s="6" t="str">
        <f>IF(A625="","",SUMIFS(Chicks!$N:$N,Chicks!$G:$G,A625))</f>
        <v/>
      </c>
      <c r="L625" s="6" t="str">
        <f>IF(A625="","",SUMIFS(Chicks!$O:$O,Chicks!$G:$G,A625))</f>
        <v/>
      </c>
      <c r="M625" s="6" t="str">
        <f>IF(A625="","",SUMIFS(Chicks!$P:$P,Chicks!$G:$G,A625))</f>
        <v/>
      </c>
      <c r="N625" s="6" t="str">
        <f t="shared" si="3"/>
        <v/>
      </c>
    </row>
    <row r="626" spans="6:14" ht="14.25" customHeight="1" x14ac:dyDescent="0.3">
      <c r="F626" s="6" t="str">
        <f>IF(A626="","",COUNTIF(Chicks!$G:$G,A626))</f>
        <v/>
      </c>
      <c r="G626" s="6" t="str">
        <f>IF(A626="","",COUNTIFS(Chicks!$G:$G,A626,Chicks!$I:$I,"Yes"))</f>
        <v/>
      </c>
      <c r="H626" s="6" t="str">
        <f>IF(A626="","",SUMIFS(Chicks!$J:$J,Chicks!$G:$G,A626))</f>
        <v/>
      </c>
      <c r="I626" s="6" t="str">
        <f>IF(A626="","",COUNTIFS(Chicks!$G:$G,A626,Chicks!$I:$I,"No"))</f>
        <v/>
      </c>
      <c r="J626" s="6" t="str">
        <f>IF(A626="","",IFERROR(AVERAGEIF(Chicks!$G:$G,A626,Chicks!$M:$M),""))</f>
        <v/>
      </c>
      <c r="K626" s="6" t="str">
        <f>IF(A626="","",SUMIFS(Chicks!$N:$N,Chicks!$G:$G,A626))</f>
        <v/>
      </c>
      <c r="L626" s="6" t="str">
        <f>IF(A626="","",SUMIFS(Chicks!$O:$O,Chicks!$G:$G,A626))</f>
        <v/>
      </c>
      <c r="M626" s="6" t="str">
        <f>IF(A626="","",SUMIFS(Chicks!$P:$P,Chicks!$G:$G,A626))</f>
        <v/>
      </c>
      <c r="N626" s="6" t="str">
        <f t="shared" si="3"/>
        <v/>
      </c>
    </row>
    <row r="627" spans="6:14" ht="14.25" customHeight="1" x14ac:dyDescent="0.3">
      <c r="F627" s="6" t="str">
        <f>IF(A627="","",COUNTIF(Chicks!$G:$G,A627))</f>
        <v/>
      </c>
      <c r="G627" s="6" t="str">
        <f>IF(A627="","",COUNTIFS(Chicks!$G:$G,A627,Chicks!$I:$I,"Yes"))</f>
        <v/>
      </c>
      <c r="H627" s="6" t="str">
        <f>IF(A627="","",SUMIFS(Chicks!$J:$J,Chicks!$G:$G,A627))</f>
        <v/>
      </c>
      <c r="I627" s="6" t="str">
        <f>IF(A627="","",COUNTIFS(Chicks!$G:$G,A627,Chicks!$I:$I,"No"))</f>
        <v/>
      </c>
      <c r="J627" s="6" t="str">
        <f>IF(A627="","",IFERROR(AVERAGEIF(Chicks!$G:$G,A627,Chicks!$M:$M),""))</f>
        <v/>
      </c>
      <c r="K627" s="6" t="str">
        <f>IF(A627="","",SUMIFS(Chicks!$N:$N,Chicks!$G:$G,A627))</f>
        <v/>
      </c>
      <c r="L627" s="6" t="str">
        <f>IF(A627="","",SUMIFS(Chicks!$O:$O,Chicks!$G:$G,A627))</f>
        <v/>
      </c>
      <c r="M627" s="6" t="str">
        <f>IF(A627="","",SUMIFS(Chicks!$P:$P,Chicks!$G:$G,A627))</f>
        <v/>
      </c>
      <c r="N627" s="6" t="str">
        <f t="shared" si="3"/>
        <v/>
      </c>
    </row>
    <row r="628" spans="6:14" ht="14.25" customHeight="1" x14ac:dyDescent="0.3">
      <c r="F628" s="6" t="str">
        <f>IF(A628="","",COUNTIF(Chicks!$G:$G,A628))</f>
        <v/>
      </c>
      <c r="G628" s="6" t="str">
        <f>IF(A628="","",COUNTIFS(Chicks!$G:$G,A628,Chicks!$I:$I,"Yes"))</f>
        <v/>
      </c>
      <c r="H628" s="6" t="str">
        <f>IF(A628="","",SUMIFS(Chicks!$J:$J,Chicks!$G:$G,A628))</f>
        <v/>
      </c>
      <c r="I628" s="6" t="str">
        <f>IF(A628="","",COUNTIFS(Chicks!$G:$G,A628,Chicks!$I:$I,"No"))</f>
        <v/>
      </c>
      <c r="J628" s="6" t="str">
        <f>IF(A628="","",IFERROR(AVERAGEIF(Chicks!$G:$G,A628,Chicks!$M:$M),""))</f>
        <v/>
      </c>
      <c r="K628" s="6" t="str">
        <f>IF(A628="","",SUMIFS(Chicks!$N:$N,Chicks!$G:$G,A628))</f>
        <v/>
      </c>
      <c r="L628" s="6" t="str">
        <f>IF(A628="","",SUMIFS(Chicks!$O:$O,Chicks!$G:$G,A628))</f>
        <v/>
      </c>
      <c r="M628" s="6" t="str">
        <f>IF(A628="","",SUMIFS(Chicks!$P:$P,Chicks!$G:$G,A628))</f>
        <v/>
      </c>
      <c r="N628" s="6" t="str">
        <f t="shared" si="3"/>
        <v/>
      </c>
    </row>
    <row r="629" spans="6:14" ht="14.25" customHeight="1" x14ac:dyDescent="0.3">
      <c r="F629" s="6" t="str">
        <f>IF(A629="","",COUNTIF(Chicks!$G:$G,A629))</f>
        <v/>
      </c>
      <c r="G629" s="6" t="str">
        <f>IF(A629="","",COUNTIFS(Chicks!$G:$G,A629,Chicks!$I:$I,"Yes"))</f>
        <v/>
      </c>
      <c r="H629" s="6" t="str">
        <f>IF(A629="","",SUMIFS(Chicks!$J:$J,Chicks!$G:$G,A629))</f>
        <v/>
      </c>
      <c r="I629" s="6" t="str">
        <f>IF(A629="","",COUNTIFS(Chicks!$G:$G,A629,Chicks!$I:$I,"No"))</f>
        <v/>
      </c>
      <c r="J629" s="6" t="str">
        <f>IF(A629="","",IFERROR(AVERAGEIF(Chicks!$G:$G,A629,Chicks!$M:$M),""))</f>
        <v/>
      </c>
      <c r="K629" s="6" t="str">
        <f>IF(A629="","",SUMIFS(Chicks!$N:$N,Chicks!$G:$G,A629))</f>
        <v/>
      </c>
      <c r="L629" s="6" t="str">
        <f>IF(A629="","",SUMIFS(Chicks!$O:$O,Chicks!$G:$G,A629))</f>
        <v/>
      </c>
      <c r="M629" s="6" t="str">
        <f>IF(A629="","",SUMIFS(Chicks!$P:$P,Chicks!$G:$G,A629))</f>
        <v/>
      </c>
      <c r="N629" s="6" t="str">
        <f t="shared" si="3"/>
        <v/>
      </c>
    </row>
    <row r="630" spans="6:14" ht="14.25" customHeight="1" x14ac:dyDescent="0.3">
      <c r="F630" s="6" t="str">
        <f>IF(A630="","",COUNTIF(Chicks!$G:$G,A630))</f>
        <v/>
      </c>
      <c r="G630" s="6" t="str">
        <f>IF(A630="","",COUNTIFS(Chicks!$G:$G,A630,Chicks!$I:$I,"Yes"))</f>
        <v/>
      </c>
      <c r="H630" s="6" t="str">
        <f>IF(A630="","",SUMIFS(Chicks!$J:$J,Chicks!$G:$G,A630))</f>
        <v/>
      </c>
      <c r="I630" s="6" t="str">
        <f>IF(A630="","",COUNTIFS(Chicks!$G:$G,A630,Chicks!$I:$I,"No"))</f>
        <v/>
      </c>
      <c r="J630" s="6" t="str">
        <f>IF(A630="","",IFERROR(AVERAGEIF(Chicks!$G:$G,A630,Chicks!$M:$M),""))</f>
        <v/>
      </c>
      <c r="K630" s="6" t="str">
        <f>IF(A630="","",SUMIFS(Chicks!$N:$N,Chicks!$G:$G,A630))</f>
        <v/>
      </c>
      <c r="L630" s="6" t="str">
        <f>IF(A630="","",SUMIFS(Chicks!$O:$O,Chicks!$G:$G,A630))</f>
        <v/>
      </c>
      <c r="M630" s="6" t="str">
        <f>IF(A630="","",SUMIFS(Chicks!$P:$P,Chicks!$G:$G,A630))</f>
        <v/>
      </c>
      <c r="N630" s="6" t="str">
        <f t="shared" si="3"/>
        <v/>
      </c>
    </row>
    <row r="631" spans="6:14" ht="14.25" customHeight="1" x14ac:dyDescent="0.3">
      <c r="F631" s="6" t="str">
        <f>IF(A631="","",COUNTIF(Chicks!$G:$G,A631))</f>
        <v/>
      </c>
      <c r="G631" s="6" t="str">
        <f>IF(A631="","",COUNTIFS(Chicks!$G:$G,A631,Chicks!$I:$I,"Yes"))</f>
        <v/>
      </c>
      <c r="H631" s="6" t="str">
        <f>IF(A631="","",SUMIFS(Chicks!$J:$J,Chicks!$G:$G,A631))</f>
        <v/>
      </c>
      <c r="I631" s="6" t="str">
        <f>IF(A631="","",COUNTIFS(Chicks!$G:$G,A631,Chicks!$I:$I,"No"))</f>
        <v/>
      </c>
      <c r="J631" s="6" t="str">
        <f>IF(A631="","",IFERROR(AVERAGEIF(Chicks!$G:$G,A631,Chicks!$M:$M),""))</f>
        <v/>
      </c>
      <c r="K631" s="6" t="str">
        <f>IF(A631="","",SUMIFS(Chicks!$N:$N,Chicks!$G:$G,A631))</f>
        <v/>
      </c>
      <c r="L631" s="6" t="str">
        <f>IF(A631="","",SUMIFS(Chicks!$O:$O,Chicks!$G:$G,A631))</f>
        <v/>
      </c>
      <c r="M631" s="6" t="str">
        <f>IF(A631="","",SUMIFS(Chicks!$P:$P,Chicks!$G:$G,A631))</f>
        <v/>
      </c>
      <c r="N631" s="6" t="str">
        <f t="shared" si="3"/>
        <v/>
      </c>
    </row>
    <row r="632" spans="6:14" ht="14.25" customHeight="1" x14ac:dyDescent="0.3">
      <c r="F632" s="6" t="str">
        <f>IF(A632="","",COUNTIF(Chicks!$G:$G,A632))</f>
        <v/>
      </c>
      <c r="G632" s="6" t="str">
        <f>IF(A632="","",COUNTIFS(Chicks!$G:$G,A632,Chicks!$I:$I,"Yes"))</f>
        <v/>
      </c>
      <c r="H632" s="6" t="str">
        <f>IF(A632="","",SUMIFS(Chicks!$J:$J,Chicks!$G:$G,A632))</f>
        <v/>
      </c>
      <c r="I632" s="6" t="str">
        <f>IF(A632="","",COUNTIFS(Chicks!$G:$G,A632,Chicks!$I:$I,"No"))</f>
        <v/>
      </c>
      <c r="J632" s="6" t="str">
        <f>IF(A632="","",IFERROR(AVERAGEIF(Chicks!$G:$G,A632,Chicks!$M:$M),""))</f>
        <v/>
      </c>
      <c r="K632" s="6" t="str">
        <f>IF(A632="","",SUMIFS(Chicks!$N:$N,Chicks!$G:$G,A632))</f>
        <v/>
      </c>
      <c r="L632" s="6" t="str">
        <f>IF(A632="","",SUMIFS(Chicks!$O:$O,Chicks!$G:$G,A632))</f>
        <v/>
      </c>
      <c r="M632" s="6" t="str">
        <f>IF(A632="","",SUMIFS(Chicks!$P:$P,Chicks!$G:$G,A632))</f>
        <v/>
      </c>
      <c r="N632" s="6" t="str">
        <f t="shared" si="3"/>
        <v/>
      </c>
    </row>
    <row r="633" spans="6:14" ht="14.25" customHeight="1" x14ac:dyDescent="0.3">
      <c r="F633" s="6" t="str">
        <f>IF(A633="","",COUNTIF(Chicks!$G:$G,A633))</f>
        <v/>
      </c>
      <c r="G633" s="6" t="str">
        <f>IF(A633="","",COUNTIFS(Chicks!$G:$G,A633,Chicks!$I:$I,"Yes"))</f>
        <v/>
      </c>
      <c r="H633" s="6" t="str">
        <f>IF(A633="","",SUMIFS(Chicks!$J:$J,Chicks!$G:$G,A633))</f>
        <v/>
      </c>
      <c r="I633" s="6" t="str">
        <f>IF(A633="","",COUNTIFS(Chicks!$G:$G,A633,Chicks!$I:$I,"No"))</f>
        <v/>
      </c>
      <c r="J633" s="6" t="str">
        <f>IF(A633="","",IFERROR(AVERAGEIF(Chicks!$G:$G,A633,Chicks!$M:$M),""))</f>
        <v/>
      </c>
      <c r="K633" s="6" t="str">
        <f>IF(A633="","",SUMIFS(Chicks!$N:$N,Chicks!$G:$G,A633))</f>
        <v/>
      </c>
      <c r="L633" s="6" t="str">
        <f>IF(A633="","",SUMIFS(Chicks!$O:$O,Chicks!$G:$G,A633))</f>
        <v/>
      </c>
      <c r="M633" s="6" t="str">
        <f>IF(A633="","",SUMIFS(Chicks!$P:$P,Chicks!$G:$G,A633))</f>
        <v/>
      </c>
      <c r="N633" s="6" t="str">
        <f t="shared" si="3"/>
        <v/>
      </c>
    </row>
    <row r="634" spans="6:14" ht="14.25" customHeight="1" x14ac:dyDescent="0.3">
      <c r="F634" s="6" t="str">
        <f>IF(A634="","",COUNTIF(Chicks!$G:$G,A634))</f>
        <v/>
      </c>
      <c r="G634" s="6" t="str">
        <f>IF(A634="","",COUNTIFS(Chicks!$G:$G,A634,Chicks!$I:$I,"Yes"))</f>
        <v/>
      </c>
      <c r="H634" s="6" t="str">
        <f>IF(A634="","",SUMIFS(Chicks!$J:$J,Chicks!$G:$G,A634))</f>
        <v/>
      </c>
      <c r="I634" s="6" t="str">
        <f>IF(A634="","",COUNTIFS(Chicks!$G:$G,A634,Chicks!$I:$I,"No"))</f>
        <v/>
      </c>
      <c r="J634" s="6" t="str">
        <f>IF(A634="","",IFERROR(AVERAGEIF(Chicks!$G:$G,A634,Chicks!$M:$M),""))</f>
        <v/>
      </c>
      <c r="K634" s="6" t="str">
        <f>IF(A634="","",SUMIFS(Chicks!$N:$N,Chicks!$G:$G,A634))</f>
        <v/>
      </c>
      <c r="L634" s="6" t="str">
        <f>IF(A634="","",SUMIFS(Chicks!$O:$O,Chicks!$G:$G,A634))</f>
        <v/>
      </c>
      <c r="M634" s="6" t="str">
        <f>IF(A634="","",SUMIFS(Chicks!$P:$P,Chicks!$G:$G,A634))</f>
        <v/>
      </c>
      <c r="N634" s="6" t="str">
        <f t="shared" si="3"/>
        <v/>
      </c>
    </row>
    <row r="635" spans="6:14" ht="14.25" customHeight="1" x14ac:dyDescent="0.3">
      <c r="F635" s="6" t="str">
        <f>IF(A635="","",COUNTIF(Chicks!$G:$G,A635))</f>
        <v/>
      </c>
      <c r="G635" s="6" t="str">
        <f>IF(A635="","",COUNTIFS(Chicks!$G:$G,A635,Chicks!$I:$I,"Yes"))</f>
        <v/>
      </c>
      <c r="H635" s="6" t="str">
        <f>IF(A635="","",SUMIFS(Chicks!$J:$J,Chicks!$G:$G,A635))</f>
        <v/>
      </c>
      <c r="I635" s="6" t="str">
        <f>IF(A635="","",COUNTIFS(Chicks!$G:$G,A635,Chicks!$I:$I,"No"))</f>
        <v/>
      </c>
      <c r="J635" s="6" t="str">
        <f>IF(A635="","",IFERROR(AVERAGEIF(Chicks!$G:$G,A635,Chicks!$M:$M),""))</f>
        <v/>
      </c>
      <c r="K635" s="6" t="str">
        <f>IF(A635="","",SUMIFS(Chicks!$N:$N,Chicks!$G:$G,A635))</f>
        <v/>
      </c>
      <c r="L635" s="6" t="str">
        <f>IF(A635="","",SUMIFS(Chicks!$O:$O,Chicks!$G:$G,A635))</f>
        <v/>
      </c>
      <c r="M635" s="6" t="str">
        <f>IF(A635="","",SUMIFS(Chicks!$P:$P,Chicks!$G:$G,A635))</f>
        <v/>
      </c>
      <c r="N635" s="6" t="str">
        <f t="shared" si="3"/>
        <v/>
      </c>
    </row>
    <row r="636" spans="6:14" ht="14.25" customHeight="1" x14ac:dyDescent="0.3">
      <c r="F636" s="6" t="str">
        <f>IF(A636="","",COUNTIF(Chicks!$G:$G,A636))</f>
        <v/>
      </c>
      <c r="G636" s="6" t="str">
        <f>IF(A636="","",COUNTIFS(Chicks!$G:$G,A636,Chicks!$I:$I,"Yes"))</f>
        <v/>
      </c>
      <c r="H636" s="6" t="str">
        <f>IF(A636="","",SUMIFS(Chicks!$J:$J,Chicks!$G:$G,A636))</f>
        <v/>
      </c>
      <c r="I636" s="6" t="str">
        <f>IF(A636="","",COUNTIFS(Chicks!$G:$G,A636,Chicks!$I:$I,"No"))</f>
        <v/>
      </c>
      <c r="J636" s="6" t="str">
        <f>IF(A636="","",IFERROR(AVERAGEIF(Chicks!$G:$G,A636,Chicks!$M:$M),""))</f>
        <v/>
      </c>
      <c r="K636" s="6" t="str">
        <f>IF(A636="","",SUMIFS(Chicks!$N:$N,Chicks!$G:$G,A636))</f>
        <v/>
      </c>
      <c r="L636" s="6" t="str">
        <f>IF(A636="","",SUMIFS(Chicks!$O:$O,Chicks!$G:$G,A636))</f>
        <v/>
      </c>
      <c r="M636" s="6" t="str">
        <f>IF(A636="","",SUMIFS(Chicks!$P:$P,Chicks!$G:$G,A636))</f>
        <v/>
      </c>
      <c r="N636" s="6" t="str">
        <f t="shared" si="3"/>
        <v/>
      </c>
    </row>
    <row r="637" spans="6:14" ht="14.25" customHeight="1" x14ac:dyDescent="0.3">
      <c r="F637" s="6" t="str">
        <f>IF(A637="","",COUNTIF(Chicks!$G:$G,A637))</f>
        <v/>
      </c>
      <c r="G637" s="6" t="str">
        <f>IF(A637="","",COUNTIFS(Chicks!$G:$G,A637,Chicks!$I:$I,"Yes"))</f>
        <v/>
      </c>
      <c r="H637" s="6" t="str">
        <f>IF(A637="","",SUMIFS(Chicks!$J:$J,Chicks!$G:$G,A637))</f>
        <v/>
      </c>
      <c r="I637" s="6" t="str">
        <f>IF(A637="","",COUNTIFS(Chicks!$G:$G,A637,Chicks!$I:$I,"No"))</f>
        <v/>
      </c>
      <c r="J637" s="6" t="str">
        <f>IF(A637="","",IFERROR(AVERAGEIF(Chicks!$G:$G,A637,Chicks!$M:$M),""))</f>
        <v/>
      </c>
      <c r="K637" s="6" t="str">
        <f>IF(A637="","",SUMIFS(Chicks!$N:$N,Chicks!$G:$G,A637))</f>
        <v/>
      </c>
      <c r="L637" s="6" t="str">
        <f>IF(A637="","",SUMIFS(Chicks!$O:$O,Chicks!$G:$G,A637))</f>
        <v/>
      </c>
      <c r="M637" s="6" t="str">
        <f>IF(A637="","",SUMIFS(Chicks!$P:$P,Chicks!$G:$G,A637))</f>
        <v/>
      </c>
      <c r="N637" s="6" t="str">
        <f t="shared" si="3"/>
        <v/>
      </c>
    </row>
    <row r="638" spans="6:14" ht="14.25" customHeight="1" x14ac:dyDescent="0.3">
      <c r="F638" s="6" t="str">
        <f>IF(A638="","",COUNTIF(Chicks!$G:$G,A638))</f>
        <v/>
      </c>
      <c r="G638" s="6" t="str">
        <f>IF(A638="","",COUNTIFS(Chicks!$G:$G,A638,Chicks!$I:$I,"Yes"))</f>
        <v/>
      </c>
      <c r="H638" s="6" t="str">
        <f>IF(A638="","",SUMIFS(Chicks!$J:$J,Chicks!$G:$G,A638))</f>
        <v/>
      </c>
      <c r="I638" s="6" t="str">
        <f>IF(A638="","",COUNTIFS(Chicks!$G:$G,A638,Chicks!$I:$I,"No"))</f>
        <v/>
      </c>
      <c r="J638" s="6" t="str">
        <f>IF(A638="","",IFERROR(AVERAGEIF(Chicks!$G:$G,A638,Chicks!$M:$M),""))</f>
        <v/>
      </c>
      <c r="K638" s="6" t="str">
        <f>IF(A638="","",SUMIFS(Chicks!$N:$N,Chicks!$G:$G,A638))</f>
        <v/>
      </c>
      <c r="L638" s="6" t="str">
        <f>IF(A638="","",SUMIFS(Chicks!$O:$O,Chicks!$G:$G,A638))</f>
        <v/>
      </c>
      <c r="M638" s="6" t="str">
        <f>IF(A638="","",SUMIFS(Chicks!$P:$P,Chicks!$G:$G,A638))</f>
        <v/>
      </c>
      <c r="N638" s="6" t="str">
        <f t="shared" si="3"/>
        <v/>
      </c>
    </row>
    <row r="639" spans="6:14" ht="14.25" customHeight="1" x14ac:dyDescent="0.3">
      <c r="F639" s="6" t="str">
        <f>IF(A639="","",COUNTIF(Chicks!$G:$G,A639))</f>
        <v/>
      </c>
      <c r="G639" s="6" t="str">
        <f>IF(A639="","",COUNTIFS(Chicks!$G:$G,A639,Chicks!$I:$I,"Yes"))</f>
        <v/>
      </c>
      <c r="H639" s="6" t="str">
        <f>IF(A639="","",SUMIFS(Chicks!$J:$J,Chicks!$G:$G,A639))</f>
        <v/>
      </c>
      <c r="I639" s="6" t="str">
        <f>IF(A639="","",COUNTIFS(Chicks!$G:$G,A639,Chicks!$I:$I,"No"))</f>
        <v/>
      </c>
      <c r="J639" s="6" t="str">
        <f>IF(A639="","",IFERROR(AVERAGEIF(Chicks!$G:$G,A639,Chicks!$M:$M),""))</f>
        <v/>
      </c>
      <c r="K639" s="6" t="str">
        <f>IF(A639="","",SUMIFS(Chicks!$N:$N,Chicks!$G:$G,A639))</f>
        <v/>
      </c>
      <c r="L639" s="6" t="str">
        <f>IF(A639="","",SUMIFS(Chicks!$O:$O,Chicks!$G:$G,A639))</f>
        <v/>
      </c>
      <c r="M639" s="6" t="str">
        <f>IF(A639="","",SUMIFS(Chicks!$P:$P,Chicks!$G:$G,A639))</f>
        <v/>
      </c>
      <c r="N639" s="6" t="str">
        <f t="shared" si="3"/>
        <v/>
      </c>
    </row>
    <row r="640" spans="6:14" ht="14.25" customHeight="1" x14ac:dyDescent="0.3">
      <c r="F640" s="6" t="str">
        <f>IF(A640="","",COUNTIF(Chicks!$G:$G,A640))</f>
        <v/>
      </c>
      <c r="G640" s="6" t="str">
        <f>IF(A640="","",COUNTIFS(Chicks!$G:$G,A640,Chicks!$I:$I,"Yes"))</f>
        <v/>
      </c>
      <c r="H640" s="6" t="str">
        <f>IF(A640="","",SUMIFS(Chicks!$J:$J,Chicks!$G:$G,A640))</f>
        <v/>
      </c>
      <c r="I640" s="6" t="str">
        <f>IF(A640="","",COUNTIFS(Chicks!$G:$G,A640,Chicks!$I:$I,"No"))</f>
        <v/>
      </c>
      <c r="J640" s="6" t="str">
        <f>IF(A640="","",IFERROR(AVERAGEIF(Chicks!$G:$G,A640,Chicks!$M:$M),""))</f>
        <v/>
      </c>
      <c r="K640" s="6" t="str">
        <f>IF(A640="","",SUMIFS(Chicks!$N:$N,Chicks!$G:$G,A640))</f>
        <v/>
      </c>
      <c r="L640" s="6" t="str">
        <f>IF(A640="","",SUMIFS(Chicks!$O:$O,Chicks!$G:$G,A640))</f>
        <v/>
      </c>
      <c r="M640" s="6" t="str">
        <f>IF(A640="","",SUMIFS(Chicks!$P:$P,Chicks!$G:$G,A640))</f>
        <v/>
      </c>
      <c r="N640" s="6" t="str">
        <f t="shared" si="3"/>
        <v/>
      </c>
    </row>
    <row r="641" spans="6:14" ht="14.25" customHeight="1" x14ac:dyDescent="0.3">
      <c r="F641" s="6" t="str">
        <f>IF(A641="","",COUNTIF(Chicks!$G:$G,A641))</f>
        <v/>
      </c>
      <c r="G641" s="6" t="str">
        <f>IF(A641="","",COUNTIFS(Chicks!$G:$G,A641,Chicks!$I:$I,"Yes"))</f>
        <v/>
      </c>
      <c r="H641" s="6" t="str">
        <f>IF(A641="","",SUMIFS(Chicks!$J:$J,Chicks!$G:$G,A641))</f>
        <v/>
      </c>
      <c r="I641" s="6" t="str">
        <f>IF(A641="","",COUNTIFS(Chicks!$G:$G,A641,Chicks!$I:$I,"No"))</f>
        <v/>
      </c>
      <c r="J641" s="6" t="str">
        <f>IF(A641="","",IFERROR(AVERAGEIF(Chicks!$G:$G,A641,Chicks!$M:$M),""))</f>
        <v/>
      </c>
      <c r="K641" s="6" t="str">
        <f>IF(A641="","",SUMIFS(Chicks!$N:$N,Chicks!$G:$G,A641))</f>
        <v/>
      </c>
      <c r="L641" s="6" t="str">
        <f>IF(A641="","",SUMIFS(Chicks!$O:$O,Chicks!$G:$G,A641))</f>
        <v/>
      </c>
      <c r="M641" s="6" t="str">
        <f>IF(A641="","",SUMIFS(Chicks!$P:$P,Chicks!$G:$G,A641))</f>
        <v/>
      </c>
      <c r="N641" s="6" t="str">
        <f t="shared" si="3"/>
        <v/>
      </c>
    </row>
    <row r="642" spans="6:14" ht="14.25" customHeight="1" x14ac:dyDescent="0.3">
      <c r="F642" s="6" t="str">
        <f>IF(A642="","",COUNTIF(Chicks!$G:$G,A642))</f>
        <v/>
      </c>
      <c r="G642" s="6" t="str">
        <f>IF(A642="","",COUNTIFS(Chicks!$G:$G,A642,Chicks!$I:$I,"Yes"))</f>
        <v/>
      </c>
      <c r="H642" s="6" t="str">
        <f>IF(A642="","",SUMIFS(Chicks!$J:$J,Chicks!$G:$G,A642))</f>
        <v/>
      </c>
      <c r="I642" s="6" t="str">
        <f>IF(A642="","",COUNTIFS(Chicks!$G:$G,A642,Chicks!$I:$I,"No"))</f>
        <v/>
      </c>
      <c r="J642" s="6" t="str">
        <f>IF(A642="","",IFERROR(AVERAGEIF(Chicks!$G:$G,A642,Chicks!$M:$M),""))</f>
        <v/>
      </c>
      <c r="K642" s="6" t="str">
        <f>IF(A642="","",SUMIFS(Chicks!$N:$N,Chicks!$G:$G,A642))</f>
        <v/>
      </c>
      <c r="L642" s="6" t="str">
        <f>IF(A642="","",SUMIFS(Chicks!$O:$O,Chicks!$G:$G,A642))</f>
        <v/>
      </c>
      <c r="M642" s="6" t="str">
        <f>IF(A642="","",SUMIFS(Chicks!$P:$P,Chicks!$G:$G,A642))</f>
        <v/>
      </c>
      <c r="N642" s="6" t="str">
        <f t="shared" si="3"/>
        <v/>
      </c>
    </row>
    <row r="643" spans="6:14" ht="14.25" customHeight="1" x14ac:dyDescent="0.3">
      <c r="F643" s="6" t="str">
        <f>IF(A643="","",COUNTIF(Chicks!$G:$G,A643))</f>
        <v/>
      </c>
      <c r="G643" s="6" t="str">
        <f>IF(A643="","",COUNTIFS(Chicks!$G:$G,A643,Chicks!$I:$I,"Yes"))</f>
        <v/>
      </c>
      <c r="H643" s="6" t="str">
        <f>IF(A643="","",SUMIFS(Chicks!$J:$J,Chicks!$G:$G,A643))</f>
        <v/>
      </c>
      <c r="I643" s="6" t="str">
        <f>IF(A643="","",COUNTIFS(Chicks!$G:$G,A643,Chicks!$I:$I,"No"))</f>
        <v/>
      </c>
      <c r="J643" s="6" t="str">
        <f>IF(A643="","",IFERROR(AVERAGEIF(Chicks!$G:$G,A643,Chicks!$M:$M),""))</f>
        <v/>
      </c>
      <c r="K643" s="6" t="str">
        <f>IF(A643="","",SUMIFS(Chicks!$N:$N,Chicks!$G:$G,A643))</f>
        <v/>
      </c>
      <c r="L643" s="6" t="str">
        <f>IF(A643="","",SUMIFS(Chicks!$O:$O,Chicks!$G:$G,A643))</f>
        <v/>
      </c>
      <c r="M643" s="6" t="str">
        <f>IF(A643="","",SUMIFS(Chicks!$P:$P,Chicks!$G:$G,A643))</f>
        <v/>
      </c>
      <c r="N643" s="6" t="str">
        <f t="shared" si="3"/>
        <v/>
      </c>
    </row>
    <row r="644" spans="6:14" ht="14.25" customHeight="1" x14ac:dyDescent="0.3">
      <c r="F644" s="6" t="str">
        <f>IF(A644="","",COUNTIF(Chicks!$G:$G,A644))</f>
        <v/>
      </c>
      <c r="G644" s="6" t="str">
        <f>IF(A644="","",COUNTIFS(Chicks!$G:$G,A644,Chicks!$I:$I,"Yes"))</f>
        <v/>
      </c>
      <c r="H644" s="6" t="str">
        <f>IF(A644="","",SUMIFS(Chicks!$J:$J,Chicks!$G:$G,A644))</f>
        <v/>
      </c>
      <c r="I644" s="6" t="str">
        <f>IF(A644="","",COUNTIFS(Chicks!$G:$G,A644,Chicks!$I:$I,"No"))</f>
        <v/>
      </c>
      <c r="J644" s="6" t="str">
        <f>IF(A644="","",IFERROR(AVERAGEIF(Chicks!$G:$G,A644,Chicks!$M:$M),""))</f>
        <v/>
      </c>
      <c r="K644" s="6" t="str">
        <f>IF(A644="","",SUMIFS(Chicks!$N:$N,Chicks!$G:$G,A644))</f>
        <v/>
      </c>
      <c r="L644" s="6" t="str">
        <f>IF(A644="","",SUMIFS(Chicks!$O:$O,Chicks!$G:$G,A644))</f>
        <v/>
      </c>
      <c r="M644" s="6" t="str">
        <f>IF(A644="","",SUMIFS(Chicks!$P:$P,Chicks!$G:$G,A644))</f>
        <v/>
      </c>
      <c r="N644" s="6" t="str">
        <f t="shared" si="3"/>
        <v/>
      </c>
    </row>
    <row r="645" spans="6:14" ht="14.25" customHeight="1" x14ac:dyDescent="0.3">
      <c r="F645" s="6" t="str">
        <f>IF(A645="","",COUNTIF(Chicks!$G:$G,A645))</f>
        <v/>
      </c>
      <c r="G645" s="6" t="str">
        <f>IF(A645="","",COUNTIFS(Chicks!$G:$G,A645,Chicks!$I:$I,"Yes"))</f>
        <v/>
      </c>
      <c r="H645" s="6" t="str">
        <f>IF(A645="","",SUMIFS(Chicks!$J:$J,Chicks!$G:$G,A645))</f>
        <v/>
      </c>
      <c r="I645" s="6" t="str">
        <f>IF(A645="","",COUNTIFS(Chicks!$G:$G,A645,Chicks!$I:$I,"No"))</f>
        <v/>
      </c>
      <c r="J645" s="6" t="str">
        <f>IF(A645="","",IFERROR(AVERAGEIF(Chicks!$G:$G,A645,Chicks!$M:$M),""))</f>
        <v/>
      </c>
      <c r="K645" s="6" t="str">
        <f>IF(A645="","",SUMIFS(Chicks!$N:$N,Chicks!$G:$G,A645))</f>
        <v/>
      </c>
      <c r="L645" s="6" t="str">
        <f>IF(A645="","",SUMIFS(Chicks!$O:$O,Chicks!$G:$G,A645))</f>
        <v/>
      </c>
      <c r="M645" s="6" t="str">
        <f>IF(A645="","",SUMIFS(Chicks!$P:$P,Chicks!$G:$G,A645))</f>
        <v/>
      </c>
      <c r="N645" s="6" t="str">
        <f t="shared" si="3"/>
        <v/>
      </c>
    </row>
    <row r="646" spans="6:14" ht="14.25" customHeight="1" x14ac:dyDescent="0.3">
      <c r="F646" s="6" t="str">
        <f>IF(A646="","",COUNTIF(Chicks!$G:$G,A646))</f>
        <v/>
      </c>
      <c r="G646" s="6" t="str">
        <f>IF(A646="","",COUNTIFS(Chicks!$G:$G,A646,Chicks!$I:$I,"Yes"))</f>
        <v/>
      </c>
      <c r="H646" s="6" t="str">
        <f>IF(A646="","",SUMIFS(Chicks!$J:$J,Chicks!$G:$G,A646))</f>
        <v/>
      </c>
      <c r="I646" s="6" t="str">
        <f>IF(A646="","",COUNTIFS(Chicks!$G:$G,A646,Chicks!$I:$I,"No"))</f>
        <v/>
      </c>
      <c r="J646" s="6" t="str">
        <f>IF(A646="","",IFERROR(AVERAGEIF(Chicks!$G:$G,A646,Chicks!$M:$M),""))</f>
        <v/>
      </c>
      <c r="K646" s="6" t="str">
        <f>IF(A646="","",SUMIFS(Chicks!$N:$N,Chicks!$G:$G,A646))</f>
        <v/>
      </c>
      <c r="L646" s="6" t="str">
        <f>IF(A646="","",SUMIFS(Chicks!$O:$O,Chicks!$G:$G,A646))</f>
        <v/>
      </c>
      <c r="M646" s="6" t="str">
        <f>IF(A646="","",SUMIFS(Chicks!$P:$P,Chicks!$G:$G,A646))</f>
        <v/>
      </c>
      <c r="N646" s="6" t="str">
        <f t="shared" si="3"/>
        <v/>
      </c>
    </row>
    <row r="647" spans="6:14" ht="14.25" customHeight="1" x14ac:dyDescent="0.3">
      <c r="F647" s="6" t="str">
        <f>IF(A647="","",COUNTIF(Chicks!$G:$G,A647))</f>
        <v/>
      </c>
      <c r="G647" s="6" t="str">
        <f>IF(A647="","",COUNTIFS(Chicks!$G:$G,A647,Chicks!$I:$I,"Yes"))</f>
        <v/>
      </c>
      <c r="H647" s="6" t="str">
        <f>IF(A647="","",SUMIFS(Chicks!$J:$J,Chicks!$G:$G,A647))</f>
        <v/>
      </c>
      <c r="I647" s="6" t="str">
        <f>IF(A647="","",COUNTIFS(Chicks!$G:$G,A647,Chicks!$I:$I,"No"))</f>
        <v/>
      </c>
      <c r="J647" s="6" t="str">
        <f>IF(A647="","",IFERROR(AVERAGEIF(Chicks!$G:$G,A647,Chicks!$M:$M),""))</f>
        <v/>
      </c>
      <c r="K647" s="6" t="str">
        <f>IF(A647="","",SUMIFS(Chicks!$N:$N,Chicks!$G:$G,A647))</f>
        <v/>
      </c>
      <c r="L647" s="6" t="str">
        <f>IF(A647="","",SUMIFS(Chicks!$O:$O,Chicks!$G:$G,A647))</f>
        <v/>
      </c>
      <c r="M647" s="6" t="str">
        <f>IF(A647="","",SUMIFS(Chicks!$P:$P,Chicks!$G:$G,A647))</f>
        <v/>
      </c>
      <c r="N647" s="6" t="str">
        <f t="shared" si="3"/>
        <v/>
      </c>
    </row>
    <row r="648" spans="6:14" ht="14.25" customHeight="1" x14ac:dyDescent="0.3">
      <c r="F648" s="6" t="str">
        <f>IF(A648="","",COUNTIF(Chicks!$G:$G,A648))</f>
        <v/>
      </c>
      <c r="G648" s="6" t="str">
        <f>IF(A648="","",COUNTIFS(Chicks!$G:$G,A648,Chicks!$I:$I,"Yes"))</f>
        <v/>
      </c>
      <c r="H648" s="6" t="str">
        <f>IF(A648="","",SUMIFS(Chicks!$J:$J,Chicks!$G:$G,A648))</f>
        <v/>
      </c>
      <c r="I648" s="6" t="str">
        <f>IF(A648="","",COUNTIFS(Chicks!$G:$G,A648,Chicks!$I:$I,"No"))</f>
        <v/>
      </c>
      <c r="J648" s="6" t="str">
        <f>IF(A648="","",IFERROR(AVERAGEIF(Chicks!$G:$G,A648,Chicks!$M:$M),""))</f>
        <v/>
      </c>
      <c r="K648" s="6" t="str">
        <f>IF(A648="","",SUMIFS(Chicks!$N:$N,Chicks!$G:$G,A648))</f>
        <v/>
      </c>
      <c r="L648" s="6" t="str">
        <f>IF(A648="","",SUMIFS(Chicks!$O:$O,Chicks!$G:$G,A648))</f>
        <v/>
      </c>
      <c r="M648" s="6" t="str">
        <f>IF(A648="","",SUMIFS(Chicks!$P:$P,Chicks!$G:$G,A648))</f>
        <v/>
      </c>
      <c r="N648" s="6" t="str">
        <f t="shared" si="3"/>
        <v/>
      </c>
    </row>
    <row r="649" spans="6:14" ht="14.25" customHeight="1" x14ac:dyDescent="0.3">
      <c r="F649" s="6" t="str">
        <f>IF(A649="","",COUNTIF(Chicks!$G:$G,A649))</f>
        <v/>
      </c>
      <c r="G649" s="6" t="str">
        <f>IF(A649="","",COUNTIFS(Chicks!$G:$G,A649,Chicks!$I:$I,"Yes"))</f>
        <v/>
      </c>
      <c r="H649" s="6" t="str">
        <f>IF(A649="","",SUMIFS(Chicks!$J:$J,Chicks!$G:$G,A649))</f>
        <v/>
      </c>
      <c r="I649" s="6" t="str">
        <f>IF(A649="","",COUNTIFS(Chicks!$G:$G,A649,Chicks!$I:$I,"No"))</f>
        <v/>
      </c>
      <c r="J649" s="6" t="str">
        <f>IF(A649="","",IFERROR(AVERAGEIF(Chicks!$G:$G,A649,Chicks!$M:$M),""))</f>
        <v/>
      </c>
      <c r="K649" s="6" t="str">
        <f>IF(A649="","",SUMIFS(Chicks!$N:$N,Chicks!$G:$G,A649))</f>
        <v/>
      </c>
      <c r="L649" s="6" t="str">
        <f>IF(A649="","",SUMIFS(Chicks!$O:$O,Chicks!$G:$G,A649))</f>
        <v/>
      </c>
      <c r="M649" s="6" t="str">
        <f>IF(A649="","",SUMIFS(Chicks!$P:$P,Chicks!$G:$G,A649))</f>
        <v/>
      </c>
      <c r="N649" s="6" t="str">
        <f t="shared" si="3"/>
        <v/>
      </c>
    </row>
    <row r="650" spans="6:14" ht="14.25" customHeight="1" x14ac:dyDescent="0.3">
      <c r="F650" s="6" t="str">
        <f>IF(A650="","",COUNTIF(Chicks!$G:$G,A650))</f>
        <v/>
      </c>
      <c r="G650" s="6" t="str">
        <f>IF(A650="","",COUNTIFS(Chicks!$G:$G,A650,Chicks!$I:$I,"Yes"))</f>
        <v/>
      </c>
      <c r="H650" s="6" t="str">
        <f>IF(A650="","",SUMIFS(Chicks!$J:$J,Chicks!$G:$G,A650))</f>
        <v/>
      </c>
      <c r="I650" s="6" t="str">
        <f>IF(A650="","",COUNTIFS(Chicks!$G:$G,A650,Chicks!$I:$I,"No"))</f>
        <v/>
      </c>
      <c r="J650" s="6" t="str">
        <f>IF(A650="","",IFERROR(AVERAGEIF(Chicks!$G:$G,A650,Chicks!$M:$M),""))</f>
        <v/>
      </c>
      <c r="K650" s="6" t="str">
        <f>IF(A650="","",SUMIFS(Chicks!$N:$N,Chicks!$G:$G,A650))</f>
        <v/>
      </c>
      <c r="L650" s="6" t="str">
        <f>IF(A650="","",SUMIFS(Chicks!$O:$O,Chicks!$G:$G,A650))</f>
        <v/>
      </c>
      <c r="M650" s="6" t="str">
        <f>IF(A650="","",SUMIFS(Chicks!$P:$P,Chicks!$G:$G,A650))</f>
        <v/>
      </c>
      <c r="N650" s="6" t="str">
        <f t="shared" si="3"/>
        <v/>
      </c>
    </row>
    <row r="651" spans="6:14" ht="14.25" customHeight="1" x14ac:dyDescent="0.3">
      <c r="F651" s="6" t="str">
        <f>IF(A651="","",COUNTIF(Chicks!$G:$G,A651))</f>
        <v/>
      </c>
      <c r="G651" s="6" t="str">
        <f>IF(A651="","",COUNTIFS(Chicks!$G:$G,A651,Chicks!$I:$I,"Yes"))</f>
        <v/>
      </c>
      <c r="H651" s="6" t="str">
        <f>IF(A651="","",SUMIFS(Chicks!$J:$J,Chicks!$G:$G,A651))</f>
        <v/>
      </c>
      <c r="I651" s="6" t="str">
        <f>IF(A651="","",COUNTIFS(Chicks!$G:$G,A651,Chicks!$I:$I,"No"))</f>
        <v/>
      </c>
      <c r="J651" s="6" t="str">
        <f>IF(A651="","",IFERROR(AVERAGEIF(Chicks!$G:$G,A651,Chicks!$M:$M),""))</f>
        <v/>
      </c>
      <c r="K651" s="6" t="str">
        <f>IF(A651="","",SUMIFS(Chicks!$N:$N,Chicks!$G:$G,A651))</f>
        <v/>
      </c>
      <c r="L651" s="6" t="str">
        <f>IF(A651="","",SUMIFS(Chicks!$O:$O,Chicks!$G:$G,A651))</f>
        <v/>
      </c>
      <c r="M651" s="6" t="str">
        <f>IF(A651="","",SUMIFS(Chicks!$P:$P,Chicks!$G:$G,A651))</f>
        <v/>
      </c>
      <c r="N651" s="6" t="str">
        <f t="shared" si="3"/>
        <v/>
      </c>
    </row>
    <row r="652" spans="6:14" ht="14.25" customHeight="1" x14ac:dyDescent="0.3">
      <c r="F652" s="6" t="str">
        <f>IF(A652="","",COUNTIF(Chicks!$G:$G,A652))</f>
        <v/>
      </c>
      <c r="G652" s="6" t="str">
        <f>IF(A652="","",COUNTIFS(Chicks!$G:$G,A652,Chicks!$I:$I,"Yes"))</f>
        <v/>
      </c>
      <c r="H652" s="6" t="str">
        <f>IF(A652="","",SUMIFS(Chicks!$J:$J,Chicks!$G:$G,A652))</f>
        <v/>
      </c>
      <c r="I652" s="6" t="str">
        <f>IF(A652="","",COUNTIFS(Chicks!$G:$G,A652,Chicks!$I:$I,"No"))</f>
        <v/>
      </c>
      <c r="J652" s="6" t="str">
        <f>IF(A652="","",IFERROR(AVERAGEIF(Chicks!$G:$G,A652,Chicks!$M:$M),""))</f>
        <v/>
      </c>
      <c r="K652" s="6" t="str">
        <f>IF(A652="","",SUMIFS(Chicks!$N:$N,Chicks!$G:$G,A652))</f>
        <v/>
      </c>
      <c r="L652" s="6" t="str">
        <f>IF(A652="","",SUMIFS(Chicks!$O:$O,Chicks!$G:$G,A652))</f>
        <v/>
      </c>
      <c r="M652" s="6" t="str">
        <f>IF(A652="","",SUMIFS(Chicks!$P:$P,Chicks!$G:$G,A652))</f>
        <v/>
      </c>
      <c r="N652" s="6" t="str">
        <f t="shared" si="3"/>
        <v/>
      </c>
    </row>
    <row r="653" spans="6:14" ht="14.25" customHeight="1" x14ac:dyDescent="0.3">
      <c r="F653" s="6" t="str">
        <f>IF(A653="","",COUNTIF(Chicks!$G:$G,A653))</f>
        <v/>
      </c>
      <c r="G653" s="6" t="str">
        <f>IF(A653="","",COUNTIFS(Chicks!$G:$G,A653,Chicks!$I:$I,"Yes"))</f>
        <v/>
      </c>
      <c r="H653" s="6" t="str">
        <f>IF(A653="","",SUMIFS(Chicks!$J:$J,Chicks!$G:$G,A653))</f>
        <v/>
      </c>
      <c r="I653" s="6" t="str">
        <f>IF(A653="","",COUNTIFS(Chicks!$G:$G,A653,Chicks!$I:$I,"No"))</f>
        <v/>
      </c>
      <c r="J653" s="6" t="str">
        <f>IF(A653="","",IFERROR(AVERAGEIF(Chicks!$G:$G,A653,Chicks!$M:$M),""))</f>
        <v/>
      </c>
      <c r="K653" s="6" t="str">
        <f>IF(A653="","",SUMIFS(Chicks!$N:$N,Chicks!$G:$G,A653))</f>
        <v/>
      </c>
      <c r="L653" s="6" t="str">
        <f>IF(A653="","",SUMIFS(Chicks!$O:$O,Chicks!$G:$G,A653))</f>
        <v/>
      </c>
      <c r="M653" s="6" t="str">
        <f>IF(A653="","",SUMIFS(Chicks!$P:$P,Chicks!$G:$G,A653))</f>
        <v/>
      </c>
      <c r="N653" s="6" t="str">
        <f t="shared" si="3"/>
        <v/>
      </c>
    </row>
    <row r="654" spans="6:14" ht="14.25" customHeight="1" x14ac:dyDescent="0.3">
      <c r="F654" s="6" t="str">
        <f>IF(A654="","",COUNTIF(Chicks!$G:$G,A654))</f>
        <v/>
      </c>
      <c r="G654" s="6" t="str">
        <f>IF(A654="","",COUNTIFS(Chicks!$G:$G,A654,Chicks!$I:$I,"Yes"))</f>
        <v/>
      </c>
      <c r="H654" s="6" t="str">
        <f>IF(A654="","",SUMIFS(Chicks!$J:$J,Chicks!$G:$G,A654))</f>
        <v/>
      </c>
      <c r="I654" s="6" t="str">
        <f>IF(A654="","",COUNTIFS(Chicks!$G:$G,A654,Chicks!$I:$I,"No"))</f>
        <v/>
      </c>
      <c r="J654" s="6" t="str">
        <f>IF(A654="","",IFERROR(AVERAGEIF(Chicks!$G:$G,A654,Chicks!$M:$M),""))</f>
        <v/>
      </c>
      <c r="K654" s="6" t="str">
        <f>IF(A654="","",SUMIFS(Chicks!$N:$N,Chicks!$G:$G,A654))</f>
        <v/>
      </c>
      <c r="L654" s="6" t="str">
        <f>IF(A654="","",SUMIFS(Chicks!$O:$O,Chicks!$G:$G,A654))</f>
        <v/>
      </c>
      <c r="M654" s="6" t="str">
        <f>IF(A654="","",SUMIFS(Chicks!$P:$P,Chicks!$G:$G,A654))</f>
        <v/>
      </c>
      <c r="N654" s="6" t="str">
        <f t="shared" si="3"/>
        <v/>
      </c>
    </row>
    <row r="655" spans="6:14" ht="14.25" customHeight="1" x14ac:dyDescent="0.3">
      <c r="F655" s="6" t="str">
        <f>IF(A655="","",COUNTIF(Chicks!$G:$G,A655))</f>
        <v/>
      </c>
      <c r="G655" s="6" t="str">
        <f>IF(A655="","",COUNTIFS(Chicks!$G:$G,A655,Chicks!$I:$I,"Yes"))</f>
        <v/>
      </c>
      <c r="H655" s="6" t="str">
        <f>IF(A655="","",SUMIFS(Chicks!$J:$J,Chicks!$G:$G,A655))</f>
        <v/>
      </c>
      <c r="I655" s="6" t="str">
        <f>IF(A655="","",COUNTIFS(Chicks!$G:$G,A655,Chicks!$I:$I,"No"))</f>
        <v/>
      </c>
      <c r="J655" s="6" t="str">
        <f>IF(A655="","",IFERROR(AVERAGEIF(Chicks!$G:$G,A655,Chicks!$M:$M),""))</f>
        <v/>
      </c>
      <c r="K655" s="6" t="str">
        <f>IF(A655="","",SUMIFS(Chicks!$N:$N,Chicks!$G:$G,A655))</f>
        <v/>
      </c>
      <c r="L655" s="6" t="str">
        <f>IF(A655="","",SUMIFS(Chicks!$O:$O,Chicks!$G:$G,A655))</f>
        <v/>
      </c>
      <c r="M655" s="6" t="str">
        <f>IF(A655="","",SUMIFS(Chicks!$P:$P,Chicks!$G:$G,A655))</f>
        <v/>
      </c>
      <c r="N655" s="6" t="str">
        <f t="shared" si="3"/>
        <v/>
      </c>
    </row>
    <row r="656" spans="6:14" ht="14.25" customHeight="1" x14ac:dyDescent="0.3">
      <c r="F656" s="6" t="str">
        <f>IF(A656="","",COUNTIF(Chicks!$G:$G,A656))</f>
        <v/>
      </c>
      <c r="G656" s="6" t="str">
        <f>IF(A656="","",COUNTIFS(Chicks!$G:$G,A656,Chicks!$I:$I,"Yes"))</f>
        <v/>
      </c>
      <c r="H656" s="6" t="str">
        <f>IF(A656="","",SUMIFS(Chicks!$J:$J,Chicks!$G:$G,A656))</f>
        <v/>
      </c>
      <c r="I656" s="6" t="str">
        <f>IF(A656="","",COUNTIFS(Chicks!$G:$G,A656,Chicks!$I:$I,"No"))</f>
        <v/>
      </c>
      <c r="J656" s="6" t="str">
        <f>IF(A656="","",IFERROR(AVERAGEIF(Chicks!$G:$G,A656,Chicks!$M:$M),""))</f>
        <v/>
      </c>
      <c r="K656" s="6" t="str">
        <f>IF(A656="","",SUMIFS(Chicks!$N:$N,Chicks!$G:$G,A656))</f>
        <v/>
      </c>
      <c r="L656" s="6" t="str">
        <f>IF(A656="","",SUMIFS(Chicks!$O:$O,Chicks!$G:$G,A656))</f>
        <v/>
      </c>
      <c r="M656" s="6" t="str">
        <f>IF(A656="","",SUMIFS(Chicks!$P:$P,Chicks!$G:$G,A656))</f>
        <v/>
      </c>
      <c r="N656" s="6" t="str">
        <f t="shared" si="3"/>
        <v/>
      </c>
    </row>
    <row r="657" spans="6:14" ht="14.25" customHeight="1" x14ac:dyDescent="0.3">
      <c r="F657" s="6" t="str">
        <f>IF(A657="","",COUNTIF(Chicks!$G:$G,A657))</f>
        <v/>
      </c>
      <c r="G657" s="6" t="str">
        <f>IF(A657="","",COUNTIFS(Chicks!$G:$G,A657,Chicks!$I:$I,"Yes"))</f>
        <v/>
      </c>
      <c r="H657" s="6" t="str">
        <f>IF(A657="","",SUMIFS(Chicks!$J:$J,Chicks!$G:$G,A657))</f>
        <v/>
      </c>
      <c r="I657" s="6" t="str">
        <f>IF(A657="","",COUNTIFS(Chicks!$G:$G,A657,Chicks!$I:$I,"No"))</f>
        <v/>
      </c>
      <c r="J657" s="6" t="str">
        <f>IF(A657="","",IFERROR(AVERAGEIF(Chicks!$G:$G,A657,Chicks!$M:$M),""))</f>
        <v/>
      </c>
      <c r="K657" s="6" t="str">
        <f>IF(A657="","",SUMIFS(Chicks!$N:$N,Chicks!$G:$G,A657))</f>
        <v/>
      </c>
      <c r="L657" s="6" t="str">
        <f>IF(A657="","",SUMIFS(Chicks!$O:$O,Chicks!$G:$G,A657))</f>
        <v/>
      </c>
      <c r="M657" s="6" t="str">
        <f>IF(A657="","",SUMIFS(Chicks!$P:$P,Chicks!$G:$G,A657))</f>
        <v/>
      </c>
      <c r="N657" s="6" t="str">
        <f t="shared" si="3"/>
        <v/>
      </c>
    </row>
    <row r="658" spans="6:14" ht="14.25" customHeight="1" x14ac:dyDescent="0.3">
      <c r="F658" s="6" t="str">
        <f>IF(A658="","",COUNTIF(Chicks!$G:$G,A658))</f>
        <v/>
      </c>
      <c r="G658" s="6" t="str">
        <f>IF(A658="","",COUNTIFS(Chicks!$G:$G,A658,Chicks!$I:$I,"Yes"))</f>
        <v/>
      </c>
      <c r="H658" s="6" t="str">
        <f>IF(A658="","",SUMIFS(Chicks!$J:$J,Chicks!$G:$G,A658))</f>
        <v/>
      </c>
      <c r="I658" s="6" t="str">
        <f>IF(A658="","",COUNTIFS(Chicks!$G:$G,A658,Chicks!$I:$I,"No"))</f>
        <v/>
      </c>
      <c r="J658" s="6" t="str">
        <f>IF(A658="","",IFERROR(AVERAGEIF(Chicks!$G:$G,A658,Chicks!$M:$M),""))</f>
        <v/>
      </c>
      <c r="K658" s="6" t="str">
        <f>IF(A658="","",SUMIFS(Chicks!$N:$N,Chicks!$G:$G,A658))</f>
        <v/>
      </c>
      <c r="L658" s="6" t="str">
        <f>IF(A658="","",SUMIFS(Chicks!$O:$O,Chicks!$G:$G,A658))</f>
        <v/>
      </c>
      <c r="M658" s="6" t="str">
        <f>IF(A658="","",SUMIFS(Chicks!$P:$P,Chicks!$G:$G,A658))</f>
        <v/>
      </c>
      <c r="N658" s="6" t="str">
        <f t="shared" si="3"/>
        <v/>
      </c>
    </row>
    <row r="659" spans="6:14" ht="14.25" customHeight="1" x14ac:dyDescent="0.3">
      <c r="F659" s="6" t="str">
        <f>IF(A659="","",COUNTIF(Chicks!$G:$G,A659))</f>
        <v/>
      </c>
      <c r="G659" s="6" t="str">
        <f>IF(A659="","",COUNTIFS(Chicks!$G:$G,A659,Chicks!$I:$I,"Yes"))</f>
        <v/>
      </c>
      <c r="H659" s="6" t="str">
        <f>IF(A659="","",SUMIFS(Chicks!$J:$J,Chicks!$G:$G,A659))</f>
        <v/>
      </c>
      <c r="I659" s="6" t="str">
        <f>IF(A659="","",COUNTIFS(Chicks!$G:$G,A659,Chicks!$I:$I,"No"))</f>
        <v/>
      </c>
      <c r="J659" s="6" t="str">
        <f>IF(A659="","",IFERROR(AVERAGEIF(Chicks!$G:$G,A659,Chicks!$M:$M),""))</f>
        <v/>
      </c>
      <c r="K659" s="6" t="str">
        <f>IF(A659="","",SUMIFS(Chicks!$N:$N,Chicks!$G:$G,A659))</f>
        <v/>
      </c>
      <c r="L659" s="6" t="str">
        <f>IF(A659="","",SUMIFS(Chicks!$O:$O,Chicks!$G:$G,A659))</f>
        <v/>
      </c>
      <c r="M659" s="6" t="str">
        <f>IF(A659="","",SUMIFS(Chicks!$P:$P,Chicks!$G:$G,A659))</f>
        <v/>
      </c>
      <c r="N659" s="6" t="str">
        <f t="shared" si="3"/>
        <v/>
      </c>
    </row>
    <row r="660" spans="6:14" ht="14.25" customHeight="1" x14ac:dyDescent="0.3">
      <c r="F660" s="6" t="str">
        <f>IF(A660="","",COUNTIF(Chicks!$G:$G,A660))</f>
        <v/>
      </c>
      <c r="G660" s="6" t="str">
        <f>IF(A660="","",COUNTIFS(Chicks!$G:$G,A660,Chicks!$I:$I,"Yes"))</f>
        <v/>
      </c>
      <c r="H660" s="6" t="str">
        <f>IF(A660="","",SUMIFS(Chicks!$J:$J,Chicks!$G:$G,A660))</f>
        <v/>
      </c>
      <c r="I660" s="6" t="str">
        <f>IF(A660="","",COUNTIFS(Chicks!$G:$G,A660,Chicks!$I:$I,"No"))</f>
        <v/>
      </c>
      <c r="J660" s="6" t="str">
        <f>IF(A660="","",IFERROR(AVERAGEIF(Chicks!$G:$G,A660,Chicks!$M:$M),""))</f>
        <v/>
      </c>
      <c r="K660" s="6" t="str">
        <f>IF(A660="","",SUMIFS(Chicks!$N:$N,Chicks!$G:$G,A660))</f>
        <v/>
      </c>
      <c r="L660" s="6" t="str">
        <f>IF(A660="","",SUMIFS(Chicks!$O:$O,Chicks!$G:$G,A660))</f>
        <v/>
      </c>
      <c r="M660" s="6" t="str">
        <f>IF(A660="","",SUMIFS(Chicks!$P:$P,Chicks!$G:$G,A660))</f>
        <v/>
      </c>
      <c r="N660" s="6" t="str">
        <f t="shared" si="3"/>
        <v/>
      </c>
    </row>
    <row r="661" spans="6:14" ht="14.25" customHeight="1" x14ac:dyDescent="0.3">
      <c r="F661" s="6" t="str">
        <f>IF(A661="","",COUNTIF(Chicks!$G:$G,A661))</f>
        <v/>
      </c>
      <c r="G661" s="6" t="str">
        <f>IF(A661="","",COUNTIFS(Chicks!$G:$G,A661,Chicks!$I:$I,"Yes"))</f>
        <v/>
      </c>
      <c r="H661" s="6" t="str">
        <f>IF(A661="","",SUMIFS(Chicks!$J:$J,Chicks!$G:$G,A661))</f>
        <v/>
      </c>
      <c r="I661" s="6" t="str">
        <f>IF(A661="","",COUNTIFS(Chicks!$G:$G,A661,Chicks!$I:$I,"No"))</f>
        <v/>
      </c>
      <c r="J661" s="6" t="str">
        <f>IF(A661="","",IFERROR(AVERAGEIF(Chicks!$G:$G,A661,Chicks!$M:$M),""))</f>
        <v/>
      </c>
      <c r="K661" s="6" t="str">
        <f>IF(A661="","",SUMIFS(Chicks!$N:$N,Chicks!$G:$G,A661))</f>
        <v/>
      </c>
      <c r="L661" s="6" t="str">
        <f>IF(A661="","",SUMIFS(Chicks!$O:$O,Chicks!$G:$G,A661))</f>
        <v/>
      </c>
      <c r="M661" s="6" t="str">
        <f>IF(A661="","",SUMIFS(Chicks!$P:$P,Chicks!$G:$G,A661))</f>
        <v/>
      </c>
      <c r="N661" s="6" t="str">
        <f t="shared" si="3"/>
        <v/>
      </c>
    </row>
    <row r="662" spans="6:14" ht="14.25" customHeight="1" x14ac:dyDescent="0.3">
      <c r="F662" s="6" t="str">
        <f>IF(A662="","",COUNTIF(Chicks!$G:$G,A662))</f>
        <v/>
      </c>
      <c r="G662" s="6" t="str">
        <f>IF(A662="","",COUNTIFS(Chicks!$G:$G,A662,Chicks!$I:$I,"Yes"))</f>
        <v/>
      </c>
      <c r="H662" s="6" t="str">
        <f>IF(A662="","",SUMIFS(Chicks!$J:$J,Chicks!$G:$G,A662))</f>
        <v/>
      </c>
      <c r="I662" s="6" t="str">
        <f>IF(A662="","",COUNTIFS(Chicks!$G:$G,A662,Chicks!$I:$I,"No"))</f>
        <v/>
      </c>
      <c r="J662" s="6" t="str">
        <f>IF(A662="","",IFERROR(AVERAGEIF(Chicks!$G:$G,A662,Chicks!$M:$M),""))</f>
        <v/>
      </c>
      <c r="K662" s="6" t="str">
        <f>IF(A662="","",SUMIFS(Chicks!$N:$N,Chicks!$G:$G,A662))</f>
        <v/>
      </c>
      <c r="L662" s="6" t="str">
        <f>IF(A662="","",SUMIFS(Chicks!$O:$O,Chicks!$G:$G,A662))</f>
        <v/>
      </c>
      <c r="M662" s="6" t="str">
        <f>IF(A662="","",SUMIFS(Chicks!$P:$P,Chicks!$G:$G,A662))</f>
        <v/>
      </c>
      <c r="N662" s="6" t="str">
        <f t="shared" si="3"/>
        <v/>
      </c>
    </row>
    <row r="663" spans="6:14" ht="14.25" customHeight="1" x14ac:dyDescent="0.3">
      <c r="F663" s="6" t="str">
        <f>IF(A663="","",COUNTIF(Chicks!$G:$G,A663))</f>
        <v/>
      </c>
      <c r="G663" s="6" t="str">
        <f>IF(A663="","",COUNTIFS(Chicks!$G:$G,A663,Chicks!$I:$I,"Yes"))</f>
        <v/>
      </c>
      <c r="H663" s="6" t="str">
        <f>IF(A663="","",SUMIFS(Chicks!$J:$J,Chicks!$G:$G,A663))</f>
        <v/>
      </c>
      <c r="I663" s="6" t="str">
        <f>IF(A663="","",COUNTIFS(Chicks!$G:$G,A663,Chicks!$I:$I,"No"))</f>
        <v/>
      </c>
      <c r="J663" s="6" t="str">
        <f>IF(A663="","",IFERROR(AVERAGEIF(Chicks!$G:$G,A663,Chicks!$M:$M),""))</f>
        <v/>
      </c>
      <c r="K663" s="6" t="str">
        <f>IF(A663="","",SUMIFS(Chicks!$N:$N,Chicks!$G:$G,A663))</f>
        <v/>
      </c>
      <c r="L663" s="6" t="str">
        <f>IF(A663="","",SUMIFS(Chicks!$O:$O,Chicks!$G:$G,A663))</f>
        <v/>
      </c>
      <c r="M663" s="6" t="str">
        <f>IF(A663="","",SUMIFS(Chicks!$P:$P,Chicks!$G:$G,A663))</f>
        <v/>
      </c>
      <c r="N663" s="6" t="str">
        <f t="shared" si="3"/>
        <v/>
      </c>
    </row>
    <row r="664" spans="6:14" ht="14.25" customHeight="1" x14ac:dyDescent="0.3">
      <c r="F664" s="6" t="str">
        <f>IF(A664="","",COUNTIF(Chicks!$G:$G,A664))</f>
        <v/>
      </c>
      <c r="G664" s="6" t="str">
        <f>IF(A664="","",COUNTIFS(Chicks!$G:$G,A664,Chicks!$I:$I,"Yes"))</f>
        <v/>
      </c>
      <c r="H664" s="6" t="str">
        <f>IF(A664="","",SUMIFS(Chicks!$J:$J,Chicks!$G:$G,A664))</f>
        <v/>
      </c>
      <c r="I664" s="6" t="str">
        <f>IF(A664="","",COUNTIFS(Chicks!$G:$G,A664,Chicks!$I:$I,"No"))</f>
        <v/>
      </c>
      <c r="J664" s="6" t="str">
        <f>IF(A664="","",IFERROR(AVERAGEIF(Chicks!$G:$G,A664,Chicks!$M:$M),""))</f>
        <v/>
      </c>
      <c r="K664" s="6" t="str">
        <f>IF(A664="","",SUMIFS(Chicks!$N:$N,Chicks!$G:$G,A664))</f>
        <v/>
      </c>
      <c r="L664" s="6" t="str">
        <f>IF(A664="","",SUMIFS(Chicks!$O:$O,Chicks!$G:$G,A664))</f>
        <v/>
      </c>
      <c r="M664" s="6" t="str">
        <f>IF(A664="","",SUMIFS(Chicks!$P:$P,Chicks!$G:$G,A664))</f>
        <v/>
      </c>
      <c r="N664" s="6" t="str">
        <f t="shared" si="3"/>
        <v/>
      </c>
    </row>
    <row r="665" spans="6:14" ht="14.25" customHeight="1" x14ac:dyDescent="0.3">
      <c r="F665" s="6" t="str">
        <f>IF(A665="","",COUNTIF(Chicks!$G:$G,A665))</f>
        <v/>
      </c>
      <c r="G665" s="6" t="str">
        <f>IF(A665="","",COUNTIFS(Chicks!$G:$G,A665,Chicks!$I:$I,"Yes"))</f>
        <v/>
      </c>
      <c r="H665" s="6" t="str">
        <f>IF(A665="","",SUMIFS(Chicks!$J:$J,Chicks!$G:$G,A665))</f>
        <v/>
      </c>
      <c r="I665" s="6" t="str">
        <f>IF(A665="","",COUNTIFS(Chicks!$G:$G,A665,Chicks!$I:$I,"No"))</f>
        <v/>
      </c>
      <c r="J665" s="6" t="str">
        <f>IF(A665="","",IFERROR(AVERAGEIF(Chicks!$G:$G,A665,Chicks!$M:$M),""))</f>
        <v/>
      </c>
      <c r="K665" s="6" t="str">
        <f>IF(A665="","",SUMIFS(Chicks!$N:$N,Chicks!$G:$G,A665))</f>
        <v/>
      </c>
      <c r="L665" s="6" t="str">
        <f>IF(A665="","",SUMIFS(Chicks!$O:$O,Chicks!$G:$G,A665))</f>
        <v/>
      </c>
      <c r="M665" s="6" t="str">
        <f>IF(A665="","",SUMIFS(Chicks!$P:$P,Chicks!$G:$G,A665))</f>
        <v/>
      </c>
      <c r="N665" s="6" t="str">
        <f t="shared" si="3"/>
        <v/>
      </c>
    </row>
    <row r="666" spans="6:14" ht="14.25" customHeight="1" x14ac:dyDescent="0.3">
      <c r="F666" s="6" t="str">
        <f>IF(A666="","",COUNTIF(Chicks!$G:$G,A666))</f>
        <v/>
      </c>
      <c r="G666" s="6" t="str">
        <f>IF(A666="","",COUNTIFS(Chicks!$G:$G,A666,Chicks!$I:$I,"Yes"))</f>
        <v/>
      </c>
      <c r="H666" s="6" t="str">
        <f>IF(A666="","",SUMIFS(Chicks!$J:$J,Chicks!$G:$G,A666))</f>
        <v/>
      </c>
      <c r="I666" s="6" t="str">
        <f>IF(A666="","",COUNTIFS(Chicks!$G:$G,A666,Chicks!$I:$I,"No"))</f>
        <v/>
      </c>
      <c r="J666" s="6" t="str">
        <f>IF(A666="","",IFERROR(AVERAGEIF(Chicks!$G:$G,A666,Chicks!$M:$M),""))</f>
        <v/>
      </c>
      <c r="K666" s="6" t="str">
        <f>IF(A666="","",SUMIFS(Chicks!$N:$N,Chicks!$G:$G,A666))</f>
        <v/>
      </c>
      <c r="L666" s="6" t="str">
        <f>IF(A666="","",SUMIFS(Chicks!$O:$O,Chicks!$G:$G,A666))</f>
        <v/>
      </c>
      <c r="M666" s="6" t="str">
        <f>IF(A666="","",SUMIFS(Chicks!$P:$P,Chicks!$G:$G,A666))</f>
        <v/>
      </c>
      <c r="N666" s="6" t="str">
        <f t="shared" si="3"/>
        <v/>
      </c>
    </row>
    <row r="667" spans="6:14" ht="14.25" customHeight="1" x14ac:dyDescent="0.3">
      <c r="F667" s="6" t="str">
        <f>IF(A667="","",COUNTIF(Chicks!$G:$G,A667))</f>
        <v/>
      </c>
      <c r="G667" s="6" t="str">
        <f>IF(A667="","",COUNTIFS(Chicks!$G:$G,A667,Chicks!$I:$I,"Yes"))</f>
        <v/>
      </c>
      <c r="H667" s="6" t="str">
        <f>IF(A667="","",SUMIFS(Chicks!$J:$J,Chicks!$G:$G,A667))</f>
        <v/>
      </c>
      <c r="I667" s="6" t="str">
        <f>IF(A667="","",COUNTIFS(Chicks!$G:$G,A667,Chicks!$I:$I,"No"))</f>
        <v/>
      </c>
      <c r="J667" s="6" t="str">
        <f>IF(A667="","",IFERROR(AVERAGEIF(Chicks!$G:$G,A667,Chicks!$M:$M),""))</f>
        <v/>
      </c>
      <c r="K667" s="6" t="str">
        <f>IF(A667="","",SUMIFS(Chicks!$N:$N,Chicks!$G:$G,A667))</f>
        <v/>
      </c>
      <c r="L667" s="6" t="str">
        <f>IF(A667="","",SUMIFS(Chicks!$O:$O,Chicks!$G:$G,A667))</f>
        <v/>
      </c>
      <c r="M667" s="6" t="str">
        <f>IF(A667="","",SUMIFS(Chicks!$P:$P,Chicks!$G:$G,A667))</f>
        <v/>
      </c>
      <c r="N667" s="6" t="str">
        <f t="shared" si="3"/>
        <v/>
      </c>
    </row>
    <row r="668" spans="6:14" ht="14.25" customHeight="1" x14ac:dyDescent="0.3">
      <c r="F668" s="6" t="str">
        <f>IF(A668="","",COUNTIF(Chicks!$G:$G,A668))</f>
        <v/>
      </c>
      <c r="G668" s="6" t="str">
        <f>IF(A668="","",COUNTIFS(Chicks!$G:$G,A668,Chicks!$I:$I,"Yes"))</f>
        <v/>
      </c>
      <c r="H668" s="6" t="str">
        <f>IF(A668="","",SUMIFS(Chicks!$J:$J,Chicks!$G:$G,A668))</f>
        <v/>
      </c>
      <c r="I668" s="6" t="str">
        <f>IF(A668="","",COUNTIFS(Chicks!$G:$G,A668,Chicks!$I:$I,"No"))</f>
        <v/>
      </c>
      <c r="J668" s="6" t="str">
        <f>IF(A668="","",IFERROR(AVERAGEIF(Chicks!$G:$G,A668,Chicks!$M:$M),""))</f>
        <v/>
      </c>
      <c r="K668" s="6" t="str">
        <f>IF(A668="","",SUMIFS(Chicks!$N:$N,Chicks!$G:$G,A668))</f>
        <v/>
      </c>
      <c r="L668" s="6" t="str">
        <f>IF(A668="","",SUMIFS(Chicks!$O:$O,Chicks!$G:$G,A668))</f>
        <v/>
      </c>
      <c r="M668" s="6" t="str">
        <f>IF(A668="","",SUMIFS(Chicks!$P:$P,Chicks!$G:$G,A668))</f>
        <v/>
      </c>
      <c r="N668" s="6" t="str">
        <f t="shared" si="3"/>
        <v/>
      </c>
    </row>
    <row r="669" spans="6:14" ht="14.25" customHeight="1" x14ac:dyDescent="0.3">
      <c r="F669" s="6" t="str">
        <f>IF(A669="","",COUNTIF(Chicks!$G:$G,A669))</f>
        <v/>
      </c>
      <c r="G669" s="6" t="str">
        <f>IF(A669="","",COUNTIFS(Chicks!$G:$G,A669,Chicks!$I:$I,"Yes"))</f>
        <v/>
      </c>
      <c r="H669" s="6" t="str">
        <f>IF(A669="","",SUMIFS(Chicks!$J:$J,Chicks!$G:$G,A669))</f>
        <v/>
      </c>
      <c r="I669" s="6" t="str">
        <f>IF(A669="","",COUNTIFS(Chicks!$G:$G,A669,Chicks!$I:$I,"No"))</f>
        <v/>
      </c>
      <c r="J669" s="6" t="str">
        <f>IF(A669="","",IFERROR(AVERAGEIF(Chicks!$G:$G,A669,Chicks!$M:$M),""))</f>
        <v/>
      </c>
      <c r="K669" s="6" t="str">
        <f>IF(A669="","",SUMIFS(Chicks!$N:$N,Chicks!$G:$G,A669))</f>
        <v/>
      </c>
      <c r="L669" s="6" t="str">
        <f>IF(A669="","",SUMIFS(Chicks!$O:$O,Chicks!$G:$G,A669))</f>
        <v/>
      </c>
      <c r="M669" s="6" t="str">
        <f>IF(A669="","",SUMIFS(Chicks!$P:$P,Chicks!$G:$G,A669))</f>
        <v/>
      </c>
      <c r="N669" s="6" t="str">
        <f t="shared" si="3"/>
        <v/>
      </c>
    </row>
    <row r="670" spans="6:14" ht="14.25" customHeight="1" x14ac:dyDescent="0.3">
      <c r="F670" s="6" t="str">
        <f>IF(A670="","",COUNTIF(Chicks!$G:$G,A670))</f>
        <v/>
      </c>
      <c r="G670" s="6" t="str">
        <f>IF(A670="","",COUNTIFS(Chicks!$G:$G,A670,Chicks!$I:$I,"Yes"))</f>
        <v/>
      </c>
      <c r="H670" s="6" t="str">
        <f>IF(A670="","",SUMIFS(Chicks!$J:$J,Chicks!$G:$G,A670))</f>
        <v/>
      </c>
      <c r="I670" s="6" t="str">
        <f>IF(A670="","",COUNTIFS(Chicks!$G:$G,A670,Chicks!$I:$I,"No"))</f>
        <v/>
      </c>
      <c r="J670" s="6" t="str">
        <f>IF(A670="","",IFERROR(AVERAGEIF(Chicks!$G:$G,A670,Chicks!$M:$M),""))</f>
        <v/>
      </c>
      <c r="K670" s="6" t="str">
        <f>IF(A670="","",SUMIFS(Chicks!$N:$N,Chicks!$G:$G,A670))</f>
        <v/>
      </c>
      <c r="L670" s="6" t="str">
        <f>IF(A670="","",SUMIFS(Chicks!$O:$O,Chicks!$G:$G,A670))</f>
        <v/>
      </c>
      <c r="M670" s="6" t="str">
        <f>IF(A670="","",SUMIFS(Chicks!$P:$P,Chicks!$G:$G,A670))</f>
        <v/>
      </c>
      <c r="N670" s="6" t="str">
        <f t="shared" si="3"/>
        <v/>
      </c>
    </row>
    <row r="671" spans="6:14" ht="14.25" customHeight="1" x14ac:dyDescent="0.3">
      <c r="F671" s="6" t="str">
        <f>IF(A671="","",COUNTIF(Chicks!$G:$G,A671))</f>
        <v/>
      </c>
      <c r="G671" s="6" t="str">
        <f>IF(A671="","",COUNTIFS(Chicks!$G:$G,A671,Chicks!$I:$I,"Yes"))</f>
        <v/>
      </c>
      <c r="H671" s="6" t="str">
        <f>IF(A671="","",SUMIFS(Chicks!$J:$J,Chicks!$G:$G,A671))</f>
        <v/>
      </c>
      <c r="I671" s="6" t="str">
        <f>IF(A671="","",COUNTIFS(Chicks!$G:$G,A671,Chicks!$I:$I,"No"))</f>
        <v/>
      </c>
      <c r="J671" s="6" t="str">
        <f>IF(A671="","",IFERROR(AVERAGEIF(Chicks!$G:$G,A671,Chicks!$M:$M),""))</f>
        <v/>
      </c>
      <c r="K671" s="6" t="str">
        <f>IF(A671="","",SUMIFS(Chicks!$N:$N,Chicks!$G:$G,A671))</f>
        <v/>
      </c>
      <c r="L671" s="6" t="str">
        <f>IF(A671="","",SUMIFS(Chicks!$O:$O,Chicks!$G:$G,A671))</f>
        <v/>
      </c>
      <c r="M671" s="6" t="str">
        <f>IF(A671="","",SUMIFS(Chicks!$P:$P,Chicks!$G:$G,A671))</f>
        <v/>
      </c>
      <c r="N671" s="6" t="str">
        <f t="shared" si="3"/>
        <v/>
      </c>
    </row>
    <row r="672" spans="6:14" ht="14.25" customHeight="1" x14ac:dyDescent="0.3">
      <c r="F672" s="6" t="str">
        <f>IF(A672="","",COUNTIF(Chicks!$G:$G,A672))</f>
        <v/>
      </c>
      <c r="G672" s="6" t="str">
        <f>IF(A672="","",COUNTIFS(Chicks!$G:$G,A672,Chicks!$I:$I,"Yes"))</f>
        <v/>
      </c>
      <c r="H672" s="6" t="str">
        <f>IF(A672="","",SUMIFS(Chicks!$J:$J,Chicks!$G:$G,A672))</f>
        <v/>
      </c>
      <c r="I672" s="6" t="str">
        <f>IF(A672="","",COUNTIFS(Chicks!$G:$G,A672,Chicks!$I:$I,"No"))</f>
        <v/>
      </c>
      <c r="J672" s="6" t="str">
        <f>IF(A672="","",IFERROR(AVERAGEIF(Chicks!$G:$G,A672,Chicks!$M:$M),""))</f>
        <v/>
      </c>
      <c r="K672" s="6" t="str">
        <f>IF(A672="","",SUMIFS(Chicks!$N:$N,Chicks!$G:$G,A672))</f>
        <v/>
      </c>
      <c r="L672" s="6" t="str">
        <f>IF(A672="","",SUMIFS(Chicks!$O:$O,Chicks!$G:$G,A672))</f>
        <v/>
      </c>
      <c r="M672" s="6" t="str">
        <f>IF(A672="","",SUMIFS(Chicks!$P:$P,Chicks!$G:$G,A672))</f>
        <v/>
      </c>
      <c r="N672" s="6" t="str">
        <f t="shared" si="3"/>
        <v/>
      </c>
    </row>
    <row r="673" spans="6:14" ht="14.25" customHeight="1" x14ac:dyDescent="0.3">
      <c r="F673" s="6" t="str">
        <f>IF(A673="","",COUNTIF(Chicks!$G:$G,A673))</f>
        <v/>
      </c>
      <c r="G673" s="6" t="str">
        <f>IF(A673="","",COUNTIFS(Chicks!$G:$G,A673,Chicks!$I:$I,"Yes"))</f>
        <v/>
      </c>
      <c r="H673" s="6" t="str">
        <f>IF(A673="","",SUMIFS(Chicks!$J:$J,Chicks!$G:$G,A673))</f>
        <v/>
      </c>
      <c r="I673" s="6" t="str">
        <f>IF(A673="","",COUNTIFS(Chicks!$G:$G,A673,Chicks!$I:$I,"No"))</f>
        <v/>
      </c>
      <c r="J673" s="6" t="str">
        <f>IF(A673="","",IFERROR(AVERAGEIF(Chicks!$G:$G,A673,Chicks!$M:$M),""))</f>
        <v/>
      </c>
      <c r="K673" s="6" t="str">
        <f>IF(A673="","",SUMIFS(Chicks!$N:$N,Chicks!$G:$G,A673))</f>
        <v/>
      </c>
      <c r="L673" s="6" t="str">
        <f>IF(A673="","",SUMIFS(Chicks!$O:$O,Chicks!$G:$G,A673))</f>
        <v/>
      </c>
      <c r="M673" s="6" t="str">
        <f>IF(A673="","",SUMIFS(Chicks!$P:$P,Chicks!$G:$G,A673))</f>
        <v/>
      </c>
      <c r="N673" s="6" t="str">
        <f t="shared" si="3"/>
        <v/>
      </c>
    </row>
    <row r="674" spans="6:14" ht="14.25" customHeight="1" x14ac:dyDescent="0.3">
      <c r="F674" s="6" t="str">
        <f>IF(A674="","",COUNTIF(Chicks!$G:$G,A674))</f>
        <v/>
      </c>
      <c r="G674" s="6" t="str">
        <f>IF(A674="","",COUNTIFS(Chicks!$G:$G,A674,Chicks!$I:$I,"Yes"))</f>
        <v/>
      </c>
      <c r="H674" s="6" t="str">
        <f>IF(A674="","",SUMIFS(Chicks!$J:$J,Chicks!$G:$G,A674))</f>
        <v/>
      </c>
      <c r="I674" s="6" t="str">
        <f>IF(A674="","",COUNTIFS(Chicks!$G:$G,A674,Chicks!$I:$I,"No"))</f>
        <v/>
      </c>
      <c r="J674" s="6" t="str">
        <f>IF(A674="","",IFERROR(AVERAGEIF(Chicks!$G:$G,A674,Chicks!$M:$M),""))</f>
        <v/>
      </c>
      <c r="K674" s="6" t="str">
        <f>IF(A674="","",SUMIFS(Chicks!$N:$N,Chicks!$G:$G,A674))</f>
        <v/>
      </c>
      <c r="L674" s="6" t="str">
        <f>IF(A674="","",SUMIFS(Chicks!$O:$O,Chicks!$G:$G,A674))</f>
        <v/>
      </c>
      <c r="M674" s="6" t="str">
        <f>IF(A674="","",SUMIFS(Chicks!$P:$P,Chicks!$G:$G,A674))</f>
        <v/>
      </c>
      <c r="N674" s="6" t="str">
        <f t="shared" si="3"/>
        <v/>
      </c>
    </row>
    <row r="675" spans="6:14" ht="14.25" customHeight="1" x14ac:dyDescent="0.3">
      <c r="F675" s="6" t="str">
        <f>IF(A675="","",COUNTIF(Chicks!$G:$G,A675))</f>
        <v/>
      </c>
      <c r="G675" s="6" t="str">
        <f>IF(A675="","",COUNTIFS(Chicks!$G:$G,A675,Chicks!$I:$I,"Yes"))</f>
        <v/>
      </c>
      <c r="H675" s="6" t="str">
        <f>IF(A675="","",SUMIFS(Chicks!$J:$J,Chicks!$G:$G,A675))</f>
        <v/>
      </c>
      <c r="I675" s="6" t="str">
        <f>IF(A675="","",COUNTIFS(Chicks!$G:$G,A675,Chicks!$I:$I,"No"))</f>
        <v/>
      </c>
      <c r="J675" s="6" t="str">
        <f>IF(A675="","",IFERROR(AVERAGEIF(Chicks!$G:$G,A675,Chicks!$M:$M),""))</f>
        <v/>
      </c>
      <c r="K675" s="6" t="str">
        <f>IF(A675="","",SUMIFS(Chicks!$N:$N,Chicks!$G:$G,A675))</f>
        <v/>
      </c>
      <c r="L675" s="6" t="str">
        <f>IF(A675="","",SUMIFS(Chicks!$O:$O,Chicks!$G:$G,A675))</f>
        <v/>
      </c>
      <c r="M675" s="6" t="str">
        <f>IF(A675="","",SUMIFS(Chicks!$P:$P,Chicks!$G:$G,A675))</f>
        <v/>
      </c>
      <c r="N675" s="6" t="str">
        <f t="shared" si="3"/>
        <v/>
      </c>
    </row>
    <row r="676" spans="6:14" ht="14.25" customHeight="1" x14ac:dyDescent="0.3">
      <c r="F676" s="6" t="str">
        <f>IF(A676="","",COUNTIF(Chicks!$G:$G,A676))</f>
        <v/>
      </c>
      <c r="G676" s="6" t="str">
        <f>IF(A676="","",COUNTIFS(Chicks!$G:$G,A676,Chicks!$I:$I,"Yes"))</f>
        <v/>
      </c>
      <c r="H676" s="6" t="str">
        <f>IF(A676="","",SUMIFS(Chicks!$J:$J,Chicks!$G:$G,A676))</f>
        <v/>
      </c>
      <c r="I676" s="6" t="str">
        <f>IF(A676="","",COUNTIFS(Chicks!$G:$G,A676,Chicks!$I:$I,"No"))</f>
        <v/>
      </c>
      <c r="J676" s="6" t="str">
        <f>IF(A676="","",IFERROR(AVERAGEIF(Chicks!$G:$G,A676,Chicks!$M:$M),""))</f>
        <v/>
      </c>
      <c r="K676" s="6" t="str">
        <f>IF(A676="","",SUMIFS(Chicks!$N:$N,Chicks!$G:$G,A676))</f>
        <v/>
      </c>
      <c r="L676" s="6" t="str">
        <f>IF(A676="","",SUMIFS(Chicks!$O:$O,Chicks!$G:$G,A676))</f>
        <v/>
      </c>
      <c r="M676" s="6" t="str">
        <f>IF(A676="","",SUMIFS(Chicks!$P:$P,Chicks!$G:$G,A676))</f>
        <v/>
      </c>
      <c r="N676" s="6" t="str">
        <f t="shared" si="3"/>
        <v/>
      </c>
    </row>
    <row r="677" spans="6:14" ht="14.25" customHeight="1" x14ac:dyDescent="0.3">
      <c r="F677" s="6" t="str">
        <f>IF(A677="","",COUNTIF(Chicks!$G:$G,A677))</f>
        <v/>
      </c>
      <c r="G677" s="6" t="str">
        <f>IF(A677="","",COUNTIFS(Chicks!$G:$G,A677,Chicks!$I:$I,"Yes"))</f>
        <v/>
      </c>
      <c r="H677" s="6" t="str">
        <f>IF(A677="","",SUMIFS(Chicks!$J:$J,Chicks!$G:$G,A677))</f>
        <v/>
      </c>
      <c r="I677" s="6" t="str">
        <f>IF(A677="","",COUNTIFS(Chicks!$G:$G,A677,Chicks!$I:$I,"No"))</f>
        <v/>
      </c>
      <c r="J677" s="6" t="str">
        <f>IF(A677="","",IFERROR(AVERAGEIF(Chicks!$G:$G,A677,Chicks!$M:$M),""))</f>
        <v/>
      </c>
      <c r="K677" s="6" t="str">
        <f>IF(A677="","",SUMIFS(Chicks!$N:$N,Chicks!$G:$G,A677))</f>
        <v/>
      </c>
      <c r="L677" s="6" t="str">
        <f>IF(A677="","",SUMIFS(Chicks!$O:$O,Chicks!$G:$G,A677))</f>
        <v/>
      </c>
      <c r="M677" s="6" t="str">
        <f>IF(A677="","",SUMIFS(Chicks!$P:$P,Chicks!$G:$G,A677))</f>
        <v/>
      </c>
      <c r="N677" s="6" t="str">
        <f t="shared" si="3"/>
        <v/>
      </c>
    </row>
    <row r="678" spans="6:14" ht="14.25" customHeight="1" x14ac:dyDescent="0.3">
      <c r="F678" s="6" t="str">
        <f>IF(A678="","",COUNTIF(Chicks!$G:$G,A678))</f>
        <v/>
      </c>
      <c r="G678" s="6" t="str">
        <f>IF(A678="","",COUNTIFS(Chicks!$G:$G,A678,Chicks!$I:$I,"Yes"))</f>
        <v/>
      </c>
      <c r="H678" s="6" t="str">
        <f>IF(A678="","",SUMIFS(Chicks!$J:$J,Chicks!$G:$G,A678))</f>
        <v/>
      </c>
      <c r="I678" s="6" t="str">
        <f>IF(A678="","",COUNTIFS(Chicks!$G:$G,A678,Chicks!$I:$I,"No"))</f>
        <v/>
      </c>
      <c r="J678" s="6" t="str">
        <f>IF(A678="","",IFERROR(AVERAGEIF(Chicks!$G:$G,A678,Chicks!$M:$M),""))</f>
        <v/>
      </c>
      <c r="K678" s="6" t="str">
        <f>IF(A678="","",SUMIFS(Chicks!$N:$N,Chicks!$G:$G,A678))</f>
        <v/>
      </c>
      <c r="L678" s="6" t="str">
        <f>IF(A678="","",SUMIFS(Chicks!$O:$O,Chicks!$G:$G,A678))</f>
        <v/>
      </c>
      <c r="M678" s="6" t="str">
        <f>IF(A678="","",SUMIFS(Chicks!$P:$P,Chicks!$G:$G,A678))</f>
        <v/>
      </c>
      <c r="N678" s="6" t="str">
        <f t="shared" si="3"/>
        <v/>
      </c>
    </row>
    <row r="679" spans="6:14" ht="14.25" customHeight="1" x14ac:dyDescent="0.3">
      <c r="F679" s="6" t="str">
        <f>IF(A679="","",COUNTIF(Chicks!$G:$G,A679))</f>
        <v/>
      </c>
      <c r="G679" s="6" t="str">
        <f>IF(A679="","",COUNTIFS(Chicks!$G:$G,A679,Chicks!$I:$I,"Yes"))</f>
        <v/>
      </c>
      <c r="H679" s="6" t="str">
        <f>IF(A679="","",SUMIFS(Chicks!$J:$J,Chicks!$G:$G,A679))</f>
        <v/>
      </c>
      <c r="I679" s="6" t="str">
        <f>IF(A679="","",COUNTIFS(Chicks!$G:$G,A679,Chicks!$I:$I,"No"))</f>
        <v/>
      </c>
      <c r="J679" s="6" t="str">
        <f>IF(A679="","",IFERROR(AVERAGEIF(Chicks!$G:$G,A679,Chicks!$M:$M),""))</f>
        <v/>
      </c>
      <c r="K679" s="6" t="str">
        <f>IF(A679="","",SUMIFS(Chicks!$N:$N,Chicks!$G:$G,A679))</f>
        <v/>
      </c>
      <c r="L679" s="6" t="str">
        <f>IF(A679="","",SUMIFS(Chicks!$O:$O,Chicks!$G:$G,A679))</f>
        <v/>
      </c>
      <c r="M679" s="6" t="str">
        <f>IF(A679="","",SUMIFS(Chicks!$P:$P,Chicks!$G:$G,A679))</f>
        <v/>
      </c>
      <c r="N679" s="6" t="str">
        <f t="shared" si="3"/>
        <v/>
      </c>
    </row>
    <row r="680" spans="6:14" ht="14.25" customHeight="1" x14ac:dyDescent="0.3">
      <c r="F680" s="6" t="str">
        <f>IF(A680="","",COUNTIF(Chicks!$G:$G,A680))</f>
        <v/>
      </c>
      <c r="G680" s="6" t="str">
        <f>IF(A680="","",COUNTIFS(Chicks!$G:$G,A680,Chicks!$I:$I,"Yes"))</f>
        <v/>
      </c>
      <c r="H680" s="6" t="str">
        <f>IF(A680="","",SUMIFS(Chicks!$J:$J,Chicks!$G:$G,A680))</f>
        <v/>
      </c>
      <c r="I680" s="6" t="str">
        <f>IF(A680="","",COUNTIFS(Chicks!$G:$G,A680,Chicks!$I:$I,"No"))</f>
        <v/>
      </c>
      <c r="J680" s="6" t="str">
        <f>IF(A680="","",IFERROR(AVERAGEIF(Chicks!$G:$G,A680,Chicks!$M:$M),""))</f>
        <v/>
      </c>
      <c r="K680" s="6" t="str">
        <f>IF(A680="","",SUMIFS(Chicks!$N:$N,Chicks!$G:$G,A680))</f>
        <v/>
      </c>
      <c r="L680" s="6" t="str">
        <f>IF(A680="","",SUMIFS(Chicks!$O:$O,Chicks!$G:$G,A680))</f>
        <v/>
      </c>
      <c r="M680" s="6" t="str">
        <f>IF(A680="","",SUMIFS(Chicks!$P:$P,Chicks!$G:$G,A680))</f>
        <v/>
      </c>
      <c r="N680" s="6" t="str">
        <f t="shared" si="3"/>
        <v/>
      </c>
    </row>
    <row r="681" spans="6:14" ht="14.25" customHeight="1" x14ac:dyDescent="0.3">
      <c r="F681" s="6" t="str">
        <f>IF(A681="","",COUNTIF(Chicks!$G:$G,A681))</f>
        <v/>
      </c>
      <c r="G681" s="6" t="str">
        <f>IF(A681="","",COUNTIFS(Chicks!$G:$G,A681,Chicks!$I:$I,"Yes"))</f>
        <v/>
      </c>
      <c r="H681" s="6" t="str">
        <f>IF(A681="","",SUMIFS(Chicks!$J:$J,Chicks!$G:$G,A681))</f>
        <v/>
      </c>
      <c r="I681" s="6" t="str">
        <f>IF(A681="","",COUNTIFS(Chicks!$G:$G,A681,Chicks!$I:$I,"No"))</f>
        <v/>
      </c>
      <c r="J681" s="6" t="str">
        <f>IF(A681="","",IFERROR(AVERAGEIF(Chicks!$G:$G,A681,Chicks!$M:$M),""))</f>
        <v/>
      </c>
      <c r="K681" s="6" t="str">
        <f>IF(A681="","",SUMIFS(Chicks!$N:$N,Chicks!$G:$G,A681))</f>
        <v/>
      </c>
      <c r="L681" s="6" t="str">
        <f>IF(A681="","",SUMIFS(Chicks!$O:$O,Chicks!$G:$G,A681))</f>
        <v/>
      </c>
      <c r="M681" s="6" t="str">
        <f>IF(A681="","",SUMIFS(Chicks!$P:$P,Chicks!$G:$G,A681))</f>
        <v/>
      </c>
      <c r="N681" s="6" t="str">
        <f t="shared" si="3"/>
        <v/>
      </c>
    </row>
    <row r="682" spans="6:14" ht="14.25" customHeight="1" x14ac:dyDescent="0.3">
      <c r="F682" s="6" t="str">
        <f>IF(A682="","",COUNTIF(Chicks!$G:$G,A682))</f>
        <v/>
      </c>
      <c r="G682" s="6" t="str">
        <f>IF(A682="","",COUNTIFS(Chicks!$G:$G,A682,Chicks!$I:$I,"Yes"))</f>
        <v/>
      </c>
      <c r="H682" s="6" t="str">
        <f>IF(A682="","",SUMIFS(Chicks!$J:$J,Chicks!$G:$G,A682))</f>
        <v/>
      </c>
      <c r="I682" s="6" t="str">
        <f>IF(A682="","",COUNTIFS(Chicks!$G:$G,A682,Chicks!$I:$I,"No"))</f>
        <v/>
      </c>
      <c r="J682" s="6" t="str">
        <f>IF(A682="","",IFERROR(AVERAGEIF(Chicks!$G:$G,A682,Chicks!$M:$M),""))</f>
        <v/>
      </c>
      <c r="K682" s="6" t="str">
        <f>IF(A682="","",SUMIFS(Chicks!$N:$N,Chicks!$G:$G,A682))</f>
        <v/>
      </c>
      <c r="L682" s="6" t="str">
        <f>IF(A682="","",SUMIFS(Chicks!$O:$O,Chicks!$G:$G,A682))</f>
        <v/>
      </c>
      <c r="M682" s="6" t="str">
        <f>IF(A682="","",SUMIFS(Chicks!$P:$P,Chicks!$G:$G,A682))</f>
        <v/>
      </c>
      <c r="N682" s="6" t="str">
        <f t="shared" si="3"/>
        <v/>
      </c>
    </row>
    <row r="683" spans="6:14" ht="14.25" customHeight="1" x14ac:dyDescent="0.3">
      <c r="F683" s="6" t="str">
        <f>IF(A683="","",COUNTIF(Chicks!$G:$G,A683))</f>
        <v/>
      </c>
      <c r="G683" s="6" t="str">
        <f>IF(A683="","",COUNTIFS(Chicks!$G:$G,A683,Chicks!$I:$I,"Yes"))</f>
        <v/>
      </c>
      <c r="H683" s="6" t="str">
        <f>IF(A683="","",SUMIFS(Chicks!$J:$J,Chicks!$G:$G,A683))</f>
        <v/>
      </c>
      <c r="I683" s="6" t="str">
        <f>IF(A683="","",COUNTIFS(Chicks!$G:$G,A683,Chicks!$I:$I,"No"))</f>
        <v/>
      </c>
      <c r="J683" s="6" t="str">
        <f>IF(A683="","",IFERROR(AVERAGEIF(Chicks!$G:$G,A683,Chicks!$M:$M),""))</f>
        <v/>
      </c>
      <c r="K683" s="6" t="str">
        <f>IF(A683="","",SUMIFS(Chicks!$N:$N,Chicks!$G:$G,A683))</f>
        <v/>
      </c>
      <c r="L683" s="6" t="str">
        <f>IF(A683="","",SUMIFS(Chicks!$O:$O,Chicks!$G:$G,A683))</f>
        <v/>
      </c>
      <c r="M683" s="6" t="str">
        <f>IF(A683="","",SUMIFS(Chicks!$P:$P,Chicks!$G:$G,A683))</f>
        <v/>
      </c>
      <c r="N683" s="6" t="str">
        <f t="shared" si="3"/>
        <v/>
      </c>
    </row>
    <row r="684" spans="6:14" ht="14.25" customHeight="1" x14ac:dyDescent="0.3">
      <c r="F684" s="6" t="str">
        <f>IF(A684="","",COUNTIF(Chicks!$G:$G,A684))</f>
        <v/>
      </c>
      <c r="G684" s="6" t="str">
        <f>IF(A684="","",COUNTIFS(Chicks!$G:$G,A684,Chicks!$I:$I,"Yes"))</f>
        <v/>
      </c>
      <c r="H684" s="6" t="str">
        <f>IF(A684="","",SUMIFS(Chicks!$J:$J,Chicks!$G:$G,A684))</f>
        <v/>
      </c>
      <c r="I684" s="6" t="str">
        <f>IF(A684="","",COUNTIFS(Chicks!$G:$G,A684,Chicks!$I:$I,"No"))</f>
        <v/>
      </c>
      <c r="J684" s="6" t="str">
        <f>IF(A684="","",IFERROR(AVERAGEIF(Chicks!$G:$G,A684,Chicks!$M:$M),""))</f>
        <v/>
      </c>
      <c r="K684" s="6" t="str">
        <f>IF(A684="","",SUMIFS(Chicks!$N:$N,Chicks!$G:$G,A684))</f>
        <v/>
      </c>
      <c r="L684" s="6" t="str">
        <f>IF(A684="","",SUMIFS(Chicks!$O:$O,Chicks!$G:$G,A684))</f>
        <v/>
      </c>
      <c r="M684" s="6" t="str">
        <f>IF(A684="","",SUMIFS(Chicks!$P:$P,Chicks!$G:$G,A684))</f>
        <v/>
      </c>
      <c r="N684" s="6" t="str">
        <f t="shared" si="3"/>
        <v/>
      </c>
    </row>
    <row r="685" spans="6:14" ht="14.25" customHeight="1" x14ac:dyDescent="0.3">
      <c r="F685" s="6" t="str">
        <f>IF(A685="","",COUNTIF(Chicks!$G:$G,A685))</f>
        <v/>
      </c>
      <c r="G685" s="6" t="str">
        <f>IF(A685="","",COUNTIFS(Chicks!$G:$G,A685,Chicks!$I:$I,"Yes"))</f>
        <v/>
      </c>
      <c r="H685" s="6" t="str">
        <f>IF(A685="","",SUMIFS(Chicks!$J:$J,Chicks!$G:$G,A685))</f>
        <v/>
      </c>
      <c r="I685" s="6" t="str">
        <f>IF(A685="","",COUNTIFS(Chicks!$G:$G,A685,Chicks!$I:$I,"No"))</f>
        <v/>
      </c>
      <c r="J685" s="6" t="str">
        <f>IF(A685="","",IFERROR(AVERAGEIF(Chicks!$G:$G,A685,Chicks!$M:$M),""))</f>
        <v/>
      </c>
      <c r="K685" s="6" t="str">
        <f>IF(A685="","",SUMIFS(Chicks!$N:$N,Chicks!$G:$G,A685))</f>
        <v/>
      </c>
      <c r="L685" s="6" t="str">
        <f>IF(A685="","",SUMIFS(Chicks!$O:$O,Chicks!$G:$G,A685))</f>
        <v/>
      </c>
      <c r="M685" s="6" t="str">
        <f>IF(A685="","",SUMIFS(Chicks!$P:$P,Chicks!$G:$G,A685))</f>
        <v/>
      </c>
      <c r="N685" s="6" t="str">
        <f t="shared" si="3"/>
        <v/>
      </c>
    </row>
    <row r="686" spans="6:14" ht="14.25" customHeight="1" x14ac:dyDescent="0.3">
      <c r="F686" s="6" t="str">
        <f>IF(A686="","",COUNTIF(Chicks!$G:$G,A686))</f>
        <v/>
      </c>
      <c r="G686" s="6" t="str">
        <f>IF(A686="","",COUNTIFS(Chicks!$G:$G,A686,Chicks!$I:$I,"Yes"))</f>
        <v/>
      </c>
      <c r="H686" s="6" t="str">
        <f>IF(A686="","",SUMIFS(Chicks!$J:$J,Chicks!$G:$G,A686))</f>
        <v/>
      </c>
      <c r="I686" s="6" t="str">
        <f>IF(A686="","",COUNTIFS(Chicks!$G:$G,A686,Chicks!$I:$I,"No"))</f>
        <v/>
      </c>
      <c r="J686" s="6" t="str">
        <f>IF(A686="","",IFERROR(AVERAGEIF(Chicks!$G:$G,A686,Chicks!$M:$M),""))</f>
        <v/>
      </c>
      <c r="K686" s="6" t="str">
        <f>IF(A686="","",SUMIFS(Chicks!$N:$N,Chicks!$G:$G,A686))</f>
        <v/>
      </c>
      <c r="L686" s="6" t="str">
        <f>IF(A686="","",SUMIFS(Chicks!$O:$O,Chicks!$G:$G,A686))</f>
        <v/>
      </c>
      <c r="M686" s="6" t="str">
        <f>IF(A686="","",SUMIFS(Chicks!$P:$P,Chicks!$G:$G,A686))</f>
        <v/>
      </c>
      <c r="N686" s="6" t="str">
        <f t="shared" si="3"/>
        <v/>
      </c>
    </row>
    <row r="687" spans="6:14" ht="14.25" customHeight="1" x14ac:dyDescent="0.3">
      <c r="F687" s="6" t="str">
        <f>IF(A687="","",COUNTIF(Chicks!$G:$G,A687))</f>
        <v/>
      </c>
      <c r="G687" s="6" t="str">
        <f>IF(A687="","",COUNTIFS(Chicks!$G:$G,A687,Chicks!$I:$I,"Yes"))</f>
        <v/>
      </c>
      <c r="H687" s="6" t="str">
        <f>IF(A687="","",SUMIFS(Chicks!$J:$J,Chicks!$G:$G,A687))</f>
        <v/>
      </c>
      <c r="I687" s="6" t="str">
        <f>IF(A687="","",COUNTIFS(Chicks!$G:$G,A687,Chicks!$I:$I,"No"))</f>
        <v/>
      </c>
      <c r="J687" s="6" t="str">
        <f>IF(A687="","",IFERROR(AVERAGEIF(Chicks!$G:$G,A687,Chicks!$M:$M),""))</f>
        <v/>
      </c>
      <c r="K687" s="6" t="str">
        <f>IF(A687="","",SUMIFS(Chicks!$N:$N,Chicks!$G:$G,A687))</f>
        <v/>
      </c>
      <c r="L687" s="6" t="str">
        <f>IF(A687="","",SUMIFS(Chicks!$O:$O,Chicks!$G:$G,A687))</f>
        <v/>
      </c>
      <c r="M687" s="6" t="str">
        <f>IF(A687="","",SUMIFS(Chicks!$P:$P,Chicks!$G:$G,A687))</f>
        <v/>
      </c>
      <c r="N687" s="6" t="str">
        <f t="shared" si="3"/>
        <v/>
      </c>
    </row>
    <row r="688" spans="6:14" ht="14.25" customHeight="1" x14ac:dyDescent="0.3">
      <c r="F688" s="6" t="str">
        <f>IF(A688="","",COUNTIF(Chicks!$G:$G,A688))</f>
        <v/>
      </c>
      <c r="G688" s="6" t="str">
        <f>IF(A688="","",COUNTIFS(Chicks!$G:$G,A688,Chicks!$I:$I,"Yes"))</f>
        <v/>
      </c>
      <c r="H688" s="6" t="str">
        <f>IF(A688="","",SUMIFS(Chicks!$J:$J,Chicks!$G:$G,A688))</f>
        <v/>
      </c>
      <c r="I688" s="6" t="str">
        <f>IF(A688="","",COUNTIFS(Chicks!$G:$G,A688,Chicks!$I:$I,"No"))</f>
        <v/>
      </c>
      <c r="J688" s="6" t="str">
        <f>IF(A688="","",IFERROR(AVERAGEIF(Chicks!$G:$G,A688,Chicks!$M:$M),""))</f>
        <v/>
      </c>
      <c r="K688" s="6" t="str">
        <f>IF(A688="","",SUMIFS(Chicks!$N:$N,Chicks!$G:$G,A688))</f>
        <v/>
      </c>
      <c r="L688" s="6" t="str">
        <f>IF(A688="","",SUMIFS(Chicks!$O:$O,Chicks!$G:$G,A688))</f>
        <v/>
      </c>
      <c r="M688" s="6" t="str">
        <f>IF(A688="","",SUMIFS(Chicks!$P:$P,Chicks!$G:$G,A688))</f>
        <v/>
      </c>
      <c r="N688" s="6" t="str">
        <f t="shared" si="3"/>
        <v/>
      </c>
    </row>
    <row r="689" spans="6:14" ht="14.25" customHeight="1" x14ac:dyDescent="0.3">
      <c r="F689" s="6" t="str">
        <f>IF(A689="","",COUNTIF(Chicks!$G:$G,A689))</f>
        <v/>
      </c>
      <c r="G689" s="6" t="str">
        <f>IF(A689="","",COUNTIFS(Chicks!$G:$G,A689,Chicks!$I:$I,"Yes"))</f>
        <v/>
      </c>
      <c r="H689" s="6" t="str">
        <f>IF(A689="","",SUMIFS(Chicks!$J:$J,Chicks!$G:$G,A689))</f>
        <v/>
      </c>
      <c r="I689" s="6" t="str">
        <f>IF(A689="","",COUNTIFS(Chicks!$G:$G,A689,Chicks!$I:$I,"No"))</f>
        <v/>
      </c>
      <c r="J689" s="6" t="str">
        <f>IF(A689="","",IFERROR(AVERAGEIF(Chicks!$G:$G,A689,Chicks!$M:$M),""))</f>
        <v/>
      </c>
      <c r="K689" s="6" t="str">
        <f>IF(A689="","",SUMIFS(Chicks!$N:$N,Chicks!$G:$G,A689))</f>
        <v/>
      </c>
      <c r="L689" s="6" t="str">
        <f>IF(A689="","",SUMIFS(Chicks!$O:$O,Chicks!$G:$G,A689))</f>
        <v/>
      </c>
      <c r="M689" s="6" t="str">
        <f>IF(A689="","",SUMIFS(Chicks!$P:$P,Chicks!$G:$G,A689))</f>
        <v/>
      </c>
      <c r="N689" s="6" t="str">
        <f t="shared" si="3"/>
        <v/>
      </c>
    </row>
    <row r="690" spans="6:14" ht="14.25" customHeight="1" x14ac:dyDescent="0.3">
      <c r="F690" s="6" t="str">
        <f>IF(A690="","",COUNTIF(Chicks!$G:$G,A690))</f>
        <v/>
      </c>
      <c r="G690" s="6" t="str">
        <f>IF(A690="","",COUNTIFS(Chicks!$G:$G,A690,Chicks!$I:$I,"Yes"))</f>
        <v/>
      </c>
      <c r="H690" s="6" t="str">
        <f>IF(A690="","",SUMIFS(Chicks!$J:$J,Chicks!$G:$G,A690))</f>
        <v/>
      </c>
      <c r="I690" s="6" t="str">
        <f>IF(A690="","",COUNTIFS(Chicks!$G:$G,A690,Chicks!$I:$I,"No"))</f>
        <v/>
      </c>
      <c r="J690" s="6" t="str">
        <f>IF(A690="","",IFERROR(AVERAGEIF(Chicks!$G:$G,A690,Chicks!$M:$M),""))</f>
        <v/>
      </c>
      <c r="K690" s="6" t="str">
        <f>IF(A690="","",SUMIFS(Chicks!$N:$N,Chicks!$G:$G,A690))</f>
        <v/>
      </c>
      <c r="L690" s="6" t="str">
        <f>IF(A690="","",SUMIFS(Chicks!$O:$O,Chicks!$G:$G,A690))</f>
        <v/>
      </c>
      <c r="M690" s="6" t="str">
        <f>IF(A690="","",SUMIFS(Chicks!$P:$P,Chicks!$G:$G,A690))</f>
        <v/>
      </c>
      <c r="N690" s="6" t="str">
        <f t="shared" si="3"/>
        <v/>
      </c>
    </row>
    <row r="691" spans="6:14" ht="14.25" customHeight="1" x14ac:dyDescent="0.3">
      <c r="F691" s="6" t="str">
        <f>IF(A691="","",COUNTIF(Chicks!$G:$G,A691))</f>
        <v/>
      </c>
      <c r="G691" s="6" t="str">
        <f>IF(A691="","",COUNTIFS(Chicks!$G:$G,A691,Chicks!$I:$I,"Yes"))</f>
        <v/>
      </c>
      <c r="H691" s="6" t="str">
        <f>IF(A691="","",SUMIFS(Chicks!$J:$J,Chicks!$G:$G,A691))</f>
        <v/>
      </c>
      <c r="I691" s="6" t="str">
        <f>IF(A691="","",COUNTIFS(Chicks!$G:$G,A691,Chicks!$I:$I,"No"))</f>
        <v/>
      </c>
      <c r="J691" s="6" t="str">
        <f>IF(A691="","",IFERROR(AVERAGEIF(Chicks!$G:$G,A691,Chicks!$M:$M),""))</f>
        <v/>
      </c>
      <c r="K691" s="6" t="str">
        <f>IF(A691="","",SUMIFS(Chicks!$N:$N,Chicks!$G:$G,A691))</f>
        <v/>
      </c>
      <c r="L691" s="6" t="str">
        <f>IF(A691="","",SUMIFS(Chicks!$O:$O,Chicks!$G:$G,A691))</f>
        <v/>
      </c>
      <c r="M691" s="6" t="str">
        <f>IF(A691="","",SUMIFS(Chicks!$P:$P,Chicks!$G:$G,A691))</f>
        <v/>
      </c>
      <c r="N691" s="6" t="str">
        <f t="shared" si="3"/>
        <v/>
      </c>
    </row>
    <row r="692" spans="6:14" ht="14.25" customHeight="1" x14ac:dyDescent="0.3">
      <c r="F692" s="6" t="str">
        <f>IF(A692="","",COUNTIF(Chicks!$G:$G,A692))</f>
        <v/>
      </c>
      <c r="G692" s="6" t="str">
        <f>IF(A692="","",COUNTIFS(Chicks!$G:$G,A692,Chicks!$I:$I,"Yes"))</f>
        <v/>
      </c>
      <c r="H692" s="6" t="str">
        <f>IF(A692="","",SUMIFS(Chicks!$J:$J,Chicks!$G:$G,A692))</f>
        <v/>
      </c>
      <c r="I692" s="6" t="str">
        <f>IF(A692="","",COUNTIFS(Chicks!$G:$G,A692,Chicks!$I:$I,"No"))</f>
        <v/>
      </c>
      <c r="J692" s="6" t="str">
        <f>IF(A692="","",IFERROR(AVERAGEIF(Chicks!$G:$G,A692,Chicks!$M:$M),""))</f>
        <v/>
      </c>
      <c r="K692" s="6" t="str">
        <f>IF(A692="","",SUMIFS(Chicks!$N:$N,Chicks!$G:$G,A692))</f>
        <v/>
      </c>
      <c r="L692" s="6" t="str">
        <f>IF(A692="","",SUMIFS(Chicks!$O:$O,Chicks!$G:$G,A692))</f>
        <v/>
      </c>
      <c r="M692" s="6" t="str">
        <f>IF(A692="","",SUMIFS(Chicks!$P:$P,Chicks!$G:$G,A692))</f>
        <v/>
      </c>
      <c r="N692" s="6" t="str">
        <f t="shared" si="3"/>
        <v/>
      </c>
    </row>
    <row r="693" spans="6:14" ht="14.25" customHeight="1" x14ac:dyDescent="0.3">
      <c r="F693" s="6" t="str">
        <f>IF(A693="","",COUNTIF(Chicks!$G:$G,A693))</f>
        <v/>
      </c>
      <c r="G693" s="6" t="str">
        <f>IF(A693="","",COUNTIFS(Chicks!$G:$G,A693,Chicks!$I:$I,"Yes"))</f>
        <v/>
      </c>
      <c r="H693" s="6" t="str">
        <f>IF(A693="","",SUMIFS(Chicks!$J:$J,Chicks!$G:$G,A693))</f>
        <v/>
      </c>
      <c r="I693" s="6" t="str">
        <f>IF(A693="","",COUNTIFS(Chicks!$G:$G,A693,Chicks!$I:$I,"No"))</f>
        <v/>
      </c>
      <c r="J693" s="6" t="str">
        <f>IF(A693="","",IFERROR(AVERAGEIF(Chicks!$G:$G,A693,Chicks!$M:$M),""))</f>
        <v/>
      </c>
      <c r="K693" s="6" t="str">
        <f>IF(A693="","",SUMIFS(Chicks!$N:$N,Chicks!$G:$G,A693))</f>
        <v/>
      </c>
      <c r="L693" s="6" t="str">
        <f>IF(A693="","",SUMIFS(Chicks!$O:$O,Chicks!$G:$G,A693))</f>
        <v/>
      </c>
      <c r="M693" s="6" t="str">
        <f>IF(A693="","",SUMIFS(Chicks!$P:$P,Chicks!$G:$G,A693))</f>
        <v/>
      </c>
      <c r="N693" s="6" t="str">
        <f t="shared" si="3"/>
        <v/>
      </c>
    </row>
    <row r="694" spans="6:14" ht="14.25" customHeight="1" x14ac:dyDescent="0.3">
      <c r="F694" s="6" t="str">
        <f>IF(A694="","",COUNTIF(Chicks!$G:$G,A694))</f>
        <v/>
      </c>
      <c r="G694" s="6" t="str">
        <f>IF(A694="","",COUNTIFS(Chicks!$G:$G,A694,Chicks!$I:$I,"Yes"))</f>
        <v/>
      </c>
      <c r="H694" s="6" t="str">
        <f>IF(A694="","",SUMIFS(Chicks!$J:$J,Chicks!$G:$G,A694))</f>
        <v/>
      </c>
      <c r="I694" s="6" t="str">
        <f>IF(A694="","",COUNTIFS(Chicks!$G:$G,A694,Chicks!$I:$I,"No"))</f>
        <v/>
      </c>
      <c r="J694" s="6" t="str">
        <f>IF(A694="","",IFERROR(AVERAGEIF(Chicks!$G:$G,A694,Chicks!$M:$M),""))</f>
        <v/>
      </c>
      <c r="K694" s="6" t="str">
        <f>IF(A694="","",SUMIFS(Chicks!$N:$N,Chicks!$G:$G,A694))</f>
        <v/>
      </c>
      <c r="L694" s="6" t="str">
        <f>IF(A694="","",SUMIFS(Chicks!$O:$O,Chicks!$G:$G,A694))</f>
        <v/>
      </c>
      <c r="M694" s="6" t="str">
        <f>IF(A694="","",SUMIFS(Chicks!$P:$P,Chicks!$G:$G,A694))</f>
        <v/>
      </c>
      <c r="N694" s="6" t="str">
        <f t="shared" si="3"/>
        <v/>
      </c>
    </row>
    <row r="695" spans="6:14" ht="14.25" customHeight="1" x14ac:dyDescent="0.3">
      <c r="F695" s="6" t="str">
        <f>IF(A695="","",COUNTIF(Chicks!$G:$G,A695))</f>
        <v/>
      </c>
      <c r="G695" s="6" t="str">
        <f>IF(A695="","",COUNTIFS(Chicks!$G:$G,A695,Chicks!$I:$I,"Yes"))</f>
        <v/>
      </c>
      <c r="H695" s="6" t="str">
        <f>IF(A695="","",SUMIFS(Chicks!$J:$J,Chicks!$G:$G,A695))</f>
        <v/>
      </c>
      <c r="I695" s="6" t="str">
        <f>IF(A695="","",COUNTIFS(Chicks!$G:$G,A695,Chicks!$I:$I,"No"))</f>
        <v/>
      </c>
      <c r="J695" s="6" t="str">
        <f>IF(A695="","",IFERROR(AVERAGEIF(Chicks!$G:$G,A695,Chicks!$M:$M),""))</f>
        <v/>
      </c>
      <c r="K695" s="6" t="str">
        <f>IF(A695="","",SUMIFS(Chicks!$N:$N,Chicks!$G:$G,A695))</f>
        <v/>
      </c>
      <c r="L695" s="6" t="str">
        <f>IF(A695="","",SUMIFS(Chicks!$O:$O,Chicks!$G:$G,A695))</f>
        <v/>
      </c>
      <c r="M695" s="6" t="str">
        <f>IF(A695="","",SUMIFS(Chicks!$P:$P,Chicks!$G:$G,A695))</f>
        <v/>
      </c>
      <c r="N695" s="6" t="str">
        <f t="shared" si="3"/>
        <v/>
      </c>
    </row>
    <row r="696" spans="6:14" ht="14.25" customHeight="1" x14ac:dyDescent="0.3">
      <c r="F696" s="6" t="str">
        <f>IF(A696="","",COUNTIF(Chicks!$G:$G,A696))</f>
        <v/>
      </c>
      <c r="G696" s="6" t="str">
        <f>IF(A696="","",COUNTIFS(Chicks!$G:$G,A696,Chicks!$I:$I,"Yes"))</f>
        <v/>
      </c>
      <c r="H696" s="6" t="str">
        <f>IF(A696="","",SUMIFS(Chicks!$J:$J,Chicks!$G:$G,A696))</f>
        <v/>
      </c>
      <c r="I696" s="6" t="str">
        <f>IF(A696="","",COUNTIFS(Chicks!$G:$G,A696,Chicks!$I:$I,"No"))</f>
        <v/>
      </c>
      <c r="J696" s="6" t="str">
        <f>IF(A696="","",IFERROR(AVERAGEIF(Chicks!$G:$G,A696,Chicks!$M:$M),""))</f>
        <v/>
      </c>
      <c r="K696" s="6" t="str">
        <f>IF(A696="","",SUMIFS(Chicks!$N:$N,Chicks!$G:$G,A696))</f>
        <v/>
      </c>
      <c r="L696" s="6" t="str">
        <f>IF(A696="","",SUMIFS(Chicks!$O:$O,Chicks!$G:$G,A696))</f>
        <v/>
      </c>
      <c r="M696" s="6" t="str">
        <f>IF(A696="","",SUMIFS(Chicks!$P:$P,Chicks!$G:$G,A696))</f>
        <v/>
      </c>
      <c r="N696" s="6" t="str">
        <f t="shared" si="3"/>
        <v/>
      </c>
    </row>
    <row r="697" spans="6:14" ht="14.25" customHeight="1" x14ac:dyDescent="0.3">
      <c r="F697" s="6" t="str">
        <f>IF(A697="","",COUNTIF(Chicks!$G:$G,A697))</f>
        <v/>
      </c>
      <c r="G697" s="6" t="str">
        <f>IF(A697="","",COUNTIFS(Chicks!$G:$G,A697,Chicks!$I:$I,"Yes"))</f>
        <v/>
      </c>
      <c r="H697" s="6" t="str">
        <f>IF(A697="","",SUMIFS(Chicks!$J:$J,Chicks!$G:$G,A697))</f>
        <v/>
      </c>
      <c r="I697" s="6" t="str">
        <f>IF(A697="","",COUNTIFS(Chicks!$G:$G,A697,Chicks!$I:$I,"No"))</f>
        <v/>
      </c>
      <c r="J697" s="6" t="str">
        <f>IF(A697="","",IFERROR(AVERAGEIF(Chicks!$G:$G,A697,Chicks!$M:$M),""))</f>
        <v/>
      </c>
      <c r="K697" s="6" t="str">
        <f>IF(A697="","",SUMIFS(Chicks!$N:$N,Chicks!$G:$G,A697))</f>
        <v/>
      </c>
      <c r="L697" s="6" t="str">
        <f>IF(A697="","",SUMIFS(Chicks!$O:$O,Chicks!$G:$G,A697))</f>
        <v/>
      </c>
      <c r="M697" s="6" t="str">
        <f>IF(A697="","",SUMIFS(Chicks!$P:$P,Chicks!$G:$G,A697))</f>
        <v/>
      </c>
      <c r="N697" s="6" t="str">
        <f t="shared" si="3"/>
        <v/>
      </c>
    </row>
    <row r="698" spans="6:14" ht="14.25" customHeight="1" x14ac:dyDescent="0.3">
      <c r="F698" s="6" t="str">
        <f>IF(A698="","",COUNTIF(Chicks!$G:$G,A698))</f>
        <v/>
      </c>
      <c r="G698" s="6" t="str">
        <f>IF(A698="","",COUNTIFS(Chicks!$G:$G,A698,Chicks!$I:$I,"Yes"))</f>
        <v/>
      </c>
      <c r="H698" s="6" t="str">
        <f>IF(A698="","",SUMIFS(Chicks!$J:$J,Chicks!$G:$G,A698))</f>
        <v/>
      </c>
      <c r="I698" s="6" t="str">
        <f>IF(A698="","",COUNTIFS(Chicks!$G:$G,A698,Chicks!$I:$I,"No"))</f>
        <v/>
      </c>
      <c r="J698" s="6" t="str">
        <f>IF(A698="","",IFERROR(AVERAGEIF(Chicks!$G:$G,A698,Chicks!$M:$M),""))</f>
        <v/>
      </c>
      <c r="K698" s="6" t="str">
        <f>IF(A698="","",SUMIFS(Chicks!$N:$N,Chicks!$G:$G,A698))</f>
        <v/>
      </c>
      <c r="L698" s="6" t="str">
        <f>IF(A698="","",SUMIFS(Chicks!$O:$O,Chicks!$G:$G,A698))</f>
        <v/>
      </c>
      <c r="M698" s="6" t="str">
        <f>IF(A698="","",SUMIFS(Chicks!$P:$P,Chicks!$G:$G,A698))</f>
        <v/>
      </c>
      <c r="N698" s="6" t="str">
        <f t="shared" si="3"/>
        <v/>
      </c>
    </row>
    <row r="699" spans="6:14" ht="14.25" customHeight="1" x14ac:dyDescent="0.3">
      <c r="F699" s="6" t="str">
        <f>IF(A699="","",COUNTIF(Chicks!$G:$G,A699))</f>
        <v/>
      </c>
      <c r="G699" s="6" t="str">
        <f>IF(A699="","",COUNTIFS(Chicks!$G:$G,A699,Chicks!$I:$I,"Yes"))</f>
        <v/>
      </c>
      <c r="H699" s="6" t="str">
        <f>IF(A699="","",SUMIFS(Chicks!$J:$J,Chicks!$G:$G,A699))</f>
        <v/>
      </c>
      <c r="I699" s="6" t="str">
        <f>IF(A699="","",COUNTIFS(Chicks!$G:$G,A699,Chicks!$I:$I,"No"))</f>
        <v/>
      </c>
      <c r="J699" s="6" t="str">
        <f>IF(A699="","",IFERROR(AVERAGEIF(Chicks!$G:$G,A699,Chicks!$M:$M),""))</f>
        <v/>
      </c>
      <c r="K699" s="6" t="str">
        <f>IF(A699="","",SUMIFS(Chicks!$N:$N,Chicks!$G:$G,A699))</f>
        <v/>
      </c>
      <c r="L699" s="6" t="str">
        <f>IF(A699="","",SUMIFS(Chicks!$O:$O,Chicks!$G:$G,A699))</f>
        <v/>
      </c>
      <c r="M699" s="6" t="str">
        <f>IF(A699="","",SUMIFS(Chicks!$P:$P,Chicks!$G:$G,A699))</f>
        <v/>
      </c>
      <c r="N699" s="6" t="str">
        <f t="shared" si="3"/>
        <v/>
      </c>
    </row>
    <row r="700" spans="6:14" ht="14.25" customHeight="1" x14ac:dyDescent="0.3">
      <c r="F700" s="6" t="str">
        <f>IF(A700="","",COUNTIF(Chicks!$G:$G,A700))</f>
        <v/>
      </c>
      <c r="G700" s="6" t="str">
        <f>IF(A700="","",COUNTIFS(Chicks!$G:$G,A700,Chicks!$I:$I,"Yes"))</f>
        <v/>
      </c>
      <c r="H700" s="6" t="str">
        <f>IF(A700="","",SUMIFS(Chicks!$J:$J,Chicks!$G:$G,A700))</f>
        <v/>
      </c>
      <c r="I700" s="6" t="str">
        <f>IF(A700="","",COUNTIFS(Chicks!$G:$G,A700,Chicks!$I:$I,"No"))</f>
        <v/>
      </c>
      <c r="J700" s="6" t="str">
        <f>IF(A700="","",IFERROR(AVERAGEIF(Chicks!$G:$G,A700,Chicks!$M:$M),""))</f>
        <v/>
      </c>
      <c r="K700" s="6" t="str">
        <f>IF(A700="","",SUMIFS(Chicks!$N:$N,Chicks!$G:$G,A700))</f>
        <v/>
      </c>
      <c r="L700" s="6" t="str">
        <f>IF(A700="","",SUMIFS(Chicks!$O:$O,Chicks!$G:$G,A700))</f>
        <v/>
      </c>
      <c r="M700" s="6" t="str">
        <f>IF(A700="","",SUMIFS(Chicks!$P:$P,Chicks!$G:$G,A700))</f>
        <v/>
      </c>
      <c r="N700" s="6" t="str">
        <f t="shared" si="3"/>
        <v/>
      </c>
    </row>
    <row r="701" spans="6:14" ht="14.25" customHeight="1" x14ac:dyDescent="0.3">
      <c r="F701" s="6" t="str">
        <f>IF(A701="","",COUNTIF(Chicks!$G:$G,A701))</f>
        <v/>
      </c>
      <c r="G701" s="6" t="str">
        <f>IF(A701="","",COUNTIFS(Chicks!$G:$G,A701,Chicks!$I:$I,"Yes"))</f>
        <v/>
      </c>
      <c r="H701" s="6" t="str">
        <f>IF(A701="","",SUMIFS(Chicks!$J:$J,Chicks!$G:$G,A701))</f>
        <v/>
      </c>
      <c r="I701" s="6" t="str">
        <f>IF(A701="","",COUNTIFS(Chicks!$G:$G,A701,Chicks!$I:$I,"No"))</f>
        <v/>
      </c>
      <c r="J701" s="6" t="str">
        <f>IF(A701="","",IFERROR(AVERAGEIF(Chicks!$G:$G,A701,Chicks!$M:$M),""))</f>
        <v/>
      </c>
      <c r="K701" s="6" t="str">
        <f>IF(A701="","",SUMIFS(Chicks!$N:$N,Chicks!$G:$G,A701))</f>
        <v/>
      </c>
      <c r="L701" s="6" t="str">
        <f>IF(A701="","",SUMIFS(Chicks!$O:$O,Chicks!$G:$G,A701))</f>
        <v/>
      </c>
      <c r="M701" s="6" t="str">
        <f>IF(A701="","",SUMIFS(Chicks!$P:$P,Chicks!$G:$G,A701))</f>
        <v/>
      </c>
      <c r="N701" s="6" t="str">
        <f t="shared" si="3"/>
        <v/>
      </c>
    </row>
    <row r="702" spans="6:14" ht="14.25" customHeight="1" x14ac:dyDescent="0.3">
      <c r="F702" s="6" t="str">
        <f>IF(A702="","",COUNTIF(Chicks!$G:$G,A702))</f>
        <v/>
      </c>
      <c r="G702" s="6" t="str">
        <f>IF(A702="","",COUNTIFS(Chicks!$G:$G,A702,Chicks!$I:$I,"Yes"))</f>
        <v/>
      </c>
      <c r="H702" s="6" t="str">
        <f>IF(A702="","",SUMIFS(Chicks!$J:$J,Chicks!$G:$G,A702))</f>
        <v/>
      </c>
      <c r="I702" s="6" t="str">
        <f>IF(A702="","",COUNTIFS(Chicks!$G:$G,A702,Chicks!$I:$I,"No"))</f>
        <v/>
      </c>
      <c r="J702" s="6" t="str">
        <f>IF(A702="","",IFERROR(AVERAGEIF(Chicks!$G:$G,A702,Chicks!$M:$M),""))</f>
        <v/>
      </c>
      <c r="K702" s="6" t="str">
        <f>IF(A702="","",SUMIFS(Chicks!$N:$N,Chicks!$G:$G,A702))</f>
        <v/>
      </c>
      <c r="L702" s="6" t="str">
        <f>IF(A702="","",SUMIFS(Chicks!$O:$O,Chicks!$G:$G,A702))</f>
        <v/>
      </c>
      <c r="M702" s="6" t="str">
        <f>IF(A702="","",SUMIFS(Chicks!$P:$P,Chicks!$G:$G,A702))</f>
        <v/>
      </c>
      <c r="N702" s="6" t="str">
        <f t="shared" si="3"/>
        <v/>
      </c>
    </row>
    <row r="703" spans="6:14" ht="14.25" customHeight="1" x14ac:dyDescent="0.3">
      <c r="F703" s="6" t="str">
        <f>IF(A703="","",COUNTIF(Chicks!$G:$G,A703))</f>
        <v/>
      </c>
      <c r="G703" s="6" t="str">
        <f>IF(A703="","",COUNTIFS(Chicks!$G:$G,A703,Chicks!$I:$I,"Yes"))</f>
        <v/>
      </c>
      <c r="H703" s="6" t="str">
        <f>IF(A703="","",SUMIFS(Chicks!$J:$J,Chicks!$G:$G,A703))</f>
        <v/>
      </c>
      <c r="I703" s="6" t="str">
        <f>IF(A703="","",COUNTIFS(Chicks!$G:$G,A703,Chicks!$I:$I,"No"))</f>
        <v/>
      </c>
      <c r="J703" s="6" t="str">
        <f>IF(A703="","",IFERROR(AVERAGEIF(Chicks!$G:$G,A703,Chicks!$M:$M),""))</f>
        <v/>
      </c>
      <c r="K703" s="6" t="str">
        <f>IF(A703="","",SUMIFS(Chicks!$N:$N,Chicks!$G:$G,A703))</f>
        <v/>
      </c>
      <c r="L703" s="6" t="str">
        <f>IF(A703="","",SUMIFS(Chicks!$O:$O,Chicks!$G:$G,A703))</f>
        <v/>
      </c>
      <c r="M703" s="6" t="str">
        <f>IF(A703="","",SUMIFS(Chicks!$P:$P,Chicks!$G:$G,A703))</f>
        <v/>
      </c>
      <c r="N703" s="6" t="str">
        <f t="shared" si="3"/>
        <v/>
      </c>
    </row>
    <row r="704" spans="6:14" ht="14.25" customHeight="1" x14ac:dyDescent="0.3">
      <c r="F704" s="6" t="str">
        <f>IF(A704="","",COUNTIF(Chicks!$G:$G,A704))</f>
        <v/>
      </c>
      <c r="G704" s="6" t="str">
        <f>IF(A704="","",COUNTIFS(Chicks!$G:$G,A704,Chicks!$I:$I,"Yes"))</f>
        <v/>
      </c>
      <c r="H704" s="6" t="str">
        <f>IF(A704="","",SUMIFS(Chicks!$J:$J,Chicks!$G:$G,A704))</f>
        <v/>
      </c>
      <c r="I704" s="6" t="str">
        <f>IF(A704="","",COUNTIFS(Chicks!$G:$G,A704,Chicks!$I:$I,"No"))</f>
        <v/>
      </c>
      <c r="J704" s="6" t="str">
        <f>IF(A704="","",IFERROR(AVERAGEIF(Chicks!$G:$G,A704,Chicks!$M:$M),""))</f>
        <v/>
      </c>
      <c r="K704" s="6" t="str">
        <f>IF(A704="","",SUMIFS(Chicks!$N:$N,Chicks!$G:$G,A704))</f>
        <v/>
      </c>
      <c r="L704" s="6" t="str">
        <f>IF(A704="","",SUMIFS(Chicks!$O:$O,Chicks!$G:$G,A704))</f>
        <v/>
      </c>
      <c r="M704" s="6" t="str">
        <f>IF(A704="","",SUMIFS(Chicks!$P:$P,Chicks!$G:$G,A704))</f>
        <v/>
      </c>
      <c r="N704" s="6" t="str">
        <f t="shared" si="3"/>
        <v/>
      </c>
    </row>
    <row r="705" spans="6:14" ht="14.25" customHeight="1" x14ac:dyDescent="0.3">
      <c r="F705" s="6" t="str">
        <f>IF(A705="","",COUNTIF(Chicks!$G:$G,A705))</f>
        <v/>
      </c>
      <c r="G705" s="6" t="str">
        <f>IF(A705="","",COUNTIFS(Chicks!$G:$G,A705,Chicks!$I:$I,"Yes"))</f>
        <v/>
      </c>
      <c r="H705" s="6" t="str">
        <f>IF(A705="","",SUMIFS(Chicks!$J:$J,Chicks!$G:$G,A705))</f>
        <v/>
      </c>
      <c r="I705" s="6" t="str">
        <f>IF(A705="","",COUNTIFS(Chicks!$G:$G,A705,Chicks!$I:$I,"No"))</f>
        <v/>
      </c>
      <c r="J705" s="6" t="str">
        <f>IF(A705="","",IFERROR(AVERAGEIF(Chicks!$G:$G,A705,Chicks!$M:$M),""))</f>
        <v/>
      </c>
      <c r="K705" s="6" t="str">
        <f>IF(A705="","",SUMIFS(Chicks!$N:$N,Chicks!$G:$G,A705))</f>
        <v/>
      </c>
      <c r="L705" s="6" t="str">
        <f>IF(A705="","",SUMIFS(Chicks!$O:$O,Chicks!$G:$G,A705))</f>
        <v/>
      </c>
      <c r="M705" s="6" t="str">
        <f>IF(A705="","",SUMIFS(Chicks!$P:$P,Chicks!$G:$G,A705))</f>
        <v/>
      </c>
      <c r="N705" s="6" t="str">
        <f t="shared" si="3"/>
        <v/>
      </c>
    </row>
    <row r="706" spans="6:14" ht="14.25" customHeight="1" x14ac:dyDescent="0.3">
      <c r="F706" s="6" t="str">
        <f>IF(A706="","",COUNTIF(Chicks!$G:$G,A706))</f>
        <v/>
      </c>
      <c r="G706" s="6" t="str">
        <f>IF(A706="","",COUNTIFS(Chicks!$G:$G,A706,Chicks!$I:$I,"Yes"))</f>
        <v/>
      </c>
      <c r="H706" s="6" t="str">
        <f>IF(A706="","",SUMIFS(Chicks!$J:$J,Chicks!$G:$G,A706))</f>
        <v/>
      </c>
      <c r="I706" s="6" t="str">
        <f>IF(A706="","",COUNTIFS(Chicks!$G:$G,A706,Chicks!$I:$I,"No"))</f>
        <v/>
      </c>
      <c r="J706" s="6" t="str">
        <f>IF(A706="","",IFERROR(AVERAGEIF(Chicks!$G:$G,A706,Chicks!$M:$M),""))</f>
        <v/>
      </c>
      <c r="K706" s="6" t="str">
        <f>IF(A706="","",SUMIFS(Chicks!$N:$N,Chicks!$G:$G,A706))</f>
        <v/>
      </c>
      <c r="L706" s="6" t="str">
        <f>IF(A706="","",SUMIFS(Chicks!$O:$O,Chicks!$G:$G,A706))</f>
        <v/>
      </c>
      <c r="M706" s="6" t="str">
        <f>IF(A706="","",SUMIFS(Chicks!$P:$P,Chicks!$G:$G,A706))</f>
        <v/>
      </c>
      <c r="N706" s="6" t="str">
        <f t="shared" si="3"/>
        <v/>
      </c>
    </row>
    <row r="707" spans="6:14" ht="14.25" customHeight="1" x14ac:dyDescent="0.3">
      <c r="F707" s="6" t="str">
        <f>IF(A707="","",COUNTIF(Chicks!$G:$G,A707))</f>
        <v/>
      </c>
      <c r="G707" s="6" t="str">
        <f>IF(A707="","",COUNTIFS(Chicks!$G:$G,A707,Chicks!$I:$I,"Yes"))</f>
        <v/>
      </c>
      <c r="H707" s="6" t="str">
        <f>IF(A707="","",SUMIFS(Chicks!$J:$J,Chicks!$G:$G,A707))</f>
        <v/>
      </c>
      <c r="I707" s="6" t="str">
        <f>IF(A707="","",COUNTIFS(Chicks!$G:$G,A707,Chicks!$I:$I,"No"))</f>
        <v/>
      </c>
      <c r="J707" s="6" t="str">
        <f>IF(A707="","",IFERROR(AVERAGEIF(Chicks!$G:$G,A707,Chicks!$M:$M),""))</f>
        <v/>
      </c>
      <c r="K707" s="6" t="str">
        <f>IF(A707="","",SUMIFS(Chicks!$N:$N,Chicks!$G:$G,A707))</f>
        <v/>
      </c>
      <c r="L707" s="6" t="str">
        <f>IF(A707="","",SUMIFS(Chicks!$O:$O,Chicks!$G:$G,A707))</f>
        <v/>
      </c>
      <c r="M707" s="6" t="str">
        <f>IF(A707="","",SUMIFS(Chicks!$P:$P,Chicks!$G:$G,A707))</f>
        <v/>
      </c>
      <c r="N707" s="6" t="str">
        <f t="shared" si="3"/>
        <v/>
      </c>
    </row>
    <row r="708" spans="6:14" ht="14.25" customHeight="1" x14ac:dyDescent="0.3">
      <c r="F708" s="6" t="str">
        <f>IF(A708="","",COUNTIF(Chicks!$G:$G,A708))</f>
        <v/>
      </c>
      <c r="G708" s="6" t="str">
        <f>IF(A708="","",COUNTIFS(Chicks!$G:$G,A708,Chicks!$I:$I,"Yes"))</f>
        <v/>
      </c>
      <c r="H708" s="6" t="str">
        <f>IF(A708="","",SUMIFS(Chicks!$J:$J,Chicks!$G:$G,A708))</f>
        <v/>
      </c>
      <c r="I708" s="6" t="str">
        <f>IF(A708="","",COUNTIFS(Chicks!$G:$G,A708,Chicks!$I:$I,"No"))</f>
        <v/>
      </c>
      <c r="J708" s="6" t="str">
        <f>IF(A708="","",IFERROR(AVERAGEIF(Chicks!$G:$G,A708,Chicks!$M:$M),""))</f>
        <v/>
      </c>
      <c r="K708" s="6" t="str">
        <f>IF(A708="","",SUMIFS(Chicks!$N:$N,Chicks!$G:$G,A708))</f>
        <v/>
      </c>
      <c r="L708" s="6" t="str">
        <f>IF(A708="","",SUMIFS(Chicks!$O:$O,Chicks!$G:$G,A708))</f>
        <v/>
      </c>
      <c r="M708" s="6" t="str">
        <f>IF(A708="","",SUMIFS(Chicks!$P:$P,Chicks!$G:$G,A708))</f>
        <v/>
      </c>
      <c r="N708" s="6" t="str">
        <f t="shared" si="3"/>
        <v/>
      </c>
    </row>
    <row r="709" spans="6:14" ht="14.25" customHeight="1" x14ac:dyDescent="0.3">
      <c r="F709" s="6" t="str">
        <f>IF(A709="","",COUNTIF(Chicks!$G:$G,A709))</f>
        <v/>
      </c>
      <c r="G709" s="6" t="str">
        <f>IF(A709="","",COUNTIFS(Chicks!$G:$G,A709,Chicks!$I:$I,"Yes"))</f>
        <v/>
      </c>
      <c r="H709" s="6" t="str">
        <f>IF(A709="","",SUMIFS(Chicks!$J:$J,Chicks!$G:$G,A709))</f>
        <v/>
      </c>
      <c r="I709" s="6" t="str">
        <f>IF(A709="","",COUNTIFS(Chicks!$G:$G,A709,Chicks!$I:$I,"No"))</f>
        <v/>
      </c>
      <c r="J709" s="6" t="str">
        <f>IF(A709="","",IFERROR(AVERAGEIF(Chicks!$G:$G,A709,Chicks!$M:$M),""))</f>
        <v/>
      </c>
      <c r="K709" s="6" t="str">
        <f>IF(A709="","",SUMIFS(Chicks!$N:$N,Chicks!$G:$G,A709))</f>
        <v/>
      </c>
      <c r="L709" s="6" t="str">
        <f>IF(A709="","",SUMIFS(Chicks!$O:$O,Chicks!$G:$G,A709))</f>
        <v/>
      </c>
      <c r="M709" s="6" t="str">
        <f>IF(A709="","",SUMIFS(Chicks!$P:$P,Chicks!$G:$G,A709))</f>
        <v/>
      </c>
      <c r="N709" s="6" t="str">
        <f t="shared" si="3"/>
        <v/>
      </c>
    </row>
    <row r="710" spans="6:14" ht="14.25" customHeight="1" x14ac:dyDescent="0.3">
      <c r="F710" s="6" t="str">
        <f>IF(A710="","",COUNTIF(Chicks!$G:$G,A710))</f>
        <v/>
      </c>
      <c r="G710" s="6" t="str">
        <f>IF(A710="","",COUNTIFS(Chicks!$G:$G,A710,Chicks!$I:$I,"Yes"))</f>
        <v/>
      </c>
      <c r="H710" s="6" t="str">
        <f>IF(A710="","",SUMIFS(Chicks!$J:$J,Chicks!$G:$G,A710))</f>
        <v/>
      </c>
      <c r="I710" s="6" t="str">
        <f>IF(A710="","",COUNTIFS(Chicks!$G:$G,A710,Chicks!$I:$I,"No"))</f>
        <v/>
      </c>
      <c r="J710" s="6" t="str">
        <f>IF(A710="","",IFERROR(AVERAGEIF(Chicks!$G:$G,A710,Chicks!$M:$M),""))</f>
        <v/>
      </c>
      <c r="K710" s="6" t="str">
        <f>IF(A710="","",SUMIFS(Chicks!$N:$N,Chicks!$G:$G,A710))</f>
        <v/>
      </c>
      <c r="L710" s="6" t="str">
        <f>IF(A710="","",SUMIFS(Chicks!$O:$O,Chicks!$G:$G,A710))</f>
        <v/>
      </c>
      <c r="M710" s="6" t="str">
        <f>IF(A710="","",SUMIFS(Chicks!$P:$P,Chicks!$G:$G,A710))</f>
        <v/>
      </c>
      <c r="N710" s="6" t="str">
        <f t="shared" si="3"/>
        <v/>
      </c>
    </row>
    <row r="711" spans="6:14" ht="14.25" customHeight="1" x14ac:dyDescent="0.3">
      <c r="F711" s="6" t="str">
        <f>IF(A711="","",COUNTIF(Chicks!$G:$G,A711))</f>
        <v/>
      </c>
      <c r="G711" s="6" t="str">
        <f>IF(A711="","",COUNTIFS(Chicks!$G:$G,A711,Chicks!$I:$I,"Yes"))</f>
        <v/>
      </c>
      <c r="H711" s="6" t="str">
        <f>IF(A711="","",SUMIFS(Chicks!$J:$J,Chicks!$G:$G,A711))</f>
        <v/>
      </c>
      <c r="I711" s="6" t="str">
        <f>IF(A711="","",COUNTIFS(Chicks!$G:$G,A711,Chicks!$I:$I,"No"))</f>
        <v/>
      </c>
      <c r="J711" s="6" t="str">
        <f>IF(A711="","",IFERROR(AVERAGEIF(Chicks!$G:$G,A711,Chicks!$M:$M),""))</f>
        <v/>
      </c>
      <c r="K711" s="6" t="str">
        <f>IF(A711="","",SUMIFS(Chicks!$N:$N,Chicks!$G:$G,A711))</f>
        <v/>
      </c>
      <c r="L711" s="6" t="str">
        <f>IF(A711="","",SUMIFS(Chicks!$O:$O,Chicks!$G:$G,A711))</f>
        <v/>
      </c>
      <c r="M711" s="6" t="str">
        <f>IF(A711="","",SUMIFS(Chicks!$P:$P,Chicks!$G:$G,A711))</f>
        <v/>
      </c>
      <c r="N711" s="6" t="str">
        <f t="shared" si="3"/>
        <v/>
      </c>
    </row>
    <row r="712" spans="6:14" ht="14.25" customHeight="1" x14ac:dyDescent="0.3">
      <c r="F712" s="6" t="str">
        <f>IF(A712="","",COUNTIF(Chicks!$G:$G,A712))</f>
        <v/>
      </c>
      <c r="G712" s="6" t="str">
        <f>IF(A712="","",COUNTIFS(Chicks!$G:$G,A712,Chicks!$I:$I,"Yes"))</f>
        <v/>
      </c>
      <c r="H712" s="6" t="str">
        <f>IF(A712="","",SUMIFS(Chicks!$J:$J,Chicks!$G:$G,A712))</f>
        <v/>
      </c>
      <c r="I712" s="6" t="str">
        <f>IF(A712="","",COUNTIFS(Chicks!$G:$G,A712,Chicks!$I:$I,"No"))</f>
        <v/>
      </c>
      <c r="J712" s="6" t="str">
        <f>IF(A712="","",IFERROR(AVERAGEIF(Chicks!$G:$G,A712,Chicks!$M:$M),""))</f>
        <v/>
      </c>
      <c r="K712" s="6" t="str">
        <f>IF(A712="","",SUMIFS(Chicks!$N:$N,Chicks!$G:$G,A712))</f>
        <v/>
      </c>
      <c r="L712" s="6" t="str">
        <f>IF(A712="","",SUMIFS(Chicks!$O:$O,Chicks!$G:$G,A712))</f>
        <v/>
      </c>
      <c r="M712" s="6" t="str">
        <f>IF(A712="","",SUMIFS(Chicks!$P:$P,Chicks!$G:$G,A712))</f>
        <v/>
      </c>
      <c r="N712" s="6" t="str">
        <f t="shared" si="3"/>
        <v/>
      </c>
    </row>
    <row r="713" spans="6:14" ht="14.25" customHeight="1" x14ac:dyDescent="0.3">
      <c r="F713" s="6" t="str">
        <f>IF(A713="","",COUNTIF(Chicks!$G:$G,A713))</f>
        <v/>
      </c>
      <c r="G713" s="6" t="str">
        <f>IF(A713="","",COUNTIFS(Chicks!$G:$G,A713,Chicks!$I:$I,"Yes"))</f>
        <v/>
      </c>
      <c r="H713" s="6" t="str">
        <f>IF(A713="","",SUMIFS(Chicks!$J:$J,Chicks!$G:$G,A713))</f>
        <v/>
      </c>
      <c r="I713" s="6" t="str">
        <f>IF(A713="","",COUNTIFS(Chicks!$G:$G,A713,Chicks!$I:$I,"No"))</f>
        <v/>
      </c>
      <c r="J713" s="6" t="str">
        <f>IF(A713="","",IFERROR(AVERAGEIF(Chicks!$G:$G,A713,Chicks!$M:$M),""))</f>
        <v/>
      </c>
      <c r="K713" s="6" t="str">
        <f>IF(A713="","",SUMIFS(Chicks!$N:$N,Chicks!$G:$G,A713))</f>
        <v/>
      </c>
      <c r="L713" s="6" t="str">
        <f>IF(A713="","",SUMIFS(Chicks!$O:$O,Chicks!$G:$G,A713))</f>
        <v/>
      </c>
      <c r="M713" s="6" t="str">
        <f>IF(A713="","",SUMIFS(Chicks!$P:$P,Chicks!$G:$G,A713))</f>
        <v/>
      </c>
      <c r="N713" s="6" t="str">
        <f t="shared" si="3"/>
        <v/>
      </c>
    </row>
    <row r="714" spans="6:14" ht="14.25" customHeight="1" x14ac:dyDescent="0.3">
      <c r="F714" s="6" t="str">
        <f>IF(A714="","",COUNTIF(Chicks!$G:$G,A714))</f>
        <v/>
      </c>
      <c r="G714" s="6" t="str">
        <f>IF(A714="","",COUNTIFS(Chicks!$G:$G,A714,Chicks!$I:$I,"Yes"))</f>
        <v/>
      </c>
      <c r="H714" s="6" t="str">
        <f>IF(A714="","",SUMIFS(Chicks!$J:$J,Chicks!$G:$G,A714))</f>
        <v/>
      </c>
      <c r="I714" s="6" t="str">
        <f>IF(A714="","",COUNTIFS(Chicks!$G:$G,A714,Chicks!$I:$I,"No"))</f>
        <v/>
      </c>
      <c r="J714" s="6" t="str">
        <f>IF(A714="","",IFERROR(AVERAGEIF(Chicks!$G:$G,A714,Chicks!$M:$M),""))</f>
        <v/>
      </c>
      <c r="K714" s="6" t="str">
        <f>IF(A714="","",SUMIFS(Chicks!$N:$N,Chicks!$G:$G,A714))</f>
        <v/>
      </c>
      <c r="L714" s="6" t="str">
        <f>IF(A714="","",SUMIFS(Chicks!$O:$O,Chicks!$G:$G,A714))</f>
        <v/>
      </c>
      <c r="M714" s="6" t="str">
        <f>IF(A714="","",SUMIFS(Chicks!$P:$P,Chicks!$G:$G,A714))</f>
        <v/>
      </c>
      <c r="N714" s="6" t="str">
        <f t="shared" si="3"/>
        <v/>
      </c>
    </row>
    <row r="715" spans="6:14" ht="14.25" customHeight="1" x14ac:dyDescent="0.3">
      <c r="F715" s="6" t="str">
        <f>IF(A715="","",COUNTIF(Chicks!$G:$G,A715))</f>
        <v/>
      </c>
      <c r="G715" s="6" t="str">
        <f>IF(A715="","",COUNTIFS(Chicks!$G:$G,A715,Chicks!$I:$I,"Yes"))</f>
        <v/>
      </c>
      <c r="H715" s="6" t="str">
        <f>IF(A715="","",SUMIFS(Chicks!$J:$J,Chicks!$G:$G,A715))</f>
        <v/>
      </c>
      <c r="I715" s="6" t="str">
        <f>IF(A715="","",COUNTIFS(Chicks!$G:$G,A715,Chicks!$I:$I,"No"))</f>
        <v/>
      </c>
      <c r="J715" s="6" t="str">
        <f>IF(A715="","",IFERROR(AVERAGEIF(Chicks!$G:$G,A715,Chicks!$M:$M),""))</f>
        <v/>
      </c>
      <c r="K715" s="6" t="str">
        <f>IF(A715="","",SUMIFS(Chicks!$N:$N,Chicks!$G:$G,A715))</f>
        <v/>
      </c>
      <c r="L715" s="6" t="str">
        <f>IF(A715="","",SUMIFS(Chicks!$O:$O,Chicks!$G:$G,A715))</f>
        <v/>
      </c>
      <c r="M715" s="6" t="str">
        <f>IF(A715="","",SUMIFS(Chicks!$P:$P,Chicks!$G:$G,A715))</f>
        <v/>
      </c>
      <c r="N715" s="6" t="str">
        <f t="shared" si="3"/>
        <v/>
      </c>
    </row>
    <row r="716" spans="6:14" ht="14.25" customHeight="1" x14ac:dyDescent="0.3">
      <c r="F716" s="6" t="str">
        <f>IF(A716="","",COUNTIF(Chicks!$G:$G,A716))</f>
        <v/>
      </c>
      <c r="G716" s="6" t="str">
        <f>IF(A716="","",COUNTIFS(Chicks!$G:$G,A716,Chicks!$I:$I,"Yes"))</f>
        <v/>
      </c>
      <c r="H716" s="6" t="str">
        <f>IF(A716="","",SUMIFS(Chicks!$J:$J,Chicks!$G:$G,A716))</f>
        <v/>
      </c>
      <c r="I716" s="6" t="str">
        <f>IF(A716="","",COUNTIFS(Chicks!$G:$G,A716,Chicks!$I:$I,"No"))</f>
        <v/>
      </c>
      <c r="J716" s="6" t="str">
        <f>IF(A716="","",IFERROR(AVERAGEIF(Chicks!$G:$G,A716,Chicks!$M:$M),""))</f>
        <v/>
      </c>
      <c r="K716" s="6" t="str">
        <f>IF(A716="","",SUMIFS(Chicks!$N:$N,Chicks!$G:$G,A716))</f>
        <v/>
      </c>
      <c r="L716" s="6" t="str">
        <f>IF(A716="","",SUMIFS(Chicks!$O:$O,Chicks!$G:$G,A716))</f>
        <v/>
      </c>
      <c r="M716" s="6" t="str">
        <f>IF(A716="","",SUMIFS(Chicks!$P:$P,Chicks!$G:$G,A716))</f>
        <v/>
      </c>
      <c r="N716" s="6" t="str">
        <f t="shared" si="3"/>
        <v/>
      </c>
    </row>
    <row r="717" spans="6:14" ht="14.25" customHeight="1" x14ac:dyDescent="0.3">
      <c r="F717" s="6" t="str">
        <f>IF(A717="","",COUNTIF(Chicks!$G:$G,A717))</f>
        <v/>
      </c>
      <c r="G717" s="6" t="str">
        <f>IF(A717="","",COUNTIFS(Chicks!$G:$G,A717,Chicks!$I:$I,"Yes"))</f>
        <v/>
      </c>
      <c r="H717" s="6" t="str">
        <f>IF(A717="","",SUMIFS(Chicks!$J:$J,Chicks!$G:$G,A717))</f>
        <v/>
      </c>
      <c r="I717" s="6" t="str">
        <f>IF(A717="","",COUNTIFS(Chicks!$G:$G,A717,Chicks!$I:$I,"No"))</f>
        <v/>
      </c>
      <c r="J717" s="6" t="str">
        <f>IF(A717="","",IFERROR(AVERAGEIF(Chicks!$G:$G,A717,Chicks!$M:$M),""))</f>
        <v/>
      </c>
      <c r="K717" s="6" t="str">
        <f>IF(A717="","",SUMIFS(Chicks!$N:$N,Chicks!$G:$G,A717))</f>
        <v/>
      </c>
      <c r="L717" s="6" t="str">
        <f>IF(A717="","",SUMIFS(Chicks!$O:$O,Chicks!$G:$G,A717))</f>
        <v/>
      </c>
      <c r="M717" s="6" t="str">
        <f>IF(A717="","",SUMIFS(Chicks!$P:$P,Chicks!$G:$G,A717))</f>
        <v/>
      </c>
      <c r="N717" s="6" t="str">
        <f t="shared" si="3"/>
        <v/>
      </c>
    </row>
    <row r="718" spans="6:14" ht="14.25" customHeight="1" x14ac:dyDescent="0.3">
      <c r="F718" s="6" t="str">
        <f>IF(A718="","",COUNTIF(Chicks!$G:$G,A718))</f>
        <v/>
      </c>
      <c r="G718" s="6" t="str">
        <f>IF(A718="","",COUNTIFS(Chicks!$G:$G,A718,Chicks!$I:$I,"Yes"))</f>
        <v/>
      </c>
      <c r="H718" s="6" t="str">
        <f>IF(A718="","",SUMIFS(Chicks!$J:$J,Chicks!$G:$G,A718))</f>
        <v/>
      </c>
      <c r="I718" s="6" t="str">
        <f>IF(A718="","",COUNTIFS(Chicks!$G:$G,A718,Chicks!$I:$I,"No"))</f>
        <v/>
      </c>
      <c r="J718" s="6" t="str">
        <f>IF(A718="","",IFERROR(AVERAGEIF(Chicks!$G:$G,A718,Chicks!$M:$M),""))</f>
        <v/>
      </c>
      <c r="K718" s="6" t="str">
        <f>IF(A718="","",SUMIFS(Chicks!$N:$N,Chicks!$G:$G,A718))</f>
        <v/>
      </c>
      <c r="L718" s="6" t="str">
        <f>IF(A718="","",SUMIFS(Chicks!$O:$O,Chicks!$G:$G,A718))</f>
        <v/>
      </c>
      <c r="M718" s="6" t="str">
        <f>IF(A718="","",SUMIFS(Chicks!$P:$P,Chicks!$G:$G,A718))</f>
        <v/>
      </c>
      <c r="N718" s="6" t="str">
        <f t="shared" si="3"/>
        <v/>
      </c>
    </row>
    <row r="719" spans="6:14" ht="14.25" customHeight="1" x14ac:dyDescent="0.3">
      <c r="F719" s="6" t="str">
        <f>IF(A719="","",COUNTIF(Chicks!$G:$G,A719))</f>
        <v/>
      </c>
      <c r="G719" s="6" t="str">
        <f>IF(A719="","",COUNTIFS(Chicks!$G:$G,A719,Chicks!$I:$I,"Yes"))</f>
        <v/>
      </c>
      <c r="H719" s="6" t="str">
        <f>IF(A719="","",SUMIFS(Chicks!$J:$J,Chicks!$G:$G,A719))</f>
        <v/>
      </c>
      <c r="I719" s="6" t="str">
        <f>IF(A719="","",COUNTIFS(Chicks!$G:$G,A719,Chicks!$I:$I,"No"))</f>
        <v/>
      </c>
      <c r="J719" s="6" t="str">
        <f>IF(A719="","",IFERROR(AVERAGEIF(Chicks!$G:$G,A719,Chicks!$M:$M),""))</f>
        <v/>
      </c>
      <c r="K719" s="6" t="str">
        <f>IF(A719="","",SUMIFS(Chicks!$N:$N,Chicks!$G:$G,A719))</f>
        <v/>
      </c>
      <c r="L719" s="6" t="str">
        <f>IF(A719="","",SUMIFS(Chicks!$O:$O,Chicks!$G:$G,A719))</f>
        <v/>
      </c>
      <c r="M719" s="6" t="str">
        <f>IF(A719="","",SUMIFS(Chicks!$P:$P,Chicks!$G:$G,A719))</f>
        <v/>
      </c>
      <c r="N719" s="6" t="str">
        <f t="shared" si="3"/>
        <v/>
      </c>
    </row>
    <row r="720" spans="6:14" ht="14.25" customHeight="1" x14ac:dyDescent="0.3">
      <c r="F720" s="6" t="str">
        <f>IF(A720="","",COUNTIF(Chicks!$G:$G,A720))</f>
        <v/>
      </c>
      <c r="G720" s="6" t="str">
        <f>IF(A720="","",COUNTIFS(Chicks!$G:$G,A720,Chicks!$I:$I,"Yes"))</f>
        <v/>
      </c>
      <c r="H720" s="6" t="str">
        <f>IF(A720="","",SUMIFS(Chicks!$J:$J,Chicks!$G:$G,A720))</f>
        <v/>
      </c>
      <c r="I720" s="6" t="str">
        <f>IF(A720="","",COUNTIFS(Chicks!$G:$G,A720,Chicks!$I:$I,"No"))</f>
        <v/>
      </c>
      <c r="J720" s="6" t="str">
        <f>IF(A720="","",IFERROR(AVERAGEIF(Chicks!$G:$G,A720,Chicks!$M:$M),""))</f>
        <v/>
      </c>
      <c r="K720" s="6" t="str">
        <f>IF(A720="","",SUMIFS(Chicks!$N:$N,Chicks!$G:$G,A720))</f>
        <v/>
      </c>
      <c r="L720" s="6" t="str">
        <f>IF(A720="","",SUMIFS(Chicks!$O:$O,Chicks!$G:$G,A720))</f>
        <v/>
      </c>
      <c r="M720" s="6" t="str">
        <f>IF(A720="","",SUMIFS(Chicks!$P:$P,Chicks!$G:$G,A720))</f>
        <v/>
      </c>
      <c r="N720" s="6" t="str">
        <f t="shared" si="3"/>
        <v/>
      </c>
    </row>
    <row r="721" spans="6:14" ht="14.25" customHeight="1" x14ac:dyDescent="0.3">
      <c r="F721" s="6" t="str">
        <f>IF(A721="","",COUNTIF(Chicks!$G:$G,A721))</f>
        <v/>
      </c>
      <c r="G721" s="6" t="str">
        <f>IF(A721="","",COUNTIFS(Chicks!$G:$G,A721,Chicks!$I:$I,"Yes"))</f>
        <v/>
      </c>
      <c r="H721" s="6" t="str">
        <f>IF(A721="","",SUMIFS(Chicks!$J:$J,Chicks!$G:$G,A721))</f>
        <v/>
      </c>
      <c r="I721" s="6" t="str">
        <f>IF(A721="","",COUNTIFS(Chicks!$G:$G,A721,Chicks!$I:$I,"No"))</f>
        <v/>
      </c>
      <c r="J721" s="6" t="str">
        <f>IF(A721="","",IFERROR(AVERAGEIF(Chicks!$G:$G,A721,Chicks!$M:$M),""))</f>
        <v/>
      </c>
      <c r="K721" s="6" t="str">
        <f>IF(A721="","",SUMIFS(Chicks!$N:$N,Chicks!$G:$G,A721))</f>
        <v/>
      </c>
      <c r="L721" s="6" t="str">
        <f>IF(A721="","",SUMIFS(Chicks!$O:$O,Chicks!$G:$G,A721))</f>
        <v/>
      </c>
      <c r="M721" s="6" t="str">
        <f>IF(A721="","",SUMIFS(Chicks!$P:$P,Chicks!$G:$G,A721))</f>
        <v/>
      </c>
      <c r="N721" s="6" t="str">
        <f t="shared" si="3"/>
        <v/>
      </c>
    </row>
    <row r="722" spans="6:14" ht="14.25" customHeight="1" x14ac:dyDescent="0.3">
      <c r="F722" s="6" t="str">
        <f>IF(A722="","",COUNTIF(Chicks!$G:$G,A722))</f>
        <v/>
      </c>
      <c r="G722" s="6" t="str">
        <f>IF(A722="","",COUNTIFS(Chicks!$G:$G,A722,Chicks!$I:$I,"Yes"))</f>
        <v/>
      </c>
      <c r="H722" s="6" t="str">
        <f>IF(A722="","",SUMIFS(Chicks!$J:$J,Chicks!$G:$G,A722))</f>
        <v/>
      </c>
      <c r="I722" s="6" t="str">
        <f>IF(A722="","",COUNTIFS(Chicks!$G:$G,A722,Chicks!$I:$I,"No"))</f>
        <v/>
      </c>
      <c r="J722" s="6" t="str">
        <f>IF(A722="","",IFERROR(AVERAGEIF(Chicks!$G:$G,A722,Chicks!$M:$M),""))</f>
        <v/>
      </c>
      <c r="K722" s="6" t="str">
        <f>IF(A722="","",SUMIFS(Chicks!$N:$N,Chicks!$G:$G,A722))</f>
        <v/>
      </c>
      <c r="L722" s="6" t="str">
        <f>IF(A722="","",SUMIFS(Chicks!$O:$O,Chicks!$G:$G,A722))</f>
        <v/>
      </c>
      <c r="M722" s="6" t="str">
        <f>IF(A722="","",SUMIFS(Chicks!$P:$P,Chicks!$G:$G,A722))</f>
        <v/>
      </c>
      <c r="N722" s="6" t="str">
        <f t="shared" si="3"/>
        <v/>
      </c>
    </row>
    <row r="723" spans="6:14" ht="14.25" customHeight="1" x14ac:dyDescent="0.3">
      <c r="F723" s="6" t="str">
        <f>IF(A723="","",COUNTIF(Chicks!$G:$G,A723))</f>
        <v/>
      </c>
      <c r="G723" s="6" t="str">
        <f>IF(A723="","",COUNTIFS(Chicks!$G:$G,A723,Chicks!$I:$I,"Yes"))</f>
        <v/>
      </c>
      <c r="H723" s="6" t="str">
        <f>IF(A723="","",SUMIFS(Chicks!$J:$J,Chicks!$G:$G,A723))</f>
        <v/>
      </c>
      <c r="I723" s="6" t="str">
        <f>IF(A723="","",COUNTIFS(Chicks!$G:$G,A723,Chicks!$I:$I,"No"))</f>
        <v/>
      </c>
      <c r="J723" s="6" t="str">
        <f>IF(A723="","",IFERROR(AVERAGEIF(Chicks!$G:$G,A723,Chicks!$M:$M),""))</f>
        <v/>
      </c>
      <c r="K723" s="6" t="str">
        <f>IF(A723="","",SUMIFS(Chicks!$N:$N,Chicks!$G:$G,A723))</f>
        <v/>
      </c>
      <c r="L723" s="6" t="str">
        <f>IF(A723="","",SUMIFS(Chicks!$O:$O,Chicks!$G:$G,A723))</f>
        <v/>
      </c>
      <c r="M723" s="6" t="str">
        <f>IF(A723="","",SUMIFS(Chicks!$P:$P,Chicks!$G:$G,A723))</f>
        <v/>
      </c>
      <c r="N723" s="6" t="str">
        <f t="shared" si="3"/>
        <v/>
      </c>
    </row>
    <row r="724" spans="6:14" ht="14.25" customHeight="1" x14ac:dyDescent="0.3">
      <c r="F724" s="6" t="str">
        <f>IF(A724="","",COUNTIF(Chicks!$G:$G,A724))</f>
        <v/>
      </c>
      <c r="G724" s="6" t="str">
        <f>IF(A724="","",COUNTIFS(Chicks!$G:$G,A724,Chicks!$I:$I,"Yes"))</f>
        <v/>
      </c>
      <c r="H724" s="6" t="str">
        <f>IF(A724="","",SUMIFS(Chicks!$J:$J,Chicks!$G:$G,A724))</f>
        <v/>
      </c>
      <c r="I724" s="6" t="str">
        <f>IF(A724="","",COUNTIFS(Chicks!$G:$G,A724,Chicks!$I:$I,"No"))</f>
        <v/>
      </c>
      <c r="J724" s="6" t="str">
        <f>IF(A724="","",IFERROR(AVERAGEIF(Chicks!$G:$G,A724,Chicks!$M:$M),""))</f>
        <v/>
      </c>
      <c r="K724" s="6" t="str">
        <f>IF(A724="","",SUMIFS(Chicks!$N:$N,Chicks!$G:$G,A724))</f>
        <v/>
      </c>
      <c r="L724" s="6" t="str">
        <f>IF(A724="","",SUMIFS(Chicks!$O:$O,Chicks!$G:$G,A724))</f>
        <v/>
      </c>
      <c r="M724" s="6" t="str">
        <f>IF(A724="","",SUMIFS(Chicks!$P:$P,Chicks!$G:$G,A724))</f>
        <v/>
      </c>
      <c r="N724" s="6" t="str">
        <f t="shared" si="3"/>
        <v/>
      </c>
    </row>
    <row r="725" spans="6:14" ht="14.25" customHeight="1" x14ac:dyDescent="0.3">
      <c r="F725" s="6" t="str">
        <f>IF(A725="","",COUNTIF(Chicks!$G:$G,A725))</f>
        <v/>
      </c>
      <c r="G725" s="6" t="str">
        <f>IF(A725="","",COUNTIFS(Chicks!$G:$G,A725,Chicks!$I:$I,"Yes"))</f>
        <v/>
      </c>
      <c r="H725" s="6" t="str">
        <f>IF(A725="","",SUMIFS(Chicks!$J:$J,Chicks!$G:$G,A725))</f>
        <v/>
      </c>
      <c r="I725" s="6" t="str">
        <f>IF(A725="","",COUNTIFS(Chicks!$G:$G,A725,Chicks!$I:$I,"No"))</f>
        <v/>
      </c>
      <c r="J725" s="6" t="str">
        <f>IF(A725="","",IFERROR(AVERAGEIF(Chicks!$G:$G,A725,Chicks!$M:$M),""))</f>
        <v/>
      </c>
      <c r="K725" s="6" t="str">
        <f>IF(A725="","",SUMIFS(Chicks!$N:$N,Chicks!$G:$G,A725))</f>
        <v/>
      </c>
      <c r="L725" s="6" t="str">
        <f>IF(A725="","",SUMIFS(Chicks!$O:$O,Chicks!$G:$G,A725))</f>
        <v/>
      </c>
      <c r="M725" s="6" t="str">
        <f>IF(A725="","",SUMIFS(Chicks!$P:$P,Chicks!$G:$G,A725))</f>
        <v/>
      </c>
      <c r="N725" s="6" t="str">
        <f t="shared" si="3"/>
        <v/>
      </c>
    </row>
    <row r="726" spans="6:14" ht="14.25" customHeight="1" x14ac:dyDescent="0.3">
      <c r="F726" s="6" t="str">
        <f>IF(A726="","",COUNTIF(Chicks!$G:$G,A726))</f>
        <v/>
      </c>
      <c r="G726" s="6" t="str">
        <f>IF(A726="","",COUNTIFS(Chicks!$G:$G,A726,Chicks!$I:$I,"Yes"))</f>
        <v/>
      </c>
      <c r="H726" s="6" t="str">
        <f>IF(A726="","",SUMIFS(Chicks!$J:$J,Chicks!$G:$G,A726))</f>
        <v/>
      </c>
      <c r="I726" s="6" t="str">
        <f>IF(A726="","",COUNTIFS(Chicks!$G:$G,A726,Chicks!$I:$I,"No"))</f>
        <v/>
      </c>
      <c r="J726" s="6" t="str">
        <f>IF(A726="","",IFERROR(AVERAGEIF(Chicks!$G:$G,A726,Chicks!$M:$M),""))</f>
        <v/>
      </c>
      <c r="K726" s="6" t="str">
        <f>IF(A726="","",SUMIFS(Chicks!$N:$N,Chicks!$G:$G,A726))</f>
        <v/>
      </c>
      <c r="L726" s="6" t="str">
        <f>IF(A726="","",SUMIFS(Chicks!$O:$O,Chicks!$G:$G,A726))</f>
        <v/>
      </c>
      <c r="M726" s="6" t="str">
        <f>IF(A726="","",SUMIFS(Chicks!$P:$P,Chicks!$G:$G,A726))</f>
        <v/>
      </c>
      <c r="N726" s="6" t="str">
        <f t="shared" si="3"/>
        <v/>
      </c>
    </row>
    <row r="727" spans="6:14" ht="14.25" customHeight="1" x14ac:dyDescent="0.3">
      <c r="F727" s="6" t="str">
        <f>IF(A727="","",COUNTIF(Chicks!$G:$G,A727))</f>
        <v/>
      </c>
      <c r="G727" s="6" t="str">
        <f>IF(A727="","",COUNTIFS(Chicks!$G:$G,A727,Chicks!$I:$I,"Yes"))</f>
        <v/>
      </c>
      <c r="H727" s="6" t="str">
        <f>IF(A727="","",SUMIFS(Chicks!$J:$J,Chicks!$G:$G,A727))</f>
        <v/>
      </c>
      <c r="I727" s="6" t="str">
        <f>IF(A727="","",COUNTIFS(Chicks!$G:$G,A727,Chicks!$I:$I,"No"))</f>
        <v/>
      </c>
      <c r="J727" s="6" t="str">
        <f>IF(A727="","",IFERROR(AVERAGEIF(Chicks!$G:$G,A727,Chicks!$M:$M),""))</f>
        <v/>
      </c>
      <c r="K727" s="6" t="str">
        <f>IF(A727="","",SUMIFS(Chicks!$N:$N,Chicks!$G:$G,A727))</f>
        <v/>
      </c>
      <c r="L727" s="6" t="str">
        <f>IF(A727="","",SUMIFS(Chicks!$O:$O,Chicks!$G:$G,A727))</f>
        <v/>
      </c>
      <c r="M727" s="6" t="str">
        <f>IF(A727="","",SUMIFS(Chicks!$P:$P,Chicks!$G:$G,A727))</f>
        <v/>
      </c>
      <c r="N727" s="6" t="str">
        <f t="shared" si="3"/>
        <v/>
      </c>
    </row>
    <row r="728" spans="6:14" ht="14.25" customHeight="1" x14ac:dyDescent="0.3">
      <c r="F728" s="6" t="str">
        <f>IF(A728="","",COUNTIF(Chicks!$G:$G,A728))</f>
        <v/>
      </c>
      <c r="G728" s="6" t="str">
        <f>IF(A728="","",COUNTIFS(Chicks!$G:$G,A728,Chicks!$I:$I,"Yes"))</f>
        <v/>
      </c>
      <c r="H728" s="6" t="str">
        <f>IF(A728="","",SUMIFS(Chicks!$J:$J,Chicks!$G:$G,A728))</f>
        <v/>
      </c>
      <c r="I728" s="6" t="str">
        <f>IF(A728="","",COUNTIFS(Chicks!$G:$G,A728,Chicks!$I:$I,"No"))</f>
        <v/>
      </c>
      <c r="J728" s="6" t="str">
        <f>IF(A728="","",IFERROR(AVERAGEIF(Chicks!$G:$G,A728,Chicks!$M:$M),""))</f>
        <v/>
      </c>
      <c r="K728" s="6" t="str">
        <f>IF(A728="","",SUMIFS(Chicks!$N:$N,Chicks!$G:$G,A728))</f>
        <v/>
      </c>
      <c r="L728" s="6" t="str">
        <f>IF(A728="","",SUMIFS(Chicks!$O:$O,Chicks!$G:$G,A728))</f>
        <v/>
      </c>
      <c r="M728" s="6" t="str">
        <f>IF(A728="","",SUMIFS(Chicks!$P:$P,Chicks!$G:$G,A728))</f>
        <v/>
      </c>
      <c r="N728" s="6" t="str">
        <f t="shared" si="3"/>
        <v/>
      </c>
    </row>
    <row r="729" spans="6:14" ht="14.25" customHeight="1" x14ac:dyDescent="0.3">
      <c r="F729" s="6" t="str">
        <f>IF(A729="","",COUNTIF(Chicks!$G:$G,A729))</f>
        <v/>
      </c>
      <c r="G729" s="6" t="str">
        <f>IF(A729="","",COUNTIFS(Chicks!$G:$G,A729,Chicks!$I:$I,"Yes"))</f>
        <v/>
      </c>
      <c r="H729" s="6" t="str">
        <f>IF(A729="","",SUMIFS(Chicks!$J:$J,Chicks!$G:$G,A729))</f>
        <v/>
      </c>
      <c r="I729" s="6" t="str">
        <f>IF(A729="","",COUNTIFS(Chicks!$G:$G,A729,Chicks!$I:$I,"No"))</f>
        <v/>
      </c>
      <c r="J729" s="6" t="str">
        <f>IF(A729="","",IFERROR(AVERAGEIF(Chicks!$G:$G,A729,Chicks!$M:$M),""))</f>
        <v/>
      </c>
      <c r="K729" s="6" t="str">
        <f>IF(A729="","",SUMIFS(Chicks!$N:$N,Chicks!$G:$G,A729))</f>
        <v/>
      </c>
      <c r="L729" s="6" t="str">
        <f>IF(A729="","",SUMIFS(Chicks!$O:$O,Chicks!$G:$G,A729))</f>
        <v/>
      </c>
      <c r="M729" s="6" t="str">
        <f>IF(A729="","",SUMIFS(Chicks!$P:$P,Chicks!$G:$G,A729))</f>
        <v/>
      </c>
      <c r="N729" s="6" t="str">
        <f t="shared" si="3"/>
        <v/>
      </c>
    </row>
    <row r="730" spans="6:14" ht="14.25" customHeight="1" x14ac:dyDescent="0.3">
      <c r="F730" s="6" t="str">
        <f>IF(A730="","",COUNTIF(Chicks!$G:$G,A730))</f>
        <v/>
      </c>
      <c r="G730" s="6" t="str">
        <f>IF(A730="","",COUNTIFS(Chicks!$G:$G,A730,Chicks!$I:$I,"Yes"))</f>
        <v/>
      </c>
      <c r="H730" s="6" t="str">
        <f>IF(A730="","",SUMIFS(Chicks!$J:$J,Chicks!$G:$G,A730))</f>
        <v/>
      </c>
      <c r="I730" s="6" t="str">
        <f>IF(A730="","",COUNTIFS(Chicks!$G:$G,A730,Chicks!$I:$I,"No"))</f>
        <v/>
      </c>
      <c r="J730" s="6" t="str">
        <f>IF(A730="","",IFERROR(AVERAGEIF(Chicks!$G:$G,A730,Chicks!$M:$M),""))</f>
        <v/>
      </c>
      <c r="K730" s="6" t="str">
        <f>IF(A730="","",SUMIFS(Chicks!$N:$N,Chicks!$G:$G,A730))</f>
        <v/>
      </c>
      <c r="L730" s="6" t="str">
        <f>IF(A730="","",SUMIFS(Chicks!$O:$O,Chicks!$G:$G,A730))</f>
        <v/>
      </c>
      <c r="M730" s="6" t="str">
        <f>IF(A730="","",SUMIFS(Chicks!$P:$P,Chicks!$G:$G,A730))</f>
        <v/>
      </c>
      <c r="N730" s="6" t="str">
        <f t="shared" si="3"/>
        <v/>
      </c>
    </row>
    <row r="731" spans="6:14" ht="14.25" customHeight="1" x14ac:dyDescent="0.3">
      <c r="F731" s="6" t="str">
        <f>IF(A731="","",COUNTIF(Chicks!$G:$G,A731))</f>
        <v/>
      </c>
      <c r="G731" s="6" t="str">
        <f>IF(A731="","",COUNTIFS(Chicks!$G:$G,A731,Chicks!$I:$I,"Yes"))</f>
        <v/>
      </c>
      <c r="H731" s="6" t="str">
        <f>IF(A731="","",SUMIFS(Chicks!$J:$J,Chicks!$G:$G,A731))</f>
        <v/>
      </c>
      <c r="I731" s="6" t="str">
        <f>IF(A731="","",COUNTIFS(Chicks!$G:$G,A731,Chicks!$I:$I,"No"))</f>
        <v/>
      </c>
      <c r="J731" s="6" t="str">
        <f>IF(A731="","",IFERROR(AVERAGEIF(Chicks!$G:$G,A731,Chicks!$M:$M),""))</f>
        <v/>
      </c>
      <c r="K731" s="6" t="str">
        <f>IF(A731="","",SUMIFS(Chicks!$N:$N,Chicks!$G:$G,A731))</f>
        <v/>
      </c>
      <c r="L731" s="6" t="str">
        <f>IF(A731="","",SUMIFS(Chicks!$O:$O,Chicks!$G:$G,A731))</f>
        <v/>
      </c>
      <c r="M731" s="6" t="str">
        <f>IF(A731="","",SUMIFS(Chicks!$P:$P,Chicks!$G:$G,A731))</f>
        <v/>
      </c>
      <c r="N731" s="6" t="str">
        <f t="shared" si="3"/>
        <v/>
      </c>
    </row>
    <row r="732" spans="6:14" ht="14.25" customHeight="1" x14ac:dyDescent="0.3">
      <c r="F732" s="6" t="str">
        <f>IF(A732="","",COUNTIF(Chicks!$G:$G,A732))</f>
        <v/>
      </c>
      <c r="G732" s="6" t="str">
        <f>IF(A732="","",COUNTIFS(Chicks!$G:$G,A732,Chicks!$I:$I,"Yes"))</f>
        <v/>
      </c>
      <c r="H732" s="6" t="str">
        <f>IF(A732="","",SUMIFS(Chicks!$J:$J,Chicks!$G:$G,A732))</f>
        <v/>
      </c>
      <c r="I732" s="6" t="str">
        <f>IF(A732="","",COUNTIFS(Chicks!$G:$G,A732,Chicks!$I:$I,"No"))</f>
        <v/>
      </c>
      <c r="J732" s="6" t="str">
        <f>IF(A732="","",IFERROR(AVERAGEIF(Chicks!$G:$G,A732,Chicks!$M:$M),""))</f>
        <v/>
      </c>
      <c r="K732" s="6" t="str">
        <f>IF(A732="","",SUMIFS(Chicks!$N:$N,Chicks!$G:$G,A732))</f>
        <v/>
      </c>
      <c r="L732" s="6" t="str">
        <f>IF(A732="","",SUMIFS(Chicks!$O:$O,Chicks!$G:$G,A732))</f>
        <v/>
      </c>
      <c r="M732" s="6" t="str">
        <f>IF(A732="","",SUMIFS(Chicks!$P:$P,Chicks!$G:$G,A732))</f>
        <v/>
      </c>
      <c r="N732" s="6" t="str">
        <f t="shared" si="3"/>
        <v/>
      </c>
    </row>
    <row r="733" spans="6:14" ht="14.25" customHeight="1" x14ac:dyDescent="0.3">
      <c r="F733" s="6" t="str">
        <f>IF(A733="","",COUNTIF(Chicks!$G:$G,A733))</f>
        <v/>
      </c>
      <c r="G733" s="6" t="str">
        <f>IF(A733="","",COUNTIFS(Chicks!$G:$G,A733,Chicks!$I:$I,"Yes"))</f>
        <v/>
      </c>
      <c r="H733" s="6" t="str">
        <f>IF(A733="","",SUMIFS(Chicks!$J:$J,Chicks!$G:$G,A733))</f>
        <v/>
      </c>
      <c r="I733" s="6" t="str">
        <f>IF(A733="","",COUNTIFS(Chicks!$G:$G,A733,Chicks!$I:$I,"No"))</f>
        <v/>
      </c>
      <c r="J733" s="6" t="str">
        <f>IF(A733="","",IFERROR(AVERAGEIF(Chicks!$G:$G,A733,Chicks!$M:$M),""))</f>
        <v/>
      </c>
      <c r="K733" s="6" t="str">
        <f>IF(A733="","",SUMIFS(Chicks!$N:$N,Chicks!$G:$G,A733))</f>
        <v/>
      </c>
      <c r="L733" s="6" t="str">
        <f>IF(A733="","",SUMIFS(Chicks!$O:$O,Chicks!$G:$G,A733))</f>
        <v/>
      </c>
      <c r="M733" s="6" t="str">
        <f>IF(A733="","",SUMIFS(Chicks!$P:$P,Chicks!$G:$G,A733))</f>
        <v/>
      </c>
      <c r="N733" s="6" t="str">
        <f t="shared" si="3"/>
        <v/>
      </c>
    </row>
    <row r="734" spans="6:14" ht="14.25" customHeight="1" x14ac:dyDescent="0.3">
      <c r="F734" s="6" t="str">
        <f>IF(A734="","",COUNTIF(Chicks!$G:$G,A734))</f>
        <v/>
      </c>
      <c r="G734" s="6" t="str">
        <f>IF(A734="","",COUNTIFS(Chicks!$G:$G,A734,Chicks!$I:$I,"Yes"))</f>
        <v/>
      </c>
      <c r="H734" s="6" t="str">
        <f>IF(A734="","",SUMIFS(Chicks!$J:$J,Chicks!$G:$G,A734))</f>
        <v/>
      </c>
      <c r="I734" s="6" t="str">
        <f>IF(A734="","",COUNTIFS(Chicks!$G:$G,A734,Chicks!$I:$I,"No"))</f>
        <v/>
      </c>
      <c r="J734" s="6" t="str">
        <f>IF(A734="","",IFERROR(AVERAGEIF(Chicks!$G:$G,A734,Chicks!$M:$M),""))</f>
        <v/>
      </c>
      <c r="K734" s="6" t="str">
        <f>IF(A734="","",SUMIFS(Chicks!$N:$N,Chicks!$G:$G,A734))</f>
        <v/>
      </c>
      <c r="L734" s="6" t="str">
        <f>IF(A734="","",SUMIFS(Chicks!$O:$O,Chicks!$G:$G,A734))</f>
        <v/>
      </c>
      <c r="M734" s="6" t="str">
        <f>IF(A734="","",SUMIFS(Chicks!$P:$P,Chicks!$G:$G,A734))</f>
        <v/>
      </c>
      <c r="N734" s="6" t="str">
        <f t="shared" si="3"/>
        <v/>
      </c>
    </row>
    <row r="735" spans="6:14" ht="14.25" customHeight="1" x14ac:dyDescent="0.3">
      <c r="F735" s="6" t="str">
        <f>IF(A735="","",COUNTIF(Chicks!$G:$G,A735))</f>
        <v/>
      </c>
      <c r="G735" s="6" t="str">
        <f>IF(A735="","",COUNTIFS(Chicks!$G:$G,A735,Chicks!$I:$I,"Yes"))</f>
        <v/>
      </c>
      <c r="H735" s="6" t="str">
        <f>IF(A735="","",SUMIFS(Chicks!$J:$J,Chicks!$G:$G,A735))</f>
        <v/>
      </c>
      <c r="I735" s="6" t="str">
        <f>IF(A735="","",COUNTIFS(Chicks!$G:$G,A735,Chicks!$I:$I,"No"))</f>
        <v/>
      </c>
      <c r="J735" s="6" t="str">
        <f>IF(A735="","",IFERROR(AVERAGEIF(Chicks!$G:$G,A735,Chicks!$M:$M),""))</f>
        <v/>
      </c>
      <c r="K735" s="6" t="str">
        <f>IF(A735="","",SUMIFS(Chicks!$N:$N,Chicks!$G:$G,A735))</f>
        <v/>
      </c>
      <c r="L735" s="6" t="str">
        <f>IF(A735="","",SUMIFS(Chicks!$O:$O,Chicks!$G:$G,A735))</f>
        <v/>
      </c>
      <c r="M735" s="6" t="str">
        <f>IF(A735="","",SUMIFS(Chicks!$P:$P,Chicks!$G:$G,A735))</f>
        <v/>
      </c>
      <c r="N735" s="6" t="str">
        <f t="shared" si="3"/>
        <v/>
      </c>
    </row>
    <row r="736" spans="6:14" ht="14.25" customHeight="1" x14ac:dyDescent="0.3">
      <c r="F736" s="6" t="str">
        <f>IF(A736="","",COUNTIF(Chicks!$G:$G,A736))</f>
        <v/>
      </c>
      <c r="G736" s="6" t="str">
        <f>IF(A736="","",COUNTIFS(Chicks!$G:$G,A736,Chicks!$I:$I,"Yes"))</f>
        <v/>
      </c>
      <c r="H736" s="6" t="str">
        <f>IF(A736="","",SUMIFS(Chicks!$J:$J,Chicks!$G:$G,A736))</f>
        <v/>
      </c>
      <c r="I736" s="6" t="str">
        <f>IF(A736="","",COUNTIFS(Chicks!$G:$G,A736,Chicks!$I:$I,"No"))</f>
        <v/>
      </c>
      <c r="J736" s="6" t="str">
        <f>IF(A736="","",IFERROR(AVERAGEIF(Chicks!$G:$G,A736,Chicks!$M:$M),""))</f>
        <v/>
      </c>
      <c r="K736" s="6" t="str">
        <f>IF(A736="","",SUMIFS(Chicks!$N:$N,Chicks!$G:$G,A736))</f>
        <v/>
      </c>
      <c r="L736" s="6" t="str">
        <f>IF(A736="","",SUMIFS(Chicks!$O:$O,Chicks!$G:$G,A736))</f>
        <v/>
      </c>
      <c r="M736" s="6" t="str">
        <f>IF(A736="","",SUMIFS(Chicks!$P:$P,Chicks!$G:$G,A736))</f>
        <v/>
      </c>
      <c r="N736" s="6" t="str">
        <f t="shared" si="3"/>
        <v/>
      </c>
    </row>
    <row r="737" spans="6:14" ht="14.25" customHeight="1" x14ac:dyDescent="0.3">
      <c r="F737" s="6" t="str">
        <f>IF(A737="","",COUNTIF(Chicks!$G:$G,A737))</f>
        <v/>
      </c>
      <c r="G737" s="6" t="str">
        <f>IF(A737="","",COUNTIFS(Chicks!$G:$G,A737,Chicks!$I:$I,"Yes"))</f>
        <v/>
      </c>
      <c r="H737" s="6" t="str">
        <f>IF(A737="","",SUMIFS(Chicks!$J:$J,Chicks!$G:$G,A737))</f>
        <v/>
      </c>
      <c r="I737" s="6" t="str">
        <f>IF(A737="","",COUNTIFS(Chicks!$G:$G,A737,Chicks!$I:$I,"No"))</f>
        <v/>
      </c>
      <c r="J737" s="6" t="str">
        <f>IF(A737="","",IFERROR(AVERAGEIF(Chicks!$G:$G,A737,Chicks!$M:$M),""))</f>
        <v/>
      </c>
      <c r="K737" s="6" t="str">
        <f>IF(A737="","",SUMIFS(Chicks!$N:$N,Chicks!$G:$G,A737))</f>
        <v/>
      </c>
      <c r="L737" s="6" t="str">
        <f>IF(A737="","",SUMIFS(Chicks!$O:$O,Chicks!$G:$G,A737))</f>
        <v/>
      </c>
      <c r="M737" s="6" t="str">
        <f>IF(A737="","",SUMIFS(Chicks!$P:$P,Chicks!$G:$G,A737))</f>
        <v/>
      </c>
      <c r="N737" s="6" t="str">
        <f t="shared" si="3"/>
        <v/>
      </c>
    </row>
    <row r="738" spans="6:14" ht="14.25" customHeight="1" x14ac:dyDescent="0.3">
      <c r="F738" s="6" t="str">
        <f>IF(A738="","",COUNTIF(Chicks!$G:$G,A738))</f>
        <v/>
      </c>
      <c r="G738" s="6" t="str">
        <f>IF(A738="","",COUNTIFS(Chicks!$G:$G,A738,Chicks!$I:$I,"Yes"))</f>
        <v/>
      </c>
      <c r="H738" s="6" t="str">
        <f>IF(A738="","",SUMIFS(Chicks!$J:$J,Chicks!$G:$G,A738))</f>
        <v/>
      </c>
      <c r="I738" s="6" t="str">
        <f>IF(A738="","",COUNTIFS(Chicks!$G:$G,A738,Chicks!$I:$I,"No"))</f>
        <v/>
      </c>
      <c r="J738" s="6" t="str">
        <f>IF(A738="","",IFERROR(AVERAGEIF(Chicks!$G:$G,A738,Chicks!$M:$M),""))</f>
        <v/>
      </c>
      <c r="K738" s="6" t="str">
        <f>IF(A738="","",SUMIFS(Chicks!$N:$N,Chicks!$G:$G,A738))</f>
        <v/>
      </c>
      <c r="L738" s="6" t="str">
        <f>IF(A738="","",SUMIFS(Chicks!$O:$O,Chicks!$G:$G,A738))</f>
        <v/>
      </c>
      <c r="M738" s="6" t="str">
        <f>IF(A738="","",SUMIFS(Chicks!$P:$P,Chicks!$G:$G,A738))</f>
        <v/>
      </c>
      <c r="N738" s="6" t="str">
        <f t="shared" si="3"/>
        <v/>
      </c>
    </row>
    <row r="739" spans="6:14" ht="14.25" customHeight="1" x14ac:dyDescent="0.3">
      <c r="F739" s="6" t="str">
        <f>IF(A739="","",COUNTIF(Chicks!$G:$G,A739))</f>
        <v/>
      </c>
      <c r="G739" s="6" t="str">
        <f>IF(A739="","",COUNTIFS(Chicks!$G:$G,A739,Chicks!$I:$I,"Yes"))</f>
        <v/>
      </c>
      <c r="H739" s="6" t="str">
        <f>IF(A739="","",SUMIFS(Chicks!$J:$J,Chicks!$G:$G,A739))</f>
        <v/>
      </c>
      <c r="I739" s="6" t="str">
        <f>IF(A739="","",COUNTIFS(Chicks!$G:$G,A739,Chicks!$I:$I,"No"))</f>
        <v/>
      </c>
      <c r="J739" s="6" t="str">
        <f>IF(A739="","",IFERROR(AVERAGEIF(Chicks!$G:$G,A739,Chicks!$M:$M),""))</f>
        <v/>
      </c>
      <c r="K739" s="6" t="str">
        <f>IF(A739="","",SUMIFS(Chicks!$N:$N,Chicks!$G:$G,A739))</f>
        <v/>
      </c>
      <c r="L739" s="6" t="str">
        <f>IF(A739="","",SUMIFS(Chicks!$O:$O,Chicks!$G:$G,A739))</f>
        <v/>
      </c>
      <c r="M739" s="6" t="str">
        <f>IF(A739="","",SUMIFS(Chicks!$P:$P,Chicks!$G:$G,A739))</f>
        <v/>
      </c>
      <c r="N739" s="6" t="str">
        <f t="shared" si="3"/>
        <v/>
      </c>
    </row>
    <row r="740" spans="6:14" ht="14.25" customHeight="1" x14ac:dyDescent="0.3">
      <c r="F740" s="6" t="str">
        <f>IF(A740="","",COUNTIF(Chicks!$G:$G,A740))</f>
        <v/>
      </c>
      <c r="G740" s="6" t="str">
        <f>IF(A740="","",COUNTIFS(Chicks!$G:$G,A740,Chicks!$I:$I,"Yes"))</f>
        <v/>
      </c>
      <c r="H740" s="6" t="str">
        <f>IF(A740="","",SUMIFS(Chicks!$J:$J,Chicks!$G:$G,A740))</f>
        <v/>
      </c>
      <c r="I740" s="6" t="str">
        <f>IF(A740="","",COUNTIFS(Chicks!$G:$G,A740,Chicks!$I:$I,"No"))</f>
        <v/>
      </c>
      <c r="J740" s="6" t="str">
        <f>IF(A740="","",IFERROR(AVERAGEIF(Chicks!$G:$G,A740,Chicks!$M:$M),""))</f>
        <v/>
      </c>
      <c r="K740" s="6" t="str">
        <f>IF(A740="","",SUMIFS(Chicks!$N:$N,Chicks!$G:$G,A740))</f>
        <v/>
      </c>
      <c r="L740" s="6" t="str">
        <f>IF(A740="","",SUMIFS(Chicks!$O:$O,Chicks!$G:$G,A740))</f>
        <v/>
      </c>
      <c r="M740" s="6" t="str">
        <f>IF(A740="","",SUMIFS(Chicks!$P:$P,Chicks!$G:$G,A740))</f>
        <v/>
      </c>
      <c r="N740" s="6" t="str">
        <f t="shared" si="3"/>
        <v/>
      </c>
    </row>
    <row r="741" spans="6:14" ht="14.25" customHeight="1" x14ac:dyDescent="0.3">
      <c r="F741" s="6" t="str">
        <f>IF(A741="","",COUNTIF(Chicks!$G:$G,A741))</f>
        <v/>
      </c>
      <c r="G741" s="6" t="str">
        <f>IF(A741="","",COUNTIFS(Chicks!$G:$G,A741,Chicks!$I:$I,"Yes"))</f>
        <v/>
      </c>
      <c r="H741" s="6" t="str">
        <f>IF(A741="","",SUMIFS(Chicks!$J:$J,Chicks!$G:$G,A741))</f>
        <v/>
      </c>
      <c r="I741" s="6" t="str">
        <f>IF(A741="","",COUNTIFS(Chicks!$G:$G,A741,Chicks!$I:$I,"No"))</f>
        <v/>
      </c>
      <c r="J741" s="6" t="str">
        <f>IF(A741="","",IFERROR(AVERAGEIF(Chicks!$G:$G,A741,Chicks!$M:$M),""))</f>
        <v/>
      </c>
      <c r="K741" s="6" t="str">
        <f>IF(A741="","",SUMIFS(Chicks!$N:$N,Chicks!$G:$G,A741))</f>
        <v/>
      </c>
      <c r="L741" s="6" t="str">
        <f>IF(A741="","",SUMIFS(Chicks!$O:$O,Chicks!$G:$G,A741))</f>
        <v/>
      </c>
      <c r="M741" s="6" t="str">
        <f>IF(A741="","",SUMIFS(Chicks!$P:$P,Chicks!$G:$G,A741))</f>
        <v/>
      </c>
      <c r="N741" s="6" t="str">
        <f t="shared" si="3"/>
        <v/>
      </c>
    </row>
    <row r="742" spans="6:14" ht="14.25" customHeight="1" x14ac:dyDescent="0.3">
      <c r="F742" s="6" t="str">
        <f>IF(A742="","",COUNTIF(Chicks!$G:$G,A742))</f>
        <v/>
      </c>
      <c r="G742" s="6" t="str">
        <f>IF(A742="","",COUNTIFS(Chicks!$G:$G,A742,Chicks!$I:$I,"Yes"))</f>
        <v/>
      </c>
      <c r="H742" s="6" t="str">
        <f>IF(A742="","",SUMIFS(Chicks!$J:$J,Chicks!$G:$G,A742))</f>
        <v/>
      </c>
      <c r="I742" s="6" t="str">
        <f>IF(A742="","",COUNTIFS(Chicks!$G:$G,A742,Chicks!$I:$I,"No"))</f>
        <v/>
      </c>
      <c r="J742" s="6" t="str">
        <f>IF(A742="","",IFERROR(AVERAGEIF(Chicks!$G:$G,A742,Chicks!$M:$M),""))</f>
        <v/>
      </c>
      <c r="K742" s="6" t="str">
        <f>IF(A742="","",SUMIFS(Chicks!$N:$N,Chicks!$G:$G,A742))</f>
        <v/>
      </c>
      <c r="L742" s="6" t="str">
        <f>IF(A742="","",SUMIFS(Chicks!$O:$O,Chicks!$G:$G,A742))</f>
        <v/>
      </c>
      <c r="M742" s="6" t="str">
        <f>IF(A742="","",SUMIFS(Chicks!$P:$P,Chicks!$G:$G,A742))</f>
        <v/>
      </c>
      <c r="N742" s="6" t="str">
        <f t="shared" si="3"/>
        <v/>
      </c>
    </row>
    <row r="743" spans="6:14" ht="14.25" customHeight="1" x14ac:dyDescent="0.3">
      <c r="F743" s="6" t="str">
        <f>IF(A743="","",COUNTIF(Chicks!$G:$G,A743))</f>
        <v/>
      </c>
      <c r="G743" s="6" t="str">
        <f>IF(A743="","",COUNTIFS(Chicks!$G:$G,A743,Chicks!$I:$I,"Yes"))</f>
        <v/>
      </c>
      <c r="H743" s="6" t="str">
        <f>IF(A743="","",SUMIFS(Chicks!$J:$J,Chicks!$G:$G,A743))</f>
        <v/>
      </c>
      <c r="I743" s="6" t="str">
        <f>IF(A743="","",COUNTIFS(Chicks!$G:$G,A743,Chicks!$I:$I,"No"))</f>
        <v/>
      </c>
      <c r="J743" s="6" t="str">
        <f>IF(A743="","",IFERROR(AVERAGEIF(Chicks!$G:$G,A743,Chicks!$M:$M),""))</f>
        <v/>
      </c>
      <c r="K743" s="6" t="str">
        <f>IF(A743="","",SUMIFS(Chicks!$N:$N,Chicks!$G:$G,A743))</f>
        <v/>
      </c>
      <c r="L743" s="6" t="str">
        <f>IF(A743="","",SUMIFS(Chicks!$O:$O,Chicks!$G:$G,A743))</f>
        <v/>
      </c>
      <c r="M743" s="6" t="str">
        <f>IF(A743="","",SUMIFS(Chicks!$P:$P,Chicks!$G:$G,A743))</f>
        <v/>
      </c>
      <c r="N743" s="6" t="str">
        <f t="shared" si="3"/>
        <v/>
      </c>
    </row>
    <row r="744" spans="6:14" ht="14.25" customHeight="1" x14ac:dyDescent="0.3">
      <c r="F744" s="6" t="str">
        <f>IF(A744="","",COUNTIF(Chicks!$G:$G,A744))</f>
        <v/>
      </c>
      <c r="G744" s="6" t="str">
        <f>IF(A744="","",COUNTIFS(Chicks!$G:$G,A744,Chicks!$I:$I,"Yes"))</f>
        <v/>
      </c>
      <c r="H744" s="6" t="str">
        <f>IF(A744="","",SUMIFS(Chicks!$J:$J,Chicks!$G:$G,A744))</f>
        <v/>
      </c>
      <c r="I744" s="6" t="str">
        <f>IF(A744="","",COUNTIFS(Chicks!$G:$G,A744,Chicks!$I:$I,"No"))</f>
        <v/>
      </c>
      <c r="J744" s="6" t="str">
        <f>IF(A744="","",IFERROR(AVERAGEIF(Chicks!$G:$G,A744,Chicks!$M:$M),""))</f>
        <v/>
      </c>
      <c r="K744" s="6" t="str">
        <f>IF(A744="","",SUMIFS(Chicks!$N:$N,Chicks!$G:$G,A744))</f>
        <v/>
      </c>
      <c r="L744" s="6" t="str">
        <f>IF(A744="","",SUMIFS(Chicks!$O:$O,Chicks!$G:$G,A744))</f>
        <v/>
      </c>
      <c r="M744" s="6" t="str">
        <f>IF(A744="","",SUMIFS(Chicks!$P:$P,Chicks!$G:$G,A744))</f>
        <v/>
      </c>
      <c r="N744" s="6" t="str">
        <f t="shared" si="3"/>
        <v/>
      </c>
    </row>
    <row r="745" spans="6:14" ht="14.25" customHeight="1" x14ac:dyDescent="0.3">
      <c r="F745" s="6" t="str">
        <f>IF(A745="","",COUNTIF(Chicks!$G:$G,A745))</f>
        <v/>
      </c>
      <c r="G745" s="6" t="str">
        <f>IF(A745="","",COUNTIFS(Chicks!$G:$G,A745,Chicks!$I:$I,"Yes"))</f>
        <v/>
      </c>
      <c r="H745" s="6" t="str">
        <f>IF(A745="","",SUMIFS(Chicks!$J:$J,Chicks!$G:$G,A745))</f>
        <v/>
      </c>
      <c r="I745" s="6" t="str">
        <f>IF(A745="","",COUNTIFS(Chicks!$G:$G,A745,Chicks!$I:$I,"No"))</f>
        <v/>
      </c>
      <c r="J745" s="6" t="str">
        <f>IF(A745="","",IFERROR(AVERAGEIF(Chicks!$G:$G,A745,Chicks!$M:$M),""))</f>
        <v/>
      </c>
      <c r="K745" s="6" t="str">
        <f>IF(A745="","",SUMIFS(Chicks!$N:$N,Chicks!$G:$G,A745))</f>
        <v/>
      </c>
      <c r="L745" s="6" t="str">
        <f>IF(A745="","",SUMIFS(Chicks!$O:$O,Chicks!$G:$G,A745))</f>
        <v/>
      </c>
      <c r="M745" s="6" t="str">
        <f>IF(A745="","",SUMIFS(Chicks!$P:$P,Chicks!$G:$G,A745))</f>
        <v/>
      </c>
      <c r="N745" s="6" t="str">
        <f t="shared" si="3"/>
        <v/>
      </c>
    </row>
    <row r="746" spans="6:14" ht="14.25" customHeight="1" x14ac:dyDescent="0.3">
      <c r="F746" s="6" t="str">
        <f>IF(A746="","",COUNTIF(Chicks!$G:$G,A746))</f>
        <v/>
      </c>
      <c r="G746" s="6" t="str">
        <f>IF(A746="","",COUNTIFS(Chicks!$G:$G,A746,Chicks!$I:$I,"Yes"))</f>
        <v/>
      </c>
      <c r="H746" s="6" t="str">
        <f>IF(A746="","",SUMIFS(Chicks!$J:$J,Chicks!$G:$G,A746))</f>
        <v/>
      </c>
      <c r="I746" s="6" t="str">
        <f>IF(A746="","",COUNTIFS(Chicks!$G:$G,A746,Chicks!$I:$I,"No"))</f>
        <v/>
      </c>
      <c r="J746" s="6" t="str">
        <f>IF(A746="","",IFERROR(AVERAGEIF(Chicks!$G:$G,A746,Chicks!$M:$M),""))</f>
        <v/>
      </c>
      <c r="K746" s="6" t="str">
        <f>IF(A746="","",SUMIFS(Chicks!$N:$N,Chicks!$G:$G,A746))</f>
        <v/>
      </c>
      <c r="L746" s="6" t="str">
        <f>IF(A746="","",SUMIFS(Chicks!$O:$O,Chicks!$G:$G,A746))</f>
        <v/>
      </c>
      <c r="M746" s="6" t="str">
        <f>IF(A746="","",SUMIFS(Chicks!$P:$P,Chicks!$G:$G,A746))</f>
        <v/>
      </c>
      <c r="N746" s="6" t="str">
        <f t="shared" si="3"/>
        <v/>
      </c>
    </row>
    <row r="747" spans="6:14" ht="14.25" customHeight="1" x14ac:dyDescent="0.3">
      <c r="F747" s="6" t="str">
        <f>IF(A747="","",COUNTIF(Chicks!$G:$G,A747))</f>
        <v/>
      </c>
      <c r="G747" s="6" t="str">
        <f>IF(A747="","",COUNTIFS(Chicks!$G:$G,A747,Chicks!$I:$I,"Yes"))</f>
        <v/>
      </c>
      <c r="H747" s="6" t="str">
        <f>IF(A747="","",SUMIFS(Chicks!$J:$J,Chicks!$G:$G,A747))</f>
        <v/>
      </c>
      <c r="I747" s="6" t="str">
        <f>IF(A747="","",COUNTIFS(Chicks!$G:$G,A747,Chicks!$I:$I,"No"))</f>
        <v/>
      </c>
      <c r="J747" s="6" t="str">
        <f>IF(A747="","",IFERROR(AVERAGEIF(Chicks!$G:$G,A747,Chicks!$M:$M),""))</f>
        <v/>
      </c>
      <c r="K747" s="6" t="str">
        <f>IF(A747="","",SUMIFS(Chicks!$N:$N,Chicks!$G:$G,A747))</f>
        <v/>
      </c>
      <c r="L747" s="6" t="str">
        <f>IF(A747="","",SUMIFS(Chicks!$O:$O,Chicks!$G:$G,A747))</f>
        <v/>
      </c>
      <c r="M747" s="6" t="str">
        <f>IF(A747="","",SUMIFS(Chicks!$P:$P,Chicks!$G:$G,A747))</f>
        <v/>
      </c>
      <c r="N747" s="6" t="str">
        <f t="shared" si="3"/>
        <v/>
      </c>
    </row>
    <row r="748" spans="6:14" ht="14.25" customHeight="1" x14ac:dyDescent="0.3">
      <c r="F748" s="6" t="str">
        <f>IF(A748="","",COUNTIF(Chicks!$G:$G,A748))</f>
        <v/>
      </c>
      <c r="G748" s="6" t="str">
        <f>IF(A748="","",COUNTIFS(Chicks!$G:$G,A748,Chicks!$I:$I,"Yes"))</f>
        <v/>
      </c>
      <c r="H748" s="6" t="str">
        <f>IF(A748="","",SUMIFS(Chicks!$J:$J,Chicks!$G:$G,A748))</f>
        <v/>
      </c>
      <c r="I748" s="6" t="str">
        <f>IF(A748="","",COUNTIFS(Chicks!$G:$G,A748,Chicks!$I:$I,"No"))</f>
        <v/>
      </c>
      <c r="J748" s="6" t="str">
        <f>IF(A748="","",IFERROR(AVERAGEIF(Chicks!$G:$G,A748,Chicks!$M:$M),""))</f>
        <v/>
      </c>
      <c r="K748" s="6" t="str">
        <f>IF(A748="","",SUMIFS(Chicks!$N:$N,Chicks!$G:$G,A748))</f>
        <v/>
      </c>
      <c r="L748" s="6" t="str">
        <f>IF(A748="","",SUMIFS(Chicks!$O:$O,Chicks!$G:$G,A748))</f>
        <v/>
      </c>
      <c r="M748" s="6" t="str">
        <f>IF(A748="","",SUMIFS(Chicks!$P:$P,Chicks!$G:$G,A748))</f>
        <v/>
      </c>
      <c r="N748" s="6" t="str">
        <f t="shared" si="3"/>
        <v/>
      </c>
    </row>
    <row r="749" spans="6:14" ht="14.25" customHeight="1" x14ac:dyDescent="0.3">
      <c r="F749" s="6" t="str">
        <f>IF(A749="","",COUNTIF(Chicks!$G:$G,A749))</f>
        <v/>
      </c>
      <c r="G749" s="6" t="str">
        <f>IF(A749="","",COUNTIFS(Chicks!$G:$G,A749,Chicks!$I:$I,"Yes"))</f>
        <v/>
      </c>
      <c r="H749" s="6" t="str">
        <f>IF(A749="","",SUMIFS(Chicks!$J:$J,Chicks!$G:$G,A749))</f>
        <v/>
      </c>
      <c r="I749" s="6" t="str">
        <f>IF(A749="","",COUNTIFS(Chicks!$G:$G,A749,Chicks!$I:$I,"No"))</f>
        <v/>
      </c>
      <c r="J749" s="6" t="str">
        <f>IF(A749="","",IFERROR(AVERAGEIF(Chicks!$G:$G,A749,Chicks!$M:$M),""))</f>
        <v/>
      </c>
      <c r="K749" s="6" t="str">
        <f>IF(A749="","",SUMIFS(Chicks!$N:$N,Chicks!$G:$G,A749))</f>
        <v/>
      </c>
      <c r="L749" s="6" t="str">
        <f>IF(A749="","",SUMIFS(Chicks!$O:$O,Chicks!$G:$G,A749))</f>
        <v/>
      </c>
      <c r="M749" s="6" t="str">
        <f>IF(A749="","",SUMIFS(Chicks!$P:$P,Chicks!$G:$G,A749))</f>
        <v/>
      </c>
      <c r="N749" s="6" t="str">
        <f t="shared" si="3"/>
        <v/>
      </c>
    </row>
    <row r="750" spans="6:14" ht="14.25" customHeight="1" x14ac:dyDescent="0.3">
      <c r="F750" s="6" t="str">
        <f>IF(A750="","",COUNTIF(Chicks!$G:$G,A750))</f>
        <v/>
      </c>
      <c r="G750" s="6" t="str">
        <f>IF(A750="","",COUNTIFS(Chicks!$G:$G,A750,Chicks!$I:$I,"Yes"))</f>
        <v/>
      </c>
      <c r="H750" s="6" t="str">
        <f>IF(A750="","",SUMIFS(Chicks!$J:$J,Chicks!$G:$G,A750))</f>
        <v/>
      </c>
      <c r="I750" s="6" t="str">
        <f>IF(A750="","",COUNTIFS(Chicks!$G:$G,A750,Chicks!$I:$I,"No"))</f>
        <v/>
      </c>
      <c r="J750" s="6" t="str">
        <f>IF(A750="","",IFERROR(AVERAGEIF(Chicks!$G:$G,A750,Chicks!$M:$M),""))</f>
        <v/>
      </c>
      <c r="K750" s="6" t="str">
        <f>IF(A750="","",SUMIFS(Chicks!$N:$N,Chicks!$G:$G,A750))</f>
        <v/>
      </c>
      <c r="L750" s="6" t="str">
        <f>IF(A750="","",SUMIFS(Chicks!$O:$O,Chicks!$G:$G,A750))</f>
        <v/>
      </c>
      <c r="M750" s="6" t="str">
        <f>IF(A750="","",SUMIFS(Chicks!$P:$P,Chicks!$G:$G,A750))</f>
        <v/>
      </c>
      <c r="N750" s="6" t="str">
        <f t="shared" si="3"/>
        <v/>
      </c>
    </row>
    <row r="751" spans="6:14" ht="14.25" customHeight="1" x14ac:dyDescent="0.3">
      <c r="F751" s="6" t="str">
        <f>IF(A751="","",COUNTIF(Chicks!$G:$G,A751))</f>
        <v/>
      </c>
      <c r="G751" s="6" t="str">
        <f>IF(A751="","",COUNTIFS(Chicks!$G:$G,A751,Chicks!$I:$I,"Yes"))</f>
        <v/>
      </c>
      <c r="H751" s="6" t="str">
        <f>IF(A751="","",SUMIFS(Chicks!$J:$J,Chicks!$G:$G,A751))</f>
        <v/>
      </c>
      <c r="I751" s="6" t="str">
        <f>IF(A751="","",COUNTIFS(Chicks!$G:$G,A751,Chicks!$I:$I,"No"))</f>
        <v/>
      </c>
      <c r="J751" s="6" t="str">
        <f>IF(A751="","",IFERROR(AVERAGEIF(Chicks!$G:$G,A751,Chicks!$M:$M),""))</f>
        <v/>
      </c>
      <c r="K751" s="6" t="str">
        <f>IF(A751="","",SUMIFS(Chicks!$N:$N,Chicks!$G:$G,A751))</f>
        <v/>
      </c>
      <c r="L751" s="6" t="str">
        <f>IF(A751="","",SUMIFS(Chicks!$O:$O,Chicks!$G:$G,A751))</f>
        <v/>
      </c>
      <c r="M751" s="6" t="str">
        <f>IF(A751="","",SUMIFS(Chicks!$P:$P,Chicks!$G:$G,A751))</f>
        <v/>
      </c>
      <c r="N751" s="6" t="str">
        <f t="shared" si="3"/>
        <v/>
      </c>
    </row>
    <row r="752" spans="6:14" ht="14.25" customHeight="1" x14ac:dyDescent="0.3">
      <c r="F752" s="6" t="str">
        <f>IF(A752="","",COUNTIF(Chicks!$G:$G,A752))</f>
        <v/>
      </c>
      <c r="G752" s="6" t="str">
        <f>IF(A752="","",COUNTIFS(Chicks!$G:$G,A752,Chicks!$I:$I,"Yes"))</f>
        <v/>
      </c>
      <c r="H752" s="6" t="str">
        <f>IF(A752="","",SUMIFS(Chicks!$J:$J,Chicks!$G:$G,A752))</f>
        <v/>
      </c>
      <c r="I752" s="6" t="str">
        <f>IF(A752="","",COUNTIFS(Chicks!$G:$G,A752,Chicks!$I:$I,"No"))</f>
        <v/>
      </c>
      <c r="J752" s="6" t="str">
        <f>IF(A752="","",IFERROR(AVERAGEIF(Chicks!$G:$G,A752,Chicks!$M:$M),""))</f>
        <v/>
      </c>
      <c r="K752" s="6" t="str">
        <f>IF(A752="","",SUMIFS(Chicks!$N:$N,Chicks!$G:$G,A752))</f>
        <v/>
      </c>
      <c r="L752" s="6" t="str">
        <f>IF(A752="","",SUMIFS(Chicks!$O:$O,Chicks!$G:$G,A752))</f>
        <v/>
      </c>
      <c r="M752" s="6" t="str">
        <f>IF(A752="","",SUMIFS(Chicks!$P:$P,Chicks!$G:$G,A752))</f>
        <v/>
      </c>
      <c r="N752" s="6" t="str">
        <f t="shared" si="3"/>
        <v/>
      </c>
    </row>
    <row r="753" spans="6:14" ht="14.25" customHeight="1" x14ac:dyDescent="0.3">
      <c r="F753" s="6" t="str">
        <f>IF(A753="","",COUNTIF(Chicks!$G:$G,A753))</f>
        <v/>
      </c>
      <c r="G753" s="6" t="str">
        <f>IF(A753="","",COUNTIFS(Chicks!$G:$G,A753,Chicks!$I:$I,"Yes"))</f>
        <v/>
      </c>
      <c r="H753" s="6" t="str">
        <f>IF(A753="","",SUMIFS(Chicks!$J:$J,Chicks!$G:$G,A753))</f>
        <v/>
      </c>
      <c r="I753" s="6" t="str">
        <f>IF(A753="","",COUNTIFS(Chicks!$G:$G,A753,Chicks!$I:$I,"No"))</f>
        <v/>
      </c>
      <c r="J753" s="6" t="str">
        <f>IF(A753="","",IFERROR(AVERAGEIF(Chicks!$G:$G,A753,Chicks!$M:$M),""))</f>
        <v/>
      </c>
      <c r="K753" s="6" t="str">
        <f>IF(A753="","",SUMIFS(Chicks!$N:$N,Chicks!$G:$G,A753))</f>
        <v/>
      </c>
      <c r="L753" s="6" t="str">
        <f>IF(A753="","",SUMIFS(Chicks!$O:$O,Chicks!$G:$G,A753))</f>
        <v/>
      </c>
      <c r="M753" s="6" t="str">
        <f>IF(A753="","",SUMIFS(Chicks!$P:$P,Chicks!$G:$G,A753))</f>
        <v/>
      </c>
      <c r="N753" s="6" t="str">
        <f t="shared" si="3"/>
        <v/>
      </c>
    </row>
    <row r="754" spans="6:14" ht="14.25" customHeight="1" x14ac:dyDescent="0.3">
      <c r="F754" s="6" t="str">
        <f>IF(A754="","",COUNTIF(Chicks!$G:$G,A754))</f>
        <v/>
      </c>
      <c r="G754" s="6" t="str">
        <f>IF(A754="","",COUNTIFS(Chicks!$G:$G,A754,Chicks!$I:$I,"Yes"))</f>
        <v/>
      </c>
      <c r="H754" s="6" t="str">
        <f>IF(A754="","",SUMIFS(Chicks!$J:$J,Chicks!$G:$G,A754))</f>
        <v/>
      </c>
      <c r="I754" s="6" t="str">
        <f>IF(A754="","",COUNTIFS(Chicks!$G:$G,A754,Chicks!$I:$I,"No"))</f>
        <v/>
      </c>
      <c r="J754" s="6" t="str">
        <f>IF(A754="","",IFERROR(AVERAGEIF(Chicks!$G:$G,A754,Chicks!$M:$M),""))</f>
        <v/>
      </c>
      <c r="K754" s="6" t="str">
        <f>IF(A754="","",SUMIFS(Chicks!$N:$N,Chicks!$G:$G,A754))</f>
        <v/>
      </c>
      <c r="L754" s="6" t="str">
        <f>IF(A754="","",SUMIFS(Chicks!$O:$O,Chicks!$G:$G,A754))</f>
        <v/>
      </c>
      <c r="M754" s="6" t="str">
        <f>IF(A754="","",SUMIFS(Chicks!$P:$P,Chicks!$G:$G,A754))</f>
        <v/>
      </c>
      <c r="N754" s="6" t="str">
        <f t="shared" si="3"/>
        <v/>
      </c>
    </row>
    <row r="755" spans="6:14" ht="14.25" customHeight="1" x14ac:dyDescent="0.3">
      <c r="F755" s="6" t="str">
        <f>IF(A755="","",COUNTIF(Chicks!$G:$G,A755))</f>
        <v/>
      </c>
      <c r="G755" s="6" t="str">
        <f>IF(A755="","",COUNTIFS(Chicks!$G:$G,A755,Chicks!$I:$I,"Yes"))</f>
        <v/>
      </c>
      <c r="H755" s="6" t="str">
        <f>IF(A755="","",SUMIFS(Chicks!$J:$J,Chicks!$G:$G,A755))</f>
        <v/>
      </c>
      <c r="I755" s="6" t="str">
        <f>IF(A755="","",COUNTIFS(Chicks!$G:$G,A755,Chicks!$I:$I,"No"))</f>
        <v/>
      </c>
      <c r="J755" s="6" t="str">
        <f>IF(A755="","",IFERROR(AVERAGEIF(Chicks!$G:$G,A755,Chicks!$M:$M),""))</f>
        <v/>
      </c>
      <c r="K755" s="6" t="str">
        <f>IF(A755="","",SUMIFS(Chicks!$N:$N,Chicks!$G:$G,A755))</f>
        <v/>
      </c>
      <c r="L755" s="6" t="str">
        <f>IF(A755="","",SUMIFS(Chicks!$O:$O,Chicks!$G:$G,A755))</f>
        <v/>
      </c>
      <c r="M755" s="6" t="str">
        <f>IF(A755="","",SUMIFS(Chicks!$P:$P,Chicks!$G:$G,A755))</f>
        <v/>
      </c>
      <c r="N755" s="6" t="str">
        <f t="shared" si="3"/>
        <v/>
      </c>
    </row>
    <row r="756" spans="6:14" ht="14.25" customHeight="1" x14ac:dyDescent="0.3">
      <c r="F756" s="6" t="str">
        <f>IF(A756="","",COUNTIF(Chicks!$G:$G,A756))</f>
        <v/>
      </c>
      <c r="G756" s="6" t="str">
        <f>IF(A756="","",COUNTIFS(Chicks!$G:$G,A756,Chicks!$I:$I,"Yes"))</f>
        <v/>
      </c>
      <c r="H756" s="6" t="str">
        <f>IF(A756="","",SUMIFS(Chicks!$J:$J,Chicks!$G:$G,A756))</f>
        <v/>
      </c>
      <c r="I756" s="6" t="str">
        <f>IF(A756="","",COUNTIFS(Chicks!$G:$G,A756,Chicks!$I:$I,"No"))</f>
        <v/>
      </c>
      <c r="J756" s="6" t="str">
        <f>IF(A756="","",IFERROR(AVERAGEIF(Chicks!$G:$G,A756,Chicks!$M:$M),""))</f>
        <v/>
      </c>
      <c r="K756" s="6" t="str">
        <f>IF(A756="","",SUMIFS(Chicks!$N:$N,Chicks!$G:$G,A756))</f>
        <v/>
      </c>
      <c r="L756" s="6" t="str">
        <f>IF(A756="","",SUMIFS(Chicks!$O:$O,Chicks!$G:$G,A756))</f>
        <v/>
      </c>
      <c r="M756" s="6" t="str">
        <f>IF(A756="","",SUMIFS(Chicks!$P:$P,Chicks!$G:$G,A756))</f>
        <v/>
      </c>
      <c r="N756" s="6" t="str">
        <f t="shared" si="3"/>
        <v/>
      </c>
    </row>
    <row r="757" spans="6:14" ht="14.25" customHeight="1" x14ac:dyDescent="0.3">
      <c r="F757" s="6" t="str">
        <f>IF(A757="","",COUNTIF(Chicks!$G:$G,A757))</f>
        <v/>
      </c>
      <c r="G757" s="6" t="str">
        <f>IF(A757="","",COUNTIFS(Chicks!$G:$G,A757,Chicks!$I:$I,"Yes"))</f>
        <v/>
      </c>
      <c r="H757" s="6" t="str">
        <f>IF(A757="","",SUMIFS(Chicks!$J:$J,Chicks!$G:$G,A757))</f>
        <v/>
      </c>
      <c r="I757" s="6" t="str">
        <f>IF(A757="","",COUNTIFS(Chicks!$G:$G,A757,Chicks!$I:$I,"No"))</f>
        <v/>
      </c>
      <c r="J757" s="6" t="str">
        <f>IF(A757="","",IFERROR(AVERAGEIF(Chicks!$G:$G,A757,Chicks!$M:$M),""))</f>
        <v/>
      </c>
      <c r="K757" s="6" t="str">
        <f>IF(A757="","",SUMIFS(Chicks!$N:$N,Chicks!$G:$G,A757))</f>
        <v/>
      </c>
      <c r="L757" s="6" t="str">
        <f>IF(A757="","",SUMIFS(Chicks!$O:$O,Chicks!$G:$G,A757))</f>
        <v/>
      </c>
      <c r="M757" s="6" t="str">
        <f>IF(A757="","",SUMIFS(Chicks!$P:$P,Chicks!$G:$G,A757))</f>
        <v/>
      </c>
      <c r="N757" s="6" t="str">
        <f t="shared" si="3"/>
        <v/>
      </c>
    </row>
    <row r="758" spans="6:14" ht="14.25" customHeight="1" x14ac:dyDescent="0.3">
      <c r="F758" s="6" t="str">
        <f>IF(A758="","",COUNTIF(Chicks!$G:$G,A758))</f>
        <v/>
      </c>
      <c r="G758" s="6" t="str">
        <f>IF(A758="","",COUNTIFS(Chicks!$G:$G,A758,Chicks!$I:$I,"Yes"))</f>
        <v/>
      </c>
      <c r="H758" s="6" t="str">
        <f>IF(A758="","",SUMIFS(Chicks!$J:$J,Chicks!$G:$G,A758))</f>
        <v/>
      </c>
      <c r="I758" s="6" t="str">
        <f>IF(A758="","",COUNTIFS(Chicks!$G:$G,A758,Chicks!$I:$I,"No"))</f>
        <v/>
      </c>
      <c r="J758" s="6" t="str">
        <f>IF(A758="","",IFERROR(AVERAGEIF(Chicks!$G:$G,A758,Chicks!$M:$M),""))</f>
        <v/>
      </c>
      <c r="K758" s="6" t="str">
        <f>IF(A758="","",SUMIFS(Chicks!$N:$N,Chicks!$G:$G,A758))</f>
        <v/>
      </c>
      <c r="L758" s="6" t="str">
        <f>IF(A758="","",SUMIFS(Chicks!$O:$O,Chicks!$G:$G,A758))</f>
        <v/>
      </c>
      <c r="M758" s="6" t="str">
        <f>IF(A758="","",SUMIFS(Chicks!$P:$P,Chicks!$G:$G,A758))</f>
        <v/>
      </c>
      <c r="N758" s="6" t="str">
        <f t="shared" si="3"/>
        <v/>
      </c>
    </row>
    <row r="759" spans="6:14" ht="14.25" customHeight="1" x14ac:dyDescent="0.3">
      <c r="F759" s="6" t="str">
        <f>IF(A759="","",COUNTIF(Chicks!$G:$G,A759))</f>
        <v/>
      </c>
      <c r="G759" s="6" t="str">
        <f>IF(A759="","",COUNTIFS(Chicks!$G:$G,A759,Chicks!$I:$I,"Yes"))</f>
        <v/>
      </c>
      <c r="H759" s="6" t="str">
        <f>IF(A759="","",SUMIFS(Chicks!$J:$J,Chicks!$G:$G,A759))</f>
        <v/>
      </c>
      <c r="I759" s="6" t="str">
        <f>IF(A759="","",COUNTIFS(Chicks!$G:$G,A759,Chicks!$I:$I,"No"))</f>
        <v/>
      </c>
      <c r="J759" s="6" t="str">
        <f>IF(A759="","",IFERROR(AVERAGEIF(Chicks!$G:$G,A759,Chicks!$M:$M),""))</f>
        <v/>
      </c>
      <c r="K759" s="6" t="str">
        <f>IF(A759="","",SUMIFS(Chicks!$N:$N,Chicks!$G:$G,A759))</f>
        <v/>
      </c>
      <c r="L759" s="6" t="str">
        <f>IF(A759="","",SUMIFS(Chicks!$O:$O,Chicks!$G:$G,A759))</f>
        <v/>
      </c>
      <c r="M759" s="6" t="str">
        <f>IF(A759="","",SUMIFS(Chicks!$P:$P,Chicks!$G:$G,A759))</f>
        <v/>
      </c>
      <c r="N759" s="6" t="str">
        <f t="shared" si="3"/>
        <v/>
      </c>
    </row>
    <row r="760" spans="6:14" ht="14.25" customHeight="1" x14ac:dyDescent="0.3">
      <c r="F760" s="6" t="str">
        <f>IF(A760="","",COUNTIF(Chicks!$G:$G,A760))</f>
        <v/>
      </c>
      <c r="G760" s="6" t="str">
        <f>IF(A760="","",COUNTIFS(Chicks!$G:$G,A760,Chicks!$I:$I,"Yes"))</f>
        <v/>
      </c>
      <c r="H760" s="6" t="str">
        <f>IF(A760="","",SUMIFS(Chicks!$J:$J,Chicks!$G:$G,A760))</f>
        <v/>
      </c>
      <c r="I760" s="6" t="str">
        <f>IF(A760="","",COUNTIFS(Chicks!$G:$G,A760,Chicks!$I:$I,"No"))</f>
        <v/>
      </c>
      <c r="J760" s="6" t="str">
        <f>IF(A760="","",IFERROR(AVERAGEIF(Chicks!$G:$G,A760,Chicks!$M:$M),""))</f>
        <v/>
      </c>
      <c r="K760" s="6" t="str">
        <f>IF(A760="","",SUMIFS(Chicks!$N:$N,Chicks!$G:$G,A760))</f>
        <v/>
      </c>
      <c r="L760" s="6" t="str">
        <f>IF(A760="","",SUMIFS(Chicks!$O:$O,Chicks!$G:$G,A760))</f>
        <v/>
      </c>
      <c r="M760" s="6" t="str">
        <f>IF(A760="","",SUMIFS(Chicks!$P:$P,Chicks!$G:$G,A760))</f>
        <v/>
      </c>
      <c r="N760" s="6" t="str">
        <f t="shared" si="3"/>
        <v/>
      </c>
    </row>
    <row r="761" spans="6:14" ht="14.25" customHeight="1" x14ac:dyDescent="0.3">
      <c r="F761" s="6" t="str">
        <f>IF(A761="","",COUNTIF(Chicks!$G:$G,A761))</f>
        <v/>
      </c>
      <c r="G761" s="6" t="str">
        <f>IF(A761="","",COUNTIFS(Chicks!$G:$G,A761,Chicks!$I:$I,"Yes"))</f>
        <v/>
      </c>
      <c r="H761" s="6" t="str">
        <f>IF(A761="","",SUMIFS(Chicks!$J:$J,Chicks!$G:$G,A761))</f>
        <v/>
      </c>
      <c r="I761" s="6" t="str">
        <f>IF(A761="","",COUNTIFS(Chicks!$G:$G,A761,Chicks!$I:$I,"No"))</f>
        <v/>
      </c>
      <c r="J761" s="6" t="str">
        <f>IF(A761="","",IFERROR(AVERAGEIF(Chicks!$G:$G,A761,Chicks!$M:$M),""))</f>
        <v/>
      </c>
      <c r="K761" s="6" t="str">
        <f>IF(A761="","",SUMIFS(Chicks!$N:$N,Chicks!$G:$G,A761))</f>
        <v/>
      </c>
      <c r="L761" s="6" t="str">
        <f>IF(A761="","",SUMIFS(Chicks!$O:$O,Chicks!$G:$G,A761))</f>
        <v/>
      </c>
      <c r="M761" s="6" t="str">
        <f>IF(A761="","",SUMIFS(Chicks!$P:$P,Chicks!$G:$G,A761))</f>
        <v/>
      </c>
      <c r="N761" s="6" t="str">
        <f t="shared" si="3"/>
        <v/>
      </c>
    </row>
    <row r="762" spans="6:14" ht="14.25" customHeight="1" x14ac:dyDescent="0.3">
      <c r="F762" s="6" t="str">
        <f>IF(A762="","",COUNTIF(Chicks!$G:$G,A762))</f>
        <v/>
      </c>
      <c r="G762" s="6" t="str">
        <f>IF(A762="","",COUNTIFS(Chicks!$G:$G,A762,Chicks!$I:$I,"Yes"))</f>
        <v/>
      </c>
      <c r="H762" s="6" t="str">
        <f>IF(A762="","",SUMIFS(Chicks!$J:$J,Chicks!$G:$G,A762))</f>
        <v/>
      </c>
      <c r="I762" s="6" t="str">
        <f>IF(A762="","",COUNTIFS(Chicks!$G:$G,A762,Chicks!$I:$I,"No"))</f>
        <v/>
      </c>
      <c r="J762" s="6" t="str">
        <f>IF(A762="","",IFERROR(AVERAGEIF(Chicks!$G:$G,A762,Chicks!$M:$M),""))</f>
        <v/>
      </c>
      <c r="K762" s="6" t="str">
        <f>IF(A762="","",SUMIFS(Chicks!$N:$N,Chicks!$G:$G,A762))</f>
        <v/>
      </c>
      <c r="L762" s="6" t="str">
        <f>IF(A762="","",SUMIFS(Chicks!$O:$O,Chicks!$G:$G,A762))</f>
        <v/>
      </c>
      <c r="M762" s="6" t="str">
        <f>IF(A762="","",SUMIFS(Chicks!$P:$P,Chicks!$G:$G,A762))</f>
        <v/>
      </c>
      <c r="N762" s="6" t="str">
        <f t="shared" si="3"/>
        <v/>
      </c>
    </row>
    <row r="763" spans="6:14" ht="14.25" customHeight="1" x14ac:dyDescent="0.3">
      <c r="F763" s="6" t="str">
        <f>IF(A763="","",COUNTIF(Chicks!$G:$G,A763))</f>
        <v/>
      </c>
      <c r="G763" s="6" t="str">
        <f>IF(A763="","",COUNTIFS(Chicks!$G:$G,A763,Chicks!$I:$I,"Yes"))</f>
        <v/>
      </c>
      <c r="H763" s="6" t="str">
        <f>IF(A763="","",SUMIFS(Chicks!$J:$J,Chicks!$G:$G,A763))</f>
        <v/>
      </c>
      <c r="I763" s="6" t="str">
        <f>IF(A763="","",COUNTIFS(Chicks!$G:$G,A763,Chicks!$I:$I,"No"))</f>
        <v/>
      </c>
      <c r="J763" s="6" t="str">
        <f>IF(A763="","",IFERROR(AVERAGEIF(Chicks!$G:$G,A763,Chicks!$M:$M),""))</f>
        <v/>
      </c>
      <c r="K763" s="6" t="str">
        <f>IF(A763="","",SUMIFS(Chicks!$N:$N,Chicks!$G:$G,A763))</f>
        <v/>
      </c>
      <c r="L763" s="6" t="str">
        <f>IF(A763="","",SUMIFS(Chicks!$O:$O,Chicks!$G:$G,A763))</f>
        <v/>
      </c>
      <c r="M763" s="6" t="str">
        <f>IF(A763="","",SUMIFS(Chicks!$P:$P,Chicks!$G:$G,A763))</f>
        <v/>
      </c>
      <c r="N763" s="6" t="str">
        <f t="shared" si="3"/>
        <v/>
      </c>
    </row>
    <row r="764" spans="6:14" ht="14.25" customHeight="1" x14ac:dyDescent="0.3">
      <c r="F764" s="6" t="str">
        <f>IF(A764="","",COUNTIF(Chicks!$G:$G,A764))</f>
        <v/>
      </c>
      <c r="G764" s="6" t="str">
        <f>IF(A764="","",COUNTIFS(Chicks!$G:$G,A764,Chicks!$I:$I,"Yes"))</f>
        <v/>
      </c>
      <c r="H764" s="6" t="str">
        <f>IF(A764="","",SUMIFS(Chicks!$J:$J,Chicks!$G:$G,A764))</f>
        <v/>
      </c>
      <c r="I764" s="6" t="str">
        <f>IF(A764="","",COUNTIFS(Chicks!$G:$G,A764,Chicks!$I:$I,"No"))</f>
        <v/>
      </c>
      <c r="J764" s="6" t="str">
        <f>IF(A764="","",IFERROR(AVERAGEIF(Chicks!$G:$G,A764,Chicks!$M:$M),""))</f>
        <v/>
      </c>
      <c r="K764" s="6" t="str">
        <f>IF(A764="","",SUMIFS(Chicks!$N:$N,Chicks!$G:$G,A764))</f>
        <v/>
      </c>
      <c r="L764" s="6" t="str">
        <f>IF(A764="","",SUMIFS(Chicks!$O:$O,Chicks!$G:$G,A764))</f>
        <v/>
      </c>
      <c r="M764" s="6" t="str">
        <f>IF(A764="","",SUMIFS(Chicks!$P:$P,Chicks!$G:$G,A764))</f>
        <v/>
      </c>
      <c r="N764" s="6" t="str">
        <f t="shared" si="3"/>
        <v/>
      </c>
    </row>
    <row r="765" spans="6:14" ht="14.25" customHeight="1" x14ac:dyDescent="0.3">
      <c r="F765" s="6" t="str">
        <f>IF(A765="","",COUNTIF(Chicks!$G:$G,A765))</f>
        <v/>
      </c>
      <c r="G765" s="6" t="str">
        <f>IF(A765="","",COUNTIFS(Chicks!$G:$G,A765,Chicks!$I:$I,"Yes"))</f>
        <v/>
      </c>
      <c r="H765" s="6" t="str">
        <f>IF(A765="","",SUMIFS(Chicks!$J:$J,Chicks!$G:$G,A765))</f>
        <v/>
      </c>
      <c r="I765" s="6" t="str">
        <f>IF(A765="","",COUNTIFS(Chicks!$G:$G,A765,Chicks!$I:$I,"No"))</f>
        <v/>
      </c>
      <c r="J765" s="6" t="str">
        <f>IF(A765="","",IFERROR(AVERAGEIF(Chicks!$G:$G,A765,Chicks!$M:$M),""))</f>
        <v/>
      </c>
      <c r="K765" s="6" t="str">
        <f>IF(A765="","",SUMIFS(Chicks!$N:$N,Chicks!$G:$G,A765))</f>
        <v/>
      </c>
      <c r="L765" s="6" t="str">
        <f>IF(A765="","",SUMIFS(Chicks!$O:$O,Chicks!$G:$G,A765))</f>
        <v/>
      </c>
      <c r="M765" s="6" t="str">
        <f>IF(A765="","",SUMIFS(Chicks!$P:$P,Chicks!$G:$G,A765))</f>
        <v/>
      </c>
      <c r="N765" s="6" t="str">
        <f t="shared" si="3"/>
        <v/>
      </c>
    </row>
    <row r="766" spans="6:14" ht="14.25" customHeight="1" x14ac:dyDescent="0.3">
      <c r="F766" s="6" t="str">
        <f>IF(A766="","",COUNTIF(Chicks!$G:$G,A766))</f>
        <v/>
      </c>
      <c r="G766" s="6" t="str">
        <f>IF(A766="","",COUNTIFS(Chicks!$G:$G,A766,Chicks!$I:$I,"Yes"))</f>
        <v/>
      </c>
      <c r="H766" s="6" t="str">
        <f>IF(A766="","",SUMIFS(Chicks!$J:$J,Chicks!$G:$G,A766))</f>
        <v/>
      </c>
      <c r="I766" s="6" t="str">
        <f>IF(A766="","",COUNTIFS(Chicks!$G:$G,A766,Chicks!$I:$I,"No"))</f>
        <v/>
      </c>
      <c r="J766" s="6" t="str">
        <f>IF(A766="","",IFERROR(AVERAGEIF(Chicks!$G:$G,A766,Chicks!$M:$M),""))</f>
        <v/>
      </c>
      <c r="K766" s="6" t="str">
        <f>IF(A766="","",SUMIFS(Chicks!$N:$N,Chicks!$G:$G,A766))</f>
        <v/>
      </c>
      <c r="L766" s="6" t="str">
        <f>IF(A766="","",SUMIFS(Chicks!$O:$O,Chicks!$G:$G,A766))</f>
        <v/>
      </c>
      <c r="M766" s="6" t="str">
        <f>IF(A766="","",SUMIFS(Chicks!$P:$P,Chicks!$G:$G,A766))</f>
        <v/>
      </c>
      <c r="N766" s="6" t="str">
        <f t="shared" si="3"/>
        <v/>
      </c>
    </row>
    <row r="767" spans="6:14" ht="14.25" customHeight="1" x14ac:dyDescent="0.3">
      <c r="F767" s="6" t="str">
        <f>IF(A767="","",COUNTIF(Chicks!$G:$G,A767))</f>
        <v/>
      </c>
      <c r="G767" s="6" t="str">
        <f>IF(A767="","",COUNTIFS(Chicks!$G:$G,A767,Chicks!$I:$I,"Yes"))</f>
        <v/>
      </c>
      <c r="H767" s="6" t="str">
        <f>IF(A767="","",SUMIFS(Chicks!$J:$J,Chicks!$G:$G,A767))</f>
        <v/>
      </c>
      <c r="I767" s="6" t="str">
        <f>IF(A767="","",COUNTIFS(Chicks!$G:$G,A767,Chicks!$I:$I,"No"))</f>
        <v/>
      </c>
      <c r="J767" s="6" t="str">
        <f>IF(A767="","",IFERROR(AVERAGEIF(Chicks!$G:$G,A767,Chicks!$M:$M),""))</f>
        <v/>
      </c>
      <c r="K767" s="6" t="str">
        <f>IF(A767="","",SUMIFS(Chicks!$N:$N,Chicks!$G:$G,A767))</f>
        <v/>
      </c>
      <c r="L767" s="6" t="str">
        <f>IF(A767="","",SUMIFS(Chicks!$O:$O,Chicks!$G:$G,A767))</f>
        <v/>
      </c>
      <c r="M767" s="6" t="str">
        <f>IF(A767="","",SUMIFS(Chicks!$P:$P,Chicks!$G:$G,A767))</f>
        <v/>
      </c>
      <c r="N767" s="6" t="str">
        <f t="shared" ref="N767:N998" si="4">IF($J767="","",RANK($J767,$J$2:$J$998,0))</f>
        <v/>
      </c>
    </row>
    <row r="768" spans="6:14" ht="14.25" customHeight="1" x14ac:dyDescent="0.3">
      <c r="F768" s="6" t="str">
        <f>IF(A768="","",COUNTIF(Chicks!$G:$G,A768))</f>
        <v/>
      </c>
      <c r="G768" s="6" t="str">
        <f>IF(A768="","",COUNTIFS(Chicks!$G:$G,A768,Chicks!$I:$I,"Yes"))</f>
        <v/>
      </c>
      <c r="H768" s="6" t="str">
        <f>IF(A768="","",SUMIFS(Chicks!$J:$J,Chicks!$G:$G,A768))</f>
        <v/>
      </c>
      <c r="I768" s="6" t="str">
        <f>IF(A768="","",COUNTIFS(Chicks!$G:$G,A768,Chicks!$I:$I,"No"))</f>
        <v/>
      </c>
      <c r="J768" s="6" t="str">
        <f>IF(A768="","",IFERROR(AVERAGEIF(Chicks!$G:$G,A768,Chicks!$M:$M),""))</f>
        <v/>
      </c>
      <c r="K768" s="6" t="str">
        <f>IF(A768="","",SUMIFS(Chicks!$N:$N,Chicks!$G:$G,A768))</f>
        <v/>
      </c>
      <c r="L768" s="6" t="str">
        <f>IF(A768="","",SUMIFS(Chicks!$O:$O,Chicks!$G:$G,A768))</f>
        <v/>
      </c>
      <c r="M768" s="6" t="str">
        <f>IF(A768="","",SUMIFS(Chicks!$P:$P,Chicks!$G:$G,A768))</f>
        <v/>
      </c>
      <c r="N768" s="6" t="str">
        <f t="shared" si="4"/>
        <v/>
      </c>
    </row>
    <row r="769" spans="6:14" ht="14.25" customHeight="1" x14ac:dyDescent="0.3">
      <c r="F769" s="6" t="str">
        <f>IF(A769="","",COUNTIF(Chicks!$G:$G,A769))</f>
        <v/>
      </c>
      <c r="G769" s="6" t="str">
        <f>IF(A769="","",COUNTIFS(Chicks!$G:$G,A769,Chicks!$I:$I,"Yes"))</f>
        <v/>
      </c>
      <c r="H769" s="6" t="str">
        <f>IF(A769="","",SUMIFS(Chicks!$J:$J,Chicks!$G:$G,A769))</f>
        <v/>
      </c>
      <c r="I769" s="6" t="str">
        <f>IF(A769="","",COUNTIFS(Chicks!$G:$G,A769,Chicks!$I:$I,"No"))</f>
        <v/>
      </c>
      <c r="J769" s="6" t="str">
        <f>IF(A769="","",IFERROR(AVERAGEIF(Chicks!$G:$G,A769,Chicks!$M:$M),""))</f>
        <v/>
      </c>
      <c r="K769" s="6" t="str">
        <f>IF(A769="","",SUMIFS(Chicks!$N:$N,Chicks!$G:$G,A769))</f>
        <v/>
      </c>
      <c r="L769" s="6" t="str">
        <f>IF(A769="","",SUMIFS(Chicks!$O:$O,Chicks!$G:$G,A769))</f>
        <v/>
      </c>
      <c r="M769" s="6" t="str">
        <f>IF(A769="","",SUMIFS(Chicks!$P:$P,Chicks!$G:$G,A769))</f>
        <v/>
      </c>
      <c r="N769" s="6" t="str">
        <f t="shared" si="4"/>
        <v/>
      </c>
    </row>
    <row r="770" spans="6:14" ht="14.25" customHeight="1" x14ac:dyDescent="0.3">
      <c r="F770" s="6" t="str">
        <f>IF(A770="","",COUNTIF(Chicks!$G:$G,A770))</f>
        <v/>
      </c>
      <c r="G770" s="6" t="str">
        <f>IF(A770="","",COUNTIFS(Chicks!$G:$G,A770,Chicks!$I:$I,"Yes"))</f>
        <v/>
      </c>
      <c r="H770" s="6" t="str">
        <f>IF(A770="","",SUMIFS(Chicks!$J:$J,Chicks!$G:$G,A770))</f>
        <v/>
      </c>
      <c r="I770" s="6" t="str">
        <f>IF(A770="","",COUNTIFS(Chicks!$G:$G,A770,Chicks!$I:$I,"No"))</f>
        <v/>
      </c>
      <c r="J770" s="6" t="str">
        <f>IF(A770="","",IFERROR(AVERAGEIF(Chicks!$G:$G,A770,Chicks!$M:$M),""))</f>
        <v/>
      </c>
      <c r="K770" s="6" t="str">
        <f>IF(A770="","",SUMIFS(Chicks!$N:$N,Chicks!$G:$G,A770))</f>
        <v/>
      </c>
      <c r="L770" s="6" t="str">
        <f>IF(A770="","",SUMIFS(Chicks!$O:$O,Chicks!$G:$G,A770))</f>
        <v/>
      </c>
      <c r="M770" s="6" t="str">
        <f>IF(A770="","",SUMIFS(Chicks!$P:$P,Chicks!$G:$G,A770))</f>
        <v/>
      </c>
      <c r="N770" s="6" t="str">
        <f t="shared" si="4"/>
        <v/>
      </c>
    </row>
    <row r="771" spans="6:14" ht="14.25" customHeight="1" x14ac:dyDescent="0.3">
      <c r="F771" s="6" t="str">
        <f>IF(A771="","",COUNTIF(Chicks!$G:$G,A771))</f>
        <v/>
      </c>
      <c r="G771" s="6" t="str">
        <f>IF(A771="","",COUNTIFS(Chicks!$G:$G,A771,Chicks!$I:$I,"Yes"))</f>
        <v/>
      </c>
      <c r="H771" s="6" t="str">
        <f>IF(A771="","",SUMIFS(Chicks!$J:$J,Chicks!$G:$G,A771))</f>
        <v/>
      </c>
      <c r="I771" s="6" t="str">
        <f>IF(A771="","",COUNTIFS(Chicks!$G:$G,A771,Chicks!$I:$I,"No"))</f>
        <v/>
      </c>
      <c r="J771" s="6" t="str">
        <f>IF(A771="","",IFERROR(AVERAGEIF(Chicks!$G:$G,A771,Chicks!$M:$M),""))</f>
        <v/>
      </c>
      <c r="K771" s="6" t="str">
        <f>IF(A771="","",SUMIFS(Chicks!$N:$N,Chicks!$G:$G,A771))</f>
        <v/>
      </c>
      <c r="L771" s="6" t="str">
        <f>IF(A771="","",SUMIFS(Chicks!$O:$O,Chicks!$G:$G,A771))</f>
        <v/>
      </c>
      <c r="M771" s="6" t="str">
        <f>IF(A771="","",SUMIFS(Chicks!$P:$P,Chicks!$G:$G,A771))</f>
        <v/>
      </c>
      <c r="N771" s="6" t="str">
        <f t="shared" si="4"/>
        <v/>
      </c>
    </row>
    <row r="772" spans="6:14" ht="14.25" customHeight="1" x14ac:dyDescent="0.3">
      <c r="F772" s="6" t="str">
        <f>IF(A772="","",COUNTIF(Chicks!$G:$G,A772))</f>
        <v/>
      </c>
      <c r="G772" s="6" t="str">
        <f>IF(A772="","",COUNTIFS(Chicks!$G:$G,A772,Chicks!$I:$I,"Yes"))</f>
        <v/>
      </c>
      <c r="H772" s="6" t="str">
        <f>IF(A772="","",SUMIFS(Chicks!$J:$J,Chicks!$G:$G,A772))</f>
        <v/>
      </c>
      <c r="I772" s="6" t="str">
        <f>IF(A772="","",COUNTIFS(Chicks!$G:$G,A772,Chicks!$I:$I,"No"))</f>
        <v/>
      </c>
      <c r="J772" s="6" t="str">
        <f>IF(A772="","",IFERROR(AVERAGEIF(Chicks!$G:$G,A772,Chicks!$M:$M),""))</f>
        <v/>
      </c>
      <c r="K772" s="6" t="str">
        <f>IF(A772="","",SUMIFS(Chicks!$N:$N,Chicks!$G:$G,A772))</f>
        <v/>
      </c>
      <c r="L772" s="6" t="str">
        <f>IF(A772="","",SUMIFS(Chicks!$O:$O,Chicks!$G:$G,A772))</f>
        <v/>
      </c>
      <c r="M772" s="6" t="str">
        <f>IF(A772="","",SUMIFS(Chicks!$P:$P,Chicks!$G:$G,A772))</f>
        <v/>
      </c>
      <c r="N772" s="6" t="str">
        <f t="shared" si="4"/>
        <v/>
      </c>
    </row>
    <row r="773" spans="6:14" ht="14.25" customHeight="1" x14ac:dyDescent="0.3">
      <c r="F773" s="6" t="str">
        <f>IF(A773="","",COUNTIF(Chicks!$G:$G,A773))</f>
        <v/>
      </c>
      <c r="G773" s="6" t="str">
        <f>IF(A773="","",COUNTIFS(Chicks!$G:$G,A773,Chicks!$I:$I,"Yes"))</f>
        <v/>
      </c>
      <c r="H773" s="6" t="str">
        <f>IF(A773="","",SUMIFS(Chicks!$J:$J,Chicks!$G:$G,A773))</f>
        <v/>
      </c>
      <c r="I773" s="6" t="str">
        <f>IF(A773="","",COUNTIFS(Chicks!$G:$G,A773,Chicks!$I:$I,"No"))</f>
        <v/>
      </c>
      <c r="J773" s="6" t="str">
        <f>IF(A773="","",IFERROR(AVERAGEIF(Chicks!$G:$G,A773,Chicks!$M:$M),""))</f>
        <v/>
      </c>
      <c r="K773" s="6" t="str">
        <f>IF(A773="","",SUMIFS(Chicks!$N:$N,Chicks!$G:$G,A773))</f>
        <v/>
      </c>
      <c r="L773" s="6" t="str">
        <f>IF(A773="","",SUMIFS(Chicks!$O:$O,Chicks!$G:$G,A773))</f>
        <v/>
      </c>
      <c r="M773" s="6" t="str">
        <f>IF(A773="","",SUMIFS(Chicks!$P:$P,Chicks!$G:$G,A773))</f>
        <v/>
      </c>
      <c r="N773" s="6" t="str">
        <f t="shared" si="4"/>
        <v/>
      </c>
    </row>
    <row r="774" spans="6:14" ht="14.25" customHeight="1" x14ac:dyDescent="0.3">
      <c r="F774" s="6" t="str">
        <f>IF(A774="","",COUNTIF(Chicks!$G:$G,A774))</f>
        <v/>
      </c>
      <c r="G774" s="6" t="str">
        <f>IF(A774="","",COUNTIFS(Chicks!$G:$G,A774,Chicks!$I:$I,"Yes"))</f>
        <v/>
      </c>
      <c r="H774" s="6" t="str">
        <f>IF(A774="","",SUMIFS(Chicks!$J:$J,Chicks!$G:$G,A774))</f>
        <v/>
      </c>
      <c r="I774" s="6" t="str">
        <f>IF(A774="","",COUNTIFS(Chicks!$G:$G,A774,Chicks!$I:$I,"No"))</f>
        <v/>
      </c>
      <c r="J774" s="6" t="str">
        <f>IF(A774="","",IFERROR(AVERAGEIF(Chicks!$G:$G,A774,Chicks!$M:$M),""))</f>
        <v/>
      </c>
      <c r="K774" s="6" t="str">
        <f>IF(A774="","",SUMIFS(Chicks!$N:$N,Chicks!$G:$G,A774))</f>
        <v/>
      </c>
      <c r="L774" s="6" t="str">
        <f>IF(A774="","",SUMIFS(Chicks!$O:$O,Chicks!$G:$G,A774))</f>
        <v/>
      </c>
      <c r="M774" s="6" t="str">
        <f>IF(A774="","",SUMIFS(Chicks!$P:$P,Chicks!$G:$G,A774))</f>
        <v/>
      </c>
      <c r="N774" s="6" t="str">
        <f t="shared" si="4"/>
        <v/>
      </c>
    </row>
    <row r="775" spans="6:14" ht="14.25" customHeight="1" x14ac:dyDescent="0.3">
      <c r="F775" s="6" t="str">
        <f>IF(A775="","",COUNTIF(Chicks!$G:$G,A775))</f>
        <v/>
      </c>
      <c r="G775" s="6" t="str">
        <f>IF(A775="","",COUNTIFS(Chicks!$G:$G,A775,Chicks!$I:$I,"Yes"))</f>
        <v/>
      </c>
      <c r="H775" s="6" t="str">
        <f>IF(A775="","",SUMIFS(Chicks!$J:$J,Chicks!$G:$G,A775))</f>
        <v/>
      </c>
      <c r="I775" s="6" t="str">
        <f>IF(A775="","",COUNTIFS(Chicks!$G:$G,A775,Chicks!$I:$I,"No"))</f>
        <v/>
      </c>
      <c r="J775" s="6" t="str">
        <f>IF(A775="","",IFERROR(AVERAGEIF(Chicks!$G:$G,A775,Chicks!$M:$M),""))</f>
        <v/>
      </c>
      <c r="K775" s="6" t="str">
        <f>IF(A775="","",SUMIFS(Chicks!$N:$N,Chicks!$G:$G,A775))</f>
        <v/>
      </c>
      <c r="L775" s="6" t="str">
        <f>IF(A775="","",SUMIFS(Chicks!$O:$O,Chicks!$G:$G,A775))</f>
        <v/>
      </c>
      <c r="M775" s="6" t="str">
        <f>IF(A775="","",SUMIFS(Chicks!$P:$P,Chicks!$G:$G,A775))</f>
        <v/>
      </c>
      <c r="N775" s="6" t="str">
        <f t="shared" si="4"/>
        <v/>
      </c>
    </row>
    <row r="776" spans="6:14" ht="14.25" customHeight="1" x14ac:dyDescent="0.3">
      <c r="F776" s="6" t="str">
        <f>IF(A776="","",COUNTIF(Chicks!$G:$G,A776))</f>
        <v/>
      </c>
      <c r="G776" s="6" t="str">
        <f>IF(A776="","",COUNTIFS(Chicks!$G:$G,A776,Chicks!$I:$I,"Yes"))</f>
        <v/>
      </c>
      <c r="H776" s="6" t="str">
        <f>IF(A776="","",SUMIFS(Chicks!$J:$J,Chicks!$G:$G,A776))</f>
        <v/>
      </c>
      <c r="I776" s="6" t="str">
        <f>IF(A776="","",COUNTIFS(Chicks!$G:$G,A776,Chicks!$I:$I,"No"))</f>
        <v/>
      </c>
      <c r="J776" s="6" t="str">
        <f>IF(A776="","",IFERROR(AVERAGEIF(Chicks!$G:$G,A776,Chicks!$M:$M),""))</f>
        <v/>
      </c>
      <c r="K776" s="6" t="str">
        <f>IF(A776="","",SUMIFS(Chicks!$N:$N,Chicks!$G:$G,A776))</f>
        <v/>
      </c>
      <c r="L776" s="6" t="str">
        <f>IF(A776="","",SUMIFS(Chicks!$O:$O,Chicks!$G:$G,A776))</f>
        <v/>
      </c>
      <c r="M776" s="6" t="str">
        <f>IF(A776="","",SUMIFS(Chicks!$P:$P,Chicks!$G:$G,A776))</f>
        <v/>
      </c>
      <c r="N776" s="6" t="str">
        <f t="shared" si="4"/>
        <v/>
      </c>
    </row>
    <row r="777" spans="6:14" ht="14.25" customHeight="1" x14ac:dyDescent="0.3">
      <c r="F777" s="6" t="str">
        <f>IF(A777="","",COUNTIF(Chicks!$G:$G,A777))</f>
        <v/>
      </c>
      <c r="G777" s="6" t="str">
        <f>IF(A777="","",COUNTIFS(Chicks!$G:$G,A777,Chicks!$I:$I,"Yes"))</f>
        <v/>
      </c>
      <c r="H777" s="6" t="str">
        <f>IF(A777="","",SUMIFS(Chicks!$J:$J,Chicks!$G:$G,A777))</f>
        <v/>
      </c>
      <c r="I777" s="6" t="str">
        <f>IF(A777="","",COUNTIFS(Chicks!$G:$G,A777,Chicks!$I:$I,"No"))</f>
        <v/>
      </c>
      <c r="J777" s="6" t="str">
        <f>IF(A777="","",IFERROR(AVERAGEIF(Chicks!$G:$G,A777,Chicks!$M:$M),""))</f>
        <v/>
      </c>
      <c r="K777" s="6" t="str">
        <f>IF(A777="","",SUMIFS(Chicks!$N:$N,Chicks!$G:$G,A777))</f>
        <v/>
      </c>
      <c r="L777" s="6" t="str">
        <f>IF(A777="","",SUMIFS(Chicks!$O:$O,Chicks!$G:$G,A777))</f>
        <v/>
      </c>
      <c r="M777" s="6" t="str">
        <f>IF(A777="","",SUMIFS(Chicks!$P:$P,Chicks!$G:$G,A777))</f>
        <v/>
      </c>
      <c r="N777" s="6" t="str">
        <f t="shared" si="4"/>
        <v/>
      </c>
    </row>
    <row r="778" spans="6:14" ht="14.25" customHeight="1" x14ac:dyDescent="0.3">
      <c r="F778" s="6" t="str">
        <f>IF(A778="","",COUNTIF(Chicks!$G:$G,A778))</f>
        <v/>
      </c>
      <c r="G778" s="6" t="str">
        <f>IF(A778="","",COUNTIFS(Chicks!$G:$G,A778,Chicks!$I:$I,"Yes"))</f>
        <v/>
      </c>
      <c r="H778" s="6" t="str">
        <f>IF(A778="","",SUMIFS(Chicks!$J:$J,Chicks!$G:$G,A778))</f>
        <v/>
      </c>
      <c r="I778" s="6" t="str">
        <f>IF(A778="","",COUNTIFS(Chicks!$G:$G,A778,Chicks!$I:$I,"No"))</f>
        <v/>
      </c>
      <c r="J778" s="6" t="str">
        <f>IF(A778="","",IFERROR(AVERAGEIF(Chicks!$G:$G,A778,Chicks!$M:$M),""))</f>
        <v/>
      </c>
      <c r="K778" s="6" t="str">
        <f>IF(A778="","",SUMIFS(Chicks!$N:$N,Chicks!$G:$G,A778))</f>
        <v/>
      </c>
      <c r="L778" s="6" t="str">
        <f>IF(A778="","",SUMIFS(Chicks!$O:$O,Chicks!$G:$G,A778))</f>
        <v/>
      </c>
      <c r="M778" s="6" t="str">
        <f>IF(A778="","",SUMIFS(Chicks!$P:$P,Chicks!$G:$G,A778))</f>
        <v/>
      </c>
      <c r="N778" s="6" t="str">
        <f t="shared" si="4"/>
        <v/>
      </c>
    </row>
    <row r="779" spans="6:14" ht="14.25" customHeight="1" x14ac:dyDescent="0.3">
      <c r="F779" s="6" t="str">
        <f>IF(A779="","",COUNTIF(Chicks!$G:$G,A779))</f>
        <v/>
      </c>
      <c r="G779" s="6" t="str">
        <f>IF(A779="","",COUNTIFS(Chicks!$G:$G,A779,Chicks!$I:$I,"Yes"))</f>
        <v/>
      </c>
      <c r="H779" s="6" t="str">
        <f>IF(A779="","",SUMIFS(Chicks!$J:$J,Chicks!$G:$G,A779))</f>
        <v/>
      </c>
      <c r="I779" s="6" t="str">
        <f>IF(A779="","",COUNTIFS(Chicks!$G:$G,A779,Chicks!$I:$I,"No"))</f>
        <v/>
      </c>
      <c r="J779" s="6" t="str">
        <f>IF(A779="","",IFERROR(AVERAGEIF(Chicks!$G:$G,A779,Chicks!$M:$M),""))</f>
        <v/>
      </c>
      <c r="K779" s="6" t="str">
        <f>IF(A779="","",SUMIFS(Chicks!$N:$N,Chicks!$G:$G,A779))</f>
        <v/>
      </c>
      <c r="L779" s="6" t="str">
        <f>IF(A779="","",SUMIFS(Chicks!$O:$O,Chicks!$G:$G,A779))</f>
        <v/>
      </c>
      <c r="M779" s="6" t="str">
        <f>IF(A779="","",SUMIFS(Chicks!$P:$P,Chicks!$G:$G,A779))</f>
        <v/>
      </c>
      <c r="N779" s="6" t="str">
        <f t="shared" si="4"/>
        <v/>
      </c>
    </row>
    <row r="780" spans="6:14" ht="14.25" customHeight="1" x14ac:dyDescent="0.3">
      <c r="F780" s="6" t="str">
        <f>IF(A780="","",COUNTIF(Chicks!$G:$G,A780))</f>
        <v/>
      </c>
      <c r="G780" s="6" t="str">
        <f>IF(A780="","",COUNTIFS(Chicks!$G:$G,A780,Chicks!$I:$I,"Yes"))</f>
        <v/>
      </c>
      <c r="H780" s="6" t="str">
        <f>IF(A780="","",SUMIFS(Chicks!$J:$J,Chicks!$G:$G,A780))</f>
        <v/>
      </c>
      <c r="I780" s="6" t="str">
        <f>IF(A780="","",COUNTIFS(Chicks!$G:$G,A780,Chicks!$I:$I,"No"))</f>
        <v/>
      </c>
      <c r="J780" s="6" t="str">
        <f>IF(A780="","",IFERROR(AVERAGEIF(Chicks!$G:$G,A780,Chicks!$M:$M),""))</f>
        <v/>
      </c>
      <c r="K780" s="6" t="str">
        <f>IF(A780="","",SUMIFS(Chicks!$N:$N,Chicks!$G:$G,A780))</f>
        <v/>
      </c>
      <c r="L780" s="6" t="str">
        <f>IF(A780="","",SUMIFS(Chicks!$O:$O,Chicks!$G:$G,A780))</f>
        <v/>
      </c>
      <c r="M780" s="6" t="str">
        <f>IF(A780="","",SUMIFS(Chicks!$P:$P,Chicks!$G:$G,A780))</f>
        <v/>
      </c>
      <c r="N780" s="6" t="str">
        <f t="shared" si="4"/>
        <v/>
      </c>
    </row>
    <row r="781" spans="6:14" ht="14.25" customHeight="1" x14ac:dyDescent="0.3">
      <c r="F781" s="6" t="str">
        <f>IF(A781="","",COUNTIF(Chicks!$G:$G,A781))</f>
        <v/>
      </c>
      <c r="G781" s="6" t="str">
        <f>IF(A781="","",COUNTIFS(Chicks!$G:$G,A781,Chicks!$I:$I,"Yes"))</f>
        <v/>
      </c>
      <c r="H781" s="6" t="str">
        <f>IF(A781="","",SUMIFS(Chicks!$J:$J,Chicks!$G:$G,A781))</f>
        <v/>
      </c>
      <c r="I781" s="6" t="str">
        <f>IF(A781="","",COUNTIFS(Chicks!$G:$G,A781,Chicks!$I:$I,"No"))</f>
        <v/>
      </c>
      <c r="J781" s="6" t="str">
        <f>IF(A781="","",IFERROR(AVERAGEIF(Chicks!$G:$G,A781,Chicks!$M:$M),""))</f>
        <v/>
      </c>
      <c r="K781" s="6" t="str">
        <f>IF(A781="","",SUMIFS(Chicks!$N:$N,Chicks!$G:$G,A781))</f>
        <v/>
      </c>
      <c r="L781" s="6" t="str">
        <f>IF(A781="","",SUMIFS(Chicks!$O:$O,Chicks!$G:$G,A781))</f>
        <v/>
      </c>
      <c r="M781" s="6" t="str">
        <f>IF(A781="","",SUMIFS(Chicks!$P:$P,Chicks!$G:$G,A781))</f>
        <v/>
      </c>
      <c r="N781" s="6" t="str">
        <f t="shared" si="4"/>
        <v/>
      </c>
    </row>
    <row r="782" spans="6:14" ht="14.25" customHeight="1" x14ac:dyDescent="0.3">
      <c r="F782" s="6" t="str">
        <f>IF(A782="","",COUNTIF(Chicks!$G:$G,A782))</f>
        <v/>
      </c>
      <c r="G782" s="6" t="str">
        <f>IF(A782="","",COUNTIFS(Chicks!$G:$G,A782,Chicks!$I:$I,"Yes"))</f>
        <v/>
      </c>
      <c r="H782" s="6" t="str">
        <f>IF(A782="","",SUMIFS(Chicks!$J:$J,Chicks!$G:$G,A782))</f>
        <v/>
      </c>
      <c r="I782" s="6" t="str">
        <f>IF(A782="","",COUNTIFS(Chicks!$G:$G,A782,Chicks!$I:$I,"No"))</f>
        <v/>
      </c>
      <c r="J782" s="6" t="str">
        <f>IF(A782="","",IFERROR(AVERAGEIF(Chicks!$G:$G,A782,Chicks!$M:$M),""))</f>
        <v/>
      </c>
      <c r="K782" s="6" t="str">
        <f>IF(A782="","",SUMIFS(Chicks!$N:$N,Chicks!$G:$G,A782))</f>
        <v/>
      </c>
      <c r="L782" s="6" t="str">
        <f>IF(A782="","",SUMIFS(Chicks!$O:$O,Chicks!$G:$G,A782))</f>
        <v/>
      </c>
      <c r="M782" s="6" t="str">
        <f>IF(A782="","",SUMIFS(Chicks!$P:$P,Chicks!$G:$G,A782))</f>
        <v/>
      </c>
      <c r="N782" s="6" t="str">
        <f t="shared" si="4"/>
        <v/>
      </c>
    </row>
    <row r="783" spans="6:14" ht="14.25" customHeight="1" x14ac:dyDescent="0.3">
      <c r="F783" s="6" t="str">
        <f>IF(A783="","",COUNTIF(Chicks!$G:$G,A783))</f>
        <v/>
      </c>
      <c r="G783" s="6" t="str">
        <f>IF(A783="","",COUNTIFS(Chicks!$G:$G,A783,Chicks!$I:$I,"Yes"))</f>
        <v/>
      </c>
      <c r="H783" s="6" t="str">
        <f>IF(A783="","",SUMIFS(Chicks!$J:$J,Chicks!$G:$G,A783))</f>
        <v/>
      </c>
      <c r="I783" s="6" t="str">
        <f>IF(A783="","",COUNTIFS(Chicks!$G:$G,A783,Chicks!$I:$I,"No"))</f>
        <v/>
      </c>
      <c r="J783" s="6" t="str">
        <f>IF(A783="","",IFERROR(AVERAGEIF(Chicks!$G:$G,A783,Chicks!$M:$M),""))</f>
        <v/>
      </c>
      <c r="K783" s="6" t="str">
        <f>IF(A783="","",SUMIFS(Chicks!$N:$N,Chicks!$G:$G,A783))</f>
        <v/>
      </c>
      <c r="L783" s="6" t="str">
        <f>IF(A783="","",SUMIFS(Chicks!$O:$O,Chicks!$G:$G,A783))</f>
        <v/>
      </c>
      <c r="M783" s="6" t="str">
        <f>IF(A783="","",SUMIFS(Chicks!$P:$P,Chicks!$G:$G,A783))</f>
        <v/>
      </c>
      <c r="N783" s="6" t="str">
        <f t="shared" si="4"/>
        <v/>
      </c>
    </row>
    <row r="784" spans="6:14" ht="14.25" customHeight="1" x14ac:dyDescent="0.3">
      <c r="F784" s="6" t="str">
        <f>IF(A784="","",COUNTIF(Chicks!$G:$G,A784))</f>
        <v/>
      </c>
      <c r="G784" s="6" t="str">
        <f>IF(A784="","",COUNTIFS(Chicks!$G:$G,A784,Chicks!$I:$I,"Yes"))</f>
        <v/>
      </c>
      <c r="H784" s="6" t="str">
        <f>IF(A784="","",SUMIFS(Chicks!$J:$J,Chicks!$G:$G,A784))</f>
        <v/>
      </c>
      <c r="I784" s="6" t="str">
        <f>IF(A784="","",COUNTIFS(Chicks!$G:$G,A784,Chicks!$I:$I,"No"))</f>
        <v/>
      </c>
      <c r="J784" s="6" t="str">
        <f>IF(A784="","",IFERROR(AVERAGEIF(Chicks!$G:$G,A784,Chicks!$M:$M),""))</f>
        <v/>
      </c>
      <c r="K784" s="6" t="str">
        <f>IF(A784="","",SUMIFS(Chicks!$N:$N,Chicks!$G:$G,A784))</f>
        <v/>
      </c>
      <c r="L784" s="6" t="str">
        <f>IF(A784="","",SUMIFS(Chicks!$O:$O,Chicks!$G:$G,A784))</f>
        <v/>
      </c>
      <c r="M784" s="6" t="str">
        <f>IF(A784="","",SUMIFS(Chicks!$P:$P,Chicks!$G:$G,A784))</f>
        <v/>
      </c>
      <c r="N784" s="6" t="str">
        <f t="shared" si="4"/>
        <v/>
      </c>
    </row>
    <row r="785" spans="6:14" ht="14.25" customHeight="1" x14ac:dyDescent="0.3">
      <c r="F785" s="6" t="str">
        <f>IF(A785="","",COUNTIF(Chicks!$G:$G,A785))</f>
        <v/>
      </c>
      <c r="G785" s="6" t="str">
        <f>IF(A785="","",COUNTIFS(Chicks!$G:$G,A785,Chicks!$I:$I,"Yes"))</f>
        <v/>
      </c>
      <c r="H785" s="6" t="str">
        <f>IF(A785="","",SUMIFS(Chicks!$J:$J,Chicks!$G:$G,A785))</f>
        <v/>
      </c>
      <c r="I785" s="6" t="str">
        <f>IF(A785="","",COUNTIFS(Chicks!$G:$G,A785,Chicks!$I:$I,"No"))</f>
        <v/>
      </c>
      <c r="J785" s="6" t="str">
        <f>IF(A785="","",IFERROR(AVERAGEIF(Chicks!$G:$G,A785,Chicks!$M:$M),""))</f>
        <v/>
      </c>
      <c r="K785" s="6" t="str">
        <f>IF(A785="","",SUMIFS(Chicks!$N:$N,Chicks!$G:$G,A785))</f>
        <v/>
      </c>
      <c r="L785" s="6" t="str">
        <f>IF(A785="","",SUMIFS(Chicks!$O:$O,Chicks!$G:$G,A785))</f>
        <v/>
      </c>
      <c r="M785" s="6" t="str">
        <f>IF(A785="","",SUMIFS(Chicks!$P:$P,Chicks!$G:$G,A785))</f>
        <v/>
      </c>
      <c r="N785" s="6" t="str">
        <f t="shared" si="4"/>
        <v/>
      </c>
    </row>
    <row r="786" spans="6:14" ht="14.25" customHeight="1" x14ac:dyDescent="0.3">
      <c r="F786" s="6" t="str">
        <f>IF(A786="","",COUNTIF(Chicks!$G:$G,A786))</f>
        <v/>
      </c>
      <c r="G786" s="6" t="str">
        <f>IF(A786="","",COUNTIFS(Chicks!$G:$G,A786,Chicks!$I:$I,"Yes"))</f>
        <v/>
      </c>
      <c r="H786" s="6" t="str">
        <f>IF(A786="","",SUMIFS(Chicks!$J:$J,Chicks!$G:$G,A786))</f>
        <v/>
      </c>
      <c r="I786" s="6" t="str">
        <f>IF(A786="","",COUNTIFS(Chicks!$G:$G,A786,Chicks!$I:$I,"No"))</f>
        <v/>
      </c>
      <c r="J786" s="6" t="str">
        <f>IF(A786="","",IFERROR(AVERAGEIF(Chicks!$G:$G,A786,Chicks!$M:$M),""))</f>
        <v/>
      </c>
      <c r="K786" s="6" t="str">
        <f>IF(A786="","",SUMIFS(Chicks!$N:$N,Chicks!$G:$G,A786))</f>
        <v/>
      </c>
      <c r="L786" s="6" t="str">
        <f>IF(A786="","",SUMIFS(Chicks!$O:$O,Chicks!$G:$G,A786))</f>
        <v/>
      </c>
      <c r="M786" s="6" t="str">
        <f>IF(A786="","",SUMIFS(Chicks!$P:$P,Chicks!$G:$G,A786))</f>
        <v/>
      </c>
      <c r="N786" s="6" t="str">
        <f t="shared" si="4"/>
        <v/>
      </c>
    </row>
    <row r="787" spans="6:14" ht="14.25" customHeight="1" x14ac:dyDescent="0.3">
      <c r="F787" s="6" t="str">
        <f>IF(A787="","",COUNTIF(Chicks!$G:$G,A787))</f>
        <v/>
      </c>
      <c r="G787" s="6" t="str">
        <f>IF(A787="","",COUNTIFS(Chicks!$G:$G,A787,Chicks!$I:$I,"Yes"))</f>
        <v/>
      </c>
      <c r="H787" s="6" t="str">
        <f>IF(A787="","",SUMIFS(Chicks!$J:$J,Chicks!$G:$G,A787))</f>
        <v/>
      </c>
      <c r="I787" s="6" t="str">
        <f>IF(A787="","",COUNTIFS(Chicks!$G:$G,A787,Chicks!$I:$I,"No"))</f>
        <v/>
      </c>
      <c r="J787" s="6" t="str">
        <f>IF(A787="","",IFERROR(AVERAGEIF(Chicks!$G:$G,A787,Chicks!$M:$M),""))</f>
        <v/>
      </c>
      <c r="K787" s="6" t="str">
        <f>IF(A787="","",SUMIFS(Chicks!$N:$N,Chicks!$G:$G,A787))</f>
        <v/>
      </c>
      <c r="L787" s="6" t="str">
        <f>IF(A787="","",SUMIFS(Chicks!$O:$O,Chicks!$G:$G,A787))</f>
        <v/>
      </c>
      <c r="M787" s="6" t="str">
        <f>IF(A787="","",SUMIFS(Chicks!$P:$P,Chicks!$G:$G,A787))</f>
        <v/>
      </c>
      <c r="N787" s="6" t="str">
        <f t="shared" si="4"/>
        <v/>
      </c>
    </row>
    <row r="788" spans="6:14" ht="14.25" customHeight="1" x14ac:dyDescent="0.3">
      <c r="F788" s="6" t="str">
        <f>IF(A788="","",COUNTIF(Chicks!$G:$G,A788))</f>
        <v/>
      </c>
      <c r="G788" s="6" t="str">
        <f>IF(A788="","",COUNTIFS(Chicks!$G:$G,A788,Chicks!$I:$I,"Yes"))</f>
        <v/>
      </c>
      <c r="H788" s="6" t="str">
        <f>IF(A788="","",SUMIFS(Chicks!$J:$J,Chicks!$G:$G,A788))</f>
        <v/>
      </c>
      <c r="I788" s="6" t="str">
        <f>IF(A788="","",COUNTIFS(Chicks!$G:$G,A788,Chicks!$I:$I,"No"))</f>
        <v/>
      </c>
      <c r="J788" s="6" t="str">
        <f>IF(A788="","",IFERROR(AVERAGEIF(Chicks!$G:$G,A788,Chicks!$M:$M),""))</f>
        <v/>
      </c>
      <c r="K788" s="6" t="str">
        <f>IF(A788="","",SUMIFS(Chicks!$N:$N,Chicks!$G:$G,A788))</f>
        <v/>
      </c>
      <c r="L788" s="6" t="str">
        <f>IF(A788="","",SUMIFS(Chicks!$O:$O,Chicks!$G:$G,A788))</f>
        <v/>
      </c>
      <c r="M788" s="6" t="str">
        <f>IF(A788="","",SUMIFS(Chicks!$P:$P,Chicks!$G:$G,A788))</f>
        <v/>
      </c>
      <c r="N788" s="6" t="str">
        <f t="shared" si="4"/>
        <v/>
      </c>
    </row>
    <row r="789" spans="6:14" ht="14.25" customHeight="1" x14ac:dyDescent="0.3">
      <c r="F789" s="6" t="str">
        <f>IF(A789="","",COUNTIF(Chicks!$G:$G,A789))</f>
        <v/>
      </c>
      <c r="G789" s="6" t="str">
        <f>IF(A789="","",COUNTIFS(Chicks!$G:$G,A789,Chicks!$I:$I,"Yes"))</f>
        <v/>
      </c>
      <c r="H789" s="6" t="str">
        <f>IF(A789="","",SUMIFS(Chicks!$J:$J,Chicks!$G:$G,A789))</f>
        <v/>
      </c>
      <c r="I789" s="6" t="str">
        <f>IF(A789="","",COUNTIFS(Chicks!$G:$G,A789,Chicks!$I:$I,"No"))</f>
        <v/>
      </c>
      <c r="J789" s="6" t="str">
        <f>IF(A789="","",IFERROR(AVERAGEIF(Chicks!$G:$G,A789,Chicks!$M:$M),""))</f>
        <v/>
      </c>
      <c r="K789" s="6" t="str">
        <f>IF(A789="","",SUMIFS(Chicks!$N:$N,Chicks!$G:$G,A789))</f>
        <v/>
      </c>
      <c r="L789" s="6" t="str">
        <f>IF(A789="","",SUMIFS(Chicks!$O:$O,Chicks!$G:$G,A789))</f>
        <v/>
      </c>
      <c r="M789" s="6" t="str">
        <f>IF(A789="","",SUMIFS(Chicks!$P:$P,Chicks!$G:$G,A789))</f>
        <v/>
      </c>
      <c r="N789" s="6" t="str">
        <f t="shared" si="4"/>
        <v/>
      </c>
    </row>
    <row r="790" spans="6:14" ht="14.25" customHeight="1" x14ac:dyDescent="0.3">
      <c r="F790" s="6" t="str">
        <f>IF(A790="","",COUNTIF(Chicks!$G:$G,A790))</f>
        <v/>
      </c>
      <c r="G790" s="6" t="str">
        <f>IF(A790="","",COUNTIFS(Chicks!$G:$G,A790,Chicks!$I:$I,"Yes"))</f>
        <v/>
      </c>
      <c r="H790" s="6" t="str">
        <f>IF(A790="","",SUMIFS(Chicks!$J:$J,Chicks!$G:$G,A790))</f>
        <v/>
      </c>
      <c r="I790" s="6" t="str">
        <f>IF(A790="","",COUNTIFS(Chicks!$G:$G,A790,Chicks!$I:$I,"No"))</f>
        <v/>
      </c>
      <c r="J790" s="6" t="str">
        <f>IF(A790="","",IFERROR(AVERAGEIF(Chicks!$G:$G,A790,Chicks!$M:$M),""))</f>
        <v/>
      </c>
      <c r="K790" s="6" t="str">
        <f>IF(A790="","",SUMIFS(Chicks!$N:$N,Chicks!$G:$G,A790))</f>
        <v/>
      </c>
      <c r="L790" s="6" t="str">
        <f>IF(A790="","",SUMIFS(Chicks!$O:$O,Chicks!$G:$G,A790))</f>
        <v/>
      </c>
      <c r="M790" s="6" t="str">
        <f>IF(A790="","",SUMIFS(Chicks!$P:$P,Chicks!$G:$G,A790))</f>
        <v/>
      </c>
      <c r="N790" s="6" t="str">
        <f t="shared" si="4"/>
        <v/>
      </c>
    </row>
    <row r="791" spans="6:14" ht="14.25" customHeight="1" x14ac:dyDescent="0.3">
      <c r="F791" s="6" t="str">
        <f>IF(A791="","",COUNTIF(Chicks!$G:$G,A791))</f>
        <v/>
      </c>
      <c r="G791" s="6" t="str">
        <f>IF(A791="","",COUNTIFS(Chicks!$G:$G,A791,Chicks!$I:$I,"Yes"))</f>
        <v/>
      </c>
      <c r="H791" s="6" t="str">
        <f>IF(A791="","",SUMIFS(Chicks!$J:$J,Chicks!$G:$G,A791))</f>
        <v/>
      </c>
      <c r="I791" s="6" t="str">
        <f>IF(A791="","",COUNTIFS(Chicks!$G:$G,A791,Chicks!$I:$I,"No"))</f>
        <v/>
      </c>
      <c r="J791" s="6" t="str">
        <f>IF(A791="","",IFERROR(AVERAGEIF(Chicks!$G:$G,A791,Chicks!$M:$M),""))</f>
        <v/>
      </c>
      <c r="K791" s="6" t="str">
        <f>IF(A791="","",SUMIFS(Chicks!$N:$N,Chicks!$G:$G,A791))</f>
        <v/>
      </c>
      <c r="L791" s="6" t="str">
        <f>IF(A791="","",SUMIFS(Chicks!$O:$O,Chicks!$G:$G,A791))</f>
        <v/>
      </c>
      <c r="M791" s="6" t="str">
        <f>IF(A791="","",SUMIFS(Chicks!$P:$P,Chicks!$G:$G,A791))</f>
        <v/>
      </c>
      <c r="N791" s="6" t="str">
        <f t="shared" si="4"/>
        <v/>
      </c>
    </row>
    <row r="792" spans="6:14" ht="14.25" customHeight="1" x14ac:dyDescent="0.3">
      <c r="F792" s="6" t="str">
        <f>IF(A792="","",COUNTIF(Chicks!$G:$G,A792))</f>
        <v/>
      </c>
      <c r="G792" s="6" t="str">
        <f>IF(A792="","",COUNTIFS(Chicks!$G:$G,A792,Chicks!$I:$I,"Yes"))</f>
        <v/>
      </c>
      <c r="H792" s="6" t="str">
        <f>IF(A792="","",SUMIFS(Chicks!$J:$J,Chicks!$G:$G,A792))</f>
        <v/>
      </c>
      <c r="I792" s="6" t="str">
        <f>IF(A792="","",COUNTIFS(Chicks!$G:$G,A792,Chicks!$I:$I,"No"))</f>
        <v/>
      </c>
      <c r="J792" s="6" t="str">
        <f>IF(A792="","",IFERROR(AVERAGEIF(Chicks!$G:$G,A792,Chicks!$M:$M),""))</f>
        <v/>
      </c>
      <c r="K792" s="6" t="str">
        <f>IF(A792="","",SUMIFS(Chicks!$N:$N,Chicks!$G:$G,A792))</f>
        <v/>
      </c>
      <c r="L792" s="6" t="str">
        <f>IF(A792="","",SUMIFS(Chicks!$O:$O,Chicks!$G:$G,A792))</f>
        <v/>
      </c>
      <c r="M792" s="6" t="str">
        <f>IF(A792="","",SUMIFS(Chicks!$P:$P,Chicks!$G:$G,A792))</f>
        <v/>
      </c>
      <c r="N792" s="6" t="str">
        <f t="shared" si="4"/>
        <v/>
      </c>
    </row>
    <row r="793" spans="6:14" ht="14.25" customHeight="1" x14ac:dyDescent="0.3">
      <c r="F793" s="6" t="str">
        <f>IF(A793="","",COUNTIF(Chicks!$G:$G,A793))</f>
        <v/>
      </c>
      <c r="G793" s="6" t="str">
        <f>IF(A793="","",COUNTIFS(Chicks!$G:$G,A793,Chicks!$I:$I,"Yes"))</f>
        <v/>
      </c>
      <c r="H793" s="6" t="str">
        <f>IF(A793="","",SUMIFS(Chicks!$J:$J,Chicks!$G:$G,A793))</f>
        <v/>
      </c>
      <c r="I793" s="6" t="str">
        <f>IF(A793="","",COUNTIFS(Chicks!$G:$G,A793,Chicks!$I:$I,"No"))</f>
        <v/>
      </c>
      <c r="J793" s="6" t="str">
        <f>IF(A793="","",IFERROR(AVERAGEIF(Chicks!$G:$G,A793,Chicks!$M:$M),""))</f>
        <v/>
      </c>
      <c r="K793" s="6" t="str">
        <f>IF(A793="","",SUMIFS(Chicks!$N:$N,Chicks!$G:$G,A793))</f>
        <v/>
      </c>
      <c r="L793" s="6" t="str">
        <f>IF(A793="","",SUMIFS(Chicks!$O:$O,Chicks!$G:$G,A793))</f>
        <v/>
      </c>
      <c r="M793" s="6" t="str">
        <f>IF(A793="","",SUMIFS(Chicks!$P:$P,Chicks!$G:$G,A793))</f>
        <v/>
      </c>
      <c r="N793" s="6" t="str">
        <f t="shared" si="4"/>
        <v/>
      </c>
    </row>
    <row r="794" spans="6:14" ht="14.25" customHeight="1" x14ac:dyDescent="0.3">
      <c r="F794" s="6" t="str">
        <f>IF(A794="","",COUNTIF(Chicks!$G:$G,A794))</f>
        <v/>
      </c>
      <c r="G794" s="6" t="str">
        <f>IF(A794="","",COUNTIFS(Chicks!$G:$G,A794,Chicks!$I:$I,"Yes"))</f>
        <v/>
      </c>
      <c r="H794" s="6" t="str">
        <f>IF(A794="","",SUMIFS(Chicks!$J:$J,Chicks!$G:$G,A794))</f>
        <v/>
      </c>
      <c r="I794" s="6" t="str">
        <f>IF(A794="","",COUNTIFS(Chicks!$G:$G,A794,Chicks!$I:$I,"No"))</f>
        <v/>
      </c>
      <c r="J794" s="6" t="str">
        <f>IF(A794="","",IFERROR(AVERAGEIF(Chicks!$G:$G,A794,Chicks!$M:$M),""))</f>
        <v/>
      </c>
      <c r="K794" s="6" t="str">
        <f>IF(A794="","",SUMIFS(Chicks!$N:$N,Chicks!$G:$G,A794))</f>
        <v/>
      </c>
      <c r="L794" s="6" t="str">
        <f>IF(A794="","",SUMIFS(Chicks!$O:$O,Chicks!$G:$G,A794))</f>
        <v/>
      </c>
      <c r="M794" s="6" t="str">
        <f>IF(A794="","",SUMIFS(Chicks!$P:$P,Chicks!$G:$G,A794))</f>
        <v/>
      </c>
      <c r="N794" s="6" t="str">
        <f t="shared" si="4"/>
        <v/>
      </c>
    </row>
    <row r="795" spans="6:14" ht="14.25" customHeight="1" x14ac:dyDescent="0.3">
      <c r="F795" s="6" t="str">
        <f>IF(A795="","",COUNTIF(Chicks!$G:$G,A795))</f>
        <v/>
      </c>
      <c r="G795" s="6" t="str">
        <f>IF(A795="","",COUNTIFS(Chicks!$G:$G,A795,Chicks!$I:$I,"Yes"))</f>
        <v/>
      </c>
      <c r="H795" s="6" t="str">
        <f>IF(A795="","",SUMIFS(Chicks!$J:$J,Chicks!$G:$G,A795))</f>
        <v/>
      </c>
      <c r="I795" s="6" t="str">
        <f>IF(A795="","",COUNTIFS(Chicks!$G:$G,A795,Chicks!$I:$I,"No"))</f>
        <v/>
      </c>
      <c r="J795" s="6" t="str">
        <f>IF(A795="","",IFERROR(AVERAGEIF(Chicks!$G:$G,A795,Chicks!$M:$M),""))</f>
        <v/>
      </c>
      <c r="K795" s="6" t="str">
        <f>IF(A795="","",SUMIFS(Chicks!$N:$N,Chicks!$G:$G,A795))</f>
        <v/>
      </c>
      <c r="L795" s="6" t="str">
        <f>IF(A795="","",SUMIFS(Chicks!$O:$O,Chicks!$G:$G,A795))</f>
        <v/>
      </c>
      <c r="M795" s="6" t="str">
        <f>IF(A795="","",SUMIFS(Chicks!$P:$P,Chicks!$G:$G,A795))</f>
        <v/>
      </c>
      <c r="N795" s="6" t="str">
        <f t="shared" si="4"/>
        <v/>
      </c>
    </row>
    <row r="796" spans="6:14" ht="14.25" customHeight="1" x14ac:dyDescent="0.3">
      <c r="F796" s="6" t="str">
        <f>IF(A796="","",COUNTIF(Chicks!$G:$G,A796))</f>
        <v/>
      </c>
      <c r="G796" s="6" t="str">
        <f>IF(A796="","",COUNTIFS(Chicks!$G:$G,A796,Chicks!$I:$I,"Yes"))</f>
        <v/>
      </c>
      <c r="H796" s="6" t="str">
        <f>IF(A796="","",SUMIFS(Chicks!$J:$J,Chicks!$G:$G,A796))</f>
        <v/>
      </c>
      <c r="I796" s="6" t="str">
        <f>IF(A796="","",COUNTIFS(Chicks!$G:$G,A796,Chicks!$I:$I,"No"))</f>
        <v/>
      </c>
      <c r="J796" s="6" t="str">
        <f>IF(A796="","",IFERROR(AVERAGEIF(Chicks!$G:$G,A796,Chicks!$M:$M),""))</f>
        <v/>
      </c>
      <c r="K796" s="6" t="str">
        <f>IF(A796="","",SUMIFS(Chicks!$N:$N,Chicks!$G:$G,A796))</f>
        <v/>
      </c>
      <c r="L796" s="6" t="str">
        <f>IF(A796="","",SUMIFS(Chicks!$O:$O,Chicks!$G:$G,A796))</f>
        <v/>
      </c>
      <c r="M796" s="6" t="str">
        <f>IF(A796="","",SUMIFS(Chicks!$P:$P,Chicks!$G:$G,A796))</f>
        <v/>
      </c>
      <c r="N796" s="6" t="str">
        <f t="shared" si="4"/>
        <v/>
      </c>
    </row>
    <row r="797" spans="6:14" ht="14.25" customHeight="1" x14ac:dyDescent="0.3">
      <c r="F797" s="6" t="str">
        <f>IF(A797="","",COUNTIF(Chicks!$G:$G,A797))</f>
        <v/>
      </c>
      <c r="G797" s="6" t="str">
        <f>IF(A797="","",COUNTIFS(Chicks!$G:$G,A797,Chicks!$I:$I,"Yes"))</f>
        <v/>
      </c>
      <c r="H797" s="6" t="str">
        <f>IF(A797="","",SUMIFS(Chicks!$J:$J,Chicks!$G:$G,A797))</f>
        <v/>
      </c>
      <c r="I797" s="6" t="str">
        <f>IF(A797="","",COUNTIFS(Chicks!$G:$G,A797,Chicks!$I:$I,"No"))</f>
        <v/>
      </c>
      <c r="J797" s="6" t="str">
        <f>IF(A797="","",IFERROR(AVERAGEIF(Chicks!$G:$G,A797,Chicks!$M:$M),""))</f>
        <v/>
      </c>
      <c r="K797" s="6" t="str">
        <f>IF(A797="","",SUMIFS(Chicks!$N:$N,Chicks!$G:$G,A797))</f>
        <v/>
      </c>
      <c r="L797" s="6" t="str">
        <f>IF(A797="","",SUMIFS(Chicks!$O:$O,Chicks!$G:$G,A797))</f>
        <v/>
      </c>
      <c r="M797" s="6" t="str">
        <f>IF(A797="","",SUMIFS(Chicks!$P:$P,Chicks!$G:$G,A797))</f>
        <v/>
      </c>
      <c r="N797" s="6" t="str">
        <f t="shared" si="4"/>
        <v/>
      </c>
    </row>
    <row r="798" spans="6:14" ht="14.25" customHeight="1" x14ac:dyDescent="0.3">
      <c r="F798" s="6" t="str">
        <f>IF(A798="","",COUNTIF(Chicks!$G:$G,A798))</f>
        <v/>
      </c>
      <c r="G798" s="6" t="str">
        <f>IF(A798="","",COUNTIFS(Chicks!$G:$G,A798,Chicks!$I:$I,"Yes"))</f>
        <v/>
      </c>
      <c r="H798" s="6" t="str">
        <f>IF(A798="","",SUMIFS(Chicks!$J:$J,Chicks!$G:$G,A798))</f>
        <v/>
      </c>
      <c r="I798" s="6" t="str">
        <f>IF(A798="","",COUNTIFS(Chicks!$G:$G,A798,Chicks!$I:$I,"No"))</f>
        <v/>
      </c>
      <c r="J798" s="6" t="str">
        <f>IF(A798="","",IFERROR(AVERAGEIF(Chicks!$G:$G,A798,Chicks!$M:$M),""))</f>
        <v/>
      </c>
      <c r="K798" s="6" t="str">
        <f>IF(A798="","",SUMIFS(Chicks!$N:$N,Chicks!$G:$G,A798))</f>
        <v/>
      </c>
      <c r="L798" s="6" t="str">
        <f>IF(A798="","",SUMIFS(Chicks!$O:$O,Chicks!$G:$G,A798))</f>
        <v/>
      </c>
      <c r="M798" s="6" t="str">
        <f>IF(A798="","",SUMIFS(Chicks!$P:$P,Chicks!$G:$G,A798))</f>
        <v/>
      </c>
      <c r="N798" s="6" t="str">
        <f t="shared" si="4"/>
        <v/>
      </c>
    </row>
    <row r="799" spans="6:14" ht="14.25" customHeight="1" x14ac:dyDescent="0.3">
      <c r="F799" s="6" t="str">
        <f>IF(A799="","",COUNTIF(Chicks!$G:$G,A799))</f>
        <v/>
      </c>
      <c r="G799" s="6" t="str">
        <f>IF(A799="","",COUNTIFS(Chicks!$G:$G,A799,Chicks!$I:$I,"Yes"))</f>
        <v/>
      </c>
      <c r="H799" s="6" t="str">
        <f>IF(A799="","",SUMIFS(Chicks!$J:$J,Chicks!$G:$G,A799))</f>
        <v/>
      </c>
      <c r="I799" s="6" t="str">
        <f>IF(A799="","",COUNTIFS(Chicks!$G:$G,A799,Chicks!$I:$I,"No"))</f>
        <v/>
      </c>
      <c r="J799" s="6" t="str">
        <f>IF(A799="","",IFERROR(AVERAGEIF(Chicks!$G:$G,A799,Chicks!$M:$M),""))</f>
        <v/>
      </c>
      <c r="K799" s="6" t="str">
        <f>IF(A799="","",SUMIFS(Chicks!$N:$N,Chicks!$G:$G,A799))</f>
        <v/>
      </c>
      <c r="L799" s="6" t="str">
        <f>IF(A799="","",SUMIFS(Chicks!$O:$O,Chicks!$G:$G,A799))</f>
        <v/>
      </c>
      <c r="M799" s="6" t="str">
        <f>IF(A799="","",SUMIFS(Chicks!$P:$P,Chicks!$G:$G,A799))</f>
        <v/>
      </c>
      <c r="N799" s="6" t="str">
        <f t="shared" si="4"/>
        <v/>
      </c>
    </row>
    <row r="800" spans="6:14" ht="14.25" customHeight="1" x14ac:dyDescent="0.3">
      <c r="F800" s="6" t="str">
        <f>IF(A800="","",COUNTIF(Chicks!$G:$G,A800))</f>
        <v/>
      </c>
      <c r="G800" s="6" t="str">
        <f>IF(A800="","",COUNTIFS(Chicks!$G:$G,A800,Chicks!$I:$I,"Yes"))</f>
        <v/>
      </c>
      <c r="H800" s="6" t="str">
        <f>IF(A800="","",SUMIFS(Chicks!$J:$J,Chicks!$G:$G,A800))</f>
        <v/>
      </c>
      <c r="I800" s="6" t="str">
        <f>IF(A800="","",COUNTIFS(Chicks!$G:$G,A800,Chicks!$I:$I,"No"))</f>
        <v/>
      </c>
      <c r="J800" s="6" t="str">
        <f>IF(A800="","",IFERROR(AVERAGEIF(Chicks!$G:$G,A800,Chicks!$M:$M),""))</f>
        <v/>
      </c>
      <c r="K800" s="6" t="str">
        <f>IF(A800="","",SUMIFS(Chicks!$N:$N,Chicks!$G:$G,A800))</f>
        <v/>
      </c>
      <c r="L800" s="6" t="str">
        <f>IF(A800="","",SUMIFS(Chicks!$O:$O,Chicks!$G:$G,A800))</f>
        <v/>
      </c>
      <c r="M800" s="6" t="str">
        <f>IF(A800="","",SUMIFS(Chicks!$P:$P,Chicks!$G:$G,A800))</f>
        <v/>
      </c>
      <c r="N800" s="6" t="str">
        <f t="shared" si="4"/>
        <v/>
      </c>
    </row>
    <row r="801" spans="6:14" ht="14.25" customHeight="1" x14ac:dyDescent="0.3">
      <c r="F801" s="6" t="str">
        <f>IF(A801="","",COUNTIF(Chicks!$G:$G,A801))</f>
        <v/>
      </c>
      <c r="G801" s="6" t="str">
        <f>IF(A801="","",COUNTIFS(Chicks!$G:$G,A801,Chicks!$I:$I,"Yes"))</f>
        <v/>
      </c>
      <c r="H801" s="6" t="str">
        <f>IF(A801="","",SUMIFS(Chicks!$J:$J,Chicks!$G:$G,A801))</f>
        <v/>
      </c>
      <c r="I801" s="6" t="str">
        <f>IF(A801="","",COUNTIFS(Chicks!$G:$G,A801,Chicks!$I:$I,"No"))</f>
        <v/>
      </c>
      <c r="J801" s="6" t="str">
        <f>IF(A801="","",IFERROR(AVERAGEIF(Chicks!$G:$G,A801,Chicks!$M:$M),""))</f>
        <v/>
      </c>
      <c r="K801" s="6" t="str">
        <f>IF(A801="","",SUMIFS(Chicks!$N:$N,Chicks!$G:$G,A801))</f>
        <v/>
      </c>
      <c r="L801" s="6" t="str">
        <f>IF(A801="","",SUMIFS(Chicks!$O:$O,Chicks!$G:$G,A801))</f>
        <v/>
      </c>
      <c r="M801" s="6" t="str">
        <f>IF(A801="","",SUMIFS(Chicks!$P:$P,Chicks!$G:$G,A801))</f>
        <v/>
      </c>
      <c r="N801" s="6" t="str">
        <f t="shared" si="4"/>
        <v/>
      </c>
    </row>
    <row r="802" spans="6:14" ht="14.25" customHeight="1" x14ac:dyDescent="0.3">
      <c r="F802" s="6" t="str">
        <f>IF(A802="","",COUNTIF(Chicks!$G:$G,A802))</f>
        <v/>
      </c>
      <c r="G802" s="6" t="str">
        <f>IF(A802="","",COUNTIFS(Chicks!$G:$G,A802,Chicks!$I:$I,"Yes"))</f>
        <v/>
      </c>
      <c r="H802" s="6" t="str">
        <f>IF(A802="","",SUMIFS(Chicks!$J:$J,Chicks!$G:$G,A802))</f>
        <v/>
      </c>
      <c r="I802" s="6" t="str">
        <f>IF(A802="","",COUNTIFS(Chicks!$G:$G,A802,Chicks!$I:$I,"No"))</f>
        <v/>
      </c>
      <c r="J802" s="6" t="str">
        <f>IF(A802="","",IFERROR(AVERAGEIF(Chicks!$G:$G,A802,Chicks!$M:$M),""))</f>
        <v/>
      </c>
      <c r="K802" s="6" t="str">
        <f>IF(A802="","",SUMIFS(Chicks!$N:$N,Chicks!$G:$G,A802))</f>
        <v/>
      </c>
      <c r="L802" s="6" t="str">
        <f>IF(A802="","",SUMIFS(Chicks!$O:$O,Chicks!$G:$G,A802))</f>
        <v/>
      </c>
      <c r="M802" s="6" t="str">
        <f>IF(A802="","",SUMIFS(Chicks!$P:$P,Chicks!$G:$G,A802))</f>
        <v/>
      </c>
      <c r="N802" s="6" t="str">
        <f t="shared" si="4"/>
        <v/>
      </c>
    </row>
    <row r="803" spans="6:14" ht="14.25" customHeight="1" x14ac:dyDescent="0.3">
      <c r="F803" s="6" t="str">
        <f>IF(A803="","",COUNTIF(Chicks!$G:$G,A803))</f>
        <v/>
      </c>
      <c r="G803" s="6" t="str">
        <f>IF(A803="","",COUNTIFS(Chicks!$G:$G,A803,Chicks!$I:$I,"Yes"))</f>
        <v/>
      </c>
      <c r="H803" s="6" t="str">
        <f>IF(A803="","",SUMIFS(Chicks!$J:$J,Chicks!$G:$G,A803))</f>
        <v/>
      </c>
      <c r="I803" s="6" t="str">
        <f>IF(A803="","",COUNTIFS(Chicks!$G:$G,A803,Chicks!$I:$I,"No"))</f>
        <v/>
      </c>
      <c r="J803" s="6" t="str">
        <f>IF(A803="","",IFERROR(AVERAGEIF(Chicks!$G:$G,A803,Chicks!$M:$M),""))</f>
        <v/>
      </c>
      <c r="K803" s="6" t="str">
        <f>IF(A803="","",SUMIFS(Chicks!$N:$N,Chicks!$G:$G,A803))</f>
        <v/>
      </c>
      <c r="L803" s="6" t="str">
        <f>IF(A803="","",SUMIFS(Chicks!$O:$O,Chicks!$G:$G,A803))</f>
        <v/>
      </c>
      <c r="M803" s="6" t="str">
        <f>IF(A803="","",SUMIFS(Chicks!$P:$P,Chicks!$G:$G,A803))</f>
        <v/>
      </c>
      <c r="N803" s="6" t="str">
        <f t="shared" si="4"/>
        <v/>
      </c>
    </row>
    <row r="804" spans="6:14" ht="14.25" customHeight="1" x14ac:dyDescent="0.3">
      <c r="F804" s="6" t="str">
        <f>IF(A804="","",COUNTIF(Chicks!$G:$G,A804))</f>
        <v/>
      </c>
      <c r="G804" s="6" t="str">
        <f>IF(A804="","",COUNTIFS(Chicks!$G:$G,A804,Chicks!$I:$I,"Yes"))</f>
        <v/>
      </c>
      <c r="H804" s="6" t="str">
        <f>IF(A804="","",SUMIFS(Chicks!$J:$J,Chicks!$G:$G,A804))</f>
        <v/>
      </c>
      <c r="I804" s="6" t="str">
        <f>IF(A804="","",COUNTIFS(Chicks!$G:$G,A804,Chicks!$I:$I,"No"))</f>
        <v/>
      </c>
      <c r="J804" s="6" t="str">
        <f>IF(A804="","",IFERROR(AVERAGEIF(Chicks!$G:$G,A804,Chicks!$M:$M),""))</f>
        <v/>
      </c>
      <c r="K804" s="6" t="str">
        <f>IF(A804="","",SUMIFS(Chicks!$N:$N,Chicks!$G:$G,A804))</f>
        <v/>
      </c>
      <c r="L804" s="6" t="str">
        <f>IF(A804="","",SUMIFS(Chicks!$O:$O,Chicks!$G:$G,A804))</f>
        <v/>
      </c>
      <c r="M804" s="6" t="str">
        <f>IF(A804="","",SUMIFS(Chicks!$P:$P,Chicks!$G:$G,A804))</f>
        <v/>
      </c>
      <c r="N804" s="6" t="str">
        <f t="shared" si="4"/>
        <v/>
      </c>
    </row>
    <row r="805" spans="6:14" ht="14.25" customHeight="1" x14ac:dyDescent="0.3">
      <c r="F805" s="6" t="str">
        <f>IF(A805="","",COUNTIF(Chicks!$G:$G,A805))</f>
        <v/>
      </c>
      <c r="G805" s="6" t="str">
        <f>IF(A805="","",COUNTIFS(Chicks!$G:$G,A805,Chicks!$I:$I,"Yes"))</f>
        <v/>
      </c>
      <c r="H805" s="6" t="str">
        <f>IF(A805="","",SUMIFS(Chicks!$J:$J,Chicks!$G:$G,A805))</f>
        <v/>
      </c>
      <c r="I805" s="6" t="str">
        <f>IF(A805="","",COUNTIFS(Chicks!$G:$G,A805,Chicks!$I:$I,"No"))</f>
        <v/>
      </c>
      <c r="J805" s="6" t="str">
        <f>IF(A805="","",IFERROR(AVERAGEIF(Chicks!$G:$G,A805,Chicks!$M:$M),""))</f>
        <v/>
      </c>
      <c r="K805" s="6" t="str">
        <f>IF(A805="","",SUMIFS(Chicks!$N:$N,Chicks!$G:$G,A805))</f>
        <v/>
      </c>
      <c r="L805" s="6" t="str">
        <f>IF(A805="","",SUMIFS(Chicks!$O:$O,Chicks!$G:$G,A805))</f>
        <v/>
      </c>
      <c r="M805" s="6" t="str">
        <f>IF(A805="","",SUMIFS(Chicks!$P:$P,Chicks!$G:$G,A805))</f>
        <v/>
      </c>
      <c r="N805" s="6" t="str">
        <f t="shared" si="4"/>
        <v/>
      </c>
    </row>
    <row r="806" spans="6:14" ht="14.25" customHeight="1" x14ac:dyDescent="0.3">
      <c r="F806" s="6" t="str">
        <f>IF(A806="","",COUNTIF(Chicks!$G:$G,A806))</f>
        <v/>
      </c>
      <c r="G806" s="6" t="str">
        <f>IF(A806="","",COUNTIFS(Chicks!$G:$G,A806,Chicks!$I:$I,"Yes"))</f>
        <v/>
      </c>
      <c r="H806" s="6" t="str">
        <f>IF(A806="","",SUMIFS(Chicks!$J:$J,Chicks!$G:$G,A806))</f>
        <v/>
      </c>
      <c r="I806" s="6" t="str">
        <f>IF(A806="","",COUNTIFS(Chicks!$G:$G,A806,Chicks!$I:$I,"No"))</f>
        <v/>
      </c>
      <c r="J806" s="6" t="str">
        <f>IF(A806="","",IFERROR(AVERAGEIF(Chicks!$G:$G,A806,Chicks!$M:$M),""))</f>
        <v/>
      </c>
      <c r="K806" s="6" t="str">
        <f>IF(A806="","",SUMIFS(Chicks!$N:$N,Chicks!$G:$G,A806))</f>
        <v/>
      </c>
      <c r="L806" s="6" t="str">
        <f>IF(A806="","",SUMIFS(Chicks!$O:$O,Chicks!$G:$G,A806))</f>
        <v/>
      </c>
      <c r="M806" s="6" t="str">
        <f>IF(A806="","",SUMIFS(Chicks!$P:$P,Chicks!$G:$G,A806))</f>
        <v/>
      </c>
      <c r="N806" s="6" t="str">
        <f t="shared" si="4"/>
        <v/>
      </c>
    </row>
    <row r="807" spans="6:14" ht="14.25" customHeight="1" x14ac:dyDescent="0.3">
      <c r="F807" s="6" t="str">
        <f>IF(A807="","",COUNTIF(Chicks!$G:$G,A807))</f>
        <v/>
      </c>
      <c r="G807" s="6" t="str">
        <f>IF(A807="","",COUNTIFS(Chicks!$G:$G,A807,Chicks!$I:$I,"Yes"))</f>
        <v/>
      </c>
      <c r="H807" s="6" t="str">
        <f>IF(A807="","",SUMIFS(Chicks!$J:$J,Chicks!$G:$G,A807))</f>
        <v/>
      </c>
      <c r="I807" s="6" t="str">
        <f>IF(A807="","",COUNTIFS(Chicks!$G:$G,A807,Chicks!$I:$I,"No"))</f>
        <v/>
      </c>
      <c r="J807" s="6" t="str">
        <f>IF(A807="","",IFERROR(AVERAGEIF(Chicks!$G:$G,A807,Chicks!$M:$M),""))</f>
        <v/>
      </c>
      <c r="K807" s="6" t="str">
        <f>IF(A807="","",SUMIFS(Chicks!$N:$N,Chicks!$G:$G,A807))</f>
        <v/>
      </c>
      <c r="L807" s="6" t="str">
        <f>IF(A807="","",SUMIFS(Chicks!$O:$O,Chicks!$G:$G,A807))</f>
        <v/>
      </c>
      <c r="M807" s="6" t="str">
        <f>IF(A807="","",SUMIFS(Chicks!$P:$P,Chicks!$G:$G,A807))</f>
        <v/>
      </c>
      <c r="N807" s="6" t="str">
        <f t="shared" si="4"/>
        <v/>
      </c>
    </row>
    <row r="808" spans="6:14" ht="14.25" customHeight="1" x14ac:dyDescent="0.3">
      <c r="F808" s="6" t="str">
        <f>IF(A808="","",COUNTIF(Chicks!$G:$G,A808))</f>
        <v/>
      </c>
      <c r="G808" s="6" t="str">
        <f>IF(A808="","",COUNTIFS(Chicks!$G:$G,A808,Chicks!$I:$I,"Yes"))</f>
        <v/>
      </c>
      <c r="H808" s="6" t="str">
        <f>IF(A808="","",SUMIFS(Chicks!$J:$J,Chicks!$G:$G,A808))</f>
        <v/>
      </c>
      <c r="I808" s="6" t="str">
        <f>IF(A808="","",COUNTIFS(Chicks!$G:$G,A808,Chicks!$I:$I,"No"))</f>
        <v/>
      </c>
      <c r="J808" s="6" t="str">
        <f>IF(A808="","",IFERROR(AVERAGEIF(Chicks!$G:$G,A808,Chicks!$M:$M),""))</f>
        <v/>
      </c>
      <c r="K808" s="6" t="str">
        <f>IF(A808="","",SUMIFS(Chicks!$N:$N,Chicks!$G:$G,A808))</f>
        <v/>
      </c>
      <c r="L808" s="6" t="str">
        <f>IF(A808="","",SUMIFS(Chicks!$O:$O,Chicks!$G:$G,A808))</f>
        <v/>
      </c>
      <c r="M808" s="6" t="str">
        <f>IF(A808="","",SUMIFS(Chicks!$P:$P,Chicks!$G:$G,A808))</f>
        <v/>
      </c>
      <c r="N808" s="6" t="str">
        <f t="shared" si="4"/>
        <v/>
      </c>
    </row>
    <row r="809" spans="6:14" ht="14.25" customHeight="1" x14ac:dyDescent="0.3">
      <c r="F809" s="6" t="str">
        <f>IF(A809="","",COUNTIF(Chicks!$G:$G,A809))</f>
        <v/>
      </c>
      <c r="G809" s="6" t="str">
        <f>IF(A809="","",COUNTIFS(Chicks!$G:$G,A809,Chicks!$I:$I,"Yes"))</f>
        <v/>
      </c>
      <c r="H809" s="6" t="str">
        <f>IF(A809="","",SUMIFS(Chicks!$J:$J,Chicks!$G:$G,A809))</f>
        <v/>
      </c>
      <c r="I809" s="6" t="str">
        <f>IF(A809="","",COUNTIFS(Chicks!$G:$G,A809,Chicks!$I:$I,"No"))</f>
        <v/>
      </c>
      <c r="J809" s="6" t="str">
        <f>IF(A809="","",IFERROR(AVERAGEIF(Chicks!$G:$G,A809,Chicks!$M:$M),""))</f>
        <v/>
      </c>
      <c r="K809" s="6" t="str">
        <f>IF(A809="","",SUMIFS(Chicks!$N:$N,Chicks!$G:$G,A809))</f>
        <v/>
      </c>
      <c r="L809" s="6" t="str">
        <f>IF(A809="","",SUMIFS(Chicks!$O:$O,Chicks!$G:$G,A809))</f>
        <v/>
      </c>
      <c r="M809" s="6" t="str">
        <f>IF(A809="","",SUMIFS(Chicks!$P:$P,Chicks!$G:$G,A809))</f>
        <v/>
      </c>
      <c r="N809" s="6" t="str">
        <f t="shared" si="4"/>
        <v/>
      </c>
    </row>
    <row r="810" spans="6:14" ht="14.25" customHeight="1" x14ac:dyDescent="0.3">
      <c r="F810" s="6" t="str">
        <f>IF(A810="","",COUNTIF(Chicks!$G:$G,A810))</f>
        <v/>
      </c>
      <c r="G810" s="6" t="str">
        <f>IF(A810="","",COUNTIFS(Chicks!$G:$G,A810,Chicks!$I:$I,"Yes"))</f>
        <v/>
      </c>
      <c r="H810" s="6" t="str">
        <f>IF(A810="","",SUMIFS(Chicks!$J:$J,Chicks!$G:$G,A810))</f>
        <v/>
      </c>
      <c r="I810" s="6" t="str">
        <f>IF(A810="","",COUNTIFS(Chicks!$G:$G,A810,Chicks!$I:$I,"No"))</f>
        <v/>
      </c>
      <c r="J810" s="6" t="str">
        <f>IF(A810="","",IFERROR(AVERAGEIF(Chicks!$G:$G,A810,Chicks!$M:$M),""))</f>
        <v/>
      </c>
      <c r="K810" s="6" t="str">
        <f>IF(A810="","",SUMIFS(Chicks!$N:$N,Chicks!$G:$G,A810))</f>
        <v/>
      </c>
      <c r="L810" s="6" t="str">
        <f>IF(A810="","",SUMIFS(Chicks!$O:$O,Chicks!$G:$G,A810))</f>
        <v/>
      </c>
      <c r="M810" s="6" t="str">
        <f>IF(A810="","",SUMIFS(Chicks!$P:$P,Chicks!$G:$G,A810))</f>
        <v/>
      </c>
      <c r="N810" s="6" t="str">
        <f t="shared" si="4"/>
        <v/>
      </c>
    </row>
    <row r="811" spans="6:14" ht="14.25" customHeight="1" x14ac:dyDescent="0.3">
      <c r="F811" s="6" t="str">
        <f>IF(A811="","",COUNTIF(Chicks!$G:$G,A811))</f>
        <v/>
      </c>
      <c r="G811" s="6" t="str">
        <f>IF(A811="","",COUNTIFS(Chicks!$G:$G,A811,Chicks!$I:$I,"Yes"))</f>
        <v/>
      </c>
      <c r="H811" s="6" t="str">
        <f>IF(A811="","",SUMIFS(Chicks!$J:$J,Chicks!$G:$G,A811))</f>
        <v/>
      </c>
      <c r="I811" s="6" t="str">
        <f>IF(A811="","",COUNTIFS(Chicks!$G:$G,A811,Chicks!$I:$I,"No"))</f>
        <v/>
      </c>
      <c r="J811" s="6" t="str">
        <f>IF(A811="","",IFERROR(AVERAGEIF(Chicks!$G:$G,A811,Chicks!$M:$M),""))</f>
        <v/>
      </c>
      <c r="K811" s="6" t="str">
        <f>IF(A811="","",SUMIFS(Chicks!$N:$N,Chicks!$G:$G,A811))</f>
        <v/>
      </c>
      <c r="L811" s="6" t="str">
        <f>IF(A811="","",SUMIFS(Chicks!$O:$O,Chicks!$G:$G,A811))</f>
        <v/>
      </c>
      <c r="M811" s="6" t="str">
        <f>IF(A811="","",SUMIFS(Chicks!$P:$P,Chicks!$G:$G,A811))</f>
        <v/>
      </c>
      <c r="N811" s="6" t="str">
        <f t="shared" si="4"/>
        <v/>
      </c>
    </row>
    <row r="812" spans="6:14" ht="14.25" customHeight="1" x14ac:dyDescent="0.3">
      <c r="F812" s="6" t="str">
        <f>IF(A812="","",COUNTIF(Chicks!$G:$G,A812))</f>
        <v/>
      </c>
      <c r="G812" s="6" t="str">
        <f>IF(A812="","",COUNTIFS(Chicks!$G:$G,A812,Chicks!$I:$I,"Yes"))</f>
        <v/>
      </c>
      <c r="H812" s="6" t="str">
        <f>IF(A812="","",SUMIFS(Chicks!$J:$J,Chicks!$G:$G,A812))</f>
        <v/>
      </c>
      <c r="I812" s="6" t="str">
        <f>IF(A812="","",COUNTIFS(Chicks!$G:$G,A812,Chicks!$I:$I,"No"))</f>
        <v/>
      </c>
      <c r="J812" s="6" t="str">
        <f>IF(A812="","",IFERROR(AVERAGEIF(Chicks!$G:$G,A812,Chicks!$M:$M),""))</f>
        <v/>
      </c>
      <c r="K812" s="6" t="str">
        <f>IF(A812="","",SUMIFS(Chicks!$N:$N,Chicks!$G:$G,A812))</f>
        <v/>
      </c>
      <c r="L812" s="6" t="str">
        <f>IF(A812="","",SUMIFS(Chicks!$O:$O,Chicks!$G:$G,A812))</f>
        <v/>
      </c>
      <c r="M812" s="6" t="str">
        <f>IF(A812="","",SUMIFS(Chicks!$P:$P,Chicks!$G:$G,A812))</f>
        <v/>
      </c>
      <c r="N812" s="6" t="str">
        <f t="shared" si="4"/>
        <v/>
      </c>
    </row>
    <row r="813" spans="6:14" ht="14.25" customHeight="1" x14ac:dyDescent="0.3">
      <c r="F813" s="6" t="str">
        <f>IF(A813="","",COUNTIF(Chicks!$G:$G,A813))</f>
        <v/>
      </c>
      <c r="G813" s="6" t="str">
        <f>IF(A813="","",COUNTIFS(Chicks!$G:$G,A813,Chicks!$I:$I,"Yes"))</f>
        <v/>
      </c>
      <c r="H813" s="6" t="str">
        <f>IF(A813="","",SUMIFS(Chicks!$J:$J,Chicks!$G:$G,A813))</f>
        <v/>
      </c>
      <c r="I813" s="6" t="str">
        <f>IF(A813="","",COUNTIFS(Chicks!$G:$G,A813,Chicks!$I:$I,"No"))</f>
        <v/>
      </c>
      <c r="J813" s="6" t="str">
        <f>IF(A813="","",IFERROR(AVERAGEIF(Chicks!$G:$G,A813,Chicks!$M:$M),""))</f>
        <v/>
      </c>
      <c r="K813" s="6" t="str">
        <f>IF(A813="","",SUMIFS(Chicks!$N:$N,Chicks!$G:$G,A813))</f>
        <v/>
      </c>
      <c r="L813" s="6" t="str">
        <f>IF(A813="","",SUMIFS(Chicks!$O:$O,Chicks!$G:$G,A813))</f>
        <v/>
      </c>
      <c r="M813" s="6" t="str">
        <f>IF(A813="","",SUMIFS(Chicks!$P:$P,Chicks!$G:$G,A813))</f>
        <v/>
      </c>
      <c r="N813" s="6" t="str">
        <f t="shared" si="4"/>
        <v/>
      </c>
    </row>
    <row r="814" spans="6:14" ht="14.25" customHeight="1" x14ac:dyDescent="0.3">
      <c r="F814" s="6" t="str">
        <f>IF(A814="","",COUNTIF(Chicks!$G:$G,A814))</f>
        <v/>
      </c>
      <c r="G814" s="6" t="str">
        <f>IF(A814="","",COUNTIFS(Chicks!$G:$G,A814,Chicks!$I:$I,"Yes"))</f>
        <v/>
      </c>
      <c r="H814" s="6" t="str">
        <f>IF(A814="","",SUMIFS(Chicks!$J:$J,Chicks!$G:$G,A814))</f>
        <v/>
      </c>
      <c r="I814" s="6" t="str">
        <f>IF(A814="","",COUNTIFS(Chicks!$G:$G,A814,Chicks!$I:$I,"No"))</f>
        <v/>
      </c>
      <c r="J814" s="6" t="str">
        <f>IF(A814="","",IFERROR(AVERAGEIF(Chicks!$G:$G,A814,Chicks!$M:$M),""))</f>
        <v/>
      </c>
      <c r="K814" s="6" t="str">
        <f>IF(A814="","",SUMIFS(Chicks!$N:$N,Chicks!$G:$G,A814))</f>
        <v/>
      </c>
      <c r="L814" s="6" t="str">
        <f>IF(A814="","",SUMIFS(Chicks!$O:$O,Chicks!$G:$G,A814))</f>
        <v/>
      </c>
      <c r="M814" s="6" t="str">
        <f>IF(A814="","",SUMIFS(Chicks!$P:$P,Chicks!$G:$G,A814))</f>
        <v/>
      </c>
      <c r="N814" s="6" t="str">
        <f t="shared" si="4"/>
        <v/>
      </c>
    </row>
    <row r="815" spans="6:14" ht="14.25" customHeight="1" x14ac:dyDescent="0.3">
      <c r="F815" s="6" t="str">
        <f>IF(A815="","",COUNTIF(Chicks!$G:$G,A815))</f>
        <v/>
      </c>
      <c r="G815" s="6" t="str">
        <f>IF(A815="","",COUNTIFS(Chicks!$G:$G,A815,Chicks!$I:$I,"Yes"))</f>
        <v/>
      </c>
      <c r="H815" s="6" t="str">
        <f>IF(A815="","",SUMIFS(Chicks!$J:$J,Chicks!$G:$G,A815))</f>
        <v/>
      </c>
      <c r="I815" s="6" t="str">
        <f>IF(A815="","",COUNTIFS(Chicks!$G:$G,A815,Chicks!$I:$I,"No"))</f>
        <v/>
      </c>
      <c r="J815" s="6" t="str">
        <f>IF(A815="","",IFERROR(AVERAGEIF(Chicks!$G:$G,A815,Chicks!$M:$M),""))</f>
        <v/>
      </c>
      <c r="K815" s="6" t="str">
        <f>IF(A815="","",SUMIFS(Chicks!$N:$N,Chicks!$G:$G,A815))</f>
        <v/>
      </c>
      <c r="L815" s="6" t="str">
        <f>IF(A815="","",SUMIFS(Chicks!$O:$O,Chicks!$G:$G,A815))</f>
        <v/>
      </c>
      <c r="M815" s="6" t="str">
        <f>IF(A815="","",SUMIFS(Chicks!$P:$P,Chicks!$G:$G,A815))</f>
        <v/>
      </c>
      <c r="N815" s="6" t="str">
        <f t="shared" si="4"/>
        <v/>
      </c>
    </row>
    <row r="816" spans="6:14" ht="14.25" customHeight="1" x14ac:dyDescent="0.3">
      <c r="F816" s="6" t="str">
        <f>IF(A816="","",COUNTIF(Chicks!$G:$G,A816))</f>
        <v/>
      </c>
      <c r="G816" s="6" t="str">
        <f>IF(A816="","",COUNTIFS(Chicks!$G:$G,A816,Chicks!$I:$I,"Yes"))</f>
        <v/>
      </c>
      <c r="H816" s="6" t="str">
        <f>IF(A816="","",SUMIFS(Chicks!$J:$J,Chicks!$G:$G,A816))</f>
        <v/>
      </c>
      <c r="I816" s="6" t="str">
        <f>IF(A816="","",COUNTIFS(Chicks!$G:$G,A816,Chicks!$I:$I,"No"))</f>
        <v/>
      </c>
      <c r="J816" s="6" t="str">
        <f>IF(A816="","",IFERROR(AVERAGEIF(Chicks!$G:$G,A816,Chicks!$M:$M),""))</f>
        <v/>
      </c>
      <c r="K816" s="6" t="str">
        <f>IF(A816="","",SUMIFS(Chicks!$N:$N,Chicks!$G:$G,A816))</f>
        <v/>
      </c>
      <c r="L816" s="6" t="str">
        <f>IF(A816="","",SUMIFS(Chicks!$O:$O,Chicks!$G:$G,A816))</f>
        <v/>
      </c>
      <c r="M816" s="6" t="str">
        <f>IF(A816="","",SUMIFS(Chicks!$P:$P,Chicks!$G:$G,A816))</f>
        <v/>
      </c>
      <c r="N816" s="6" t="str">
        <f t="shared" si="4"/>
        <v/>
      </c>
    </row>
    <row r="817" spans="6:14" ht="14.25" customHeight="1" x14ac:dyDescent="0.3">
      <c r="F817" s="6" t="str">
        <f>IF(A817="","",COUNTIF(Chicks!$G:$G,A817))</f>
        <v/>
      </c>
      <c r="G817" s="6" t="str">
        <f>IF(A817="","",COUNTIFS(Chicks!$G:$G,A817,Chicks!$I:$I,"Yes"))</f>
        <v/>
      </c>
      <c r="H817" s="6" t="str">
        <f>IF(A817="","",SUMIFS(Chicks!$J:$J,Chicks!$G:$G,A817))</f>
        <v/>
      </c>
      <c r="I817" s="6" t="str">
        <f>IF(A817="","",COUNTIFS(Chicks!$G:$G,A817,Chicks!$I:$I,"No"))</f>
        <v/>
      </c>
      <c r="J817" s="6" t="str">
        <f>IF(A817="","",IFERROR(AVERAGEIF(Chicks!$G:$G,A817,Chicks!$M:$M),""))</f>
        <v/>
      </c>
      <c r="K817" s="6" t="str">
        <f>IF(A817="","",SUMIFS(Chicks!$N:$N,Chicks!$G:$G,A817))</f>
        <v/>
      </c>
      <c r="L817" s="6" t="str">
        <f>IF(A817="","",SUMIFS(Chicks!$O:$O,Chicks!$G:$G,A817))</f>
        <v/>
      </c>
      <c r="M817" s="6" t="str">
        <f>IF(A817="","",SUMIFS(Chicks!$P:$P,Chicks!$G:$G,A817))</f>
        <v/>
      </c>
      <c r="N817" s="6" t="str">
        <f t="shared" si="4"/>
        <v/>
      </c>
    </row>
    <row r="818" spans="6:14" ht="14.25" customHeight="1" x14ac:dyDescent="0.3">
      <c r="F818" s="6" t="str">
        <f>IF(A818="","",COUNTIF(Chicks!$G:$G,A818))</f>
        <v/>
      </c>
      <c r="G818" s="6" t="str">
        <f>IF(A818="","",COUNTIFS(Chicks!$G:$G,A818,Chicks!$I:$I,"Yes"))</f>
        <v/>
      </c>
      <c r="H818" s="6" t="str">
        <f>IF(A818="","",SUMIFS(Chicks!$J:$J,Chicks!$G:$G,A818))</f>
        <v/>
      </c>
      <c r="I818" s="6" t="str">
        <f>IF(A818="","",COUNTIFS(Chicks!$G:$G,A818,Chicks!$I:$I,"No"))</f>
        <v/>
      </c>
      <c r="J818" s="6" t="str">
        <f>IF(A818="","",IFERROR(AVERAGEIF(Chicks!$G:$G,A818,Chicks!$M:$M),""))</f>
        <v/>
      </c>
      <c r="K818" s="6" t="str">
        <f>IF(A818="","",SUMIFS(Chicks!$N:$N,Chicks!$G:$G,A818))</f>
        <v/>
      </c>
      <c r="L818" s="6" t="str">
        <f>IF(A818="","",SUMIFS(Chicks!$O:$O,Chicks!$G:$G,A818))</f>
        <v/>
      </c>
      <c r="M818" s="6" t="str">
        <f>IF(A818="","",SUMIFS(Chicks!$P:$P,Chicks!$G:$G,A818))</f>
        <v/>
      </c>
      <c r="N818" s="6" t="str">
        <f t="shared" si="4"/>
        <v/>
      </c>
    </row>
    <row r="819" spans="6:14" ht="14.25" customHeight="1" x14ac:dyDescent="0.3">
      <c r="F819" s="6" t="str">
        <f>IF(A819="","",COUNTIF(Chicks!$G:$G,A819))</f>
        <v/>
      </c>
      <c r="G819" s="6" t="str">
        <f>IF(A819="","",COUNTIFS(Chicks!$G:$G,A819,Chicks!$I:$I,"Yes"))</f>
        <v/>
      </c>
      <c r="H819" s="6" t="str">
        <f>IF(A819="","",SUMIFS(Chicks!$J:$J,Chicks!$G:$G,A819))</f>
        <v/>
      </c>
      <c r="I819" s="6" t="str">
        <f>IF(A819="","",COUNTIFS(Chicks!$G:$G,A819,Chicks!$I:$I,"No"))</f>
        <v/>
      </c>
      <c r="J819" s="6" t="str">
        <f>IF(A819="","",IFERROR(AVERAGEIF(Chicks!$G:$G,A819,Chicks!$M:$M),""))</f>
        <v/>
      </c>
      <c r="K819" s="6" t="str">
        <f>IF(A819="","",SUMIFS(Chicks!$N:$N,Chicks!$G:$G,A819))</f>
        <v/>
      </c>
      <c r="L819" s="6" t="str">
        <f>IF(A819="","",SUMIFS(Chicks!$O:$O,Chicks!$G:$G,A819))</f>
        <v/>
      </c>
      <c r="M819" s="6" t="str">
        <f>IF(A819="","",SUMIFS(Chicks!$P:$P,Chicks!$G:$G,A819))</f>
        <v/>
      </c>
      <c r="N819" s="6" t="str">
        <f t="shared" si="4"/>
        <v/>
      </c>
    </row>
    <row r="820" spans="6:14" ht="14.25" customHeight="1" x14ac:dyDescent="0.3">
      <c r="F820" s="6" t="str">
        <f>IF(A820="","",COUNTIF(Chicks!$G:$G,A820))</f>
        <v/>
      </c>
      <c r="G820" s="6" t="str">
        <f>IF(A820="","",COUNTIFS(Chicks!$G:$G,A820,Chicks!$I:$I,"Yes"))</f>
        <v/>
      </c>
      <c r="H820" s="6" t="str">
        <f>IF(A820="","",SUMIFS(Chicks!$J:$J,Chicks!$G:$G,A820))</f>
        <v/>
      </c>
      <c r="I820" s="6" t="str">
        <f>IF(A820="","",COUNTIFS(Chicks!$G:$G,A820,Chicks!$I:$I,"No"))</f>
        <v/>
      </c>
      <c r="J820" s="6" t="str">
        <f>IF(A820="","",IFERROR(AVERAGEIF(Chicks!$G:$G,A820,Chicks!$M:$M),""))</f>
        <v/>
      </c>
      <c r="K820" s="6" t="str">
        <f>IF(A820="","",SUMIFS(Chicks!$N:$N,Chicks!$G:$G,A820))</f>
        <v/>
      </c>
      <c r="L820" s="6" t="str">
        <f>IF(A820="","",SUMIFS(Chicks!$O:$O,Chicks!$G:$G,A820))</f>
        <v/>
      </c>
      <c r="M820" s="6" t="str">
        <f>IF(A820="","",SUMIFS(Chicks!$P:$P,Chicks!$G:$G,A820))</f>
        <v/>
      </c>
      <c r="N820" s="6" t="str">
        <f t="shared" si="4"/>
        <v/>
      </c>
    </row>
    <row r="821" spans="6:14" ht="14.25" customHeight="1" x14ac:dyDescent="0.3">
      <c r="F821" s="6" t="str">
        <f>IF(A821="","",COUNTIF(Chicks!$G:$G,A821))</f>
        <v/>
      </c>
      <c r="G821" s="6" t="str">
        <f>IF(A821="","",COUNTIFS(Chicks!$G:$G,A821,Chicks!$I:$I,"Yes"))</f>
        <v/>
      </c>
      <c r="H821" s="6" t="str">
        <f>IF(A821="","",SUMIFS(Chicks!$J:$J,Chicks!$G:$G,A821))</f>
        <v/>
      </c>
      <c r="I821" s="6" t="str">
        <f>IF(A821="","",COUNTIFS(Chicks!$G:$G,A821,Chicks!$I:$I,"No"))</f>
        <v/>
      </c>
      <c r="J821" s="6" t="str">
        <f>IF(A821="","",IFERROR(AVERAGEIF(Chicks!$G:$G,A821,Chicks!$M:$M),""))</f>
        <v/>
      </c>
      <c r="K821" s="6" t="str">
        <f>IF(A821="","",SUMIFS(Chicks!$N:$N,Chicks!$G:$G,A821))</f>
        <v/>
      </c>
      <c r="L821" s="6" t="str">
        <f>IF(A821="","",SUMIFS(Chicks!$O:$O,Chicks!$G:$G,A821))</f>
        <v/>
      </c>
      <c r="M821" s="6" t="str">
        <f>IF(A821="","",SUMIFS(Chicks!$P:$P,Chicks!$G:$G,A821))</f>
        <v/>
      </c>
      <c r="N821" s="6" t="str">
        <f t="shared" si="4"/>
        <v/>
      </c>
    </row>
    <row r="822" spans="6:14" ht="14.25" customHeight="1" x14ac:dyDescent="0.3">
      <c r="F822" s="6" t="str">
        <f>IF(A822="","",COUNTIF(Chicks!$G:$G,A822))</f>
        <v/>
      </c>
      <c r="G822" s="6" t="str">
        <f>IF(A822="","",COUNTIFS(Chicks!$G:$G,A822,Chicks!$I:$I,"Yes"))</f>
        <v/>
      </c>
      <c r="H822" s="6" t="str">
        <f>IF(A822="","",SUMIFS(Chicks!$J:$J,Chicks!$G:$G,A822))</f>
        <v/>
      </c>
      <c r="I822" s="6" t="str">
        <f>IF(A822="","",COUNTIFS(Chicks!$G:$G,A822,Chicks!$I:$I,"No"))</f>
        <v/>
      </c>
      <c r="J822" s="6" t="str">
        <f>IF(A822="","",IFERROR(AVERAGEIF(Chicks!$G:$G,A822,Chicks!$M:$M),""))</f>
        <v/>
      </c>
      <c r="K822" s="6" t="str">
        <f>IF(A822="","",SUMIFS(Chicks!$N:$N,Chicks!$G:$G,A822))</f>
        <v/>
      </c>
      <c r="L822" s="6" t="str">
        <f>IF(A822="","",SUMIFS(Chicks!$O:$O,Chicks!$G:$G,A822))</f>
        <v/>
      </c>
      <c r="M822" s="6" t="str">
        <f>IF(A822="","",SUMIFS(Chicks!$P:$P,Chicks!$G:$G,A822))</f>
        <v/>
      </c>
      <c r="N822" s="6" t="str">
        <f t="shared" si="4"/>
        <v/>
      </c>
    </row>
    <row r="823" spans="6:14" ht="14.25" customHeight="1" x14ac:dyDescent="0.3">
      <c r="F823" s="6" t="str">
        <f>IF(A823="","",COUNTIF(Chicks!$G:$G,A823))</f>
        <v/>
      </c>
      <c r="G823" s="6" t="str">
        <f>IF(A823="","",COUNTIFS(Chicks!$G:$G,A823,Chicks!$I:$I,"Yes"))</f>
        <v/>
      </c>
      <c r="H823" s="6" t="str">
        <f>IF(A823="","",SUMIFS(Chicks!$J:$J,Chicks!$G:$G,A823))</f>
        <v/>
      </c>
      <c r="I823" s="6" t="str">
        <f>IF(A823="","",COUNTIFS(Chicks!$G:$G,A823,Chicks!$I:$I,"No"))</f>
        <v/>
      </c>
      <c r="J823" s="6" t="str">
        <f>IF(A823="","",IFERROR(AVERAGEIF(Chicks!$G:$G,A823,Chicks!$M:$M),""))</f>
        <v/>
      </c>
      <c r="K823" s="6" t="str">
        <f>IF(A823="","",SUMIFS(Chicks!$N:$N,Chicks!$G:$G,A823))</f>
        <v/>
      </c>
      <c r="L823" s="6" t="str">
        <f>IF(A823="","",SUMIFS(Chicks!$O:$O,Chicks!$G:$G,A823))</f>
        <v/>
      </c>
      <c r="M823" s="6" t="str">
        <f>IF(A823="","",SUMIFS(Chicks!$P:$P,Chicks!$G:$G,A823))</f>
        <v/>
      </c>
      <c r="N823" s="6" t="str">
        <f t="shared" si="4"/>
        <v/>
      </c>
    </row>
    <row r="824" spans="6:14" ht="14.25" customHeight="1" x14ac:dyDescent="0.3">
      <c r="F824" s="6" t="str">
        <f>IF(A824="","",COUNTIF(Chicks!$G:$G,A824))</f>
        <v/>
      </c>
      <c r="G824" s="6" t="str">
        <f>IF(A824="","",COUNTIFS(Chicks!$G:$G,A824,Chicks!$I:$I,"Yes"))</f>
        <v/>
      </c>
      <c r="H824" s="6" t="str">
        <f>IF(A824="","",SUMIFS(Chicks!$J:$J,Chicks!$G:$G,A824))</f>
        <v/>
      </c>
      <c r="I824" s="6" t="str">
        <f>IF(A824="","",COUNTIFS(Chicks!$G:$G,A824,Chicks!$I:$I,"No"))</f>
        <v/>
      </c>
      <c r="J824" s="6" t="str">
        <f>IF(A824="","",IFERROR(AVERAGEIF(Chicks!$G:$G,A824,Chicks!$M:$M),""))</f>
        <v/>
      </c>
      <c r="K824" s="6" t="str">
        <f>IF(A824="","",SUMIFS(Chicks!$N:$N,Chicks!$G:$G,A824))</f>
        <v/>
      </c>
      <c r="L824" s="6" t="str">
        <f>IF(A824="","",SUMIFS(Chicks!$O:$O,Chicks!$G:$G,A824))</f>
        <v/>
      </c>
      <c r="M824" s="6" t="str">
        <f>IF(A824="","",SUMIFS(Chicks!$P:$P,Chicks!$G:$G,A824))</f>
        <v/>
      </c>
      <c r="N824" s="6" t="str">
        <f t="shared" si="4"/>
        <v/>
      </c>
    </row>
    <row r="825" spans="6:14" ht="14.25" customHeight="1" x14ac:dyDescent="0.3">
      <c r="F825" s="6" t="str">
        <f>IF(A825="","",COUNTIF(Chicks!$G:$G,A825))</f>
        <v/>
      </c>
      <c r="G825" s="6" t="str">
        <f>IF(A825="","",COUNTIFS(Chicks!$G:$G,A825,Chicks!$I:$I,"Yes"))</f>
        <v/>
      </c>
      <c r="H825" s="6" t="str">
        <f>IF(A825="","",SUMIFS(Chicks!$J:$J,Chicks!$G:$G,A825))</f>
        <v/>
      </c>
      <c r="I825" s="6" t="str">
        <f>IF(A825="","",COUNTIFS(Chicks!$G:$G,A825,Chicks!$I:$I,"No"))</f>
        <v/>
      </c>
      <c r="J825" s="6" t="str">
        <f>IF(A825="","",IFERROR(AVERAGEIF(Chicks!$G:$G,A825,Chicks!$M:$M),""))</f>
        <v/>
      </c>
      <c r="K825" s="6" t="str">
        <f>IF(A825="","",SUMIFS(Chicks!$N:$N,Chicks!$G:$G,A825))</f>
        <v/>
      </c>
      <c r="L825" s="6" t="str">
        <f>IF(A825="","",SUMIFS(Chicks!$O:$O,Chicks!$G:$G,A825))</f>
        <v/>
      </c>
      <c r="M825" s="6" t="str">
        <f>IF(A825="","",SUMIFS(Chicks!$P:$P,Chicks!$G:$G,A825))</f>
        <v/>
      </c>
      <c r="N825" s="6" t="str">
        <f t="shared" si="4"/>
        <v/>
      </c>
    </row>
    <row r="826" spans="6:14" ht="14.25" customHeight="1" x14ac:dyDescent="0.3">
      <c r="F826" s="6" t="str">
        <f>IF(A826="","",COUNTIF(Chicks!$G:$G,A826))</f>
        <v/>
      </c>
      <c r="G826" s="6" t="str">
        <f>IF(A826="","",COUNTIFS(Chicks!$G:$G,A826,Chicks!$I:$I,"Yes"))</f>
        <v/>
      </c>
      <c r="H826" s="6" t="str">
        <f>IF(A826="","",SUMIFS(Chicks!$J:$J,Chicks!$G:$G,A826))</f>
        <v/>
      </c>
      <c r="I826" s="6" t="str">
        <f>IF(A826="","",COUNTIFS(Chicks!$G:$G,A826,Chicks!$I:$I,"No"))</f>
        <v/>
      </c>
      <c r="J826" s="6" t="str">
        <f>IF(A826="","",IFERROR(AVERAGEIF(Chicks!$G:$G,A826,Chicks!$M:$M),""))</f>
        <v/>
      </c>
      <c r="K826" s="6" t="str">
        <f>IF(A826="","",SUMIFS(Chicks!$N:$N,Chicks!$G:$G,A826))</f>
        <v/>
      </c>
      <c r="L826" s="6" t="str">
        <f>IF(A826="","",SUMIFS(Chicks!$O:$O,Chicks!$G:$G,A826))</f>
        <v/>
      </c>
      <c r="M826" s="6" t="str">
        <f>IF(A826="","",SUMIFS(Chicks!$P:$P,Chicks!$G:$G,A826))</f>
        <v/>
      </c>
      <c r="N826" s="6" t="str">
        <f t="shared" si="4"/>
        <v/>
      </c>
    </row>
    <row r="827" spans="6:14" ht="14.25" customHeight="1" x14ac:dyDescent="0.3">
      <c r="F827" s="6" t="str">
        <f>IF(A827="","",COUNTIF(Chicks!$G:$G,A827))</f>
        <v/>
      </c>
      <c r="G827" s="6" t="str">
        <f>IF(A827="","",COUNTIFS(Chicks!$G:$G,A827,Chicks!$I:$I,"Yes"))</f>
        <v/>
      </c>
      <c r="H827" s="6" t="str">
        <f>IF(A827="","",SUMIFS(Chicks!$J:$J,Chicks!$G:$G,A827))</f>
        <v/>
      </c>
      <c r="I827" s="6" t="str">
        <f>IF(A827="","",COUNTIFS(Chicks!$G:$G,A827,Chicks!$I:$I,"No"))</f>
        <v/>
      </c>
      <c r="J827" s="6" t="str">
        <f>IF(A827="","",IFERROR(AVERAGEIF(Chicks!$G:$G,A827,Chicks!$M:$M),""))</f>
        <v/>
      </c>
      <c r="K827" s="6" t="str">
        <f>IF(A827="","",SUMIFS(Chicks!$N:$N,Chicks!$G:$G,A827))</f>
        <v/>
      </c>
      <c r="L827" s="6" t="str">
        <f>IF(A827="","",SUMIFS(Chicks!$O:$O,Chicks!$G:$G,A827))</f>
        <v/>
      </c>
      <c r="M827" s="6" t="str">
        <f>IF(A827="","",SUMIFS(Chicks!$P:$P,Chicks!$G:$G,A827))</f>
        <v/>
      </c>
      <c r="N827" s="6" t="str">
        <f t="shared" si="4"/>
        <v/>
      </c>
    </row>
    <row r="828" spans="6:14" ht="14.25" customHeight="1" x14ac:dyDescent="0.3">
      <c r="F828" s="6" t="str">
        <f>IF(A828="","",COUNTIF(Chicks!$G:$G,A828))</f>
        <v/>
      </c>
      <c r="G828" s="6" t="str">
        <f>IF(A828="","",COUNTIFS(Chicks!$G:$G,A828,Chicks!$I:$I,"Yes"))</f>
        <v/>
      </c>
      <c r="H828" s="6" t="str">
        <f>IF(A828="","",SUMIFS(Chicks!$J:$J,Chicks!$G:$G,A828))</f>
        <v/>
      </c>
      <c r="I828" s="6" t="str">
        <f>IF(A828="","",COUNTIFS(Chicks!$G:$G,A828,Chicks!$I:$I,"No"))</f>
        <v/>
      </c>
      <c r="J828" s="6" t="str">
        <f>IF(A828="","",IFERROR(AVERAGEIF(Chicks!$G:$G,A828,Chicks!$M:$M),""))</f>
        <v/>
      </c>
      <c r="K828" s="6" t="str">
        <f>IF(A828="","",SUMIFS(Chicks!$N:$N,Chicks!$G:$G,A828))</f>
        <v/>
      </c>
      <c r="L828" s="6" t="str">
        <f>IF(A828="","",SUMIFS(Chicks!$O:$O,Chicks!$G:$G,A828))</f>
        <v/>
      </c>
      <c r="M828" s="6" t="str">
        <f>IF(A828="","",SUMIFS(Chicks!$P:$P,Chicks!$G:$G,A828))</f>
        <v/>
      </c>
      <c r="N828" s="6" t="str">
        <f t="shared" si="4"/>
        <v/>
      </c>
    </row>
    <row r="829" spans="6:14" ht="14.25" customHeight="1" x14ac:dyDescent="0.3">
      <c r="F829" s="6" t="str">
        <f>IF(A829="","",COUNTIF(Chicks!$G:$G,A829))</f>
        <v/>
      </c>
      <c r="G829" s="6" t="str">
        <f>IF(A829="","",COUNTIFS(Chicks!$G:$G,A829,Chicks!$I:$I,"Yes"))</f>
        <v/>
      </c>
      <c r="H829" s="6" t="str">
        <f>IF(A829="","",SUMIFS(Chicks!$J:$J,Chicks!$G:$G,A829))</f>
        <v/>
      </c>
      <c r="I829" s="6" t="str">
        <f>IF(A829="","",COUNTIFS(Chicks!$G:$G,A829,Chicks!$I:$I,"No"))</f>
        <v/>
      </c>
      <c r="J829" s="6" t="str">
        <f>IF(A829="","",IFERROR(AVERAGEIF(Chicks!$G:$G,A829,Chicks!$M:$M),""))</f>
        <v/>
      </c>
      <c r="K829" s="6" t="str">
        <f>IF(A829="","",SUMIFS(Chicks!$N:$N,Chicks!$G:$G,A829))</f>
        <v/>
      </c>
      <c r="L829" s="6" t="str">
        <f>IF(A829="","",SUMIFS(Chicks!$O:$O,Chicks!$G:$G,A829))</f>
        <v/>
      </c>
      <c r="M829" s="6" t="str">
        <f>IF(A829="","",SUMIFS(Chicks!$P:$P,Chicks!$G:$G,A829))</f>
        <v/>
      </c>
      <c r="N829" s="6" t="str">
        <f t="shared" si="4"/>
        <v/>
      </c>
    </row>
    <row r="830" spans="6:14" ht="14.25" customHeight="1" x14ac:dyDescent="0.3">
      <c r="F830" s="6" t="str">
        <f>IF(A830="","",COUNTIF(Chicks!$G:$G,A830))</f>
        <v/>
      </c>
      <c r="G830" s="6" t="str">
        <f>IF(A830="","",COUNTIFS(Chicks!$G:$G,A830,Chicks!$I:$I,"Yes"))</f>
        <v/>
      </c>
      <c r="H830" s="6" t="str">
        <f>IF(A830="","",SUMIFS(Chicks!$J:$J,Chicks!$G:$G,A830))</f>
        <v/>
      </c>
      <c r="I830" s="6" t="str">
        <f>IF(A830="","",COUNTIFS(Chicks!$G:$G,A830,Chicks!$I:$I,"No"))</f>
        <v/>
      </c>
      <c r="J830" s="6" t="str">
        <f>IF(A830="","",IFERROR(AVERAGEIF(Chicks!$G:$G,A830,Chicks!$M:$M),""))</f>
        <v/>
      </c>
      <c r="K830" s="6" t="str">
        <f>IF(A830="","",SUMIFS(Chicks!$N:$N,Chicks!$G:$G,A830))</f>
        <v/>
      </c>
      <c r="L830" s="6" t="str">
        <f>IF(A830="","",SUMIFS(Chicks!$O:$O,Chicks!$G:$G,A830))</f>
        <v/>
      </c>
      <c r="M830" s="6" t="str">
        <f>IF(A830="","",SUMIFS(Chicks!$P:$P,Chicks!$G:$G,A830))</f>
        <v/>
      </c>
      <c r="N830" s="6" t="str">
        <f t="shared" si="4"/>
        <v/>
      </c>
    </row>
    <row r="831" spans="6:14" ht="14.25" customHeight="1" x14ac:dyDescent="0.3">
      <c r="F831" s="6" t="str">
        <f>IF(A831="","",COUNTIF(Chicks!$G:$G,A831))</f>
        <v/>
      </c>
      <c r="G831" s="6" t="str">
        <f>IF(A831="","",COUNTIFS(Chicks!$G:$G,A831,Chicks!$I:$I,"Yes"))</f>
        <v/>
      </c>
      <c r="H831" s="6" t="str">
        <f>IF(A831="","",SUMIFS(Chicks!$J:$J,Chicks!$G:$G,A831))</f>
        <v/>
      </c>
      <c r="I831" s="6" t="str">
        <f>IF(A831="","",COUNTIFS(Chicks!$G:$G,A831,Chicks!$I:$I,"No"))</f>
        <v/>
      </c>
      <c r="J831" s="6" t="str">
        <f>IF(A831="","",IFERROR(AVERAGEIF(Chicks!$G:$G,A831,Chicks!$M:$M),""))</f>
        <v/>
      </c>
      <c r="K831" s="6" t="str">
        <f>IF(A831="","",SUMIFS(Chicks!$N:$N,Chicks!$G:$G,A831))</f>
        <v/>
      </c>
      <c r="L831" s="6" t="str">
        <f>IF(A831="","",SUMIFS(Chicks!$O:$O,Chicks!$G:$G,A831))</f>
        <v/>
      </c>
      <c r="M831" s="6" t="str">
        <f>IF(A831="","",SUMIFS(Chicks!$P:$P,Chicks!$G:$G,A831))</f>
        <v/>
      </c>
      <c r="N831" s="6" t="str">
        <f t="shared" si="4"/>
        <v/>
      </c>
    </row>
    <row r="832" spans="6:14" ht="14.25" customHeight="1" x14ac:dyDescent="0.3">
      <c r="F832" s="6" t="str">
        <f>IF(A832="","",COUNTIF(Chicks!$G:$G,A832))</f>
        <v/>
      </c>
      <c r="G832" s="6" t="str">
        <f>IF(A832="","",COUNTIFS(Chicks!$G:$G,A832,Chicks!$I:$I,"Yes"))</f>
        <v/>
      </c>
      <c r="H832" s="6" t="str">
        <f>IF(A832="","",SUMIFS(Chicks!$J:$J,Chicks!$G:$G,A832))</f>
        <v/>
      </c>
      <c r="I832" s="6" t="str">
        <f>IF(A832="","",COUNTIFS(Chicks!$G:$G,A832,Chicks!$I:$I,"No"))</f>
        <v/>
      </c>
      <c r="J832" s="6" t="str">
        <f>IF(A832="","",IFERROR(AVERAGEIF(Chicks!$G:$G,A832,Chicks!$M:$M),""))</f>
        <v/>
      </c>
      <c r="K832" s="6" t="str">
        <f>IF(A832="","",SUMIFS(Chicks!$N:$N,Chicks!$G:$G,A832))</f>
        <v/>
      </c>
      <c r="L832" s="6" t="str">
        <f>IF(A832="","",SUMIFS(Chicks!$O:$O,Chicks!$G:$G,A832))</f>
        <v/>
      </c>
      <c r="M832" s="6" t="str">
        <f>IF(A832="","",SUMIFS(Chicks!$P:$P,Chicks!$G:$G,A832))</f>
        <v/>
      </c>
      <c r="N832" s="6" t="str">
        <f t="shared" si="4"/>
        <v/>
      </c>
    </row>
    <row r="833" spans="6:14" ht="14.25" customHeight="1" x14ac:dyDescent="0.3">
      <c r="F833" s="6" t="str">
        <f>IF(A833="","",COUNTIF(Chicks!$G:$G,A833))</f>
        <v/>
      </c>
      <c r="G833" s="6" t="str">
        <f>IF(A833="","",COUNTIFS(Chicks!$G:$G,A833,Chicks!$I:$I,"Yes"))</f>
        <v/>
      </c>
      <c r="H833" s="6" t="str">
        <f>IF(A833="","",SUMIFS(Chicks!$J:$J,Chicks!$G:$G,A833))</f>
        <v/>
      </c>
      <c r="I833" s="6" t="str">
        <f>IF(A833="","",COUNTIFS(Chicks!$G:$G,A833,Chicks!$I:$I,"No"))</f>
        <v/>
      </c>
      <c r="J833" s="6" t="str">
        <f>IF(A833="","",IFERROR(AVERAGEIF(Chicks!$G:$G,A833,Chicks!$M:$M),""))</f>
        <v/>
      </c>
      <c r="K833" s="6" t="str">
        <f>IF(A833="","",SUMIFS(Chicks!$N:$N,Chicks!$G:$G,A833))</f>
        <v/>
      </c>
      <c r="L833" s="6" t="str">
        <f>IF(A833="","",SUMIFS(Chicks!$O:$O,Chicks!$G:$G,A833))</f>
        <v/>
      </c>
      <c r="M833" s="6" t="str">
        <f>IF(A833="","",SUMIFS(Chicks!$P:$P,Chicks!$G:$G,A833))</f>
        <v/>
      </c>
      <c r="N833" s="6" t="str">
        <f t="shared" si="4"/>
        <v/>
      </c>
    </row>
    <row r="834" spans="6:14" ht="14.25" customHeight="1" x14ac:dyDescent="0.3">
      <c r="F834" s="6" t="str">
        <f>IF(A834="","",COUNTIF(Chicks!$G:$G,A834))</f>
        <v/>
      </c>
      <c r="G834" s="6" t="str">
        <f>IF(A834="","",COUNTIFS(Chicks!$G:$G,A834,Chicks!$I:$I,"Yes"))</f>
        <v/>
      </c>
      <c r="H834" s="6" t="str">
        <f>IF(A834="","",SUMIFS(Chicks!$J:$J,Chicks!$G:$G,A834))</f>
        <v/>
      </c>
      <c r="I834" s="6" t="str">
        <f>IF(A834="","",COUNTIFS(Chicks!$G:$G,A834,Chicks!$I:$I,"No"))</f>
        <v/>
      </c>
      <c r="J834" s="6" t="str">
        <f>IF(A834="","",IFERROR(AVERAGEIF(Chicks!$G:$G,A834,Chicks!$M:$M),""))</f>
        <v/>
      </c>
      <c r="K834" s="6" t="str">
        <f>IF(A834="","",SUMIFS(Chicks!$N:$N,Chicks!$G:$G,A834))</f>
        <v/>
      </c>
      <c r="L834" s="6" t="str">
        <f>IF(A834="","",SUMIFS(Chicks!$O:$O,Chicks!$G:$G,A834))</f>
        <v/>
      </c>
      <c r="M834" s="6" t="str">
        <f>IF(A834="","",SUMIFS(Chicks!$P:$P,Chicks!$G:$G,A834))</f>
        <v/>
      </c>
      <c r="N834" s="6" t="str">
        <f t="shared" si="4"/>
        <v/>
      </c>
    </row>
    <row r="835" spans="6:14" ht="14.25" customHeight="1" x14ac:dyDescent="0.3">
      <c r="F835" s="6" t="str">
        <f>IF(A835="","",COUNTIF(Chicks!$G:$G,A835))</f>
        <v/>
      </c>
      <c r="G835" s="6" t="str">
        <f>IF(A835="","",COUNTIFS(Chicks!$G:$G,A835,Chicks!$I:$I,"Yes"))</f>
        <v/>
      </c>
      <c r="H835" s="6" t="str">
        <f>IF(A835="","",SUMIFS(Chicks!$J:$J,Chicks!$G:$G,A835))</f>
        <v/>
      </c>
      <c r="I835" s="6" t="str">
        <f>IF(A835="","",COUNTIFS(Chicks!$G:$G,A835,Chicks!$I:$I,"No"))</f>
        <v/>
      </c>
      <c r="J835" s="6" t="str">
        <f>IF(A835="","",IFERROR(AVERAGEIF(Chicks!$G:$G,A835,Chicks!$M:$M),""))</f>
        <v/>
      </c>
      <c r="K835" s="6" t="str">
        <f>IF(A835="","",SUMIFS(Chicks!$N:$N,Chicks!$G:$G,A835))</f>
        <v/>
      </c>
      <c r="L835" s="6" t="str">
        <f>IF(A835="","",SUMIFS(Chicks!$O:$O,Chicks!$G:$G,A835))</f>
        <v/>
      </c>
      <c r="M835" s="6" t="str">
        <f>IF(A835="","",SUMIFS(Chicks!$P:$P,Chicks!$G:$G,A835))</f>
        <v/>
      </c>
      <c r="N835" s="6" t="str">
        <f t="shared" si="4"/>
        <v/>
      </c>
    </row>
    <row r="836" spans="6:14" ht="14.25" customHeight="1" x14ac:dyDescent="0.3">
      <c r="F836" s="6" t="str">
        <f>IF(A836="","",COUNTIF(Chicks!$G:$G,A836))</f>
        <v/>
      </c>
      <c r="G836" s="6" t="str">
        <f>IF(A836="","",COUNTIFS(Chicks!$G:$G,A836,Chicks!$I:$I,"Yes"))</f>
        <v/>
      </c>
      <c r="H836" s="6" t="str">
        <f>IF(A836="","",SUMIFS(Chicks!$J:$J,Chicks!$G:$G,A836))</f>
        <v/>
      </c>
      <c r="I836" s="6" t="str">
        <f>IF(A836="","",COUNTIFS(Chicks!$G:$G,A836,Chicks!$I:$I,"No"))</f>
        <v/>
      </c>
      <c r="J836" s="6" t="str">
        <f>IF(A836="","",IFERROR(AVERAGEIF(Chicks!$G:$G,A836,Chicks!$M:$M),""))</f>
        <v/>
      </c>
      <c r="K836" s="6" t="str">
        <f>IF(A836="","",SUMIFS(Chicks!$N:$N,Chicks!$G:$G,A836))</f>
        <v/>
      </c>
      <c r="L836" s="6" t="str">
        <f>IF(A836="","",SUMIFS(Chicks!$O:$O,Chicks!$G:$G,A836))</f>
        <v/>
      </c>
      <c r="M836" s="6" t="str">
        <f>IF(A836="","",SUMIFS(Chicks!$P:$P,Chicks!$G:$G,A836))</f>
        <v/>
      </c>
      <c r="N836" s="6" t="str">
        <f t="shared" si="4"/>
        <v/>
      </c>
    </row>
    <row r="837" spans="6:14" ht="14.25" customHeight="1" x14ac:dyDescent="0.3">
      <c r="F837" s="6" t="str">
        <f>IF(A837="","",COUNTIF(Chicks!$G:$G,A837))</f>
        <v/>
      </c>
      <c r="G837" s="6" t="str">
        <f>IF(A837="","",COUNTIFS(Chicks!$G:$G,A837,Chicks!$I:$I,"Yes"))</f>
        <v/>
      </c>
      <c r="H837" s="6" t="str">
        <f>IF(A837="","",SUMIFS(Chicks!$J:$J,Chicks!$G:$G,A837))</f>
        <v/>
      </c>
      <c r="I837" s="6" t="str">
        <f>IF(A837="","",COUNTIFS(Chicks!$G:$G,A837,Chicks!$I:$I,"No"))</f>
        <v/>
      </c>
      <c r="J837" s="6" t="str">
        <f>IF(A837="","",IFERROR(AVERAGEIF(Chicks!$G:$G,A837,Chicks!$M:$M),""))</f>
        <v/>
      </c>
      <c r="K837" s="6" t="str">
        <f>IF(A837="","",SUMIFS(Chicks!$N:$N,Chicks!$G:$G,A837))</f>
        <v/>
      </c>
      <c r="L837" s="6" t="str">
        <f>IF(A837="","",SUMIFS(Chicks!$O:$O,Chicks!$G:$G,A837))</f>
        <v/>
      </c>
      <c r="M837" s="6" t="str">
        <f>IF(A837="","",SUMIFS(Chicks!$P:$P,Chicks!$G:$G,A837))</f>
        <v/>
      </c>
      <c r="N837" s="6" t="str">
        <f t="shared" si="4"/>
        <v/>
      </c>
    </row>
    <row r="838" spans="6:14" ht="14.25" customHeight="1" x14ac:dyDescent="0.3">
      <c r="F838" s="6" t="str">
        <f>IF(A838="","",COUNTIF(Chicks!$G:$G,A838))</f>
        <v/>
      </c>
      <c r="G838" s="6" t="str">
        <f>IF(A838="","",COUNTIFS(Chicks!$G:$G,A838,Chicks!$I:$I,"Yes"))</f>
        <v/>
      </c>
      <c r="H838" s="6" t="str">
        <f>IF(A838="","",SUMIFS(Chicks!$J:$J,Chicks!$G:$G,A838))</f>
        <v/>
      </c>
      <c r="I838" s="6" t="str">
        <f>IF(A838="","",COUNTIFS(Chicks!$G:$G,A838,Chicks!$I:$I,"No"))</f>
        <v/>
      </c>
      <c r="J838" s="6" t="str">
        <f>IF(A838="","",IFERROR(AVERAGEIF(Chicks!$G:$G,A838,Chicks!$M:$M),""))</f>
        <v/>
      </c>
      <c r="K838" s="6" t="str">
        <f>IF(A838="","",SUMIFS(Chicks!$N:$N,Chicks!$G:$G,A838))</f>
        <v/>
      </c>
      <c r="L838" s="6" t="str">
        <f>IF(A838="","",SUMIFS(Chicks!$O:$O,Chicks!$G:$G,A838))</f>
        <v/>
      </c>
      <c r="M838" s="6" t="str">
        <f>IF(A838="","",SUMIFS(Chicks!$P:$P,Chicks!$G:$G,A838))</f>
        <v/>
      </c>
      <c r="N838" s="6" t="str">
        <f t="shared" si="4"/>
        <v/>
      </c>
    </row>
    <row r="839" spans="6:14" ht="14.25" customHeight="1" x14ac:dyDescent="0.3">
      <c r="F839" s="6" t="str">
        <f>IF(A839="","",COUNTIF(Chicks!$G:$G,A839))</f>
        <v/>
      </c>
      <c r="G839" s="6" t="str">
        <f>IF(A839="","",COUNTIFS(Chicks!$G:$G,A839,Chicks!$I:$I,"Yes"))</f>
        <v/>
      </c>
      <c r="H839" s="6" t="str">
        <f>IF(A839="","",SUMIFS(Chicks!$J:$J,Chicks!$G:$G,A839))</f>
        <v/>
      </c>
      <c r="I839" s="6" t="str">
        <f>IF(A839="","",COUNTIFS(Chicks!$G:$G,A839,Chicks!$I:$I,"No"))</f>
        <v/>
      </c>
      <c r="J839" s="6" t="str">
        <f>IF(A839="","",IFERROR(AVERAGEIF(Chicks!$G:$G,A839,Chicks!$M:$M),""))</f>
        <v/>
      </c>
      <c r="K839" s="6" t="str">
        <f>IF(A839="","",SUMIFS(Chicks!$N:$N,Chicks!$G:$G,A839))</f>
        <v/>
      </c>
      <c r="L839" s="6" t="str">
        <f>IF(A839="","",SUMIFS(Chicks!$O:$O,Chicks!$G:$G,A839))</f>
        <v/>
      </c>
      <c r="M839" s="6" t="str">
        <f>IF(A839="","",SUMIFS(Chicks!$P:$P,Chicks!$G:$G,A839))</f>
        <v/>
      </c>
      <c r="N839" s="6" t="str">
        <f t="shared" si="4"/>
        <v/>
      </c>
    </row>
    <row r="840" spans="6:14" ht="14.25" customHeight="1" x14ac:dyDescent="0.3">
      <c r="F840" s="6" t="str">
        <f>IF(A840="","",COUNTIF(Chicks!$G:$G,A840))</f>
        <v/>
      </c>
      <c r="G840" s="6" t="str">
        <f>IF(A840="","",COUNTIFS(Chicks!$G:$G,A840,Chicks!$I:$I,"Yes"))</f>
        <v/>
      </c>
      <c r="H840" s="6" t="str">
        <f>IF(A840="","",SUMIFS(Chicks!$J:$J,Chicks!$G:$G,A840))</f>
        <v/>
      </c>
      <c r="I840" s="6" t="str">
        <f>IF(A840="","",COUNTIFS(Chicks!$G:$G,A840,Chicks!$I:$I,"No"))</f>
        <v/>
      </c>
      <c r="J840" s="6" t="str">
        <f>IF(A840="","",IFERROR(AVERAGEIF(Chicks!$G:$G,A840,Chicks!$M:$M),""))</f>
        <v/>
      </c>
      <c r="K840" s="6" t="str">
        <f>IF(A840="","",SUMIFS(Chicks!$N:$N,Chicks!$G:$G,A840))</f>
        <v/>
      </c>
      <c r="L840" s="6" t="str">
        <f>IF(A840="","",SUMIFS(Chicks!$O:$O,Chicks!$G:$G,A840))</f>
        <v/>
      </c>
      <c r="M840" s="6" t="str">
        <f>IF(A840="","",SUMIFS(Chicks!$P:$P,Chicks!$G:$G,A840))</f>
        <v/>
      </c>
      <c r="N840" s="6" t="str">
        <f t="shared" si="4"/>
        <v/>
      </c>
    </row>
    <row r="841" spans="6:14" ht="14.25" customHeight="1" x14ac:dyDescent="0.3">
      <c r="F841" s="6" t="str">
        <f>IF(A841="","",COUNTIF(Chicks!$G:$G,A841))</f>
        <v/>
      </c>
      <c r="G841" s="6" t="str">
        <f>IF(A841="","",COUNTIFS(Chicks!$G:$G,A841,Chicks!$I:$I,"Yes"))</f>
        <v/>
      </c>
      <c r="H841" s="6" t="str">
        <f>IF(A841="","",SUMIFS(Chicks!$J:$J,Chicks!$G:$G,A841))</f>
        <v/>
      </c>
      <c r="I841" s="6" t="str">
        <f>IF(A841="","",COUNTIFS(Chicks!$G:$G,A841,Chicks!$I:$I,"No"))</f>
        <v/>
      </c>
      <c r="J841" s="6" t="str">
        <f>IF(A841="","",IFERROR(AVERAGEIF(Chicks!$G:$G,A841,Chicks!$M:$M),""))</f>
        <v/>
      </c>
      <c r="K841" s="6" t="str">
        <f>IF(A841="","",SUMIFS(Chicks!$N:$N,Chicks!$G:$G,A841))</f>
        <v/>
      </c>
      <c r="L841" s="6" t="str">
        <f>IF(A841="","",SUMIFS(Chicks!$O:$O,Chicks!$G:$G,A841))</f>
        <v/>
      </c>
      <c r="M841" s="6" t="str">
        <f>IF(A841="","",SUMIFS(Chicks!$P:$P,Chicks!$G:$G,A841))</f>
        <v/>
      </c>
      <c r="N841" s="6" t="str">
        <f t="shared" si="4"/>
        <v/>
      </c>
    </row>
    <row r="842" spans="6:14" ht="14.25" customHeight="1" x14ac:dyDescent="0.3">
      <c r="F842" s="6" t="str">
        <f>IF(A842="","",COUNTIF(Chicks!$G:$G,A842))</f>
        <v/>
      </c>
      <c r="G842" s="6" t="str">
        <f>IF(A842="","",COUNTIFS(Chicks!$G:$G,A842,Chicks!$I:$I,"Yes"))</f>
        <v/>
      </c>
      <c r="H842" s="6" t="str">
        <f>IF(A842="","",SUMIFS(Chicks!$J:$J,Chicks!$G:$G,A842))</f>
        <v/>
      </c>
      <c r="I842" s="6" t="str">
        <f>IF(A842="","",COUNTIFS(Chicks!$G:$G,A842,Chicks!$I:$I,"No"))</f>
        <v/>
      </c>
      <c r="J842" s="6" t="str">
        <f>IF(A842="","",IFERROR(AVERAGEIF(Chicks!$G:$G,A842,Chicks!$M:$M),""))</f>
        <v/>
      </c>
      <c r="K842" s="6" t="str">
        <f>IF(A842="","",SUMIFS(Chicks!$N:$N,Chicks!$G:$G,A842))</f>
        <v/>
      </c>
      <c r="L842" s="6" t="str">
        <f>IF(A842="","",SUMIFS(Chicks!$O:$O,Chicks!$G:$G,A842))</f>
        <v/>
      </c>
      <c r="M842" s="6" t="str">
        <f>IF(A842="","",SUMIFS(Chicks!$P:$P,Chicks!$G:$G,A842))</f>
        <v/>
      </c>
      <c r="N842" s="6" t="str">
        <f t="shared" si="4"/>
        <v/>
      </c>
    </row>
    <row r="843" spans="6:14" ht="14.25" customHeight="1" x14ac:dyDescent="0.3">
      <c r="F843" s="6" t="str">
        <f>IF(A843="","",COUNTIF(Chicks!$G:$G,A843))</f>
        <v/>
      </c>
      <c r="G843" s="6" t="str">
        <f>IF(A843="","",COUNTIFS(Chicks!$G:$G,A843,Chicks!$I:$I,"Yes"))</f>
        <v/>
      </c>
      <c r="H843" s="6" t="str">
        <f>IF(A843="","",SUMIFS(Chicks!$J:$J,Chicks!$G:$G,A843))</f>
        <v/>
      </c>
      <c r="I843" s="6" t="str">
        <f>IF(A843="","",COUNTIFS(Chicks!$G:$G,A843,Chicks!$I:$I,"No"))</f>
        <v/>
      </c>
      <c r="J843" s="6" t="str">
        <f>IF(A843="","",IFERROR(AVERAGEIF(Chicks!$G:$G,A843,Chicks!$M:$M),""))</f>
        <v/>
      </c>
      <c r="K843" s="6" t="str">
        <f>IF(A843="","",SUMIFS(Chicks!$N:$N,Chicks!$G:$G,A843))</f>
        <v/>
      </c>
      <c r="L843" s="6" t="str">
        <f>IF(A843="","",SUMIFS(Chicks!$O:$O,Chicks!$G:$G,A843))</f>
        <v/>
      </c>
      <c r="M843" s="6" t="str">
        <f>IF(A843="","",SUMIFS(Chicks!$P:$P,Chicks!$G:$G,A843))</f>
        <v/>
      </c>
      <c r="N843" s="6" t="str">
        <f t="shared" si="4"/>
        <v/>
      </c>
    </row>
    <row r="844" spans="6:14" ht="14.25" customHeight="1" x14ac:dyDescent="0.3">
      <c r="F844" s="6" t="str">
        <f>IF(A844="","",COUNTIF(Chicks!$G:$G,A844))</f>
        <v/>
      </c>
      <c r="G844" s="6" t="str">
        <f>IF(A844="","",COUNTIFS(Chicks!$G:$G,A844,Chicks!$I:$I,"Yes"))</f>
        <v/>
      </c>
      <c r="H844" s="6" t="str">
        <f>IF(A844="","",SUMIFS(Chicks!$J:$J,Chicks!$G:$G,A844))</f>
        <v/>
      </c>
      <c r="I844" s="6" t="str">
        <f>IF(A844="","",COUNTIFS(Chicks!$G:$G,A844,Chicks!$I:$I,"No"))</f>
        <v/>
      </c>
      <c r="J844" s="6" t="str">
        <f>IF(A844="","",IFERROR(AVERAGEIF(Chicks!$G:$G,A844,Chicks!$M:$M),""))</f>
        <v/>
      </c>
      <c r="K844" s="6" t="str">
        <f>IF(A844="","",SUMIFS(Chicks!$N:$N,Chicks!$G:$G,A844))</f>
        <v/>
      </c>
      <c r="L844" s="6" t="str">
        <f>IF(A844="","",SUMIFS(Chicks!$O:$O,Chicks!$G:$G,A844))</f>
        <v/>
      </c>
      <c r="M844" s="6" t="str">
        <f>IF(A844="","",SUMIFS(Chicks!$P:$P,Chicks!$G:$G,A844))</f>
        <v/>
      </c>
      <c r="N844" s="6" t="str">
        <f t="shared" si="4"/>
        <v/>
      </c>
    </row>
    <row r="845" spans="6:14" ht="14.25" customHeight="1" x14ac:dyDescent="0.3">
      <c r="F845" s="6" t="str">
        <f>IF(A845="","",COUNTIF(Chicks!$G:$G,A845))</f>
        <v/>
      </c>
      <c r="G845" s="6" t="str">
        <f>IF(A845="","",COUNTIFS(Chicks!$G:$G,A845,Chicks!$I:$I,"Yes"))</f>
        <v/>
      </c>
      <c r="H845" s="6" t="str">
        <f>IF(A845="","",SUMIFS(Chicks!$J:$J,Chicks!$G:$G,A845))</f>
        <v/>
      </c>
      <c r="I845" s="6" t="str">
        <f>IF(A845="","",COUNTIFS(Chicks!$G:$G,A845,Chicks!$I:$I,"No"))</f>
        <v/>
      </c>
      <c r="J845" s="6" t="str">
        <f>IF(A845="","",IFERROR(AVERAGEIF(Chicks!$G:$G,A845,Chicks!$M:$M),""))</f>
        <v/>
      </c>
      <c r="K845" s="6" t="str">
        <f>IF(A845="","",SUMIFS(Chicks!$N:$N,Chicks!$G:$G,A845))</f>
        <v/>
      </c>
      <c r="L845" s="6" t="str">
        <f>IF(A845="","",SUMIFS(Chicks!$O:$O,Chicks!$G:$G,A845))</f>
        <v/>
      </c>
      <c r="M845" s="6" t="str">
        <f>IF(A845="","",SUMIFS(Chicks!$P:$P,Chicks!$G:$G,A845))</f>
        <v/>
      </c>
      <c r="N845" s="6" t="str">
        <f t="shared" si="4"/>
        <v/>
      </c>
    </row>
    <row r="846" spans="6:14" ht="14.25" customHeight="1" x14ac:dyDescent="0.3">
      <c r="F846" s="6" t="str">
        <f>IF(A846="","",COUNTIF(Chicks!$G:$G,A846))</f>
        <v/>
      </c>
      <c r="G846" s="6" t="str">
        <f>IF(A846="","",COUNTIFS(Chicks!$G:$G,A846,Chicks!$I:$I,"Yes"))</f>
        <v/>
      </c>
      <c r="H846" s="6" t="str">
        <f>IF(A846="","",SUMIFS(Chicks!$J:$J,Chicks!$G:$G,A846))</f>
        <v/>
      </c>
      <c r="I846" s="6" t="str">
        <f>IF(A846="","",COUNTIFS(Chicks!$G:$G,A846,Chicks!$I:$I,"No"))</f>
        <v/>
      </c>
      <c r="J846" s="6" t="str">
        <f>IF(A846="","",IFERROR(AVERAGEIF(Chicks!$G:$G,A846,Chicks!$M:$M),""))</f>
        <v/>
      </c>
      <c r="K846" s="6" t="str">
        <f>IF(A846="","",SUMIFS(Chicks!$N:$N,Chicks!$G:$G,A846))</f>
        <v/>
      </c>
      <c r="L846" s="6" t="str">
        <f>IF(A846="","",SUMIFS(Chicks!$O:$O,Chicks!$G:$G,A846))</f>
        <v/>
      </c>
      <c r="M846" s="6" t="str">
        <f>IF(A846="","",SUMIFS(Chicks!$P:$P,Chicks!$G:$G,A846))</f>
        <v/>
      </c>
      <c r="N846" s="6" t="str">
        <f t="shared" si="4"/>
        <v/>
      </c>
    </row>
    <row r="847" spans="6:14" ht="14.25" customHeight="1" x14ac:dyDescent="0.3">
      <c r="F847" s="6" t="str">
        <f>IF(A847="","",COUNTIF(Chicks!$G:$G,A847))</f>
        <v/>
      </c>
      <c r="G847" s="6" t="str">
        <f>IF(A847="","",COUNTIFS(Chicks!$G:$G,A847,Chicks!$I:$I,"Yes"))</f>
        <v/>
      </c>
      <c r="H847" s="6" t="str">
        <f>IF(A847="","",SUMIFS(Chicks!$J:$J,Chicks!$G:$G,A847))</f>
        <v/>
      </c>
      <c r="I847" s="6" t="str">
        <f>IF(A847="","",COUNTIFS(Chicks!$G:$G,A847,Chicks!$I:$I,"No"))</f>
        <v/>
      </c>
      <c r="J847" s="6" t="str">
        <f>IF(A847="","",IFERROR(AVERAGEIF(Chicks!$G:$G,A847,Chicks!$M:$M),""))</f>
        <v/>
      </c>
      <c r="K847" s="6" t="str">
        <f>IF(A847="","",SUMIFS(Chicks!$N:$N,Chicks!$G:$G,A847))</f>
        <v/>
      </c>
      <c r="L847" s="6" t="str">
        <f>IF(A847="","",SUMIFS(Chicks!$O:$O,Chicks!$G:$G,A847))</f>
        <v/>
      </c>
      <c r="M847" s="6" t="str">
        <f>IF(A847="","",SUMIFS(Chicks!$P:$P,Chicks!$G:$G,A847))</f>
        <v/>
      </c>
      <c r="N847" s="6" t="str">
        <f t="shared" si="4"/>
        <v/>
      </c>
    </row>
    <row r="848" spans="6:14" ht="14.25" customHeight="1" x14ac:dyDescent="0.3">
      <c r="F848" s="6" t="str">
        <f>IF(A848="","",COUNTIF(Chicks!$G:$G,A848))</f>
        <v/>
      </c>
      <c r="G848" s="6" t="str">
        <f>IF(A848="","",COUNTIFS(Chicks!$G:$G,A848,Chicks!$I:$I,"Yes"))</f>
        <v/>
      </c>
      <c r="H848" s="6" t="str">
        <f>IF(A848="","",SUMIFS(Chicks!$J:$J,Chicks!$G:$G,A848))</f>
        <v/>
      </c>
      <c r="I848" s="6" t="str">
        <f>IF(A848="","",COUNTIFS(Chicks!$G:$G,A848,Chicks!$I:$I,"No"))</f>
        <v/>
      </c>
      <c r="J848" s="6" t="str">
        <f>IF(A848="","",IFERROR(AVERAGEIF(Chicks!$G:$G,A848,Chicks!$M:$M),""))</f>
        <v/>
      </c>
      <c r="K848" s="6" t="str">
        <f>IF(A848="","",SUMIFS(Chicks!$N:$N,Chicks!$G:$G,A848))</f>
        <v/>
      </c>
      <c r="L848" s="6" t="str">
        <f>IF(A848="","",SUMIFS(Chicks!$O:$O,Chicks!$G:$G,A848))</f>
        <v/>
      </c>
      <c r="M848" s="6" t="str">
        <f>IF(A848="","",SUMIFS(Chicks!$P:$P,Chicks!$G:$G,A848))</f>
        <v/>
      </c>
      <c r="N848" s="6" t="str">
        <f t="shared" si="4"/>
        <v/>
      </c>
    </row>
    <row r="849" spans="6:14" ht="14.25" customHeight="1" x14ac:dyDescent="0.3">
      <c r="F849" s="6" t="str">
        <f>IF(A849="","",COUNTIF(Chicks!$G:$G,A849))</f>
        <v/>
      </c>
      <c r="G849" s="6" t="str">
        <f>IF(A849="","",COUNTIFS(Chicks!$G:$G,A849,Chicks!$I:$I,"Yes"))</f>
        <v/>
      </c>
      <c r="H849" s="6" t="str">
        <f>IF(A849="","",SUMIFS(Chicks!$J:$J,Chicks!$G:$G,A849))</f>
        <v/>
      </c>
      <c r="I849" s="6" t="str">
        <f>IF(A849="","",COUNTIFS(Chicks!$G:$G,A849,Chicks!$I:$I,"No"))</f>
        <v/>
      </c>
      <c r="J849" s="6" t="str">
        <f>IF(A849="","",IFERROR(AVERAGEIF(Chicks!$G:$G,A849,Chicks!$M:$M),""))</f>
        <v/>
      </c>
      <c r="K849" s="6" t="str">
        <f>IF(A849="","",SUMIFS(Chicks!$N:$N,Chicks!$G:$G,A849))</f>
        <v/>
      </c>
      <c r="L849" s="6" t="str">
        <f>IF(A849="","",SUMIFS(Chicks!$O:$O,Chicks!$G:$G,A849))</f>
        <v/>
      </c>
      <c r="M849" s="6" t="str">
        <f>IF(A849="","",SUMIFS(Chicks!$P:$P,Chicks!$G:$G,A849))</f>
        <v/>
      </c>
      <c r="N849" s="6" t="str">
        <f t="shared" si="4"/>
        <v/>
      </c>
    </row>
    <row r="850" spans="6:14" ht="14.25" customHeight="1" x14ac:dyDescent="0.3">
      <c r="F850" s="6" t="str">
        <f>IF(A850="","",COUNTIF(Chicks!$G:$G,A850))</f>
        <v/>
      </c>
      <c r="G850" s="6" t="str">
        <f>IF(A850="","",COUNTIFS(Chicks!$G:$G,A850,Chicks!$I:$I,"Yes"))</f>
        <v/>
      </c>
      <c r="H850" s="6" t="str">
        <f>IF(A850="","",SUMIFS(Chicks!$J:$J,Chicks!$G:$G,A850))</f>
        <v/>
      </c>
      <c r="I850" s="6" t="str">
        <f>IF(A850="","",COUNTIFS(Chicks!$G:$G,A850,Chicks!$I:$I,"No"))</f>
        <v/>
      </c>
      <c r="J850" s="6" t="str">
        <f>IF(A850="","",IFERROR(AVERAGEIF(Chicks!$G:$G,A850,Chicks!$M:$M),""))</f>
        <v/>
      </c>
      <c r="K850" s="6" t="str">
        <f>IF(A850="","",SUMIFS(Chicks!$N:$N,Chicks!$G:$G,A850))</f>
        <v/>
      </c>
      <c r="L850" s="6" t="str">
        <f>IF(A850="","",SUMIFS(Chicks!$O:$O,Chicks!$G:$G,A850))</f>
        <v/>
      </c>
      <c r="M850" s="6" t="str">
        <f>IF(A850="","",SUMIFS(Chicks!$P:$P,Chicks!$G:$G,A850))</f>
        <v/>
      </c>
      <c r="N850" s="6" t="str">
        <f t="shared" si="4"/>
        <v/>
      </c>
    </row>
    <row r="851" spans="6:14" ht="14.25" customHeight="1" x14ac:dyDescent="0.3">
      <c r="F851" s="6" t="str">
        <f>IF(A851="","",COUNTIF(Chicks!$G:$G,A851))</f>
        <v/>
      </c>
      <c r="G851" s="6" t="str">
        <f>IF(A851="","",COUNTIFS(Chicks!$G:$G,A851,Chicks!$I:$I,"Yes"))</f>
        <v/>
      </c>
      <c r="H851" s="6" t="str">
        <f>IF(A851="","",SUMIFS(Chicks!$J:$J,Chicks!$G:$G,A851))</f>
        <v/>
      </c>
      <c r="I851" s="6" t="str">
        <f>IF(A851="","",COUNTIFS(Chicks!$G:$G,A851,Chicks!$I:$I,"No"))</f>
        <v/>
      </c>
      <c r="J851" s="6" t="str">
        <f>IF(A851="","",IFERROR(AVERAGEIF(Chicks!$G:$G,A851,Chicks!$M:$M),""))</f>
        <v/>
      </c>
      <c r="K851" s="6" t="str">
        <f>IF(A851="","",SUMIFS(Chicks!$N:$N,Chicks!$G:$G,A851))</f>
        <v/>
      </c>
      <c r="L851" s="6" t="str">
        <f>IF(A851="","",SUMIFS(Chicks!$O:$O,Chicks!$G:$G,A851))</f>
        <v/>
      </c>
      <c r="M851" s="6" t="str">
        <f>IF(A851="","",SUMIFS(Chicks!$P:$P,Chicks!$G:$G,A851))</f>
        <v/>
      </c>
      <c r="N851" s="6" t="str">
        <f t="shared" si="4"/>
        <v/>
      </c>
    </row>
    <row r="852" spans="6:14" ht="14.25" customHeight="1" x14ac:dyDescent="0.3">
      <c r="F852" s="6" t="str">
        <f>IF(A852="","",COUNTIF(Chicks!$G:$G,A852))</f>
        <v/>
      </c>
      <c r="G852" s="6" t="str">
        <f>IF(A852="","",COUNTIFS(Chicks!$G:$G,A852,Chicks!$I:$I,"Yes"))</f>
        <v/>
      </c>
      <c r="H852" s="6" t="str">
        <f>IF(A852="","",SUMIFS(Chicks!$J:$J,Chicks!$G:$G,A852))</f>
        <v/>
      </c>
      <c r="I852" s="6" t="str">
        <f>IF(A852="","",COUNTIFS(Chicks!$G:$G,A852,Chicks!$I:$I,"No"))</f>
        <v/>
      </c>
      <c r="J852" s="6" t="str">
        <f>IF(A852="","",IFERROR(AVERAGEIF(Chicks!$G:$G,A852,Chicks!$M:$M),""))</f>
        <v/>
      </c>
      <c r="K852" s="6" t="str">
        <f>IF(A852="","",SUMIFS(Chicks!$N:$N,Chicks!$G:$G,A852))</f>
        <v/>
      </c>
      <c r="L852" s="6" t="str">
        <f>IF(A852="","",SUMIFS(Chicks!$O:$O,Chicks!$G:$G,A852))</f>
        <v/>
      </c>
      <c r="M852" s="6" t="str">
        <f>IF(A852="","",SUMIFS(Chicks!$P:$P,Chicks!$G:$G,A852))</f>
        <v/>
      </c>
      <c r="N852" s="6" t="str">
        <f t="shared" si="4"/>
        <v/>
      </c>
    </row>
    <row r="853" spans="6:14" ht="14.25" customHeight="1" x14ac:dyDescent="0.3">
      <c r="F853" s="6" t="str">
        <f>IF(A853="","",COUNTIF(Chicks!$G:$G,A853))</f>
        <v/>
      </c>
      <c r="G853" s="6" t="str">
        <f>IF(A853="","",COUNTIFS(Chicks!$G:$G,A853,Chicks!$I:$I,"Yes"))</f>
        <v/>
      </c>
      <c r="H853" s="6" t="str">
        <f>IF(A853="","",SUMIFS(Chicks!$J:$J,Chicks!$G:$G,A853))</f>
        <v/>
      </c>
      <c r="I853" s="6" t="str">
        <f>IF(A853="","",COUNTIFS(Chicks!$G:$G,A853,Chicks!$I:$I,"No"))</f>
        <v/>
      </c>
      <c r="J853" s="6" t="str">
        <f>IF(A853="","",IFERROR(AVERAGEIF(Chicks!$G:$G,A853,Chicks!$M:$M),""))</f>
        <v/>
      </c>
      <c r="K853" s="6" t="str">
        <f>IF(A853="","",SUMIFS(Chicks!$N:$N,Chicks!$G:$G,A853))</f>
        <v/>
      </c>
      <c r="L853" s="6" t="str">
        <f>IF(A853="","",SUMIFS(Chicks!$O:$O,Chicks!$G:$G,A853))</f>
        <v/>
      </c>
      <c r="M853" s="6" t="str">
        <f>IF(A853="","",SUMIFS(Chicks!$P:$P,Chicks!$G:$G,A853))</f>
        <v/>
      </c>
      <c r="N853" s="6" t="str">
        <f t="shared" si="4"/>
        <v/>
      </c>
    </row>
    <row r="854" spans="6:14" ht="14.25" customHeight="1" x14ac:dyDescent="0.3">
      <c r="F854" s="6" t="str">
        <f>IF(A854="","",COUNTIF(Chicks!$G:$G,A854))</f>
        <v/>
      </c>
      <c r="G854" s="6" t="str">
        <f>IF(A854="","",COUNTIFS(Chicks!$G:$G,A854,Chicks!$I:$I,"Yes"))</f>
        <v/>
      </c>
      <c r="H854" s="6" t="str">
        <f>IF(A854="","",SUMIFS(Chicks!$J:$J,Chicks!$G:$G,A854))</f>
        <v/>
      </c>
      <c r="I854" s="6" t="str">
        <f>IF(A854="","",COUNTIFS(Chicks!$G:$G,A854,Chicks!$I:$I,"No"))</f>
        <v/>
      </c>
      <c r="J854" s="6" t="str">
        <f>IF(A854="","",IFERROR(AVERAGEIF(Chicks!$G:$G,A854,Chicks!$M:$M),""))</f>
        <v/>
      </c>
      <c r="K854" s="6" t="str">
        <f>IF(A854="","",SUMIFS(Chicks!$N:$N,Chicks!$G:$G,A854))</f>
        <v/>
      </c>
      <c r="L854" s="6" t="str">
        <f>IF(A854="","",SUMIFS(Chicks!$O:$O,Chicks!$G:$G,A854))</f>
        <v/>
      </c>
      <c r="M854" s="6" t="str">
        <f>IF(A854="","",SUMIFS(Chicks!$P:$P,Chicks!$G:$G,A854))</f>
        <v/>
      </c>
      <c r="N854" s="6" t="str">
        <f t="shared" si="4"/>
        <v/>
      </c>
    </row>
    <row r="855" spans="6:14" ht="14.25" customHeight="1" x14ac:dyDescent="0.3">
      <c r="F855" s="6" t="str">
        <f>IF(A855="","",COUNTIF(Chicks!$G:$G,A855))</f>
        <v/>
      </c>
      <c r="G855" s="6" t="str">
        <f>IF(A855="","",COUNTIFS(Chicks!$G:$G,A855,Chicks!$I:$I,"Yes"))</f>
        <v/>
      </c>
      <c r="H855" s="6" t="str">
        <f>IF(A855="","",SUMIFS(Chicks!$J:$J,Chicks!$G:$G,A855))</f>
        <v/>
      </c>
      <c r="I855" s="6" t="str">
        <f>IF(A855="","",COUNTIFS(Chicks!$G:$G,A855,Chicks!$I:$I,"No"))</f>
        <v/>
      </c>
      <c r="J855" s="6" t="str">
        <f>IF(A855="","",IFERROR(AVERAGEIF(Chicks!$G:$G,A855,Chicks!$M:$M),""))</f>
        <v/>
      </c>
      <c r="K855" s="6" t="str">
        <f>IF(A855="","",SUMIFS(Chicks!$N:$N,Chicks!$G:$G,A855))</f>
        <v/>
      </c>
      <c r="L855" s="6" t="str">
        <f>IF(A855="","",SUMIFS(Chicks!$O:$O,Chicks!$G:$G,A855))</f>
        <v/>
      </c>
      <c r="M855" s="6" t="str">
        <f>IF(A855="","",SUMIFS(Chicks!$P:$P,Chicks!$G:$G,A855))</f>
        <v/>
      </c>
      <c r="N855" s="6" t="str">
        <f t="shared" si="4"/>
        <v/>
      </c>
    </row>
    <row r="856" spans="6:14" ht="14.25" customHeight="1" x14ac:dyDescent="0.3">
      <c r="F856" s="6" t="str">
        <f>IF(A856="","",COUNTIF(Chicks!$G:$G,A856))</f>
        <v/>
      </c>
      <c r="G856" s="6" t="str">
        <f>IF(A856="","",COUNTIFS(Chicks!$G:$G,A856,Chicks!$I:$I,"Yes"))</f>
        <v/>
      </c>
      <c r="H856" s="6" t="str">
        <f>IF(A856="","",SUMIFS(Chicks!$J:$J,Chicks!$G:$G,A856))</f>
        <v/>
      </c>
      <c r="I856" s="6" t="str">
        <f>IF(A856="","",COUNTIFS(Chicks!$G:$G,A856,Chicks!$I:$I,"No"))</f>
        <v/>
      </c>
      <c r="J856" s="6" t="str">
        <f>IF(A856="","",IFERROR(AVERAGEIF(Chicks!$G:$G,A856,Chicks!$M:$M),""))</f>
        <v/>
      </c>
      <c r="K856" s="6" t="str">
        <f>IF(A856="","",SUMIFS(Chicks!$N:$N,Chicks!$G:$G,A856))</f>
        <v/>
      </c>
      <c r="L856" s="6" t="str">
        <f>IF(A856="","",SUMIFS(Chicks!$O:$O,Chicks!$G:$G,A856))</f>
        <v/>
      </c>
      <c r="M856" s="6" t="str">
        <f>IF(A856="","",SUMIFS(Chicks!$P:$P,Chicks!$G:$G,A856))</f>
        <v/>
      </c>
      <c r="N856" s="6" t="str">
        <f t="shared" si="4"/>
        <v/>
      </c>
    </row>
    <row r="857" spans="6:14" ht="14.25" customHeight="1" x14ac:dyDescent="0.3">
      <c r="F857" s="6" t="str">
        <f>IF(A857="","",COUNTIF(Chicks!$G:$G,A857))</f>
        <v/>
      </c>
      <c r="G857" s="6" t="str">
        <f>IF(A857="","",COUNTIFS(Chicks!$G:$G,A857,Chicks!$I:$I,"Yes"))</f>
        <v/>
      </c>
      <c r="H857" s="6" t="str">
        <f>IF(A857="","",SUMIFS(Chicks!$J:$J,Chicks!$G:$G,A857))</f>
        <v/>
      </c>
      <c r="I857" s="6" t="str">
        <f>IF(A857="","",COUNTIFS(Chicks!$G:$G,A857,Chicks!$I:$I,"No"))</f>
        <v/>
      </c>
      <c r="J857" s="6" t="str">
        <f>IF(A857="","",IFERROR(AVERAGEIF(Chicks!$G:$G,A857,Chicks!$M:$M),""))</f>
        <v/>
      </c>
      <c r="K857" s="6" t="str">
        <f>IF(A857="","",SUMIFS(Chicks!$N:$N,Chicks!$G:$G,A857))</f>
        <v/>
      </c>
      <c r="L857" s="6" t="str">
        <f>IF(A857="","",SUMIFS(Chicks!$O:$O,Chicks!$G:$G,A857))</f>
        <v/>
      </c>
      <c r="M857" s="6" t="str">
        <f>IF(A857="","",SUMIFS(Chicks!$P:$P,Chicks!$G:$G,A857))</f>
        <v/>
      </c>
      <c r="N857" s="6" t="str">
        <f t="shared" si="4"/>
        <v/>
      </c>
    </row>
    <row r="858" spans="6:14" ht="14.25" customHeight="1" x14ac:dyDescent="0.3">
      <c r="F858" s="6" t="str">
        <f>IF(A858="","",COUNTIF(Chicks!$G:$G,A858))</f>
        <v/>
      </c>
      <c r="G858" s="6" t="str">
        <f>IF(A858="","",COUNTIFS(Chicks!$G:$G,A858,Chicks!$I:$I,"Yes"))</f>
        <v/>
      </c>
      <c r="H858" s="6" t="str">
        <f>IF(A858="","",SUMIFS(Chicks!$J:$J,Chicks!$G:$G,A858))</f>
        <v/>
      </c>
      <c r="I858" s="6" t="str">
        <f>IF(A858="","",COUNTIFS(Chicks!$G:$G,A858,Chicks!$I:$I,"No"))</f>
        <v/>
      </c>
      <c r="J858" s="6" t="str">
        <f>IF(A858="","",IFERROR(AVERAGEIF(Chicks!$G:$G,A858,Chicks!$M:$M),""))</f>
        <v/>
      </c>
      <c r="K858" s="6" t="str">
        <f>IF(A858="","",SUMIFS(Chicks!$N:$N,Chicks!$G:$G,A858))</f>
        <v/>
      </c>
      <c r="L858" s="6" t="str">
        <f>IF(A858="","",SUMIFS(Chicks!$O:$O,Chicks!$G:$G,A858))</f>
        <v/>
      </c>
      <c r="M858" s="6" t="str">
        <f>IF(A858="","",SUMIFS(Chicks!$P:$P,Chicks!$G:$G,A858))</f>
        <v/>
      </c>
      <c r="N858" s="6" t="str">
        <f t="shared" si="4"/>
        <v/>
      </c>
    </row>
    <row r="859" spans="6:14" ht="14.25" customHeight="1" x14ac:dyDescent="0.3">
      <c r="F859" s="6" t="str">
        <f>IF(A859="","",COUNTIF(Chicks!$G:$G,A859))</f>
        <v/>
      </c>
      <c r="G859" s="6" t="str">
        <f>IF(A859="","",COUNTIFS(Chicks!$G:$G,A859,Chicks!$I:$I,"Yes"))</f>
        <v/>
      </c>
      <c r="H859" s="6" t="str">
        <f>IF(A859="","",SUMIFS(Chicks!$J:$J,Chicks!$G:$G,A859))</f>
        <v/>
      </c>
      <c r="I859" s="6" t="str">
        <f>IF(A859="","",COUNTIFS(Chicks!$G:$G,A859,Chicks!$I:$I,"No"))</f>
        <v/>
      </c>
      <c r="J859" s="6" t="str">
        <f>IF(A859="","",IFERROR(AVERAGEIF(Chicks!$G:$G,A859,Chicks!$M:$M),""))</f>
        <v/>
      </c>
      <c r="K859" s="6" t="str">
        <f>IF(A859="","",SUMIFS(Chicks!$N:$N,Chicks!$G:$G,A859))</f>
        <v/>
      </c>
      <c r="L859" s="6" t="str">
        <f>IF(A859="","",SUMIFS(Chicks!$O:$O,Chicks!$G:$G,A859))</f>
        <v/>
      </c>
      <c r="M859" s="6" t="str">
        <f>IF(A859="","",SUMIFS(Chicks!$P:$P,Chicks!$G:$G,A859))</f>
        <v/>
      </c>
      <c r="N859" s="6" t="str">
        <f t="shared" si="4"/>
        <v/>
      </c>
    </row>
    <row r="860" spans="6:14" ht="14.25" customHeight="1" x14ac:dyDescent="0.3">
      <c r="F860" s="6" t="str">
        <f>IF(A860="","",COUNTIF(Chicks!$G:$G,A860))</f>
        <v/>
      </c>
      <c r="G860" s="6" t="str">
        <f>IF(A860="","",COUNTIFS(Chicks!$G:$G,A860,Chicks!$I:$I,"Yes"))</f>
        <v/>
      </c>
      <c r="H860" s="6" t="str">
        <f>IF(A860="","",SUMIFS(Chicks!$J:$J,Chicks!$G:$G,A860))</f>
        <v/>
      </c>
      <c r="I860" s="6" t="str">
        <f>IF(A860="","",COUNTIFS(Chicks!$G:$G,A860,Chicks!$I:$I,"No"))</f>
        <v/>
      </c>
      <c r="J860" s="6" t="str">
        <f>IF(A860="","",IFERROR(AVERAGEIF(Chicks!$G:$G,A860,Chicks!$M:$M),""))</f>
        <v/>
      </c>
      <c r="K860" s="6" t="str">
        <f>IF(A860="","",SUMIFS(Chicks!$N:$N,Chicks!$G:$G,A860))</f>
        <v/>
      </c>
      <c r="L860" s="6" t="str">
        <f>IF(A860="","",SUMIFS(Chicks!$O:$O,Chicks!$G:$G,A860))</f>
        <v/>
      </c>
      <c r="M860" s="6" t="str">
        <f>IF(A860="","",SUMIFS(Chicks!$P:$P,Chicks!$G:$G,A860))</f>
        <v/>
      </c>
      <c r="N860" s="6" t="str">
        <f t="shared" si="4"/>
        <v/>
      </c>
    </row>
    <row r="861" spans="6:14" ht="14.25" customHeight="1" x14ac:dyDescent="0.3">
      <c r="F861" s="6" t="str">
        <f>IF(A861="","",COUNTIF(Chicks!$G:$G,A861))</f>
        <v/>
      </c>
      <c r="G861" s="6" t="str">
        <f>IF(A861="","",COUNTIFS(Chicks!$G:$G,A861,Chicks!$I:$I,"Yes"))</f>
        <v/>
      </c>
      <c r="H861" s="6" t="str">
        <f>IF(A861="","",SUMIFS(Chicks!$J:$J,Chicks!$G:$G,A861))</f>
        <v/>
      </c>
      <c r="I861" s="6" t="str">
        <f>IF(A861="","",COUNTIFS(Chicks!$G:$G,A861,Chicks!$I:$I,"No"))</f>
        <v/>
      </c>
      <c r="J861" s="6" t="str">
        <f>IF(A861="","",IFERROR(AVERAGEIF(Chicks!$G:$G,A861,Chicks!$M:$M),""))</f>
        <v/>
      </c>
      <c r="K861" s="6" t="str">
        <f>IF(A861="","",SUMIFS(Chicks!$N:$N,Chicks!$G:$G,A861))</f>
        <v/>
      </c>
      <c r="L861" s="6" t="str">
        <f>IF(A861="","",SUMIFS(Chicks!$O:$O,Chicks!$G:$G,A861))</f>
        <v/>
      </c>
      <c r="M861" s="6" t="str">
        <f>IF(A861="","",SUMIFS(Chicks!$P:$P,Chicks!$G:$G,A861))</f>
        <v/>
      </c>
      <c r="N861" s="6" t="str">
        <f t="shared" si="4"/>
        <v/>
      </c>
    </row>
    <row r="862" spans="6:14" ht="14.25" customHeight="1" x14ac:dyDescent="0.3">
      <c r="F862" s="6" t="str">
        <f>IF(A862="","",COUNTIF(Chicks!$G:$G,A862))</f>
        <v/>
      </c>
      <c r="G862" s="6" t="str">
        <f>IF(A862="","",COUNTIFS(Chicks!$G:$G,A862,Chicks!$I:$I,"Yes"))</f>
        <v/>
      </c>
      <c r="H862" s="6" t="str">
        <f>IF(A862="","",SUMIFS(Chicks!$J:$J,Chicks!$G:$G,A862))</f>
        <v/>
      </c>
      <c r="I862" s="6" t="str">
        <f>IF(A862="","",COUNTIFS(Chicks!$G:$G,A862,Chicks!$I:$I,"No"))</f>
        <v/>
      </c>
      <c r="J862" s="6" t="str">
        <f>IF(A862="","",IFERROR(AVERAGEIF(Chicks!$G:$G,A862,Chicks!$M:$M),""))</f>
        <v/>
      </c>
      <c r="K862" s="6" t="str">
        <f>IF(A862="","",SUMIFS(Chicks!$N:$N,Chicks!$G:$G,A862))</f>
        <v/>
      </c>
      <c r="L862" s="6" t="str">
        <f>IF(A862="","",SUMIFS(Chicks!$O:$O,Chicks!$G:$G,A862))</f>
        <v/>
      </c>
      <c r="M862" s="6" t="str">
        <f>IF(A862="","",SUMIFS(Chicks!$P:$P,Chicks!$G:$G,A862))</f>
        <v/>
      </c>
      <c r="N862" s="6" t="str">
        <f t="shared" si="4"/>
        <v/>
      </c>
    </row>
    <row r="863" spans="6:14" ht="14.25" customHeight="1" x14ac:dyDescent="0.3">
      <c r="F863" s="6" t="str">
        <f>IF(A863="","",COUNTIF(Chicks!$G:$G,A863))</f>
        <v/>
      </c>
      <c r="G863" s="6" t="str">
        <f>IF(A863="","",COUNTIFS(Chicks!$G:$G,A863,Chicks!$I:$I,"Yes"))</f>
        <v/>
      </c>
      <c r="H863" s="6" t="str">
        <f>IF(A863="","",SUMIFS(Chicks!$J:$J,Chicks!$G:$G,A863))</f>
        <v/>
      </c>
      <c r="I863" s="6" t="str">
        <f>IF(A863="","",COUNTIFS(Chicks!$G:$G,A863,Chicks!$I:$I,"No"))</f>
        <v/>
      </c>
      <c r="J863" s="6" t="str">
        <f>IF(A863="","",IFERROR(AVERAGEIF(Chicks!$G:$G,A863,Chicks!$M:$M),""))</f>
        <v/>
      </c>
      <c r="K863" s="6" t="str">
        <f>IF(A863="","",SUMIFS(Chicks!$N:$N,Chicks!$G:$G,A863))</f>
        <v/>
      </c>
      <c r="L863" s="6" t="str">
        <f>IF(A863="","",SUMIFS(Chicks!$O:$O,Chicks!$G:$G,A863))</f>
        <v/>
      </c>
      <c r="M863" s="6" t="str">
        <f>IF(A863="","",SUMIFS(Chicks!$P:$P,Chicks!$G:$G,A863))</f>
        <v/>
      </c>
      <c r="N863" s="6" t="str">
        <f t="shared" si="4"/>
        <v/>
      </c>
    </row>
    <row r="864" spans="6:14" ht="14.25" customHeight="1" x14ac:dyDescent="0.3">
      <c r="F864" s="6" t="str">
        <f>IF(A864="","",COUNTIF(Chicks!$G:$G,A864))</f>
        <v/>
      </c>
      <c r="G864" s="6" t="str">
        <f>IF(A864="","",COUNTIFS(Chicks!$G:$G,A864,Chicks!$I:$I,"Yes"))</f>
        <v/>
      </c>
      <c r="H864" s="6" t="str">
        <f>IF(A864="","",SUMIFS(Chicks!$J:$J,Chicks!$G:$G,A864))</f>
        <v/>
      </c>
      <c r="I864" s="6" t="str">
        <f>IF(A864="","",COUNTIFS(Chicks!$G:$G,A864,Chicks!$I:$I,"No"))</f>
        <v/>
      </c>
      <c r="J864" s="6" t="str">
        <f>IF(A864="","",IFERROR(AVERAGEIF(Chicks!$G:$G,A864,Chicks!$M:$M),""))</f>
        <v/>
      </c>
      <c r="K864" s="6" t="str">
        <f>IF(A864="","",SUMIFS(Chicks!$N:$N,Chicks!$G:$G,A864))</f>
        <v/>
      </c>
      <c r="L864" s="6" t="str">
        <f>IF(A864="","",SUMIFS(Chicks!$O:$O,Chicks!$G:$G,A864))</f>
        <v/>
      </c>
      <c r="M864" s="6" t="str">
        <f>IF(A864="","",SUMIFS(Chicks!$P:$P,Chicks!$G:$G,A864))</f>
        <v/>
      </c>
      <c r="N864" s="6" t="str">
        <f t="shared" si="4"/>
        <v/>
      </c>
    </row>
    <row r="865" spans="6:14" ht="14.25" customHeight="1" x14ac:dyDescent="0.3">
      <c r="F865" s="6" t="str">
        <f>IF(A865="","",COUNTIF(Chicks!$G:$G,A865))</f>
        <v/>
      </c>
      <c r="G865" s="6" t="str">
        <f>IF(A865="","",COUNTIFS(Chicks!$G:$G,A865,Chicks!$I:$I,"Yes"))</f>
        <v/>
      </c>
      <c r="H865" s="6" t="str">
        <f>IF(A865="","",SUMIFS(Chicks!$J:$J,Chicks!$G:$G,A865))</f>
        <v/>
      </c>
      <c r="I865" s="6" t="str">
        <f>IF(A865="","",COUNTIFS(Chicks!$G:$G,A865,Chicks!$I:$I,"No"))</f>
        <v/>
      </c>
      <c r="J865" s="6" t="str">
        <f>IF(A865="","",IFERROR(AVERAGEIF(Chicks!$G:$G,A865,Chicks!$M:$M),""))</f>
        <v/>
      </c>
      <c r="K865" s="6" t="str">
        <f>IF(A865="","",SUMIFS(Chicks!$N:$N,Chicks!$G:$G,A865))</f>
        <v/>
      </c>
      <c r="L865" s="6" t="str">
        <f>IF(A865="","",SUMIFS(Chicks!$O:$O,Chicks!$G:$G,A865))</f>
        <v/>
      </c>
      <c r="M865" s="6" t="str">
        <f>IF(A865="","",SUMIFS(Chicks!$P:$P,Chicks!$G:$G,A865))</f>
        <v/>
      </c>
      <c r="N865" s="6" t="str">
        <f t="shared" si="4"/>
        <v/>
      </c>
    </row>
    <row r="866" spans="6:14" ht="14.25" customHeight="1" x14ac:dyDescent="0.3">
      <c r="F866" s="6" t="str">
        <f>IF(A866="","",COUNTIF(Chicks!$G:$G,A866))</f>
        <v/>
      </c>
      <c r="G866" s="6" t="str">
        <f>IF(A866="","",COUNTIFS(Chicks!$G:$G,A866,Chicks!$I:$I,"Yes"))</f>
        <v/>
      </c>
      <c r="H866" s="6" t="str">
        <f>IF(A866="","",SUMIFS(Chicks!$J:$J,Chicks!$G:$G,A866))</f>
        <v/>
      </c>
      <c r="I866" s="6" t="str">
        <f>IF(A866="","",COUNTIFS(Chicks!$G:$G,A866,Chicks!$I:$I,"No"))</f>
        <v/>
      </c>
      <c r="J866" s="6" t="str">
        <f>IF(A866="","",IFERROR(AVERAGEIF(Chicks!$G:$G,A866,Chicks!$M:$M),""))</f>
        <v/>
      </c>
      <c r="K866" s="6" t="str">
        <f>IF(A866="","",SUMIFS(Chicks!$N:$N,Chicks!$G:$G,A866))</f>
        <v/>
      </c>
      <c r="L866" s="6" t="str">
        <f>IF(A866="","",SUMIFS(Chicks!$O:$O,Chicks!$G:$G,A866))</f>
        <v/>
      </c>
      <c r="M866" s="6" t="str">
        <f>IF(A866="","",SUMIFS(Chicks!$P:$P,Chicks!$G:$G,A866))</f>
        <v/>
      </c>
      <c r="N866" s="6" t="str">
        <f t="shared" si="4"/>
        <v/>
      </c>
    </row>
    <row r="867" spans="6:14" ht="14.25" customHeight="1" x14ac:dyDescent="0.3">
      <c r="F867" s="6" t="str">
        <f>IF(A867="","",COUNTIF(Chicks!$G:$G,A867))</f>
        <v/>
      </c>
      <c r="G867" s="6" t="str">
        <f>IF(A867="","",COUNTIFS(Chicks!$G:$G,A867,Chicks!$I:$I,"Yes"))</f>
        <v/>
      </c>
      <c r="H867" s="6" t="str">
        <f>IF(A867="","",SUMIFS(Chicks!$J:$J,Chicks!$G:$G,A867))</f>
        <v/>
      </c>
      <c r="I867" s="6" t="str">
        <f>IF(A867="","",COUNTIFS(Chicks!$G:$G,A867,Chicks!$I:$I,"No"))</f>
        <v/>
      </c>
      <c r="J867" s="6" t="str">
        <f>IF(A867="","",IFERROR(AVERAGEIF(Chicks!$G:$G,A867,Chicks!$M:$M),""))</f>
        <v/>
      </c>
      <c r="K867" s="6" t="str">
        <f>IF(A867="","",SUMIFS(Chicks!$N:$N,Chicks!$G:$G,A867))</f>
        <v/>
      </c>
      <c r="L867" s="6" t="str">
        <f>IF(A867="","",SUMIFS(Chicks!$O:$O,Chicks!$G:$G,A867))</f>
        <v/>
      </c>
      <c r="M867" s="6" t="str">
        <f>IF(A867="","",SUMIFS(Chicks!$P:$P,Chicks!$G:$G,A867))</f>
        <v/>
      </c>
      <c r="N867" s="6" t="str">
        <f t="shared" si="4"/>
        <v/>
      </c>
    </row>
    <row r="868" spans="6:14" ht="14.25" customHeight="1" x14ac:dyDescent="0.3">
      <c r="F868" s="6" t="str">
        <f>IF(A868="","",COUNTIF(Chicks!$G:$G,A868))</f>
        <v/>
      </c>
      <c r="G868" s="6" t="str">
        <f>IF(A868="","",COUNTIFS(Chicks!$G:$G,A868,Chicks!$I:$I,"Yes"))</f>
        <v/>
      </c>
      <c r="H868" s="6" t="str">
        <f>IF(A868="","",SUMIFS(Chicks!$J:$J,Chicks!$G:$G,A868))</f>
        <v/>
      </c>
      <c r="I868" s="6" t="str">
        <f>IF(A868="","",COUNTIFS(Chicks!$G:$G,A868,Chicks!$I:$I,"No"))</f>
        <v/>
      </c>
      <c r="J868" s="6" t="str">
        <f>IF(A868="","",IFERROR(AVERAGEIF(Chicks!$G:$G,A868,Chicks!$M:$M),""))</f>
        <v/>
      </c>
      <c r="K868" s="6" t="str">
        <f>IF(A868="","",SUMIFS(Chicks!$N:$N,Chicks!$G:$G,A868))</f>
        <v/>
      </c>
      <c r="L868" s="6" t="str">
        <f>IF(A868="","",SUMIFS(Chicks!$O:$O,Chicks!$G:$G,A868))</f>
        <v/>
      </c>
      <c r="M868" s="6" t="str">
        <f>IF(A868="","",SUMIFS(Chicks!$P:$P,Chicks!$G:$G,A868))</f>
        <v/>
      </c>
      <c r="N868" s="6" t="str">
        <f t="shared" si="4"/>
        <v/>
      </c>
    </row>
    <row r="869" spans="6:14" ht="14.25" customHeight="1" x14ac:dyDescent="0.3">
      <c r="F869" s="6" t="str">
        <f>IF(A869="","",COUNTIF(Chicks!$G:$G,A869))</f>
        <v/>
      </c>
      <c r="G869" s="6" t="str">
        <f>IF(A869="","",COUNTIFS(Chicks!$G:$G,A869,Chicks!$I:$I,"Yes"))</f>
        <v/>
      </c>
      <c r="H869" s="6" t="str">
        <f>IF(A869="","",SUMIFS(Chicks!$J:$J,Chicks!$G:$G,A869))</f>
        <v/>
      </c>
      <c r="I869" s="6" t="str">
        <f>IF(A869="","",COUNTIFS(Chicks!$G:$G,A869,Chicks!$I:$I,"No"))</f>
        <v/>
      </c>
      <c r="J869" s="6" t="str">
        <f>IF(A869="","",IFERROR(AVERAGEIF(Chicks!$G:$G,A869,Chicks!$M:$M),""))</f>
        <v/>
      </c>
      <c r="K869" s="6" t="str">
        <f>IF(A869="","",SUMIFS(Chicks!$N:$N,Chicks!$G:$G,A869))</f>
        <v/>
      </c>
      <c r="L869" s="6" t="str">
        <f>IF(A869="","",SUMIFS(Chicks!$O:$O,Chicks!$G:$G,A869))</f>
        <v/>
      </c>
      <c r="M869" s="6" t="str">
        <f>IF(A869="","",SUMIFS(Chicks!$P:$P,Chicks!$G:$G,A869))</f>
        <v/>
      </c>
      <c r="N869" s="6" t="str">
        <f t="shared" si="4"/>
        <v/>
      </c>
    </row>
    <row r="870" spans="6:14" ht="14.25" customHeight="1" x14ac:dyDescent="0.3">
      <c r="F870" s="6" t="str">
        <f>IF(A870="","",COUNTIF(Chicks!$G:$G,A870))</f>
        <v/>
      </c>
      <c r="G870" s="6" t="str">
        <f>IF(A870="","",COUNTIFS(Chicks!$G:$G,A870,Chicks!$I:$I,"Yes"))</f>
        <v/>
      </c>
      <c r="H870" s="6" t="str">
        <f>IF(A870="","",SUMIFS(Chicks!$J:$J,Chicks!$G:$G,A870))</f>
        <v/>
      </c>
      <c r="I870" s="6" t="str">
        <f>IF(A870="","",COUNTIFS(Chicks!$G:$G,A870,Chicks!$I:$I,"No"))</f>
        <v/>
      </c>
      <c r="J870" s="6" t="str">
        <f>IF(A870="","",IFERROR(AVERAGEIF(Chicks!$G:$G,A870,Chicks!$M:$M),""))</f>
        <v/>
      </c>
      <c r="K870" s="6" t="str">
        <f>IF(A870="","",SUMIFS(Chicks!$N:$N,Chicks!$G:$G,A870))</f>
        <v/>
      </c>
      <c r="L870" s="6" t="str">
        <f>IF(A870="","",SUMIFS(Chicks!$O:$O,Chicks!$G:$G,A870))</f>
        <v/>
      </c>
      <c r="M870" s="6" t="str">
        <f>IF(A870="","",SUMIFS(Chicks!$P:$P,Chicks!$G:$G,A870))</f>
        <v/>
      </c>
      <c r="N870" s="6" t="str">
        <f t="shared" si="4"/>
        <v/>
      </c>
    </row>
    <row r="871" spans="6:14" ht="14.25" customHeight="1" x14ac:dyDescent="0.3">
      <c r="F871" s="6" t="str">
        <f>IF(A871="","",COUNTIF(Chicks!$G:$G,A871))</f>
        <v/>
      </c>
      <c r="G871" s="6" t="str">
        <f>IF(A871="","",COUNTIFS(Chicks!$G:$G,A871,Chicks!$I:$I,"Yes"))</f>
        <v/>
      </c>
      <c r="H871" s="6" t="str">
        <f>IF(A871="","",SUMIFS(Chicks!$J:$J,Chicks!$G:$G,A871))</f>
        <v/>
      </c>
      <c r="I871" s="6" t="str">
        <f>IF(A871="","",COUNTIFS(Chicks!$G:$G,A871,Chicks!$I:$I,"No"))</f>
        <v/>
      </c>
      <c r="J871" s="6" t="str">
        <f>IF(A871="","",IFERROR(AVERAGEIF(Chicks!$G:$G,A871,Chicks!$M:$M),""))</f>
        <v/>
      </c>
      <c r="K871" s="6" t="str">
        <f>IF(A871="","",SUMIFS(Chicks!$N:$N,Chicks!$G:$G,A871))</f>
        <v/>
      </c>
      <c r="L871" s="6" t="str">
        <f>IF(A871="","",SUMIFS(Chicks!$O:$O,Chicks!$G:$G,A871))</f>
        <v/>
      </c>
      <c r="M871" s="6" t="str">
        <f>IF(A871="","",SUMIFS(Chicks!$P:$P,Chicks!$G:$G,A871))</f>
        <v/>
      </c>
      <c r="N871" s="6" t="str">
        <f t="shared" si="4"/>
        <v/>
      </c>
    </row>
    <row r="872" spans="6:14" ht="14.25" customHeight="1" x14ac:dyDescent="0.3">
      <c r="F872" s="6" t="str">
        <f>IF(A872="","",COUNTIF(Chicks!$G:$G,A872))</f>
        <v/>
      </c>
      <c r="G872" s="6" t="str">
        <f>IF(A872="","",COUNTIFS(Chicks!$G:$G,A872,Chicks!$I:$I,"Yes"))</f>
        <v/>
      </c>
      <c r="H872" s="6" t="str">
        <f>IF(A872="","",SUMIFS(Chicks!$J:$J,Chicks!$G:$G,A872))</f>
        <v/>
      </c>
      <c r="I872" s="6" t="str">
        <f>IF(A872="","",COUNTIFS(Chicks!$G:$G,A872,Chicks!$I:$I,"No"))</f>
        <v/>
      </c>
      <c r="J872" s="6" t="str">
        <f>IF(A872="","",IFERROR(AVERAGEIF(Chicks!$G:$G,A872,Chicks!$M:$M),""))</f>
        <v/>
      </c>
      <c r="K872" s="6" t="str">
        <f>IF(A872="","",SUMIFS(Chicks!$N:$N,Chicks!$G:$G,A872))</f>
        <v/>
      </c>
      <c r="L872" s="6" t="str">
        <f>IF(A872="","",SUMIFS(Chicks!$O:$O,Chicks!$G:$G,A872))</f>
        <v/>
      </c>
      <c r="M872" s="6" t="str">
        <f>IF(A872="","",SUMIFS(Chicks!$P:$P,Chicks!$G:$G,A872))</f>
        <v/>
      </c>
      <c r="N872" s="6" t="str">
        <f t="shared" si="4"/>
        <v/>
      </c>
    </row>
    <row r="873" spans="6:14" ht="14.25" customHeight="1" x14ac:dyDescent="0.3">
      <c r="F873" s="6" t="str">
        <f>IF(A873="","",COUNTIF(Chicks!$G:$G,A873))</f>
        <v/>
      </c>
      <c r="G873" s="6" t="str">
        <f>IF(A873="","",COUNTIFS(Chicks!$G:$G,A873,Chicks!$I:$I,"Yes"))</f>
        <v/>
      </c>
      <c r="H873" s="6" t="str">
        <f>IF(A873="","",SUMIFS(Chicks!$J:$J,Chicks!$G:$G,A873))</f>
        <v/>
      </c>
      <c r="I873" s="6" t="str">
        <f>IF(A873="","",COUNTIFS(Chicks!$G:$G,A873,Chicks!$I:$I,"No"))</f>
        <v/>
      </c>
      <c r="J873" s="6" t="str">
        <f>IF(A873="","",IFERROR(AVERAGEIF(Chicks!$G:$G,A873,Chicks!$M:$M),""))</f>
        <v/>
      </c>
      <c r="K873" s="6" t="str">
        <f>IF(A873="","",SUMIFS(Chicks!$N:$N,Chicks!$G:$G,A873))</f>
        <v/>
      </c>
      <c r="L873" s="6" t="str">
        <f>IF(A873="","",SUMIFS(Chicks!$O:$O,Chicks!$G:$G,A873))</f>
        <v/>
      </c>
      <c r="M873" s="6" t="str">
        <f>IF(A873="","",SUMIFS(Chicks!$P:$P,Chicks!$G:$G,A873))</f>
        <v/>
      </c>
      <c r="N873" s="6" t="str">
        <f t="shared" si="4"/>
        <v/>
      </c>
    </row>
    <row r="874" spans="6:14" ht="14.25" customHeight="1" x14ac:dyDescent="0.3">
      <c r="F874" s="6" t="str">
        <f>IF(A874="","",COUNTIF(Chicks!$G:$G,A874))</f>
        <v/>
      </c>
      <c r="G874" s="6" t="str">
        <f>IF(A874="","",COUNTIFS(Chicks!$G:$G,A874,Chicks!$I:$I,"Yes"))</f>
        <v/>
      </c>
      <c r="H874" s="6" t="str">
        <f>IF(A874="","",SUMIFS(Chicks!$J:$J,Chicks!$G:$G,A874))</f>
        <v/>
      </c>
      <c r="I874" s="6" t="str">
        <f>IF(A874="","",COUNTIFS(Chicks!$G:$G,A874,Chicks!$I:$I,"No"))</f>
        <v/>
      </c>
      <c r="J874" s="6" t="str">
        <f>IF(A874="","",IFERROR(AVERAGEIF(Chicks!$G:$G,A874,Chicks!$M:$M),""))</f>
        <v/>
      </c>
      <c r="K874" s="6" t="str">
        <f>IF(A874="","",SUMIFS(Chicks!$N:$N,Chicks!$G:$G,A874))</f>
        <v/>
      </c>
      <c r="L874" s="6" t="str">
        <f>IF(A874="","",SUMIFS(Chicks!$O:$O,Chicks!$G:$G,A874))</f>
        <v/>
      </c>
      <c r="M874" s="6" t="str">
        <f>IF(A874="","",SUMIFS(Chicks!$P:$P,Chicks!$G:$G,A874))</f>
        <v/>
      </c>
      <c r="N874" s="6" t="str">
        <f t="shared" si="4"/>
        <v/>
      </c>
    </row>
    <row r="875" spans="6:14" ht="14.25" customHeight="1" x14ac:dyDescent="0.3">
      <c r="F875" s="6" t="str">
        <f>IF(A875="","",COUNTIF(Chicks!$G:$G,A875))</f>
        <v/>
      </c>
      <c r="G875" s="6" t="str">
        <f>IF(A875="","",COUNTIFS(Chicks!$G:$G,A875,Chicks!$I:$I,"Yes"))</f>
        <v/>
      </c>
      <c r="H875" s="6" t="str">
        <f>IF(A875="","",SUMIFS(Chicks!$J:$J,Chicks!$G:$G,A875))</f>
        <v/>
      </c>
      <c r="I875" s="6" t="str">
        <f>IF(A875="","",COUNTIFS(Chicks!$G:$G,A875,Chicks!$I:$I,"No"))</f>
        <v/>
      </c>
      <c r="J875" s="6" t="str">
        <f>IF(A875="","",IFERROR(AVERAGEIF(Chicks!$G:$G,A875,Chicks!$M:$M),""))</f>
        <v/>
      </c>
      <c r="K875" s="6" t="str">
        <f>IF(A875="","",SUMIFS(Chicks!$N:$N,Chicks!$G:$G,A875))</f>
        <v/>
      </c>
      <c r="L875" s="6" t="str">
        <f>IF(A875="","",SUMIFS(Chicks!$O:$O,Chicks!$G:$G,A875))</f>
        <v/>
      </c>
      <c r="M875" s="6" t="str">
        <f>IF(A875="","",SUMIFS(Chicks!$P:$P,Chicks!$G:$G,A875))</f>
        <v/>
      </c>
      <c r="N875" s="6" t="str">
        <f t="shared" si="4"/>
        <v/>
      </c>
    </row>
    <row r="876" spans="6:14" ht="14.25" customHeight="1" x14ac:dyDescent="0.3">
      <c r="F876" s="6" t="str">
        <f>IF(A876="","",COUNTIF(Chicks!$G:$G,A876))</f>
        <v/>
      </c>
      <c r="G876" s="6" t="str">
        <f>IF(A876="","",COUNTIFS(Chicks!$G:$G,A876,Chicks!$I:$I,"Yes"))</f>
        <v/>
      </c>
      <c r="H876" s="6" t="str">
        <f>IF(A876="","",SUMIFS(Chicks!$J:$J,Chicks!$G:$G,A876))</f>
        <v/>
      </c>
      <c r="I876" s="6" t="str">
        <f>IF(A876="","",COUNTIFS(Chicks!$G:$G,A876,Chicks!$I:$I,"No"))</f>
        <v/>
      </c>
      <c r="J876" s="6" t="str">
        <f>IF(A876="","",IFERROR(AVERAGEIF(Chicks!$G:$G,A876,Chicks!$M:$M),""))</f>
        <v/>
      </c>
      <c r="K876" s="6" t="str">
        <f>IF(A876="","",SUMIFS(Chicks!$N:$N,Chicks!$G:$G,A876))</f>
        <v/>
      </c>
      <c r="L876" s="6" t="str">
        <f>IF(A876="","",SUMIFS(Chicks!$O:$O,Chicks!$G:$G,A876))</f>
        <v/>
      </c>
      <c r="M876" s="6" t="str">
        <f>IF(A876="","",SUMIFS(Chicks!$P:$P,Chicks!$G:$G,A876))</f>
        <v/>
      </c>
      <c r="N876" s="6" t="str">
        <f t="shared" si="4"/>
        <v/>
      </c>
    </row>
    <row r="877" spans="6:14" ht="14.25" customHeight="1" x14ac:dyDescent="0.3">
      <c r="F877" s="6" t="str">
        <f>IF(A877="","",COUNTIF(Chicks!$G:$G,A877))</f>
        <v/>
      </c>
      <c r="G877" s="6" t="str">
        <f>IF(A877="","",COUNTIFS(Chicks!$G:$G,A877,Chicks!$I:$I,"Yes"))</f>
        <v/>
      </c>
      <c r="H877" s="6" t="str">
        <f>IF(A877="","",SUMIFS(Chicks!$J:$J,Chicks!$G:$G,A877))</f>
        <v/>
      </c>
      <c r="I877" s="6" t="str">
        <f>IF(A877="","",COUNTIFS(Chicks!$G:$G,A877,Chicks!$I:$I,"No"))</f>
        <v/>
      </c>
      <c r="J877" s="6" t="str">
        <f>IF(A877="","",IFERROR(AVERAGEIF(Chicks!$G:$G,A877,Chicks!$M:$M),""))</f>
        <v/>
      </c>
      <c r="K877" s="6" t="str">
        <f>IF(A877="","",SUMIFS(Chicks!$N:$N,Chicks!$G:$G,A877))</f>
        <v/>
      </c>
      <c r="L877" s="6" t="str">
        <f>IF(A877="","",SUMIFS(Chicks!$O:$O,Chicks!$G:$G,A877))</f>
        <v/>
      </c>
      <c r="M877" s="6" t="str">
        <f>IF(A877="","",SUMIFS(Chicks!$P:$P,Chicks!$G:$G,A877))</f>
        <v/>
      </c>
      <c r="N877" s="6" t="str">
        <f t="shared" si="4"/>
        <v/>
      </c>
    </row>
    <row r="878" spans="6:14" ht="14.25" customHeight="1" x14ac:dyDescent="0.3">
      <c r="F878" s="6" t="str">
        <f>IF(A878="","",COUNTIF(Chicks!$G:$G,A878))</f>
        <v/>
      </c>
      <c r="G878" s="6" t="str">
        <f>IF(A878="","",COUNTIFS(Chicks!$G:$G,A878,Chicks!$I:$I,"Yes"))</f>
        <v/>
      </c>
      <c r="H878" s="6" t="str">
        <f>IF(A878="","",SUMIFS(Chicks!$J:$J,Chicks!$G:$G,A878))</f>
        <v/>
      </c>
      <c r="I878" s="6" t="str">
        <f>IF(A878="","",COUNTIFS(Chicks!$G:$G,A878,Chicks!$I:$I,"No"))</f>
        <v/>
      </c>
      <c r="J878" s="6" t="str">
        <f>IF(A878="","",IFERROR(AVERAGEIF(Chicks!$G:$G,A878,Chicks!$M:$M),""))</f>
        <v/>
      </c>
      <c r="K878" s="6" t="str">
        <f>IF(A878="","",SUMIFS(Chicks!$N:$N,Chicks!$G:$G,A878))</f>
        <v/>
      </c>
      <c r="L878" s="6" t="str">
        <f>IF(A878="","",SUMIFS(Chicks!$O:$O,Chicks!$G:$G,A878))</f>
        <v/>
      </c>
      <c r="M878" s="6" t="str">
        <f>IF(A878="","",SUMIFS(Chicks!$P:$P,Chicks!$G:$G,A878))</f>
        <v/>
      </c>
      <c r="N878" s="6" t="str">
        <f t="shared" si="4"/>
        <v/>
      </c>
    </row>
    <row r="879" spans="6:14" ht="14.25" customHeight="1" x14ac:dyDescent="0.3">
      <c r="F879" s="6" t="str">
        <f>IF(A879="","",COUNTIF(Chicks!$G:$G,A879))</f>
        <v/>
      </c>
      <c r="G879" s="6" t="str">
        <f>IF(A879="","",COUNTIFS(Chicks!$G:$G,A879,Chicks!$I:$I,"Yes"))</f>
        <v/>
      </c>
      <c r="H879" s="6" t="str">
        <f>IF(A879="","",SUMIFS(Chicks!$J:$J,Chicks!$G:$G,A879))</f>
        <v/>
      </c>
      <c r="I879" s="6" t="str">
        <f>IF(A879="","",COUNTIFS(Chicks!$G:$G,A879,Chicks!$I:$I,"No"))</f>
        <v/>
      </c>
      <c r="J879" s="6" t="str">
        <f>IF(A879="","",IFERROR(AVERAGEIF(Chicks!$G:$G,A879,Chicks!$M:$M),""))</f>
        <v/>
      </c>
      <c r="K879" s="6" t="str">
        <f>IF(A879="","",SUMIFS(Chicks!$N:$N,Chicks!$G:$G,A879))</f>
        <v/>
      </c>
      <c r="L879" s="6" t="str">
        <f>IF(A879="","",SUMIFS(Chicks!$O:$O,Chicks!$G:$G,A879))</f>
        <v/>
      </c>
      <c r="M879" s="6" t="str">
        <f>IF(A879="","",SUMIFS(Chicks!$P:$P,Chicks!$G:$G,A879))</f>
        <v/>
      </c>
      <c r="N879" s="6" t="str">
        <f t="shared" si="4"/>
        <v/>
      </c>
    </row>
    <row r="880" spans="6:14" ht="14.25" customHeight="1" x14ac:dyDescent="0.3">
      <c r="F880" s="6" t="str">
        <f>IF(A880="","",COUNTIF(Chicks!$G:$G,A880))</f>
        <v/>
      </c>
      <c r="G880" s="6" t="str">
        <f>IF(A880="","",COUNTIFS(Chicks!$G:$G,A880,Chicks!$I:$I,"Yes"))</f>
        <v/>
      </c>
      <c r="H880" s="6" t="str">
        <f>IF(A880="","",SUMIFS(Chicks!$J:$J,Chicks!$G:$G,A880))</f>
        <v/>
      </c>
      <c r="I880" s="6" t="str">
        <f>IF(A880="","",COUNTIFS(Chicks!$G:$G,A880,Chicks!$I:$I,"No"))</f>
        <v/>
      </c>
      <c r="J880" s="6" t="str">
        <f>IF(A880="","",IFERROR(AVERAGEIF(Chicks!$G:$G,A880,Chicks!$M:$M),""))</f>
        <v/>
      </c>
      <c r="K880" s="6" t="str">
        <f>IF(A880="","",SUMIFS(Chicks!$N:$N,Chicks!$G:$G,A880))</f>
        <v/>
      </c>
      <c r="L880" s="6" t="str">
        <f>IF(A880="","",SUMIFS(Chicks!$O:$O,Chicks!$G:$G,A880))</f>
        <v/>
      </c>
      <c r="M880" s="6" t="str">
        <f>IF(A880="","",SUMIFS(Chicks!$P:$P,Chicks!$G:$G,A880))</f>
        <v/>
      </c>
      <c r="N880" s="6" t="str">
        <f t="shared" si="4"/>
        <v/>
      </c>
    </row>
    <row r="881" spans="6:14" ht="14.25" customHeight="1" x14ac:dyDescent="0.3">
      <c r="F881" s="6" t="str">
        <f>IF(A881="","",COUNTIF(Chicks!$G:$G,A881))</f>
        <v/>
      </c>
      <c r="G881" s="6" t="str">
        <f>IF(A881="","",COUNTIFS(Chicks!$G:$G,A881,Chicks!$I:$I,"Yes"))</f>
        <v/>
      </c>
      <c r="H881" s="6" t="str">
        <f>IF(A881="","",SUMIFS(Chicks!$J:$J,Chicks!$G:$G,A881))</f>
        <v/>
      </c>
      <c r="I881" s="6" t="str">
        <f>IF(A881="","",COUNTIFS(Chicks!$G:$G,A881,Chicks!$I:$I,"No"))</f>
        <v/>
      </c>
      <c r="J881" s="6" t="str">
        <f>IF(A881="","",IFERROR(AVERAGEIF(Chicks!$G:$G,A881,Chicks!$M:$M),""))</f>
        <v/>
      </c>
      <c r="K881" s="6" t="str">
        <f>IF(A881="","",SUMIFS(Chicks!$N:$N,Chicks!$G:$G,A881))</f>
        <v/>
      </c>
      <c r="L881" s="6" t="str">
        <f>IF(A881="","",SUMIFS(Chicks!$O:$O,Chicks!$G:$G,A881))</f>
        <v/>
      </c>
      <c r="M881" s="6" t="str">
        <f>IF(A881="","",SUMIFS(Chicks!$P:$P,Chicks!$G:$G,A881))</f>
        <v/>
      </c>
      <c r="N881" s="6" t="str">
        <f t="shared" si="4"/>
        <v/>
      </c>
    </row>
    <row r="882" spans="6:14" ht="14.25" customHeight="1" x14ac:dyDescent="0.3">
      <c r="F882" s="6" t="str">
        <f>IF(A882="","",COUNTIF(Chicks!$G:$G,A882))</f>
        <v/>
      </c>
      <c r="G882" s="6" t="str">
        <f>IF(A882="","",COUNTIFS(Chicks!$G:$G,A882,Chicks!$I:$I,"Yes"))</f>
        <v/>
      </c>
      <c r="H882" s="6" t="str">
        <f>IF(A882="","",SUMIFS(Chicks!$J:$J,Chicks!$G:$G,A882))</f>
        <v/>
      </c>
      <c r="I882" s="6" t="str">
        <f>IF(A882="","",COUNTIFS(Chicks!$G:$G,A882,Chicks!$I:$I,"No"))</f>
        <v/>
      </c>
      <c r="J882" s="6" t="str">
        <f>IF(A882="","",IFERROR(AVERAGEIF(Chicks!$G:$G,A882,Chicks!$M:$M),""))</f>
        <v/>
      </c>
      <c r="K882" s="6" t="str">
        <f>IF(A882="","",SUMIFS(Chicks!$N:$N,Chicks!$G:$G,A882))</f>
        <v/>
      </c>
      <c r="L882" s="6" t="str">
        <f>IF(A882="","",SUMIFS(Chicks!$O:$O,Chicks!$G:$G,A882))</f>
        <v/>
      </c>
      <c r="M882" s="6" t="str">
        <f>IF(A882="","",SUMIFS(Chicks!$P:$P,Chicks!$G:$G,A882))</f>
        <v/>
      </c>
      <c r="N882" s="6" t="str">
        <f t="shared" si="4"/>
        <v/>
      </c>
    </row>
    <row r="883" spans="6:14" ht="14.25" customHeight="1" x14ac:dyDescent="0.3">
      <c r="F883" s="6" t="str">
        <f>IF(A883="","",COUNTIF(Chicks!$G:$G,A883))</f>
        <v/>
      </c>
      <c r="G883" s="6" t="str">
        <f>IF(A883="","",COUNTIFS(Chicks!$G:$G,A883,Chicks!$I:$I,"Yes"))</f>
        <v/>
      </c>
      <c r="H883" s="6" t="str">
        <f>IF(A883="","",SUMIFS(Chicks!$J:$J,Chicks!$G:$G,A883))</f>
        <v/>
      </c>
      <c r="I883" s="6" t="str">
        <f>IF(A883="","",COUNTIFS(Chicks!$G:$G,A883,Chicks!$I:$I,"No"))</f>
        <v/>
      </c>
      <c r="J883" s="6" t="str">
        <f>IF(A883="","",IFERROR(AVERAGEIF(Chicks!$G:$G,A883,Chicks!$M:$M),""))</f>
        <v/>
      </c>
      <c r="K883" s="6" t="str">
        <f>IF(A883="","",SUMIFS(Chicks!$N:$N,Chicks!$G:$G,A883))</f>
        <v/>
      </c>
      <c r="L883" s="6" t="str">
        <f>IF(A883="","",SUMIFS(Chicks!$O:$O,Chicks!$G:$G,A883))</f>
        <v/>
      </c>
      <c r="M883" s="6" t="str">
        <f>IF(A883="","",SUMIFS(Chicks!$P:$P,Chicks!$G:$G,A883))</f>
        <v/>
      </c>
      <c r="N883" s="6" t="str">
        <f t="shared" si="4"/>
        <v/>
      </c>
    </row>
    <row r="884" spans="6:14" ht="14.25" customHeight="1" x14ac:dyDescent="0.3">
      <c r="F884" s="6" t="str">
        <f>IF(A884="","",COUNTIF(Chicks!$G:$G,A884))</f>
        <v/>
      </c>
      <c r="G884" s="6" t="str">
        <f>IF(A884="","",COUNTIFS(Chicks!$G:$G,A884,Chicks!$I:$I,"Yes"))</f>
        <v/>
      </c>
      <c r="H884" s="6" t="str">
        <f>IF(A884="","",SUMIFS(Chicks!$J:$J,Chicks!$G:$G,A884))</f>
        <v/>
      </c>
      <c r="I884" s="6" t="str">
        <f>IF(A884="","",COUNTIFS(Chicks!$G:$G,A884,Chicks!$I:$I,"No"))</f>
        <v/>
      </c>
      <c r="J884" s="6" t="str">
        <f>IF(A884="","",IFERROR(AVERAGEIF(Chicks!$G:$G,A884,Chicks!$M:$M),""))</f>
        <v/>
      </c>
      <c r="K884" s="6" t="str">
        <f>IF(A884="","",SUMIFS(Chicks!$N:$N,Chicks!$G:$G,A884))</f>
        <v/>
      </c>
      <c r="L884" s="6" t="str">
        <f>IF(A884="","",SUMIFS(Chicks!$O:$O,Chicks!$G:$G,A884))</f>
        <v/>
      </c>
      <c r="M884" s="6" t="str">
        <f>IF(A884="","",SUMIFS(Chicks!$P:$P,Chicks!$G:$G,A884))</f>
        <v/>
      </c>
      <c r="N884" s="6" t="str">
        <f t="shared" si="4"/>
        <v/>
      </c>
    </row>
    <row r="885" spans="6:14" ht="14.25" customHeight="1" x14ac:dyDescent="0.3">
      <c r="F885" s="6" t="str">
        <f>IF(A885="","",COUNTIF(Chicks!$G:$G,A885))</f>
        <v/>
      </c>
      <c r="G885" s="6" t="str">
        <f>IF(A885="","",COUNTIFS(Chicks!$G:$G,A885,Chicks!$I:$I,"Yes"))</f>
        <v/>
      </c>
      <c r="H885" s="6" t="str">
        <f>IF(A885="","",SUMIFS(Chicks!$J:$J,Chicks!$G:$G,A885))</f>
        <v/>
      </c>
      <c r="I885" s="6" t="str">
        <f>IF(A885="","",COUNTIFS(Chicks!$G:$G,A885,Chicks!$I:$I,"No"))</f>
        <v/>
      </c>
      <c r="J885" s="6" t="str">
        <f>IF(A885="","",IFERROR(AVERAGEIF(Chicks!$G:$G,A885,Chicks!$M:$M),""))</f>
        <v/>
      </c>
      <c r="K885" s="6" t="str">
        <f>IF(A885="","",SUMIFS(Chicks!$N:$N,Chicks!$G:$G,A885))</f>
        <v/>
      </c>
      <c r="L885" s="6" t="str">
        <f>IF(A885="","",SUMIFS(Chicks!$O:$O,Chicks!$G:$G,A885))</f>
        <v/>
      </c>
      <c r="M885" s="6" t="str">
        <f>IF(A885="","",SUMIFS(Chicks!$P:$P,Chicks!$G:$G,A885))</f>
        <v/>
      </c>
      <c r="N885" s="6" t="str">
        <f t="shared" si="4"/>
        <v/>
      </c>
    </row>
    <row r="886" spans="6:14" ht="14.25" customHeight="1" x14ac:dyDescent="0.3">
      <c r="F886" s="6" t="str">
        <f>IF(A886="","",COUNTIF(Chicks!$G:$G,A886))</f>
        <v/>
      </c>
      <c r="G886" s="6" t="str">
        <f>IF(A886="","",COUNTIFS(Chicks!$G:$G,A886,Chicks!$I:$I,"Yes"))</f>
        <v/>
      </c>
      <c r="H886" s="6" t="str">
        <f>IF(A886="","",SUMIFS(Chicks!$J:$J,Chicks!$G:$G,A886))</f>
        <v/>
      </c>
      <c r="I886" s="6" t="str">
        <f>IF(A886="","",COUNTIFS(Chicks!$G:$G,A886,Chicks!$I:$I,"No"))</f>
        <v/>
      </c>
      <c r="J886" s="6" t="str">
        <f>IF(A886="","",IFERROR(AVERAGEIF(Chicks!$G:$G,A886,Chicks!$M:$M),""))</f>
        <v/>
      </c>
      <c r="K886" s="6" t="str">
        <f>IF(A886="","",SUMIFS(Chicks!$N:$N,Chicks!$G:$G,A886))</f>
        <v/>
      </c>
      <c r="L886" s="6" t="str">
        <f>IF(A886="","",SUMIFS(Chicks!$O:$O,Chicks!$G:$G,A886))</f>
        <v/>
      </c>
      <c r="M886" s="6" t="str">
        <f>IF(A886="","",SUMIFS(Chicks!$P:$P,Chicks!$G:$G,A886))</f>
        <v/>
      </c>
      <c r="N886" s="6" t="str">
        <f t="shared" si="4"/>
        <v/>
      </c>
    </row>
    <row r="887" spans="6:14" ht="14.25" customHeight="1" x14ac:dyDescent="0.3">
      <c r="F887" s="6" t="str">
        <f>IF(A887="","",COUNTIF(Chicks!$G:$G,A887))</f>
        <v/>
      </c>
      <c r="G887" s="6" t="str">
        <f>IF(A887="","",COUNTIFS(Chicks!$G:$G,A887,Chicks!$I:$I,"Yes"))</f>
        <v/>
      </c>
      <c r="H887" s="6" t="str">
        <f>IF(A887="","",SUMIFS(Chicks!$J:$J,Chicks!$G:$G,A887))</f>
        <v/>
      </c>
      <c r="I887" s="6" t="str">
        <f>IF(A887="","",COUNTIFS(Chicks!$G:$G,A887,Chicks!$I:$I,"No"))</f>
        <v/>
      </c>
      <c r="J887" s="6" t="str">
        <f>IF(A887="","",IFERROR(AVERAGEIF(Chicks!$G:$G,A887,Chicks!$M:$M),""))</f>
        <v/>
      </c>
      <c r="K887" s="6" t="str">
        <f>IF(A887="","",SUMIFS(Chicks!$N:$N,Chicks!$G:$G,A887))</f>
        <v/>
      </c>
      <c r="L887" s="6" t="str">
        <f>IF(A887="","",SUMIFS(Chicks!$O:$O,Chicks!$G:$G,A887))</f>
        <v/>
      </c>
      <c r="M887" s="6" t="str">
        <f>IF(A887="","",SUMIFS(Chicks!$P:$P,Chicks!$G:$G,A887))</f>
        <v/>
      </c>
      <c r="N887" s="6" t="str">
        <f t="shared" si="4"/>
        <v/>
      </c>
    </row>
    <row r="888" spans="6:14" ht="14.25" customHeight="1" x14ac:dyDescent="0.3">
      <c r="F888" s="6" t="str">
        <f>IF(A888="","",COUNTIF(Chicks!$G:$G,A888))</f>
        <v/>
      </c>
      <c r="G888" s="6" t="str">
        <f>IF(A888="","",COUNTIFS(Chicks!$G:$G,A888,Chicks!$I:$I,"Yes"))</f>
        <v/>
      </c>
      <c r="H888" s="6" t="str">
        <f>IF(A888="","",SUMIFS(Chicks!$J:$J,Chicks!$G:$G,A888))</f>
        <v/>
      </c>
      <c r="I888" s="6" t="str">
        <f>IF(A888="","",COUNTIFS(Chicks!$G:$G,A888,Chicks!$I:$I,"No"))</f>
        <v/>
      </c>
      <c r="J888" s="6" t="str">
        <f>IF(A888="","",IFERROR(AVERAGEIF(Chicks!$G:$G,A888,Chicks!$M:$M),""))</f>
        <v/>
      </c>
      <c r="K888" s="6" t="str">
        <f>IF(A888="","",SUMIFS(Chicks!$N:$N,Chicks!$G:$G,A888))</f>
        <v/>
      </c>
      <c r="L888" s="6" t="str">
        <f>IF(A888="","",SUMIFS(Chicks!$O:$O,Chicks!$G:$G,A888))</f>
        <v/>
      </c>
      <c r="M888" s="6" t="str">
        <f>IF(A888="","",SUMIFS(Chicks!$P:$P,Chicks!$G:$G,A888))</f>
        <v/>
      </c>
      <c r="N888" s="6" t="str">
        <f t="shared" si="4"/>
        <v/>
      </c>
    </row>
    <row r="889" spans="6:14" ht="14.25" customHeight="1" x14ac:dyDescent="0.3">
      <c r="F889" s="6" t="str">
        <f>IF(A889="","",COUNTIF(Chicks!$G:$G,A889))</f>
        <v/>
      </c>
      <c r="G889" s="6" t="str">
        <f>IF(A889="","",COUNTIFS(Chicks!$G:$G,A889,Chicks!$I:$I,"Yes"))</f>
        <v/>
      </c>
      <c r="H889" s="6" t="str">
        <f>IF(A889="","",SUMIFS(Chicks!$J:$J,Chicks!$G:$G,A889))</f>
        <v/>
      </c>
      <c r="I889" s="6" t="str">
        <f>IF(A889="","",COUNTIFS(Chicks!$G:$G,A889,Chicks!$I:$I,"No"))</f>
        <v/>
      </c>
      <c r="J889" s="6" t="str">
        <f>IF(A889="","",IFERROR(AVERAGEIF(Chicks!$G:$G,A889,Chicks!$M:$M),""))</f>
        <v/>
      </c>
      <c r="K889" s="6" t="str">
        <f>IF(A889="","",SUMIFS(Chicks!$N:$N,Chicks!$G:$G,A889))</f>
        <v/>
      </c>
      <c r="L889" s="6" t="str">
        <f>IF(A889="","",SUMIFS(Chicks!$O:$O,Chicks!$G:$G,A889))</f>
        <v/>
      </c>
      <c r="M889" s="6" t="str">
        <f>IF(A889="","",SUMIFS(Chicks!$P:$P,Chicks!$G:$G,A889))</f>
        <v/>
      </c>
      <c r="N889" s="6" t="str">
        <f t="shared" si="4"/>
        <v/>
      </c>
    </row>
    <row r="890" spans="6:14" ht="14.25" customHeight="1" x14ac:dyDescent="0.3">
      <c r="F890" s="6" t="str">
        <f>IF(A890="","",COUNTIF(Chicks!$G:$G,A890))</f>
        <v/>
      </c>
      <c r="G890" s="6" t="str">
        <f>IF(A890="","",COUNTIFS(Chicks!$G:$G,A890,Chicks!$I:$I,"Yes"))</f>
        <v/>
      </c>
      <c r="H890" s="6" t="str">
        <f>IF(A890="","",SUMIFS(Chicks!$J:$J,Chicks!$G:$G,A890))</f>
        <v/>
      </c>
      <c r="I890" s="6" t="str">
        <f>IF(A890="","",COUNTIFS(Chicks!$G:$G,A890,Chicks!$I:$I,"No"))</f>
        <v/>
      </c>
      <c r="J890" s="6" t="str">
        <f>IF(A890="","",IFERROR(AVERAGEIF(Chicks!$G:$G,A890,Chicks!$M:$M),""))</f>
        <v/>
      </c>
      <c r="K890" s="6" t="str">
        <f>IF(A890="","",SUMIFS(Chicks!$N:$N,Chicks!$G:$G,A890))</f>
        <v/>
      </c>
      <c r="L890" s="6" t="str">
        <f>IF(A890="","",SUMIFS(Chicks!$O:$O,Chicks!$G:$G,A890))</f>
        <v/>
      </c>
      <c r="M890" s="6" t="str">
        <f>IF(A890="","",SUMIFS(Chicks!$P:$P,Chicks!$G:$G,A890))</f>
        <v/>
      </c>
      <c r="N890" s="6" t="str">
        <f t="shared" si="4"/>
        <v/>
      </c>
    </row>
    <row r="891" spans="6:14" ht="14.25" customHeight="1" x14ac:dyDescent="0.3">
      <c r="F891" s="6" t="str">
        <f>IF(A891="","",COUNTIF(Chicks!$G:$G,A891))</f>
        <v/>
      </c>
      <c r="G891" s="6" t="str">
        <f>IF(A891="","",COUNTIFS(Chicks!$G:$G,A891,Chicks!$I:$I,"Yes"))</f>
        <v/>
      </c>
      <c r="H891" s="6" t="str">
        <f>IF(A891="","",SUMIFS(Chicks!$J:$J,Chicks!$G:$G,A891))</f>
        <v/>
      </c>
      <c r="I891" s="6" t="str">
        <f>IF(A891="","",COUNTIFS(Chicks!$G:$G,A891,Chicks!$I:$I,"No"))</f>
        <v/>
      </c>
      <c r="J891" s="6" t="str">
        <f>IF(A891="","",IFERROR(AVERAGEIF(Chicks!$G:$G,A891,Chicks!$M:$M),""))</f>
        <v/>
      </c>
      <c r="K891" s="6" t="str">
        <f>IF(A891="","",SUMIFS(Chicks!$N:$N,Chicks!$G:$G,A891))</f>
        <v/>
      </c>
      <c r="L891" s="6" t="str">
        <f>IF(A891="","",SUMIFS(Chicks!$O:$O,Chicks!$G:$G,A891))</f>
        <v/>
      </c>
      <c r="M891" s="6" t="str">
        <f>IF(A891="","",SUMIFS(Chicks!$P:$P,Chicks!$G:$G,A891))</f>
        <v/>
      </c>
      <c r="N891" s="6" t="str">
        <f t="shared" si="4"/>
        <v/>
      </c>
    </row>
    <row r="892" spans="6:14" ht="14.25" customHeight="1" x14ac:dyDescent="0.3">
      <c r="F892" s="6" t="str">
        <f>IF(A892="","",COUNTIF(Chicks!$G:$G,A892))</f>
        <v/>
      </c>
      <c r="G892" s="6" t="str">
        <f>IF(A892="","",COUNTIFS(Chicks!$G:$G,A892,Chicks!$I:$I,"Yes"))</f>
        <v/>
      </c>
      <c r="H892" s="6" t="str">
        <f>IF(A892="","",SUMIFS(Chicks!$J:$J,Chicks!$G:$G,A892))</f>
        <v/>
      </c>
      <c r="I892" s="6" t="str">
        <f>IF(A892="","",COUNTIFS(Chicks!$G:$G,A892,Chicks!$I:$I,"No"))</f>
        <v/>
      </c>
      <c r="J892" s="6" t="str">
        <f>IF(A892="","",IFERROR(AVERAGEIF(Chicks!$G:$G,A892,Chicks!$M:$M),""))</f>
        <v/>
      </c>
      <c r="K892" s="6" t="str">
        <f>IF(A892="","",SUMIFS(Chicks!$N:$N,Chicks!$G:$G,A892))</f>
        <v/>
      </c>
      <c r="L892" s="6" t="str">
        <f>IF(A892="","",SUMIFS(Chicks!$O:$O,Chicks!$G:$G,A892))</f>
        <v/>
      </c>
      <c r="M892" s="6" t="str">
        <f>IF(A892="","",SUMIFS(Chicks!$P:$P,Chicks!$G:$G,A892))</f>
        <v/>
      </c>
      <c r="N892" s="6" t="str">
        <f t="shared" si="4"/>
        <v/>
      </c>
    </row>
    <row r="893" spans="6:14" ht="14.25" customHeight="1" x14ac:dyDescent="0.3">
      <c r="F893" s="6" t="str">
        <f>IF(A893="","",COUNTIF(Chicks!$G:$G,A893))</f>
        <v/>
      </c>
      <c r="G893" s="6" t="str">
        <f>IF(A893="","",COUNTIFS(Chicks!$G:$G,A893,Chicks!$I:$I,"Yes"))</f>
        <v/>
      </c>
      <c r="H893" s="6" t="str">
        <f>IF(A893="","",SUMIFS(Chicks!$J:$J,Chicks!$G:$G,A893))</f>
        <v/>
      </c>
      <c r="I893" s="6" t="str">
        <f>IF(A893="","",COUNTIFS(Chicks!$G:$G,A893,Chicks!$I:$I,"No"))</f>
        <v/>
      </c>
      <c r="J893" s="6" t="str">
        <f>IF(A893="","",IFERROR(AVERAGEIF(Chicks!$G:$G,A893,Chicks!$M:$M),""))</f>
        <v/>
      </c>
      <c r="K893" s="6" t="str">
        <f>IF(A893="","",SUMIFS(Chicks!$N:$N,Chicks!$G:$G,A893))</f>
        <v/>
      </c>
      <c r="L893" s="6" t="str">
        <f>IF(A893="","",SUMIFS(Chicks!$O:$O,Chicks!$G:$G,A893))</f>
        <v/>
      </c>
      <c r="M893" s="6" t="str">
        <f>IF(A893="","",SUMIFS(Chicks!$P:$P,Chicks!$G:$G,A893))</f>
        <v/>
      </c>
      <c r="N893" s="6" t="str">
        <f t="shared" si="4"/>
        <v/>
      </c>
    </row>
    <row r="894" spans="6:14" ht="14.25" customHeight="1" x14ac:dyDescent="0.3">
      <c r="F894" s="6" t="str">
        <f>IF(A894="","",COUNTIF(Chicks!$G:$G,A894))</f>
        <v/>
      </c>
      <c r="G894" s="6" t="str">
        <f>IF(A894="","",COUNTIFS(Chicks!$G:$G,A894,Chicks!$I:$I,"Yes"))</f>
        <v/>
      </c>
      <c r="H894" s="6" t="str">
        <f>IF(A894="","",SUMIFS(Chicks!$J:$J,Chicks!$G:$G,A894))</f>
        <v/>
      </c>
      <c r="I894" s="6" t="str">
        <f>IF(A894="","",COUNTIFS(Chicks!$G:$G,A894,Chicks!$I:$I,"No"))</f>
        <v/>
      </c>
      <c r="J894" s="6" t="str">
        <f>IF(A894="","",IFERROR(AVERAGEIF(Chicks!$G:$G,A894,Chicks!$M:$M),""))</f>
        <v/>
      </c>
      <c r="K894" s="6" t="str">
        <f>IF(A894="","",SUMIFS(Chicks!$N:$N,Chicks!$G:$G,A894))</f>
        <v/>
      </c>
      <c r="L894" s="6" t="str">
        <f>IF(A894="","",SUMIFS(Chicks!$O:$O,Chicks!$G:$G,A894))</f>
        <v/>
      </c>
      <c r="M894" s="6" t="str">
        <f>IF(A894="","",SUMIFS(Chicks!$P:$P,Chicks!$G:$G,A894))</f>
        <v/>
      </c>
      <c r="N894" s="6" t="str">
        <f t="shared" si="4"/>
        <v/>
      </c>
    </row>
    <row r="895" spans="6:14" ht="14.25" customHeight="1" x14ac:dyDescent="0.3">
      <c r="F895" s="6" t="str">
        <f>IF(A895="","",COUNTIF(Chicks!$G:$G,A895))</f>
        <v/>
      </c>
      <c r="G895" s="6" t="str">
        <f>IF(A895="","",COUNTIFS(Chicks!$G:$G,A895,Chicks!$I:$I,"Yes"))</f>
        <v/>
      </c>
      <c r="H895" s="6" t="str">
        <f>IF(A895="","",SUMIFS(Chicks!$J:$J,Chicks!$G:$G,A895))</f>
        <v/>
      </c>
      <c r="I895" s="6" t="str">
        <f>IF(A895="","",COUNTIFS(Chicks!$G:$G,A895,Chicks!$I:$I,"No"))</f>
        <v/>
      </c>
      <c r="J895" s="6" t="str">
        <f>IF(A895="","",IFERROR(AVERAGEIF(Chicks!$G:$G,A895,Chicks!$M:$M),""))</f>
        <v/>
      </c>
      <c r="K895" s="6" t="str">
        <f>IF(A895="","",SUMIFS(Chicks!$N:$N,Chicks!$G:$G,A895))</f>
        <v/>
      </c>
      <c r="L895" s="6" t="str">
        <f>IF(A895="","",SUMIFS(Chicks!$O:$O,Chicks!$G:$G,A895))</f>
        <v/>
      </c>
      <c r="M895" s="6" t="str">
        <f>IF(A895="","",SUMIFS(Chicks!$P:$P,Chicks!$G:$G,A895))</f>
        <v/>
      </c>
      <c r="N895" s="6" t="str">
        <f t="shared" si="4"/>
        <v/>
      </c>
    </row>
    <row r="896" spans="6:14" ht="14.25" customHeight="1" x14ac:dyDescent="0.3">
      <c r="F896" s="6" t="str">
        <f>IF(A896="","",COUNTIF(Chicks!$G:$G,A896))</f>
        <v/>
      </c>
      <c r="G896" s="6" t="str">
        <f>IF(A896="","",COUNTIFS(Chicks!$G:$G,A896,Chicks!$I:$I,"Yes"))</f>
        <v/>
      </c>
      <c r="H896" s="6" t="str">
        <f>IF(A896="","",SUMIFS(Chicks!$J:$J,Chicks!$G:$G,A896))</f>
        <v/>
      </c>
      <c r="I896" s="6" t="str">
        <f>IF(A896="","",COUNTIFS(Chicks!$G:$G,A896,Chicks!$I:$I,"No"))</f>
        <v/>
      </c>
      <c r="J896" s="6" t="str">
        <f>IF(A896="","",IFERROR(AVERAGEIF(Chicks!$G:$G,A896,Chicks!$M:$M),""))</f>
        <v/>
      </c>
      <c r="K896" s="6" t="str">
        <f>IF(A896="","",SUMIFS(Chicks!$N:$N,Chicks!$G:$G,A896))</f>
        <v/>
      </c>
      <c r="L896" s="6" t="str">
        <f>IF(A896="","",SUMIFS(Chicks!$O:$O,Chicks!$G:$G,A896))</f>
        <v/>
      </c>
      <c r="M896" s="6" t="str">
        <f>IF(A896="","",SUMIFS(Chicks!$P:$P,Chicks!$G:$G,A896))</f>
        <v/>
      </c>
      <c r="N896" s="6" t="str">
        <f t="shared" si="4"/>
        <v/>
      </c>
    </row>
    <row r="897" spans="6:14" ht="14.25" customHeight="1" x14ac:dyDescent="0.3">
      <c r="F897" s="6" t="str">
        <f>IF(A897="","",COUNTIF(Chicks!$G:$G,A897))</f>
        <v/>
      </c>
      <c r="G897" s="6" t="str">
        <f>IF(A897="","",COUNTIFS(Chicks!$G:$G,A897,Chicks!$I:$I,"Yes"))</f>
        <v/>
      </c>
      <c r="H897" s="6" t="str">
        <f>IF(A897="","",SUMIFS(Chicks!$J:$J,Chicks!$G:$G,A897))</f>
        <v/>
      </c>
      <c r="I897" s="6" t="str">
        <f>IF(A897="","",COUNTIFS(Chicks!$G:$G,A897,Chicks!$I:$I,"No"))</f>
        <v/>
      </c>
      <c r="J897" s="6" t="str">
        <f>IF(A897="","",IFERROR(AVERAGEIF(Chicks!$G:$G,A897,Chicks!$M:$M),""))</f>
        <v/>
      </c>
      <c r="K897" s="6" t="str">
        <f>IF(A897="","",SUMIFS(Chicks!$N:$N,Chicks!$G:$G,A897))</f>
        <v/>
      </c>
      <c r="L897" s="6" t="str">
        <f>IF(A897="","",SUMIFS(Chicks!$O:$O,Chicks!$G:$G,A897))</f>
        <v/>
      </c>
      <c r="M897" s="6" t="str">
        <f>IF(A897="","",SUMIFS(Chicks!$P:$P,Chicks!$G:$G,A897))</f>
        <v/>
      </c>
      <c r="N897" s="6" t="str">
        <f t="shared" si="4"/>
        <v/>
      </c>
    </row>
    <row r="898" spans="6:14" ht="14.25" customHeight="1" x14ac:dyDescent="0.3">
      <c r="F898" s="6" t="str">
        <f>IF(A898="","",COUNTIF(Chicks!$G:$G,A898))</f>
        <v/>
      </c>
      <c r="G898" s="6" t="str">
        <f>IF(A898="","",COUNTIFS(Chicks!$G:$G,A898,Chicks!$I:$I,"Yes"))</f>
        <v/>
      </c>
      <c r="H898" s="6" t="str">
        <f>IF(A898="","",SUMIFS(Chicks!$J:$J,Chicks!$G:$G,A898))</f>
        <v/>
      </c>
      <c r="I898" s="6" t="str">
        <f>IF(A898="","",COUNTIFS(Chicks!$G:$G,A898,Chicks!$I:$I,"No"))</f>
        <v/>
      </c>
      <c r="J898" s="6" t="str">
        <f>IF(A898="","",IFERROR(AVERAGEIF(Chicks!$G:$G,A898,Chicks!$M:$M),""))</f>
        <v/>
      </c>
      <c r="K898" s="6" t="str">
        <f>IF(A898="","",SUMIFS(Chicks!$N:$N,Chicks!$G:$G,A898))</f>
        <v/>
      </c>
      <c r="L898" s="6" t="str">
        <f>IF(A898="","",SUMIFS(Chicks!$O:$O,Chicks!$G:$G,A898))</f>
        <v/>
      </c>
      <c r="M898" s="6" t="str">
        <f>IF(A898="","",SUMIFS(Chicks!$P:$P,Chicks!$G:$G,A898))</f>
        <v/>
      </c>
      <c r="N898" s="6" t="str">
        <f t="shared" si="4"/>
        <v/>
      </c>
    </row>
    <row r="899" spans="6:14" ht="14.25" customHeight="1" x14ac:dyDescent="0.3">
      <c r="F899" s="6" t="str">
        <f>IF(A899="","",COUNTIF(Chicks!$G:$G,A899))</f>
        <v/>
      </c>
      <c r="G899" s="6" t="str">
        <f>IF(A899="","",COUNTIFS(Chicks!$G:$G,A899,Chicks!$I:$I,"Yes"))</f>
        <v/>
      </c>
      <c r="H899" s="6" t="str">
        <f>IF(A899="","",SUMIFS(Chicks!$J:$J,Chicks!$G:$G,A899))</f>
        <v/>
      </c>
      <c r="I899" s="6" t="str">
        <f>IF(A899="","",COUNTIFS(Chicks!$G:$G,A899,Chicks!$I:$I,"No"))</f>
        <v/>
      </c>
      <c r="J899" s="6" t="str">
        <f>IF(A899="","",IFERROR(AVERAGEIF(Chicks!$G:$G,A899,Chicks!$M:$M),""))</f>
        <v/>
      </c>
      <c r="K899" s="6" t="str">
        <f>IF(A899="","",SUMIFS(Chicks!$N:$N,Chicks!$G:$G,A899))</f>
        <v/>
      </c>
      <c r="L899" s="6" t="str">
        <f>IF(A899="","",SUMIFS(Chicks!$O:$O,Chicks!$G:$G,A899))</f>
        <v/>
      </c>
      <c r="M899" s="6" t="str">
        <f>IF(A899="","",SUMIFS(Chicks!$P:$P,Chicks!$G:$G,A899))</f>
        <v/>
      </c>
      <c r="N899" s="6" t="str">
        <f t="shared" si="4"/>
        <v/>
      </c>
    </row>
    <row r="900" spans="6:14" ht="14.25" customHeight="1" x14ac:dyDescent="0.3">
      <c r="F900" s="6" t="str">
        <f>IF(A900="","",COUNTIF(Chicks!$G:$G,A900))</f>
        <v/>
      </c>
      <c r="G900" s="6" t="str">
        <f>IF(A900="","",COUNTIFS(Chicks!$G:$G,A900,Chicks!$I:$I,"Yes"))</f>
        <v/>
      </c>
      <c r="H900" s="6" t="str">
        <f>IF(A900="","",SUMIFS(Chicks!$J:$J,Chicks!$G:$G,A900))</f>
        <v/>
      </c>
      <c r="I900" s="6" t="str">
        <f>IF(A900="","",COUNTIFS(Chicks!$G:$G,A900,Chicks!$I:$I,"No"))</f>
        <v/>
      </c>
      <c r="J900" s="6" t="str">
        <f>IF(A900="","",IFERROR(AVERAGEIF(Chicks!$G:$G,A900,Chicks!$M:$M),""))</f>
        <v/>
      </c>
      <c r="K900" s="6" t="str">
        <f>IF(A900="","",SUMIFS(Chicks!$N:$N,Chicks!$G:$G,A900))</f>
        <v/>
      </c>
      <c r="L900" s="6" t="str">
        <f>IF(A900="","",SUMIFS(Chicks!$O:$O,Chicks!$G:$G,A900))</f>
        <v/>
      </c>
      <c r="M900" s="6" t="str">
        <f>IF(A900="","",SUMIFS(Chicks!$P:$P,Chicks!$G:$G,A900))</f>
        <v/>
      </c>
      <c r="N900" s="6" t="str">
        <f t="shared" si="4"/>
        <v/>
      </c>
    </row>
    <row r="901" spans="6:14" ht="14.25" customHeight="1" x14ac:dyDescent="0.3">
      <c r="F901" s="6" t="str">
        <f>IF(A901="","",COUNTIF(Chicks!$G:$G,A901))</f>
        <v/>
      </c>
      <c r="G901" s="6" t="str">
        <f>IF(A901="","",COUNTIFS(Chicks!$G:$G,A901,Chicks!$I:$I,"Yes"))</f>
        <v/>
      </c>
      <c r="H901" s="6" t="str">
        <f>IF(A901="","",SUMIFS(Chicks!$J:$J,Chicks!$G:$G,A901))</f>
        <v/>
      </c>
      <c r="I901" s="6" t="str">
        <f>IF(A901="","",COUNTIFS(Chicks!$G:$G,A901,Chicks!$I:$I,"No"))</f>
        <v/>
      </c>
      <c r="J901" s="6" t="str">
        <f>IF(A901="","",IFERROR(AVERAGEIF(Chicks!$G:$G,A901,Chicks!$M:$M),""))</f>
        <v/>
      </c>
      <c r="K901" s="6" t="str">
        <f>IF(A901="","",SUMIFS(Chicks!$N:$N,Chicks!$G:$G,A901))</f>
        <v/>
      </c>
      <c r="L901" s="6" t="str">
        <f>IF(A901="","",SUMIFS(Chicks!$O:$O,Chicks!$G:$G,A901))</f>
        <v/>
      </c>
      <c r="M901" s="6" t="str">
        <f>IF(A901="","",SUMIFS(Chicks!$P:$P,Chicks!$G:$G,A901))</f>
        <v/>
      </c>
      <c r="N901" s="6" t="str">
        <f t="shared" si="4"/>
        <v/>
      </c>
    </row>
    <row r="902" spans="6:14" ht="14.25" customHeight="1" x14ac:dyDescent="0.3">
      <c r="F902" s="6" t="str">
        <f>IF(A902="","",COUNTIF(Chicks!$G:$G,A902))</f>
        <v/>
      </c>
      <c r="G902" s="6" t="str">
        <f>IF(A902="","",COUNTIFS(Chicks!$G:$G,A902,Chicks!$I:$I,"Yes"))</f>
        <v/>
      </c>
      <c r="H902" s="6" t="str">
        <f>IF(A902="","",SUMIFS(Chicks!$J:$J,Chicks!$G:$G,A902))</f>
        <v/>
      </c>
      <c r="I902" s="6" t="str">
        <f>IF(A902="","",COUNTIFS(Chicks!$G:$G,A902,Chicks!$I:$I,"No"))</f>
        <v/>
      </c>
      <c r="J902" s="6" t="str">
        <f>IF(A902="","",IFERROR(AVERAGEIF(Chicks!$G:$G,A902,Chicks!$M:$M),""))</f>
        <v/>
      </c>
      <c r="K902" s="6" t="str">
        <f>IF(A902="","",SUMIFS(Chicks!$N:$N,Chicks!$G:$G,A902))</f>
        <v/>
      </c>
      <c r="L902" s="6" t="str">
        <f>IF(A902="","",SUMIFS(Chicks!$O:$O,Chicks!$G:$G,A902))</f>
        <v/>
      </c>
      <c r="M902" s="6" t="str">
        <f>IF(A902="","",SUMIFS(Chicks!$P:$P,Chicks!$G:$G,A902))</f>
        <v/>
      </c>
      <c r="N902" s="6" t="str">
        <f t="shared" si="4"/>
        <v/>
      </c>
    </row>
    <row r="903" spans="6:14" ht="14.25" customHeight="1" x14ac:dyDescent="0.3">
      <c r="F903" s="6" t="str">
        <f>IF(A903="","",COUNTIF(Chicks!$G:$G,A903))</f>
        <v/>
      </c>
      <c r="G903" s="6" t="str">
        <f>IF(A903="","",COUNTIFS(Chicks!$G:$G,A903,Chicks!$I:$I,"Yes"))</f>
        <v/>
      </c>
      <c r="H903" s="6" t="str">
        <f>IF(A903="","",SUMIFS(Chicks!$J:$J,Chicks!$G:$G,A903))</f>
        <v/>
      </c>
      <c r="I903" s="6" t="str">
        <f>IF(A903="","",COUNTIFS(Chicks!$G:$G,A903,Chicks!$I:$I,"No"))</f>
        <v/>
      </c>
      <c r="J903" s="6" t="str">
        <f>IF(A903="","",IFERROR(AVERAGEIF(Chicks!$G:$G,A903,Chicks!$M:$M),""))</f>
        <v/>
      </c>
      <c r="K903" s="6" t="str">
        <f>IF(A903="","",SUMIFS(Chicks!$N:$N,Chicks!$G:$G,A903))</f>
        <v/>
      </c>
      <c r="L903" s="6" t="str">
        <f>IF(A903="","",SUMIFS(Chicks!$O:$O,Chicks!$G:$G,A903))</f>
        <v/>
      </c>
      <c r="M903" s="6" t="str">
        <f>IF(A903="","",SUMIFS(Chicks!$P:$P,Chicks!$G:$G,A903))</f>
        <v/>
      </c>
      <c r="N903" s="6" t="str">
        <f t="shared" si="4"/>
        <v/>
      </c>
    </row>
    <row r="904" spans="6:14" ht="14.25" customHeight="1" x14ac:dyDescent="0.3">
      <c r="F904" s="6" t="str">
        <f>IF(A904="","",COUNTIF(Chicks!$G:$G,A904))</f>
        <v/>
      </c>
      <c r="G904" s="6" t="str">
        <f>IF(A904="","",COUNTIFS(Chicks!$G:$G,A904,Chicks!$I:$I,"Yes"))</f>
        <v/>
      </c>
      <c r="H904" s="6" t="str">
        <f>IF(A904="","",SUMIFS(Chicks!$J:$J,Chicks!$G:$G,A904))</f>
        <v/>
      </c>
      <c r="I904" s="6" t="str">
        <f>IF(A904="","",COUNTIFS(Chicks!$G:$G,A904,Chicks!$I:$I,"No"))</f>
        <v/>
      </c>
      <c r="J904" s="6" t="str">
        <f>IF(A904="","",IFERROR(AVERAGEIF(Chicks!$G:$G,A904,Chicks!$M:$M),""))</f>
        <v/>
      </c>
      <c r="K904" s="6" t="str">
        <f>IF(A904="","",SUMIFS(Chicks!$N:$N,Chicks!$G:$G,A904))</f>
        <v/>
      </c>
      <c r="L904" s="6" t="str">
        <f>IF(A904="","",SUMIFS(Chicks!$O:$O,Chicks!$G:$G,A904))</f>
        <v/>
      </c>
      <c r="M904" s="6" t="str">
        <f>IF(A904="","",SUMIFS(Chicks!$P:$P,Chicks!$G:$G,A904))</f>
        <v/>
      </c>
      <c r="N904" s="6" t="str">
        <f t="shared" si="4"/>
        <v/>
      </c>
    </row>
    <row r="905" spans="6:14" ht="14.25" customHeight="1" x14ac:dyDescent="0.3">
      <c r="F905" s="6" t="str">
        <f>IF(A905="","",COUNTIF(Chicks!$G:$G,A905))</f>
        <v/>
      </c>
      <c r="G905" s="6" t="str">
        <f>IF(A905="","",COUNTIFS(Chicks!$G:$G,A905,Chicks!$I:$I,"Yes"))</f>
        <v/>
      </c>
      <c r="H905" s="6" t="str">
        <f>IF(A905="","",SUMIFS(Chicks!$J:$J,Chicks!$G:$G,A905))</f>
        <v/>
      </c>
      <c r="I905" s="6" t="str">
        <f>IF(A905="","",COUNTIFS(Chicks!$G:$G,A905,Chicks!$I:$I,"No"))</f>
        <v/>
      </c>
      <c r="J905" s="6" t="str">
        <f>IF(A905="","",IFERROR(AVERAGEIF(Chicks!$G:$G,A905,Chicks!$M:$M),""))</f>
        <v/>
      </c>
      <c r="K905" s="6" t="str">
        <f>IF(A905="","",SUMIFS(Chicks!$N:$N,Chicks!$G:$G,A905))</f>
        <v/>
      </c>
      <c r="L905" s="6" t="str">
        <f>IF(A905="","",SUMIFS(Chicks!$O:$O,Chicks!$G:$G,A905))</f>
        <v/>
      </c>
      <c r="M905" s="6" t="str">
        <f>IF(A905="","",SUMIFS(Chicks!$P:$P,Chicks!$G:$G,A905))</f>
        <v/>
      </c>
      <c r="N905" s="6" t="str">
        <f t="shared" si="4"/>
        <v/>
      </c>
    </row>
    <row r="906" spans="6:14" ht="14.25" customHeight="1" x14ac:dyDescent="0.3">
      <c r="F906" s="6" t="str">
        <f>IF(A906="","",COUNTIF(Chicks!$G:$G,A906))</f>
        <v/>
      </c>
      <c r="G906" s="6" t="str">
        <f>IF(A906="","",COUNTIFS(Chicks!$G:$G,A906,Chicks!$I:$I,"Yes"))</f>
        <v/>
      </c>
      <c r="H906" s="6" t="str">
        <f>IF(A906="","",SUMIFS(Chicks!$J:$J,Chicks!$G:$G,A906))</f>
        <v/>
      </c>
      <c r="I906" s="6" t="str">
        <f>IF(A906="","",COUNTIFS(Chicks!$G:$G,A906,Chicks!$I:$I,"No"))</f>
        <v/>
      </c>
      <c r="J906" s="6" t="str">
        <f>IF(A906="","",IFERROR(AVERAGEIF(Chicks!$G:$G,A906,Chicks!$M:$M),""))</f>
        <v/>
      </c>
      <c r="K906" s="6" t="str">
        <f>IF(A906="","",SUMIFS(Chicks!$N:$N,Chicks!$G:$G,A906))</f>
        <v/>
      </c>
      <c r="L906" s="6" t="str">
        <f>IF(A906="","",SUMIFS(Chicks!$O:$O,Chicks!$G:$G,A906))</f>
        <v/>
      </c>
      <c r="M906" s="6" t="str">
        <f>IF(A906="","",SUMIFS(Chicks!$P:$P,Chicks!$G:$G,A906))</f>
        <v/>
      </c>
      <c r="N906" s="6" t="str">
        <f t="shared" si="4"/>
        <v/>
      </c>
    </row>
    <row r="907" spans="6:14" ht="14.25" customHeight="1" x14ac:dyDescent="0.3">
      <c r="F907" s="6" t="str">
        <f>IF(A907="","",COUNTIF(Chicks!$G:$G,A907))</f>
        <v/>
      </c>
      <c r="G907" s="6" t="str">
        <f>IF(A907="","",COUNTIFS(Chicks!$G:$G,A907,Chicks!$I:$I,"Yes"))</f>
        <v/>
      </c>
      <c r="H907" s="6" t="str">
        <f>IF(A907="","",SUMIFS(Chicks!$J:$J,Chicks!$G:$G,A907))</f>
        <v/>
      </c>
      <c r="I907" s="6" t="str">
        <f>IF(A907="","",COUNTIFS(Chicks!$G:$G,A907,Chicks!$I:$I,"No"))</f>
        <v/>
      </c>
      <c r="J907" s="6" t="str">
        <f>IF(A907="","",IFERROR(AVERAGEIF(Chicks!$G:$G,A907,Chicks!$M:$M),""))</f>
        <v/>
      </c>
      <c r="K907" s="6" t="str">
        <f>IF(A907="","",SUMIFS(Chicks!$N:$N,Chicks!$G:$G,A907))</f>
        <v/>
      </c>
      <c r="L907" s="6" t="str">
        <f>IF(A907="","",SUMIFS(Chicks!$O:$O,Chicks!$G:$G,A907))</f>
        <v/>
      </c>
      <c r="M907" s="6" t="str">
        <f>IF(A907="","",SUMIFS(Chicks!$P:$P,Chicks!$G:$G,A907))</f>
        <v/>
      </c>
      <c r="N907" s="6" t="str">
        <f t="shared" si="4"/>
        <v/>
      </c>
    </row>
    <row r="908" spans="6:14" ht="14.25" customHeight="1" x14ac:dyDescent="0.3">
      <c r="F908" s="6" t="str">
        <f>IF(A908="","",COUNTIF(Chicks!$G:$G,A908))</f>
        <v/>
      </c>
      <c r="G908" s="6" t="str">
        <f>IF(A908="","",COUNTIFS(Chicks!$G:$G,A908,Chicks!$I:$I,"Yes"))</f>
        <v/>
      </c>
      <c r="H908" s="6" t="str">
        <f>IF(A908="","",SUMIFS(Chicks!$J:$J,Chicks!$G:$G,A908))</f>
        <v/>
      </c>
      <c r="I908" s="6" t="str">
        <f>IF(A908="","",COUNTIFS(Chicks!$G:$G,A908,Chicks!$I:$I,"No"))</f>
        <v/>
      </c>
      <c r="J908" s="6" t="str">
        <f>IF(A908="","",IFERROR(AVERAGEIF(Chicks!$G:$G,A908,Chicks!$M:$M),""))</f>
        <v/>
      </c>
      <c r="K908" s="6" t="str">
        <f>IF(A908="","",SUMIFS(Chicks!$N:$N,Chicks!$G:$G,A908))</f>
        <v/>
      </c>
      <c r="L908" s="6" t="str">
        <f>IF(A908="","",SUMIFS(Chicks!$O:$O,Chicks!$G:$G,A908))</f>
        <v/>
      </c>
      <c r="M908" s="6" t="str">
        <f>IF(A908="","",SUMIFS(Chicks!$P:$P,Chicks!$G:$G,A908))</f>
        <v/>
      </c>
      <c r="N908" s="6" t="str">
        <f t="shared" si="4"/>
        <v/>
      </c>
    </row>
    <row r="909" spans="6:14" ht="14.25" customHeight="1" x14ac:dyDescent="0.3">
      <c r="F909" s="6" t="str">
        <f>IF(A909="","",COUNTIF(Chicks!$G:$G,A909))</f>
        <v/>
      </c>
      <c r="G909" s="6" t="str">
        <f>IF(A909="","",COUNTIFS(Chicks!$G:$G,A909,Chicks!$I:$I,"Yes"))</f>
        <v/>
      </c>
      <c r="H909" s="6" t="str">
        <f>IF(A909="","",SUMIFS(Chicks!$J:$J,Chicks!$G:$G,A909))</f>
        <v/>
      </c>
      <c r="I909" s="6" t="str">
        <f>IF(A909="","",COUNTIFS(Chicks!$G:$G,A909,Chicks!$I:$I,"No"))</f>
        <v/>
      </c>
      <c r="J909" s="6" t="str">
        <f>IF(A909="","",IFERROR(AVERAGEIF(Chicks!$G:$G,A909,Chicks!$M:$M),""))</f>
        <v/>
      </c>
      <c r="K909" s="6" t="str">
        <f>IF(A909="","",SUMIFS(Chicks!$N:$N,Chicks!$G:$G,A909))</f>
        <v/>
      </c>
      <c r="L909" s="6" t="str">
        <f>IF(A909="","",SUMIFS(Chicks!$O:$O,Chicks!$G:$G,A909))</f>
        <v/>
      </c>
      <c r="M909" s="6" t="str">
        <f>IF(A909="","",SUMIFS(Chicks!$P:$P,Chicks!$G:$G,A909))</f>
        <v/>
      </c>
      <c r="N909" s="6" t="str">
        <f t="shared" si="4"/>
        <v/>
      </c>
    </row>
    <row r="910" spans="6:14" ht="14.25" customHeight="1" x14ac:dyDescent="0.3">
      <c r="F910" s="6" t="str">
        <f>IF(A910="","",COUNTIF(Chicks!$G:$G,A910))</f>
        <v/>
      </c>
      <c r="G910" s="6" t="str">
        <f>IF(A910="","",COUNTIFS(Chicks!$G:$G,A910,Chicks!$I:$I,"Yes"))</f>
        <v/>
      </c>
      <c r="H910" s="6" t="str">
        <f>IF(A910="","",SUMIFS(Chicks!$J:$J,Chicks!$G:$G,A910))</f>
        <v/>
      </c>
      <c r="I910" s="6" t="str">
        <f>IF(A910="","",COUNTIFS(Chicks!$G:$G,A910,Chicks!$I:$I,"No"))</f>
        <v/>
      </c>
      <c r="J910" s="6" t="str">
        <f>IF(A910="","",IFERROR(AVERAGEIF(Chicks!$G:$G,A910,Chicks!$M:$M),""))</f>
        <v/>
      </c>
      <c r="K910" s="6" t="str">
        <f>IF(A910="","",SUMIFS(Chicks!$N:$N,Chicks!$G:$G,A910))</f>
        <v/>
      </c>
      <c r="L910" s="6" t="str">
        <f>IF(A910="","",SUMIFS(Chicks!$O:$O,Chicks!$G:$G,A910))</f>
        <v/>
      </c>
      <c r="M910" s="6" t="str">
        <f>IF(A910="","",SUMIFS(Chicks!$P:$P,Chicks!$G:$G,A910))</f>
        <v/>
      </c>
      <c r="N910" s="6" t="str">
        <f t="shared" si="4"/>
        <v/>
      </c>
    </row>
    <row r="911" spans="6:14" ht="14.25" customHeight="1" x14ac:dyDescent="0.3">
      <c r="F911" s="6" t="str">
        <f>IF(A911="","",COUNTIF(Chicks!$G:$G,A911))</f>
        <v/>
      </c>
      <c r="G911" s="6" t="str">
        <f>IF(A911="","",COUNTIFS(Chicks!$G:$G,A911,Chicks!$I:$I,"Yes"))</f>
        <v/>
      </c>
      <c r="H911" s="6" t="str">
        <f>IF(A911="","",SUMIFS(Chicks!$J:$J,Chicks!$G:$G,A911))</f>
        <v/>
      </c>
      <c r="I911" s="6" t="str">
        <f>IF(A911="","",COUNTIFS(Chicks!$G:$G,A911,Chicks!$I:$I,"No"))</f>
        <v/>
      </c>
      <c r="J911" s="6" t="str">
        <f>IF(A911="","",IFERROR(AVERAGEIF(Chicks!$G:$G,A911,Chicks!$M:$M),""))</f>
        <v/>
      </c>
      <c r="K911" s="6" t="str">
        <f>IF(A911="","",SUMIFS(Chicks!$N:$N,Chicks!$G:$G,A911))</f>
        <v/>
      </c>
      <c r="L911" s="6" t="str">
        <f>IF(A911="","",SUMIFS(Chicks!$O:$O,Chicks!$G:$G,A911))</f>
        <v/>
      </c>
      <c r="M911" s="6" t="str">
        <f>IF(A911="","",SUMIFS(Chicks!$P:$P,Chicks!$G:$G,A911))</f>
        <v/>
      </c>
      <c r="N911" s="6" t="str">
        <f t="shared" si="4"/>
        <v/>
      </c>
    </row>
    <row r="912" spans="6:14" ht="14.25" customHeight="1" x14ac:dyDescent="0.3">
      <c r="F912" s="6" t="str">
        <f>IF(A912="","",COUNTIF(Chicks!$G:$G,A912))</f>
        <v/>
      </c>
      <c r="G912" s="6" t="str">
        <f>IF(A912="","",COUNTIFS(Chicks!$G:$G,A912,Chicks!$I:$I,"Yes"))</f>
        <v/>
      </c>
      <c r="H912" s="6" t="str">
        <f>IF(A912="","",SUMIFS(Chicks!$J:$J,Chicks!$G:$G,A912))</f>
        <v/>
      </c>
      <c r="I912" s="6" t="str">
        <f>IF(A912="","",COUNTIFS(Chicks!$G:$G,A912,Chicks!$I:$I,"No"))</f>
        <v/>
      </c>
      <c r="J912" s="6" t="str">
        <f>IF(A912="","",IFERROR(AVERAGEIF(Chicks!$G:$G,A912,Chicks!$M:$M),""))</f>
        <v/>
      </c>
      <c r="K912" s="6" t="str">
        <f>IF(A912="","",SUMIFS(Chicks!$N:$N,Chicks!$G:$G,A912))</f>
        <v/>
      </c>
      <c r="L912" s="6" t="str">
        <f>IF(A912="","",SUMIFS(Chicks!$O:$O,Chicks!$G:$G,A912))</f>
        <v/>
      </c>
      <c r="M912" s="6" t="str">
        <f>IF(A912="","",SUMIFS(Chicks!$P:$P,Chicks!$G:$G,A912))</f>
        <v/>
      </c>
      <c r="N912" s="6" t="str">
        <f t="shared" si="4"/>
        <v/>
      </c>
    </row>
    <row r="913" spans="6:14" ht="14.25" customHeight="1" x14ac:dyDescent="0.3">
      <c r="F913" s="6" t="str">
        <f>IF(A913="","",COUNTIF(Chicks!$G:$G,A913))</f>
        <v/>
      </c>
      <c r="G913" s="6" t="str">
        <f>IF(A913="","",COUNTIFS(Chicks!$G:$G,A913,Chicks!$I:$I,"Yes"))</f>
        <v/>
      </c>
      <c r="H913" s="6" t="str">
        <f>IF(A913="","",SUMIFS(Chicks!$J:$J,Chicks!$G:$G,A913))</f>
        <v/>
      </c>
      <c r="I913" s="6" t="str">
        <f>IF(A913="","",COUNTIFS(Chicks!$G:$G,A913,Chicks!$I:$I,"No"))</f>
        <v/>
      </c>
      <c r="J913" s="6" t="str">
        <f>IF(A913="","",IFERROR(AVERAGEIF(Chicks!$G:$G,A913,Chicks!$M:$M),""))</f>
        <v/>
      </c>
      <c r="K913" s="6" t="str">
        <f>IF(A913="","",SUMIFS(Chicks!$N:$N,Chicks!$G:$G,A913))</f>
        <v/>
      </c>
      <c r="L913" s="6" t="str">
        <f>IF(A913="","",SUMIFS(Chicks!$O:$O,Chicks!$G:$G,A913))</f>
        <v/>
      </c>
      <c r="M913" s="6" t="str">
        <f>IF(A913="","",SUMIFS(Chicks!$P:$P,Chicks!$G:$G,A913))</f>
        <v/>
      </c>
      <c r="N913" s="6" t="str">
        <f t="shared" si="4"/>
        <v/>
      </c>
    </row>
    <row r="914" spans="6:14" ht="14.25" customHeight="1" x14ac:dyDescent="0.3">
      <c r="F914" s="6" t="str">
        <f>IF(A914="","",COUNTIF(Chicks!$G:$G,A914))</f>
        <v/>
      </c>
      <c r="G914" s="6" t="str">
        <f>IF(A914="","",COUNTIFS(Chicks!$G:$G,A914,Chicks!$I:$I,"Yes"))</f>
        <v/>
      </c>
      <c r="H914" s="6" t="str">
        <f>IF(A914="","",SUMIFS(Chicks!$J:$J,Chicks!$G:$G,A914))</f>
        <v/>
      </c>
      <c r="I914" s="6" t="str">
        <f>IF(A914="","",COUNTIFS(Chicks!$G:$G,A914,Chicks!$I:$I,"No"))</f>
        <v/>
      </c>
      <c r="J914" s="6" t="str">
        <f>IF(A914="","",IFERROR(AVERAGEIF(Chicks!$G:$G,A914,Chicks!$M:$M),""))</f>
        <v/>
      </c>
      <c r="K914" s="6" t="str">
        <f>IF(A914="","",SUMIFS(Chicks!$N:$N,Chicks!$G:$G,A914))</f>
        <v/>
      </c>
      <c r="L914" s="6" t="str">
        <f>IF(A914="","",SUMIFS(Chicks!$O:$O,Chicks!$G:$G,A914))</f>
        <v/>
      </c>
      <c r="M914" s="6" t="str">
        <f>IF(A914="","",SUMIFS(Chicks!$P:$P,Chicks!$G:$G,A914))</f>
        <v/>
      </c>
      <c r="N914" s="6" t="str">
        <f t="shared" si="4"/>
        <v/>
      </c>
    </row>
    <row r="915" spans="6:14" ht="14.25" customHeight="1" x14ac:dyDescent="0.3">
      <c r="F915" s="6" t="str">
        <f>IF(A915="","",COUNTIF(Chicks!$G:$G,A915))</f>
        <v/>
      </c>
      <c r="G915" s="6" t="str">
        <f>IF(A915="","",COUNTIFS(Chicks!$G:$G,A915,Chicks!$I:$I,"Yes"))</f>
        <v/>
      </c>
      <c r="H915" s="6" t="str">
        <f>IF(A915="","",SUMIFS(Chicks!$J:$J,Chicks!$G:$G,A915))</f>
        <v/>
      </c>
      <c r="I915" s="6" t="str">
        <f>IF(A915="","",COUNTIFS(Chicks!$G:$G,A915,Chicks!$I:$I,"No"))</f>
        <v/>
      </c>
      <c r="J915" s="6" t="str">
        <f>IF(A915="","",IFERROR(AVERAGEIF(Chicks!$G:$G,A915,Chicks!$M:$M),""))</f>
        <v/>
      </c>
      <c r="K915" s="6" t="str">
        <f>IF(A915="","",SUMIFS(Chicks!$N:$N,Chicks!$G:$G,A915))</f>
        <v/>
      </c>
      <c r="L915" s="6" t="str">
        <f>IF(A915="","",SUMIFS(Chicks!$O:$O,Chicks!$G:$G,A915))</f>
        <v/>
      </c>
      <c r="M915" s="6" t="str">
        <f>IF(A915="","",SUMIFS(Chicks!$P:$P,Chicks!$G:$G,A915))</f>
        <v/>
      </c>
      <c r="N915" s="6" t="str">
        <f t="shared" si="4"/>
        <v/>
      </c>
    </row>
    <row r="916" spans="6:14" ht="14.25" customHeight="1" x14ac:dyDescent="0.3">
      <c r="F916" s="6" t="str">
        <f>IF(A916="","",COUNTIF(Chicks!$G:$G,A916))</f>
        <v/>
      </c>
      <c r="G916" s="6" t="str">
        <f>IF(A916="","",COUNTIFS(Chicks!$G:$G,A916,Chicks!$I:$I,"Yes"))</f>
        <v/>
      </c>
      <c r="H916" s="6" t="str">
        <f>IF(A916="","",SUMIFS(Chicks!$J:$J,Chicks!$G:$G,A916))</f>
        <v/>
      </c>
      <c r="I916" s="6" t="str">
        <f>IF(A916="","",COUNTIFS(Chicks!$G:$G,A916,Chicks!$I:$I,"No"))</f>
        <v/>
      </c>
      <c r="J916" s="6" t="str">
        <f>IF(A916="","",IFERROR(AVERAGEIF(Chicks!$G:$G,A916,Chicks!$M:$M),""))</f>
        <v/>
      </c>
      <c r="K916" s="6" t="str">
        <f>IF(A916="","",SUMIFS(Chicks!$N:$N,Chicks!$G:$G,A916))</f>
        <v/>
      </c>
      <c r="L916" s="6" t="str">
        <f>IF(A916="","",SUMIFS(Chicks!$O:$O,Chicks!$G:$G,A916))</f>
        <v/>
      </c>
      <c r="M916" s="6" t="str">
        <f>IF(A916="","",SUMIFS(Chicks!$P:$P,Chicks!$G:$G,A916))</f>
        <v/>
      </c>
      <c r="N916" s="6" t="str">
        <f t="shared" si="4"/>
        <v/>
      </c>
    </row>
    <row r="917" spans="6:14" ht="14.25" customHeight="1" x14ac:dyDescent="0.3">
      <c r="F917" s="6" t="str">
        <f>IF(A917="","",COUNTIF(Chicks!$G:$G,A917))</f>
        <v/>
      </c>
      <c r="G917" s="6" t="str">
        <f>IF(A917="","",COUNTIFS(Chicks!$G:$G,A917,Chicks!$I:$I,"Yes"))</f>
        <v/>
      </c>
      <c r="H917" s="6" t="str">
        <f>IF(A917="","",SUMIFS(Chicks!$J:$J,Chicks!$G:$G,A917))</f>
        <v/>
      </c>
      <c r="I917" s="6" t="str">
        <f>IF(A917="","",COUNTIFS(Chicks!$G:$G,A917,Chicks!$I:$I,"No"))</f>
        <v/>
      </c>
      <c r="J917" s="6" t="str">
        <f>IF(A917="","",IFERROR(AVERAGEIF(Chicks!$G:$G,A917,Chicks!$M:$M),""))</f>
        <v/>
      </c>
      <c r="K917" s="6" t="str">
        <f>IF(A917="","",SUMIFS(Chicks!$N:$N,Chicks!$G:$G,A917))</f>
        <v/>
      </c>
      <c r="L917" s="6" t="str">
        <f>IF(A917="","",SUMIFS(Chicks!$O:$O,Chicks!$G:$G,A917))</f>
        <v/>
      </c>
      <c r="M917" s="6" t="str">
        <f>IF(A917="","",SUMIFS(Chicks!$P:$P,Chicks!$G:$G,A917))</f>
        <v/>
      </c>
      <c r="N917" s="6" t="str">
        <f t="shared" si="4"/>
        <v/>
      </c>
    </row>
    <row r="918" spans="6:14" ht="14.25" customHeight="1" x14ac:dyDescent="0.3">
      <c r="F918" s="6" t="str">
        <f>IF(A918="","",COUNTIF(Chicks!$G:$G,A918))</f>
        <v/>
      </c>
      <c r="G918" s="6" t="str">
        <f>IF(A918="","",COUNTIFS(Chicks!$G:$G,A918,Chicks!$I:$I,"Yes"))</f>
        <v/>
      </c>
      <c r="H918" s="6" t="str">
        <f>IF(A918="","",SUMIFS(Chicks!$J:$J,Chicks!$G:$G,A918))</f>
        <v/>
      </c>
      <c r="I918" s="6" t="str">
        <f>IF(A918="","",COUNTIFS(Chicks!$G:$G,A918,Chicks!$I:$I,"No"))</f>
        <v/>
      </c>
      <c r="J918" s="6" t="str">
        <f>IF(A918="","",IFERROR(AVERAGEIF(Chicks!$G:$G,A918,Chicks!$M:$M),""))</f>
        <v/>
      </c>
      <c r="K918" s="6" t="str">
        <f>IF(A918="","",SUMIFS(Chicks!$N:$N,Chicks!$G:$G,A918))</f>
        <v/>
      </c>
      <c r="L918" s="6" t="str">
        <f>IF(A918="","",SUMIFS(Chicks!$O:$O,Chicks!$G:$G,A918))</f>
        <v/>
      </c>
      <c r="M918" s="6" t="str">
        <f>IF(A918="","",SUMIFS(Chicks!$P:$P,Chicks!$G:$G,A918))</f>
        <v/>
      </c>
      <c r="N918" s="6" t="str">
        <f t="shared" si="4"/>
        <v/>
      </c>
    </row>
    <row r="919" spans="6:14" ht="14.25" customHeight="1" x14ac:dyDescent="0.3">
      <c r="F919" s="6" t="str">
        <f>IF(A919="","",COUNTIF(Chicks!$G:$G,A919))</f>
        <v/>
      </c>
      <c r="G919" s="6" t="str">
        <f>IF(A919="","",COUNTIFS(Chicks!$G:$G,A919,Chicks!$I:$I,"Yes"))</f>
        <v/>
      </c>
      <c r="H919" s="6" t="str">
        <f>IF(A919="","",SUMIFS(Chicks!$J:$J,Chicks!$G:$G,A919))</f>
        <v/>
      </c>
      <c r="I919" s="6" t="str">
        <f>IF(A919="","",COUNTIFS(Chicks!$G:$G,A919,Chicks!$I:$I,"No"))</f>
        <v/>
      </c>
      <c r="J919" s="6" t="str">
        <f>IF(A919="","",IFERROR(AVERAGEIF(Chicks!$G:$G,A919,Chicks!$M:$M),""))</f>
        <v/>
      </c>
      <c r="K919" s="6" t="str">
        <f>IF(A919="","",SUMIFS(Chicks!$N:$N,Chicks!$G:$G,A919))</f>
        <v/>
      </c>
      <c r="L919" s="6" t="str">
        <f>IF(A919="","",SUMIFS(Chicks!$O:$O,Chicks!$G:$G,A919))</f>
        <v/>
      </c>
      <c r="M919" s="6" t="str">
        <f>IF(A919="","",SUMIFS(Chicks!$P:$P,Chicks!$G:$G,A919))</f>
        <v/>
      </c>
      <c r="N919" s="6" t="str">
        <f t="shared" si="4"/>
        <v/>
      </c>
    </row>
    <row r="920" spans="6:14" ht="14.25" customHeight="1" x14ac:dyDescent="0.3">
      <c r="F920" s="6" t="str">
        <f>IF(A920="","",COUNTIF(Chicks!$G:$G,A920))</f>
        <v/>
      </c>
      <c r="G920" s="6" t="str">
        <f>IF(A920="","",COUNTIFS(Chicks!$G:$G,A920,Chicks!$I:$I,"Yes"))</f>
        <v/>
      </c>
      <c r="H920" s="6" t="str">
        <f>IF(A920="","",SUMIFS(Chicks!$J:$J,Chicks!$G:$G,A920))</f>
        <v/>
      </c>
      <c r="I920" s="6" t="str">
        <f>IF(A920="","",COUNTIFS(Chicks!$G:$G,A920,Chicks!$I:$I,"No"))</f>
        <v/>
      </c>
      <c r="J920" s="6" t="str">
        <f>IF(A920="","",IFERROR(AVERAGEIF(Chicks!$G:$G,A920,Chicks!$M:$M),""))</f>
        <v/>
      </c>
      <c r="K920" s="6" t="str">
        <f>IF(A920="","",SUMIFS(Chicks!$N:$N,Chicks!$G:$G,A920))</f>
        <v/>
      </c>
      <c r="L920" s="6" t="str">
        <f>IF(A920="","",SUMIFS(Chicks!$O:$O,Chicks!$G:$G,A920))</f>
        <v/>
      </c>
      <c r="M920" s="6" t="str">
        <f>IF(A920="","",SUMIFS(Chicks!$P:$P,Chicks!$G:$G,A920))</f>
        <v/>
      </c>
      <c r="N920" s="6" t="str">
        <f t="shared" si="4"/>
        <v/>
      </c>
    </row>
    <row r="921" spans="6:14" ht="14.25" customHeight="1" x14ac:dyDescent="0.3">
      <c r="F921" s="6" t="str">
        <f>IF(A921="","",COUNTIF(Chicks!$G:$G,A921))</f>
        <v/>
      </c>
      <c r="G921" s="6" t="str">
        <f>IF(A921="","",COUNTIFS(Chicks!$G:$G,A921,Chicks!$I:$I,"Yes"))</f>
        <v/>
      </c>
      <c r="H921" s="6" t="str">
        <f>IF(A921="","",SUMIFS(Chicks!$J:$J,Chicks!$G:$G,A921))</f>
        <v/>
      </c>
      <c r="I921" s="6" t="str">
        <f>IF(A921="","",COUNTIFS(Chicks!$G:$G,A921,Chicks!$I:$I,"No"))</f>
        <v/>
      </c>
      <c r="J921" s="6" t="str">
        <f>IF(A921="","",IFERROR(AVERAGEIF(Chicks!$G:$G,A921,Chicks!$M:$M),""))</f>
        <v/>
      </c>
      <c r="K921" s="6" t="str">
        <f>IF(A921="","",SUMIFS(Chicks!$N:$N,Chicks!$G:$G,A921))</f>
        <v/>
      </c>
      <c r="L921" s="6" t="str">
        <f>IF(A921="","",SUMIFS(Chicks!$O:$O,Chicks!$G:$G,A921))</f>
        <v/>
      </c>
      <c r="M921" s="6" t="str">
        <f>IF(A921="","",SUMIFS(Chicks!$P:$P,Chicks!$G:$G,A921))</f>
        <v/>
      </c>
      <c r="N921" s="6" t="str">
        <f t="shared" si="4"/>
        <v/>
      </c>
    </row>
    <row r="922" spans="6:14" ht="14.25" customHeight="1" x14ac:dyDescent="0.3">
      <c r="F922" s="6" t="str">
        <f>IF(A922="","",COUNTIF(Chicks!$G:$G,A922))</f>
        <v/>
      </c>
      <c r="G922" s="6" t="str">
        <f>IF(A922="","",COUNTIFS(Chicks!$G:$G,A922,Chicks!$I:$I,"Yes"))</f>
        <v/>
      </c>
      <c r="H922" s="6" t="str">
        <f>IF(A922="","",SUMIFS(Chicks!$J:$J,Chicks!$G:$G,A922))</f>
        <v/>
      </c>
      <c r="I922" s="6" t="str">
        <f>IF(A922="","",COUNTIFS(Chicks!$G:$G,A922,Chicks!$I:$I,"No"))</f>
        <v/>
      </c>
      <c r="J922" s="6" t="str">
        <f>IF(A922="","",IFERROR(AVERAGEIF(Chicks!$G:$G,A922,Chicks!$M:$M),""))</f>
        <v/>
      </c>
      <c r="K922" s="6" t="str">
        <f>IF(A922="","",SUMIFS(Chicks!$N:$N,Chicks!$G:$G,A922))</f>
        <v/>
      </c>
      <c r="L922" s="6" t="str">
        <f>IF(A922="","",SUMIFS(Chicks!$O:$O,Chicks!$G:$G,A922))</f>
        <v/>
      </c>
      <c r="M922" s="6" t="str">
        <f>IF(A922="","",SUMIFS(Chicks!$P:$P,Chicks!$G:$G,A922))</f>
        <v/>
      </c>
      <c r="N922" s="6" t="str">
        <f t="shared" si="4"/>
        <v/>
      </c>
    </row>
    <row r="923" spans="6:14" ht="14.25" customHeight="1" x14ac:dyDescent="0.3">
      <c r="F923" s="6" t="str">
        <f>IF(A923="","",COUNTIF(Chicks!$G:$G,A923))</f>
        <v/>
      </c>
      <c r="G923" s="6" t="str">
        <f>IF(A923="","",COUNTIFS(Chicks!$G:$G,A923,Chicks!$I:$I,"Yes"))</f>
        <v/>
      </c>
      <c r="H923" s="6" t="str">
        <f>IF(A923="","",SUMIFS(Chicks!$J:$J,Chicks!$G:$G,A923))</f>
        <v/>
      </c>
      <c r="I923" s="6" t="str">
        <f>IF(A923="","",COUNTIFS(Chicks!$G:$G,A923,Chicks!$I:$I,"No"))</f>
        <v/>
      </c>
      <c r="J923" s="6" t="str">
        <f>IF(A923="","",IFERROR(AVERAGEIF(Chicks!$G:$G,A923,Chicks!$M:$M),""))</f>
        <v/>
      </c>
      <c r="K923" s="6" t="str">
        <f>IF(A923="","",SUMIFS(Chicks!$N:$N,Chicks!$G:$G,A923))</f>
        <v/>
      </c>
      <c r="L923" s="6" t="str">
        <f>IF(A923="","",SUMIFS(Chicks!$O:$O,Chicks!$G:$G,A923))</f>
        <v/>
      </c>
      <c r="M923" s="6" t="str">
        <f>IF(A923="","",SUMIFS(Chicks!$P:$P,Chicks!$G:$G,A923))</f>
        <v/>
      </c>
      <c r="N923" s="6" t="str">
        <f t="shared" si="4"/>
        <v/>
      </c>
    </row>
    <row r="924" spans="6:14" ht="14.25" customHeight="1" x14ac:dyDescent="0.3">
      <c r="F924" s="6" t="str">
        <f>IF(A924="","",COUNTIF(Chicks!$G:$G,A924))</f>
        <v/>
      </c>
      <c r="G924" s="6" t="str">
        <f>IF(A924="","",COUNTIFS(Chicks!$G:$G,A924,Chicks!$I:$I,"Yes"))</f>
        <v/>
      </c>
      <c r="H924" s="6" t="str">
        <f>IF(A924="","",SUMIFS(Chicks!$J:$J,Chicks!$G:$G,A924))</f>
        <v/>
      </c>
      <c r="I924" s="6" t="str">
        <f>IF(A924="","",COUNTIFS(Chicks!$G:$G,A924,Chicks!$I:$I,"No"))</f>
        <v/>
      </c>
      <c r="J924" s="6" t="str">
        <f>IF(A924="","",IFERROR(AVERAGEIF(Chicks!$G:$G,A924,Chicks!$M:$M),""))</f>
        <v/>
      </c>
      <c r="K924" s="6" t="str">
        <f>IF(A924="","",SUMIFS(Chicks!$N:$N,Chicks!$G:$G,A924))</f>
        <v/>
      </c>
      <c r="L924" s="6" t="str">
        <f>IF(A924="","",SUMIFS(Chicks!$O:$O,Chicks!$G:$G,A924))</f>
        <v/>
      </c>
      <c r="M924" s="6" t="str">
        <f>IF(A924="","",SUMIFS(Chicks!$P:$P,Chicks!$G:$G,A924))</f>
        <v/>
      </c>
      <c r="N924" s="6" t="str">
        <f t="shared" si="4"/>
        <v/>
      </c>
    </row>
    <row r="925" spans="6:14" ht="14.25" customHeight="1" x14ac:dyDescent="0.3">
      <c r="F925" s="6" t="str">
        <f>IF(A925="","",COUNTIF(Chicks!$G:$G,A925))</f>
        <v/>
      </c>
      <c r="G925" s="6" t="str">
        <f>IF(A925="","",COUNTIFS(Chicks!$G:$G,A925,Chicks!$I:$I,"Yes"))</f>
        <v/>
      </c>
      <c r="H925" s="6" t="str">
        <f>IF(A925="","",SUMIFS(Chicks!$J:$J,Chicks!$G:$G,A925))</f>
        <v/>
      </c>
      <c r="I925" s="6" t="str">
        <f>IF(A925="","",COUNTIFS(Chicks!$G:$G,A925,Chicks!$I:$I,"No"))</f>
        <v/>
      </c>
      <c r="J925" s="6" t="str">
        <f>IF(A925="","",IFERROR(AVERAGEIF(Chicks!$G:$G,A925,Chicks!$M:$M),""))</f>
        <v/>
      </c>
      <c r="K925" s="6" t="str">
        <f>IF(A925="","",SUMIFS(Chicks!$N:$N,Chicks!$G:$G,A925))</f>
        <v/>
      </c>
      <c r="L925" s="6" t="str">
        <f>IF(A925="","",SUMIFS(Chicks!$O:$O,Chicks!$G:$G,A925))</f>
        <v/>
      </c>
      <c r="M925" s="6" t="str">
        <f>IF(A925="","",SUMIFS(Chicks!$P:$P,Chicks!$G:$G,A925))</f>
        <v/>
      </c>
      <c r="N925" s="6" t="str">
        <f t="shared" si="4"/>
        <v/>
      </c>
    </row>
    <row r="926" spans="6:14" ht="14.25" customHeight="1" x14ac:dyDescent="0.3">
      <c r="F926" s="6" t="str">
        <f>IF(A926="","",COUNTIF(Chicks!$G:$G,A926))</f>
        <v/>
      </c>
      <c r="G926" s="6" t="str">
        <f>IF(A926="","",COUNTIFS(Chicks!$G:$G,A926,Chicks!$I:$I,"Yes"))</f>
        <v/>
      </c>
      <c r="H926" s="6" t="str">
        <f>IF(A926="","",SUMIFS(Chicks!$J:$J,Chicks!$G:$G,A926))</f>
        <v/>
      </c>
      <c r="I926" s="6" t="str">
        <f>IF(A926="","",COUNTIFS(Chicks!$G:$G,A926,Chicks!$I:$I,"No"))</f>
        <v/>
      </c>
      <c r="J926" s="6" t="str">
        <f>IF(A926="","",IFERROR(AVERAGEIF(Chicks!$G:$G,A926,Chicks!$M:$M),""))</f>
        <v/>
      </c>
      <c r="K926" s="6" t="str">
        <f>IF(A926="","",SUMIFS(Chicks!$N:$N,Chicks!$G:$G,A926))</f>
        <v/>
      </c>
      <c r="L926" s="6" t="str">
        <f>IF(A926="","",SUMIFS(Chicks!$O:$O,Chicks!$G:$G,A926))</f>
        <v/>
      </c>
      <c r="M926" s="6" t="str">
        <f>IF(A926="","",SUMIFS(Chicks!$P:$P,Chicks!$G:$G,A926))</f>
        <v/>
      </c>
      <c r="N926" s="6" t="str">
        <f t="shared" si="4"/>
        <v/>
      </c>
    </row>
    <row r="927" spans="6:14" ht="14.25" customHeight="1" x14ac:dyDescent="0.3">
      <c r="F927" s="6" t="str">
        <f>IF(A927="","",COUNTIF(Chicks!$G:$G,A927))</f>
        <v/>
      </c>
      <c r="G927" s="6" t="str">
        <f>IF(A927="","",COUNTIFS(Chicks!$G:$G,A927,Chicks!$I:$I,"Yes"))</f>
        <v/>
      </c>
      <c r="H927" s="6" t="str">
        <f>IF(A927="","",SUMIFS(Chicks!$J:$J,Chicks!$G:$G,A927))</f>
        <v/>
      </c>
      <c r="I927" s="6" t="str">
        <f>IF(A927="","",COUNTIFS(Chicks!$G:$G,A927,Chicks!$I:$I,"No"))</f>
        <v/>
      </c>
      <c r="J927" s="6" t="str">
        <f>IF(A927="","",IFERROR(AVERAGEIF(Chicks!$G:$G,A927,Chicks!$M:$M),""))</f>
        <v/>
      </c>
      <c r="K927" s="6" t="str">
        <f>IF(A927="","",SUMIFS(Chicks!$N:$N,Chicks!$G:$G,A927))</f>
        <v/>
      </c>
      <c r="L927" s="6" t="str">
        <f>IF(A927="","",SUMIFS(Chicks!$O:$O,Chicks!$G:$G,A927))</f>
        <v/>
      </c>
      <c r="M927" s="6" t="str">
        <f>IF(A927="","",SUMIFS(Chicks!$P:$P,Chicks!$G:$G,A927))</f>
        <v/>
      </c>
      <c r="N927" s="6" t="str">
        <f t="shared" si="4"/>
        <v/>
      </c>
    </row>
    <row r="928" spans="6:14" ht="14.25" customHeight="1" x14ac:dyDescent="0.3">
      <c r="F928" s="6" t="str">
        <f>IF(A928="","",COUNTIF(Chicks!$G:$G,A928))</f>
        <v/>
      </c>
      <c r="G928" s="6" t="str">
        <f>IF(A928="","",COUNTIFS(Chicks!$G:$G,A928,Chicks!$I:$I,"Yes"))</f>
        <v/>
      </c>
      <c r="H928" s="6" t="str">
        <f>IF(A928="","",SUMIFS(Chicks!$J:$J,Chicks!$G:$G,A928))</f>
        <v/>
      </c>
      <c r="I928" s="6" t="str">
        <f>IF(A928="","",COUNTIFS(Chicks!$G:$G,A928,Chicks!$I:$I,"No"))</f>
        <v/>
      </c>
      <c r="J928" s="6" t="str">
        <f>IF(A928="","",IFERROR(AVERAGEIF(Chicks!$G:$G,A928,Chicks!$M:$M),""))</f>
        <v/>
      </c>
      <c r="K928" s="6" t="str">
        <f>IF(A928="","",SUMIFS(Chicks!$N:$N,Chicks!$G:$G,A928))</f>
        <v/>
      </c>
      <c r="L928" s="6" t="str">
        <f>IF(A928="","",SUMIFS(Chicks!$O:$O,Chicks!$G:$G,A928))</f>
        <v/>
      </c>
      <c r="M928" s="6" t="str">
        <f>IF(A928="","",SUMIFS(Chicks!$P:$P,Chicks!$G:$G,A928))</f>
        <v/>
      </c>
      <c r="N928" s="6" t="str">
        <f t="shared" si="4"/>
        <v/>
      </c>
    </row>
    <row r="929" spans="6:14" ht="14.25" customHeight="1" x14ac:dyDescent="0.3">
      <c r="F929" s="6" t="str">
        <f>IF(A929="","",COUNTIF(Chicks!$G:$G,A929))</f>
        <v/>
      </c>
      <c r="G929" s="6" t="str">
        <f>IF(A929="","",COUNTIFS(Chicks!$G:$G,A929,Chicks!$I:$I,"Yes"))</f>
        <v/>
      </c>
      <c r="H929" s="6" t="str">
        <f>IF(A929="","",SUMIFS(Chicks!$J:$J,Chicks!$G:$G,A929))</f>
        <v/>
      </c>
      <c r="I929" s="6" t="str">
        <f>IF(A929="","",COUNTIFS(Chicks!$G:$G,A929,Chicks!$I:$I,"No"))</f>
        <v/>
      </c>
      <c r="J929" s="6" t="str">
        <f>IF(A929="","",IFERROR(AVERAGEIF(Chicks!$G:$G,A929,Chicks!$M:$M),""))</f>
        <v/>
      </c>
      <c r="K929" s="6" t="str">
        <f>IF(A929="","",SUMIFS(Chicks!$N:$N,Chicks!$G:$G,A929))</f>
        <v/>
      </c>
      <c r="L929" s="6" t="str">
        <f>IF(A929="","",SUMIFS(Chicks!$O:$O,Chicks!$G:$G,A929))</f>
        <v/>
      </c>
      <c r="M929" s="6" t="str">
        <f>IF(A929="","",SUMIFS(Chicks!$P:$P,Chicks!$G:$G,A929))</f>
        <v/>
      </c>
      <c r="N929" s="6" t="str">
        <f t="shared" si="4"/>
        <v/>
      </c>
    </row>
    <row r="930" spans="6:14" ht="14.25" customHeight="1" x14ac:dyDescent="0.3">
      <c r="F930" s="6" t="str">
        <f>IF(A930="","",COUNTIF(Chicks!$G:$G,A930))</f>
        <v/>
      </c>
      <c r="G930" s="6" t="str">
        <f>IF(A930="","",COUNTIFS(Chicks!$G:$G,A930,Chicks!$I:$I,"Yes"))</f>
        <v/>
      </c>
      <c r="H930" s="6" t="str">
        <f>IF(A930="","",SUMIFS(Chicks!$J:$J,Chicks!$G:$G,A930))</f>
        <v/>
      </c>
      <c r="I930" s="6" t="str">
        <f>IF(A930="","",COUNTIFS(Chicks!$G:$G,A930,Chicks!$I:$I,"No"))</f>
        <v/>
      </c>
      <c r="J930" s="6" t="str">
        <f>IF(A930="","",IFERROR(AVERAGEIF(Chicks!$G:$G,A930,Chicks!$M:$M),""))</f>
        <v/>
      </c>
      <c r="K930" s="6" t="str">
        <f>IF(A930="","",SUMIFS(Chicks!$N:$N,Chicks!$G:$G,A930))</f>
        <v/>
      </c>
      <c r="L930" s="6" t="str">
        <f>IF(A930="","",SUMIFS(Chicks!$O:$O,Chicks!$G:$G,A930))</f>
        <v/>
      </c>
      <c r="M930" s="6" t="str">
        <f>IF(A930="","",SUMIFS(Chicks!$P:$P,Chicks!$G:$G,A930))</f>
        <v/>
      </c>
      <c r="N930" s="6" t="str">
        <f t="shared" si="4"/>
        <v/>
      </c>
    </row>
    <row r="931" spans="6:14" ht="14.25" customHeight="1" x14ac:dyDescent="0.3">
      <c r="F931" s="6" t="str">
        <f>IF(A931="","",COUNTIF(Chicks!$G:$G,A931))</f>
        <v/>
      </c>
      <c r="G931" s="6" t="str">
        <f>IF(A931="","",COUNTIFS(Chicks!$G:$G,A931,Chicks!$I:$I,"Yes"))</f>
        <v/>
      </c>
      <c r="H931" s="6" t="str">
        <f>IF(A931="","",SUMIFS(Chicks!$J:$J,Chicks!$G:$G,A931))</f>
        <v/>
      </c>
      <c r="I931" s="6" t="str">
        <f>IF(A931="","",COUNTIFS(Chicks!$G:$G,A931,Chicks!$I:$I,"No"))</f>
        <v/>
      </c>
      <c r="J931" s="6" t="str">
        <f>IF(A931="","",IFERROR(AVERAGEIF(Chicks!$G:$G,A931,Chicks!$M:$M),""))</f>
        <v/>
      </c>
      <c r="K931" s="6" t="str">
        <f>IF(A931="","",SUMIFS(Chicks!$N:$N,Chicks!$G:$G,A931))</f>
        <v/>
      </c>
      <c r="L931" s="6" t="str">
        <f>IF(A931="","",SUMIFS(Chicks!$O:$O,Chicks!$G:$G,A931))</f>
        <v/>
      </c>
      <c r="M931" s="6" t="str">
        <f>IF(A931="","",SUMIFS(Chicks!$P:$P,Chicks!$G:$G,A931))</f>
        <v/>
      </c>
      <c r="N931" s="6" t="str">
        <f t="shared" si="4"/>
        <v/>
      </c>
    </row>
    <row r="932" spans="6:14" ht="14.25" customHeight="1" x14ac:dyDescent="0.3">
      <c r="F932" s="6" t="str">
        <f>IF(A932="","",COUNTIF(Chicks!$G:$G,A932))</f>
        <v/>
      </c>
      <c r="G932" s="6" t="str">
        <f>IF(A932="","",COUNTIFS(Chicks!$G:$G,A932,Chicks!$I:$I,"Yes"))</f>
        <v/>
      </c>
      <c r="H932" s="6" t="str">
        <f>IF(A932="","",SUMIFS(Chicks!$J:$J,Chicks!$G:$G,A932))</f>
        <v/>
      </c>
      <c r="I932" s="6" t="str">
        <f>IF(A932="","",COUNTIFS(Chicks!$G:$G,A932,Chicks!$I:$I,"No"))</f>
        <v/>
      </c>
      <c r="J932" s="6" t="str">
        <f>IF(A932="","",IFERROR(AVERAGEIF(Chicks!$G:$G,A932,Chicks!$M:$M),""))</f>
        <v/>
      </c>
      <c r="K932" s="6" t="str">
        <f>IF(A932="","",SUMIFS(Chicks!$N:$N,Chicks!$G:$G,A932))</f>
        <v/>
      </c>
      <c r="L932" s="6" t="str">
        <f>IF(A932="","",SUMIFS(Chicks!$O:$O,Chicks!$G:$G,A932))</f>
        <v/>
      </c>
      <c r="M932" s="6" t="str">
        <f>IF(A932="","",SUMIFS(Chicks!$P:$P,Chicks!$G:$G,A932))</f>
        <v/>
      </c>
      <c r="N932" s="6" t="str">
        <f t="shared" si="4"/>
        <v/>
      </c>
    </row>
    <row r="933" spans="6:14" ht="14.25" customHeight="1" x14ac:dyDescent="0.3">
      <c r="F933" s="6" t="str">
        <f>IF(A933="","",COUNTIF(Chicks!$G:$G,A933))</f>
        <v/>
      </c>
      <c r="G933" s="6" t="str">
        <f>IF(A933="","",COUNTIFS(Chicks!$G:$G,A933,Chicks!$I:$I,"Yes"))</f>
        <v/>
      </c>
      <c r="H933" s="6" t="str">
        <f>IF(A933="","",SUMIFS(Chicks!$J:$J,Chicks!$G:$G,A933))</f>
        <v/>
      </c>
      <c r="I933" s="6" t="str">
        <f>IF(A933="","",COUNTIFS(Chicks!$G:$G,A933,Chicks!$I:$I,"No"))</f>
        <v/>
      </c>
      <c r="J933" s="6" t="str">
        <f>IF(A933="","",IFERROR(AVERAGEIF(Chicks!$G:$G,A933,Chicks!$M:$M),""))</f>
        <v/>
      </c>
      <c r="K933" s="6" t="str">
        <f>IF(A933="","",SUMIFS(Chicks!$N:$N,Chicks!$G:$G,A933))</f>
        <v/>
      </c>
      <c r="L933" s="6" t="str">
        <f>IF(A933="","",SUMIFS(Chicks!$O:$O,Chicks!$G:$G,A933))</f>
        <v/>
      </c>
      <c r="M933" s="6" t="str">
        <f>IF(A933="","",SUMIFS(Chicks!$P:$P,Chicks!$G:$G,A933))</f>
        <v/>
      </c>
      <c r="N933" s="6" t="str">
        <f t="shared" si="4"/>
        <v/>
      </c>
    </row>
    <row r="934" spans="6:14" ht="14.25" customHeight="1" x14ac:dyDescent="0.3">
      <c r="F934" s="6" t="str">
        <f>IF(A934="","",COUNTIF(Chicks!$G:$G,A934))</f>
        <v/>
      </c>
      <c r="G934" s="6" t="str">
        <f>IF(A934="","",COUNTIFS(Chicks!$G:$G,A934,Chicks!$I:$I,"Yes"))</f>
        <v/>
      </c>
      <c r="H934" s="6" t="str">
        <f>IF(A934="","",SUMIFS(Chicks!$J:$J,Chicks!$G:$G,A934))</f>
        <v/>
      </c>
      <c r="I934" s="6" t="str">
        <f>IF(A934="","",COUNTIFS(Chicks!$G:$G,A934,Chicks!$I:$I,"No"))</f>
        <v/>
      </c>
      <c r="J934" s="6" t="str">
        <f>IF(A934="","",IFERROR(AVERAGEIF(Chicks!$G:$G,A934,Chicks!$M:$M),""))</f>
        <v/>
      </c>
      <c r="K934" s="6" t="str">
        <f>IF(A934="","",SUMIFS(Chicks!$N:$N,Chicks!$G:$G,A934))</f>
        <v/>
      </c>
      <c r="L934" s="6" t="str">
        <f>IF(A934="","",SUMIFS(Chicks!$O:$O,Chicks!$G:$G,A934))</f>
        <v/>
      </c>
      <c r="M934" s="6" t="str">
        <f>IF(A934="","",SUMIFS(Chicks!$P:$P,Chicks!$G:$G,A934))</f>
        <v/>
      </c>
      <c r="N934" s="6" t="str">
        <f t="shared" si="4"/>
        <v/>
      </c>
    </row>
    <row r="935" spans="6:14" ht="14.25" customHeight="1" x14ac:dyDescent="0.3">
      <c r="F935" s="6" t="str">
        <f>IF(A935="","",COUNTIF(Chicks!$G:$G,A935))</f>
        <v/>
      </c>
      <c r="G935" s="6" t="str">
        <f>IF(A935="","",COUNTIFS(Chicks!$G:$G,A935,Chicks!$I:$I,"Yes"))</f>
        <v/>
      </c>
      <c r="H935" s="6" t="str">
        <f>IF(A935="","",SUMIFS(Chicks!$J:$J,Chicks!$G:$G,A935))</f>
        <v/>
      </c>
      <c r="I935" s="6" t="str">
        <f>IF(A935="","",COUNTIFS(Chicks!$G:$G,A935,Chicks!$I:$I,"No"))</f>
        <v/>
      </c>
      <c r="J935" s="6" t="str">
        <f>IF(A935="","",IFERROR(AVERAGEIF(Chicks!$G:$G,A935,Chicks!$M:$M),""))</f>
        <v/>
      </c>
      <c r="K935" s="6" t="str">
        <f>IF(A935="","",SUMIFS(Chicks!$N:$N,Chicks!$G:$G,A935))</f>
        <v/>
      </c>
      <c r="L935" s="6" t="str">
        <f>IF(A935="","",SUMIFS(Chicks!$O:$O,Chicks!$G:$G,A935))</f>
        <v/>
      </c>
      <c r="M935" s="6" t="str">
        <f>IF(A935="","",SUMIFS(Chicks!$P:$P,Chicks!$G:$G,A935))</f>
        <v/>
      </c>
      <c r="N935" s="6" t="str">
        <f t="shared" si="4"/>
        <v/>
      </c>
    </row>
    <row r="936" spans="6:14" ht="14.25" customHeight="1" x14ac:dyDescent="0.3">
      <c r="F936" s="6" t="str">
        <f>IF(A936="","",COUNTIF(Chicks!$G:$G,A936))</f>
        <v/>
      </c>
      <c r="G936" s="6" t="str">
        <f>IF(A936="","",COUNTIFS(Chicks!$G:$G,A936,Chicks!$I:$I,"Yes"))</f>
        <v/>
      </c>
      <c r="H936" s="6" t="str">
        <f>IF(A936="","",SUMIFS(Chicks!$J:$J,Chicks!$G:$G,A936))</f>
        <v/>
      </c>
      <c r="I936" s="6" t="str">
        <f>IF(A936="","",COUNTIFS(Chicks!$G:$G,A936,Chicks!$I:$I,"No"))</f>
        <v/>
      </c>
      <c r="J936" s="6" t="str">
        <f>IF(A936="","",IFERROR(AVERAGEIF(Chicks!$G:$G,A936,Chicks!$M:$M),""))</f>
        <v/>
      </c>
      <c r="K936" s="6" t="str">
        <f>IF(A936="","",SUMIFS(Chicks!$N:$N,Chicks!$G:$G,A936))</f>
        <v/>
      </c>
      <c r="L936" s="6" t="str">
        <f>IF(A936="","",SUMIFS(Chicks!$O:$O,Chicks!$G:$G,A936))</f>
        <v/>
      </c>
      <c r="M936" s="6" t="str">
        <f>IF(A936="","",SUMIFS(Chicks!$P:$P,Chicks!$G:$G,A936))</f>
        <v/>
      </c>
      <c r="N936" s="6" t="str">
        <f t="shared" si="4"/>
        <v/>
      </c>
    </row>
    <row r="937" spans="6:14" ht="14.25" customHeight="1" x14ac:dyDescent="0.3">
      <c r="F937" s="6" t="str">
        <f>IF(A937="","",COUNTIF(Chicks!$G:$G,A937))</f>
        <v/>
      </c>
      <c r="G937" s="6" t="str">
        <f>IF(A937="","",COUNTIFS(Chicks!$G:$G,A937,Chicks!$I:$I,"Yes"))</f>
        <v/>
      </c>
      <c r="H937" s="6" t="str">
        <f>IF(A937="","",SUMIFS(Chicks!$J:$J,Chicks!$G:$G,A937))</f>
        <v/>
      </c>
      <c r="I937" s="6" t="str">
        <f>IF(A937="","",COUNTIFS(Chicks!$G:$G,A937,Chicks!$I:$I,"No"))</f>
        <v/>
      </c>
      <c r="J937" s="6" t="str">
        <f>IF(A937="","",IFERROR(AVERAGEIF(Chicks!$G:$G,A937,Chicks!$M:$M),""))</f>
        <v/>
      </c>
      <c r="K937" s="6" t="str">
        <f>IF(A937="","",SUMIFS(Chicks!$N:$N,Chicks!$G:$G,A937))</f>
        <v/>
      </c>
      <c r="L937" s="6" t="str">
        <f>IF(A937="","",SUMIFS(Chicks!$O:$O,Chicks!$G:$G,A937))</f>
        <v/>
      </c>
      <c r="M937" s="6" t="str">
        <f>IF(A937="","",SUMIFS(Chicks!$P:$P,Chicks!$G:$G,A937))</f>
        <v/>
      </c>
      <c r="N937" s="6" t="str">
        <f t="shared" si="4"/>
        <v/>
      </c>
    </row>
    <row r="938" spans="6:14" ht="14.25" customHeight="1" x14ac:dyDescent="0.3">
      <c r="F938" s="6" t="str">
        <f>IF(A938="","",COUNTIF(Chicks!$G:$G,A938))</f>
        <v/>
      </c>
      <c r="G938" s="6" t="str">
        <f>IF(A938="","",COUNTIFS(Chicks!$G:$G,A938,Chicks!$I:$I,"Yes"))</f>
        <v/>
      </c>
      <c r="H938" s="6" t="str">
        <f>IF(A938="","",SUMIFS(Chicks!$J:$J,Chicks!$G:$G,A938))</f>
        <v/>
      </c>
      <c r="I938" s="6" t="str">
        <f>IF(A938="","",COUNTIFS(Chicks!$G:$G,A938,Chicks!$I:$I,"No"))</f>
        <v/>
      </c>
      <c r="J938" s="6" t="str">
        <f>IF(A938="","",IFERROR(AVERAGEIF(Chicks!$G:$G,A938,Chicks!$M:$M),""))</f>
        <v/>
      </c>
      <c r="K938" s="6" t="str">
        <f>IF(A938="","",SUMIFS(Chicks!$N:$N,Chicks!$G:$G,A938))</f>
        <v/>
      </c>
      <c r="L938" s="6" t="str">
        <f>IF(A938="","",SUMIFS(Chicks!$O:$O,Chicks!$G:$G,A938))</f>
        <v/>
      </c>
      <c r="M938" s="6" t="str">
        <f>IF(A938="","",SUMIFS(Chicks!$P:$P,Chicks!$G:$G,A938))</f>
        <v/>
      </c>
      <c r="N938" s="6" t="str">
        <f t="shared" si="4"/>
        <v/>
      </c>
    </row>
    <row r="939" spans="6:14" ht="14.25" customHeight="1" x14ac:dyDescent="0.3">
      <c r="F939" s="6" t="str">
        <f>IF(A939="","",COUNTIF(Chicks!$G:$G,A939))</f>
        <v/>
      </c>
      <c r="G939" s="6" t="str">
        <f>IF(A939="","",COUNTIFS(Chicks!$G:$G,A939,Chicks!$I:$I,"Yes"))</f>
        <v/>
      </c>
      <c r="H939" s="6" t="str">
        <f>IF(A939="","",SUMIFS(Chicks!$J:$J,Chicks!$G:$G,A939))</f>
        <v/>
      </c>
      <c r="I939" s="6" t="str">
        <f>IF(A939="","",COUNTIFS(Chicks!$G:$G,A939,Chicks!$I:$I,"No"))</f>
        <v/>
      </c>
      <c r="J939" s="6" t="str">
        <f>IF(A939="","",IFERROR(AVERAGEIF(Chicks!$G:$G,A939,Chicks!$M:$M),""))</f>
        <v/>
      </c>
      <c r="K939" s="6" t="str">
        <f>IF(A939="","",SUMIFS(Chicks!$N:$N,Chicks!$G:$G,A939))</f>
        <v/>
      </c>
      <c r="L939" s="6" t="str">
        <f>IF(A939="","",SUMIFS(Chicks!$O:$O,Chicks!$G:$G,A939))</f>
        <v/>
      </c>
      <c r="M939" s="6" t="str">
        <f>IF(A939="","",SUMIFS(Chicks!$P:$P,Chicks!$G:$G,A939))</f>
        <v/>
      </c>
      <c r="N939" s="6" t="str">
        <f t="shared" si="4"/>
        <v/>
      </c>
    </row>
    <row r="940" spans="6:14" ht="14.25" customHeight="1" x14ac:dyDescent="0.3">
      <c r="F940" s="6" t="str">
        <f>IF(A940="","",COUNTIF(Chicks!$G:$G,A940))</f>
        <v/>
      </c>
      <c r="G940" s="6" t="str">
        <f>IF(A940="","",COUNTIFS(Chicks!$G:$G,A940,Chicks!$I:$I,"Yes"))</f>
        <v/>
      </c>
      <c r="H940" s="6" t="str">
        <f>IF(A940="","",SUMIFS(Chicks!$J:$J,Chicks!$G:$G,A940))</f>
        <v/>
      </c>
      <c r="I940" s="6" t="str">
        <f>IF(A940="","",COUNTIFS(Chicks!$G:$G,A940,Chicks!$I:$I,"No"))</f>
        <v/>
      </c>
      <c r="J940" s="6" t="str">
        <f>IF(A940="","",IFERROR(AVERAGEIF(Chicks!$G:$G,A940,Chicks!$M:$M),""))</f>
        <v/>
      </c>
      <c r="K940" s="6" t="str">
        <f>IF(A940="","",SUMIFS(Chicks!$N:$N,Chicks!$G:$G,A940))</f>
        <v/>
      </c>
      <c r="L940" s="6" t="str">
        <f>IF(A940="","",SUMIFS(Chicks!$O:$O,Chicks!$G:$G,A940))</f>
        <v/>
      </c>
      <c r="M940" s="6" t="str">
        <f>IF(A940="","",SUMIFS(Chicks!$P:$P,Chicks!$G:$G,A940))</f>
        <v/>
      </c>
      <c r="N940" s="6" t="str">
        <f t="shared" si="4"/>
        <v/>
      </c>
    </row>
    <row r="941" spans="6:14" ht="14.25" customHeight="1" x14ac:dyDescent="0.3">
      <c r="F941" s="6" t="str">
        <f>IF(A941="","",COUNTIF(Chicks!$G:$G,A941))</f>
        <v/>
      </c>
      <c r="G941" s="6" t="str">
        <f>IF(A941="","",COUNTIFS(Chicks!$G:$G,A941,Chicks!$I:$I,"Yes"))</f>
        <v/>
      </c>
      <c r="H941" s="6" t="str">
        <f>IF(A941="","",SUMIFS(Chicks!$J:$J,Chicks!$G:$G,A941))</f>
        <v/>
      </c>
      <c r="I941" s="6" t="str">
        <f>IF(A941="","",COUNTIFS(Chicks!$G:$G,A941,Chicks!$I:$I,"No"))</f>
        <v/>
      </c>
      <c r="J941" s="6" t="str">
        <f>IF(A941="","",IFERROR(AVERAGEIF(Chicks!$G:$G,A941,Chicks!$M:$M),""))</f>
        <v/>
      </c>
      <c r="K941" s="6" t="str">
        <f>IF(A941="","",SUMIFS(Chicks!$N:$N,Chicks!$G:$G,A941))</f>
        <v/>
      </c>
      <c r="L941" s="6" t="str">
        <f>IF(A941="","",SUMIFS(Chicks!$O:$O,Chicks!$G:$G,A941))</f>
        <v/>
      </c>
      <c r="M941" s="6" t="str">
        <f>IF(A941="","",SUMIFS(Chicks!$P:$P,Chicks!$G:$G,A941))</f>
        <v/>
      </c>
      <c r="N941" s="6" t="str">
        <f t="shared" si="4"/>
        <v/>
      </c>
    </row>
    <row r="942" spans="6:14" ht="14.25" customHeight="1" x14ac:dyDescent="0.3">
      <c r="F942" s="6" t="str">
        <f>IF(A942="","",COUNTIF(Chicks!$G:$G,A942))</f>
        <v/>
      </c>
      <c r="G942" s="6" t="str">
        <f>IF(A942="","",COUNTIFS(Chicks!$G:$G,A942,Chicks!$I:$I,"Yes"))</f>
        <v/>
      </c>
      <c r="H942" s="6" t="str">
        <f>IF(A942="","",SUMIFS(Chicks!$J:$J,Chicks!$G:$G,A942))</f>
        <v/>
      </c>
      <c r="I942" s="6" t="str">
        <f>IF(A942="","",COUNTIFS(Chicks!$G:$G,A942,Chicks!$I:$I,"No"))</f>
        <v/>
      </c>
      <c r="J942" s="6" t="str">
        <f>IF(A942="","",IFERROR(AVERAGEIF(Chicks!$G:$G,A942,Chicks!$M:$M),""))</f>
        <v/>
      </c>
      <c r="K942" s="6" t="str">
        <f>IF(A942="","",SUMIFS(Chicks!$N:$N,Chicks!$G:$G,A942))</f>
        <v/>
      </c>
      <c r="L942" s="6" t="str">
        <f>IF(A942="","",SUMIFS(Chicks!$O:$O,Chicks!$G:$G,A942))</f>
        <v/>
      </c>
      <c r="M942" s="6" t="str">
        <f>IF(A942="","",SUMIFS(Chicks!$P:$P,Chicks!$G:$G,A942))</f>
        <v/>
      </c>
      <c r="N942" s="6" t="str">
        <f t="shared" si="4"/>
        <v/>
      </c>
    </row>
    <row r="943" spans="6:14" ht="14.25" customHeight="1" x14ac:dyDescent="0.3">
      <c r="F943" s="6" t="str">
        <f>IF(A943="","",COUNTIF(Chicks!$G:$G,A943))</f>
        <v/>
      </c>
      <c r="G943" s="6" t="str">
        <f>IF(A943="","",COUNTIFS(Chicks!$G:$G,A943,Chicks!$I:$I,"Yes"))</f>
        <v/>
      </c>
      <c r="H943" s="6" t="str">
        <f>IF(A943="","",SUMIFS(Chicks!$J:$J,Chicks!$G:$G,A943))</f>
        <v/>
      </c>
      <c r="I943" s="6" t="str">
        <f>IF(A943="","",COUNTIFS(Chicks!$G:$G,A943,Chicks!$I:$I,"No"))</f>
        <v/>
      </c>
      <c r="J943" s="6" t="str">
        <f>IF(A943="","",IFERROR(AVERAGEIF(Chicks!$G:$G,A943,Chicks!$M:$M),""))</f>
        <v/>
      </c>
      <c r="K943" s="6" t="str">
        <f>IF(A943="","",SUMIFS(Chicks!$N:$N,Chicks!$G:$G,A943))</f>
        <v/>
      </c>
      <c r="L943" s="6" t="str">
        <f>IF(A943="","",SUMIFS(Chicks!$O:$O,Chicks!$G:$G,A943))</f>
        <v/>
      </c>
      <c r="M943" s="6" t="str">
        <f>IF(A943="","",SUMIFS(Chicks!$P:$P,Chicks!$G:$G,A943))</f>
        <v/>
      </c>
      <c r="N943" s="6" t="str">
        <f t="shared" si="4"/>
        <v/>
      </c>
    </row>
    <row r="944" spans="6:14" ht="14.25" customHeight="1" x14ac:dyDescent="0.3">
      <c r="F944" s="6" t="str">
        <f>IF(A944="","",COUNTIF(Chicks!$G:$G,A944))</f>
        <v/>
      </c>
      <c r="G944" s="6" t="str">
        <f>IF(A944="","",COUNTIFS(Chicks!$G:$G,A944,Chicks!$I:$I,"Yes"))</f>
        <v/>
      </c>
      <c r="H944" s="6" t="str">
        <f>IF(A944="","",SUMIFS(Chicks!$J:$J,Chicks!$G:$G,A944))</f>
        <v/>
      </c>
      <c r="I944" s="6" t="str">
        <f>IF(A944="","",COUNTIFS(Chicks!$G:$G,A944,Chicks!$I:$I,"No"))</f>
        <v/>
      </c>
      <c r="J944" s="6" t="str">
        <f>IF(A944="","",IFERROR(AVERAGEIF(Chicks!$G:$G,A944,Chicks!$M:$M),""))</f>
        <v/>
      </c>
      <c r="K944" s="6" t="str">
        <f>IF(A944="","",SUMIFS(Chicks!$N:$N,Chicks!$G:$G,A944))</f>
        <v/>
      </c>
      <c r="L944" s="6" t="str">
        <f>IF(A944="","",SUMIFS(Chicks!$O:$O,Chicks!$G:$G,A944))</f>
        <v/>
      </c>
      <c r="M944" s="6" t="str">
        <f>IF(A944="","",SUMIFS(Chicks!$P:$P,Chicks!$G:$G,A944))</f>
        <v/>
      </c>
      <c r="N944" s="6" t="str">
        <f t="shared" si="4"/>
        <v/>
      </c>
    </row>
    <row r="945" spans="6:14" ht="14.25" customHeight="1" x14ac:dyDescent="0.3">
      <c r="F945" s="6" t="str">
        <f>IF(A945="","",COUNTIF(Chicks!$G:$G,A945))</f>
        <v/>
      </c>
      <c r="G945" s="6" t="str">
        <f>IF(A945="","",COUNTIFS(Chicks!$G:$G,A945,Chicks!$I:$I,"Yes"))</f>
        <v/>
      </c>
      <c r="H945" s="6" t="str">
        <f>IF(A945="","",SUMIFS(Chicks!$J:$J,Chicks!$G:$G,A945))</f>
        <v/>
      </c>
      <c r="I945" s="6" t="str">
        <f>IF(A945="","",COUNTIFS(Chicks!$G:$G,A945,Chicks!$I:$I,"No"))</f>
        <v/>
      </c>
      <c r="J945" s="6" t="str">
        <f>IF(A945="","",IFERROR(AVERAGEIF(Chicks!$G:$G,A945,Chicks!$M:$M),""))</f>
        <v/>
      </c>
      <c r="K945" s="6" t="str">
        <f>IF(A945="","",SUMIFS(Chicks!$N:$N,Chicks!$G:$G,A945))</f>
        <v/>
      </c>
      <c r="L945" s="6" t="str">
        <f>IF(A945="","",SUMIFS(Chicks!$O:$O,Chicks!$G:$G,A945))</f>
        <v/>
      </c>
      <c r="M945" s="6" t="str">
        <f>IF(A945="","",SUMIFS(Chicks!$P:$P,Chicks!$G:$G,A945))</f>
        <v/>
      </c>
      <c r="N945" s="6" t="str">
        <f t="shared" si="4"/>
        <v/>
      </c>
    </row>
    <row r="946" spans="6:14" ht="14.25" customHeight="1" x14ac:dyDescent="0.3">
      <c r="F946" s="6" t="str">
        <f>IF(A946="","",COUNTIF(Chicks!$G:$G,A946))</f>
        <v/>
      </c>
      <c r="G946" s="6" t="str">
        <f>IF(A946="","",COUNTIFS(Chicks!$G:$G,A946,Chicks!$I:$I,"Yes"))</f>
        <v/>
      </c>
      <c r="H946" s="6" t="str">
        <f>IF(A946="","",SUMIFS(Chicks!$J:$J,Chicks!$G:$G,A946))</f>
        <v/>
      </c>
      <c r="I946" s="6" t="str">
        <f>IF(A946="","",COUNTIFS(Chicks!$G:$G,A946,Chicks!$I:$I,"No"))</f>
        <v/>
      </c>
      <c r="J946" s="6" t="str">
        <f>IF(A946="","",IFERROR(AVERAGEIF(Chicks!$G:$G,A946,Chicks!$M:$M),""))</f>
        <v/>
      </c>
      <c r="K946" s="6" t="str">
        <f>IF(A946="","",SUMIFS(Chicks!$N:$N,Chicks!$G:$G,A946))</f>
        <v/>
      </c>
      <c r="L946" s="6" t="str">
        <f>IF(A946="","",SUMIFS(Chicks!$O:$O,Chicks!$G:$G,A946))</f>
        <v/>
      </c>
      <c r="M946" s="6" t="str">
        <f>IF(A946="","",SUMIFS(Chicks!$P:$P,Chicks!$G:$G,A946))</f>
        <v/>
      </c>
      <c r="N946" s="6" t="str">
        <f t="shared" si="4"/>
        <v/>
      </c>
    </row>
    <row r="947" spans="6:14" ht="14.25" customHeight="1" x14ac:dyDescent="0.3">
      <c r="F947" s="6" t="str">
        <f>IF(A947="","",COUNTIF(Chicks!$G:$G,A947))</f>
        <v/>
      </c>
      <c r="G947" s="6" t="str">
        <f>IF(A947="","",COUNTIFS(Chicks!$G:$G,A947,Chicks!$I:$I,"Yes"))</f>
        <v/>
      </c>
      <c r="H947" s="6" t="str">
        <f>IF(A947="","",SUMIFS(Chicks!$J:$J,Chicks!$G:$G,A947))</f>
        <v/>
      </c>
      <c r="I947" s="6" t="str">
        <f>IF(A947="","",COUNTIFS(Chicks!$G:$G,A947,Chicks!$I:$I,"No"))</f>
        <v/>
      </c>
      <c r="J947" s="6" t="str">
        <f>IF(A947="","",IFERROR(AVERAGEIF(Chicks!$G:$G,A947,Chicks!$M:$M),""))</f>
        <v/>
      </c>
      <c r="K947" s="6" t="str">
        <f>IF(A947="","",SUMIFS(Chicks!$N:$N,Chicks!$G:$G,A947))</f>
        <v/>
      </c>
      <c r="L947" s="6" t="str">
        <f>IF(A947="","",SUMIFS(Chicks!$O:$O,Chicks!$G:$G,A947))</f>
        <v/>
      </c>
      <c r="M947" s="6" t="str">
        <f>IF(A947="","",SUMIFS(Chicks!$P:$P,Chicks!$G:$G,A947))</f>
        <v/>
      </c>
      <c r="N947" s="6" t="str">
        <f t="shared" si="4"/>
        <v/>
      </c>
    </row>
    <row r="948" spans="6:14" ht="14.25" customHeight="1" x14ac:dyDescent="0.3">
      <c r="F948" s="6" t="str">
        <f>IF(A948="","",COUNTIF(Chicks!$G:$G,A948))</f>
        <v/>
      </c>
      <c r="G948" s="6" t="str">
        <f>IF(A948="","",COUNTIFS(Chicks!$G:$G,A948,Chicks!$I:$I,"Yes"))</f>
        <v/>
      </c>
      <c r="H948" s="6" t="str">
        <f>IF(A948="","",SUMIFS(Chicks!$J:$J,Chicks!$G:$G,A948))</f>
        <v/>
      </c>
      <c r="I948" s="6" t="str">
        <f>IF(A948="","",COUNTIFS(Chicks!$G:$G,A948,Chicks!$I:$I,"No"))</f>
        <v/>
      </c>
      <c r="J948" s="6" t="str">
        <f>IF(A948="","",IFERROR(AVERAGEIF(Chicks!$G:$G,A948,Chicks!$M:$M),""))</f>
        <v/>
      </c>
      <c r="K948" s="6" t="str">
        <f>IF(A948="","",SUMIFS(Chicks!$N:$N,Chicks!$G:$G,A948))</f>
        <v/>
      </c>
      <c r="L948" s="6" t="str">
        <f>IF(A948="","",SUMIFS(Chicks!$O:$O,Chicks!$G:$G,A948))</f>
        <v/>
      </c>
      <c r="M948" s="6" t="str">
        <f>IF(A948="","",SUMIFS(Chicks!$P:$P,Chicks!$G:$G,A948))</f>
        <v/>
      </c>
      <c r="N948" s="6" t="str">
        <f t="shared" si="4"/>
        <v/>
      </c>
    </row>
    <row r="949" spans="6:14" ht="14.25" customHeight="1" x14ac:dyDescent="0.3">
      <c r="F949" s="6" t="str">
        <f>IF(A949="","",COUNTIF(Chicks!$G:$G,A949))</f>
        <v/>
      </c>
      <c r="G949" s="6" t="str">
        <f>IF(A949="","",COUNTIFS(Chicks!$G:$G,A949,Chicks!$I:$I,"Yes"))</f>
        <v/>
      </c>
      <c r="H949" s="6" t="str">
        <f>IF(A949="","",SUMIFS(Chicks!$J:$J,Chicks!$G:$G,A949))</f>
        <v/>
      </c>
      <c r="I949" s="6" t="str">
        <f>IF(A949="","",COUNTIFS(Chicks!$G:$G,A949,Chicks!$I:$I,"No"))</f>
        <v/>
      </c>
      <c r="J949" s="6" t="str">
        <f>IF(A949="","",IFERROR(AVERAGEIF(Chicks!$G:$G,A949,Chicks!$M:$M),""))</f>
        <v/>
      </c>
      <c r="K949" s="6" t="str">
        <f>IF(A949="","",SUMIFS(Chicks!$N:$N,Chicks!$G:$G,A949))</f>
        <v/>
      </c>
      <c r="L949" s="6" t="str">
        <f>IF(A949="","",SUMIFS(Chicks!$O:$O,Chicks!$G:$G,A949))</f>
        <v/>
      </c>
      <c r="M949" s="6" t="str">
        <f>IF(A949="","",SUMIFS(Chicks!$P:$P,Chicks!$G:$G,A949))</f>
        <v/>
      </c>
      <c r="N949" s="6" t="str">
        <f t="shared" si="4"/>
        <v/>
      </c>
    </row>
    <row r="950" spans="6:14" ht="14.25" customHeight="1" x14ac:dyDescent="0.3">
      <c r="F950" s="6" t="str">
        <f>IF(A950="","",COUNTIF(Chicks!$G:$G,A950))</f>
        <v/>
      </c>
      <c r="G950" s="6" t="str">
        <f>IF(A950="","",COUNTIFS(Chicks!$G:$G,A950,Chicks!$I:$I,"Yes"))</f>
        <v/>
      </c>
      <c r="H950" s="6" t="str">
        <f>IF(A950="","",SUMIFS(Chicks!$J:$J,Chicks!$G:$G,A950))</f>
        <v/>
      </c>
      <c r="I950" s="6" t="str">
        <f>IF(A950="","",COUNTIFS(Chicks!$G:$G,A950,Chicks!$I:$I,"No"))</f>
        <v/>
      </c>
      <c r="J950" s="6" t="str">
        <f>IF(A950="","",IFERROR(AVERAGEIF(Chicks!$G:$G,A950,Chicks!$M:$M),""))</f>
        <v/>
      </c>
      <c r="K950" s="6" t="str">
        <f>IF(A950="","",SUMIFS(Chicks!$N:$N,Chicks!$G:$G,A950))</f>
        <v/>
      </c>
      <c r="L950" s="6" t="str">
        <f>IF(A950="","",SUMIFS(Chicks!$O:$O,Chicks!$G:$G,A950))</f>
        <v/>
      </c>
      <c r="M950" s="6" t="str">
        <f>IF(A950="","",SUMIFS(Chicks!$P:$P,Chicks!$G:$G,A950))</f>
        <v/>
      </c>
      <c r="N950" s="6" t="str">
        <f t="shared" si="4"/>
        <v/>
      </c>
    </row>
    <row r="951" spans="6:14" ht="14.25" customHeight="1" x14ac:dyDescent="0.3">
      <c r="F951" s="6" t="str">
        <f>IF(A951="","",COUNTIF(Chicks!$G:$G,A951))</f>
        <v/>
      </c>
      <c r="G951" s="6" t="str">
        <f>IF(A951="","",COUNTIFS(Chicks!$G:$G,A951,Chicks!$I:$I,"Yes"))</f>
        <v/>
      </c>
      <c r="H951" s="6" t="str">
        <f>IF(A951="","",SUMIFS(Chicks!$J:$J,Chicks!$G:$G,A951))</f>
        <v/>
      </c>
      <c r="I951" s="6" t="str">
        <f>IF(A951="","",COUNTIFS(Chicks!$G:$G,A951,Chicks!$I:$I,"No"))</f>
        <v/>
      </c>
      <c r="J951" s="6" t="str">
        <f>IF(A951="","",IFERROR(AVERAGEIF(Chicks!$G:$G,A951,Chicks!$M:$M),""))</f>
        <v/>
      </c>
      <c r="K951" s="6" t="str">
        <f>IF(A951="","",SUMIFS(Chicks!$N:$N,Chicks!$G:$G,A951))</f>
        <v/>
      </c>
      <c r="L951" s="6" t="str">
        <f>IF(A951="","",SUMIFS(Chicks!$O:$O,Chicks!$G:$G,A951))</f>
        <v/>
      </c>
      <c r="M951" s="6" t="str">
        <f>IF(A951="","",SUMIFS(Chicks!$P:$P,Chicks!$G:$G,A951))</f>
        <v/>
      </c>
      <c r="N951" s="6" t="str">
        <f t="shared" si="4"/>
        <v/>
      </c>
    </row>
    <row r="952" spans="6:14" ht="14.25" customHeight="1" x14ac:dyDescent="0.3">
      <c r="F952" s="6" t="str">
        <f>IF(A952="","",COUNTIF(Chicks!$G:$G,A952))</f>
        <v/>
      </c>
      <c r="G952" s="6" t="str">
        <f>IF(A952="","",COUNTIFS(Chicks!$G:$G,A952,Chicks!$I:$I,"Yes"))</f>
        <v/>
      </c>
      <c r="H952" s="6" t="str">
        <f>IF(A952="","",SUMIFS(Chicks!$J:$J,Chicks!$G:$G,A952))</f>
        <v/>
      </c>
      <c r="I952" s="6" t="str">
        <f>IF(A952="","",COUNTIFS(Chicks!$G:$G,A952,Chicks!$I:$I,"No"))</f>
        <v/>
      </c>
      <c r="J952" s="6" t="str">
        <f>IF(A952="","",IFERROR(AVERAGEIF(Chicks!$G:$G,A952,Chicks!$M:$M),""))</f>
        <v/>
      </c>
      <c r="K952" s="6" t="str">
        <f>IF(A952="","",SUMIFS(Chicks!$N:$N,Chicks!$G:$G,A952))</f>
        <v/>
      </c>
      <c r="L952" s="6" t="str">
        <f>IF(A952="","",SUMIFS(Chicks!$O:$O,Chicks!$G:$G,A952))</f>
        <v/>
      </c>
      <c r="M952" s="6" t="str">
        <f>IF(A952="","",SUMIFS(Chicks!$P:$P,Chicks!$G:$G,A952))</f>
        <v/>
      </c>
      <c r="N952" s="6" t="str">
        <f t="shared" si="4"/>
        <v/>
      </c>
    </row>
    <row r="953" spans="6:14" ht="14.25" customHeight="1" x14ac:dyDescent="0.3">
      <c r="F953" s="6" t="str">
        <f>IF(A953="","",COUNTIF(Chicks!$G:$G,A953))</f>
        <v/>
      </c>
      <c r="G953" s="6" t="str">
        <f>IF(A953="","",COUNTIFS(Chicks!$G:$G,A953,Chicks!$I:$I,"Yes"))</f>
        <v/>
      </c>
      <c r="H953" s="6" t="str">
        <f>IF(A953="","",SUMIFS(Chicks!$J:$J,Chicks!$G:$G,A953))</f>
        <v/>
      </c>
      <c r="I953" s="6" t="str">
        <f>IF(A953="","",COUNTIFS(Chicks!$G:$G,A953,Chicks!$I:$I,"No"))</f>
        <v/>
      </c>
      <c r="J953" s="6" t="str">
        <f>IF(A953="","",IFERROR(AVERAGEIF(Chicks!$G:$G,A953,Chicks!$M:$M),""))</f>
        <v/>
      </c>
      <c r="K953" s="6" t="str">
        <f>IF(A953="","",SUMIFS(Chicks!$N:$N,Chicks!$G:$G,A953))</f>
        <v/>
      </c>
      <c r="L953" s="6" t="str">
        <f>IF(A953="","",SUMIFS(Chicks!$O:$O,Chicks!$G:$G,A953))</f>
        <v/>
      </c>
      <c r="M953" s="6" t="str">
        <f>IF(A953="","",SUMIFS(Chicks!$P:$P,Chicks!$G:$G,A953))</f>
        <v/>
      </c>
      <c r="N953" s="6" t="str">
        <f t="shared" si="4"/>
        <v/>
      </c>
    </row>
    <row r="954" spans="6:14" ht="14.25" customHeight="1" x14ac:dyDescent="0.3">
      <c r="F954" s="6" t="str">
        <f>IF(A954="","",COUNTIF(Chicks!$G:$G,A954))</f>
        <v/>
      </c>
      <c r="G954" s="6" t="str">
        <f>IF(A954="","",COUNTIFS(Chicks!$G:$G,A954,Chicks!$I:$I,"Yes"))</f>
        <v/>
      </c>
      <c r="H954" s="6" t="str">
        <f>IF(A954="","",SUMIFS(Chicks!$J:$J,Chicks!$G:$G,A954))</f>
        <v/>
      </c>
      <c r="I954" s="6" t="str">
        <f>IF(A954="","",COUNTIFS(Chicks!$G:$G,A954,Chicks!$I:$I,"No"))</f>
        <v/>
      </c>
      <c r="J954" s="6" t="str">
        <f>IF(A954="","",IFERROR(AVERAGEIF(Chicks!$G:$G,A954,Chicks!$M:$M),""))</f>
        <v/>
      </c>
      <c r="K954" s="6" t="str">
        <f>IF(A954="","",SUMIFS(Chicks!$N:$N,Chicks!$G:$G,A954))</f>
        <v/>
      </c>
      <c r="L954" s="6" t="str">
        <f>IF(A954="","",SUMIFS(Chicks!$O:$O,Chicks!$G:$G,A954))</f>
        <v/>
      </c>
      <c r="M954" s="6" t="str">
        <f>IF(A954="","",SUMIFS(Chicks!$P:$P,Chicks!$G:$G,A954))</f>
        <v/>
      </c>
      <c r="N954" s="6" t="str">
        <f t="shared" si="4"/>
        <v/>
      </c>
    </row>
    <row r="955" spans="6:14" ht="14.25" customHeight="1" x14ac:dyDescent="0.3">
      <c r="F955" s="6" t="str">
        <f>IF(A955="","",COUNTIF(Chicks!$G:$G,A955))</f>
        <v/>
      </c>
      <c r="G955" s="6" t="str">
        <f>IF(A955="","",COUNTIFS(Chicks!$G:$G,A955,Chicks!$I:$I,"Yes"))</f>
        <v/>
      </c>
      <c r="H955" s="6" t="str">
        <f>IF(A955="","",SUMIFS(Chicks!$J:$J,Chicks!$G:$G,A955))</f>
        <v/>
      </c>
      <c r="I955" s="6" t="str">
        <f>IF(A955="","",COUNTIFS(Chicks!$G:$G,A955,Chicks!$I:$I,"No"))</f>
        <v/>
      </c>
      <c r="J955" s="6" t="str">
        <f>IF(A955="","",IFERROR(AVERAGEIF(Chicks!$G:$G,A955,Chicks!$M:$M),""))</f>
        <v/>
      </c>
      <c r="K955" s="6" t="str">
        <f>IF(A955="","",SUMIFS(Chicks!$N:$N,Chicks!$G:$G,A955))</f>
        <v/>
      </c>
      <c r="L955" s="6" t="str">
        <f>IF(A955="","",SUMIFS(Chicks!$O:$O,Chicks!$G:$G,A955))</f>
        <v/>
      </c>
      <c r="M955" s="6" t="str">
        <f>IF(A955="","",SUMIFS(Chicks!$P:$P,Chicks!$G:$G,A955))</f>
        <v/>
      </c>
      <c r="N955" s="6" t="str">
        <f t="shared" si="4"/>
        <v/>
      </c>
    </row>
    <row r="956" spans="6:14" ht="14.25" customHeight="1" x14ac:dyDescent="0.3">
      <c r="F956" s="6" t="str">
        <f>IF(A956="","",COUNTIF(Chicks!$G:$G,A956))</f>
        <v/>
      </c>
      <c r="G956" s="6" t="str">
        <f>IF(A956="","",COUNTIFS(Chicks!$G:$G,A956,Chicks!$I:$I,"Yes"))</f>
        <v/>
      </c>
      <c r="H956" s="6" t="str">
        <f>IF(A956="","",SUMIFS(Chicks!$J:$J,Chicks!$G:$G,A956))</f>
        <v/>
      </c>
      <c r="I956" s="6" t="str">
        <f>IF(A956="","",COUNTIFS(Chicks!$G:$G,A956,Chicks!$I:$I,"No"))</f>
        <v/>
      </c>
      <c r="J956" s="6" t="str">
        <f>IF(A956="","",IFERROR(AVERAGEIF(Chicks!$G:$G,A956,Chicks!$M:$M),""))</f>
        <v/>
      </c>
      <c r="K956" s="6" t="str">
        <f>IF(A956="","",SUMIFS(Chicks!$N:$N,Chicks!$G:$G,A956))</f>
        <v/>
      </c>
      <c r="L956" s="6" t="str">
        <f>IF(A956="","",SUMIFS(Chicks!$O:$O,Chicks!$G:$G,A956))</f>
        <v/>
      </c>
      <c r="M956" s="6" t="str">
        <f>IF(A956="","",SUMIFS(Chicks!$P:$P,Chicks!$G:$G,A956))</f>
        <v/>
      </c>
      <c r="N956" s="6" t="str">
        <f t="shared" si="4"/>
        <v/>
      </c>
    </row>
    <row r="957" spans="6:14" ht="14.25" customHeight="1" x14ac:dyDescent="0.3">
      <c r="F957" s="6" t="str">
        <f>IF(A957="","",COUNTIF(Chicks!$G:$G,A957))</f>
        <v/>
      </c>
      <c r="G957" s="6" t="str">
        <f>IF(A957="","",COUNTIFS(Chicks!$G:$G,A957,Chicks!$I:$I,"Yes"))</f>
        <v/>
      </c>
      <c r="H957" s="6" t="str">
        <f>IF(A957="","",SUMIFS(Chicks!$J:$J,Chicks!$G:$G,A957))</f>
        <v/>
      </c>
      <c r="I957" s="6" t="str">
        <f>IF(A957="","",COUNTIFS(Chicks!$G:$G,A957,Chicks!$I:$I,"No"))</f>
        <v/>
      </c>
      <c r="J957" s="6" t="str">
        <f>IF(A957="","",IFERROR(AVERAGEIF(Chicks!$G:$G,A957,Chicks!$M:$M),""))</f>
        <v/>
      </c>
      <c r="K957" s="6" t="str">
        <f>IF(A957="","",SUMIFS(Chicks!$N:$N,Chicks!$G:$G,A957))</f>
        <v/>
      </c>
      <c r="L957" s="6" t="str">
        <f>IF(A957="","",SUMIFS(Chicks!$O:$O,Chicks!$G:$G,A957))</f>
        <v/>
      </c>
      <c r="M957" s="6" t="str">
        <f>IF(A957="","",SUMIFS(Chicks!$P:$P,Chicks!$G:$G,A957))</f>
        <v/>
      </c>
      <c r="N957" s="6" t="str">
        <f t="shared" si="4"/>
        <v/>
      </c>
    </row>
    <row r="958" spans="6:14" ht="14.25" customHeight="1" x14ac:dyDescent="0.3">
      <c r="F958" s="6" t="str">
        <f>IF(A958="","",COUNTIF(Chicks!$G:$G,A958))</f>
        <v/>
      </c>
      <c r="G958" s="6" t="str">
        <f>IF(A958="","",COUNTIFS(Chicks!$G:$G,A958,Chicks!$I:$I,"Yes"))</f>
        <v/>
      </c>
      <c r="H958" s="6" t="str">
        <f>IF(A958="","",SUMIFS(Chicks!$J:$J,Chicks!$G:$G,A958))</f>
        <v/>
      </c>
      <c r="I958" s="6" t="str">
        <f>IF(A958="","",COUNTIFS(Chicks!$G:$G,A958,Chicks!$I:$I,"No"))</f>
        <v/>
      </c>
      <c r="J958" s="6" t="str">
        <f>IF(A958="","",IFERROR(AVERAGEIF(Chicks!$G:$G,A958,Chicks!$M:$M),""))</f>
        <v/>
      </c>
      <c r="K958" s="6" t="str">
        <f>IF(A958="","",SUMIFS(Chicks!$N:$N,Chicks!$G:$G,A958))</f>
        <v/>
      </c>
      <c r="L958" s="6" t="str">
        <f>IF(A958="","",SUMIFS(Chicks!$O:$O,Chicks!$G:$G,A958))</f>
        <v/>
      </c>
      <c r="M958" s="6" t="str">
        <f>IF(A958="","",SUMIFS(Chicks!$P:$P,Chicks!$G:$G,A958))</f>
        <v/>
      </c>
      <c r="N958" s="6" t="str">
        <f t="shared" si="4"/>
        <v/>
      </c>
    </row>
    <row r="959" spans="6:14" ht="14.25" customHeight="1" x14ac:dyDescent="0.3">
      <c r="F959" s="6" t="str">
        <f>IF(A959="","",COUNTIF(Chicks!$G:$G,A959))</f>
        <v/>
      </c>
      <c r="G959" s="6" t="str">
        <f>IF(A959="","",COUNTIFS(Chicks!$G:$G,A959,Chicks!$I:$I,"Yes"))</f>
        <v/>
      </c>
      <c r="H959" s="6" t="str">
        <f>IF(A959="","",SUMIFS(Chicks!$J:$J,Chicks!$G:$G,A959))</f>
        <v/>
      </c>
      <c r="I959" s="6" t="str">
        <f>IF(A959="","",COUNTIFS(Chicks!$G:$G,A959,Chicks!$I:$I,"No"))</f>
        <v/>
      </c>
      <c r="J959" s="6" t="str">
        <f>IF(A959="","",IFERROR(AVERAGEIF(Chicks!$G:$G,A959,Chicks!$M:$M),""))</f>
        <v/>
      </c>
      <c r="K959" s="6" t="str">
        <f>IF(A959="","",SUMIFS(Chicks!$N:$N,Chicks!$G:$G,A959))</f>
        <v/>
      </c>
      <c r="L959" s="6" t="str">
        <f>IF(A959="","",SUMIFS(Chicks!$O:$O,Chicks!$G:$G,A959))</f>
        <v/>
      </c>
      <c r="M959" s="6" t="str">
        <f>IF(A959="","",SUMIFS(Chicks!$P:$P,Chicks!$G:$G,A959))</f>
        <v/>
      </c>
      <c r="N959" s="6" t="str">
        <f t="shared" si="4"/>
        <v/>
      </c>
    </row>
    <row r="960" spans="6:14" ht="14.25" customHeight="1" x14ac:dyDescent="0.3">
      <c r="F960" s="6" t="str">
        <f>IF(A960="","",COUNTIF(Chicks!$G:$G,A960))</f>
        <v/>
      </c>
      <c r="G960" s="6" t="str">
        <f>IF(A960="","",COUNTIFS(Chicks!$G:$G,A960,Chicks!$I:$I,"Yes"))</f>
        <v/>
      </c>
      <c r="H960" s="6" t="str">
        <f>IF(A960="","",SUMIFS(Chicks!$J:$J,Chicks!$G:$G,A960))</f>
        <v/>
      </c>
      <c r="I960" s="6" t="str">
        <f>IF(A960="","",COUNTIFS(Chicks!$G:$G,A960,Chicks!$I:$I,"No"))</f>
        <v/>
      </c>
      <c r="J960" s="6" t="str">
        <f>IF(A960="","",IFERROR(AVERAGEIF(Chicks!$G:$G,A960,Chicks!$M:$M),""))</f>
        <v/>
      </c>
      <c r="K960" s="6" t="str">
        <f>IF(A960="","",SUMIFS(Chicks!$N:$N,Chicks!$G:$G,A960))</f>
        <v/>
      </c>
      <c r="L960" s="6" t="str">
        <f>IF(A960="","",SUMIFS(Chicks!$O:$O,Chicks!$G:$G,A960))</f>
        <v/>
      </c>
      <c r="M960" s="6" t="str">
        <f>IF(A960="","",SUMIFS(Chicks!$P:$P,Chicks!$G:$G,A960))</f>
        <v/>
      </c>
      <c r="N960" s="6" t="str">
        <f t="shared" si="4"/>
        <v/>
      </c>
    </row>
    <row r="961" spans="6:14" ht="14.25" customHeight="1" x14ac:dyDescent="0.3">
      <c r="F961" s="6" t="str">
        <f>IF(A961="","",COUNTIF(Chicks!$G:$G,A961))</f>
        <v/>
      </c>
      <c r="G961" s="6" t="str">
        <f>IF(A961="","",COUNTIFS(Chicks!$G:$G,A961,Chicks!$I:$I,"Yes"))</f>
        <v/>
      </c>
      <c r="H961" s="6" t="str">
        <f>IF(A961="","",SUMIFS(Chicks!$J:$J,Chicks!$G:$G,A961))</f>
        <v/>
      </c>
      <c r="I961" s="6" t="str">
        <f>IF(A961="","",COUNTIFS(Chicks!$G:$G,A961,Chicks!$I:$I,"No"))</f>
        <v/>
      </c>
      <c r="J961" s="6" t="str">
        <f>IF(A961="","",IFERROR(AVERAGEIF(Chicks!$G:$G,A961,Chicks!$M:$M),""))</f>
        <v/>
      </c>
      <c r="K961" s="6" t="str">
        <f>IF(A961="","",SUMIFS(Chicks!$N:$N,Chicks!$G:$G,A961))</f>
        <v/>
      </c>
      <c r="L961" s="6" t="str">
        <f>IF(A961="","",SUMIFS(Chicks!$O:$O,Chicks!$G:$G,A961))</f>
        <v/>
      </c>
      <c r="M961" s="6" t="str">
        <f>IF(A961="","",SUMIFS(Chicks!$P:$P,Chicks!$G:$G,A961))</f>
        <v/>
      </c>
      <c r="N961" s="6" t="str">
        <f t="shared" si="4"/>
        <v/>
      </c>
    </row>
    <row r="962" spans="6:14" ht="14.25" customHeight="1" x14ac:dyDescent="0.3">
      <c r="F962" s="6" t="str">
        <f>IF(A962="","",COUNTIF(Chicks!$G:$G,A962))</f>
        <v/>
      </c>
      <c r="G962" s="6" t="str">
        <f>IF(A962="","",COUNTIFS(Chicks!$G:$G,A962,Chicks!$I:$I,"Yes"))</f>
        <v/>
      </c>
      <c r="H962" s="6" t="str">
        <f>IF(A962="","",SUMIFS(Chicks!$J:$J,Chicks!$G:$G,A962))</f>
        <v/>
      </c>
      <c r="I962" s="6" t="str">
        <f>IF(A962="","",COUNTIFS(Chicks!$G:$G,A962,Chicks!$I:$I,"No"))</f>
        <v/>
      </c>
      <c r="J962" s="6" t="str">
        <f>IF(A962="","",IFERROR(AVERAGEIF(Chicks!$G:$G,A962,Chicks!$M:$M),""))</f>
        <v/>
      </c>
      <c r="K962" s="6" t="str">
        <f>IF(A962="","",SUMIFS(Chicks!$N:$N,Chicks!$G:$G,A962))</f>
        <v/>
      </c>
      <c r="L962" s="6" t="str">
        <f>IF(A962="","",SUMIFS(Chicks!$O:$O,Chicks!$G:$G,A962))</f>
        <v/>
      </c>
      <c r="M962" s="6" t="str">
        <f>IF(A962="","",SUMIFS(Chicks!$P:$P,Chicks!$G:$G,A962))</f>
        <v/>
      </c>
      <c r="N962" s="6" t="str">
        <f t="shared" si="4"/>
        <v/>
      </c>
    </row>
    <row r="963" spans="6:14" ht="14.25" customHeight="1" x14ac:dyDescent="0.3">
      <c r="F963" s="6" t="str">
        <f>IF(A963="","",COUNTIF(Chicks!$G:$G,A963))</f>
        <v/>
      </c>
      <c r="G963" s="6" t="str">
        <f>IF(A963="","",COUNTIFS(Chicks!$G:$G,A963,Chicks!$I:$I,"Yes"))</f>
        <v/>
      </c>
      <c r="H963" s="6" t="str">
        <f>IF(A963="","",SUMIFS(Chicks!$J:$J,Chicks!$G:$G,A963))</f>
        <v/>
      </c>
      <c r="I963" s="6" t="str">
        <f>IF(A963="","",COUNTIFS(Chicks!$G:$G,A963,Chicks!$I:$I,"No"))</f>
        <v/>
      </c>
      <c r="J963" s="6" t="str">
        <f>IF(A963="","",IFERROR(AVERAGEIF(Chicks!$G:$G,A963,Chicks!$M:$M),""))</f>
        <v/>
      </c>
      <c r="K963" s="6" t="str">
        <f>IF(A963="","",SUMIFS(Chicks!$N:$N,Chicks!$G:$G,A963))</f>
        <v/>
      </c>
      <c r="L963" s="6" t="str">
        <f>IF(A963="","",SUMIFS(Chicks!$O:$O,Chicks!$G:$G,A963))</f>
        <v/>
      </c>
      <c r="M963" s="6" t="str">
        <f>IF(A963="","",SUMIFS(Chicks!$P:$P,Chicks!$G:$G,A963))</f>
        <v/>
      </c>
      <c r="N963" s="6" t="str">
        <f t="shared" si="4"/>
        <v/>
      </c>
    </row>
    <row r="964" spans="6:14" ht="14.25" customHeight="1" x14ac:dyDescent="0.3">
      <c r="F964" s="6" t="str">
        <f>IF(A964="","",COUNTIF(Chicks!$G:$G,A964))</f>
        <v/>
      </c>
      <c r="G964" s="6" t="str">
        <f>IF(A964="","",COUNTIFS(Chicks!$G:$G,A964,Chicks!$I:$I,"Yes"))</f>
        <v/>
      </c>
      <c r="H964" s="6" t="str">
        <f>IF(A964="","",SUMIFS(Chicks!$J:$J,Chicks!$G:$G,A964))</f>
        <v/>
      </c>
      <c r="I964" s="6" t="str">
        <f>IF(A964="","",COUNTIFS(Chicks!$G:$G,A964,Chicks!$I:$I,"No"))</f>
        <v/>
      </c>
      <c r="J964" s="6" t="str">
        <f>IF(A964="","",IFERROR(AVERAGEIF(Chicks!$G:$G,A964,Chicks!$M:$M),""))</f>
        <v/>
      </c>
      <c r="K964" s="6" t="str">
        <f>IF(A964="","",SUMIFS(Chicks!$N:$N,Chicks!$G:$G,A964))</f>
        <v/>
      </c>
      <c r="L964" s="6" t="str">
        <f>IF(A964="","",SUMIFS(Chicks!$O:$O,Chicks!$G:$G,A964))</f>
        <v/>
      </c>
      <c r="M964" s="6" t="str">
        <f>IF(A964="","",SUMIFS(Chicks!$P:$P,Chicks!$G:$G,A964))</f>
        <v/>
      </c>
      <c r="N964" s="6" t="str">
        <f t="shared" si="4"/>
        <v/>
      </c>
    </row>
    <row r="965" spans="6:14" ht="14.25" customHeight="1" x14ac:dyDescent="0.3">
      <c r="F965" s="6" t="str">
        <f>IF(A965="","",COUNTIF(Chicks!$G:$G,A965))</f>
        <v/>
      </c>
      <c r="G965" s="6" t="str">
        <f>IF(A965="","",COUNTIFS(Chicks!$G:$G,A965,Chicks!$I:$I,"Yes"))</f>
        <v/>
      </c>
      <c r="H965" s="6" t="str">
        <f>IF(A965="","",SUMIFS(Chicks!$J:$J,Chicks!$G:$G,A965))</f>
        <v/>
      </c>
      <c r="I965" s="6" t="str">
        <f>IF(A965="","",COUNTIFS(Chicks!$G:$G,A965,Chicks!$I:$I,"No"))</f>
        <v/>
      </c>
      <c r="J965" s="6" t="str">
        <f>IF(A965="","",IFERROR(AVERAGEIF(Chicks!$G:$G,A965,Chicks!$M:$M),""))</f>
        <v/>
      </c>
      <c r="K965" s="6" t="str">
        <f>IF(A965="","",SUMIFS(Chicks!$N:$N,Chicks!$G:$G,A965))</f>
        <v/>
      </c>
      <c r="L965" s="6" t="str">
        <f>IF(A965="","",SUMIFS(Chicks!$O:$O,Chicks!$G:$G,A965))</f>
        <v/>
      </c>
      <c r="M965" s="6" t="str">
        <f>IF(A965="","",SUMIFS(Chicks!$P:$P,Chicks!$G:$G,A965))</f>
        <v/>
      </c>
      <c r="N965" s="6" t="str">
        <f t="shared" si="4"/>
        <v/>
      </c>
    </row>
    <row r="966" spans="6:14" ht="14.25" customHeight="1" x14ac:dyDescent="0.3">
      <c r="F966" s="6" t="str">
        <f>IF(A966="","",COUNTIF(Chicks!$G:$G,A966))</f>
        <v/>
      </c>
      <c r="G966" s="6" t="str">
        <f>IF(A966="","",COUNTIFS(Chicks!$G:$G,A966,Chicks!$I:$I,"Yes"))</f>
        <v/>
      </c>
      <c r="H966" s="6" t="str">
        <f>IF(A966="","",SUMIFS(Chicks!$J:$J,Chicks!$G:$G,A966))</f>
        <v/>
      </c>
      <c r="I966" s="6" t="str">
        <f>IF(A966="","",COUNTIFS(Chicks!$G:$G,A966,Chicks!$I:$I,"No"))</f>
        <v/>
      </c>
      <c r="J966" s="6" t="str">
        <f>IF(A966="","",IFERROR(AVERAGEIF(Chicks!$G:$G,A966,Chicks!$M:$M),""))</f>
        <v/>
      </c>
      <c r="K966" s="6" t="str">
        <f>IF(A966="","",SUMIFS(Chicks!$N:$N,Chicks!$G:$G,A966))</f>
        <v/>
      </c>
      <c r="L966" s="6" t="str">
        <f>IF(A966="","",SUMIFS(Chicks!$O:$O,Chicks!$G:$G,A966))</f>
        <v/>
      </c>
      <c r="M966" s="6" t="str">
        <f>IF(A966="","",SUMIFS(Chicks!$P:$P,Chicks!$G:$G,A966))</f>
        <v/>
      </c>
      <c r="N966" s="6" t="str">
        <f t="shared" si="4"/>
        <v/>
      </c>
    </row>
    <row r="967" spans="6:14" ht="14.25" customHeight="1" x14ac:dyDescent="0.3">
      <c r="F967" s="6" t="str">
        <f>IF(A967="","",COUNTIF(Chicks!$G:$G,A967))</f>
        <v/>
      </c>
      <c r="G967" s="6" t="str">
        <f>IF(A967="","",COUNTIFS(Chicks!$G:$G,A967,Chicks!$I:$I,"Yes"))</f>
        <v/>
      </c>
      <c r="H967" s="6" t="str">
        <f>IF(A967="","",SUMIFS(Chicks!$J:$J,Chicks!$G:$G,A967))</f>
        <v/>
      </c>
      <c r="I967" s="6" t="str">
        <f>IF(A967="","",COUNTIFS(Chicks!$G:$G,A967,Chicks!$I:$I,"No"))</f>
        <v/>
      </c>
      <c r="J967" s="6" t="str">
        <f>IF(A967="","",IFERROR(AVERAGEIF(Chicks!$G:$G,A967,Chicks!$M:$M),""))</f>
        <v/>
      </c>
      <c r="K967" s="6" t="str">
        <f>IF(A967="","",SUMIFS(Chicks!$N:$N,Chicks!$G:$G,A967))</f>
        <v/>
      </c>
      <c r="L967" s="6" t="str">
        <f>IF(A967="","",SUMIFS(Chicks!$O:$O,Chicks!$G:$G,A967))</f>
        <v/>
      </c>
      <c r="M967" s="6" t="str">
        <f>IF(A967="","",SUMIFS(Chicks!$P:$P,Chicks!$G:$G,A967))</f>
        <v/>
      </c>
      <c r="N967" s="6" t="str">
        <f t="shared" si="4"/>
        <v/>
      </c>
    </row>
    <row r="968" spans="6:14" ht="14.25" customHeight="1" x14ac:dyDescent="0.3">
      <c r="F968" s="6" t="str">
        <f>IF(A968="","",COUNTIF(Chicks!$G:$G,A968))</f>
        <v/>
      </c>
      <c r="G968" s="6" t="str">
        <f>IF(A968="","",COUNTIFS(Chicks!$G:$G,A968,Chicks!$I:$I,"Yes"))</f>
        <v/>
      </c>
      <c r="H968" s="6" t="str">
        <f>IF(A968="","",SUMIFS(Chicks!$J:$J,Chicks!$G:$G,A968))</f>
        <v/>
      </c>
      <c r="I968" s="6" t="str">
        <f>IF(A968="","",COUNTIFS(Chicks!$G:$G,A968,Chicks!$I:$I,"No"))</f>
        <v/>
      </c>
      <c r="J968" s="6" t="str">
        <f>IF(A968="","",IFERROR(AVERAGEIF(Chicks!$G:$G,A968,Chicks!$M:$M),""))</f>
        <v/>
      </c>
      <c r="K968" s="6" t="str">
        <f>IF(A968="","",SUMIFS(Chicks!$N:$N,Chicks!$G:$G,A968))</f>
        <v/>
      </c>
      <c r="L968" s="6" t="str">
        <f>IF(A968="","",SUMIFS(Chicks!$O:$O,Chicks!$G:$G,A968))</f>
        <v/>
      </c>
      <c r="M968" s="6" t="str">
        <f>IF(A968="","",SUMIFS(Chicks!$P:$P,Chicks!$G:$G,A968))</f>
        <v/>
      </c>
      <c r="N968" s="6" t="str">
        <f t="shared" si="4"/>
        <v/>
      </c>
    </row>
    <row r="969" spans="6:14" ht="14.25" customHeight="1" x14ac:dyDescent="0.3">
      <c r="F969" s="6" t="str">
        <f>IF(A969="","",COUNTIF(Chicks!$G:$G,A969))</f>
        <v/>
      </c>
      <c r="G969" s="6" t="str">
        <f>IF(A969="","",COUNTIFS(Chicks!$G:$G,A969,Chicks!$I:$I,"Yes"))</f>
        <v/>
      </c>
      <c r="H969" s="6" t="str">
        <f>IF(A969="","",SUMIFS(Chicks!$J:$J,Chicks!$G:$G,A969))</f>
        <v/>
      </c>
      <c r="I969" s="6" t="str">
        <f>IF(A969="","",COUNTIFS(Chicks!$G:$G,A969,Chicks!$I:$I,"No"))</f>
        <v/>
      </c>
      <c r="J969" s="6" t="str">
        <f>IF(A969="","",IFERROR(AVERAGEIF(Chicks!$G:$G,A969,Chicks!$M:$M),""))</f>
        <v/>
      </c>
      <c r="K969" s="6" t="str">
        <f>IF(A969="","",SUMIFS(Chicks!$N:$N,Chicks!$G:$G,A969))</f>
        <v/>
      </c>
      <c r="L969" s="6" t="str">
        <f>IF(A969="","",SUMIFS(Chicks!$O:$O,Chicks!$G:$G,A969))</f>
        <v/>
      </c>
      <c r="M969" s="6" t="str">
        <f>IF(A969="","",SUMIFS(Chicks!$P:$P,Chicks!$G:$G,A969))</f>
        <v/>
      </c>
      <c r="N969" s="6" t="str">
        <f t="shared" si="4"/>
        <v/>
      </c>
    </row>
    <row r="970" spans="6:14" ht="14.25" customHeight="1" x14ac:dyDescent="0.3">
      <c r="F970" s="6" t="str">
        <f>IF(A970="","",COUNTIF(Chicks!$G:$G,A970))</f>
        <v/>
      </c>
      <c r="G970" s="6" t="str">
        <f>IF(A970="","",COUNTIFS(Chicks!$G:$G,A970,Chicks!$I:$I,"Yes"))</f>
        <v/>
      </c>
      <c r="H970" s="6" t="str">
        <f>IF(A970="","",SUMIFS(Chicks!$J:$J,Chicks!$G:$G,A970))</f>
        <v/>
      </c>
      <c r="I970" s="6" t="str">
        <f>IF(A970="","",COUNTIFS(Chicks!$G:$G,A970,Chicks!$I:$I,"No"))</f>
        <v/>
      </c>
      <c r="J970" s="6" t="str">
        <f>IF(A970="","",IFERROR(AVERAGEIF(Chicks!$G:$G,A970,Chicks!$M:$M),""))</f>
        <v/>
      </c>
      <c r="K970" s="6" t="str">
        <f>IF(A970="","",SUMIFS(Chicks!$N:$N,Chicks!$G:$G,A970))</f>
        <v/>
      </c>
      <c r="L970" s="6" t="str">
        <f>IF(A970="","",SUMIFS(Chicks!$O:$O,Chicks!$G:$G,A970))</f>
        <v/>
      </c>
      <c r="M970" s="6" t="str">
        <f>IF(A970="","",SUMIFS(Chicks!$P:$P,Chicks!$G:$G,A970))</f>
        <v/>
      </c>
      <c r="N970" s="6" t="str">
        <f t="shared" si="4"/>
        <v/>
      </c>
    </row>
    <row r="971" spans="6:14" ht="14.25" customHeight="1" x14ac:dyDescent="0.3">
      <c r="F971" s="6" t="str">
        <f>IF(A971="","",COUNTIF(Chicks!$G:$G,A971))</f>
        <v/>
      </c>
      <c r="G971" s="6" t="str">
        <f>IF(A971="","",COUNTIFS(Chicks!$G:$G,A971,Chicks!$I:$I,"Yes"))</f>
        <v/>
      </c>
      <c r="H971" s="6" t="str">
        <f>IF(A971="","",SUMIFS(Chicks!$J:$J,Chicks!$G:$G,A971))</f>
        <v/>
      </c>
      <c r="I971" s="6" t="str">
        <f>IF(A971="","",COUNTIFS(Chicks!$G:$G,A971,Chicks!$I:$I,"No"))</f>
        <v/>
      </c>
      <c r="J971" s="6" t="str">
        <f>IF(A971="","",IFERROR(AVERAGEIF(Chicks!$G:$G,A971,Chicks!$M:$M),""))</f>
        <v/>
      </c>
      <c r="K971" s="6" t="str">
        <f>IF(A971="","",SUMIFS(Chicks!$N:$N,Chicks!$G:$G,A971))</f>
        <v/>
      </c>
      <c r="L971" s="6" t="str">
        <f>IF(A971="","",SUMIFS(Chicks!$O:$O,Chicks!$G:$G,A971))</f>
        <v/>
      </c>
      <c r="M971" s="6" t="str">
        <f>IF(A971="","",SUMIFS(Chicks!$P:$P,Chicks!$G:$G,A971))</f>
        <v/>
      </c>
      <c r="N971" s="6" t="str">
        <f t="shared" si="4"/>
        <v/>
      </c>
    </row>
    <row r="972" spans="6:14" ht="14.25" customHeight="1" x14ac:dyDescent="0.3">
      <c r="F972" s="6" t="str">
        <f>IF(A972="","",COUNTIF(Chicks!$G:$G,A972))</f>
        <v/>
      </c>
      <c r="G972" s="6" t="str">
        <f>IF(A972="","",COUNTIFS(Chicks!$G:$G,A972,Chicks!$I:$I,"Yes"))</f>
        <v/>
      </c>
      <c r="H972" s="6" t="str">
        <f>IF(A972="","",SUMIFS(Chicks!$J:$J,Chicks!$G:$G,A972))</f>
        <v/>
      </c>
      <c r="I972" s="6" t="str">
        <f>IF(A972="","",COUNTIFS(Chicks!$G:$G,A972,Chicks!$I:$I,"No"))</f>
        <v/>
      </c>
      <c r="J972" s="6" t="str">
        <f>IF(A972="","",IFERROR(AVERAGEIF(Chicks!$G:$G,A972,Chicks!$M:$M),""))</f>
        <v/>
      </c>
      <c r="K972" s="6" t="str">
        <f>IF(A972="","",SUMIFS(Chicks!$N:$N,Chicks!$G:$G,A972))</f>
        <v/>
      </c>
      <c r="L972" s="6" t="str">
        <f>IF(A972="","",SUMIFS(Chicks!$O:$O,Chicks!$G:$G,A972))</f>
        <v/>
      </c>
      <c r="M972" s="6" t="str">
        <f>IF(A972="","",SUMIFS(Chicks!$P:$P,Chicks!$G:$G,A972))</f>
        <v/>
      </c>
      <c r="N972" s="6" t="str">
        <f t="shared" si="4"/>
        <v/>
      </c>
    </row>
    <row r="973" spans="6:14" ht="14.25" customHeight="1" x14ac:dyDescent="0.3">
      <c r="F973" s="6" t="str">
        <f>IF(A973="","",COUNTIF(Chicks!$G:$G,A973))</f>
        <v/>
      </c>
      <c r="G973" s="6" t="str">
        <f>IF(A973="","",COUNTIFS(Chicks!$G:$G,A973,Chicks!$I:$I,"Yes"))</f>
        <v/>
      </c>
      <c r="H973" s="6" t="str">
        <f>IF(A973="","",SUMIFS(Chicks!$J:$J,Chicks!$G:$G,A973))</f>
        <v/>
      </c>
      <c r="I973" s="6" t="str">
        <f>IF(A973="","",COUNTIFS(Chicks!$G:$G,A973,Chicks!$I:$I,"No"))</f>
        <v/>
      </c>
      <c r="J973" s="6" t="str">
        <f>IF(A973="","",IFERROR(AVERAGEIF(Chicks!$G:$G,A973,Chicks!$M:$M),""))</f>
        <v/>
      </c>
      <c r="K973" s="6" t="str">
        <f>IF(A973="","",SUMIFS(Chicks!$N:$N,Chicks!$G:$G,A973))</f>
        <v/>
      </c>
      <c r="L973" s="6" t="str">
        <f>IF(A973="","",SUMIFS(Chicks!$O:$O,Chicks!$G:$G,A973))</f>
        <v/>
      </c>
      <c r="M973" s="6" t="str">
        <f>IF(A973="","",SUMIFS(Chicks!$P:$P,Chicks!$G:$G,A973))</f>
        <v/>
      </c>
      <c r="N973" s="6" t="str">
        <f t="shared" si="4"/>
        <v/>
      </c>
    </row>
    <row r="974" spans="6:14" ht="14.25" customHeight="1" x14ac:dyDescent="0.3">
      <c r="F974" s="6" t="str">
        <f>IF(A974="","",COUNTIF(Chicks!$G:$G,A974))</f>
        <v/>
      </c>
      <c r="G974" s="6" t="str">
        <f>IF(A974="","",COUNTIFS(Chicks!$G:$G,A974,Chicks!$I:$I,"Yes"))</f>
        <v/>
      </c>
      <c r="H974" s="6" t="str">
        <f>IF(A974="","",SUMIFS(Chicks!$J:$J,Chicks!$G:$G,A974))</f>
        <v/>
      </c>
      <c r="I974" s="6" t="str">
        <f>IF(A974="","",COUNTIFS(Chicks!$G:$G,A974,Chicks!$I:$I,"No"))</f>
        <v/>
      </c>
      <c r="J974" s="6" t="str">
        <f>IF(A974="","",IFERROR(AVERAGEIF(Chicks!$G:$G,A974,Chicks!$M:$M),""))</f>
        <v/>
      </c>
      <c r="K974" s="6" t="str">
        <f>IF(A974="","",SUMIFS(Chicks!$N:$N,Chicks!$G:$G,A974))</f>
        <v/>
      </c>
      <c r="L974" s="6" t="str">
        <f>IF(A974="","",SUMIFS(Chicks!$O:$O,Chicks!$G:$G,A974))</f>
        <v/>
      </c>
      <c r="M974" s="6" t="str">
        <f>IF(A974="","",SUMIFS(Chicks!$P:$P,Chicks!$G:$G,A974))</f>
        <v/>
      </c>
      <c r="N974" s="6" t="str">
        <f t="shared" si="4"/>
        <v/>
      </c>
    </row>
    <row r="975" spans="6:14" ht="14.25" customHeight="1" x14ac:dyDescent="0.3">
      <c r="F975" s="6" t="str">
        <f>IF(A975="","",COUNTIF(Chicks!$G:$G,A975))</f>
        <v/>
      </c>
      <c r="G975" s="6" t="str">
        <f>IF(A975="","",COUNTIFS(Chicks!$G:$G,A975,Chicks!$I:$I,"Yes"))</f>
        <v/>
      </c>
      <c r="H975" s="6" t="str">
        <f>IF(A975="","",SUMIFS(Chicks!$J:$J,Chicks!$G:$G,A975))</f>
        <v/>
      </c>
      <c r="I975" s="6" t="str">
        <f>IF(A975="","",COUNTIFS(Chicks!$G:$G,A975,Chicks!$I:$I,"No"))</f>
        <v/>
      </c>
      <c r="J975" s="6" t="str">
        <f>IF(A975="","",IFERROR(AVERAGEIF(Chicks!$G:$G,A975,Chicks!$M:$M),""))</f>
        <v/>
      </c>
      <c r="K975" s="6" t="str">
        <f>IF(A975="","",SUMIFS(Chicks!$N:$N,Chicks!$G:$G,A975))</f>
        <v/>
      </c>
      <c r="L975" s="6" t="str">
        <f>IF(A975="","",SUMIFS(Chicks!$O:$O,Chicks!$G:$G,A975))</f>
        <v/>
      </c>
      <c r="M975" s="6" t="str">
        <f>IF(A975="","",SUMIFS(Chicks!$P:$P,Chicks!$G:$G,A975))</f>
        <v/>
      </c>
      <c r="N975" s="6" t="str">
        <f t="shared" si="4"/>
        <v/>
      </c>
    </row>
    <row r="976" spans="6:14" ht="14.25" customHeight="1" x14ac:dyDescent="0.3">
      <c r="F976" s="6" t="str">
        <f>IF(A976="","",COUNTIF(Chicks!$G:$G,A976))</f>
        <v/>
      </c>
      <c r="G976" s="6" t="str">
        <f>IF(A976="","",COUNTIFS(Chicks!$G:$G,A976,Chicks!$I:$I,"Yes"))</f>
        <v/>
      </c>
      <c r="H976" s="6" t="str">
        <f>IF(A976="","",SUMIFS(Chicks!$J:$J,Chicks!$G:$G,A976))</f>
        <v/>
      </c>
      <c r="I976" s="6" t="str">
        <f>IF(A976="","",COUNTIFS(Chicks!$G:$G,A976,Chicks!$I:$I,"No"))</f>
        <v/>
      </c>
      <c r="J976" s="6" t="str">
        <f>IF(A976="","",IFERROR(AVERAGEIF(Chicks!$G:$G,A976,Chicks!$M:$M),""))</f>
        <v/>
      </c>
      <c r="K976" s="6" t="str">
        <f>IF(A976="","",SUMIFS(Chicks!$N:$N,Chicks!$G:$G,A976))</f>
        <v/>
      </c>
      <c r="L976" s="6" t="str">
        <f>IF(A976="","",SUMIFS(Chicks!$O:$O,Chicks!$G:$G,A976))</f>
        <v/>
      </c>
      <c r="M976" s="6" t="str">
        <f>IF(A976="","",SUMIFS(Chicks!$P:$P,Chicks!$G:$G,A976))</f>
        <v/>
      </c>
      <c r="N976" s="6" t="str">
        <f t="shared" si="4"/>
        <v/>
      </c>
    </row>
    <row r="977" spans="6:14" ht="14.25" customHeight="1" x14ac:dyDescent="0.3">
      <c r="F977" s="6" t="str">
        <f>IF(A977="","",COUNTIF(Chicks!$G:$G,A977))</f>
        <v/>
      </c>
      <c r="G977" s="6" t="str">
        <f>IF(A977="","",COUNTIFS(Chicks!$G:$G,A977,Chicks!$I:$I,"Yes"))</f>
        <v/>
      </c>
      <c r="H977" s="6" t="str">
        <f>IF(A977="","",SUMIFS(Chicks!$J:$J,Chicks!$G:$G,A977))</f>
        <v/>
      </c>
      <c r="I977" s="6" t="str">
        <f>IF(A977="","",COUNTIFS(Chicks!$G:$G,A977,Chicks!$I:$I,"No"))</f>
        <v/>
      </c>
      <c r="J977" s="6" t="str">
        <f>IF(A977="","",IFERROR(AVERAGEIF(Chicks!$G:$G,A977,Chicks!$M:$M),""))</f>
        <v/>
      </c>
      <c r="K977" s="6" t="str">
        <f>IF(A977="","",SUMIFS(Chicks!$N:$N,Chicks!$G:$G,A977))</f>
        <v/>
      </c>
      <c r="L977" s="6" t="str">
        <f>IF(A977="","",SUMIFS(Chicks!$O:$O,Chicks!$G:$G,A977))</f>
        <v/>
      </c>
      <c r="M977" s="6" t="str">
        <f>IF(A977="","",SUMIFS(Chicks!$P:$P,Chicks!$G:$G,A977))</f>
        <v/>
      </c>
      <c r="N977" s="6" t="str">
        <f t="shared" si="4"/>
        <v/>
      </c>
    </row>
    <row r="978" spans="6:14" ht="14.25" customHeight="1" x14ac:dyDescent="0.3">
      <c r="F978" s="6" t="str">
        <f>IF(A978="","",COUNTIF(Chicks!$G:$G,A978))</f>
        <v/>
      </c>
      <c r="G978" s="6" t="str">
        <f>IF(A978="","",COUNTIFS(Chicks!$G:$G,A978,Chicks!$I:$I,"Yes"))</f>
        <v/>
      </c>
      <c r="H978" s="6" t="str">
        <f>IF(A978="","",SUMIFS(Chicks!$J:$J,Chicks!$G:$G,A978))</f>
        <v/>
      </c>
      <c r="I978" s="6" t="str">
        <f>IF(A978="","",COUNTIFS(Chicks!$G:$G,A978,Chicks!$I:$I,"No"))</f>
        <v/>
      </c>
      <c r="J978" s="6" t="str">
        <f>IF(A978="","",IFERROR(AVERAGEIF(Chicks!$G:$G,A978,Chicks!$M:$M),""))</f>
        <v/>
      </c>
      <c r="K978" s="6" t="str">
        <f>IF(A978="","",SUMIFS(Chicks!$N:$N,Chicks!$G:$G,A978))</f>
        <v/>
      </c>
      <c r="L978" s="6" t="str">
        <f>IF(A978="","",SUMIFS(Chicks!$O:$O,Chicks!$G:$G,A978))</f>
        <v/>
      </c>
      <c r="M978" s="6" t="str">
        <f>IF(A978="","",SUMIFS(Chicks!$P:$P,Chicks!$G:$G,A978))</f>
        <v/>
      </c>
      <c r="N978" s="6" t="str">
        <f t="shared" si="4"/>
        <v/>
      </c>
    </row>
    <row r="979" spans="6:14" ht="14.25" customHeight="1" x14ac:dyDescent="0.3">
      <c r="F979" s="6" t="str">
        <f>IF(A979="","",COUNTIF(Chicks!$G:$G,A979))</f>
        <v/>
      </c>
      <c r="G979" s="6" t="str">
        <f>IF(A979="","",COUNTIFS(Chicks!$G:$G,A979,Chicks!$I:$I,"Yes"))</f>
        <v/>
      </c>
      <c r="H979" s="6" t="str">
        <f>IF(A979="","",SUMIFS(Chicks!$J:$J,Chicks!$G:$G,A979))</f>
        <v/>
      </c>
      <c r="I979" s="6" t="str">
        <f>IF(A979="","",COUNTIFS(Chicks!$G:$G,A979,Chicks!$I:$I,"No"))</f>
        <v/>
      </c>
      <c r="J979" s="6" t="str">
        <f>IF(A979="","",IFERROR(AVERAGEIF(Chicks!$G:$G,A979,Chicks!$M:$M),""))</f>
        <v/>
      </c>
      <c r="K979" s="6" t="str">
        <f>IF(A979="","",SUMIFS(Chicks!$N:$N,Chicks!$G:$G,A979))</f>
        <v/>
      </c>
      <c r="L979" s="6" t="str">
        <f>IF(A979="","",SUMIFS(Chicks!$O:$O,Chicks!$G:$G,A979))</f>
        <v/>
      </c>
      <c r="M979" s="6" t="str">
        <f>IF(A979="","",SUMIFS(Chicks!$P:$P,Chicks!$G:$G,A979))</f>
        <v/>
      </c>
      <c r="N979" s="6" t="str">
        <f t="shared" si="4"/>
        <v/>
      </c>
    </row>
    <row r="980" spans="6:14" ht="14.25" customHeight="1" x14ac:dyDescent="0.3">
      <c r="F980" s="6" t="str">
        <f>IF(A980="","",COUNTIF(Chicks!$G:$G,A980))</f>
        <v/>
      </c>
      <c r="G980" s="6" t="str">
        <f>IF(A980="","",COUNTIFS(Chicks!$G:$G,A980,Chicks!$I:$I,"Yes"))</f>
        <v/>
      </c>
      <c r="H980" s="6" t="str">
        <f>IF(A980="","",SUMIFS(Chicks!$J:$J,Chicks!$G:$G,A980))</f>
        <v/>
      </c>
      <c r="I980" s="6" t="str">
        <f>IF(A980="","",COUNTIFS(Chicks!$G:$G,A980,Chicks!$I:$I,"No"))</f>
        <v/>
      </c>
      <c r="J980" s="6" t="str">
        <f>IF(A980="","",IFERROR(AVERAGEIF(Chicks!$G:$G,A980,Chicks!$M:$M),""))</f>
        <v/>
      </c>
      <c r="K980" s="6" t="str">
        <f>IF(A980="","",SUMIFS(Chicks!$N:$N,Chicks!$G:$G,A980))</f>
        <v/>
      </c>
      <c r="L980" s="6" t="str">
        <f>IF(A980="","",SUMIFS(Chicks!$O:$O,Chicks!$G:$G,A980))</f>
        <v/>
      </c>
      <c r="M980" s="6" t="str">
        <f>IF(A980="","",SUMIFS(Chicks!$P:$P,Chicks!$G:$G,A980))</f>
        <v/>
      </c>
      <c r="N980" s="6" t="str">
        <f t="shared" si="4"/>
        <v/>
      </c>
    </row>
    <row r="981" spans="6:14" ht="14.25" customHeight="1" x14ac:dyDescent="0.3">
      <c r="F981" s="6" t="str">
        <f>IF(A981="","",COUNTIF(Chicks!$G:$G,A981))</f>
        <v/>
      </c>
      <c r="G981" s="6" t="str">
        <f>IF(A981="","",COUNTIFS(Chicks!$G:$G,A981,Chicks!$I:$I,"Yes"))</f>
        <v/>
      </c>
      <c r="H981" s="6" t="str">
        <f>IF(A981="","",SUMIFS(Chicks!$J:$J,Chicks!$G:$G,A981))</f>
        <v/>
      </c>
      <c r="I981" s="6" t="str">
        <f>IF(A981="","",COUNTIFS(Chicks!$G:$G,A981,Chicks!$I:$I,"No"))</f>
        <v/>
      </c>
      <c r="J981" s="6" t="str">
        <f>IF(A981="","",IFERROR(AVERAGEIF(Chicks!$G:$G,A981,Chicks!$M:$M),""))</f>
        <v/>
      </c>
      <c r="K981" s="6" t="str">
        <f>IF(A981="","",SUMIFS(Chicks!$N:$N,Chicks!$G:$G,A981))</f>
        <v/>
      </c>
      <c r="L981" s="6" t="str">
        <f>IF(A981="","",SUMIFS(Chicks!$O:$O,Chicks!$G:$G,A981))</f>
        <v/>
      </c>
      <c r="M981" s="6" t="str">
        <f>IF(A981="","",SUMIFS(Chicks!$P:$P,Chicks!$G:$G,A981))</f>
        <v/>
      </c>
      <c r="N981" s="6" t="str">
        <f t="shared" si="4"/>
        <v/>
      </c>
    </row>
    <row r="982" spans="6:14" ht="14.25" customHeight="1" x14ac:dyDescent="0.3">
      <c r="F982" s="6" t="str">
        <f>IF(A982="","",COUNTIF(Chicks!$G:$G,A982))</f>
        <v/>
      </c>
      <c r="G982" s="6" t="str">
        <f>IF(A982="","",COUNTIFS(Chicks!$G:$G,A982,Chicks!$I:$I,"Yes"))</f>
        <v/>
      </c>
      <c r="H982" s="6" t="str">
        <f>IF(A982="","",SUMIFS(Chicks!$J:$J,Chicks!$G:$G,A982))</f>
        <v/>
      </c>
      <c r="I982" s="6" t="str">
        <f>IF(A982="","",COUNTIFS(Chicks!$G:$G,A982,Chicks!$I:$I,"No"))</f>
        <v/>
      </c>
      <c r="J982" s="6" t="str">
        <f>IF(A982="","",IFERROR(AVERAGEIF(Chicks!$G:$G,A982,Chicks!$M:$M),""))</f>
        <v/>
      </c>
      <c r="K982" s="6" t="str">
        <f>IF(A982="","",SUMIFS(Chicks!$N:$N,Chicks!$G:$G,A982))</f>
        <v/>
      </c>
      <c r="L982" s="6" t="str">
        <f>IF(A982="","",SUMIFS(Chicks!$O:$O,Chicks!$G:$G,A982))</f>
        <v/>
      </c>
      <c r="M982" s="6" t="str">
        <f>IF(A982="","",SUMIFS(Chicks!$P:$P,Chicks!$G:$G,A982))</f>
        <v/>
      </c>
      <c r="N982" s="6" t="str">
        <f t="shared" si="4"/>
        <v/>
      </c>
    </row>
    <row r="983" spans="6:14" ht="14.25" customHeight="1" x14ac:dyDescent="0.3">
      <c r="F983" s="6" t="str">
        <f>IF(A983="","",COUNTIF(Chicks!$G:$G,A983))</f>
        <v/>
      </c>
      <c r="G983" s="6" t="str">
        <f>IF(A983="","",COUNTIFS(Chicks!$G:$G,A983,Chicks!$I:$I,"Yes"))</f>
        <v/>
      </c>
      <c r="H983" s="6" t="str">
        <f>IF(A983="","",SUMIFS(Chicks!$J:$J,Chicks!$G:$G,A983))</f>
        <v/>
      </c>
      <c r="I983" s="6" t="str">
        <f>IF(A983="","",COUNTIFS(Chicks!$G:$G,A983,Chicks!$I:$I,"No"))</f>
        <v/>
      </c>
      <c r="J983" s="6" t="str">
        <f>IF(A983="","",IFERROR(AVERAGEIF(Chicks!$G:$G,A983,Chicks!$M:$M),""))</f>
        <v/>
      </c>
      <c r="K983" s="6" t="str">
        <f>IF(A983="","",SUMIFS(Chicks!$N:$N,Chicks!$G:$G,A983))</f>
        <v/>
      </c>
      <c r="L983" s="6" t="str">
        <f>IF(A983="","",SUMIFS(Chicks!$O:$O,Chicks!$G:$G,A983))</f>
        <v/>
      </c>
      <c r="M983" s="6" t="str">
        <f>IF(A983="","",SUMIFS(Chicks!$P:$P,Chicks!$G:$G,A983))</f>
        <v/>
      </c>
      <c r="N983" s="6" t="str">
        <f t="shared" si="4"/>
        <v/>
      </c>
    </row>
    <row r="984" spans="6:14" ht="14.25" customHeight="1" x14ac:dyDescent="0.3">
      <c r="F984" s="6" t="str">
        <f>IF(A984="","",COUNTIF(Chicks!$G:$G,A984))</f>
        <v/>
      </c>
      <c r="G984" s="6" t="str">
        <f>IF(A984="","",COUNTIFS(Chicks!$G:$G,A984,Chicks!$I:$I,"Yes"))</f>
        <v/>
      </c>
      <c r="H984" s="6" t="str">
        <f>IF(A984="","",SUMIFS(Chicks!$J:$J,Chicks!$G:$G,A984))</f>
        <v/>
      </c>
      <c r="I984" s="6" t="str">
        <f>IF(A984="","",COUNTIFS(Chicks!$G:$G,A984,Chicks!$I:$I,"No"))</f>
        <v/>
      </c>
      <c r="J984" s="6" t="str">
        <f>IF(A984="","",IFERROR(AVERAGEIF(Chicks!$G:$G,A984,Chicks!$M:$M),""))</f>
        <v/>
      </c>
      <c r="K984" s="6" t="str">
        <f>IF(A984="","",SUMIFS(Chicks!$N:$N,Chicks!$G:$G,A984))</f>
        <v/>
      </c>
      <c r="L984" s="6" t="str">
        <f>IF(A984="","",SUMIFS(Chicks!$O:$O,Chicks!$G:$G,A984))</f>
        <v/>
      </c>
      <c r="M984" s="6" t="str">
        <f>IF(A984="","",SUMIFS(Chicks!$P:$P,Chicks!$G:$G,A984))</f>
        <v/>
      </c>
      <c r="N984" s="6" t="str">
        <f t="shared" si="4"/>
        <v/>
      </c>
    </row>
    <row r="985" spans="6:14" ht="14.25" customHeight="1" x14ac:dyDescent="0.3">
      <c r="F985" s="6" t="str">
        <f>IF(A985="","",COUNTIF(Chicks!$G:$G,A985))</f>
        <v/>
      </c>
      <c r="G985" s="6" t="str">
        <f>IF(A985="","",COUNTIFS(Chicks!$G:$G,A985,Chicks!$I:$I,"Yes"))</f>
        <v/>
      </c>
      <c r="H985" s="6" t="str">
        <f>IF(A985="","",SUMIFS(Chicks!$J:$J,Chicks!$G:$G,A985))</f>
        <v/>
      </c>
      <c r="I985" s="6" t="str">
        <f>IF(A985="","",COUNTIFS(Chicks!$G:$G,A985,Chicks!$I:$I,"No"))</f>
        <v/>
      </c>
      <c r="J985" s="6" t="str">
        <f>IF(A985="","",IFERROR(AVERAGEIF(Chicks!$G:$G,A985,Chicks!$M:$M),""))</f>
        <v/>
      </c>
      <c r="K985" s="6" t="str">
        <f>IF(A985="","",SUMIFS(Chicks!$N:$N,Chicks!$G:$G,A985))</f>
        <v/>
      </c>
      <c r="L985" s="6" t="str">
        <f>IF(A985="","",SUMIFS(Chicks!$O:$O,Chicks!$G:$G,A985))</f>
        <v/>
      </c>
      <c r="M985" s="6" t="str">
        <f>IF(A985="","",SUMIFS(Chicks!$P:$P,Chicks!$G:$G,A985))</f>
        <v/>
      </c>
      <c r="N985" s="6" t="str">
        <f t="shared" si="4"/>
        <v/>
      </c>
    </row>
    <row r="986" spans="6:14" ht="14.25" customHeight="1" x14ac:dyDescent="0.3">
      <c r="F986" s="6" t="str">
        <f>IF(A986="","",COUNTIF(Chicks!$G:$G,A986))</f>
        <v/>
      </c>
      <c r="G986" s="6" t="str">
        <f>IF(A986="","",COUNTIFS(Chicks!$G:$G,A986,Chicks!$I:$I,"Yes"))</f>
        <v/>
      </c>
      <c r="H986" s="6" t="str">
        <f>IF(A986="","",SUMIFS(Chicks!$J:$J,Chicks!$G:$G,A986))</f>
        <v/>
      </c>
      <c r="I986" s="6" t="str">
        <f>IF(A986="","",COUNTIFS(Chicks!$G:$G,A986,Chicks!$I:$I,"No"))</f>
        <v/>
      </c>
      <c r="J986" s="6" t="str">
        <f>IF(A986="","",IFERROR(AVERAGEIF(Chicks!$G:$G,A986,Chicks!$M:$M),""))</f>
        <v/>
      </c>
      <c r="K986" s="6" t="str">
        <f>IF(A986="","",SUMIFS(Chicks!$N:$N,Chicks!$G:$G,A986))</f>
        <v/>
      </c>
      <c r="L986" s="6" t="str">
        <f>IF(A986="","",SUMIFS(Chicks!$O:$O,Chicks!$G:$G,A986))</f>
        <v/>
      </c>
      <c r="M986" s="6" t="str">
        <f>IF(A986="","",SUMIFS(Chicks!$P:$P,Chicks!$G:$G,A986))</f>
        <v/>
      </c>
      <c r="N986" s="6" t="str">
        <f t="shared" si="4"/>
        <v/>
      </c>
    </row>
    <row r="987" spans="6:14" ht="14.25" customHeight="1" x14ac:dyDescent="0.3">
      <c r="F987" s="6" t="str">
        <f>IF(A987="","",COUNTIF(Chicks!$G:$G,A987))</f>
        <v/>
      </c>
      <c r="G987" s="6" t="str">
        <f>IF(A987="","",COUNTIFS(Chicks!$G:$G,A987,Chicks!$I:$I,"Yes"))</f>
        <v/>
      </c>
      <c r="H987" s="6" t="str">
        <f>IF(A987="","",SUMIFS(Chicks!$J:$J,Chicks!$G:$G,A987))</f>
        <v/>
      </c>
      <c r="I987" s="6" t="str">
        <f>IF(A987="","",COUNTIFS(Chicks!$G:$G,A987,Chicks!$I:$I,"No"))</f>
        <v/>
      </c>
      <c r="J987" s="6" t="str">
        <f>IF(A987="","",IFERROR(AVERAGEIF(Chicks!$G:$G,A987,Chicks!$M:$M),""))</f>
        <v/>
      </c>
      <c r="K987" s="6" t="str">
        <f>IF(A987="","",SUMIFS(Chicks!$N:$N,Chicks!$G:$G,A987))</f>
        <v/>
      </c>
      <c r="L987" s="6" t="str">
        <f>IF(A987="","",SUMIFS(Chicks!$O:$O,Chicks!$G:$G,A987))</f>
        <v/>
      </c>
      <c r="M987" s="6" t="str">
        <f>IF(A987="","",SUMIFS(Chicks!$P:$P,Chicks!$G:$G,A987))</f>
        <v/>
      </c>
      <c r="N987" s="6" t="str">
        <f t="shared" si="4"/>
        <v/>
      </c>
    </row>
    <row r="988" spans="6:14" ht="14.25" customHeight="1" x14ac:dyDescent="0.3">
      <c r="F988" s="6" t="str">
        <f>IF(A988="","",COUNTIF(Chicks!$G:$G,A988))</f>
        <v/>
      </c>
      <c r="G988" s="6" t="str">
        <f>IF(A988="","",COUNTIFS(Chicks!$G:$G,A988,Chicks!$I:$I,"Yes"))</f>
        <v/>
      </c>
      <c r="H988" s="6" t="str">
        <f>IF(A988="","",SUMIFS(Chicks!$J:$J,Chicks!$G:$G,A988))</f>
        <v/>
      </c>
      <c r="I988" s="6" t="str">
        <f>IF(A988="","",COUNTIFS(Chicks!$G:$G,A988,Chicks!$I:$I,"No"))</f>
        <v/>
      </c>
      <c r="J988" s="6" t="str">
        <f>IF(A988="","",IFERROR(AVERAGEIF(Chicks!$G:$G,A988,Chicks!$M:$M),""))</f>
        <v/>
      </c>
      <c r="K988" s="6" t="str">
        <f>IF(A988="","",SUMIFS(Chicks!$N:$N,Chicks!$G:$G,A988))</f>
        <v/>
      </c>
      <c r="L988" s="6" t="str">
        <f>IF(A988="","",SUMIFS(Chicks!$O:$O,Chicks!$G:$G,A988))</f>
        <v/>
      </c>
      <c r="M988" s="6" t="str">
        <f>IF(A988="","",SUMIFS(Chicks!$P:$P,Chicks!$G:$G,A988))</f>
        <v/>
      </c>
      <c r="N988" s="6" t="str">
        <f t="shared" si="4"/>
        <v/>
      </c>
    </row>
    <row r="989" spans="6:14" ht="14.25" customHeight="1" x14ac:dyDescent="0.3">
      <c r="F989" s="6" t="str">
        <f>IF(A989="","",COUNTIF(Chicks!$G:$G,A989))</f>
        <v/>
      </c>
      <c r="G989" s="6" t="str">
        <f>IF(A989="","",COUNTIFS(Chicks!$G:$G,A989,Chicks!$I:$I,"Yes"))</f>
        <v/>
      </c>
      <c r="H989" s="6" t="str">
        <f>IF(A989="","",SUMIFS(Chicks!$J:$J,Chicks!$G:$G,A989))</f>
        <v/>
      </c>
      <c r="I989" s="6" t="str">
        <f>IF(A989="","",COUNTIFS(Chicks!$G:$G,A989,Chicks!$I:$I,"No"))</f>
        <v/>
      </c>
      <c r="J989" s="6" t="str">
        <f>IF(A989="","",IFERROR(AVERAGEIF(Chicks!$G:$G,A989,Chicks!$M:$M),""))</f>
        <v/>
      </c>
      <c r="K989" s="6" t="str">
        <f>IF(A989="","",SUMIFS(Chicks!$N:$N,Chicks!$G:$G,A989))</f>
        <v/>
      </c>
      <c r="L989" s="6" t="str">
        <f>IF(A989="","",SUMIFS(Chicks!$O:$O,Chicks!$G:$G,A989))</f>
        <v/>
      </c>
      <c r="M989" s="6" t="str">
        <f>IF(A989="","",SUMIFS(Chicks!$P:$P,Chicks!$G:$G,A989))</f>
        <v/>
      </c>
      <c r="N989" s="6" t="str">
        <f t="shared" si="4"/>
        <v/>
      </c>
    </row>
    <row r="990" spans="6:14" ht="14.25" customHeight="1" x14ac:dyDescent="0.3">
      <c r="F990" s="6" t="str">
        <f>IF(A990="","",COUNTIF(Chicks!$G:$G,A990))</f>
        <v/>
      </c>
      <c r="G990" s="6" t="str">
        <f>IF(A990="","",COUNTIFS(Chicks!$G:$G,A990,Chicks!$I:$I,"Yes"))</f>
        <v/>
      </c>
      <c r="H990" s="6" t="str">
        <f>IF(A990="","",SUMIFS(Chicks!$J:$J,Chicks!$G:$G,A990))</f>
        <v/>
      </c>
      <c r="I990" s="6" t="str">
        <f>IF(A990="","",COUNTIFS(Chicks!$G:$G,A990,Chicks!$I:$I,"No"))</f>
        <v/>
      </c>
      <c r="J990" s="6" t="str">
        <f>IF(A990="","",IFERROR(AVERAGEIF(Chicks!$G:$G,A990,Chicks!$M:$M),""))</f>
        <v/>
      </c>
      <c r="K990" s="6" t="str">
        <f>IF(A990="","",SUMIFS(Chicks!$N:$N,Chicks!$G:$G,A990))</f>
        <v/>
      </c>
      <c r="L990" s="6" t="str">
        <f>IF(A990="","",SUMIFS(Chicks!$O:$O,Chicks!$G:$G,A990))</f>
        <v/>
      </c>
      <c r="M990" s="6" t="str">
        <f>IF(A990="","",SUMIFS(Chicks!$P:$P,Chicks!$G:$G,A990))</f>
        <v/>
      </c>
      <c r="N990" s="6" t="str">
        <f t="shared" si="4"/>
        <v/>
      </c>
    </row>
    <row r="991" spans="6:14" ht="14.25" customHeight="1" x14ac:dyDescent="0.3">
      <c r="F991" s="6" t="str">
        <f>IF(A991="","",COUNTIF(Chicks!$G:$G,A991))</f>
        <v/>
      </c>
      <c r="G991" s="6" t="str">
        <f>IF(A991="","",COUNTIFS(Chicks!$G:$G,A991,Chicks!$I:$I,"Yes"))</f>
        <v/>
      </c>
      <c r="H991" s="6" t="str">
        <f>IF(A991="","",SUMIFS(Chicks!$J:$J,Chicks!$G:$G,A991))</f>
        <v/>
      </c>
      <c r="I991" s="6" t="str">
        <f>IF(A991="","",COUNTIFS(Chicks!$G:$G,A991,Chicks!$I:$I,"No"))</f>
        <v/>
      </c>
      <c r="J991" s="6" t="str">
        <f>IF(A991="","",IFERROR(AVERAGEIF(Chicks!$G:$G,A991,Chicks!$M:$M),""))</f>
        <v/>
      </c>
      <c r="K991" s="6" t="str">
        <f>IF(A991="","",SUMIFS(Chicks!$N:$N,Chicks!$G:$G,A991))</f>
        <v/>
      </c>
      <c r="L991" s="6" t="str">
        <f>IF(A991="","",SUMIFS(Chicks!$O:$O,Chicks!$G:$G,A991))</f>
        <v/>
      </c>
      <c r="M991" s="6" t="str">
        <f>IF(A991="","",SUMIFS(Chicks!$P:$P,Chicks!$G:$G,A991))</f>
        <v/>
      </c>
      <c r="N991" s="6" t="str">
        <f t="shared" si="4"/>
        <v/>
      </c>
    </row>
    <row r="992" spans="6:14" ht="14.25" customHeight="1" x14ac:dyDescent="0.3">
      <c r="F992" s="6" t="str">
        <f>IF(A992="","",COUNTIF(Chicks!$G:$G,A992))</f>
        <v/>
      </c>
      <c r="G992" s="6" t="str">
        <f>IF(A992="","",COUNTIFS(Chicks!$G:$G,A992,Chicks!$I:$I,"Yes"))</f>
        <v/>
      </c>
      <c r="H992" s="6" t="str">
        <f>IF(A992="","",SUMIFS(Chicks!$J:$J,Chicks!$G:$G,A992))</f>
        <v/>
      </c>
      <c r="I992" s="6" t="str">
        <f>IF(A992="","",COUNTIFS(Chicks!$G:$G,A992,Chicks!$I:$I,"No"))</f>
        <v/>
      </c>
      <c r="J992" s="6" t="str">
        <f>IF(A992="","",IFERROR(AVERAGEIF(Chicks!$G:$G,A992,Chicks!$M:$M),""))</f>
        <v/>
      </c>
      <c r="K992" s="6" t="str">
        <f>IF(A992="","",SUMIFS(Chicks!$N:$N,Chicks!$G:$G,A992))</f>
        <v/>
      </c>
      <c r="L992" s="6" t="str">
        <f>IF(A992="","",SUMIFS(Chicks!$O:$O,Chicks!$G:$G,A992))</f>
        <v/>
      </c>
      <c r="M992" s="6" t="str">
        <f>IF(A992="","",SUMIFS(Chicks!$P:$P,Chicks!$G:$G,A992))</f>
        <v/>
      </c>
      <c r="N992" s="6" t="str">
        <f t="shared" si="4"/>
        <v/>
      </c>
    </row>
    <row r="993" spans="6:14" ht="14.25" customHeight="1" x14ac:dyDescent="0.3">
      <c r="F993" s="6" t="str">
        <f>IF(A993="","",COUNTIF(Chicks!$G:$G,A993))</f>
        <v/>
      </c>
      <c r="G993" s="6" t="str">
        <f>IF(A993="","",COUNTIFS(Chicks!$G:$G,A993,Chicks!$I:$I,"Yes"))</f>
        <v/>
      </c>
      <c r="H993" s="6" t="str">
        <f>IF(A993="","",SUMIFS(Chicks!$J:$J,Chicks!$G:$G,A993))</f>
        <v/>
      </c>
      <c r="I993" s="6" t="str">
        <f>IF(A993="","",COUNTIFS(Chicks!$G:$G,A993,Chicks!$I:$I,"No"))</f>
        <v/>
      </c>
      <c r="J993" s="6" t="str">
        <f>IF(A993="","",IFERROR(AVERAGEIF(Chicks!$G:$G,A993,Chicks!$M:$M),""))</f>
        <v/>
      </c>
      <c r="K993" s="6" t="str">
        <f>IF(A993="","",SUMIFS(Chicks!$N:$N,Chicks!$G:$G,A993))</f>
        <v/>
      </c>
      <c r="L993" s="6" t="str">
        <f>IF(A993="","",SUMIFS(Chicks!$O:$O,Chicks!$G:$G,A993))</f>
        <v/>
      </c>
      <c r="M993" s="6" t="str">
        <f>IF(A993="","",SUMIFS(Chicks!$P:$P,Chicks!$G:$G,A993))</f>
        <v/>
      </c>
      <c r="N993" s="6" t="str">
        <f t="shared" si="4"/>
        <v/>
      </c>
    </row>
    <row r="994" spans="6:14" ht="14.25" customHeight="1" x14ac:dyDescent="0.3">
      <c r="F994" s="6" t="str">
        <f>IF(A994="","",COUNTIF(Chicks!$G:$G,A994))</f>
        <v/>
      </c>
      <c r="G994" s="6" t="str">
        <f>IF(A994="","",COUNTIFS(Chicks!$G:$G,A994,Chicks!$I:$I,"Yes"))</f>
        <v/>
      </c>
      <c r="H994" s="6" t="str">
        <f>IF(A994="","",SUMIFS(Chicks!$J:$J,Chicks!$G:$G,A994))</f>
        <v/>
      </c>
      <c r="I994" s="6" t="str">
        <f>IF(A994="","",COUNTIFS(Chicks!$G:$G,A994,Chicks!$I:$I,"No"))</f>
        <v/>
      </c>
      <c r="J994" s="6" t="str">
        <f>IF(A994="","",IFERROR(AVERAGEIF(Chicks!$G:$G,A994,Chicks!$M:$M),""))</f>
        <v/>
      </c>
      <c r="K994" s="6" t="str">
        <f>IF(A994="","",SUMIFS(Chicks!$N:$N,Chicks!$G:$G,A994))</f>
        <v/>
      </c>
      <c r="L994" s="6" t="str">
        <f>IF(A994="","",SUMIFS(Chicks!$O:$O,Chicks!$G:$G,A994))</f>
        <v/>
      </c>
      <c r="M994" s="6" t="str">
        <f>IF(A994="","",SUMIFS(Chicks!$P:$P,Chicks!$G:$G,A994))</f>
        <v/>
      </c>
      <c r="N994" s="6" t="str">
        <f t="shared" si="4"/>
        <v/>
      </c>
    </row>
    <row r="995" spans="6:14" ht="14.25" customHeight="1" x14ac:dyDescent="0.3">
      <c r="F995" s="6" t="str">
        <f>IF(A995="","",COUNTIF(Chicks!$G:$G,A995))</f>
        <v/>
      </c>
      <c r="G995" s="6" t="str">
        <f>IF(A995="","",COUNTIFS(Chicks!$G:$G,A995,Chicks!$I:$I,"Yes"))</f>
        <v/>
      </c>
      <c r="H995" s="6" t="str">
        <f>IF(A995="","",SUMIFS(Chicks!$J:$J,Chicks!$G:$G,A995))</f>
        <v/>
      </c>
      <c r="I995" s="6" t="str">
        <f>IF(A995="","",COUNTIFS(Chicks!$G:$G,A995,Chicks!$I:$I,"No"))</f>
        <v/>
      </c>
      <c r="J995" s="6" t="str">
        <f>IF(A995="","",IFERROR(AVERAGEIF(Chicks!$G:$G,A995,Chicks!$M:$M),""))</f>
        <v/>
      </c>
      <c r="K995" s="6" t="str">
        <f>IF(A995="","",SUMIFS(Chicks!$N:$N,Chicks!$G:$G,A995))</f>
        <v/>
      </c>
      <c r="L995" s="6" t="str">
        <f>IF(A995="","",SUMIFS(Chicks!$O:$O,Chicks!$G:$G,A995))</f>
        <v/>
      </c>
      <c r="M995" s="6" t="str">
        <f>IF(A995="","",SUMIFS(Chicks!$P:$P,Chicks!$G:$G,A995))</f>
        <v/>
      </c>
      <c r="N995" s="6" t="str">
        <f t="shared" si="4"/>
        <v/>
      </c>
    </row>
    <row r="996" spans="6:14" ht="14.25" customHeight="1" x14ac:dyDescent="0.3">
      <c r="F996" s="6" t="str">
        <f>IF(A996="","",COUNTIF(Chicks!$G:$G,A996))</f>
        <v/>
      </c>
      <c r="G996" s="6" t="str">
        <f>IF(A996="","",COUNTIFS(Chicks!$G:$G,A996,Chicks!$I:$I,"Yes"))</f>
        <v/>
      </c>
      <c r="H996" s="6" t="str">
        <f>IF(A996="","",SUMIFS(Chicks!$J:$J,Chicks!$G:$G,A996))</f>
        <v/>
      </c>
      <c r="I996" s="6" t="str">
        <f>IF(A996="","",COUNTIFS(Chicks!$G:$G,A996,Chicks!$I:$I,"No"))</f>
        <v/>
      </c>
      <c r="J996" s="6" t="str">
        <f>IF(A996="","",IFERROR(AVERAGEIF(Chicks!$G:$G,A996,Chicks!$M:$M),""))</f>
        <v/>
      </c>
      <c r="K996" s="6" t="str">
        <f>IF(A996="","",SUMIFS(Chicks!$N:$N,Chicks!$G:$G,A996))</f>
        <v/>
      </c>
      <c r="L996" s="6" t="str">
        <f>IF(A996="","",SUMIFS(Chicks!$O:$O,Chicks!$G:$G,A996))</f>
        <v/>
      </c>
      <c r="M996" s="6" t="str">
        <f>IF(A996="","",SUMIFS(Chicks!$P:$P,Chicks!$G:$G,A996))</f>
        <v/>
      </c>
      <c r="N996" s="6" t="str">
        <f t="shared" si="4"/>
        <v/>
      </c>
    </row>
    <row r="997" spans="6:14" ht="14.25" customHeight="1" x14ac:dyDescent="0.3">
      <c r="F997" s="6" t="str">
        <f>IF(A997="","",COUNTIF(Chicks!$G:$G,A997))</f>
        <v/>
      </c>
      <c r="G997" s="6" t="str">
        <f>IF(A997="","",COUNTIFS(Chicks!$G:$G,A997,Chicks!$I:$I,"Yes"))</f>
        <v/>
      </c>
      <c r="H997" s="6" t="str">
        <f>IF(A997="","",SUMIFS(Chicks!$J:$J,Chicks!$G:$G,A997))</f>
        <v/>
      </c>
      <c r="I997" s="6" t="str">
        <f>IF(A997="","",COUNTIFS(Chicks!$G:$G,A997,Chicks!$I:$I,"No"))</f>
        <v/>
      </c>
      <c r="J997" s="6" t="str">
        <f>IF(A997="","",IFERROR(AVERAGEIF(Chicks!$G:$G,A997,Chicks!$M:$M),""))</f>
        <v/>
      </c>
      <c r="K997" s="6" t="str">
        <f>IF(A997="","",SUMIFS(Chicks!$N:$N,Chicks!$G:$G,A997))</f>
        <v/>
      </c>
      <c r="L997" s="6" t="str">
        <f>IF(A997="","",SUMIFS(Chicks!$O:$O,Chicks!$G:$G,A997))</f>
        <v/>
      </c>
      <c r="M997" s="6" t="str">
        <f>IF(A997="","",SUMIFS(Chicks!$P:$P,Chicks!$G:$G,A997))</f>
        <v/>
      </c>
      <c r="N997" s="6" t="str">
        <f t="shared" si="4"/>
        <v/>
      </c>
    </row>
    <row r="998" spans="6:14" ht="14.25" customHeight="1" x14ac:dyDescent="0.3">
      <c r="F998" s="6" t="str">
        <f>IF(A998="","",COUNTIF(Chicks!$G:$G,A998))</f>
        <v/>
      </c>
      <c r="G998" s="6" t="str">
        <f>IF(A998="","",COUNTIFS(Chicks!$G:$G,A998,Chicks!$I:$I,"Yes"))</f>
        <v/>
      </c>
      <c r="H998" s="6" t="str">
        <f>IF(A998="","",SUMIFS(Chicks!$J:$J,Chicks!$G:$G,A998))</f>
        <v/>
      </c>
      <c r="I998" s="6" t="str">
        <f>IF(A998="","",COUNTIFS(Chicks!$G:$G,A998,Chicks!$I:$I,"No"))</f>
        <v/>
      </c>
      <c r="J998" s="6" t="str">
        <f>IF(A998="","",IFERROR(AVERAGEIF(Chicks!$G:$G,A998,Chicks!$M:$M),""))</f>
        <v/>
      </c>
      <c r="K998" s="6" t="str">
        <f>IF(A998="","",SUMIFS(Chicks!$N:$N,Chicks!$G:$G,A998))</f>
        <v/>
      </c>
      <c r="L998" s="6" t="str">
        <f>IF(A998="","",SUMIFS(Chicks!$O:$O,Chicks!$G:$G,A998))</f>
        <v/>
      </c>
      <c r="M998" s="6" t="str">
        <f>IF(A998="","",SUMIFS(Chicks!$P:$P,Chicks!$G:$G,A998))</f>
        <v/>
      </c>
      <c r="N998" s="6" t="str">
        <f t="shared" si="4"/>
        <v/>
      </c>
    </row>
    <row r="999" spans="6:14" ht="14.25" customHeight="1" x14ac:dyDescent="0.3"/>
    <row r="1000" spans="6:14" ht="14.25" customHeight="1" x14ac:dyDescent="0.3"/>
  </sheetData>
  <autoFilter ref="A1:N998" xr:uid="{00000000-0009-0000-0000-000003000000}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0"/>
  <sheetViews>
    <sheetView workbookViewId="0"/>
  </sheetViews>
  <sheetFormatPr defaultColWidth="14.44140625" defaultRowHeight="15" customHeight="1" x14ac:dyDescent="0.3"/>
  <cols>
    <col min="1" max="2" width="12" customWidth="1"/>
    <col min="3" max="3" width="21.6640625" customWidth="1"/>
    <col min="4" max="4" width="17.6640625" customWidth="1"/>
    <col min="5" max="5" width="15.33203125" customWidth="1"/>
    <col min="6" max="6" width="16" customWidth="1"/>
    <col min="7" max="7" width="20" customWidth="1"/>
    <col min="8" max="8" width="16" customWidth="1"/>
    <col min="9" max="10" width="14" customWidth="1"/>
    <col min="11" max="11" width="15.88671875" customWidth="1"/>
    <col min="12" max="12" width="8.109375" customWidth="1"/>
    <col min="13" max="13" width="13.5546875" customWidth="1"/>
    <col min="14" max="14" width="12.33203125" customWidth="1"/>
    <col min="15" max="15" width="20.109375" customWidth="1"/>
    <col min="16" max="16" width="14.44140625" customWidth="1"/>
    <col min="17" max="26" width="8.6640625" customWidth="1"/>
  </cols>
  <sheetData>
    <row r="1" spans="1:16" ht="14.25" customHeight="1" x14ac:dyDescent="0.3">
      <c r="A1" s="1" t="s">
        <v>115</v>
      </c>
      <c r="B1" s="1" t="s">
        <v>116</v>
      </c>
      <c r="C1" s="1" t="s">
        <v>38</v>
      </c>
      <c r="D1" s="1" t="s">
        <v>39</v>
      </c>
      <c r="E1" s="1" t="s">
        <v>97</v>
      </c>
      <c r="F1" s="1" t="s">
        <v>99</v>
      </c>
      <c r="G1" s="1" t="s">
        <v>41</v>
      </c>
      <c r="H1" s="1" t="s">
        <v>100</v>
      </c>
      <c r="I1" s="1" t="s">
        <v>101</v>
      </c>
      <c r="J1" s="1" t="s">
        <v>102</v>
      </c>
      <c r="K1" s="1" t="s">
        <v>46</v>
      </c>
      <c r="L1" s="1" t="s">
        <v>47</v>
      </c>
      <c r="M1" s="1" t="s">
        <v>48</v>
      </c>
      <c r="N1" s="1" t="s">
        <v>103</v>
      </c>
      <c r="O1" s="1" t="s">
        <v>117</v>
      </c>
      <c r="P1" s="1" t="s">
        <v>118</v>
      </c>
    </row>
    <row r="2" spans="1:16" ht="14.25" customHeight="1" x14ac:dyDescent="0.3">
      <c r="A2" s="4" t="s">
        <v>119</v>
      </c>
      <c r="B2" s="4">
        <v>2026</v>
      </c>
      <c r="C2" s="4" t="s">
        <v>81</v>
      </c>
      <c r="D2" s="4" t="s">
        <v>82</v>
      </c>
      <c r="E2" s="4">
        <f>IFERROR(AVERAGEIFS(Chicks!$H:$H, Chicks!$F:$F, $C2, Chicks!$G:$G, $D2), "")</f>
        <v>86.666666666666671</v>
      </c>
      <c r="F2" s="6">
        <f>IF($C2="","",COUNTIFS(Chicks!$F:$F,$C2,Chicks!$G:$G,$D2))</f>
        <v>6</v>
      </c>
      <c r="G2" s="6">
        <f>IF($C2="","",COUNTIFS(Chicks!$F:$F,$C2,Chicks!$G:$G,$D2,Chicks!$I:$I,"Yes"))</f>
        <v>4</v>
      </c>
      <c r="H2" s="6">
        <f>IF($C2="","",SUMIFS(Chicks!$J:$J,Chicks!$F:$F,$C2,Chicks!$G:$G,$D2))</f>
        <v>3</v>
      </c>
      <c r="I2" s="6">
        <f>IF($C2="","",COUNTIFS(Chicks!$F:$F,$C2,Chicks!$G:$G,$D2,Chicks!$I:$I,"No"))</f>
        <v>2</v>
      </c>
      <c r="J2" s="7">
        <f>IF($C2="","",IFERROR(AVERAGEIFS(Chicks!$M:$M,Chicks!$F:$F,$C2,Chicks!$G:$G,$D2),""))</f>
        <v>0.43208020050125312</v>
      </c>
      <c r="K2" s="6">
        <f>IF($C2="","",SUMIFS(Chicks!$N:$N,Chicks!$F:$F,$C2,Chicks!$G:$G,$D2))</f>
        <v>0</v>
      </c>
      <c r="L2" s="6">
        <f>IF($C2="","",SUMIFS(Chicks!$O:$O,Chicks!$F:$F,$C2,Chicks!$G:$G,$D2))</f>
        <v>0</v>
      </c>
      <c r="M2" s="6">
        <f>IF($C2="","",SUMIFS(Chicks!$P:$P,Chicks!$F:$F,$C2,Chicks!$G:$G,$D2))</f>
        <v>0</v>
      </c>
      <c r="N2" s="6">
        <f t="shared" ref="N2:N256" si="0">IF($J2="","",RANK($J2,$J$2:$J$1000,0))</f>
        <v>5</v>
      </c>
      <c r="O2" s="6" t="e">
        <f t="shared" ref="O2:O256" ca="1" si="1">IF($F2=0,"",_xludf.IFS($G2/$F2&lt;0.5,"0★",$G2/$F2&lt;=0.6,"★",$G2/$F2&lt;=0.7,"★★",$G2/$F2&lt;=0.8,"★★★",$G2/$F2&lt;=0.9,"★★★★",$G2/$F2&lt;=1,"★★★★★"))</f>
        <v>#NAME?</v>
      </c>
      <c r="P2" s="6" t="e">
        <f t="shared" ref="P2:P256" ca="1" si="2">IF($J2="","",_xludf.IFS($J2&lt;0.5,"0★",$J2&lt;=0.6,"★",$J2&lt;=0.7,"★★",$J2&lt;=0.8,"★★★",$J2&lt;=0.9,"★★★★",$J2&lt;=1,"★★★★★"))</f>
        <v>#NAME?</v>
      </c>
    </row>
    <row r="3" spans="1:16" ht="14.25" customHeight="1" x14ac:dyDescent="0.3">
      <c r="A3" s="4" t="s">
        <v>120</v>
      </c>
      <c r="B3" s="4">
        <v>2026</v>
      </c>
      <c r="C3" s="4" t="s">
        <v>69</v>
      </c>
      <c r="D3" s="4" t="s">
        <v>51</v>
      </c>
      <c r="E3" s="4">
        <f>IFERROR(AVERAGEIFS(Chicks!$H:$H, Chicks!$F:$F, $C3, Chicks!$G:$G, $D3), "")</f>
        <v>85</v>
      </c>
      <c r="F3" s="6">
        <f>IF($C3="","",COUNTIFS(Chicks!$F:$F,$C3,Chicks!$G:$G,$D3))</f>
        <v>1</v>
      </c>
      <c r="G3" s="6">
        <f>IF($C3="","",COUNTIFS(Chicks!$F:$F,$C3,Chicks!$G:$G,$D3,Chicks!$I:$I,"Yes"))</f>
        <v>0</v>
      </c>
      <c r="H3" s="6">
        <f>IF($C3="","",SUMIFS(Chicks!$J:$J,Chicks!$F:$F,$C3,Chicks!$G:$G,$D3))</f>
        <v>0</v>
      </c>
      <c r="I3" s="6">
        <f>IF($C3="","",COUNTIFS(Chicks!$F:$F,$C3,Chicks!$G:$G,$D3,Chicks!$I:$I,"No"))</f>
        <v>1</v>
      </c>
      <c r="J3" s="7" t="str">
        <f>IF($C3="","",IFERROR(AVERAGEIFS(Chicks!$M:$M,Chicks!$F:$F,$C3,Chicks!$G:$G,$D3),""))</f>
        <v/>
      </c>
      <c r="K3" s="6">
        <f>IF($C3="","",SUMIFS(Chicks!$N:$N,Chicks!$F:$F,$C3,Chicks!$G:$G,$D3))</f>
        <v>0</v>
      </c>
      <c r="L3" s="6">
        <f>IF($C3="","",SUMIFS(Chicks!$O:$O,Chicks!$F:$F,$C3,Chicks!$G:$G,$D3))</f>
        <v>0</v>
      </c>
      <c r="M3" s="6">
        <f>IF($C3="","",SUMIFS(Chicks!$P:$P,Chicks!$F:$F,$C3,Chicks!$G:$G,$D3))</f>
        <v>0</v>
      </c>
      <c r="N3" s="6" t="str">
        <f t="shared" si="0"/>
        <v/>
      </c>
      <c r="O3" s="6" t="e">
        <f t="shared" ca="1" si="1"/>
        <v>#NAME?</v>
      </c>
      <c r="P3" s="6" t="str">
        <f t="shared" si="2"/>
        <v/>
      </c>
    </row>
    <row r="4" spans="1:16" ht="14.25" customHeight="1" x14ac:dyDescent="0.3">
      <c r="A4" s="4" t="s">
        <v>121</v>
      </c>
      <c r="B4" s="4">
        <v>2026</v>
      </c>
      <c r="C4" s="4" t="s">
        <v>91</v>
      </c>
      <c r="D4" s="4" t="s">
        <v>71</v>
      </c>
      <c r="E4" s="4">
        <f>IFERROR(AVERAGEIFS(Chicks!$H:$H, Chicks!$F:$F, $C4, Chicks!$G:$G, $D4), "")</f>
        <v>85</v>
      </c>
      <c r="F4" s="6">
        <f>IF($C4="","",COUNTIFS(Chicks!$F:$F,$C4,Chicks!$G:$G,$D4))</f>
        <v>1</v>
      </c>
      <c r="G4" s="6">
        <f>IF($C4="","",COUNTIFS(Chicks!$F:$F,$C4,Chicks!$G:$G,$D4,Chicks!$I:$I,"Yes"))</f>
        <v>0</v>
      </c>
      <c r="H4" s="6">
        <f>IF($C4="","",SUMIFS(Chicks!$J:$J,Chicks!$F:$F,$C4,Chicks!$G:$G,$D4))</f>
        <v>0</v>
      </c>
      <c r="I4" s="6">
        <f>IF($C4="","",COUNTIFS(Chicks!$F:$F,$C4,Chicks!$G:$G,$D4,Chicks!$I:$I,"No"))</f>
        <v>1</v>
      </c>
      <c r="J4" s="7" t="str">
        <f>IF($C4="","",IFERROR(AVERAGEIFS(Chicks!$M:$M,Chicks!$F:$F,$C4,Chicks!$G:$G,$D4),""))</f>
        <v/>
      </c>
      <c r="K4" s="6">
        <f>IF($C4="","",SUMIFS(Chicks!$N:$N,Chicks!$F:$F,$C4,Chicks!$G:$G,$D4))</f>
        <v>0</v>
      </c>
      <c r="L4" s="6">
        <f>IF($C4="","",SUMIFS(Chicks!$O:$O,Chicks!$F:$F,$C4,Chicks!$G:$G,$D4))</f>
        <v>0</v>
      </c>
      <c r="M4" s="6">
        <f>IF($C4="","",SUMIFS(Chicks!$P:$P,Chicks!$F:$F,$C4,Chicks!$G:$G,$D4))</f>
        <v>0</v>
      </c>
      <c r="N4" s="6" t="str">
        <f t="shared" si="0"/>
        <v/>
      </c>
      <c r="O4" s="6" t="e">
        <f t="shared" ca="1" si="1"/>
        <v>#NAME?</v>
      </c>
      <c r="P4" s="6" t="str">
        <f t="shared" si="2"/>
        <v/>
      </c>
    </row>
    <row r="5" spans="1:16" ht="14.25" customHeight="1" x14ac:dyDescent="0.3">
      <c r="A5" s="4" t="s">
        <v>122</v>
      </c>
      <c r="B5" s="4">
        <v>2026</v>
      </c>
      <c r="C5" s="4" t="s">
        <v>74</v>
      </c>
      <c r="D5" s="4" t="s">
        <v>75</v>
      </c>
      <c r="E5" s="4">
        <f>IFERROR(AVERAGEIFS(Chicks!$H:$H, Chicks!$F:$F, $C5, Chicks!$G:$G, $D5), "")</f>
        <v>84.166666666666671</v>
      </c>
      <c r="F5" s="6">
        <f>IF($C5="","",COUNTIFS(Chicks!$F:$F,$C5,Chicks!$G:$G,$D5))</f>
        <v>6</v>
      </c>
      <c r="G5" s="6">
        <f>IF($C5="","",COUNTIFS(Chicks!$F:$F,$C5,Chicks!$G:$G,$D5,Chicks!$I:$I,"Yes"))</f>
        <v>5</v>
      </c>
      <c r="H5" s="6">
        <f>IF($C5="","",SUMIFS(Chicks!$J:$J,Chicks!$F:$F,$C5,Chicks!$G:$G,$D5))</f>
        <v>2</v>
      </c>
      <c r="I5" s="6">
        <f>IF($C5="","",COUNTIFS(Chicks!$F:$F,$C5,Chicks!$G:$G,$D5,Chicks!$I:$I,"No"))</f>
        <v>1</v>
      </c>
      <c r="J5" s="7">
        <f>IF($C5="","",IFERROR(AVERAGEIFS(Chicks!$M:$M,Chicks!$F:$F,$C5,Chicks!$G:$G,$D5),""))</f>
        <v>0.39982020268061458</v>
      </c>
      <c r="K5" s="6">
        <f>IF($C5="","",SUMIFS(Chicks!$N:$N,Chicks!$F:$F,$C5,Chicks!$G:$G,$D5))</f>
        <v>0</v>
      </c>
      <c r="L5" s="6">
        <f>IF($C5="","",SUMIFS(Chicks!$O:$O,Chicks!$F:$F,$C5,Chicks!$G:$G,$D5))</f>
        <v>0</v>
      </c>
      <c r="M5" s="6">
        <f>IF($C5="","",SUMIFS(Chicks!$P:$P,Chicks!$F:$F,$C5,Chicks!$G:$G,$D5))</f>
        <v>0</v>
      </c>
      <c r="N5" s="6">
        <f t="shared" si="0"/>
        <v>6</v>
      </c>
      <c r="O5" s="6" t="e">
        <f t="shared" ca="1" si="1"/>
        <v>#NAME?</v>
      </c>
      <c r="P5" s="6" t="e">
        <f t="shared" ca="1" si="2"/>
        <v>#NAME?</v>
      </c>
    </row>
    <row r="6" spans="1:16" ht="14.25" customHeight="1" x14ac:dyDescent="0.3">
      <c r="A6" s="4" t="s">
        <v>123</v>
      </c>
      <c r="B6" s="4">
        <v>2026</v>
      </c>
      <c r="C6" s="4" t="s">
        <v>54</v>
      </c>
      <c r="D6" s="4" t="s">
        <v>55</v>
      </c>
      <c r="E6" s="4">
        <f>IFERROR(AVERAGEIFS(Chicks!$H:$H, Chicks!$F:$F, $C6, Chicks!$G:$G, $D6), "")</f>
        <v>81</v>
      </c>
      <c r="F6" s="6">
        <f>IF($C6="","",COUNTIFS(Chicks!$F:$F,$C6,Chicks!$G:$G,$D6))</f>
        <v>6</v>
      </c>
      <c r="G6" s="6">
        <f>IF($C6="","",COUNTIFS(Chicks!$F:$F,$C6,Chicks!$G:$G,$D6,Chicks!$I:$I,"Yes"))</f>
        <v>3</v>
      </c>
      <c r="H6" s="6">
        <f>IF($C6="","",SUMIFS(Chicks!$J:$J,Chicks!$F:$F,$C6,Chicks!$G:$G,$D6))</f>
        <v>3</v>
      </c>
      <c r="I6" s="6">
        <f>IF($C6="","",COUNTIFS(Chicks!$F:$F,$C6,Chicks!$G:$G,$D6,Chicks!$I:$I,"No"))</f>
        <v>3</v>
      </c>
      <c r="J6" s="7">
        <f>IF($C6="","",IFERROR(AVERAGEIFS(Chicks!$M:$M,Chicks!$F:$F,$C6,Chicks!$G:$G,$D6),""))</f>
        <v>0.63230392557480664</v>
      </c>
      <c r="K6" s="6">
        <f>IF($C6="","",SUMIFS(Chicks!$N:$N,Chicks!$F:$F,$C6,Chicks!$G:$G,$D6))</f>
        <v>0</v>
      </c>
      <c r="L6" s="6">
        <f>IF($C6="","",SUMIFS(Chicks!$O:$O,Chicks!$F:$F,$C6,Chicks!$G:$G,$D6))</f>
        <v>0</v>
      </c>
      <c r="M6" s="6">
        <f>IF($C6="","",SUMIFS(Chicks!$P:$P,Chicks!$F:$F,$C6,Chicks!$G:$G,$D6))</f>
        <v>1</v>
      </c>
      <c r="N6" s="6">
        <f t="shared" si="0"/>
        <v>3</v>
      </c>
      <c r="O6" s="6" t="e">
        <f t="shared" ca="1" si="1"/>
        <v>#NAME?</v>
      </c>
      <c r="P6" s="6" t="e">
        <f t="shared" ca="1" si="2"/>
        <v>#NAME?</v>
      </c>
    </row>
    <row r="7" spans="1:16" ht="14.25" customHeight="1" x14ac:dyDescent="0.3">
      <c r="A7" s="4" t="s">
        <v>124</v>
      </c>
      <c r="B7" s="4">
        <v>2026</v>
      </c>
      <c r="C7" s="4" t="s">
        <v>61</v>
      </c>
      <c r="D7" s="4" t="s">
        <v>62</v>
      </c>
      <c r="E7" s="4">
        <f>IFERROR(AVERAGEIFS(Chicks!$H:$H, Chicks!$F:$F, $C7, Chicks!$G:$G, $D7), "")</f>
        <v>80.714285714285708</v>
      </c>
      <c r="F7" s="6">
        <f>IF($C7="","",COUNTIFS(Chicks!$F:$F,$C7,Chicks!$G:$G,$D7))</f>
        <v>7</v>
      </c>
      <c r="G7" s="6">
        <f>IF($C7="","",COUNTIFS(Chicks!$F:$F,$C7,Chicks!$G:$G,$D7,Chicks!$I:$I,"Yes"))</f>
        <v>1</v>
      </c>
      <c r="H7" s="6">
        <f>IF($C7="","",SUMIFS(Chicks!$J:$J,Chicks!$F:$F,$C7,Chicks!$G:$G,$D7))</f>
        <v>2</v>
      </c>
      <c r="I7" s="6">
        <f>IF($C7="","",COUNTIFS(Chicks!$F:$F,$C7,Chicks!$G:$G,$D7,Chicks!$I:$I,"No"))</f>
        <v>6</v>
      </c>
      <c r="J7" s="7">
        <f>IF($C7="","",IFERROR(AVERAGEIFS(Chicks!$M:$M,Chicks!$F:$F,$C7,Chicks!$G:$G,$D7),""))</f>
        <v>0.65702929197994986</v>
      </c>
      <c r="K7" s="6">
        <f>IF($C7="","",SUMIFS(Chicks!$N:$N,Chicks!$F:$F,$C7,Chicks!$G:$G,$D7))</f>
        <v>1</v>
      </c>
      <c r="L7" s="6">
        <f>IF($C7="","",SUMIFS(Chicks!$O:$O,Chicks!$F:$F,$C7,Chicks!$G:$G,$D7))</f>
        <v>0</v>
      </c>
      <c r="M7" s="6">
        <f>IF($C7="","",SUMIFS(Chicks!$P:$P,Chicks!$F:$F,$C7,Chicks!$G:$G,$D7))</f>
        <v>1</v>
      </c>
      <c r="N7" s="6">
        <f t="shared" si="0"/>
        <v>1</v>
      </c>
      <c r="O7" s="6" t="e">
        <f t="shared" ca="1" si="1"/>
        <v>#NAME?</v>
      </c>
      <c r="P7" s="6" t="e">
        <f t="shared" ca="1" si="2"/>
        <v>#NAME?</v>
      </c>
    </row>
    <row r="8" spans="1:16" ht="14.25" customHeight="1" x14ac:dyDescent="0.3">
      <c r="A8" s="4" t="s">
        <v>125</v>
      </c>
      <c r="B8" s="4">
        <v>2026</v>
      </c>
      <c r="C8" s="4" t="s">
        <v>69</v>
      </c>
      <c r="D8" s="4" t="s">
        <v>71</v>
      </c>
      <c r="E8" s="4">
        <f>IFERROR(AVERAGEIFS(Chicks!$H:$H, Chicks!$F:$F, $C8, Chicks!$G:$G, $D8), "")</f>
        <v>80</v>
      </c>
      <c r="F8" s="6">
        <f>IF($C8="","",COUNTIFS(Chicks!$F:$F,$C8,Chicks!$G:$G,$D8))</f>
        <v>2</v>
      </c>
      <c r="G8" s="6">
        <f>IF($C8="","",COUNTIFS(Chicks!$F:$F,$C8,Chicks!$G:$G,$D8,Chicks!$I:$I,"Yes"))</f>
        <v>1</v>
      </c>
      <c r="H8" s="6">
        <f>IF($C8="","",SUMIFS(Chicks!$J:$J,Chicks!$F:$F,$C8,Chicks!$G:$G,$D8))</f>
        <v>0</v>
      </c>
      <c r="I8" s="6">
        <f>IF($C8="","",COUNTIFS(Chicks!$F:$F,$C8,Chicks!$G:$G,$D8,Chicks!$I:$I,"No"))</f>
        <v>1</v>
      </c>
      <c r="J8" s="7" t="str">
        <f>IF($C8="","",IFERROR(AVERAGEIFS(Chicks!$M:$M,Chicks!$F:$F,$C8,Chicks!$G:$G,$D8),""))</f>
        <v/>
      </c>
      <c r="K8" s="6">
        <f>IF($C8="","",SUMIFS(Chicks!$N:$N,Chicks!$F:$F,$C8,Chicks!$G:$G,$D8))</f>
        <v>0</v>
      </c>
      <c r="L8" s="6">
        <f>IF($C8="","",SUMIFS(Chicks!$O:$O,Chicks!$F:$F,$C8,Chicks!$G:$G,$D8))</f>
        <v>0</v>
      </c>
      <c r="M8" s="6">
        <f>IF($C8="","",SUMIFS(Chicks!$P:$P,Chicks!$F:$F,$C8,Chicks!$G:$G,$D8))</f>
        <v>0</v>
      </c>
      <c r="N8" s="6" t="str">
        <f t="shared" si="0"/>
        <v/>
      </c>
      <c r="O8" s="6" t="e">
        <f t="shared" ca="1" si="1"/>
        <v>#NAME?</v>
      </c>
      <c r="P8" s="6" t="str">
        <f t="shared" si="2"/>
        <v/>
      </c>
    </row>
    <row r="9" spans="1:16" ht="14.25" customHeight="1" x14ac:dyDescent="0.3">
      <c r="A9" s="4" t="s">
        <v>126</v>
      </c>
      <c r="B9" s="4">
        <v>2026</v>
      </c>
      <c r="C9" s="4" t="s">
        <v>50</v>
      </c>
      <c r="D9" s="4" t="s">
        <v>51</v>
      </c>
      <c r="E9" s="4">
        <f>IFERROR(AVERAGEIFS(Chicks!$H:$H, Chicks!$F:$F, $C9, Chicks!$G:$G, $D9), "")</f>
        <v>77.5</v>
      </c>
      <c r="F9" s="6">
        <f>IF($C9="","",COUNTIFS(Chicks!$F:$F,$C9,Chicks!$G:$G,$D9))</f>
        <v>2</v>
      </c>
      <c r="G9" s="6">
        <f>IF($C9="","",COUNTIFS(Chicks!$F:$F,$C9,Chicks!$G:$G,$D9,Chicks!$I:$I,"Yes"))</f>
        <v>2</v>
      </c>
      <c r="H9" s="6">
        <f>IF($C9="","",SUMIFS(Chicks!$J:$J,Chicks!$F:$F,$C9,Chicks!$G:$G,$D9))</f>
        <v>2</v>
      </c>
      <c r="I9" s="6">
        <f>IF($C9="","",COUNTIFS(Chicks!$F:$F,$C9,Chicks!$G:$G,$D9,Chicks!$I:$I,"No"))</f>
        <v>0</v>
      </c>
      <c r="J9" s="7">
        <f>IF($C9="","",IFERROR(AVERAGEIFS(Chicks!$M:$M,Chicks!$F:$F,$C9,Chicks!$G:$G,$D9),""))</f>
        <v>0.5794976571864443</v>
      </c>
      <c r="K9" s="6">
        <f>IF($C9="","",SUMIFS(Chicks!$N:$N,Chicks!$F:$F,$C9,Chicks!$G:$G,$D9))</f>
        <v>0</v>
      </c>
      <c r="L9" s="6">
        <f>IF($C9="","",SUMIFS(Chicks!$O:$O,Chicks!$F:$F,$C9,Chicks!$G:$G,$D9))</f>
        <v>0</v>
      </c>
      <c r="M9" s="6">
        <f>IF($C9="","",SUMIFS(Chicks!$P:$P,Chicks!$F:$F,$C9,Chicks!$G:$G,$D9))</f>
        <v>0</v>
      </c>
      <c r="N9" s="6">
        <f t="shared" si="0"/>
        <v>4</v>
      </c>
      <c r="O9" s="6" t="e">
        <f t="shared" ca="1" si="1"/>
        <v>#NAME?</v>
      </c>
      <c r="P9" s="6" t="e">
        <f t="shared" ca="1" si="2"/>
        <v>#NAME?</v>
      </c>
    </row>
    <row r="10" spans="1:16" ht="14.25" customHeight="1" x14ac:dyDescent="0.3">
      <c r="A10" s="4" t="s">
        <v>127</v>
      </c>
      <c r="B10" s="4">
        <v>2026</v>
      </c>
      <c r="C10" s="4" t="s">
        <v>89</v>
      </c>
      <c r="D10" s="4" t="s">
        <v>82</v>
      </c>
      <c r="E10" s="4">
        <f>IFERROR(AVERAGEIFS(Chicks!$H:$H, Chicks!$F:$F, $C10, Chicks!$G:$G, $D10), "")</f>
        <v>77.5</v>
      </c>
      <c r="F10" s="6">
        <f>IF($C10="","",COUNTIFS(Chicks!$F:$F,$C10,Chicks!$G:$G,$D10))</f>
        <v>2</v>
      </c>
      <c r="G10" s="6">
        <f>IF($C10="","",COUNTIFS(Chicks!$F:$F,$C10,Chicks!$G:$G,$D10,Chicks!$I:$I,"Yes"))</f>
        <v>2</v>
      </c>
      <c r="H10" s="6">
        <f>IF($C10="","",SUMIFS(Chicks!$J:$J,Chicks!$F:$F,$C10,Chicks!$G:$G,$D10))</f>
        <v>3</v>
      </c>
      <c r="I10" s="6">
        <f>IF($C10="","",COUNTIFS(Chicks!$F:$F,$C10,Chicks!$G:$G,$D10,Chicks!$I:$I,"No"))</f>
        <v>0</v>
      </c>
      <c r="J10" s="7">
        <f>IF($C10="","",IFERROR(AVERAGEIFS(Chicks!$M:$M,Chicks!$F:$F,$C10,Chicks!$G:$G,$D10),""))</f>
        <v>0.29976299444262833</v>
      </c>
      <c r="K10" s="6">
        <f>IF($C10="","",SUMIFS(Chicks!$N:$N,Chicks!$F:$F,$C10,Chicks!$G:$G,$D10))</f>
        <v>0</v>
      </c>
      <c r="L10" s="6">
        <f>IF($C10="","",SUMIFS(Chicks!$O:$O,Chicks!$F:$F,$C10,Chicks!$G:$G,$D10))</f>
        <v>0</v>
      </c>
      <c r="M10" s="6">
        <f>IF($C10="","",SUMIFS(Chicks!$P:$P,Chicks!$F:$F,$C10,Chicks!$G:$G,$D10))</f>
        <v>0</v>
      </c>
      <c r="N10" s="6">
        <f t="shared" si="0"/>
        <v>7</v>
      </c>
      <c r="O10" s="6" t="e">
        <f t="shared" ca="1" si="1"/>
        <v>#NAME?</v>
      </c>
      <c r="P10" s="6" t="e">
        <f t="shared" ca="1" si="2"/>
        <v>#NAME?</v>
      </c>
    </row>
    <row r="11" spans="1:16" ht="14.25" customHeight="1" x14ac:dyDescent="0.3">
      <c r="A11" s="4" t="s">
        <v>128</v>
      </c>
      <c r="B11" s="4">
        <v>2026</v>
      </c>
      <c r="C11" s="4" t="s">
        <v>81</v>
      </c>
      <c r="D11" s="4" t="s">
        <v>71</v>
      </c>
      <c r="E11" s="4">
        <f>IFERROR(AVERAGEIFS(Chicks!$H:$H, Chicks!$F:$F, $C11, Chicks!$G:$G, $D11), "")</f>
        <v>75</v>
      </c>
      <c r="F11" s="6">
        <f>IF($C11="","",COUNTIFS(Chicks!$F:$F,$C11,Chicks!$G:$G,$D11))</f>
        <v>2</v>
      </c>
      <c r="G11" s="6">
        <f>IF($C11="","",COUNTIFS(Chicks!$F:$F,$C11,Chicks!$G:$G,$D11,Chicks!$I:$I,"Yes"))</f>
        <v>1</v>
      </c>
      <c r="H11" s="6">
        <f>IF($C11="","",SUMIFS(Chicks!$J:$J,Chicks!$F:$F,$C11,Chicks!$G:$G,$D11))</f>
        <v>1</v>
      </c>
      <c r="I11" s="6">
        <f>IF($C11="","",COUNTIFS(Chicks!$F:$F,$C11,Chicks!$G:$G,$D11,Chicks!$I:$I,"No"))</f>
        <v>1</v>
      </c>
      <c r="J11" s="7">
        <f>IF($C11="","",IFERROR(AVERAGEIFS(Chicks!$M:$M,Chicks!$F:$F,$C11,Chicks!$G:$G,$D11),""))</f>
        <v>0.6378446115288221</v>
      </c>
      <c r="K11" s="6">
        <f>IF($C11="","",SUMIFS(Chicks!$N:$N,Chicks!$F:$F,$C11,Chicks!$G:$G,$D11))</f>
        <v>0</v>
      </c>
      <c r="L11" s="6">
        <f>IF($C11="","",SUMIFS(Chicks!$O:$O,Chicks!$F:$F,$C11,Chicks!$G:$G,$D11))</f>
        <v>0</v>
      </c>
      <c r="M11" s="6">
        <f>IF($C11="","",SUMIFS(Chicks!$P:$P,Chicks!$F:$F,$C11,Chicks!$G:$G,$D11))</f>
        <v>0</v>
      </c>
      <c r="N11" s="6">
        <f t="shared" si="0"/>
        <v>2</v>
      </c>
      <c r="O11" s="6" t="e">
        <f t="shared" ca="1" si="1"/>
        <v>#NAME?</v>
      </c>
      <c r="P11" s="6" t="e">
        <f t="shared" ca="1" si="2"/>
        <v>#NAME?</v>
      </c>
    </row>
    <row r="12" spans="1:16" ht="14.25" customHeight="1" x14ac:dyDescent="0.3">
      <c r="A12" s="4" t="s">
        <v>129</v>
      </c>
      <c r="B12" s="4">
        <v>2026</v>
      </c>
      <c r="C12" s="4" t="s">
        <v>91</v>
      </c>
      <c r="D12" s="4" t="s">
        <v>51</v>
      </c>
      <c r="E12" s="4">
        <f>IFERROR(AVERAGEIFS(Chicks!$H:$H, Chicks!$F:$F, $C12, Chicks!$G:$G, $D12), "")</f>
        <v>75</v>
      </c>
      <c r="F12" s="6">
        <f>IF($C12="","",COUNTIFS(Chicks!$F:$F,$C12,Chicks!$G:$G,$D12))</f>
        <v>2</v>
      </c>
      <c r="G12" s="6">
        <f>IF($C12="","",COUNTIFS(Chicks!$F:$F,$C12,Chicks!$G:$G,$D12,Chicks!$I:$I,"Yes"))</f>
        <v>1</v>
      </c>
      <c r="H12" s="6">
        <f>IF($C12="","",SUMIFS(Chicks!$J:$J,Chicks!$F:$F,$C12,Chicks!$G:$G,$D12))</f>
        <v>0</v>
      </c>
      <c r="I12" s="6">
        <f>IF($C12="","",COUNTIFS(Chicks!$F:$F,$C12,Chicks!$G:$G,$D12,Chicks!$I:$I,"No"))</f>
        <v>1</v>
      </c>
      <c r="J12" s="7" t="str">
        <f>IF($C12="","",IFERROR(AVERAGEIFS(Chicks!$M:$M,Chicks!$F:$F,$C12,Chicks!$G:$G,$D12),""))</f>
        <v/>
      </c>
      <c r="K12" s="6">
        <f>IF($C12="","",SUMIFS(Chicks!$N:$N,Chicks!$F:$F,$C12,Chicks!$G:$G,$D12))</f>
        <v>0</v>
      </c>
      <c r="L12" s="6">
        <f>IF($C12="","",SUMIFS(Chicks!$O:$O,Chicks!$F:$F,$C12,Chicks!$G:$G,$D12))</f>
        <v>0</v>
      </c>
      <c r="M12" s="6">
        <f>IF($C12="","",SUMIFS(Chicks!$P:$P,Chicks!$F:$F,$C12,Chicks!$G:$G,$D12))</f>
        <v>0</v>
      </c>
      <c r="N12" s="6" t="str">
        <f t="shared" si="0"/>
        <v/>
      </c>
      <c r="O12" s="6" t="e">
        <f t="shared" ca="1" si="1"/>
        <v>#NAME?</v>
      </c>
      <c r="P12" s="6" t="str">
        <f t="shared" si="2"/>
        <v/>
      </c>
    </row>
    <row r="13" spans="1:16" ht="14.25" customHeight="1" x14ac:dyDescent="0.3">
      <c r="A13" s="4" t="s">
        <v>130</v>
      </c>
      <c r="B13" s="4">
        <v>2026</v>
      </c>
      <c r="C13" s="4" t="s">
        <v>88</v>
      </c>
      <c r="D13" s="4" t="s">
        <v>51</v>
      </c>
      <c r="E13" s="4">
        <f>IFERROR(AVERAGEIFS(Chicks!$H:$H, Chicks!$F:$F, $C13, Chicks!$G:$G, $D13), "")</f>
        <v>75</v>
      </c>
      <c r="F13" s="6">
        <f>IF($C13="","",COUNTIFS(Chicks!$F:$F,$C13,Chicks!$G:$G,$D13))</f>
        <v>1</v>
      </c>
      <c r="G13" s="6">
        <f>IF($C13="","",COUNTIFS(Chicks!$F:$F,$C13,Chicks!$G:$G,$D13,Chicks!$I:$I,"Yes"))</f>
        <v>1</v>
      </c>
      <c r="H13" s="6">
        <f>IF($C13="","",SUMIFS(Chicks!$J:$J,Chicks!$F:$F,$C13,Chicks!$G:$G,$D13))</f>
        <v>0</v>
      </c>
      <c r="I13" s="6">
        <f>IF($C13="","",COUNTIFS(Chicks!$F:$F,$C13,Chicks!$G:$G,$D13,Chicks!$I:$I,"No"))</f>
        <v>0</v>
      </c>
      <c r="J13" s="7" t="str">
        <f>IF($C13="","",IFERROR(AVERAGEIFS(Chicks!$M:$M,Chicks!$F:$F,$C13,Chicks!$G:$G,$D13),""))</f>
        <v/>
      </c>
      <c r="K13" s="6">
        <f>IF($C13="","",SUMIFS(Chicks!$N:$N,Chicks!$F:$F,$C13,Chicks!$G:$G,$D13))</f>
        <v>0</v>
      </c>
      <c r="L13" s="6">
        <f>IF($C13="","",SUMIFS(Chicks!$O:$O,Chicks!$F:$F,$C13,Chicks!$G:$G,$D13))</f>
        <v>0</v>
      </c>
      <c r="M13" s="6">
        <f>IF($C13="","",SUMIFS(Chicks!$P:$P,Chicks!$F:$F,$C13,Chicks!$G:$G,$D13))</f>
        <v>0</v>
      </c>
      <c r="N13" s="6" t="str">
        <f t="shared" si="0"/>
        <v/>
      </c>
      <c r="O13" s="6" t="e">
        <f t="shared" ca="1" si="1"/>
        <v>#NAME?</v>
      </c>
      <c r="P13" s="6" t="str">
        <f t="shared" si="2"/>
        <v/>
      </c>
    </row>
    <row r="14" spans="1:16" ht="14.25" customHeight="1" x14ac:dyDescent="0.3">
      <c r="A14" s="4"/>
      <c r="B14" s="4"/>
      <c r="C14" s="4" t="str">
        <f t="shared" ref="C14:C268" si="3">IFERROR(VALUE(LEFT($A14,FIND("-",$A14)-1)),"")</f>
        <v/>
      </c>
      <c r="D14" s="4" t="str">
        <f t="shared" ref="D14:D268" si="4">IFERROR(VALUE(MID($A14,FIND("-",$A14)+1,99)),"")</f>
        <v/>
      </c>
      <c r="E14" s="4"/>
      <c r="F14" s="6" t="str">
        <f>IF($C14="","",COUNTIFS(Chicks!$F:$F,$C14,Chicks!$G:$G,$D14))</f>
        <v/>
      </c>
      <c r="G14" s="6" t="str">
        <f>IF($C14="","",COUNTIFS(Chicks!$F:$F,$C14,Chicks!$G:$G,$D14,Chicks!$I:$I,"Yes"))</f>
        <v/>
      </c>
      <c r="H14" s="6" t="str">
        <f>IF($C14="","",SUMIFS(Chicks!$J:$J,Chicks!$F:$F,$C14,Chicks!$G:$G,$D14))</f>
        <v/>
      </c>
      <c r="I14" s="6" t="str">
        <f>IF($C14="","",COUNTIFS(Chicks!$F:$F,$C14,Chicks!$G:$G,$D14,Chicks!$I:$I,"No"))</f>
        <v/>
      </c>
      <c r="J14" s="6" t="str">
        <f>IF($C14="","",IFERROR(AVERAGEIFS(Chicks!$M:$M,Chicks!$F:$F,$C14,Chicks!$G:$G,$D14),""))</f>
        <v/>
      </c>
      <c r="K14" s="6" t="str">
        <f>IF($C14="","",SUMIFS(Chicks!$N:$N,Chicks!$F:$F,$C14,Chicks!$G:$G,$D14))</f>
        <v/>
      </c>
      <c r="L14" s="6" t="str">
        <f>IF($C14="","",SUMIFS(Chicks!$O:$O,Chicks!$F:$F,$C14,Chicks!$G:$G,$D14))</f>
        <v/>
      </c>
      <c r="M14" s="6" t="str">
        <f>IF($C14="","",SUMIFS(Chicks!$P:$P,Chicks!$F:$F,$C14,Chicks!$G:$G,$D14))</f>
        <v/>
      </c>
      <c r="N14" s="6" t="str">
        <f t="shared" si="0"/>
        <v/>
      </c>
      <c r="O14" s="6" t="e">
        <f t="shared" ca="1" si="1"/>
        <v>#NAME?</v>
      </c>
      <c r="P14" s="6" t="str">
        <f t="shared" si="2"/>
        <v/>
      </c>
    </row>
    <row r="15" spans="1:16" ht="14.25" customHeight="1" x14ac:dyDescent="0.3">
      <c r="A15" s="4"/>
      <c r="B15" s="4"/>
      <c r="C15" s="4" t="str">
        <f t="shared" si="3"/>
        <v/>
      </c>
      <c r="D15" s="4" t="str">
        <f t="shared" si="4"/>
        <v/>
      </c>
      <c r="E15" s="4"/>
      <c r="F15" s="6" t="str">
        <f>IF($C15="","",COUNTIFS(Chicks!$F:$F,$C15,Chicks!$G:$G,$D15))</f>
        <v/>
      </c>
      <c r="G15" s="6" t="str">
        <f>IF($C15="","",COUNTIFS(Chicks!$F:$F,$C15,Chicks!$G:$G,$D15,Chicks!$I:$I,"Yes"))</f>
        <v/>
      </c>
      <c r="H15" s="6" t="str">
        <f>IF($C15="","",SUMIFS(Chicks!$J:$J,Chicks!$F:$F,$C15,Chicks!$G:$G,$D15))</f>
        <v/>
      </c>
      <c r="I15" s="6" t="str">
        <f>IF($C15="","",COUNTIFS(Chicks!$F:$F,$C15,Chicks!$G:$G,$D15,Chicks!$I:$I,"No"))</f>
        <v/>
      </c>
      <c r="J15" s="6" t="str">
        <f>IF($C15="","",IFERROR(AVERAGEIFS(Chicks!$M:$M,Chicks!$F:$F,$C15,Chicks!$G:$G,$D15),""))</f>
        <v/>
      </c>
      <c r="K15" s="6" t="str">
        <f>IF($C15="","",SUMIFS(Chicks!$N:$N,Chicks!$F:$F,$C15,Chicks!$G:$G,$D15))</f>
        <v/>
      </c>
      <c r="L15" s="6" t="str">
        <f>IF($C15="","",SUMIFS(Chicks!$O:$O,Chicks!$F:$F,$C15,Chicks!$G:$G,$D15))</f>
        <v/>
      </c>
      <c r="M15" s="6" t="str">
        <f>IF($C15="","",SUMIFS(Chicks!$P:$P,Chicks!$F:$F,$C15,Chicks!$G:$G,$D15))</f>
        <v/>
      </c>
      <c r="N15" s="6" t="str">
        <f t="shared" si="0"/>
        <v/>
      </c>
      <c r="O15" s="6" t="e">
        <f t="shared" ca="1" si="1"/>
        <v>#NAME?</v>
      </c>
      <c r="P15" s="6" t="str">
        <f t="shared" si="2"/>
        <v/>
      </c>
    </row>
    <row r="16" spans="1:16" ht="14.25" customHeight="1" x14ac:dyDescent="0.3">
      <c r="A16" s="4"/>
      <c r="B16" s="4"/>
      <c r="C16" s="4" t="str">
        <f t="shared" si="3"/>
        <v/>
      </c>
      <c r="D16" s="4" t="str">
        <f t="shared" si="4"/>
        <v/>
      </c>
      <c r="E16" s="4"/>
      <c r="F16" s="6" t="str">
        <f>IF($C16="","",COUNTIFS(Chicks!$F:$F,$C16,Chicks!$G:$G,$D16))</f>
        <v/>
      </c>
      <c r="G16" s="6" t="str">
        <f>IF($C16="","",COUNTIFS(Chicks!$F:$F,$C16,Chicks!$G:$G,$D16,Chicks!$I:$I,"Yes"))</f>
        <v/>
      </c>
      <c r="H16" s="6" t="str">
        <f>IF($C16="","",SUMIFS(Chicks!$J:$J,Chicks!$F:$F,$C16,Chicks!$G:$G,$D16))</f>
        <v/>
      </c>
      <c r="I16" s="6" t="str">
        <f>IF($C16="","",COUNTIFS(Chicks!$F:$F,$C16,Chicks!$G:$G,$D16,Chicks!$I:$I,"No"))</f>
        <v/>
      </c>
      <c r="J16" s="6" t="str">
        <f>IF($C16="","",IFERROR(AVERAGEIFS(Chicks!$M:$M,Chicks!$F:$F,$C16,Chicks!$G:$G,$D16),""))</f>
        <v/>
      </c>
      <c r="K16" s="6" t="str">
        <f>IF($C16="","",SUMIFS(Chicks!$N:$N,Chicks!$F:$F,$C16,Chicks!$G:$G,$D16))</f>
        <v/>
      </c>
      <c r="L16" s="6" t="str">
        <f>IF($C16="","",SUMIFS(Chicks!$O:$O,Chicks!$F:$F,$C16,Chicks!$G:$G,$D16))</f>
        <v/>
      </c>
      <c r="M16" s="6" t="str">
        <f>IF($C16="","",SUMIFS(Chicks!$P:$P,Chicks!$F:$F,$C16,Chicks!$G:$G,$D16))</f>
        <v/>
      </c>
      <c r="N16" s="6" t="str">
        <f t="shared" si="0"/>
        <v/>
      </c>
      <c r="O16" s="6" t="e">
        <f t="shared" ca="1" si="1"/>
        <v>#NAME?</v>
      </c>
      <c r="P16" s="6" t="str">
        <f t="shared" si="2"/>
        <v/>
      </c>
    </row>
    <row r="17" spans="1:16" ht="14.25" customHeight="1" x14ac:dyDescent="0.3">
      <c r="A17" s="4"/>
      <c r="B17" s="4"/>
      <c r="C17" s="4" t="str">
        <f t="shared" si="3"/>
        <v/>
      </c>
      <c r="D17" s="4" t="str">
        <f t="shared" si="4"/>
        <v/>
      </c>
      <c r="E17" s="4"/>
      <c r="F17" s="6" t="str">
        <f>IF($C17="","",COUNTIFS(Chicks!$F:$F,$C17,Chicks!$G:$G,$D17))</f>
        <v/>
      </c>
      <c r="G17" s="6" t="str">
        <f>IF($C17="","",COUNTIFS(Chicks!$F:$F,$C17,Chicks!$G:$G,$D17,Chicks!$I:$I,"Yes"))</f>
        <v/>
      </c>
      <c r="H17" s="6" t="str">
        <f>IF($C17="","",SUMIFS(Chicks!$J:$J,Chicks!$F:$F,$C17,Chicks!$G:$G,$D17))</f>
        <v/>
      </c>
      <c r="I17" s="6" t="str">
        <f>IF($C17="","",COUNTIFS(Chicks!$F:$F,$C17,Chicks!$G:$G,$D17,Chicks!$I:$I,"No"))</f>
        <v/>
      </c>
      <c r="J17" s="6" t="str">
        <f>IF($C17="","",IFERROR(AVERAGEIFS(Chicks!$M:$M,Chicks!$F:$F,$C17,Chicks!$G:$G,$D17),""))</f>
        <v/>
      </c>
      <c r="K17" s="6" t="str">
        <f>IF($C17="","",SUMIFS(Chicks!$N:$N,Chicks!$F:$F,$C17,Chicks!$G:$G,$D17))</f>
        <v/>
      </c>
      <c r="L17" s="6" t="str">
        <f>IF($C17="","",SUMIFS(Chicks!$O:$O,Chicks!$F:$F,$C17,Chicks!$G:$G,$D17))</f>
        <v/>
      </c>
      <c r="M17" s="6" t="str">
        <f>IF($C17="","",SUMIFS(Chicks!$P:$P,Chicks!$F:$F,$C17,Chicks!$G:$G,$D17))</f>
        <v/>
      </c>
      <c r="N17" s="6" t="str">
        <f t="shared" si="0"/>
        <v/>
      </c>
      <c r="O17" s="6" t="e">
        <f t="shared" ca="1" si="1"/>
        <v>#NAME?</v>
      </c>
      <c r="P17" s="6" t="str">
        <f t="shared" si="2"/>
        <v/>
      </c>
    </row>
    <row r="18" spans="1:16" ht="14.25" customHeight="1" x14ac:dyDescent="0.3">
      <c r="A18" s="4"/>
      <c r="B18" s="4"/>
      <c r="C18" s="4" t="str">
        <f t="shared" si="3"/>
        <v/>
      </c>
      <c r="D18" s="4" t="str">
        <f t="shared" si="4"/>
        <v/>
      </c>
      <c r="E18" s="4"/>
      <c r="F18" s="6" t="str">
        <f>IF($C18="","",COUNTIFS(Chicks!$F:$F,$C18,Chicks!$G:$G,$D18))</f>
        <v/>
      </c>
      <c r="G18" s="6" t="str">
        <f>IF($C18="","",COUNTIFS(Chicks!$F:$F,$C18,Chicks!$G:$G,$D18,Chicks!$I:$I,"Yes"))</f>
        <v/>
      </c>
      <c r="H18" s="6" t="str">
        <f>IF($C18="","",SUMIFS(Chicks!$J:$J,Chicks!$F:$F,$C18,Chicks!$G:$G,$D18))</f>
        <v/>
      </c>
      <c r="I18" s="6" t="str">
        <f>IF($C18="","",COUNTIFS(Chicks!$F:$F,$C18,Chicks!$G:$G,$D18,Chicks!$I:$I,"No"))</f>
        <v/>
      </c>
      <c r="J18" s="6" t="str">
        <f>IF($C18="","",IFERROR(AVERAGEIFS(Chicks!$M:$M,Chicks!$F:$F,$C18,Chicks!$G:$G,$D18),""))</f>
        <v/>
      </c>
      <c r="K18" s="6" t="str">
        <f>IF($C18="","",SUMIFS(Chicks!$N:$N,Chicks!$F:$F,$C18,Chicks!$G:$G,$D18))</f>
        <v/>
      </c>
      <c r="L18" s="6" t="str">
        <f>IF($C18="","",SUMIFS(Chicks!$O:$O,Chicks!$F:$F,$C18,Chicks!$G:$G,$D18))</f>
        <v/>
      </c>
      <c r="M18" s="6" t="str">
        <f>IF($C18="","",SUMIFS(Chicks!$P:$P,Chicks!$F:$F,$C18,Chicks!$G:$G,$D18))</f>
        <v/>
      </c>
      <c r="N18" s="6" t="str">
        <f t="shared" si="0"/>
        <v/>
      </c>
      <c r="O18" s="6" t="e">
        <f t="shared" ca="1" si="1"/>
        <v>#NAME?</v>
      </c>
      <c r="P18" s="6" t="str">
        <f t="shared" si="2"/>
        <v/>
      </c>
    </row>
    <row r="19" spans="1:16" ht="14.25" customHeight="1" x14ac:dyDescent="0.3">
      <c r="A19" s="4"/>
      <c r="B19" s="4"/>
      <c r="C19" s="4" t="str">
        <f t="shared" si="3"/>
        <v/>
      </c>
      <c r="D19" s="4" t="str">
        <f t="shared" si="4"/>
        <v/>
      </c>
      <c r="E19" s="4"/>
      <c r="F19" s="6" t="str">
        <f>IF($C19="","",COUNTIFS(Chicks!$F:$F,$C19,Chicks!$G:$G,$D19))</f>
        <v/>
      </c>
      <c r="G19" s="6" t="str">
        <f>IF($C19="","",COUNTIFS(Chicks!$F:$F,$C19,Chicks!$G:$G,$D19,Chicks!$I:$I,"Yes"))</f>
        <v/>
      </c>
      <c r="H19" s="6" t="str">
        <f>IF($C19="","",SUMIFS(Chicks!$J:$J,Chicks!$F:$F,$C19,Chicks!$G:$G,$D19))</f>
        <v/>
      </c>
      <c r="I19" s="6" t="str">
        <f>IF($C19="","",COUNTIFS(Chicks!$F:$F,$C19,Chicks!$G:$G,$D19,Chicks!$I:$I,"No"))</f>
        <v/>
      </c>
      <c r="J19" s="6" t="str">
        <f>IF($C19="","",IFERROR(AVERAGEIFS(Chicks!$M:$M,Chicks!$F:$F,$C19,Chicks!$G:$G,$D19),""))</f>
        <v/>
      </c>
      <c r="K19" s="6" t="str">
        <f>IF($C19="","",SUMIFS(Chicks!$N:$N,Chicks!$F:$F,$C19,Chicks!$G:$G,$D19))</f>
        <v/>
      </c>
      <c r="L19" s="6" t="str">
        <f>IF($C19="","",SUMIFS(Chicks!$O:$O,Chicks!$F:$F,$C19,Chicks!$G:$G,$D19))</f>
        <v/>
      </c>
      <c r="M19" s="6" t="str">
        <f>IF($C19="","",SUMIFS(Chicks!$P:$P,Chicks!$F:$F,$C19,Chicks!$G:$G,$D19))</f>
        <v/>
      </c>
      <c r="N19" s="6" t="str">
        <f t="shared" si="0"/>
        <v/>
      </c>
      <c r="O19" s="6" t="e">
        <f t="shared" ca="1" si="1"/>
        <v>#NAME?</v>
      </c>
      <c r="P19" s="6" t="str">
        <f t="shared" si="2"/>
        <v/>
      </c>
    </row>
    <row r="20" spans="1:16" ht="14.25" customHeight="1" x14ac:dyDescent="0.3">
      <c r="A20" s="4"/>
      <c r="B20" s="4"/>
      <c r="C20" s="4" t="str">
        <f t="shared" si="3"/>
        <v/>
      </c>
      <c r="D20" s="4" t="str">
        <f t="shared" si="4"/>
        <v/>
      </c>
      <c r="E20" s="4"/>
      <c r="F20" s="6" t="str">
        <f>IF($C20="","",COUNTIFS(Chicks!$F:$F,$C20,Chicks!$G:$G,$D20))</f>
        <v/>
      </c>
      <c r="G20" s="6" t="str">
        <f>IF($C20="","",COUNTIFS(Chicks!$F:$F,$C20,Chicks!$G:$G,$D20,Chicks!$I:$I,"Yes"))</f>
        <v/>
      </c>
      <c r="H20" s="6" t="str">
        <f>IF($C20="","",SUMIFS(Chicks!$J:$J,Chicks!$F:$F,$C20,Chicks!$G:$G,$D20))</f>
        <v/>
      </c>
      <c r="I20" s="6" t="str">
        <f>IF($C20="","",COUNTIFS(Chicks!$F:$F,$C20,Chicks!$G:$G,$D20,Chicks!$I:$I,"No"))</f>
        <v/>
      </c>
      <c r="J20" s="6" t="str">
        <f>IF($C20="","",IFERROR(AVERAGEIFS(Chicks!$M:$M,Chicks!$F:$F,$C20,Chicks!$G:$G,$D20),""))</f>
        <v/>
      </c>
      <c r="K20" s="6" t="str">
        <f>IF($C20="","",SUMIFS(Chicks!$N:$N,Chicks!$F:$F,$C20,Chicks!$G:$G,$D20))</f>
        <v/>
      </c>
      <c r="L20" s="6" t="str">
        <f>IF($C20="","",SUMIFS(Chicks!$O:$O,Chicks!$F:$F,$C20,Chicks!$G:$G,$D20))</f>
        <v/>
      </c>
      <c r="M20" s="6" t="str">
        <f>IF($C20="","",SUMIFS(Chicks!$P:$P,Chicks!$F:$F,$C20,Chicks!$G:$G,$D20))</f>
        <v/>
      </c>
      <c r="N20" s="6" t="str">
        <f t="shared" si="0"/>
        <v/>
      </c>
      <c r="O20" s="6" t="e">
        <f t="shared" ca="1" si="1"/>
        <v>#NAME?</v>
      </c>
      <c r="P20" s="6" t="str">
        <f t="shared" si="2"/>
        <v/>
      </c>
    </row>
    <row r="21" spans="1:16" ht="14.25" customHeight="1" x14ac:dyDescent="0.3">
      <c r="A21" s="4"/>
      <c r="B21" s="4"/>
      <c r="C21" s="4" t="str">
        <f t="shared" si="3"/>
        <v/>
      </c>
      <c r="D21" s="4" t="str">
        <f t="shared" si="4"/>
        <v/>
      </c>
      <c r="E21" s="4"/>
      <c r="F21" s="6" t="str">
        <f>IF($C21="","",COUNTIFS(Chicks!$F:$F,$C21,Chicks!$G:$G,$D21))</f>
        <v/>
      </c>
      <c r="G21" s="6" t="str">
        <f>IF($C21="","",COUNTIFS(Chicks!$F:$F,$C21,Chicks!$G:$G,$D21,Chicks!$I:$I,"Yes"))</f>
        <v/>
      </c>
      <c r="H21" s="6" t="str">
        <f>IF($C21="","",SUMIFS(Chicks!$J:$J,Chicks!$F:$F,$C21,Chicks!$G:$G,$D21))</f>
        <v/>
      </c>
      <c r="I21" s="6" t="str">
        <f>IF($C21="","",COUNTIFS(Chicks!$F:$F,$C21,Chicks!$G:$G,$D21,Chicks!$I:$I,"No"))</f>
        <v/>
      </c>
      <c r="J21" s="6" t="str">
        <f>IF($C21="","",IFERROR(AVERAGEIFS(Chicks!$M:$M,Chicks!$F:$F,$C21,Chicks!$G:$G,$D21),""))</f>
        <v/>
      </c>
      <c r="K21" s="6" t="str">
        <f>IF($C21="","",SUMIFS(Chicks!$N:$N,Chicks!$F:$F,$C21,Chicks!$G:$G,$D21))</f>
        <v/>
      </c>
      <c r="L21" s="6" t="str">
        <f>IF($C21="","",SUMIFS(Chicks!$O:$O,Chicks!$F:$F,$C21,Chicks!$G:$G,$D21))</f>
        <v/>
      </c>
      <c r="M21" s="6" t="str">
        <f>IF($C21="","",SUMIFS(Chicks!$P:$P,Chicks!$F:$F,$C21,Chicks!$G:$G,$D21))</f>
        <v/>
      </c>
      <c r="N21" s="6" t="str">
        <f t="shared" si="0"/>
        <v/>
      </c>
      <c r="O21" s="6" t="e">
        <f t="shared" ca="1" si="1"/>
        <v>#NAME?</v>
      </c>
      <c r="P21" s="6" t="str">
        <f t="shared" si="2"/>
        <v/>
      </c>
    </row>
    <row r="22" spans="1:16" ht="14.25" customHeight="1" x14ac:dyDescent="0.3">
      <c r="A22" s="4"/>
      <c r="B22" s="4"/>
      <c r="C22" s="4" t="str">
        <f t="shared" si="3"/>
        <v/>
      </c>
      <c r="D22" s="4" t="str">
        <f t="shared" si="4"/>
        <v/>
      </c>
      <c r="E22" s="4"/>
      <c r="F22" s="6" t="str">
        <f>IF($C22="","",COUNTIFS(Chicks!$F:$F,$C22,Chicks!$G:$G,$D22))</f>
        <v/>
      </c>
      <c r="G22" s="6" t="str">
        <f>IF($C22="","",COUNTIFS(Chicks!$F:$F,$C22,Chicks!$G:$G,$D22,Chicks!$I:$I,"Yes"))</f>
        <v/>
      </c>
      <c r="H22" s="6" t="str">
        <f>IF($C22="","",SUMIFS(Chicks!$J:$J,Chicks!$F:$F,$C22,Chicks!$G:$G,$D22))</f>
        <v/>
      </c>
      <c r="I22" s="6" t="str">
        <f>IF($C22="","",COUNTIFS(Chicks!$F:$F,$C22,Chicks!$G:$G,$D22,Chicks!$I:$I,"No"))</f>
        <v/>
      </c>
      <c r="J22" s="6" t="str">
        <f>IF($C22="","",IFERROR(AVERAGEIFS(Chicks!$M:$M,Chicks!$F:$F,$C22,Chicks!$G:$G,$D22),""))</f>
        <v/>
      </c>
      <c r="K22" s="6" t="str">
        <f>IF($C22="","",SUMIFS(Chicks!$N:$N,Chicks!$F:$F,$C22,Chicks!$G:$G,$D22))</f>
        <v/>
      </c>
      <c r="L22" s="6" t="str">
        <f>IF($C22="","",SUMIFS(Chicks!$O:$O,Chicks!$F:$F,$C22,Chicks!$G:$G,$D22))</f>
        <v/>
      </c>
      <c r="M22" s="6" t="str">
        <f>IF($C22="","",SUMIFS(Chicks!$P:$P,Chicks!$F:$F,$C22,Chicks!$G:$G,$D22))</f>
        <v/>
      </c>
      <c r="N22" s="6" t="str">
        <f t="shared" si="0"/>
        <v/>
      </c>
      <c r="O22" s="6" t="e">
        <f t="shared" ca="1" si="1"/>
        <v>#NAME?</v>
      </c>
      <c r="P22" s="6" t="str">
        <f t="shared" si="2"/>
        <v/>
      </c>
    </row>
    <row r="23" spans="1:16" ht="14.25" customHeight="1" x14ac:dyDescent="0.3">
      <c r="A23" s="4"/>
      <c r="B23" s="4"/>
      <c r="C23" s="4" t="str">
        <f t="shared" si="3"/>
        <v/>
      </c>
      <c r="D23" s="4" t="str">
        <f t="shared" si="4"/>
        <v/>
      </c>
      <c r="E23" s="4"/>
      <c r="F23" s="6" t="str">
        <f>IF($C23="","",COUNTIFS(Chicks!$F:$F,$C23,Chicks!$G:$G,$D23))</f>
        <v/>
      </c>
      <c r="G23" s="6" t="str">
        <f>IF($C23="","",COUNTIFS(Chicks!$F:$F,$C23,Chicks!$G:$G,$D23,Chicks!$I:$I,"Yes"))</f>
        <v/>
      </c>
      <c r="H23" s="6" t="str">
        <f>IF($C23="","",SUMIFS(Chicks!$J:$J,Chicks!$F:$F,$C23,Chicks!$G:$G,$D23))</f>
        <v/>
      </c>
      <c r="I23" s="6" t="str">
        <f>IF($C23="","",COUNTIFS(Chicks!$F:$F,$C23,Chicks!$G:$G,$D23,Chicks!$I:$I,"No"))</f>
        <v/>
      </c>
      <c r="J23" s="6" t="str">
        <f>IF($C23="","",IFERROR(AVERAGEIFS(Chicks!$M:$M,Chicks!$F:$F,$C23,Chicks!$G:$G,$D23),""))</f>
        <v/>
      </c>
      <c r="K23" s="6" t="str">
        <f>IF($C23="","",SUMIFS(Chicks!$N:$N,Chicks!$F:$F,$C23,Chicks!$G:$G,$D23))</f>
        <v/>
      </c>
      <c r="L23" s="6" t="str">
        <f>IF($C23="","",SUMIFS(Chicks!$O:$O,Chicks!$F:$F,$C23,Chicks!$G:$G,$D23))</f>
        <v/>
      </c>
      <c r="M23" s="6" t="str">
        <f>IF($C23="","",SUMIFS(Chicks!$P:$P,Chicks!$F:$F,$C23,Chicks!$G:$G,$D23))</f>
        <v/>
      </c>
      <c r="N23" s="6" t="str">
        <f t="shared" si="0"/>
        <v/>
      </c>
      <c r="O23" s="6" t="e">
        <f t="shared" ca="1" si="1"/>
        <v>#NAME?</v>
      </c>
      <c r="P23" s="6" t="str">
        <f t="shared" si="2"/>
        <v/>
      </c>
    </row>
    <row r="24" spans="1:16" ht="14.25" customHeight="1" x14ac:dyDescent="0.3">
      <c r="A24" s="4"/>
      <c r="B24" s="4"/>
      <c r="C24" s="4" t="str">
        <f t="shared" si="3"/>
        <v/>
      </c>
      <c r="D24" s="4" t="str">
        <f t="shared" si="4"/>
        <v/>
      </c>
      <c r="E24" s="4"/>
      <c r="F24" s="6" t="str">
        <f>IF($C24="","",COUNTIFS(Chicks!$F:$F,$C24,Chicks!$G:$G,$D24))</f>
        <v/>
      </c>
      <c r="G24" s="6" t="str">
        <f>IF($C24="","",COUNTIFS(Chicks!$F:$F,$C24,Chicks!$G:$G,$D24,Chicks!$I:$I,"Yes"))</f>
        <v/>
      </c>
      <c r="H24" s="6" t="str">
        <f>IF($C24="","",SUMIFS(Chicks!$J:$J,Chicks!$F:$F,$C24,Chicks!$G:$G,$D24))</f>
        <v/>
      </c>
      <c r="I24" s="6" t="str">
        <f>IF($C24="","",COUNTIFS(Chicks!$F:$F,$C24,Chicks!$G:$G,$D24,Chicks!$I:$I,"No"))</f>
        <v/>
      </c>
      <c r="J24" s="6" t="str">
        <f>IF($C24="","",IFERROR(AVERAGEIFS(Chicks!$M:$M,Chicks!$F:$F,$C24,Chicks!$G:$G,$D24),""))</f>
        <v/>
      </c>
      <c r="K24" s="6" t="str">
        <f>IF($C24="","",SUMIFS(Chicks!$N:$N,Chicks!$F:$F,$C24,Chicks!$G:$G,$D24))</f>
        <v/>
      </c>
      <c r="L24" s="6" t="str">
        <f>IF($C24="","",SUMIFS(Chicks!$O:$O,Chicks!$F:$F,$C24,Chicks!$G:$G,$D24))</f>
        <v/>
      </c>
      <c r="M24" s="6" t="str">
        <f>IF($C24="","",SUMIFS(Chicks!$P:$P,Chicks!$F:$F,$C24,Chicks!$G:$G,$D24))</f>
        <v/>
      </c>
      <c r="N24" s="6" t="str">
        <f t="shared" si="0"/>
        <v/>
      </c>
      <c r="O24" s="6" t="e">
        <f t="shared" ca="1" si="1"/>
        <v>#NAME?</v>
      </c>
      <c r="P24" s="6" t="str">
        <f t="shared" si="2"/>
        <v/>
      </c>
    </row>
    <row r="25" spans="1:16" ht="14.25" customHeight="1" x14ac:dyDescent="0.3">
      <c r="A25" s="4"/>
      <c r="B25" s="4"/>
      <c r="C25" s="4" t="str">
        <f t="shared" si="3"/>
        <v/>
      </c>
      <c r="D25" s="4" t="str">
        <f t="shared" si="4"/>
        <v/>
      </c>
      <c r="E25" s="4"/>
      <c r="F25" s="6" t="str">
        <f>IF($C25="","",COUNTIFS(Chicks!$F:$F,$C25,Chicks!$G:$G,$D25))</f>
        <v/>
      </c>
      <c r="G25" s="6" t="str">
        <f>IF($C25="","",COUNTIFS(Chicks!$F:$F,$C25,Chicks!$G:$G,$D25,Chicks!$I:$I,"Yes"))</f>
        <v/>
      </c>
      <c r="H25" s="6" t="str">
        <f>IF($C25="","",SUMIFS(Chicks!$J:$J,Chicks!$F:$F,$C25,Chicks!$G:$G,$D25))</f>
        <v/>
      </c>
      <c r="I25" s="6" t="str">
        <f>IF($C25="","",COUNTIFS(Chicks!$F:$F,$C25,Chicks!$G:$G,$D25,Chicks!$I:$I,"No"))</f>
        <v/>
      </c>
      <c r="J25" s="6" t="str">
        <f>IF($C25="","",IFERROR(AVERAGEIFS(Chicks!$M:$M,Chicks!$F:$F,$C25,Chicks!$G:$G,$D25),""))</f>
        <v/>
      </c>
      <c r="K25" s="6" t="str">
        <f>IF($C25="","",SUMIFS(Chicks!$N:$N,Chicks!$F:$F,$C25,Chicks!$G:$G,$D25))</f>
        <v/>
      </c>
      <c r="L25" s="6" t="str">
        <f>IF($C25="","",SUMIFS(Chicks!$O:$O,Chicks!$F:$F,$C25,Chicks!$G:$G,$D25))</f>
        <v/>
      </c>
      <c r="M25" s="6" t="str">
        <f>IF($C25="","",SUMIFS(Chicks!$P:$P,Chicks!$F:$F,$C25,Chicks!$G:$G,$D25))</f>
        <v/>
      </c>
      <c r="N25" s="6" t="str">
        <f t="shared" si="0"/>
        <v/>
      </c>
      <c r="O25" s="6" t="e">
        <f t="shared" ca="1" si="1"/>
        <v>#NAME?</v>
      </c>
      <c r="P25" s="6" t="str">
        <f t="shared" si="2"/>
        <v/>
      </c>
    </row>
    <row r="26" spans="1:16" ht="14.25" customHeight="1" x14ac:dyDescent="0.3">
      <c r="A26" s="4"/>
      <c r="B26" s="4"/>
      <c r="C26" s="4" t="str">
        <f t="shared" si="3"/>
        <v/>
      </c>
      <c r="D26" s="4" t="str">
        <f t="shared" si="4"/>
        <v/>
      </c>
      <c r="E26" s="4"/>
      <c r="F26" s="6" t="str">
        <f>IF($C26="","",COUNTIFS(Chicks!$F:$F,$C26,Chicks!$G:$G,$D26))</f>
        <v/>
      </c>
      <c r="G26" s="6" t="str">
        <f>IF($C26="","",COUNTIFS(Chicks!$F:$F,$C26,Chicks!$G:$G,$D26,Chicks!$I:$I,"Yes"))</f>
        <v/>
      </c>
      <c r="H26" s="6" t="str">
        <f>IF($C26="","",SUMIFS(Chicks!$J:$J,Chicks!$F:$F,$C26,Chicks!$G:$G,$D26))</f>
        <v/>
      </c>
      <c r="I26" s="6" t="str">
        <f>IF($C26="","",COUNTIFS(Chicks!$F:$F,$C26,Chicks!$G:$G,$D26,Chicks!$I:$I,"No"))</f>
        <v/>
      </c>
      <c r="J26" s="6" t="str">
        <f>IF($C26="","",IFERROR(AVERAGEIFS(Chicks!$M:$M,Chicks!$F:$F,$C26,Chicks!$G:$G,$D26),""))</f>
        <v/>
      </c>
      <c r="K26" s="6" t="str">
        <f>IF($C26="","",SUMIFS(Chicks!$N:$N,Chicks!$F:$F,$C26,Chicks!$G:$G,$D26))</f>
        <v/>
      </c>
      <c r="L26" s="6" t="str">
        <f>IF($C26="","",SUMIFS(Chicks!$O:$O,Chicks!$F:$F,$C26,Chicks!$G:$G,$D26))</f>
        <v/>
      </c>
      <c r="M26" s="6" t="str">
        <f>IF($C26="","",SUMIFS(Chicks!$P:$P,Chicks!$F:$F,$C26,Chicks!$G:$G,$D26))</f>
        <v/>
      </c>
      <c r="N26" s="6" t="str">
        <f t="shared" si="0"/>
        <v/>
      </c>
      <c r="O26" s="6" t="e">
        <f t="shared" ca="1" si="1"/>
        <v>#NAME?</v>
      </c>
      <c r="P26" s="6" t="str">
        <f t="shared" si="2"/>
        <v/>
      </c>
    </row>
    <row r="27" spans="1:16" ht="14.25" customHeight="1" x14ac:dyDescent="0.3">
      <c r="A27" s="4"/>
      <c r="B27" s="4"/>
      <c r="C27" s="4" t="str">
        <f t="shared" si="3"/>
        <v/>
      </c>
      <c r="D27" s="4" t="str">
        <f t="shared" si="4"/>
        <v/>
      </c>
      <c r="E27" s="4"/>
      <c r="F27" s="6" t="str">
        <f>IF($C27="","",COUNTIFS(Chicks!$F:$F,$C27,Chicks!$G:$G,$D27))</f>
        <v/>
      </c>
      <c r="G27" s="6" t="str">
        <f>IF($C27="","",COUNTIFS(Chicks!$F:$F,$C27,Chicks!$G:$G,$D27,Chicks!$I:$I,"Yes"))</f>
        <v/>
      </c>
      <c r="H27" s="6" t="str">
        <f>IF($C27="","",SUMIFS(Chicks!$J:$J,Chicks!$F:$F,$C27,Chicks!$G:$G,$D27))</f>
        <v/>
      </c>
      <c r="I27" s="6" t="str">
        <f>IF($C27="","",COUNTIFS(Chicks!$F:$F,$C27,Chicks!$G:$G,$D27,Chicks!$I:$I,"No"))</f>
        <v/>
      </c>
      <c r="J27" s="6" t="str">
        <f>IF($C27="","",IFERROR(AVERAGEIFS(Chicks!$M:$M,Chicks!$F:$F,$C27,Chicks!$G:$G,$D27),""))</f>
        <v/>
      </c>
      <c r="K27" s="6" t="str">
        <f>IF($C27="","",SUMIFS(Chicks!$N:$N,Chicks!$F:$F,$C27,Chicks!$G:$G,$D27))</f>
        <v/>
      </c>
      <c r="L27" s="6" t="str">
        <f>IF($C27="","",SUMIFS(Chicks!$O:$O,Chicks!$F:$F,$C27,Chicks!$G:$G,$D27))</f>
        <v/>
      </c>
      <c r="M27" s="6" t="str">
        <f>IF($C27="","",SUMIFS(Chicks!$P:$P,Chicks!$F:$F,$C27,Chicks!$G:$G,$D27))</f>
        <v/>
      </c>
      <c r="N27" s="6" t="str">
        <f t="shared" si="0"/>
        <v/>
      </c>
      <c r="O27" s="6" t="e">
        <f t="shared" ca="1" si="1"/>
        <v>#NAME?</v>
      </c>
      <c r="P27" s="6" t="str">
        <f t="shared" si="2"/>
        <v/>
      </c>
    </row>
    <row r="28" spans="1:16" ht="14.25" customHeight="1" x14ac:dyDescent="0.3">
      <c r="A28" s="4"/>
      <c r="B28" s="4"/>
      <c r="C28" s="4" t="str">
        <f t="shared" si="3"/>
        <v/>
      </c>
      <c r="D28" s="4" t="str">
        <f t="shared" si="4"/>
        <v/>
      </c>
      <c r="E28" s="4"/>
      <c r="F28" s="6" t="str">
        <f>IF($C28="","",COUNTIFS(Chicks!$F:$F,$C28,Chicks!$G:$G,$D28))</f>
        <v/>
      </c>
      <c r="G28" s="6" t="str">
        <f>IF($C28="","",COUNTIFS(Chicks!$F:$F,$C28,Chicks!$G:$G,$D28,Chicks!$I:$I,"Yes"))</f>
        <v/>
      </c>
      <c r="H28" s="6" t="str">
        <f>IF($C28="","",SUMIFS(Chicks!$J:$J,Chicks!$F:$F,$C28,Chicks!$G:$G,$D28))</f>
        <v/>
      </c>
      <c r="I28" s="6" t="str">
        <f>IF($C28="","",COUNTIFS(Chicks!$F:$F,$C28,Chicks!$G:$G,$D28,Chicks!$I:$I,"No"))</f>
        <v/>
      </c>
      <c r="J28" s="6" t="str">
        <f>IF($C28="","",IFERROR(AVERAGEIFS(Chicks!$M:$M,Chicks!$F:$F,$C28,Chicks!$G:$G,$D28),""))</f>
        <v/>
      </c>
      <c r="K28" s="6" t="str">
        <f>IF($C28="","",SUMIFS(Chicks!$N:$N,Chicks!$F:$F,$C28,Chicks!$G:$G,$D28))</f>
        <v/>
      </c>
      <c r="L28" s="6" t="str">
        <f>IF($C28="","",SUMIFS(Chicks!$O:$O,Chicks!$F:$F,$C28,Chicks!$G:$G,$D28))</f>
        <v/>
      </c>
      <c r="M28" s="6" t="str">
        <f>IF($C28="","",SUMIFS(Chicks!$P:$P,Chicks!$F:$F,$C28,Chicks!$G:$G,$D28))</f>
        <v/>
      </c>
      <c r="N28" s="6" t="str">
        <f t="shared" si="0"/>
        <v/>
      </c>
      <c r="O28" s="6" t="e">
        <f t="shared" ca="1" si="1"/>
        <v>#NAME?</v>
      </c>
      <c r="P28" s="6" t="str">
        <f t="shared" si="2"/>
        <v/>
      </c>
    </row>
    <row r="29" spans="1:16" ht="14.25" customHeight="1" x14ac:dyDescent="0.3">
      <c r="A29" s="4"/>
      <c r="B29" s="4"/>
      <c r="C29" s="4" t="str">
        <f t="shared" si="3"/>
        <v/>
      </c>
      <c r="D29" s="4" t="str">
        <f t="shared" si="4"/>
        <v/>
      </c>
      <c r="E29" s="4"/>
      <c r="F29" s="6" t="str">
        <f>IF($C29="","",COUNTIFS(Chicks!$F:$F,$C29,Chicks!$G:$G,$D29))</f>
        <v/>
      </c>
      <c r="G29" s="6" t="str">
        <f>IF($C29="","",COUNTIFS(Chicks!$F:$F,$C29,Chicks!$G:$G,$D29,Chicks!$I:$I,"Yes"))</f>
        <v/>
      </c>
      <c r="H29" s="6" t="str">
        <f>IF($C29="","",SUMIFS(Chicks!$J:$J,Chicks!$F:$F,$C29,Chicks!$G:$G,$D29))</f>
        <v/>
      </c>
      <c r="I29" s="6" t="str">
        <f>IF($C29="","",COUNTIFS(Chicks!$F:$F,$C29,Chicks!$G:$G,$D29,Chicks!$I:$I,"No"))</f>
        <v/>
      </c>
      <c r="J29" s="6" t="str">
        <f>IF($C29="","",IFERROR(AVERAGEIFS(Chicks!$M:$M,Chicks!$F:$F,$C29,Chicks!$G:$G,$D29),""))</f>
        <v/>
      </c>
      <c r="K29" s="6" t="str">
        <f>IF($C29="","",SUMIFS(Chicks!$N:$N,Chicks!$F:$F,$C29,Chicks!$G:$G,$D29))</f>
        <v/>
      </c>
      <c r="L29" s="6" t="str">
        <f>IF($C29="","",SUMIFS(Chicks!$O:$O,Chicks!$F:$F,$C29,Chicks!$G:$G,$D29))</f>
        <v/>
      </c>
      <c r="M29" s="6" t="str">
        <f>IF($C29="","",SUMIFS(Chicks!$P:$P,Chicks!$F:$F,$C29,Chicks!$G:$G,$D29))</f>
        <v/>
      </c>
      <c r="N29" s="6" t="str">
        <f t="shared" si="0"/>
        <v/>
      </c>
      <c r="O29" s="6" t="e">
        <f t="shared" ca="1" si="1"/>
        <v>#NAME?</v>
      </c>
      <c r="P29" s="6" t="str">
        <f t="shared" si="2"/>
        <v/>
      </c>
    </row>
    <row r="30" spans="1:16" ht="14.25" customHeight="1" x14ac:dyDescent="0.3">
      <c r="A30" s="4"/>
      <c r="B30" s="4"/>
      <c r="C30" s="4" t="str">
        <f t="shared" si="3"/>
        <v/>
      </c>
      <c r="D30" s="4" t="str">
        <f t="shared" si="4"/>
        <v/>
      </c>
      <c r="E30" s="4"/>
      <c r="F30" s="6" t="str">
        <f>IF($C30="","",COUNTIFS(Chicks!$F:$F,$C30,Chicks!$G:$G,$D30))</f>
        <v/>
      </c>
      <c r="G30" s="6" t="str">
        <f>IF($C30="","",COUNTIFS(Chicks!$F:$F,$C30,Chicks!$G:$G,$D30,Chicks!$I:$I,"Yes"))</f>
        <v/>
      </c>
      <c r="H30" s="6" t="str">
        <f>IF($C30="","",SUMIFS(Chicks!$J:$J,Chicks!$F:$F,$C30,Chicks!$G:$G,$D30))</f>
        <v/>
      </c>
      <c r="I30" s="6" t="str">
        <f>IF($C30="","",COUNTIFS(Chicks!$F:$F,$C30,Chicks!$G:$G,$D30,Chicks!$I:$I,"No"))</f>
        <v/>
      </c>
      <c r="J30" s="6" t="str">
        <f>IF($C30="","",IFERROR(AVERAGEIFS(Chicks!$M:$M,Chicks!$F:$F,$C30,Chicks!$G:$G,$D30),""))</f>
        <v/>
      </c>
      <c r="K30" s="6" t="str">
        <f>IF($C30="","",SUMIFS(Chicks!$N:$N,Chicks!$F:$F,$C30,Chicks!$G:$G,$D30))</f>
        <v/>
      </c>
      <c r="L30" s="6" t="str">
        <f>IF($C30="","",SUMIFS(Chicks!$O:$O,Chicks!$F:$F,$C30,Chicks!$G:$G,$D30))</f>
        <v/>
      </c>
      <c r="M30" s="6" t="str">
        <f>IF($C30="","",SUMIFS(Chicks!$P:$P,Chicks!$F:$F,$C30,Chicks!$G:$G,$D30))</f>
        <v/>
      </c>
      <c r="N30" s="6" t="str">
        <f t="shared" si="0"/>
        <v/>
      </c>
      <c r="O30" s="6" t="e">
        <f t="shared" ca="1" si="1"/>
        <v>#NAME?</v>
      </c>
      <c r="P30" s="6" t="str">
        <f t="shared" si="2"/>
        <v/>
      </c>
    </row>
    <row r="31" spans="1:16" ht="14.25" customHeight="1" x14ac:dyDescent="0.3">
      <c r="A31" s="4"/>
      <c r="B31" s="4"/>
      <c r="C31" s="4" t="str">
        <f t="shared" si="3"/>
        <v/>
      </c>
      <c r="D31" s="4" t="str">
        <f t="shared" si="4"/>
        <v/>
      </c>
      <c r="E31" s="4"/>
      <c r="F31" s="6" t="str">
        <f>IF($C31="","",COUNTIFS(Chicks!$F:$F,$C31,Chicks!$G:$G,$D31))</f>
        <v/>
      </c>
      <c r="G31" s="6" t="str">
        <f>IF($C31="","",COUNTIFS(Chicks!$F:$F,$C31,Chicks!$G:$G,$D31,Chicks!$I:$I,"Yes"))</f>
        <v/>
      </c>
      <c r="H31" s="6" t="str">
        <f>IF($C31="","",SUMIFS(Chicks!$J:$J,Chicks!$F:$F,$C31,Chicks!$G:$G,$D31))</f>
        <v/>
      </c>
      <c r="I31" s="6" t="str">
        <f>IF($C31="","",COUNTIFS(Chicks!$F:$F,$C31,Chicks!$G:$G,$D31,Chicks!$I:$I,"No"))</f>
        <v/>
      </c>
      <c r="J31" s="6" t="str">
        <f>IF($C31="","",IFERROR(AVERAGEIFS(Chicks!$M:$M,Chicks!$F:$F,$C31,Chicks!$G:$G,$D31),""))</f>
        <v/>
      </c>
      <c r="K31" s="6" t="str">
        <f>IF($C31="","",SUMIFS(Chicks!$N:$N,Chicks!$F:$F,$C31,Chicks!$G:$G,$D31))</f>
        <v/>
      </c>
      <c r="L31" s="6" t="str">
        <f>IF($C31="","",SUMIFS(Chicks!$O:$O,Chicks!$F:$F,$C31,Chicks!$G:$G,$D31))</f>
        <v/>
      </c>
      <c r="M31" s="6" t="str">
        <f>IF($C31="","",SUMIFS(Chicks!$P:$P,Chicks!$F:$F,$C31,Chicks!$G:$G,$D31))</f>
        <v/>
      </c>
      <c r="N31" s="6" t="str">
        <f t="shared" si="0"/>
        <v/>
      </c>
      <c r="O31" s="6" t="e">
        <f t="shared" ca="1" si="1"/>
        <v>#NAME?</v>
      </c>
      <c r="P31" s="6" t="str">
        <f t="shared" si="2"/>
        <v/>
      </c>
    </row>
    <row r="32" spans="1:16" ht="14.25" customHeight="1" x14ac:dyDescent="0.3">
      <c r="A32" s="4"/>
      <c r="B32" s="4"/>
      <c r="C32" s="4" t="str">
        <f t="shared" si="3"/>
        <v/>
      </c>
      <c r="D32" s="4" t="str">
        <f t="shared" si="4"/>
        <v/>
      </c>
      <c r="E32" s="4"/>
      <c r="F32" s="6" t="str">
        <f>IF($C32="","",COUNTIFS(Chicks!$F:$F,$C32,Chicks!$G:$G,$D32))</f>
        <v/>
      </c>
      <c r="G32" s="6" t="str">
        <f>IF($C32="","",COUNTIFS(Chicks!$F:$F,$C32,Chicks!$G:$G,$D32,Chicks!$I:$I,"Yes"))</f>
        <v/>
      </c>
      <c r="H32" s="6" t="str">
        <f>IF($C32="","",SUMIFS(Chicks!$J:$J,Chicks!$F:$F,$C32,Chicks!$G:$G,$D32))</f>
        <v/>
      </c>
      <c r="I32" s="6" t="str">
        <f>IF($C32="","",COUNTIFS(Chicks!$F:$F,$C32,Chicks!$G:$G,$D32,Chicks!$I:$I,"No"))</f>
        <v/>
      </c>
      <c r="J32" s="6" t="str">
        <f>IF($C32="","",IFERROR(AVERAGEIFS(Chicks!$M:$M,Chicks!$F:$F,$C32,Chicks!$G:$G,$D32),""))</f>
        <v/>
      </c>
      <c r="K32" s="6" t="str">
        <f>IF($C32="","",SUMIFS(Chicks!$N:$N,Chicks!$F:$F,$C32,Chicks!$G:$G,$D32))</f>
        <v/>
      </c>
      <c r="L32" s="6" t="str">
        <f>IF($C32="","",SUMIFS(Chicks!$O:$O,Chicks!$F:$F,$C32,Chicks!$G:$G,$D32))</f>
        <v/>
      </c>
      <c r="M32" s="6" t="str">
        <f>IF($C32="","",SUMIFS(Chicks!$P:$P,Chicks!$F:$F,$C32,Chicks!$G:$G,$D32))</f>
        <v/>
      </c>
      <c r="N32" s="6" t="str">
        <f t="shared" si="0"/>
        <v/>
      </c>
      <c r="O32" s="6" t="e">
        <f t="shared" ca="1" si="1"/>
        <v>#NAME?</v>
      </c>
      <c r="P32" s="6" t="str">
        <f t="shared" si="2"/>
        <v/>
      </c>
    </row>
    <row r="33" spans="1:16" ht="14.25" customHeight="1" x14ac:dyDescent="0.3">
      <c r="A33" s="4"/>
      <c r="B33" s="4"/>
      <c r="C33" s="4" t="str">
        <f t="shared" si="3"/>
        <v/>
      </c>
      <c r="D33" s="4" t="str">
        <f t="shared" si="4"/>
        <v/>
      </c>
      <c r="E33" s="4"/>
      <c r="F33" s="6" t="str">
        <f>IF($C33="","",COUNTIFS(Chicks!$F:$F,$C33,Chicks!$G:$G,$D33))</f>
        <v/>
      </c>
      <c r="G33" s="6" t="str">
        <f>IF($C33="","",COUNTIFS(Chicks!$F:$F,$C33,Chicks!$G:$G,$D33,Chicks!$I:$I,"Yes"))</f>
        <v/>
      </c>
      <c r="H33" s="6" t="str">
        <f>IF($C33="","",SUMIFS(Chicks!$J:$J,Chicks!$F:$F,$C33,Chicks!$G:$G,$D33))</f>
        <v/>
      </c>
      <c r="I33" s="6" t="str">
        <f>IF($C33="","",COUNTIFS(Chicks!$F:$F,$C33,Chicks!$G:$G,$D33,Chicks!$I:$I,"No"))</f>
        <v/>
      </c>
      <c r="J33" s="6" t="str">
        <f>IF($C33="","",IFERROR(AVERAGEIFS(Chicks!$M:$M,Chicks!$F:$F,$C33,Chicks!$G:$G,$D33),""))</f>
        <v/>
      </c>
      <c r="K33" s="6" t="str">
        <f>IF($C33="","",SUMIFS(Chicks!$N:$N,Chicks!$F:$F,$C33,Chicks!$G:$G,$D33))</f>
        <v/>
      </c>
      <c r="L33" s="6" t="str">
        <f>IF($C33="","",SUMIFS(Chicks!$O:$O,Chicks!$F:$F,$C33,Chicks!$G:$G,$D33))</f>
        <v/>
      </c>
      <c r="M33" s="6" t="str">
        <f>IF($C33="","",SUMIFS(Chicks!$P:$P,Chicks!$F:$F,$C33,Chicks!$G:$G,$D33))</f>
        <v/>
      </c>
      <c r="N33" s="6" t="str">
        <f t="shared" si="0"/>
        <v/>
      </c>
      <c r="O33" s="6" t="e">
        <f t="shared" ca="1" si="1"/>
        <v>#NAME?</v>
      </c>
      <c r="P33" s="6" t="str">
        <f t="shared" si="2"/>
        <v/>
      </c>
    </row>
    <row r="34" spans="1:16" ht="14.25" customHeight="1" x14ac:dyDescent="0.3">
      <c r="A34" s="4"/>
      <c r="B34" s="4"/>
      <c r="C34" s="4" t="str">
        <f t="shared" si="3"/>
        <v/>
      </c>
      <c r="D34" s="4" t="str">
        <f t="shared" si="4"/>
        <v/>
      </c>
      <c r="E34" s="4"/>
      <c r="F34" s="6" t="str">
        <f>IF($C34="","",COUNTIFS(Chicks!$F:$F,$C34,Chicks!$G:$G,$D34))</f>
        <v/>
      </c>
      <c r="G34" s="6" t="str">
        <f>IF($C34="","",COUNTIFS(Chicks!$F:$F,$C34,Chicks!$G:$G,$D34,Chicks!$I:$I,"Yes"))</f>
        <v/>
      </c>
      <c r="H34" s="6" t="str">
        <f>IF($C34="","",SUMIFS(Chicks!$J:$J,Chicks!$F:$F,$C34,Chicks!$G:$G,$D34))</f>
        <v/>
      </c>
      <c r="I34" s="6" t="str">
        <f>IF($C34="","",COUNTIFS(Chicks!$F:$F,$C34,Chicks!$G:$G,$D34,Chicks!$I:$I,"No"))</f>
        <v/>
      </c>
      <c r="J34" s="6" t="str">
        <f>IF($C34="","",IFERROR(AVERAGEIFS(Chicks!$M:$M,Chicks!$F:$F,$C34,Chicks!$G:$G,$D34),""))</f>
        <v/>
      </c>
      <c r="K34" s="6" t="str">
        <f>IF($C34="","",SUMIFS(Chicks!$N:$N,Chicks!$F:$F,$C34,Chicks!$G:$G,$D34))</f>
        <v/>
      </c>
      <c r="L34" s="6" t="str">
        <f>IF($C34="","",SUMIFS(Chicks!$O:$O,Chicks!$F:$F,$C34,Chicks!$G:$G,$D34))</f>
        <v/>
      </c>
      <c r="M34" s="6" t="str">
        <f>IF($C34="","",SUMIFS(Chicks!$P:$P,Chicks!$F:$F,$C34,Chicks!$G:$G,$D34))</f>
        <v/>
      </c>
      <c r="N34" s="6" t="str">
        <f t="shared" si="0"/>
        <v/>
      </c>
      <c r="O34" s="6" t="e">
        <f t="shared" ca="1" si="1"/>
        <v>#NAME?</v>
      </c>
      <c r="P34" s="6" t="str">
        <f t="shared" si="2"/>
        <v/>
      </c>
    </row>
    <row r="35" spans="1:16" ht="14.25" customHeight="1" x14ac:dyDescent="0.3">
      <c r="A35" s="4"/>
      <c r="B35" s="4"/>
      <c r="C35" s="4" t="str">
        <f t="shared" si="3"/>
        <v/>
      </c>
      <c r="D35" s="4" t="str">
        <f t="shared" si="4"/>
        <v/>
      </c>
      <c r="E35" s="4"/>
      <c r="F35" s="6" t="str">
        <f>IF($C35="","",COUNTIFS(Chicks!$F:$F,$C35,Chicks!$G:$G,$D35))</f>
        <v/>
      </c>
      <c r="G35" s="6" t="str">
        <f>IF($C35="","",COUNTIFS(Chicks!$F:$F,$C35,Chicks!$G:$G,$D35,Chicks!$I:$I,"Yes"))</f>
        <v/>
      </c>
      <c r="H35" s="6" t="str">
        <f>IF($C35="","",SUMIFS(Chicks!$J:$J,Chicks!$F:$F,$C35,Chicks!$G:$G,$D35))</f>
        <v/>
      </c>
      <c r="I35" s="6" t="str">
        <f>IF($C35="","",COUNTIFS(Chicks!$F:$F,$C35,Chicks!$G:$G,$D35,Chicks!$I:$I,"No"))</f>
        <v/>
      </c>
      <c r="J35" s="6" t="str">
        <f>IF($C35="","",IFERROR(AVERAGEIFS(Chicks!$M:$M,Chicks!$F:$F,$C35,Chicks!$G:$G,$D35),""))</f>
        <v/>
      </c>
      <c r="K35" s="6" t="str">
        <f>IF($C35="","",SUMIFS(Chicks!$N:$N,Chicks!$F:$F,$C35,Chicks!$G:$G,$D35))</f>
        <v/>
      </c>
      <c r="L35" s="6" t="str">
        <f>IF($C35="","",SUMIFS(Chicks!$O:$O,Chicks!$F:$F,$C35,Chicks!$G:$G,$D35))</f>
        <v/>
      </c>
      <c r="M35" s="6" t="str">
        <f>IF($C35="","",SUMIFS(Chicks!$P:$P,Chicks!$F:$F,$C35,Chicks!$G:$G,$D35))</f>
        <v/>
      </c>
      <c r="N35" s="6" t="str">
        <f t="shared" si="0"/>
        <v/>
      </c>
      <c r="O35" s="6" t="e">
        <f t="shared" ca="1" si="1"/>
        <v>#NAME?</v>
      </c>
      <c r="P35" s="6" t="str">
        <f t="shared" si="2"/>
        <v/>
      </c>
    </row>
    <row r="36" spans="1:16" ht="14.25" customHeight="1" x14ac:dyDescent="0.3">
      <c r="A36" s="4"/>
      <c r="B36" s="4"/>
      <c r="C36" s="4" t="str">
        <f t="shared" si="3"/>
        <v/>
      </c>
      <c r="D36" s="4" t="str">
        <f t="shared" si="4"/>
        <v/>
      </c>
      <c r="E36" s="4"/>
      <c r="F36" s="6" t="str">
        <f>IF($C36="","",COUNTIFS(Chicks!$F:$F,$C36,Chicks!$G:$G,$D36))</f>
        <v/>
      </c>
      <c r="G36" s="6" t="str">
        <f>IF($C36="","",COUNTIFS(Chicks!$F:$F,$C36,Chicks!$G:$G,$D36,Chicks!$I:$I,"Yes"))</f>
        <v/>
      </c>
      <c r="H36" s="6" t="str">
        <f>IF($C36="","",SUMIFS(Chicks!$J:$J,Chicks!$F:$F,$C36,Chicks!$G:$G,$D36))</f>
        <v/>
      </c>
      <c r="I36" s="6" t="str">
        <f>IF($C36="","",COUNTIFS(Chicks!$F:$F,$C36,Chicks!$G:$G,$D36,Chicks!$I:$I,"No"))</f>
        <v/>
      </c>
      <c r="J36" s="6" t="str">
        <f>IF($C36="","",IFERROR(AVERAGEIFS(Chicks!$M:$M,Chicks!$F:$F,$C36,Chicks!$G:$G,$D36),""))</f>
        <v/>
      </c>
      <c r="K36" s="6" t="str">
        <f>IF($C36="","",SUMIFS(Chicks!$N:$N,Chicks!$F:$F,$C36,Chicks!$G:$G,$D36))</f>
        <v/>
      </c>
      <c r="L36" s="6" t="str">
        <f>IF($C36="","",SUMIFS(Chicks!$O:$O,Chicks!$F:$F,$C36,Chicks!$G:$G,$D36))</f>
        <v/>
      </c>
      <c r="M36" s="6" t="str">
        <f>IF($C36="","",SUMIFS(Chicks!$P:$P,Chicks!$F:$F,$C36,Chicks!$G:$G,$D36))</f>
        <v/>
      </c>
      <c r="N36" s="6" t="str">
        <f t="shared" si="0"/>
        <v/>
      </c>
      <c r="O36" s="6" t="e">
        <f t="shared" ca="1" si="1"/>
        <v>#NAME?</v>
      </c>
      <c r="P36" s="6" t="str">
        <f t="shared" si="2"/>
        <v/>
      </c>
    </row>
    <row r="37" spans="1:16" ht="14.25" customHeight="1" x14ac:dyDescent="0.3">
      <c r="A37" s="4"/>
      <c r="B37" s="4"/>
      <c r="C37" s="4" t="str">
        <f t="shared" si="3"/>
        <v/>
      </c>
      <c r="D37" s="4" t="str">
        <f t="shared" si="4"/>
        <v/>
      </c>
      <c r="E37" s="4"/>
      <c r="F37" s="6" t="str">
        <f>IF($C37="","",COUNTIFS(Chicks!$F:$F,$C37,Chicks!$G:$G,$D37))</f>
        <v/>
      </c>
      <c r="G37" s="6" t="str">
        <f>IF($C37="","",COUNTIFS(Chicks!$F:$F,$C37,Chicks!$G:$G,$D37,Chicks!$I:$I,"Yes"))</f>
        <v/>
      </c>
      <c r="H37" s="6" t="str">
        <f>IF($C37="","",SUMIFS(Chicks!$J:$J,Chicks!$F:$F,$C37,Chicks!$G:$G,$D37))</f>
        <v/>
      </c>
      <c r="I37" s="6" t="str">
        <f>IF($C37="","",COUNTIFS(Chicks!$F:$F,$C37,Chicks!$G:$G,$D37,Chicks!$I:$I,"No"))</f>
        <v/>
      </c>
      <c r="J37" s="6" t="str">
        <f>IF($C37="","",IFERROR(AVERAGEIFS(Chicks!$M:$M,Chicks!$F:$F,$C37,Chicks!$G:$G,$D37),""))</f>
        <v/>
      </c>
      <c r="K37" s="6" t="str">
        <f>IF($C37="","",SUMIFS(Chicks!$N:$N,Chicks!$F:$F,$C37,Chicks!$G:$G,$D37))</f>
        <v/>
      </c>
      <c r="L37" s="6" t="str">
        <f>IF($C37="","",SUMIFS(Chicks!$O:$O,Chicks!$F:$F,$C37,Chicks!$G:$G,$D37))</f>
        <v/>
      </c>
      <c r="M37" s="6" t="str">
        <f>IF($C37="","",SUMIFS(Chicks!$P:$P,Chicks!$F:$F,$C37,Chicks!$G:$G,$D37))</f>
        <v/>
      </c>
      <c r="N37" s="6" t="str">
        <f t="shared" si="0"/>
        <v/>
      </c>
      <c r="O37" s="6" t="e">
        <f t="shared" ca="1" si="1"/>
        <v>#NAME?</v>
      </c>
      <c r="P37" s="6" t="str">
        <f t="shared" si="2"/>
        <v/>
      </c>
    </row>
    <row r="38" spans="1:16" ht="14.25" customHeight="1" x14ac:dyDescent="0.3">
      <c r="A38" s="4"/>
      <c r="B38" s="4"/>
      <c r="C38" s="4" t="str">
        <f t="shared" si="3"/>
        <v/>
      </c>
      <c r="D38" s="4" t="str">
        <f t="shared" si="4"/>
        <v/>
      </c>
      <c r="E38" s="4"/>
      <c r="F38" s="6" t="str">
        <f>IF($C38="","",COUNTIFS(Chicks!$F:$F,$C38,Chicks!$G:$G,$D38))</f>
        <v/>
      </c>
      <c r="G38" s="6" t="str">
        <f>IF($C38="","",COUNTIFS(Chicks!$F:$F,$C38,Chicks!$G:$G,$D38,Chicks!$I:$I,"Yes"))</f>
        <v/>
      </c>
      <c r="H38" s="6" t="str">
        <f>IF($C38="","",SUMIFS(Chicks!$J:$J,Chicks!$F:$F,$C38,Chicks!$G:$G,$D38))</f>
        <v/>
      </c>
      <c r="I38" s="6" t="str">
        <f>IF($C38="","",COUNTIFS(Chicks!$F:$F,$C38,Chicks!$G:$G,$D38,Chicks!$I:$I,"No"))</f>
        <v/>
      </c>
      <c r="J38" s="6" t="str">
        <f>IF($C38="","",IFERROR(AVERAGEIFS(Chicks!$M:$M,Chicks!$F:$F,$C38,Chicks!$G:$G,$D38),""))</f>
        <v/>
      </c>
      <c r="K38" s="6" t="str">
        <f>IF($C38="","",SUMIFS(Chicks!$N:$N,Chicks!$F:$F,$C38,Chicks!$G:$G,$D38))</f>
        <v/>
      </c>
      <c r="L38" s="6" t="str">
        <f>IF($C38="","",SUMIFS(Chicks!$O:$O,Chicks!$F:$F,$C38,Chicks!$G:$G,$D38))</f>
        <v/>
      </c>
      <c r="M38" s="6" t="str">
        <f>IF($C38="","",SUMIFS(Chicks!$P:$P,Chicks!$F:$F,$C38,Chicks!$G:$G,$D38))</f>
        <v/>
      </c>
      <c r="N38" s="6" t="str">
        <f t="shared" si="0"/>
        <v/>
      </c>
      <c r="O38" s="6" t="e">
        <f t="shared" ca="1" si="1"/>
        <v>#NAME?</v>
      </c>
      <c r="P38" s="6" t="str">
        <f t="shared" si="2"/>
        <v/>
      </c>
    </row>
    <row r="39" spans="1:16" ht="14.25" customHeight="1" x14ac:dyDescent="0.3">
      <c r="A39" s="4"/>
      <c r="B39" s="4"/>
      <c r="C39" s="4" t="str">
        <f t="shared" si="3"/>
        <v/>
      </c>
      <c r="D39" s="4" t="str">
        <f t="shared" si="4"/>
        <v/>
      </c>
      <c r="E39" s="4"/>
      <c r="F39" s="6" t="str">
        <f>IF($C39="","",COUNTIFS(Chicks!$F:$F,$C39,Chicks!$G:$G,$D39))</f>
        <v/>
      </c>
      <c r="G39" s="6" t="str">
        <f>IF($C39="","",COUNTIFS(Chicks!$F:$F,$C39,Chicks!$G:$G,$D39,Chicks!$I:$I,"Yes"))</f>
        <v/>
      </c>
      <c r="H39" s="6" t="str">
        <f>IF($C39="","",SUMIFS(Chicks!$J:$J,Chicks!$F:$F,$C39,Chicks!$G:$G,$D39))</f>
        <v/>
      </c>
      <c r="I39" s="6" t="str">
        <f>IF($C39="","",COUNTIFS(Chicks!$F:$F,$C39,Chicks!$G:$G,$D39,Chicks!$I:$I,"No"))</f>
        <v/>
      </c>
      <c r="J39" s="6" t="str">
        <f>IF($C39="","",IFERROR(AVERAGEIFS(Chicks!$M:$M,Chicks!$F:$F,$C39,Chicks!$G:$G,$D39),""))</f>
        <v/>
      </c>
      <c r="K39" s="6" t="str">
        <f>IF($C39="","",SUMIFS(Chicks!$N:$N,Chicks!$F:$F,$C39,Chicks!$G:$G,$D39))</f>
        <v/>
      </c>
      <c r="L39" s="6" t="str">
        <f>IF($C39="","",SUMIFS(Chicks!$O:$O,Chicks!$F:$F,$C39,Chicks!$G:$G,$D39))</f>
        <v/>
      </c>
      <c r="M39" s="6" t="str">
        <f>IF($C39="","",SUMIFS(Chicks!$P:$P,Chicks!$F:$F,$C39,Chicks!$G:$G,$D39))</f>
        <v/>
      </c>
      <c r="N39" s="6" t="str">
        <f t="shared" si="0"/>
        <v/>
      </c>
      <c r="O39" s="6" t="e">
        <f t="shared" ca="1" si="1"/>
        <v>#NAME?</v>
      </c>
      <c r="P39" s="6" t="str">
        <f t="shared" si="2"/>
        <v/>
      </c>
    </row>
    <row r="40" spans="1:16" ht="14.25" customHeight="1" x14ac:dyDescent="0.3">
      <c r="A40" s="4"/>
      <c r="B40" s="4"/>
      <c r="C40" s="4" t="str">
        <f t="shared" si="3"/>
        <v/>
      </c>
      <c r="D40" s="4" t="str">
        <f t="shared" si="4"/>
        <v/>
      </c>
      <c r="E40" s="4"/>
      <c r="F40" s="6" t="str">
        <f>IF($C40="","",COUNTIFS(Chicks!$F:$F,$C40,Chicks!$G:$G,$D40))</f>
        <v/>
      </c>
      <c r="G40" s="6" t="str">
        <f>IF($C40="","",COUNTIFS(Chicks!$F:$F,$C40,Chicks!$G:$G,$D40,Chicks!$I:$I,"Yes"))</f>
        <v/>
      </c>
      <c r="H40" s="6" t="str">
        <f>IF($C40="","",SUMIFS(Chicks!$J:$J,Chicks!$F:$F,$C40,Chicks!$G:$G,$D40))</f>
        <v/>
      </c>
      <c r="I40" s="6" t="str">
        <f>IF($C40="","",COUNTIFS(Chicks!$F:$F,$C40,Chicks!$G:$G,$D40,Chicks!$I:$I,"No"))</f>
        <v/>
      </c>
      <c r="J40" s="6" t="str">
        <f>IF($C40="","",IFERROR(AVERAGEIFS(Chicks!$M:$M,Chicks!$F:$F,$C40,Chicks!$G:$G,$D40),""))</f>
        <v/>
      </c>
      <c r="K40" s="6" t="str">
        <f>IF($C40="","",SUMIFS(Chicks!$N:$N,Chicks!$F:$F,$C40,Chicks!$G:$G,$D40))</f>
        <v/>
      </c>
      <c r="L40" s="6" t="str">
        <f>IF($C40="","",SUMIFS(Chicks!$O:$O,Chicks!$F:$F,$C40,Chicks!$G:$G,$D40))</f>
        <v/>
      </c>
      <c r="M40" s="6" t="str">
        <f>IF($C40="","",SUMIFS(Chicks!$P:$P,Chicks!$F:$F,$C40,Chicks!$G:$G,$D40))</f>
        <v/>
      </c>
      <c r="N40" s="6" t="str">
        <f t="shared" si="0"/>
        <v/>
      </c>
      <c r="O40" s="6" t="e">
        <f t="shared" ca="1" si="1"/>
        <v>#NAME?</v>
      </c>
      <c r="P40" s="6" t="str">
        <f t="shared" si="2"/>
        <v/>
      </c>
    </row>
    <row r="41" spans="1:16" ht="14.25" customHeight="1" x14ac:dyDescent="0.3">
      <c r="A41" s="4"/>
      <c r="B41" s="4"/>
      <c r="C41" s="4" t="str">
        <f t="shared" si="3"/>
        <v/>
      </c>
      <c r="D41" s="4" t="str">
        <f t="shared" si="4"/>
        <v/>
      </c>
      <c r="E41" s="4"/>
      <c r="F41" s="6" t="str">
        <f>IF($C41="","",COUNTIFS(Chicks!$F:$F,$C41,Chicks!$G:$G,$D41))</f>
        <v/>
      </c>
      <c r="G41" s="6" t="str">
        <f>IF($C41="","",COUNTIFS(Chicks!$F:$F,$C41,Chicks!$G:$G,$D41,Chicks!$I:$I,"Yes"))</f>
        <v/>
      </c>
      <c r="H41" s="6" t="str">
        <f>IF($C41="","",SUMIFS(Chicks!$J:$J,Chicks!$F:$F,$C41,Chicks!$G:$G,$D41))</f>
        <v/>
      </c>
      <c r="I41" s="6" t="str">
        <f>IF($C41="","",COUNTIFS(Chicks!$F:$F,$C41,Chicks!$G:$G,$D41,Chicks!$I:$I,"No"))</f>
        <v/>
      </c>
      <c r="J41" s="6" t="str">
        <f>IF($C41="","",IFERROR(AVERAGEIFS(Chicks!$M:$M,Chicks!$F:$F,$C41,Chicks!$G:$G,$D41),""))</f>
        <v/>
      </c>
      <c r="K41" s="6" t="str">
        <f>IF($C41="","",SUMIFS(Chicks!$N:$N,Chicks!$F:$F,$C41,Chicks!$G:$G,$D41))</f>
        <v/>
      </c>
      <c r="L41" s="6" t="str">
        <f>IF($C41="","",SUMIFS(Chicks!$O:$O,Chicks!$F:$F,$C41,Chicks!$G:$G,$D41))</f>
        <v/>
      </c>
      <c r="M41" s="6" t="str">
        <f>IF($C41="","",SUMIFS(Chicks!$P:$P,Chicks!$F:$F,$C41,Chicks!$G:$G,$D41))</f>
        <v/>
      </c>
      <c r="N41" s="6" t="str">
        <f t="shared" si="0"/>
        <v/>
      </c>
      <c r="O41" s="6" t="e">
        <f t="shared" ca="1" si="1"/>
        <v>#NAME?</v>
      </c>
      <c r="P41" s="6" t="str">
        <f t="shared" si="2"/>
        <v/>
      </c>
    </row>
    <row r="42" spans="1:16" ht="14.25" customHeight="1" x14ac:dyDescent="0.3">
      <c r="A42" s="4"/>
      <c r="B42" s="4"/>
      <c r="C42" s="4" t="str">
        <f t="shared" si="3"/>
        <v/>
      </c>
      <c r="D42" s="4" t="str">
        <f t="shared" si="4"/>
        <v/>
      </c>
      <c r="E42" s="4"/>
      <c r="F42" s="6" t="str">
        <f>IF($C42="","",COUNTIFS(Chicks!$F:$F,$C42,Chicks!$G:$G,$D42))</f>
        <v/>
      </c>
      <c r="G42" s="6" t="str">
        <f>IF($C42="","",COUNTIFS(Chicks!$F:$F,$C42,Chicks!$G:$G,$D42,Chicks!$I:$I,"Yes"))</f>
        <v/>
      </c>
      <c r="H42" s="6" t="str">
        <f>IF($C42="","",SUMIFS(Chicks!$J:$J,Chicks!$F:$F,$C42,Chicks!$G:$G,$D42))</f>
        <v/>
      </c>
      <c r="I42" s="6" t="str">
        <f>IF($C42="","",COUNTIFS(Chicks!$F:$F,$C42,Chicks!$G:$G,$D42,Chicks!$I:$I,"No"))</f>
        <v/>
      </c>
      <c r="J42" s="6" t="str">
        <f>IF($C42="","",IFERROR(AVERAGEIFS(Chicks!$M:$M,Chicks!$F:$F,$C42,Chicks!$G:$G,$D42),""))</f>
        <v/>
      </c>
      <c r="K42" s="6" t="str">
        <f>IF($C42="","",SUMIFS(Chicks!$N:$N,Chicks!$F:$F,$C42,Chicks!$G:$G,$D42))</f>
        <v/>
      </c>
      <c r="L42" s="6" t="str">
        <f>IF($C42="","",SUMIFS(Chicks!$O:$O,Chicks!$F:$F,$C42,Chicks!$G:$G,$D42))</f>
        <v/>
      </c>
      <c r="M42" s="6" t="str">
        <f>IF($C42="","",SUMIFS(Chicks!$P:$P,Chicks!$F:$F,$C42,Chicks!$G:$G,$D42))</f>
        <v/>
      </c>
      <c r="N42" s="6" t="str">
        <f t="shared" si="0"/>
        <v/>
      </c>
      <c r="O42" s="6" t="e">
        <f t="shared" ca="1" si="1"/>
        <v>#NAME?</v>
      </c>
      <c r="P42" s="6" t="str">
        <f t="shared" si="2"/>
        <v/>
      </c>
    </row>
    <row r="43" spans="1:16" ht="14.25" customHeight="1" x14ac:dyDescent="0.3">
      <c r="A43" s="4"/>
      <c r="B43" s="4"/>
      <c r="C43" s="4" t="str">
        <f t="shared" si="3"/>
        <v/>
      </c>
      <c r="D43" s="4" t="str">
        <f t="shared" si="4"/>
        <v/>
      </c>
      <c r="E43" s="4"/>
      <c r="F43" s="6" t="str">
        <f>IF($C43="","",COUNTIFS(Chicks!$F:$F,$C43,Chicks!$G:$G,$D43))</f>
        <v/>
      </c>
      <c r="G43" s="6" t="str">
        <f>IF($C43="","",COUNTIFS(Chicks!$F:$F,$C43,Chicks!$G:$G,$D43,Chicks!$I:$I,"Yes"))</f>
        <v/>
      </c>
      <c r="H43" s="6" t="str">
        <f>IF($C43="","",SUMIFS(Chicks!$J:$J,Chicks!$F:$F,$C43,Chicks!$G:$G,$D43))</f>
        <v/>
      </c>
      <c r="I43" s="6" t="str">
        <f>IF($C43="","",COUNTIFS(Chicks!$F:$F,$C43,Chicks!$G:$G,$D43,Chicks!$I:$I,"No"))</f>
        <v/>
      </c>
      <c r="J43" s="6" t="str">
        <f>IF($C43="","",IFERROR(AVERAGEIFS(Chicks!$M:$M,Chicks!$F:$F,$C43,Chicks!$G:$G,$D43),""))</f>
        <v/>
      </c>
      <c r="K43" s="6" t="str">
        <f>IF($C43="","",SUMIFS(Chicks!$N:$N,Chicks!$F:$F,$C43,Chicks!$G:$G,$D43))</f>
        <v/>
      </c>
      <c r="L43" s="6" t="str">
        <f>IF($C43="","",SUMIFS(Chicks!$O:$O,Chicks!$F:$F,$C43,Chicks!$G:$G,$D43))</f>
        <v/>
      </c>
      <c r="M43" s="6" t="str">
        <f>IF($C43="","",SUMIFS(Chicks!$P:$P,Chicks!$F:$F,$C43,Chicks!$G:$G,$D43))</f>
        <v/>
      </c>
      <c r="N43" s="6" t="str">
        <f t="shared" si="0"/>
        <v/>
      </c>
      <c r="O43" s="6" t="e">
        <f t="shared" ca="1" si="1"/>
        <v>#NAME?</v>
      </c>
      <c r="P43" s="6" t="str">
        <f t="shared" si="2"/>
        <v/>
      </c>
    </row>
    <row r="44" spans="1:16" ht="14.25" customHeight="1" x14ac:dyDescent="0.3">
      <c r="A44" s="4"/>
      <c r="B44" s="4"/>
      <c r="C44" s="4" t="str">
        <f t="shared" si="3"/>
        <v/>
      </c>
      <c r="D44" s="4" t="str">
        <f t="shared" si="4"/>
        <v/>
      </c>
      <c r="E44" s="4"/>
      <c r="F44" s="6" t="str">
        <f>IF($C44="","",COUNTIFS(Chicks!$F:$F,$C44,Chicks!$G:$G,$D44))</f>
        <v/>
      </c>
      <c r="G44" s="6" t="str">
        <f>IF($C44="","",COUNTIFS(Chicks!$F:$F,$C44,Chicks!$G:$G,$D44,Chicks!$I:$I,"Yes"))</f>
        <v/>
      </c>
      <c r="H44" s="6" t="str">
        <f>IF($C44="","",SUMIFS(Chicks!$J:$J,Chicks!$F:$F,$C44,Chicks!$G:$G,$D44))</f>
        <v/>
      </c>
      <c r="I44" s="6" t="str">
        <f>IF($C44="","",COUNTIFS(Chicks!$F:$F,$C44,Chicks!$G:$G,$D44,Chicks!$I:$I,"No"))</f>
        <v/>
      </c>
      <c r="J44" s="6" t="str">
        <f>IF($C44="","",IFERROR(AVERAGEIFS(Chicks!$M:$M,Chicks!$F:$F,$C44,Chicks!$G:$G,$D44),""))</f>
        <v/>
      </c>
      <c r="K44" s="6" t="str">
        <f>IF($C44="","",SUMIFS(Chicks!$N:$N,Chicks!$F:$F,$C44,Chicks!$G:$G,$D44))</f>
        <v/>
      </c>
      <c r="L44" s="6" t="str">
        <f>IF($C44="","",SUMIFS(Chicks!$O:$O,Chicks!$F:$F,$C44,Chicks!$G:$G,$D44))</f>
        <v/>
      </c>
      <c r="M44" s="6" t="str">
        <f>IF($C44="","",SUMIFS(Chicks!$P:$P,Chicks!$F:$F,$C44,Chicks!$G:$G,$D44))</f>
        <v/>
      </c>
      <c r="N44" s="6" t="str">
        <f t="shared" si="0"/>
        <v/>
      </c>
      <c r="O44" s="6" t="e">
        <f t="shared" ca="1" si="1"/>
        <v>#NAME?</v>
      </c>
      <c r="P44" s="6" t="str">
        <f t="shared" si="2"/>
        <v/>
      </c>
    </row>
    <row r="45" spans="1:16" ht="14.25" customHeight="1" x14ac:dyDescent="0.3">
      <c r="A45" s="4"/>
      <c r="B45" s="4"/>
      <c r="C45" s="4" t="str">
        <f t="shared" si="3"/>
        <v/>
      </c>
      <c r="D45" s="4" t="str">
        <f t="shared" si="4"/>
        <v/>
      </c>
      <c r="E45" s="4"/>
      <c r="F45" s="6" t="str">
        <f>IF($C45="","",COUNTIFS(Chicks!$F:$F,$C45,Chicks!$G:$G,$D45))</f>
        <v/>
      </c>
      <c r="G45" s="6" t="str">
        <f>IF($C45="","",COUNTIFS(Chicks!$F:$F,$C45,Chicks!$G:$G,$D45,Chicks!$I:$I,"Yes"))</f>
        <v/>
      </c>
      <c r="H45" s="6" t="str">
        <f>IF($C45="","",SUMIFS(Chicks!$J:$J,Chicks!$F:$F,$C45,Chicks!$G:$G,$D45))</f>
        <v/>
      </c>
      <c r="I45" s="6" t="str">
        <f>IF($C45="","",COUNTIFS(Chicks!$F:$F,$C45,Chicks!$G:$G,$D45,Chicks!$I:$I,"No"))</f>
        <v/>
      </c>
      <c r="J45" s="6" t="str">
        <f>IF($C45="","",IFERROR(AVERAGEIFS(Chicks!$M:$M,Chicks!$F:$F,$C45,Chicks!$G:$G,$D45),""))</f>
        <v/>
      </c>
      <c r="K45" s="6" t="str">
        <f>IF($C45="","",SUMIFS(Chicks!$N:$N,Chicks!$F:$F,$C45,Chicks!$G:$G,$D45))</f>
        <v/>
      </c>
      <c r="L45" s="6" t="str">
        <f>IF($C45="","",SUMIFS(Chicks!$O:$O,Chicks!$F:$F,$C45,Chicks!$G:$G,$D45))</f>
        <v/>
      </c>
      <c r="M45" s="6" t="str">
        <f>IF($C45="","",SUMIFS(Chicks!$P:$P,Chicks!$F:$F,$C45,Chicks!$G:$G,$D45))</f>
        <v/>
      </c>
      <c r="N45" s="6" t="str">
        <f t="shared" si="0"/>
        <v/>
      </c>
      <c r="O45" s="6" t="e">
        <f t="shared" ca="1" si="1"/>
        <v>#NAME?</v>
      </c>
      <c r="P45" s="6" t="str">
        <f t="shared" si="2"/>
        <v/>
      </c>
    </row>
    <row r="46" spans="1:16" ht="14.25" customHeight="1" x14ac:dyDescent="0.3">
      <c r="A46" s="4"/>
      <c r="B46" s="4"/>
      <c r="C46" s="4" t="str">
        <f t="shared" si="3"/>
        <v/>
      </c>
      <c r="D46" s="4" t="str">
        <f t="shared" si="4"/>
        <v/>
      </c>
      <c r="E46" s="4"/>
      <c r="F46" s="6" t="str">
        <f>IF($C46="","",COUNTIFS(Chicks!$F:$F,$C46,Chicks!$G:$G,$D46))</f>
        <v/>
      </c>
      <c r="G46" s="6" t="str">
        <f>IF($C46="","",COUNTIFS(Chicks!$F:$F,$C46,Chicks!$G:$G,$D46,Chicks!$I:$I,"Yes"))</f>
        <v/>
      </c>
      <c r="H46" s="6" t="str">
        <f>IF($C46="","",SUMIFS(Chicks!$J:$J,Chicks!$F:$F,$C46,Chicks!$G:$G,$D46))</f>
        <v/>
      </c>
      <c r="I46" s="6" t="str">
        <f>IF($C46="","",COUNTIFS(Chicks!$F:$F,$C46,Chicks!$G:$G,$D46,Chicks!$I:$I,"No"))</f>
        <v/>
      </c>
      <c r="J46" s="6" t="str">
        <f>IF($C46="","",IFERROR(AVERAGEIFS(Chicks!$M:$M,Chicks!$F:$F,$C46,Chicks!$G:$G,$D46),""))</f>
        <v/>
      </c>
      <c r="K46" s="6" t="str">
        <f>IF($C46="","",SUMIFS(Chicks!$N:$N,Chicks!$F:$F,$C46,Chicks!$G:$G,$D46))</f>
        <v/>
      </c>
      <c r="L46" s="6" t="str">
        <f>IF($C46="","",SUMIFS(Chicks!$O:$O,Chicks!$F:$F,$C46,Chicks!$G:$G,$D46))</f>
        <v/>
      </c>
      <c r="M46" s="6" t="str">
        <f>IF($C46="","",SUMIFS(Chicks!$P:$P,Chicks!$F:$F,$C46,Chicks!$G:$G,$D46))</f>
        <v/>
      </c>
      <c r="N46" s="6" t="str">
        <f t="shared" si="0"/>
        <v/>
      </c>
      <c r="O46" s="6" t="e">
        <f t="shared" ca="1" si="1"/>
        <v>#NAME?</v>
      </c>
      <c r="P46" s="6" t="str">
        <f t="shared" si="2"/>
        <v/>
      </c>
    </row>
    <row r="47" spans="1:16" ht="14.25" customHeight="1" x14ac:dyDescent="0.3">
      <c r="A47" s="4"/>
      <c r="B47" s="4"/>
      <c r="C47" s="4" t="str">
        <f t="shared" si="3"/>
        <v/>
      </c>
      <c r="D47" s="4" t="str">
        <f t="shared" si="4"/>
        <v/>
      </c>
      <c r="E47" s="4"/>
      <c r="F47" s="6" t="str">
        <f>IF($C47="","",COUNTIFS(Chicks!$F:$F,$C47,Chicks!$G:$G,$D47))</f>
        <v/>
      </c>
      <c r="G47" s="6" t="str">
        <f>IF($C47="","",COUNTIFS(Chicks!$F:$F,$C47,Chicks!$G:$G,$D47,Chicks!$I:$I,"Yes"))</f>
        <v/>
      </c>
      <c r="H47" s="6" t="str">
        <f>IF($C47="","",SUMIFS(Chicks!$J:$J,Chicks!$F:$F,$C47,Chicks!$G:$G,$D47))</f>
        <v/>
      </c>
      <c r="I47" s="6" t="str">
        <f>IF($C47="","",COUNTIFS(Chicks!$F:$F,$C47,Chicks!$G:$G,$D47,Chicks!$I:$I,"No"))</f>
        <v/>
      </c>
      <c r="J47" s="6" t="str">
        <f>IF($C47="","",IFERROR(AVERAGEIFS(Chicks!$M:$M,Chicks!$F:$F,$C47,Chicks!$G:$G,$D47),""))</f>
        <v/>
      </c>
      <c r="K47" s="6" t="str">
        <f>IF($C47="","",SUMIFS(Chicks!$N:$N,Chicks!$F:$F,$C47,Chicks!$G:$G,$D47))</f>
        <v/>
      </c>
      <c r="L47" s="6" t="str">
        <f>IF($C47="","",SUMIFS(Chicks!$O:$O,Chicks!$F:$F,$C47,Chicks!$G:$G,$D47))</f>
        <v/>
      </c>
      <c r="M47" s="6" t="str">
        <f>IF($C47="","",SUMIFS(Chicks!$P:$P,Chicks!$F:$F,$C47,Chicks!$G:$G,$D47))</f>
        <v/>
      </c>
      <c r="N47" s="6" t="str">
        <f t="shared" si="0"/>
        <v/>
      </c>
      <c r="O47" s="6" t="e">
        <f t="shared" ca="1" si="1"/>
        <v>#NAME?</v>
      </c>
      <c r="P47" s="6" t="str">
        <f t="shared" si="2"/>
        <v/>
      </c>
    </row>
    <row r="48" spans="1:16" ht="14.25" customHeight="1" x14ac:dyDescent="0.3">
      <c r="A48" s="4"/>
      <c r="B48" s="4"/>
      <c r="C48" s="4" t="str">
        <f t="shared" si="3"/>
        <v/>
      </c>
      <c r="D48" s="4" t="str">
        <f t="shared" si="4"/>
        <v/>
      </c>
      <c r="E48" s="4"/>
      <c r="F48" s="6" t="str">
        <f>IF($C48="","",COUNTIFS(Chicks!$F:$F,$C48,Chicks!$G:$G,$D48))</f>
        <v/>
      </c>
      <c r="G48" s="6" t="str">
        <f>IF($C48="","",COUNTIFS(Chicks!$F:$F,$C48,Chicks!$G:$G,$D48,Chicks!$I:$I,"Yes"))</f>
        <v/>
      </c>
      <c r="H48" s="6" t="str">
        <f>IF($C48="","",SUMIFS(Chicks!$J:$J,Chicks!$F:$F,$C48,Chicks!$G:$G,$D48))</f>
        <v/>
      </c>
      <c r="I48" s="6" t="str">
        <f>IF($C48="","",COUNTIFS(Chicks!$F:$F,$C48,Chicks!$G:$G,$D48,Chicks!$I:$I,"No"))</f>
        <v/>
      </c>
      <c r="J48" s="6" t="str">
        <f>IF($C48="","",IFERROR(AVERAGEIFS(Chicks!$M:$M,Chicks!$F:$F,$C48,Chicks!$G:$G,$D48),""))</f>
        <v/>
      </c>
      <c r="K48" s="6" t="str">
        <f>IF($C48="","",SUMIFS(Chicks!$N:$N,Chicks!$F:$F,$C48,Chicks!$G:$G,$D48))</f>
        <v/>
      </c>
      <c r="L48" s="6" t="str">
        <f>IF($C48="","",SUMIFS(Chicks!$O:$O,Chicks!$F:$F,$C48,Chicks!$G:$G,$D48))</f>
        <v/>
      </c>
      <c r="M48" s="6" t="str">
        <f>IF($C48="","",SUMIFS(Chicks!$P:$P,Chicks!$F:$F,$C48,Chicks!$G:$G,$D48))</f>
        <v/>
      </c>
      <c r="N48" s="6" t="str">
        <f t="shared" si="0"/>
        <v/>
      </c>
      <c r="O48" s="6" t="e">
        <f t="shared" ca="1" si="1"/>
        <v>#NAME?</v>
      </c>
      <c r="P48" s="6" t="str">
        <f t="shared" si="2"/>
        <v/>
      </c>
    </row>
    <row r="49" spans="1:16" ht="14.25" customHeight="1" x14ac:dyDescent="0.3">
      <c r="A49" s="4"/>
      <c r="B49" s="4"/>
      <c r="C49" s="4" t="str">
        <f t="shared" si="3"/>
        <v/>
      </c>
      <c r="D49" s="4" t="str">
        <f t="shared" si="4"/>
        <v/>
      </c>
      <c r="E49" s="4"/>
      <c r="F49" s="6" t="str">
        <f>IF($C49="","",COUNTIFS(Chicks!$F:$F,$C49,Chicks!$G:$G,$D49))</f>
        <v/>
      </c>
      <c r="G49" s="6" t="str">
        <f>IF($C49="","",COUNTIFS(Chicks!$F:$F,$C49,Chicks!$G:$G,$D49,Chicks!$I:$I,"Yes"))</f>
        <v/>
      </c>
      <c r="H49" s="6" t="str">
        <f>IF($C49="","",SUMIFS(Chicks!$J:$J,Chicks!$F:$F,$C49,Chicks!$G:$G,$D49))</f>
        <v/>
      </c>
      <c r="I49" s="6" t="str">
        <f>IF($C49="","",COUNTIFS(Chicks!$F:$F,$C49,Chicks!$G:$G,$D49,Chicks!$I:$I,"No"))</f>
        <v/>
      </c>
      <c r="J49" s="6" t="str">
        <f>IF($C49="","",IFERROR(AVERAGEIFS(Chicks!$M:$M,Chicks!$F:$F,$C49,Chicks!$G:$G,$D49),""))</f>
        <v/>
      </c>
      <c r="K49" s="6" t="str">
        <f>IF($C49="","",SUMIFS(Chicks!$N:$N,Chicks!$F:$F,$C49,Chicks!$G:$G,$D49))</f>
        <v/>
      </c>
      <c r="L49" s="6" t="str">
        <f>IF($C49="","",SUMIFS(Chicks!$O:$O,Chicks!$F:$F,$C49,Chicks!$G:$G,$D49))</f>
        <v/>
      </c>
      <c r="M49" s="6" t="str">
        <f>IF($C49="","",SUMIFS(Chicks!$P:$P,Chicks!$F:$F,$C49,Chicks!$G:$G,$D49))</f>
        <v/>
      </c>
      <c r="N49" s="6" t="str">
        <f t="shared" si="0"/>
        <v/>
      </c>
      <c r="O49" s="6" t="e">
        <f t="shared" ca="1" si="1"/>
        <v>#NAME?</v>
      </c>
      <c r="P49" s="6" t="str">
        <f t="shared" si="2"/>
        <v/>
      </c>
    </row>
    <row r="50" spans="1:16" ht="14.25" customHeight="1" x14ac:dyDescent="0.3">
      <c r="A50" s="4"/>
      <c r="B50" s="4"/>
      <c r="C50" s="4" t="str">
        <f t="shared" si="3"/>
        <v/>
      </c>
      <c r="D50" s="4" t="str">
        <f t="shared" si="4"/>
        <v/>
      </c>
      <c r="E50" s="4"/>
      <c r="F50" s="6" t="str">
        <f>IF($C50="","",COUNTIFS(Chicks!$F:$F,$C50,Chicks!$G:$G,$D50))</f>
        <v/>
      </c>
      <c r="G50" s="6" t="str">
        <f>IF($C50="","",COUNTIFS(Chicks!$F:$F,$C50,Chicks!$G:$G,$D50,Chicks!$I:$I,"Yes"))</f>
        <v/>
      </c>
      <c r="H50" s="6" t="str">
        <f>IF($C50="","",SUMIFS(Chicks!$J:$J,Chicks!$F:$F,$C50,Chicks!$G:$G,$D50))</f>
        <v/>
      </c>
      <c r="I50" s="6" t="str">
        <f>IF($C50="","",COUNTIFS(Chicks!$F:$F,$C50,Chicks!$G:$G,$D50,Chicks!$I:$I,"No"))</f>
        <v/>
      </c>
      <c r="J50" s="6" t="str">
        <f>IF($C50="","",IFERROR(AVERAGEIFS(Chicks!$M:$M,Chicks!$F:$F,$C50,Chicks!$G:$G,$D50),""))</f>
        <v/>
      </c>
      <c r="K50" s="6" t="str">
        <f>IF($C50="","",SUMIFS(Chicks!$N:$N,Chicks!$F:$F,$C50,Chicks!$G:$G,$D50))</f>
        <v/>
      </c>
      <c r="L50" s="6" t="str">
        <f>IF($C50="","",SUMIFS(Chicks!$O:$O,Chicks!$F:$F,$C50,Chicks!$G:$G,$D50))</f>
        <v/>
      </c>
      <c r="M50" s="6" t="str">
        <f>IF($C50="","",SUMIFS(Chicks!$P:$P,Chicks!$F:$F,$C50,Chicks!$G:$G,$D50))</f>
        <v/>
      </c>
      <c r="N50" s="6" t="str">
        <f t="shared" si="0"/>
        <v/>
      </c>
      <c r="O50" s="6" t="e">
        <f t="shared" ca="1" si="1"/>
        <v>#NAME?</v>
      </c>
      <c r="P50" s="6" t="str">
        <f t="shared" si="2"/>
        <v/>
      </c>
    </row>
    <row r="51" spans="1:16" ht="14.25" customHeight="1" x14ac:dyDescent="0.3">
      <c r="A51" s="4"/>
      <c r="B51" s="4"/>
      <c r="C51" s="4" t="str">
        <f t="shared" si="3"/>
        <v/>
      </c>
      <c r="D51" s="4" t="str">
        <f t="shared" si="4"/>
        <v/>
      </c>
      <c r="E51" s="4"/>
      <c r="F51" s="6" t="str">
        <f>IF($C51="","",COUNTIFS(Chicks!$F:$F,$C51,Chicks!$G:$G,$D51))</f>
        <v/>
      </c>
      <c r="G51" s="6" t="str">
        <f>IF($C51="","",COUNTIFS(Chicks!$F:$F,$C51,Chicks!$G:$G,$D51,Chicks!$I:$I,"Yes"))</f>
        <v/>
      </c>
      <c r="H51" s="6" t="str">
        <f>IF($C51="","",SUMIFS(Chicks!$J:$J,Chicks!$F:$F,$C51,Chicks!$G:$G,$D51))</f>
        <v/>
      </c>
      <c r="I51" s="6" t="str">
        <f>IF($C51="","",COUNTIFS(Chicks!$F:$F,$C51,Chicks!$G:$G,$D51,Chicks!$I:$I,"No"))</f>
        <v/>
      </c>
      <c r="J51" s="6" t="str">
        <f>IF($C51="","",IFERROR(AVERAGEIFS(Chicks!$M:$M,Chicks!$F:$F,$C51,Chicks!$G:$G,$D51),""))</f>
        <v/>
      </c>
      <c r="K51" s="6" t="str">
        <f>IF($C51="","",SUMIFS(Chicks!$N:$N,Chicks!$F:$F,$C51,Chicks!$G:$G,$D51))</f>
        <v/>
      </c>
      <c r="L51" s="6" t="str">
        <f>IF($C51="","",SUMIFS(Chicks!$O:$O,Chicks!$F:$F,$C51,Chicks!$G:$G,$D51))</f>
        <v/>
      </c>
      <c r="M51" s="6" t="str">
        <f>IF($C51="","",SUMIFS(Chicks!$P:$P,Chicks!$F:$F,$C51,Chicks!$G:$G,$D51))</f>
        <v/>
      </c>
      <c r="N51" s="6" t="str">
        <f t="shared" si="0"/>
        <v/>
      </c>
      <c r="O51" s="6" t="e">
        <f t="shared" ca="1" si="1"/>
        <v>#NAME?</v>
      </c>
      <c r="P51" s="6" t="str">
        <f t="shared" si="2"/>
        <v/>
      </c>
    </row>
    <row r="52" spans="1:16" ht="14.25" customHeight="1" x14ac:dyDescent="0.3">
      <c r="A52" s="4"/>
      <c r="B52" s="4"/>
      <c r="C52" s="4" t="str">
        <f t="shared" si="3"/>
        <v/>
      </c>
      <c r="D52" s="4" t="str">
        <f t="shared" si="4"/>
        <v/>
      </c>
      <c r="E52" s="4"/>
      <c r="F52" s="6" t="str">
        <f>IF($C52="","",COUNTIFS(Chicks!$F:$F,$C52,Chicks!$G:$G,$D52))</f>
        <v/>
      </c>
      <c r="G52" s="6" t="str">
        <f>IF($C52="","",COUNTIFS(Chicks!$F:$F,$C52,Chicks!$G:$G,$D52,Chicks!$I:$I,"Yes"))</f>
        <v/>
      </c>
      <c r="H52" s="6" t="str">
        <f>IF($C52="","",SUMIFS(Chicks!$J:$J,Chicks!$F:$F,$C52,Chicks!$G:$G,$D52))</f>
        <v/>
      </c>
      <c r="I52" s="6" t="str">
        <f>IF($C52="","",COUNTIFS(Chicks!$F:$F,$C52,Chicks!$G:$G,$D52,Chicks!$I:$I,"No"))</f>
        <v/>
      </c>
      <c r="J52" s="6" t="str">
        <f>IF($C52="","",IFERROR(AVERAGEIFS(Chicks!$M:$M,Chicks!$F:$F,$C52,Chicks!$G:$G,$D52),""))</f>
        <v/>
      </c>
      <c r="K52" s="6" t="str">
        <f>IF($C52="","",SUMIFS(Chicks!$N:$N,Chicks!$F:$F,$C52,Chicks!$G:$G,$D52))</f>
        <v/>
      </c>
      <c r="L52" s="6" t="str">
        <f>IF($C52="","",SUMIFS(Chicks!$O:$O,Chicks!$F:$F,$C52,Chicks!$G:$G,$D52))</f>
        <v/>
      </c>
      <c r="M52" s="6" t="str">
        <f>IF($C52="","",SUMIFS(Chicks!$P:$P,Chicks!$F:$F,$C52,Chicks!$G:$G,$D52))</f>
        <v/>
      </c>
      <c r="N52" s="6" t="str">
        <f t="shared" si="0"/>
        <v/>
      </c>
      <c r="O52" s="6" t="e">
        <f t="shared" ca="1" si="1"/>
        <v>#NAME?</v>
      </c>
      <c r="P52" s="6" t="str">
        <f t="shared" si="2"/>
        <v/>
      </c>
    </row>
    <row r="53" spans="1:16" ht="14.25" customHeight="1" x14ac:dyDescent="0.3">
      <c r="A53" s="4"/>
      <c r="B53" s="4"/>
      <c r="C53" s="4" t="str">
        <f t="shared" si="3"/>
        <v/>
      </c>
      <c r="D53" s="4" t="str">
        <f t="shared" si="4"/>
        <v/>
      </c>
      <c r="E53" s="4"/>
      <c r="F53" s="6" t="str">
        <f>IF($C53="","",COUNTIFS(Chicks!$F:$F,$C53,Chicks!$G:$G,$D53))</f>
        <v/>
      </c>
      <c r="G53" s="6" t="str">
        <f>IF($C53="","",COUNTIFS(Chicks!$F:$F,$C53,Chicks!$G:$G,$D53,Chicks!$I:$I,"Yes"))</f>
        <v/>
      </c>
      <c r="H53" s="6" t="str">
        <f>IF($C53="","",SUMIFS(Chicks!$J:$J,Chicks!$F:$F,$C53,Chicks!$G:$G,$D53))</f>
        <v/>
      </c>
      <c r="I53" s="6" t="str">
        <f>IF($C53="","",COUNTIFS(Chicks!$F:$F,$C53,Chicks!$G:$G,$D53,Chicks!$I:$I,"No"))</f>
        <v/>
      </c>
      <c r="J53" s="6" t="str">
        <f>IF($C53="","",IFERROR(AVERAGEIFS(Chicks!$M:$M,Chicks!$F:$F,$C53,Chicks!$G:$G,$D53),""))</f>
        <v/>
      </c>
      <c r="K53" s="6" t="str">
        <f>IF($C53="","",SUMIFS(Chicks!$N:$N,Chicks!$F:$F,$C53,Chicks!$G:$G,$D53))</f>
        <v/>
      </c>
      <c r="L53" s="6" t="str">
        <f>IF($C53="","",SUMIFS(Chicks!$O:$O,Chicks!$F:$F,$C53,Chicks!$G:$G,$D53))</f>
        <v/>
      </c>
      <c r="M53" s="6" t="str">
        <f>IF($C53="","",SUMIFS(Chicks!$P:$P,Chicks!$F:$F,$C53,Chicks!$G:$G,$D53))</f>
        <v/>
      </c>
      <c r="N53" s="6" t="str">
        <f t="shared" si="0"/>
        <v/>
      </c>
      <c r="O53" s="6" t="e">
        <f t="shared" ca="1" si="1"/>
        <v>#NAME?</v>
      </c>
      <c r="P53" s="6" t="str">
        <f t="shared" si="2"/>
        <v/>
      </c>
    </row>
    <row r="54" spans="1:16" ht="14.25" customHeight="1" x14ac:dyDescent="0.3">
      <c r="A54" s="4"/>
      <c r="B54" s="4"/>
      <c r="C54" s="4" t="str">
        <f t="shared" si="3"/>
        <v/>
      </c>
      <c r="D54" s="4" t="str">
        <f t="shared" si="4"/>
        <v/>
      </c>
      <c r="E54" s="4"/>
      <c r="F54" s="6" t="str">
        <f>IF($C54="","",COUNTIFS(Chicks!$F:$F,$C54,Chicks!$G:$G,$D54))</f>
        <v/>
      </c>
      <c r="G54" s="6" t="str">
        <f>IF($C54="","",COUNTIFS(Chicks!$F:$F,$C54,Chicks!$G:$G,$D54,Chicks!$I:$I,"Yes"))</f>
        <v/>
      </c>
      <c r="H54" s="6" t="str">
        <f>IF($C54="","",SUMIFS(Chicks!$J:$J,Chicks!$F:$F,$C54,Chicks!$G:$G,$D54))</f>
        <v/>
      </c>
      <c r="I54" s="6" t="str">
        <f>IF($C54="","",COUNTIFS(Chicks!$F:$F,$C54,Chicks!$G:$G,$D54,Chicks!$I:$I,"No"))</f>
        <v/>
      </c>
      <c r="J54" s="6" t="str">
        <f>IF($C54="","",IFERROR(AVERAGEIFS(Chicks!$M:$M,Chicks!$F:$F,$C54,Chicks!$G:$G,$D54),""))</f>
        <v/>
      </c>
      <c r="K54" s="6" t="str">
        <f>IF($C54="","",SUMIFS(Chicks!$N:$N,Chicks!$F:$F,$C54,Chicks!$G:$G,$D54))</f>
        <v/>
      </c>
      <c r="L54" s="6" t="str">
        <f>IF($C54="","",SUMIFS(Chicks!$O:$O,Chicks!$F:$F,$C54,Chicks!$G:$G,$D54))</f>
        <v/>
      </c>
      <c r="M54" s="6" t="str">
        <f>IF($C54="","",SUMIFS(Chicks!$P:$P,Chicks!$F:$F,$C54,Chicks!$G:$G,$D54))</f>
        <v/>
      </c>
      <c r="N54" s="6" t="str">
        <f t="shared" si="0"/>
        <v/>
      </c>
      <c r="O54" s="6" t="e">
        <f t="shared" ca="1" si="1"/>
        <v>#NAME?</v>
      </c>
      <c r="P54" s="6" t="str">
        <f t="shared" si="2"/>
        <v/>
      </c>
    </row>
    <row r="55" spans="1:16" ht="14.25" customHeight="1" x14ac:dyDescent="0.3">
      <c r="A55" s="4"/>
      <c r="B55" s="4"/>
      <c r="C55" s="4" t="str">
        <f t="shared" si="3"/>
        <v/>
      </c>
      <c r="D55" s="4" t="str">
        <f t="shared" si="4"/>
        <v/>
      </c>
      <c r="E55" s="4"/>
      <c r="F55" s="6" t="str">
        <f>IF($C55="","",COUNTIFS(Chicks!$F:$F,$C55,Chicks!$G:$G,$D55))</f>
        <v/>
      </c>
      <c r="G55" s="6" t="str">
        <f>IF($C55="","",COUNTIFS(Chicks!$F:$F,$C55,Chicks!$G:$G,$D55,Chicks!$I:$I,"Yes"))</f>
        <v/>
      </c>
      <c r="H55" s="6" t="str">
        <f>IF($C55="","",SUMIFS(Chicks!$J:$J,Chicks!$F:$F,$C55,Chicks!$G:$G,$D55))</f>
        <v/>
      </c>
      <c r="I55" s="6" t="str">
        <f>IF($C55="","",COUNTIFS(Chicks!$F:$F,$C55,Chicks!$G:$G,$D55,Chicks!$I:$I,"No"))</f>
        <v/>
      </c>
      <c r="J55" s="6" t="str">
        <f>IF($C55="","",IFERROR(AVERAGEIFS(Chicks!$M:$M,Chicks!$F:$F,$C55,Chicks!$G:$G,$D55),""))</f>
        <v/>
      </c>
      <c r="K55" s="6" t="str">
        <f>IF($C55="","",SUMIFS(Chicks!$N:$N,Chicks!$F:$F,$C55,Chicks!$G:$G,$D55))</f>
        <v/>
      </c>
      <c r="L55" s="6" t="str">
        <f>IF($C55="","",SUMIFS(Chicks!$O:$O,Chicks!$F:$F,$C55,Chicks!$G:$G,$D55))</f>
        <v/>
      </c>
      <c r="M55" s="6" t="str">
        <f>IF($C55="","",SUMIFS(Chicks!$P:$P,Chicks!$F:$F,$C55,Chicks!$G:$G,$D55))</f>
        <v/>
      </c>
      <c r="N55" s="6" t="str">
        <f t="shared" si="0"/>
        <v/>
      </c>
      <c r="O55" s="6" t="e">
        <f t="shared" ca="1" si="1"/>
        <v>#NAME?</v>
      </c>
      <c r="P55" s="6" t="str">
        <f t="shared" si="2"/>
        <v/>
      </c>
    </row>
    <row r="56" spans="1:16" ht="14.25" customHeight="1" x14ac:dyDescent="0.3">
      <c r="A56" s="4"/>
      <c r="B56" s="4"/>
      <c r="C56" s="4" t="str">
        <f t="shared" si="3"/>
        <v/>
      </c>
      <c r="D56" s="4" t="str">
        <f t="shared" si="4"/>
        <v/>
      </c>
      <c r="E56" s="4"/>
      <c r="F56" s="6" t="str">
        <f>IF($C56="","",COUNTIFS(Chicks!$F:$F,$C56,Chicks!$G:$G,$D56))</f>
        <v/>
      </c>
      <c r="G56" s="6" t="str">
        <f>IF($C56="","",COUNTIFS(Chicks!$F:$F,$C56,Chicks!$G:$G,$D56,Chicks!$I:$I,"Yes"))</f>
        <v/>
      </c>
      <c r="H56" s="6" t="str">
        <f>IF($C56="","",SUMIFS(Chicks!$J:$J,Chicks!$F:$F,$C56,Chicks!$G:$G,$D56))</f>
        <v/>
      </c>
      <c r="I56" s="6" t="str">
        <f>IF($C56="","",COUNTIFS(Chicks!$F:$F,$C56,Chicks!$G:$G,$D56,Chicks!$I:$I,"No"))</f>
        <v/>
      </c>
      <c r="J56" s="6" t="str">
        <f>IF($C56="","",IFERROR(AVERAGEIFS(Chicks!$M:$M,Chicks!$F:$F,$C56,Chicks!$G:$G,$D56),""))</f>
        <v/>
      </c>
      <c r="K56" s="6" t="str">
        <f>IF($C56="","",SUMIFS(Chicks!$N:$N,Chicks!$F:$F,$C56,Chicks!$G:$G,$D56))</f>
        <v/>
      </c>
      <c r="L56" s="6" t="str">
        <f>IF($C56="","",SUMIFS(Chicks!$O:$O,Chicks!$F:$F,$C56,Chicks!$G:$G,$D56))</f>
        <v/>
      </c>
      <c r="M56" s="6" t="str">
        <f>IF($C56="","",SUMIFS(Chicks!$P:$P,Chicks!$F:$F,$C56,Chicks!$G:$G,$D56))</f>
        <v/>
      </c>
      <c r="N56" s="6" t="str">
        <f t="shared" si="0"/>
        <v/>
      </c>
      <c r="O56" s="6" t="e">
        <f t="shared" ca="1" si="1"/>
        <v>#NAME?</v>
      </c>
      <c r="P56" s="6" t="str">
        <f t="shared" si="2"/>
        <v/>
      </c>
    </row>
    <row r="57" spans="1:16" ht="14.25" customHeight="1" x14ac:dyDescent="0.3">
      <c r="A57" s="4"/>
      <c r="B57" s="4"/>
      <c r="C57" s="4" t="str">
        <f t="shared" si="3"/>
        <v/>
      </c>
      <c r="D57" s="4" t="str">
        <f t="shared" si="4"/>
        <v/>
      </c>
      <c r="E57" s="4"/>
      <c r="F57" s="6" t="str">
        <f>IF($C57="","",COUNTIFS(Chicks!$F:$F,$C57,Chicks!$G:$G,$D57))</f>
        <v/>
      </c>
      <c r="G57" s="6" t="str">
        <f>IF($C57="","",COUNTIFS(Chicks!$F:$F,$C57,Chicks!$G:$G,$D57,Chicks!$I:$I,"Yes"))</f>
        <v/>
      </c>
      <c r="H57" s="6" t="str">
        <f>IF($C57="","",SUMIFS(Chicks!$J:$J,Chicks!$F:$F,$C57,Chicks!$G:$G,$D57))</f>
        <v/>
      </c>
      <c r="I57" s="6" t="str">
        <f>IF($C57="","",COUNTIFS(Chicks!$F:$F,$C57,Chicks!$G:$G,$D57,Chicks!$I:$I,"No"))</f>
        <v/>
      </c>
      <c r="J57" s="6" t="str">
        <f>IF($C57="","",IFERROR(AVERAGEIFS(Chicks!$M:$M,Chicks!$F:$F,$C57,Chicks!$G:$G,$D57),""))</f>
        <v/>
      </c>
      <c r="K57" s="6" t="str">
        <f>IF($C57="","",SUMIFS(Chicks!$N:$N,Chicks!$F:$F,$C57,Chicks!$G:$G,$D57))</f>
        <v/>
      </c>
      <c r="L57" s="6" t="str">
        <f>IF($C57="","",SUMIFS(Chicks!$O:$O,Chicks!$F:$F,$C57,Chicks!$G:$G,$D57))</f>
        <v/>
      </c>
      <c r="M57" s="6" t="str">
        <f>IF($C57="","",SUMIFS(Chicks!$P:$P,Chicks!$F:$F,$C57,Chicks!$G:$G,$D57))</f>
        <v/>
      </c>
      <c r="N57" s="6" t="str">
        <f t="shared" si="0"/>
        <v/>
      </c>
      <c r="O57" s="6" t="e">
        <f t="shared" ca="1" si="1"/>
        <v>#NAME?</v>
      </c>
      <c r="P57" s="6" t="str">
        <f t="shared" si="2"/>
        <v/>
      </c>
    </row>
    <row r="58" spans="1:16" ht="14.25" customHeight="1" x14ac:dyDescent="0.3">
      <c r="A58" s="4"/>
      <c r="B58" s="4"/>
      <c r="C58" s="4" t="str">
        <f t="shared" si="3"/>
        <v/>
      </c>
      <c r="D58" s="4" t="str">
        <f t="shared" si="4"/>
        <v/>
      </c>
      <c r="E58" s="4"/>
      <c r="F58" s="6" t="str">
        <f>IF($C58="","",COUNTIFS(Chicks!$F:$F,$C58,Chicks!$G:$G,$D58))</f>
        <v/>
      </c>
      <c r="G58" s="6" t="str">
        <f>IF($C58="","",COUNTIFS(Chicks!$F:$F,$C58,Chicks!$G:$G,$D58,Chicks!$I:$I,"Yes"))</f>
        <v/>
      </c>
      <c r="H58" s="6" t="str">
        <f>IF($C58="","",SUMIFS(Chicks!$J:$J,Chicks!$F:$F,$C58,Chicks!$G:$G,$D58))</f>
        <v/>
      </c>
      <c r="I58" s="6" t="str">
        <f>IF($C58="","",COUNTIFS(Chicks!$F:$F,$C58,Chicks!$G:$G,$D58,Chicks!$I:$I,"No"))</f>
        <v/>
      </c>
      <c r="J58" s="6" t="str">
        <f>IF($C58="","",IFERROR(AVERAGEIFS(Chicks!$M:$M,Chicks!$F:$F,$C58,Chicks!$G:$G,$D58),""))</f>
        <v/>
      </c>
      <c r="K58" s="6" t="str">
        <f>IF($C58="","",SUMIFS(Chicks!$N:$N,Chicks!$F:$F,$C58,Chicks!$G:$G,$D58))</f>
        <v/>
      </c>
      <c r="L58" s="6" t="str">
        <f>IF($C58="","",SUMIFS(Chicks!$O:$O,Chicks!$F:$F,$C58,Chicks!$G:$G,$D58))</f>
        <v/>
      </c>
      <c r="M58" s="6" t="str">
        <f>IF($C58="","",SUMIFS(Chicks!$P:$P,Chicks!$F:$F,$C58,Chicks!$G:$G,$D58))</f>
        <v/>
      </c>
      <c r="N58" s="6" t="str">
        <f t="shared" si="0"/>
        <v/>
      </c>
      <c r="O58" s="6" t="e">
        <f t="shared" ca="1" si="1"/>
        <v>#NAME?</v>
      </c>
      <c r="P58" s="6" t="str">
        <f t="shared" si="2"/>
        <v/>
      </c>
    </row>
    <row r="59" spans="1:16" ht="14.25" customHeight="1" x14ac:dyDescent="0.3">
      <c r="A59" s="4"/>
      <c r="B59" s="4"/>
      <c r="C59" s="4" t="str">
        <f t="shared" si="3"/>
        <v/>
      </c>
      <c r="D59" s="4" t="str">
        <f t="shared" si="4"/>
        <v/>
      </c>
      <c r="E59" s="4"/>
      <c r="F59" s="6" t="str">
        <f>IF($C59="","",COUNTIFS(Chicks!$F:$F,$C59,Chicks!$G:$G,$D59))</f>
        <v/>
      </c>
      <c r="G59" s="6" t="str">
        <f>IF($C59="","",COUNTIFS(Chicks!$F:$F,$C59,Chicks!$G:$G,$D59,Chicks!$I:$I,"Yes"))</f>
        <v/>
      </c>
      <c r="H59" s="6" t="str">
        <f>IF($C59="","",SUMIFS(Chicks!$J:$J,Chicks!$F:$F,$C59,Chicks!$G:$G,$D59))</f>
        <v/>
      </c>
      <c r="I59" s="6" t="str">
        <f>IF($C59="","",COUNTIFS(Chicks!$F:$F,$C59,Chicks!$G:$G,$D59,Chicks!$I:$I,"No"))</f>
        <v/>
      </c>
      <c r="J59" s="6" t="str">
        <f>IF($C59="","",IFERROR(AVERAGEIFS(Chicks!$M:$M,Chicks!$F:$F,$C59,Chicks!$G:$G,$D59),""))</f>
        <v/>
      </c>
      <c r="K59" s="6" t="str">
        <f>IF($C59="","",SUMIFS(Chicks!$N:$N,Chicks!$F:$F,$C59,Chicks!$G:$G,$D59))</f>
        <v/>
      </c>
      <c r="L59" s="6" t="str">
        <f>IF($C59="","",SUMIFS(Chicks!$O:$O,Chicks!$F:$F,$C59,Chicks!$G:$G,$D59))</f>
        <v/>
      </c>
      <c r="M59" s="6" t="str">
        <f>IF($C59="","",SUMIFS(Chicks!$P:$P,Chicks!$F:$F,$C59,Chicks!$G:$G,$D59))</f>
        <v/>
      </c>
      <c r="N59" s="6" t="str">
        <f t="shared" si="0"/>
        <v/>
      </c>
      <c r="O59" s="6" t="e">
        <f t="shared" ca="1" si="1"/>
        <v>#NAME?</v>
      </c>
      <c r="P59" s="6" t="str">
        <f t="shared" si="2"/>
        <v/>
      </c>
    </row>
    <row r="60" spans="1:16" ht="14.25" customHeight="1" x14ac:dyDescent="0.3">
      <c r="A60" s="4"/>
      <c r="B60" s="4"/>
      <c r="C60" s="4" t="str">
        <f t="shared" si="3"/>
        <v/>
      </c>
      <c r="D60" s="4" t="str">
        <f t="shared" si="4"/>
        <v/>
      </c>
      <c r="E60" s="4"/>
      <c r="F60" s="6" t="str">
        <f>IF($C60="","",COUNTIFS(Chicks!$F:$F,$C60,Chicks!$G:$G,$D60))</f>
        <v/>
      </c>
      <c r="G60" s="6" t="str">
        <f>IF($C60="","",COUNTIFS(Chicks!$F:$F,$C60,Chicks!$G:$G,$D60,Chicks!$I:$I,"Yes"))</f>
        <v/>
      </c>
      <c r="H60" s="6" t="str">
        <f>IF($C60="","",SUMIFS(Chicks!$J:$J,Chicks!$F:$F,$C60,Chicks!$G:$G,$D60))</f>
        <v/>
      </c>
      <c r="I60" s="6" t="str">
        <f>IF($C60="","",COUNTIFS(Chicks!$F:$F,$C60,Chicks!$G:$G,$D60,Chicks!$I:$I,"No"))</f>
        <v/>
      </c>
      <c r="J60" s="6" t="str">
        <f>IF($C60="","",IFERROR(AVERAGEIFS(Chicks!$M:$M,Chicks!$F:$F,$C60,Chicks!$G:$G,$D60),""))</f>
        <v/>
      </c>
      <c r="K60" s="6" t="str">
        <f>IF($C60="","",SUMIFS(Chicks!$N:$N,Chicks!$F:$F,$C60,Chicks!$G:$G,$D60))</f>
        <v/>
      </c>
      <c r="L60" s="6" t="str">
        <f>IF($C60="","",SUMIFS(Chicks!$O:$O,Chicks!$F:$F,$C60,Chicks!$G:$G,$D60))</f>
        <v/>
      </c>
      <c r="M60" s="6" t="str">
        <f>IF($C60="","",SUMIFS(Chicks!$P:$P,Chicks!$F:$F,$C60,Chicks!$G:$G,$D60))</f>
        <v/>
      </c>
      <c r="N60" s="6" t="str">
        <f t="shared" si="0"/>
        <v/>
      </c>
      <c r="O60" s="6" t="e">
        <f t="shared" ca="1" si="1"/>
        <v>#NAME?</v>
      </c>
      <c r="P60" s="6" t="str">
        <f t="shared" si="2"/>
        <v/>
      </c>
    </row>
    <row r="61" spans="1:16" ht="14.25" customHeight="1" x14ac:dyDescent="0.3">
      <c r="A61" s="4"/>
      <c r="B61" s="4"/>
      <c r="C61" s="4" t="str">
        <f t="shared" si="3"/>
        <v/>
      </c>
      <c r="D61" s="4" t="str">
        <f t="shared" si="4"/>
        <v/>
      </c>
      <c r="E61" s="4"/>
      <c r="F61" s="6" t="str">
        <f>IF($C61="","",COUNTIFS(Chicks!$F:$F,$C61,Chicks!$G:$G,$D61))</f>
        <v/>
      </c>
      <c r="G61" s="6" t="str">
        <f>IF($C61="","",COUNTIFS(Chicks!$F:$F,$C61,Chicks!$G:$G,$D61,Chicks!$I:$I,"Yes"))</f>
        <v/>
      </c>
      <c r="H61" s="6" t="str">
        <f>IF($C61="","",SUMIFS(Chicks!$J:$J,Chicks!$F:$F,$C61,Chicks!$G:$G,$D61))</f>
        <v/>
      </c>
      <c r="I61" s="6" t="str">
        <f>IF($C61="","",COUNTIFS(Chicks!$F:$F,$C61,Chicks!$G:$G,$D61,Chicks!$I:$I,"No"))</f>
        <v/>
      </c>
      <c r="J61" s="6" t="str">
        <f>IF($C61="","",IFERROR(AVERAGEIFS(Chicks!$M:$M,Chicks!$F:$F,$C61,Chicks!$G:$G,$D61),""))</f>
        <v/>
      </c>
      <c r="K61" s="6" t="str">
        <f>IF($C61="","",SUMIFS(Chicks!$N:$N,Chicks!$F:$F,$C61,Chicks!$G:$G,$D61))</f>
        <v/>
      </c>
      <c r="L61" s="6" t="str">
        <f>IF($C61="","",SUMIFS(Chicks!$O:$O,Chicks!$F:$F,$C61,Chicks!$G:$G,$D61))</f>
        <v/>
      </c>
      <c r="M61" s="6" t="str">
        <f>IF($C61="","",SUMIFS(Chicks!$P:$P,Chicks!$F:$F,$C61,Chicks!$G:$G,$D61))</f>
        <v/>
      </c>
      <c r="N61" s="6" t="str">
        <f t="shared" si="0"/>
        <v/>
      </c>
      <c r="O61" s="6" t="e">
        <f t="shared" ca="1" si="1"/>
        <v>#NAME?</v>
      </c>
      <c r="P61" s="6" t="str">
        <f t="shared" si="2"/>
        <v/>
      </c>
    </row>
    <row r="62" spans="1:16" ht="14.25" customHeight="1" x14ac:dyDescent="0.3">
      <c r="A62" s="4"/>
      <c r="B62" s="4"/>
      <c r="C62" s="4" t="str">
        <f t="shared" si="3"/>
        <v/>
      </c>
      <c r="D62" s="4" t="str">
        <f t="shared" si="4"/>
        <v/>
      </c>
      <c r="E62" s="4"/>
      <c r="F62" s="6" t="str">
        <f>IF($C62="","",COUNTIFS(Chicks!$F:$F,$C62,Chicks!$G:$G,$D62))</f>
        <v/>
      </c>
      <c r="G62" s="6" t="str">
        <f>IF($C62="","",COUNTIFS(Chicks!$F:$F,$C62,Chicks!$G:$G,$D62,Chicks!$I:$I,"Yes"))</f>
        <v/>
      </c>
      <c r="H62" s="6" t="str">
        <f>IF($C62="","",SUMIFS(Chicks!$J:$J,Chicks!$F:$F,$C62,Chicks!$G:$G,$D62))</f>
        <v/>
      </c>
      <c r="I62" s="6" t="str">
        <f>IF($C62="","",COUNTIFS(Chicks!$F:$F,$C62,Chicks!$G:$G,$D62,Chicks!$I:$I,"No"))</f>
        <v/>
      </c>
      <c r="J62" s="6" t="str">
        <f>IF($C62="","",IFERROR(AVERAGEIFS(Chicks!$M:$M,Chicks!$F:$F,$C62,Chicks!$G:$G,$D62),""))</f>
        <v/>
      </c>
      <c r="K62" s="6" t="str">
        <f>IF($C62="","",SUMIFS(Chicks!$N:$N,Chicks!$F:$F,$C62,Chicks!$G:$G,$D62))</f>
        <v/>
      </c>
      <c r="L62" s="6" t="str">
        <f>IF($C62="","",SUMIFS(Chicks!$O:$O,Chicks!$F:$F,$C62,Chicks!$G:$G,$D62))</f>
        <v/>
      </c>
      <c r="M62" s="6" t="str">
        <f>IF($C62="","",SUMIFS(Chicks!$P:$P,Chicks!$F:$F,$C62,Chicks!$G:$G,$D62))</f>
        <v/>
      </c>
      <c r="N62" s="6" t="str">
        <f t="shared" si="0"/>
        <v/>
      </c>
      <c r="O62" s="6" t="e">
        <f t="shared" ca="1" si="1"/>
        <v>#NAME?</v>
      </c>
      <c r="P62" s="6" t="str">
        <f t="shared" si="2"/>
        <v/>
      </c>
    </row>
    <row r="63" spans="1:16" ht="14.25" customHeight="1" x14ac:dyDescent="0.3">
      <c r="A63" s="4"/>
      <c r="B63" s="4"/>
      <c r="C63" s="4" t="str">
        <f t="shared" si="3"/>
        <v/>
      </c>
      <c r="D63" s="4" t="str">
        <f t="shared" si="4"/>
        <v/>
      </c>
      <c r="E63" s="4"/>
      <c r="F63" s="6" t="str">
        <f>IF($C63="","",COUNTIFS(Chicks!$F:$F,$C63,Chicks!$G:$G,$D63))</f>
        <v/>
      </c>
      <c r="G63" s="6" t="str">
        <f>IF($C63="","",COUNTIFS(Chicks!$F:$F,$C63,Chicks!$G:$G,$D63,Chicks!$I:$I,"Yes"))</f>
        <v/>
      </c>
      <c r="H63" s="6" t="str">
        <f>IF($C63="","",SUMIFS(Chicks!$J:$J,Chicks!$F:$F,$C63,Chicks!$G:$G,$D63))</f>
        <v/>
      </c>
      <c r="I63" s="6" t="str">
        <f>IF($C63="","",COUNTIFS(Chicks!$F:$F,$C63,Chicks!$G:$G,$D63,Chicks!$I:$I,"No"))</f>
        <v/>
      </c>
      <c r="J63" s="6" t="str">
        <f>IF($C63="","",IFERROR(AVERAGEIFS(Chicks!$M:$M,Chicks!$F:$F,$C63,Chicks!$G:$G,$D63),""))</f>
        <v/>
      </c>
      <c r="K63" s="6" t="str">
        <f>IF($C63="","",SUMIFS(Chicks!$N:$N,Chicks!$F:$F,$C63,Chicks!$G:$G,$D63))</f>
        <v/>
      </c>
      <c r="L63" s="6" t="str">
        <f>IF($C63="","",SUMIFS(Chicks!$O:$O,Chicks!$F:$F,$C63,Chicks!$G:$G,$D63))</f>
        <v/>
      </c>
      <c r="M63" s="6" t="str">
        <f>IF($C63="","",SUMIFS(Chicks!$P:$P,Chicks!$F:$F,$C63,Chicks!$G:$G,$D63))</f>
        <v/>
      </c>
      <c r="N63" s="6" t="str">
        <f t="shared" si="0"/>
        <v/>
      </c>
      <c r="O63" s="6" t="e">
        <f t="shared" ca="1" si="1"/>
        <v>#NAME?</v>
      </c>
      <c r="P63" s="6" t="str">
        <f t="shared" si="2"/>
        <v/>
      </c>
    </row>
    <row r="64" spans="1:16" ht="14.25" customHeight="1" x14ac:dyDescent="0.3">
      <c r="A64" s="4"/>
      <c r="B64" s="4"/>
      <c r="C64" s="4" t="str">
        <f t="shared" si="3"/>
        <v/>
      </c>
      <c r="D64" s="4" t="str">
        <f t="shared" si="4"/>
        <v/>
      </c>
      <c r="E64" s="4"/>
      <c r="F64" s="6" t="str">
        <f>IF($C64="","",COUNTIFS(Chicks!$F:$F,$C64,Chicks!$G:$G,$D64))</f>
        <v/>
      </c>
      <c r="G64" s="6" t="str">
        <f>IF($C64="","",COUNTIFS(Chicks!$F:$F,$C64,Chicks!$G:$G,$D64,Chicks!$I:$I,"Yes"))</f>
        <v/>
      </c>
      <c r="H64" s="6" t="str">
        <f>IF($C64="","",SUMIFS(Chicks!$J:$J,Chicks!$F:$F,$C64,Chicks!$G:$G,$D64))</f>
        <v/>
      </c>
      <c r="I64" s="6" t="str">
        <f>IF($C64="","",COUNTIFS(Chicks!$F:$F,$C64,Chicks!$G:$G,$D64,Chicks!$I:$I,"No"))</f>
        <v/>
      </c>
      <c r="J64" s="6" t="str">
        <f>IF($C64="","",IFERROR(AVERAGEIFS(Chicks!$M:$M,Chicks!$F:$F,$C64,Chicks!$G:$G,$D64),""))</f>
        <v/>
      </c>
      <c r="K64" s="6" t="str">
        <f>IF($C64="","",SUMIFS(Chicks!$N:$N,Chicks!$F:$F,$C64,Chicks!$G:$G,$D64))</f>
        <v/>
      </c>
      <c r="L64" s="6" t="str">
        <f>IF($C64="","",SUMIFS(Chicks!$O:$O,Chicks!$F:$F,$C64,Chicks!$G:$G,$D64))</f>
        <v/>
      </c>
      <c r="M64" s="6" t="str">
        <f>IF($C64="","",SUMIFS(Chicks!$P:$P,Chicks!$F:$F,$C64,Chicks!$G:$G,$D64))</f>
        <v/>
      </c>
      <c r="N64" s="6" t="str">
        <f t="shared" si="0"/>
        <v/>
      </c>
      <c r="O64" s="6" t="e">
        <f t="shared" ca="1" si="1"/>
        <v>#NAME?</v>
      </c>
      <c r="P64" s="6" t="str">
        <f t="shared" si="2"/>
        <v/>
      </c>
    </row>
    <row r="65" spans="1:16" ht="14.25" customHeight="1" x14ac:dyDescent="0.3">
      <c r="A65" s="4"/>
      <c r="B65" s="4"/>
      <c r="C65" s="4" t="str">
        <f t="shared" si="3"/>
        <v/>
      </c>
      <c r="D65" s="4" t="str">
        <f t="shared" si="4"/>
        <v/>
      </c>
      <c r="E65" s="4"/>
      <c r="F65" s="6" t="str">
        <f>IF($C65="","",COUNTIFS(Chicks!$F:$F,$C65,Chicks!$G:$G,$D65))</f>
        <v/>
      </c>
      <c r="G65" s="6" t="str">
        <f>IF($C65="","",COUNTIFS(Chicks!$F:$F,$C65,Chicks!$G:$G,$D65,Chicks!$I:$I,"Yes"))</f>
        <v/>
      </c>
      <c r="H65" s="6" t="str">
        <f>IF($C65="","",SUMIFS(Chicks!$J:$J,Chicks!$F:$F,$C65,Chicks!$G:$G,$D65))</f>
        <v/>
      </c>
      <c r="I65" s="6" t="str">
        <f>IF($C65="","",COUNTIFS(Chicks!$F:$F,$C65,Chicks!$G:$G,$D65,Chicks!$I:$I,"No"))</f>
        <v/>
      </c>
      <c r="J65" s="6" t="str">
        <f>IF($C65="","",IFERROR(AVERAGEIFS(Chicks!$M:$M,Chicks!$F:$F,$C65,Chicks!$G:$G,$D65),""))</f>
        <v/>
      </c>
      <c r="K65" s="6" t="str">
        <f>IF($C65="","",SUMIFS(Chicks!$N:$N,Chicks!$F:$F,$C65,Chicks!$G:$G,$D65))</f>
        <v/>
      </c>
      <c r="L65" s="6" t="str">
        <f>IF($C65="","",SUMIFS(Chicks!$O:$O,Chicks!$F:$F,$C65,Chicks!$G:$G,$D65))</f>
        <v/>
      </c>
      <c r="M65" s="6" t="str">
        <f>IF($C65="","",SUMIFS(Chicks!$P:$P,Chicks!$F:$F,$C65,Chicks!$G:$G,$D65))</f>
        <v/>
      </c>
      <c r="N65" s="6" t="str">
        <f t="shared" si="0"/>
        <v/>
      </c>
      <c r="O65" s="6" t="e">
        <f t="shared" ca="1" si="1"/>
        <v>#NAME?</v>
      </c>
      <c r="P65" s="6" t="str">
        <f t="shared" si="2"/>
        <v/>
      </c>
    </row>
    <row r="66" spans="1:16" ht="14.25" customHeight="1" x14ac:dyDescent="0.3">
      <c r="A66" s="4"/>
      <c r="B66" s="4"/>
      <c r="C66" s="4" t="str">
        <f t="shared" si="3"/>
        <v/>
      </c>
      <c r="D66" s="4" t="str">
        <f t="shared" si="4"/>
        <v/>
      </c>
      <c r="E66" s="4"/>
      <c r="F66" s="6" t="str">
        <f>IF($C66="","",COUNTIFS(Chicks!$F:$F,$C66,Chicks!$G:$G,$D66))</f>
        <v/>
      </c>
      <c r="G66" s="6" t="str">
        <f>IF($C66="","",COUNTIFS(Chicks!$F:$F,$C66,Chicks!$G:$G,$D66,Chicks!$I:$I,"Yes"))</f>
        <v/>
      </c>
      <c r="H66" s="6" t="str">
        <f>IF($C66="","",SUMIFS(Chicks!$J:$J,Chicks!$F:$F,$C66,Chicks!$G:$G,$D66))</f>
        <v/>
      </c>
      <c r="I66" s="6" t="str">
        <f>IF($C66="","",COUNTIFS(Chicks!$F:$F,$C66,Chicks!$G:$G,$D66,Chicks!$I:$I,"No"))</f>
        <v/>
      </c>
      <c r="J66" s="6" t="str">
        <f>IF($C66="","",IFERROR(AVERAGEIFS(Chicks!$M:$M,Chicks!$F:$F,$C66,Chicks!$G:$G,$D66),""))</f>
        <v/>
      </c>
      <c r="K66" s="6" t="str">
        <f>IF($C66="","",SUMIFS(Chicks!$N:$N,Chicks!$F:$F,$C66,Chicks!$G:$G,$D66))</f>
        <v/>
      </c>
      <c r="L66" s="6" t="str">
        <f>IF($C66="","",SUMIFS(Chicks!$O:$O,Chicks!$F:$F,$C66,Chicks!$G:$G,$D66))</f>
        <v/>
      </c>
      <c r="M66" s="6" t="str">
        <f>IF($C66="","",SUMIFS(Chicks!$P:$P,Chicks!$F:$F,$C66,Chicks!$G:$G,$D66))</f>
        <v/>
      </c>
      <c r="N66" s="6" t="str">
        <f t="shared" si="0"/>
        <v/>
      </c>
      <c r="O66" s="6" t="e">
        <f t="shared" ca="1" si="1"/>
        <v>#NAME?</v>
      </c>
      <c r="P66" s="6" t="str">
        <f t="shared" si="2"/>
        <v/>
      </c>
    </row>
    <row r="67" spans="1:16" ht="14.25" customHeight="1" x14ac:dyDescent="0.3">
      <c r="A67" s="4"/>
      <c r="B67" s="4"/>
      <c r="C67" s="4" t="str">
        <f t="shared" si="3"/>
        <v/>
      </c>
      <c r="D67" s="4" t="str">
        <f t="shared" si="4"/>
        <v/>
      </c>
      <c r="E67" s="4"/>
      <c r="F67" s="6" t="str">
        <f>IF($C67="","",COUNTIFS(Chicks!$F:$F,$C67,Chicks!$G:$G,$D67))</f>
        <v/>
      </c>
      <c r="G67" s="6" t="str">
        <f>IF($C67="","",COUNTIFS(Chicks!$F:$F,$C67,Chicks!$G:$G,$D67,Chicks!$I:$I,"Yes"))</f>
        <v/>
      </c>
      <c r="H67" s="6" t="str">
        <f>IF($C67="","",SUMIFS(Chicks!$J:$J,Chicks!$F:$F,$C67,Chicks!$G:$G,$D67))</f>
        <v/>
      </c>
      <c r="I67" s="6" t="str">
        <f>IF($C67="","",COUNTIFS(Chicks!$F:$F,$C67,Chicks!$G:$G,$D67,Chicks!$I:$I,"No"))</f>
        <v/>
      </c>
      <c r="J67" s="6" t="str">
        <f>IF($C67="","",IFERROR(AVERAGEIFS(Chicks!$M:$M,Chicks!$F:$F,$C67,Chicks!$G:$G,$D67),""))</f>
        <v/>
      </c>
      <c r="K67" s="6" t="str">
        <f>IF($C67="","",SUMIFS(Chicks!$N:$N,Chicks!$F:$F,$C67,Chicks!$G:$G,$D67))</f>
        <v/>
      </c>
      <c r="L67" s="6" t="str">
        <f>IF($C67="","",SUMIFS(Chicks!$O:$O,Chicks!$F:$F,$C67,Chicks!$G:$G,$D67))</f>
        <v/>
      </c>
      <c r="M67" s="6" t="str">
        <f>IF($C67="","",SUMIFS(Chicks!$P:$P,Chicks!$F:$F,$C67,Chicks!$G:$G,$D67))</f>
        <v/>
      </c>
      <c r="N67" s="6" t="str">
        <f t="shared" si="0"/>
        <v/>
      </c>
      <c r="O67" s="6" t="e">
        <f t="shared" ca="1" si="1"/>
        <v>#NAME?</v>
      </c>
      <c r="P67" s="6" t="str">
        <f t="shared" si="2"/>
        <v/>
      </c>
    </row>
    <row r="68" spans="1:16" ht="14.25" customHeight="1" x14ac:dyDescent="0.3">
      <c r="A68" s="4"/>
      <c r="B68" s="4"/>
      <c r="C68" s="4" t="str">
        <f t="shared" si="3"/>
        <v/>
      </c>
      <c r="D68" s="4" t="str">
        <f t="shared" si="4"/>
        <v/>
      </c>
      <c r="E68" s="4"/>
      <c r="F68" s="6" t="str">
        <f>IF($C68="","",COUNTIFS(Chicks!$F:$F,$C68,Chicks!$G:$G,$D68))</f>
        <v/>
      </c>
      <c r="G68" s="6" t="str">
        <f>IF($C68="","",COUNTIFS(Chicks!$F:$F,$C68,Chicks!$G:$G,$D68,Chicks!$I:$I,"Yes"))</f>
        <v/>
      </c>
      <c r="H68" s="6" t="str">
        <f>IF($C68="","",SUMIFS(Chicks!$J:$J,Chicks!$F:$F,$C68,Chicks!$G:$G,$D68))</f>
        <v/>
      </c>
      <c r="I68" s="6" t="str">
        <f>IF($C68="","",COUNTIFS(Chicks!$F:$F,$C68,Chicks!$G:$G,$D68,Chicks!$I:$I,"No"))</f>
        <v/>
      </c>
      <c r="J68" s="6" t="str">
        <f>IF($C68="","",IFERROR(AVERAGEIFS(Chicks!$M:$M,Chicks!$F:$F,$C68,Chicks!$G:$G,$D68),""))</f>
        <v/>
      </c>
      <c r="K68" s="6" t="str">
        <f>IF($C68="","",SUMIFS(Chicks!$N:$N,Chicks!$F:$F,$C68,Chicks!$G:$G,$D68))</f>
        <v/>
      </c>
      <c r="L68" s="6" t="str">
        <f>IF($C68="","",SUMIFS(Chicks!$O:$O,Chicks!$F:$F,$C68,Chicks!$G:$G,$D68))</f>
        <v/>
      </c>
      <c r="M68" s="6" t="str">
        <f>IF($C68="","",SUMIFS(Chicks!$P:$P,Chicks!$F:$F,$C68,Chicks!$G:$G,$D68))</f>
        <v/>
      </c>
      <c r="N68" s="6" t="str">
        <f t="shared" si="0"/>
        <v/>
      </c>
      <c r="O68" s="6" t="e">
        <f t="shared" ca="1" si="1"/>
        <v>#NAME?</v>
      </c>
      <c r="P68" s="6" t="str">
        <f t="shared" si="2"/>
        <v/>
      </c>
    </row>
    <row r="69" spans="1:16" ht="14.25" customHeight="1" x14ac:dyDescent="0.3">
      <c r="A69" s="4"/>
      <c r="B69" s="4"/>
      <c r="C69" s="4" t="str">
        <f t="shared" si="3"/>
        <v/>
      </c>
      <c r="D69" s="4" t="str">
        <f t="shared" si="4"/>
        <v/>
      </c>
      <c r="E69" s="4"/>
      <c r="F69" s="6" t="str">
        <f>IF($C69="","",COUNTIFS(Chicks!$F:$F,$C69,Chicks!$G:$G,$D69))</f>
        <v/>
      </c>
      <c r="G69" s="6" t="str">
        <f>IF($C69="","",COUNTIFS(Chicks!$F:$F,$C69,Chicks!$G:$G,$D69,Chicks!$I:$I,"Yes"))</f>
        <v/>
      </c>
      <c r="H69" s="6" t="str">
        <f>IF($C69="","",SUMIFS(Chicks!$J:$J,Chicks!$F:$F,$C69,Chicks!$G:$G,$D69))</f>
        <v/>
      </c>
      <c r="I69" s="6" t="str">
        <f>IF($C69="","",COUNTIFS(Chicks!$F:$F,$C69,Chicks!$G:$G,$D69,Chicks!$I:$I,"No"))</f>
        <v/>
      </c>
      <c r="J69" s="6" t="str">
        <f>IF($C69="","",IFERROR(AVERAGEIFS(Chicks!$M:$M,Chicks!$F:$F,$C69,Chicks!$G:$G,$D69),""))</f>
        <v/>
      </c>
      <c r="K69" s="6" t="str">
        <f>IF($C69="","",SUMIFS(Chicks!$N:$N,Chicks!$F:$F,$C69,Chicks!$G:$G,$D69))</f>
        <v/>
      </c>
      <c r="L69" s="6" t="str">
        <f>IF($C69="","",SUMIFS(Chicks!$O:$O,Chicks!$F:$F,$C69,Chicks!$G:$G,$D69))</f>
        <v/>
      </c>
      <c r="M69" s="6" t="str">
        <f>IF($C69="","",SUMIFS(Chicks!$P:$P,Chicks!$F:$F,$C69,Chicks!$G:$G,$D69))</f>
        <v/>
      </c>
      <c r="N69" s="6" t="str">
        <f t="shared" si="0"/>
        <v/>
      </c>
      <c r="O69" s="6" t="e">
        <f t="shared" ca="1" si="1"/>
        <v>#NAME?</v>
      </c>
      <c r="P69" s="6" t="str">
        <f t="shared" si="2"/>
        <v/>
      </c>
    </row>
    <row r="70" spans="1:16" ht="14.25" customHeight="1" x14ac:dyDescent="0.3">
      <c r="A70" s="4"/>
      <c r="B70" s="4"/>
      <c r="C70" s="4" t="str">
        <f t="shared" si="3"/>
        <v/>
      </c>
      <c r="D70" s="4" t="str">
        <f t="shared" si="4"/>
        <v/>
      </c>
      <c r="E70" s="4"/>
      <c r="F70" s="6" t="str">
        <f>IF($C70="","",COUNTIFS(Chicks!$F:$F,$C70,Chicks!$G:$G,$D70))</f>
        <v/>
      </c>
      <c r="G70" s="6" t="str">
        <f>IF($C70="","",COUNTIFS(Chicks!$F:$F,$C70,Chicks!$G:$G,$D70,Chicks!$I:$I,"Yes"))</f>
        <v/>
      </c>
      <c r="H70" s="6" t="str">
        <f>IF($C70="","",SUMIFS(Chicks!$J:$J,Chicks!$F:$F,$C70,Chicks!$G:$G,$D70))</f>
        <v/>
      </c>
      <c r="I70" s="6" t="str">
        <f>IF($C70="","",COUNTIFS(Chicks!$F:$F,$C70,Chicks!$G:$G,$D70,Chicks!$I:$I,"No"))</f>
        <v/>
      </c>
      <c r="J70" s="6" t="str">
        <f>IF($C70="","",IFERROR(AVERAGEIFS(Chicks!$M:$M,Chicks!$F:$F,$C70,Chicks!$G:$G,$D70),""))</f>
        <v/>
      </c>
      <c r="K70" s="6" t="str">
        <f>IF($C70="","",SUMIFS(Chicks!$N:$N,Chicks!$F:$F,$C70,Chicks!$G:$G,$D70))</f>
        <v/>
      </c>
      <c r="L70" s="6" t="str">
        <f>IF($C70="","",SUMIFS(Chicks!$O:$O,Chicks!$F:$F,$C70,Chicks!$G:$G,$D70))</f>
        <v/>
      </c>
      <c r="M70" s="6" t="str">
        <f>IF($C70="","",SUMIFS(Chicks!$P:$P,Chicks!$F:$F,$C70,Chicks!$G:$G,$D70))</f>
        <v/>
      </c>
      <c r="N70" s="6" t="str">
        <f t="shared" si="0"/>
        <v/>
      </c>
      <c r="O70" s="6" t="e">
        <f t="shared" ca="1" si="1"/>
        <v>#NAME?</v>
      </c>
      <c r="P70" s="6" t="str">
        <f t="shared" si="2"/>
        <v/>
      </c>
    </row>
    <row r="71" spans="1:16" ht="14.25" customHeight="1" x14ac:dyDescent="0.3">
      <c r="A71" s="4"/>
      <c r="B71" s="4"/>
      <c r="C71" s="4" t="str">
        <f t="shared" si="3"/>
        <v/>
      </c>
      <c r="D71" s="4" t="str">
        <f t="shared" si="4"/>
        <v/>
      </c>
      <c r="E71" s="4"/>
      <c r="F71" s="6" t="str">
        <f>IF($C71="","",COUNTIFS(Chicks!$F:$F,$C71,Chicks!$G:$G,$D71))</f>
        <v/>
      </c>
      <c r="G71" s="6" t="str">
        <f>IF($C71="","",COUNTIFS(Chicks!$F:$F,$C71,Chicks!$G:$G,$D71,Chicks!$I:$I,"Yes"))</f>
        <v/>
      </c>
      <c r="H71" s="6" t="str">
        <f>IF($C71="","",SUMIFS(Chicks!$J:$J,Chicks!$F:$F,$C71,Chicks!$G:$G,$D71))</f>
        <v/>
      </c>
      <c r="I71" s="6" t="str">
        <f>IF($C71="","",COUNTIFS(Chicks!$F:$F,$C71,Chicks!$G:$G,$D71,Chicks!$I:$I,"No"))</f>
        <v/>
      </c>
      <c r="J71" s="6" t="str">
        <f>IF($C71="","",IFERROR(AVERAGEIFS(Chicks!$M:$M,Chicks!$F:$F,$C71,Chicks!$G:$G,$D71),""))</f>
        <v/>
      </c>
      <c r="K71" s="6" t="str">
        <f>IF($C71="","",SUMIFS(Chicks!$N:$N,Chicks!$F:$F,$C71,Chicks!$G:$G,$D71))</f>
        <v/>
      </c>
      <c r="L71" s="6" t="str">
        <f>IF($C71="","",SUMIFS(Chicks!$O:$O,Chicks!$F:$F,$C71,Chicks!$G:$G,$D71))</f>
        <v/>
      </c>
      <c r="M71" s="6" t="str">
        <f>IF($C71="","",SUMIFS(Chicks!$P:$P,Chicks!$F:$F,$C71,Chicks!$G:$G,$D71))</f>
        <v/>
      </c>
      <c r="N71" s="6" t="str">
        <f t="shared" si="0"/>
        <v/>
      </c>
      <c r="O71" s="6" t="e">
        <f t="shared" ca="1" si="1"/>
        <v>#NAME?</v>
      </c>
      <c r="P71" s="6" t="str">
        <f t="shared" si="2"/>
        <v/>
      </c>
    </row>
    <row r="72" spans="1:16" ht="14.25" customHeight="1" x14ac:dyDescent="0.3">
      <c r="A72" s="4"/>
      <c r="B72" s="4"/>
      <c r="C72" s="4" t="str">
        <f t="shared" si="3"/>
        <v/>
      </c>
      <c r="D72" s="4" t="str">
        <f t="shared" si="4"/>
        <v/>
      </c>
      <c r="E72" s="4"/>
      <c r="F72" s="6" t="str">
        <f>IF($C72="","",COUNTIFS(Chicks!$F:$F,$C72,Chicks!$G:$G,$D72))</f>
        <v/>
      </c>
      <c r="G72" s="6" t="str">
        <f>IF($C72="","",COUNTIFS(Chicks!$F:$F,$C72,Chicks!$G:$G,$D72,Chicks!$I:$I,"Yes"))</f>
        <v/>
      </c>
      <c r="H72" s="6" t="str">
        <f>IF($C72="","",SUMIFS(Chicks!$J:$J,Chicks!$F:$F,$C72,Chicks!$G:$G,$D72))</f>
        <v/>
      </c>
      <c r="I72" s="6" t="str">
        <f>IF($C72="","",COUNTIFS(Chicks!$F:$F,$C72,Chicks!$G:$G,$D72,Chicks!$I:$I,"No"))</f>
        <v/>
      </c>
      <c r="J72" s="6" t="str">
        <f>IF($C72="","",IFERROR(AVERAGEIFS(Chicks!$M:$M,Chicks!$F:$F,$C72,Chicks!$G:$G,$D72),""))</f>
        <v/>
      </c>
      <c r="K72" s="6" t="str">
        <f>IF($C72="","",SUMIFS(Chicks!$N:$N,Chicks!$F:$F,$C72,Chicks!$G:$G,$D72))</f>
        <v/>
      </c>
      <c r="L72" s="6" t="str">
        <f>IF($C72="","",SUMIFS(Chicks!$O:$O,Chicks!$F:$F,$C72,Chicks!$G:$G,$D72))</f>
        <v/>
      </c>
      <c r="M72" s="6" t="str">
        <f>IF($C72="","",SUMIFS(Chicks!$P:$P,Chicks!$F:$F,$C72,Chicks!$G:$G,$D72))</f>
        <v/>
      </c>
      <c r="N72" s="6" t="str">
        <f t="shared" si="0"/>
        <v/>
      </c>
      <c r="O72" s="6" t="e">
        <f t="shared" ca="1" si="1"/>
        <v>#NAME?</v>
      </c>
      <c r="P72" s="6" t="str">
        <f t="shared" si="2"/>
        <v/>
      </c>
    </row>
    <row r="73" spans="1:16" ht="14.25" customHeight="1" x14ac:dyDescent="0.3">
      <c r="A73" s="4"/>
      <c r="B73" s="4"/>
      <c r="C73" s="4" t="str">
        <f t="shared" si="3"/>
        <v/>
      </c>
      <c r="D73" s="4" t="str">
        <f t="shared" si="4"/>
        <v/>
      </c>
      <c r="E73" s="4"/>
      <c r="F73" s="6" t="str">
        <f>IF($C73="","",COUNTIFS(Chicks!$F:$F,$C73,Chicks!$G:$G,$D73))</f>
        <v/>
      </c>
      <c r="G73" s="6" t="str">
        <f>IF($C73="","",COUNTIFS(Chicks!$F:$F,$C73,Chicks!$G:$G,$D73,Chicks!$I:$I,"Yes"))</f>
        <v/>
      </c>
      <c r="H73" s="6" t="str">
        <f>IF($C73="","",SUMIFS(Chicks!$J:$J,Chicks!$F:$F,$C73,Chicks!$G:$G,$D73))</f>
        <v/>
      </c>
      <c r="I73" s="6" t="str">
        <f>IF($C73="","",COUNTIFS(Chicks!$F:$F,$C73,Chicks!$G:$G,$D73,Chicks!$I:$I,"No"))</f>
        <v/>
      </c>
      <c r="J73" s="6" t="str">
        <f>IF($C73="","",IFERROR(AVERAGEIFS(Chicks!$M:$M,Chicks!$F:$F,$C73,Chicks!$G:$G,$D73),""))</f>
        <v/>
      </c>
      <c r="K73" s="6" t="str">
        <f>IF($C73="","",SUMIFS(Chicks!$N:$N,Chicks!$F:$F,$C73,Chicks!$G:$G,$D73))</f>
        <v/>
      </c>
      <c r="L73" s="6" t="str">
        <f>IF($C73="","",SUMIFS(Chicks!$O:$O,Chicks!$F:$F,$C73,Chicks!$G:$G,$D73))</f>
        <v/>
      </c>
      <c r="M73" s="6" t="str">
        <f>IF($C73="","",SUMIFS(Chicks!$P:$P,Chicks!$F:$F,$C73,Chicks!$G:$G,$D73))</f>
        <v/>
      </c>
      <c r="N73" s="6" t="str">
        <f t="shared" si="0"/>
        <v/>
      </c>
      <c r="O73" s="6" t="e">
        <f t="shared" ca="1" si="1"/>
        <v>#NAME?</v>
      </c>
      <c r="P73" s="6" t="str">
        <f t="shared" si="2"/>
        <v/>
      </c>
    </row>
    <row r="74" spans="1:16" ht="14.25" customHeight="1" x14ac:dyDescent="0.3">
      <c r="A74" s="4"/>
      <c r="B74" s="4"/>
      <c r="C74" s="4" t="str">
        <f t="shared" si="3"/>
        <v/>
      </c>
      <c r="D74" s="4" t="str">
        <f t="shared" si="4"/>
        <v/>
      </c>
      <c r="E74" s="4"/>
      <c r="F74" s="6" t="str">
        <f>IF($C74="","",COUNTIFS(Chicks!$F:$F,$C74,Chicks!$G:$G,$D74))</f>
        <v/>
      </c>
      <c r="G74" s="6" t="str">
        <f>IF($C74="","",COUNTIFS(Chicks!$F:$F,$C74,Chicks!$G:$G,$D74,Chicks!$I:$I,"Yes"))</f>
        <v/>
      </c>
      <c r="H74" s="6" t="str">
        <f>IF($C74="","",SUMIFS(Chicks!$J:$J,Chicks!$F:$F,$C74,Chicks!$G:$G,$D74))</f>
        <v/>
      </c>
      <c r="I74" s="6" t="str">
        <f>IF($C74="","",COUNTIFS(Chicks!$F:$F,$C74,Chicks!$G:$G,$D74,Chicks!$I:$I,"No"))</f>
        <v/>
      </c>
      <c r="J74" s="6" t="str">
        <f>IF($C74="","",IFERROR(AVERAGEIFS(Chicks!$M:$M,Chicks!$F:$F,$C74,Chicks!$G:$G,$D74),""))</f>
        <v/>
      </c>
      <c r="K74" s="6" t="str">
        <f>IF($C74="","",SUMIFS(Chicks!$N:$N,Chicks!$F:$F,$C74,Chicks!$G:$G,$D74))</f>
        <v/>
      </c>
      <c r="L74" s="6" t="str">
        <f>IF($C74="","",SUMIFS(Chicks!$O:$O,Chicks!$F:$F,$C74,Chicks!$G:$G,$D74))</f>
        <v/>
      </c>
      <c r="M74" s="6" t="str">
        <f>IF($C74="","",SUMIFS(Chicks!$P:$P,Chicks!$F:$F,$C74,Chicks!$G:$G,$D74))</f>
        <v/>
      </c>
      <c r="N74" s="6" t="str">
        <f t="shared" si="0"/>
        <v/>
      </c>
      <c r="O74" s="6" t="e">
        <f t="shared" ca="1" si="1"/>
        <v>#NAME?</v>
      </c>
      <c r="P74" s="6" t="str">
        <f t="shared" si="2"/>
        <v/>
      </c>
    </row>
    <row r="75" spans="1:16" ht="14.25" customHeight="1" x14ac:dyDescent="0.3">
      <c r="A75" s="4"/>
      <c r="B75" s="4"/>
      <c r="C75" s="4" t="str">
        <f t="shared" si="3"/>
        <v/>
      </c>
      <c r="D75" s="4" t="str">
        <f t="shared" si="4"/>
        <v/>
      </c>
      <c r="E75" s="4"/>
      <c r="F75" s="6" t="str">
        <f>IF($C75="","",COUNTIFS(Chicks!$F:$F,$C75,Chicks!$G:$G,$D75))</f>
        <v/>
      </c>
      <c r="G75" s="6" t="str">
        <f>IF($C75="","",COUNTIFS(Chicks!$F:$F,$C75,Chicks!$G:$G,$D75,Chicks!$I:$I,"Yes"))</f>
        <v/>
      </c>
      <c r="H75" s="6" t="str">
        <f>IF($C75="","",SUMIFS(Chicks!$J:$J,Chicks!$F:$F,$C75,Chicks!$G:$G,$D75))</f>
        <v/>
      </c>
      <c r="I75" s="6" t="str">
        <f>IF($C75="","",COUNTIFS(Chicks!$F:$F,$C75,Chicks!$G:$G,$D75,Chicks!$I:$I,"No"))</f>
        <v/>
      </c>
      <c r="J75" s="6" t="str">
        <f>IF($C75="","",IFERROR(AVERAGEIFS(Chicks!$M:$M,Chicks!$F:$F,$C75,Chicks!$G:$G,$D75),""))</f>
        <v/>
      </c>
      <c r="K75" s="6" t="str">
        <f>IF($C75="","",SUMIFS(Chicks!$N:$N,Chicks!$F:$F,$C75,Chicks!$G:$G,$D75))</f>
        <v/>
      </c>
      <c r="L75" s="6" t="str">
        <f>IF($C75="","",SUMIFS(Chicks!$O:$O,Chicks!$F:$F,$C75,Chicks!$G:$G,$D75))</f>
        <v/>
      </c>
      <c r="M75" s="6" t="str">
        <f>IF($C75="","",SUMIFS(Chicks!$P:$P,Chicks!$F:$F,$C75,Chicks!$G:$G,$D75))</f>
        <v/>
      </c>
      <c r="N75" s="6" t="str">
        <f t="shared" si="0"/>
        <v/>
      </c>
      <c r="O75" s="6" t="e">
        <f t="shared" ca="1" si="1"/>
        <v>#NAME?</v>
      </c>
      <c r="P75" s="6" t="str">
        <f t="shared" si="2"/>
        <v/>
      </c>
    </row>
    <row r="76" spans="1:16" ht="14.25" customHeight="1" x14ac:dyDescent="0.3">
      <c r="A76" s="4"/>
      <c r="B76" s="4"/>
      <c r="C76" s="4" t="str">
        <f t="shared" si="3"/>
        <v/>
      </c>
      <c r="D76" s="4" t="str">
        <f t="shared" si="4"/>
        <v/>
      </c>
      <c r="E76" s="4"/>
      <c r="F76" s="6" t="str">
        <f>IF($C76="","",COUNTIFS(Chicks!$F:$F,$C76,Chicks!$G:$G,$D76))</f>
        <v/>
      </c>
      <c r="G76" s="6" t="str">
        <f>IF($C76="","",COUNTIFS(Chicks!$F:$F,$C76,Chicks!$G:$G,$D76,Chicks!$I:$I,"Yes"))</f>
        <v/>
      </c>
      <c r="H76" s="6" t="str">
        <f>IF($C76="","",SUMIFS(Chicks!$J:$J,Chicks!$F:$F,$C76,Chicks!$G:$G,$D76))</f>
        <v/>
      </c>
      <c r="I76" s="6" t="str">
        <f>IF($C76="","",COUNTIFS(Chicks!$F:$F,$C76,Chicks!$G:$G,$D76,Chicks!$I:$I,"No"))</f>
        <v/>
      </c>
      <c r="J76" s="6" t="str">
        <f>IF($C76="","",IFERROR(AVERAGEIFS(Chicks!$M:$M,Chicks!$F:$F,$C76,Chicks!$G:$G,$D76),""))</f>
        <v/>
      </c>
      <c r="K76" s="6" t="str">
        <f>IF($C76="","",SUMIFS(Chicks!$N:$N,Chicks!$F:$F,$C76,Chicks!$G:$G,$D76))</f>
        <v/>
      </c>
      <c r="L76" s="6" t="str">
        <f>IF($C76="","",SUMIFS(Chicks!$O:$O,Chicks!$F:$F,$C76,Chicks!$G:$G,$D76))</f>
        <v/>
      </c>
      <c r="M76" s="6" t="str">
        <f>IF($C76="","",SUMIFS(Chicks!$P:$P,Chicks!$F:$F,$C76,Chicks!$G:$G,$D76))</f>
        <v/>
      </c>
      <c r="N76" s="6" t="str">
        <f t="shared" si="0"/>
        <v/>
      </c>
      <c r="O76" s="6" t="e">
        <f t="shared" ca="1" si="1"/>
        <v>#NAME?</v>
      </c>
      <c r="P76" s="6" t="str">
        <f t="shared" si="2"/>
        <v/>
      </c>
    </row>
    <row r="77" spans="1:16" ht="14.25" customHeight="1" x14ac:dyDescent="0.3">
      <c r="A77" s="4"/>
      <c r="B77" s="4"/>
      <c r="C77" s="4" t="str">
        <f t="shared" si="3"/>
        <v/>
      </c>
      <c r="D77" s="4" t="str">
        <f t="shared" si="4"/>
        <v/>
      </c>
      <c r="E77" s="4"/>
      <c r="F77" s="6" t="str">
        <f>IF($C77="","",COUNTIFS(Chicks!$F:$F,$C77,Chicks!$G:$G,$D77))</f>
        <v/>
      </c>
      <c r="G77" s="6" t="str">
        <f>IF($C77="","",COUNTIFS(Chicks!$F:$F,$C77,Chicks!$G:$G,$D77,Chicks!$I:$I,"Yes"))</f>
        <v/>
      </c>
      <c r="H77" s="6" t="str">
        <f>IF($C77="","",SUMIFS(Chicks!$J:$J,Chicks!$F:$F,$C77,Chicks!$G:$G,$D77))</f>
        <v/>
      </c>
      <c r="I77" s="6" t="str">
        <f>IF($C77="","",COUNTIFS(Chicks!$F:$F,$C77,Chicks!$G:$G,$D77,Chicks!$I:$I,"No"))</f>
        <v/>
      </c>
      <c r="J77" s="6" t="str">
        <f>IF($C77="","",IFERROR(AVERAGEIFS(Chicks!$M:$M,Chicks!$F:$F,$C77,Chicks!$G:$G,$D77),""))</f>
        <v/>
      </c>
      <c r="K77" s="6" t="str">
        <f>IF($C77="","",SUMIFS(Chicks!$N:$N,Chicks!$F:$F,$C77,Chicks!$G:$G,$D77))</f>
        <v/>
      </c>
      <c r="L77" s="6" t="str">
        <f>IF($C77="","",SUMIFS(Chicks!$O:$O,Chicks!$F:$F,$C77,Chicks!$G:$G,$D77))</f>
        <v/>
      </c>
      <c r="M77" s="6" t="str">
        <f>IF($C77="","",SUMIFS(Chicks!$P:$P,Chicks!$F:$F,$C77,Chicks!$G:$G,$D77))</f>
        <v/>
      </c>
      <c r="N77" s="6" t="str">
        <f t="shared" si="0"/>
        <v/>
      </c>
      <c r="O77" s="6" t="e">
        <f t="shared" ca="1" si="1"/>
        <v>#NAME?</v>
      </c>
      <c r="P77" s="6" t="str">
        <f t="shared" si="2"/>
        <v/>
      </c>
    </row>
    <row r="78" spans="1:16" ht="14.25" customHeight="1" x14ac:dyDescent="0.3">
      <c r="A78" s="4"/>
      <c r="B78" s="4"/>
      <c r="C78" s="4" t="str">
        <f t="shared" si="3"/>
        <v/>
      </c>
      <c r="D78" s="4" t="str">
        <f t="shared" si="4"/>
        <v/>
      </c>
      <c r="E78" s="4"/>
      <c r="F78" s="6" t="str">
        <f>IF($C78="","",COUNTIFS(Chicks!$F:$F,$C78,Chicks!$G:$G,$D78))</f>
        <v/>
      </c>
      <c r="G78" s="6" t="str">
        <f>IF($C78="","",COUNTIFS(Chicks!$F:$F,$C78,Chicks!$G:$G,$D78,Chicks!$I:$I,"Yes"))</f>
        <v/>
      </c>
      <c r="H78" s="6" t="str">
        <f>IF($C78="","",SUMIFS(Chicks!$J:$J,Chicks!$F:$F,$C78,Chicks!$G:$G,$D78))</f>
        <v/>
      </c>
      <c r="I78" s="6" t="str">
        <f>IF($C78="","",COUNTIFS(Chicks!$F:$F,$C78,Chicks!$G:$G,$D78,Chicks!$I:$I,"No"))</f>
        <v/>
      </c>
      <c r="J78" s="6" t="str">
        <f>IF($C78="","",IFERROR(AVERAGEIFS(Chicks!$M:$M,Chicks!$F:$F,$C78,Chicks!$G:$G,$D78),""))</f>
        <v/>
      </c>
      <c r="K78" s="6" t="str">
        <f>IF($C78="","",SUMIFS(Chicks!$N:$N,Chicks!$F:$F,$C78,Chicks!$G:$G,$D78))</f>
        <v/>
      </c>
      <c r="L78" s="6" t="str">
        <f>IF($C78="","",SUMIFS(Chicks!$O:$O,Chicks!$F:$F,$C78,Chicks!$G:$G,$D78))</f>
        <v/>
      </c>
      <c r="M78" s="6" t="str">
        <f>IF($C78="","",SUMIFS(Chicks!$P:$P,Chicks!$F:$F,$C78,Chicks!$G:$G,$D78))</f>
        <v/>
      </c>
      <c r="N78" s="6" t="str">
        <f t="shared" si="0"/>
        <v/>
      </c>
      <c r="O78" s="6" t="e">
        <f t="shared" ca="1" si="1"/>
        <v>#NAME?</v>
      </c>
      <c r="P78" s="6" t="str">
        <f t="shared" si="2"/>
        <v/>
      </c>
    </row>
    <row r="79" spans="1:16" ht="14.25" customHeight="1" x14ac:dyDescent="0.3">
      <c r="A79" s="4"/>
      <c r="B79" s="4"/>
      <c r="C79" s="4" t="str">
        <f t="shared" si="3"/>
        <v/>
      </c>
      <c r="D79" s="4" t="str">
        <f t="shared" si="4"/>
        <v/>
      </c>
      <c r="E79" s="4"/>
      <c r="F79" s="6" t="str">
        <f>IF($C79="","",COUNTIFS(Chicks!$F:$F,$C79,Chicks!$G:$G,$D79))</f>
        <v/>
      </c>
      <c r="G79" s="6" t="str">
        <f>IF($C79="","",COUNTIFS(Chicks!$F:$F,$C79,Chicks!$G:$G,$D79,Chicks!$I:$I,"Yes"))</f>
        <v/>
      </c>
      <c r="H79" s="6" t="str">
        <f>IF($C79="","",SUMIFS(Chicks!$J:$J,Chicks!$F:$F,$C79,Chicks!$G:$G,$D79))</f>
        <v/>
      </c>
      <c r="I79" s="6" t="str">
        <f>IF($C79="","",COUNTIFS(Chicks!$F:$F,$C79,Chicks!$G:$G,$D79,Chicks!$I:$I,"No"))</f>
        <v/>
      </c>
      <c r="J79" s="6" t="str">
        <f>IF($C79="","",IFERROR(AVERAGEIFS(Chicks!$M:$M,Chicks!$F:$F,$C79,Chicks!$G:$G,$D79),""))</f>
        <v/>
      </c>
      <c r="K79" s="6" t="str">
        <f>IF($C79="","",SUMIFS(Chicks!$N:$N,Chicks!$F:$F,$C79,Chicks!$G:$G,$D79))</f>
        <v/>
      </c>
      <c r="L79" s="6" t="str">
        <f>IF($C79="","",SUMIFS(Chicks!$O:$O,Chicks!$F:$F,$C79,Chicks!$G:$G,$D79))</f>
        <v/>
      </c>
      <c r="M79" s="6" t="str">
        <f>IF($C79="","",SUMIFS(Chicks!$P:$P,Chicks!$F:$F,$C79,Chicks!$G:$G,$D79))</f>
        <v/>
      </c>
      <c r="N79" s="6" t="str">
        <f t="shared" si="0"/>
        <v/>
      </c>
      <c r="O79" s="6" t="e">
        <f t="shared" ca="1" si="1"/>
        <v>#NAME?</v>
      </c>
      <c r="P79" s="6" t="str">
        <f t="shared" si="2"/>
        <v/>
      </c>
    </row>
    <row r="80" spans="1:16" ht="14.25" customHeight="1" x14ac:dyDescent="0.3">
      <c r="A80" s="4"/>
      <c r="B80" s="4"/>
      <c r="C80" s="4" t="str">
        <f t="shared" si="3"/>
        <v/>
      </c>
      <c r="D80" s="4" t="str">
        <f t="shared" si="4"/>
        <v/>
      </c>
      <c r="E80" s="4"/>
      <c r="F80" s="6" t="str">
        <f>IF($C80="","",COUNTIFS(Chicks!$F:$F,$C80,Chicks!$G:$G,$D80))</f>
        <v/>
      </c>
      <c r="G80" s="6" t="str">
        <f>IF($C80="","",COUNTIFS(Chicks!$F:$F,$C80,Chicks!$G:$G,$D80,Chicks!$I:$I,"Yes"))</f>
        <v/>
      </c>
      <c r="H80" s="6" t="str">
        <f>IF($C80="","",SUMIFS(Chicks!$J:$J,Chicks!$F:$F,$C80,Chicks!$G:$G,$D80))</f>
        <v/>
      </c>
      <c r="I80" s="6" t="str">
        <f>IF($C80="","",COUNTIFS(Chicks!$F:$F,$C80,Chicks!$G:$G,$D80,Chicks!$I:$I,"No"))</f>
        <v/>
      </c>
      <c r="J80" s="6" t="str">
        <f>IF($C80="","",IFERROR(AVERAGEIFS(Chicks!$M:$M,Chicks!$F:$F,$C80,Chicks!$G:$G,$D80),""))</f>
        <v/>
      </c>
      <c r="K80" s="6" t="str">
        <f>IF($C80="","",SUMIFS(Chicks!$N:$N,Chicks!$F:$F,$C80,Chicks!$G:$G,$D80))</f>
        <v/>
      </c>
      <c r="L80" s="6" t="str">
        <f>IF($C80="","",SUMIFS(Chicks!$O:$O,Chicks!$F:$F,$C80,Chicks!$G:$G,$D80))</f>
        <v/>
      </c>
      <c r="M80" s="6" t="str">
        <f>IF($C80="","",SUMIFS(Chicks!$P:$P,Chicks!$F:$F,$C80,Chicks!$G:$G,$D80))</f>
        <v/>
      </c>
      <c r="N80" s="6" t="str">
        <f t="shared" si="0"/>
        <v/>
      </c>
      <c r="O80" s="6" t="e">
        <f t="shared" ca="1" si="1"/>
        <v>#NAME?</v>
      </c>
      <c r="P80" s="6" t="str">
        <f t="shared" si="2"/>
        <v/>
      </c>
    </row>
    <row r="81" spans="1:16" ht="14.25" customHeight="1" x14ac:dyDescent="0.3">
      <c r="A81" s="4"/>
      <c r="B81" s="4"/>
      <c r="C81" s="4" t="str">
        <f t="shared" si="3"/>
        <v/>
      </c>
      <c r="D81" s="4" t="str">
        <f t="shared" si="4"/>
        <v/>
      </c>
      <c r="E81" s="4"/>
      <c r="F81" s="6" t="str">
        <f>IF($C81="","",COUNTIFS(Chicks!$F:$F,$C81,Chicks!$G:$G,$D81))</f>
        <v/>
      </c>
      <c r="G81" s="6" t="str">
        <f>IF($C81="","",COUNTIFS(Chicks!$F:$F,$C81,Chicks!$G:$G,$D81,Chicks!$I:$I,"Yes"))</f>
        <v/>
      </c>
      <c r="H81" s="6" t="str">
        <f>IF($C81="","",SUMIFS(Chicks!$J:$J,Chicks!$F:$F,$C81,Chicks!$G:$G,$D81))</f>
        <v/>
      </c>
      <c r="I81" s="6" t="str">
        <f>IF($C81="","",COUNTIFS(Chicks!$F:$F,$C81,Chicks!$G:$G,$D81,Chicks!$I:$I,"No"))</f>
        <v/>
      </c>
      <c r="J81" s="6" t="str">
        <f>IF($C81="","",IFERROR(AVERAGEIFS(Chicks!$M:$M,Chicks!$F:$F,$C81,Chicks!$G:$G,$D81),""))</f>
        <v/>
      </c>
      <c r="K81" s="6" t="str">
        <f>IF($C81="","",SUMIFS(Chicks!$N:$N,Chicks!$F:$F,$C81,Chicks!$G:$G,$D81))</f>
        <v/>
      </c>
      <c r="L81" s="6" t="str">
        <f>IF($C81="","",SUMIFS(Chicks!$O:$O,Chicks!$F:$F,$C81,Chicks!$G:$G,$D81))</f>
        <v/>
      </c>
      <c r="M81" s="6" t="str">
        <f>IF($C81="","",SUMIFS(Chicks!$P:$P,Chicks!$F:$F,$C81,Chicks!$G:$G,$D81))</f>
        <v/>
      </c>
      <c r="N81" s="6" t="str">
        <f t="shared" si="0"/>
        <v/>
      </c>
      <c r="O81" s="6" t="e">
        <f t="shared" ca="1" si="1"/>
        <v>#NAME?</v>
      </c>
      <c r="P81" s="6" t="str">
        <f t="shared" si="2"/>
        <v/>
      </c>
    </row>
    <row r="82" spans="1:16" ht="14.25" customHeight="1" x14ac:dyDescent="0.3">
      <c r="A82" s="4"/>
      <c r="B82" s="4"/>
      <c r="C82" s="4" t="str">
        <f t="shared" si="3"/>
        <v/>
      </c>
      <c r="D82" s="4" t="str">
        <f t="shared" si="4"/>
        <v/>
      </c>
      <c r="E82" s="4"/>
      <c r="F82" s="6" t="str">
        <f>IF($C82="","",COUNTIFS(Chicks!$F:$F,$C82,Chicks!$G:$G,$D82))</f>
        <v/>
      </c>
      <c r="G82" s="6" t="str">
        <f>IF($C82="","",COUNTIFS(Chicks!$F:$F,$C82,Chicks!$G:$G,$D82,Chicks!$I:$I,"Yes"))</f>
        <v/>
      </c>
      <c r="H82" s="6" t="str">
        <f>IF($C82="","",SUMIFS(Chicks!$J:$J,Chicks!$F:$F,$C82,Chicks!$G:$G,$D82))</f>
        <v/>
      </c>
      <c r="I82" s="6" t="str">
        <f>IF($C82="","",COUNTIFS(Chicks!$F:$F,$C82,Chicks!$G:$G,$D82,Chicks!$I:$I,"No"))</f>
        <v/>
      </c>
      <c r="J82" s="6" t="str">
        <f>IF($C82="","",IFERROR(AVERAGEIFS(Chicks!$M:$M,Chicks!$F:$F,$C82,Chicks!$G:$G,$D82),""))</f>
        <v/>
      </c>
      <c r="K82" s="6" t="str">
        <f>IF($C82="","",SUMIFS(Chicks!$N:$N,Chicks!$F:$F,$C82,Chicks!$G:$G,$D82))</f>
        <v/>
      </c>
      <c r="L82" s="6" t="str">
        <f>IF($C82="","",SUMIFS(Chicks!$O:$O,Chicks!$F:$F,$C82,Chicks!$G:$G,$D82))</f>
        <v/>
      </c>
      <c r="M82" s="6" t="str">
        <f>IF($C82="","",SUMIFS(Chicks!$P:$P,Chicks!$F:$F,$C82,Chicks!$G:$G,$D82))</f>
        <v/>
      </c>
      <c r="N82" s="6" t="str">
        <f t="shared" si="0"/>
        <v/>
      </c>
      <c r="O82" s="6" t="e">
        <f t="shared" ca="1" si="1"/>
        <v>#NAME?</v>
      </c>
      <c r="P82" s="6" t="str">
        <f t="shared" si="2"/>
        <v/>
      </c>
    </row>
    <row r="83" spans="1:16" ht="14.25" customHeight="1" x14ac:dyDescent="0.3">
      <c r="A83" s="4"/>
      <c r="B83" s="4"/>
      <c r="C83" s="4" t="str">
        <f t="shared" si="3"/>
        <v/>
      </c>
      <c r="D83" s="4" t="str">
        <f t="shared" si="4"/>
        <v/>
      </c>
      <c r="E83" s="4"/>
      <c r="F83" s="6" t="str">
        <f>IF($C83="","",COUNTIFS(Chicks!$F:$F,$C83,Chicks!$G:$G,$D83))</f>
        <v/>
      </c>
      <c r="G83" s="6" t="str">
        <f>IF($C83="","",COUNTIFS(Chicks!$F:$F,$C83,Chicks!$G:$G,$D83,Chicks!$I:$I,"Yes"))</f>
        <v/>
      </c>
      <c r="H83" s="6" t="str">
        <f>IF($C83="","",SUMIFS(Chicks!$J:$J,Chicks!$F:$F,$C83,Chicks!$G:$G,$D83))</f>
        <v/>
      </c>
      <c r="I83" s="6" t="str">
        <f>IF($C83="","",COUNTIFS(Chicks!$F:$F,$C83,Chicks!$G:$G,$D83,Chicks!$I:$I,"No"))</f>
        <v/>
      </c>
      <c r="J83" s="6" t="str">
        <f>IF($C83="","",IFERROR(AVERAGEIFS(Chicks!$M:$M,Chicks!$F:$F,$C83,Chicks!$G:$G,$D83),""))</f>
        <v/>
      </c>
      <c r="K83" s="6" t="str">
        <f>IF($C83="","",SUMIFS(Chicks!$N:$N,Chicks!$F:$F,$C83,Chicks!$G:$G,$D83))</f>
        <v/>
      </c>
      <c r="L83" s="6" t="str">
        <f>IF($C83="","",SUMIFS(Chicks!$O:$O,Chicks!$F:$F,$C83,Chicks!$G:$G,$D83))</f>
        <v/>
      </c>
      <c r="M83" s="6" t="str">
        <f>IF($C83="","",SUMIFS(Chicks!$P:$P,Chicks!$F:$F,$C83,Chicks!$G:$G,$D83))</f>
        <v/>
      </c>
      <c r="N83" s="6" t="str">
        <f t="shared" si="0"/>
        <v/>
      </c>
      <c r="O83" s="6" t="e">
        <f t="shared" ca="1" si="1"/>
        <v>#NAME?</v>
      </c>
      <c r="P83" s="6" t="str">
        <f t="shared" si="2"/>
        <v/>
      </c>
    </row>
    <row r="84" spans="1:16" ht="14.25" customHeight="1" x14ac:dyDescent="0.3">
      <c r="A84" s="4"/>
      <c r="B84" s="4"/>
      <c r="C84" s="4" t="str">
        <f t="shared" si="3"/>
        <v/>
      </c>
      <c r="D84" s="4" t="str">
        <f t="shared" si="4"/>
        <v/>
      </c>
      <c r="E84" s="4"/>
      <c r="F84" s="6" t="str">
        <f>IF($C84="","",COUNTIFS(Chicks!$F:$F,$C84,Chicks!$G:$G,$D84))</f>
        <v/>
      </c>
      <c r="G84" s="6" t="str">
        <f>IF($C84="","",COUNTIFS(Chicks!$F:$F,$C84,Chicks!$G:$G,$D84,Chicks!$I:$I,"Yes"))</f>
        <v/>
      </c>
      <c r="H84" s="6" t="str">
        <f>IF($C84="","",SUMIFS(Chicks!$J:$J,Chicks!$F:$F,$C84,Chicks!$G:$G,$D84))</f>
        <v/>
      </c>
      <c r="I84" s="6" t="str">
        <f>IF($C84="","",COUNTIFS(Chicks!$F:$F,$C84,Chicks!$G:$G,$D84,Chicks!$I:$I,"No"))</f>
        <v/>
      </c>
      <c r="J84" s="6" t="str">
        <f>IF($C84="","",IFERROR(AVERAGEIFS(Chicks!$M:$M,Chicks!$F:$F,$C84,Chicks!$G:$G,$D84),""))</f>
        <v/>
      </c>
      <c r="K84" s="6" t="str">
        <f>IF($C84="","",SUMIFS(Chicks!$N:$N,Chicks!$F:$F,$C84,Chicks!$G:$G,$D84))</f>
        <v/>
      </c>
      <c r="L84" s="6" t="str">
        <f>IF($C84="","",SUMIFS(Chicks!$O:$O,Chicks!$F:$F,$C84,Chicks!$G:$G,$D84))</f>
        <v/>
      </c>
      <c r="M84" s="6" t="str">
        <f>IF($C84="","",SUMIFS(Chicks!$P:$P,Chicks!$F:$F,$C84,Chicks!$G:$G,$D84))</f>
        <v/>
      </c>
      <c r="N84" s="6" t="str">
        <f t="shared" si="0"/>
        <v/>
      </c>
      <c r="O84" s="6" t="e">
        <f t="shared" ca="1" si="1"/>
        <v>#NAME?</v>
      </c>
      <c r="P84" s="6" t="str">
        <f t="shared" si="2"/>
        <v/>
      </c>
    </row>
    <row r="85" spans="1:16" ht="14.25" customHeight="1" x14ac:dyDescent="0.3">
      <c r="A85" s="4"/>
      <c r="B85" s="4"/>
      <c r="C85" s="4" t="str">
        <f t="shared" si="3"/>
        <v/>
      </c>
      <c r="D85" s="4" t="str">
        <f t="shared" si="4"/>
        <v/>
      </c>
      <c r="E85" s="4"/>
      <c r="F85" s="6" t="str">
        <f>IF($C85="","",COUNTIFS(Chicks!$F:$F,$C85,Chicks!$G:$G,$D85))</f>
        <v/>
      </c>
      <c r="G85" s="6" t="str">
        <f>IF($C85="","",COUNTIFS(Chicks!$F:$F,$C85,Chicks!$G:$G,$D85,Chicks!$I:$I,"Yes"))</f>
        <v/>
      </c>
      <c r="H85" s="6" t="str">
        <f>IF($C85="","",SUMIFS(Chicks!$J:$J,Chicks!$F:$F,$C85,Chicks!$G:$G,$D85))</f>
        <v/>
      </c>
      <c r="I85" s="6" t="str">
        <f>IF($C85="","",COUNTIFS(Chicks!$F:$F,$C85,Chicks!$G:$G,$D85,Chicks!$I:$I,"No"))</f>
        <v/>
      </c>
      <c r="J85" s="6" t="str">
        <f>IF($C85="","",IFERROR(AVERAGEIFS(Chicks!$M:$M,Chicks!$F:$F,$C85,Chicks!$G:$G,$D85),""))</f>
        <v/>
      </c>
      <c r="K85" s="6" t="str">
        <f>IF($C85="","",SUMIFS(Chicks!$N:$N,Chicks!$F:$F,$C85,Chicks!$G:$G,$D85))</f>
        <v/>
      </c>
      <c r="L85" s="6" t="str">
        <f>IF($C85="","",SUMIFS(Chicks!$O:$O,Chicks!$F:$F,$C85,Chicks!$G:$G,$D85))</f>
        <v/>
      </c>
      <c r="M85" s="6" t="str">
        <f>IF($C85="","",SUMIFS(Chicks!$P:$P,Chicks!$F:$F,$C85,Chicks!$G:$G,$D85))</f>
        <v/>
      </c>
      <c r="N85" s="6" t="str">
        <f t="shared" si="0"/>
        <v/>
      </c>
      <c r="O85" s="6" t="e">
        <f t="shared" ca="1" si="1"/>
        <v>#NAME?</v>
      </c>
      <c r="P85" s="6" t="str">
        <f t="shared" si="2"/>
        <v/>
      </c>
    </row>
    <row r="86" spans="1:16" ht="14.25" customHeight="1" x14ac:dyDescent="0.3">
      <c r="A86" s="4"/>
      <c r="B86" s="4"/>
      <c r="C86" s="4" t="str">
        <f t="shared" si="3"/>
        <v/>
      </c>
      <c r="D86" s="4" t="str">
        <f t="shared" si="4"/>
        <v/>
      </c>
      <c r="E86" s="4"/>
      <c r="F86" s="6" t="str">
        <f>IF($C86="","",COUNTIFS(Chicks!$F:$F,$C86,Chicks!$G:$G,$D86))</f>
        <v/>
      </c>
      <c r="G86" s="6" t="str">
        <f>IF($C86="","",COUNTIFS(Chicks!$F:$F,$C86,Chicks!$G:$G,$D86,Chicks!$I:$I,"Yes"))</f>
        <v/>
      </c>
      <c r="H86" s="6" t="str">
        <f>IF($C86="","",SUMIFS(Chicks!$J:$J,Chicks!$F:$F,$C86,Chicks!$G:$G,$D86))</f>
        <v/>
      </c>
      <c r="I86" s="6" t="str">
        <f>IF($C86="","",COUNTIFS(Chicks!$F:$F,$C86,Chicks!$G:$G,$D86,Chicks!$I:$I,"No"))</f>
        <v/>
      </c>
      <c r="J86" s="6" t="str">
        <f>IF($C86="","",IFERROR(AVERAGEIFS(Chicks!$M:$M,Chicks!$F:$F,$C86,Chicks!$G:$G,$D86),""))</f>
        <v/>
      </c>
      <c r="K86" s="6" t="str">
        <f>IF($C86="","",SUMIFS(Chicks!$N:$N,Chicks!$F:$F,$C86,Chicks!$G:$G,$D86))</f>
        <v/>
      </c>
      <c r="L86" s="6" t="str">
        <f>IF($C86="","",SUMIFS(Chicks!$O:$O,Chicks!$F:$F,$C86,Chicks!$G:$G,$D86))</f>
        <v/>
      </c>
      <c r="M86" s="6" t="str">
        <f>IF($C86="","",SUMIFS(Chicks!$P:$P,Chicks!$F:$F,$C86,Chicks!$G:$G,$D86))</f>
        <v/>
      </c>
      <c r="N86" s="6" t="str">
        <f t="shared" si="0"/>
        <v/>
      </c>
      <c r="O86" s="6" t="e">
        <f t="shared" ca="1" si="1"/>
        <v>#NAME?</v>
      </c>
      <c r="P86" s="6" t="str">
        <f t="shared" si="2"/>
        <v/>
      </c>
    </row>
    <row r="87" spans="1:16" ht="14.25" customHeight="1" x14ac:dyDescent="0.3">
      <c r="A87" s="4"/>
      <c r="B87" s="4"/>
      <c r="C87" s="4" t="str">
        <f t="shared" si="3"/>
        <v/>
      </c>
      <c r="D87" s="4" t="str">
        <f t="shared" si="4"/>
        <v/>
      </c>
      <c r="E87" s="4"/>
      <c r="F87" s="6" t="str">
        <f>IF($C87="","",COUNTIFS(Chicks!$F:$F,$C87,Chicks!$G:$G,$D87))</f>
        <v/>
      </c>
      <c r="G87" s="6" t="str">
        <f>IF($C87="","",COUNTIFS(Chicks!$F:$F,$C87,Chicks!$G:$G,$D87,Chicks!$I:$I,"Yes"))</f>
        <v/>
      </c>
      <c r="H87" s="6" t="str">
        <f>IF($C87="","",SUMIFS(Chicks!$J:$J,Chicks!$F:$F,$C87,Chicks!$G:$G,$D87))</f>
        <v/>
      </c>
      <c r="I87" s="6" t="str">
        <f>IF($C87="","",COUNTIFS(Chicks!$F:$F,$C87,Chicks!$G:$G,$D87,Chicks!$I:$I,"No"))</f>
        <v/>
      </c>
      <c r="J87" s="6" t="str">
        <f>IF($C87="","",IFERROR(AVERAGEIFS(Chicks!$M:$M,Chicks!$F:$F,$C87,Chicks!$G:$G,$D87),""))</f>
        <v/>
      </c>
      <c r="K87" s="6" t="str">
        <f>IF($C87="","",SUMIFS(Chicks!$N:$N,Chicks!$F:$F,$C87,Chicks!$G:$G,$D87))</f>
        <v/>
      </c>
      <c r="L87" s="6" t="str">
        <f>IF($C87="","",SUMIFS(Chicks!$O:$O,Chicks!$F:$F,$C87,Chicks!$G:$G,$D87))</f>
        <v/>
      </c>
      <c r="M87" s="6" t="str">
        <f>IF($C87="","",SUMIFS(Chicks!$P:$P,Chicks!$F:$F,$C87,Chicks!$G:$G,$D87))</f>
        <v/>
      </c>
      <c r="N87" s="6" t="str">
        <f t="shared" si="0"/>
        <v/>
      </c>
      <c r="O87" s="6" t="e">
        <f t="shared" ca="1" si="1"/>
        <v>#NAME?</v>
      </c>
      <c r="P87" s="6" t="str">
        <f t="shared" si="2"/>
        <v/>
      </c>
    </row>
    <row r="88" spans="1:16" ht="14.25" customHeight="1" x14ac:dyDescent="0.3">
      <c r="A88" s="4"/>
      <c r="B88" s="4"/>
      <c r="C88" s="4" t="str">
        <f t="shared" si="3"/>
        <v/>
      </c>
      <c r="D88" s="4" t="str">
        <f t="shared" si="4"/>
        <v/>
      </c>
      <c r="E88" s="4"/>
      <c r="F88" s="6" t="str">
        <f>IF($C88="","",COUNTIFS(Chicks!$F:$F,$C88,Chicks!$G:$G,$D88))</f>
        <v/>
      </c>
      <c r="G88" s="6" t="str">
        <f>IF($C88="","",COUNTIFS(Chicks!$F:$F,$C88,Chicks!$G:$G,$D88,Chicks!$I:$I,"Yes"))</f>
        <v/>
      </c>
      <c r="H88" s="6" t="str">
        <f>IF($C88="","",SUMIFS(Chicks!$J:$J,Chicks!$F:$F,$C88,Chicks!$G:$G,$D88))</f>
        <v/>
      </c>
      <c r="I88" s="6" t="str">
        <f>IF($C88="","",COUNTIFS(Chicks!$F:$F,$C88,Chicks!$G:$G,$D88,Chicks!$I:$I,"No"))</f>
        <v/>
      </c>
      <c r="J88" s="6" t="str">
        <f>IF($C88="","",IFERROR(AVERAGEIFS(Chicks!$M:$M,Chicks!$F:$F,$C88,Chicks!$G:$G,$D88),""))</f>
        <v/>
      </c>
      <c r="K88" s="6" t="str">
        <f>IF($C88="","",SUMIFS(Chicks!$N:$N,Chicks!$F:$F,$C88,Chicks!$G:$G,$D88))</f>
        <v/>
      </c>
      <c r="L88" s="6" t="str">
        <f>IF($C88="","",SUMIFS(Chicks!$O:$O,Chicks!$F:$F,$C88,Chicks!$G:$G,$D88))</f>
        <v/>
      </c>
      <c r="M88" s="6" t="str">
        <f>IF($C88="","",SUMIFS(Chicks!$P:$P,Chicks!$F:$F,$C88,Chicks!$G:$G,$D88))</f>
        <v/>
      </c>
      <c r="N88" s="6" t="str">
        <f t="shared" si="0"/>
        <v/>
      </c>
      <c r="O88" s="6" t="e">
        <f t="shared" ca="1" si="1"/>
        <v>#NAME?</v>
      </c>
      <c r="P88" s="6" t="str">
        <f t="shared" si="2"/>
        <v/>
      </c>
    </row>
    <row r="89" spans="1:16" ht="14.25" customHeight="1" x14ac:dyDescent="0.3">
      <c r="A89" s="4"/>
      <c r="B89" s="4"/>
      <c r="C89" s="4" t="str">
        <f t="shared" si="3"/>
        <v/>
      </c>
      <c r="D89" s="4" t="str">
        <f t="shared" si="4"/>
        <v/>
      </c>
      <c r="E89" s="4"/>
      <c r="F89" s="6" t="str">
        <f>IF($C89="","",COUNTIFS(Chicks!$F:$F,$C89,Chicks!$G:$G,$D89))</f>
        <v/>
      </c>
      <c r="G89" s="6" t="str">
        <f>IF($C89="","",COUNTIFS(Chicks!$F:$F,$C89,Chicks!$G:$G,$D89,Chicks!$I:$I,"Yes"))</f>
        <v/>
      </c>
      <c r="H89" s="6" t="str">
        <f>IF($C89="","",SUMIFS(Chicks!$J:$J,Chicks!$F:$F,$C89,Chicks!$G:$G,$D89))</f>
        <v/>
      </c>
      <c r="I89" s="6" t="str">
        <f>IF($C89="","",COUNTIFS(Chicks!$F:$F,$C89,Chicks!$G:$G,$D89,Chicks!$I:$I,"No"))</f>
        <v/>
      </c>
      <c r="J89" s="6" t="str">
        <f>IF($C89="","",IFERROR(AVERAGEIFS(Chicks!$M:$M,Chicks!$F:$F,$C89,Chicks!$G:$G,$D89),""))</f>
        <v/>
      </c>
      <c r="K89" s="6" t="str">
        <f>IF($C89="","",SUMIFS(Chicks!$N:$N,Chicks!$F:$F,$C89,Chicks!$G:$G,$D89))</f>
        <v/>
      </c>
      <c r="L89" s="6" t="str">
        <f>IF($C89="","",SUMIFS(Chicks!$O:$O,Chicks!$F:$F,$C89,Chicks!$G:$G,$D89))</f>
        <v/>
      </c>
      <c r="M89" s="6" t="str">
        <f>IF($C89="","",SUMIFS(Chicks!$P:$P,Chicks!$F:$F,$C89,Chicks!$G:$G,$D89))</f>
        <v/>
      </c>
      <c r="N89" s="6" t="str">
        <f t="shared" si="0"/>
        <v/>
      </c>
      <c r="O89" s="6" t="e">
        <f t="shared" ca="1" si="1"/>
        <v>#NAME?</v>
      </c>
      <c r="P89" s="6" t="str">
        <f t="shared" si="2"/>
        <v/>
      </c>
    </row>
    <row r="90" spans="1:16" ht="14.25" customHeight="1" x14ac:dyDescent="0.3">
      <c r="A90" s="4"/>
      <c r="B90" s="4"/>
      <c r="C90" s="4" t="str">
        <f t="shared" si="3"/>
        <v/>
      </c>
      <c r="D90" s="4" t="str">
        <f t="shared" si="4"/>
        <v/>
      </c>
      <c r="E90" s="4"/>
      <c r="F90" s="6" t="str">
        <f>IF($C90="","",COUNTIFS(Chicks!$F:$F,$C90,Chicks!$G:$G,$D90))</f>
        <v/>
      </c>
      <c r="G90" s="6" t="str">
        <f>IF($C90="","",COUNTIFS(Chicks!$F:$F,$C90,Chicks!$G:$G,$D90,Chicks!$I:$I,"Yes"))</f>
        <v/>
      </c>
      <c r="H90" s="6" t="str">
        <f>IF($C90="","",SUMIFS(Chicks!$J:$J,Chicks!$F:$F,$C90,Chicks!$G:$G,$D90))</f>
        <v/>
      </c>
      <c r="I90" s="6" t="str">
        <f>IF($C90="","",COUNTIFS(Chicks!$F:$F,$C90,Chicks!$G:$G,$D90,Chicks!$I:$I,"No"))</f>
        <v/>
      </c>
      <c r="J90" s="6" t="str">
        <f>IF($C90="","",IFERROR(AVERAGEIFS(Chicks!$M:$M,Chicks!$F:$F,$C90,Chicks!$G:$G,$D90),""))</f>
        <v/>
      </c>
      <c r="K90" s="6" t="str">
        <f>IF($C90="","",SUMIFS(Chicks!$N:$N,Chicks!$F:$F,$C90,Chicks!$G:$G,$D90))</f>
        <v/>
      </c>
      <c r="L90" s="6" t="str">
        <f>IF($C90="","",SUMIFS(Chicks!$O:$O,Chicks!$F:$F,$C90,Chicks!$G:$G,$D90))</f>
        <v/>
      </c>
      <c r="M90" s="6" t="str">
        <f>IF($C90="","",SUMIFS(Chicks!$P:$P,Chicks!$F:$F,$C90,Chicks!$G:$G,$D90))</f>
        <v/>
      </c>
      <c r="N90" s="6" t="str">
        <f t="shared" si="0"/>
        <v/>
      </c>
      <c r="O90" s="6" t="e">
        <f t="shared" ca="1" si="1"/>
        <v>#NAME?</v>
      </c>
      <c r="P90" s="6" t="str">
        <f t="shared" si="2"/>
        <v/>
      </c>
    </row>
    <row r="91" spans="1:16" ht="14.25" customHeight="1" x14ac:dyDescent="0.3">
      <c r="A91" s="4"/>
      <c r="B91" s="4"/>
      <c r="C91" s="4" t="str">
        <f t="shared" si="3"/>
        <v/>
      </c>
      <c r="D91" s="4" t="str">
        <f t="shared" si="4"/>
        <v/>
      </c>
      <c r="E91" s="4"/>
      <c r="F91" s="6" t="str">
        <f>IF($C91="","",COUNTIFS(Chicks!$F:$F,$C91,Chicks!$G:$G,$D91))</f>
        <v/>
      </c>
      <c r="G91" s="6" t="str">
        <f>IF($C91="","",COUNTIFS(Chicks!$F:$F,$C91,Chicks!$G:$G,$D91,Chicks!$I:$I,"Yes"))</f>
        <v/>
      </c>
      <c r="H91" s="6" t="str">
        <f>IF($C91="","",SUMIFS(Chicks!$J:$J,Chicks!$F:$F,$C91,Chicks!$G:$G,$D91))</f>
        <v/>
      </c>
      <c r="I91" s="6" t="str">
        <f>IF($C91="","",COUNTIFS(Chicks!$F:$F,$C91,Chicks!$G:$G,$D91,Chicks!$I:$I,"No"))</f>
        <v/>
      </c>
      <c r="J91" s="6" t="str">
        <f>IF($C91="","",IFERROR(AVERAGEIFS(Chicks!$M:$M,Chicks!$F:$F,$C91,Chicks!$G:$G,$D91),""))</f>
        <v/>
      </c>
      <c r="K91" s="6" t="str">
        <f>IF($C91="","",SUMIFS(Chicks!$N:$N,Chicks!$F:$F,$C91,Chicks!$G:$G,$D91))</f>
        <v/>
      </c>
      <c r="L91" s="6" t="str">
        <f>IF($C91="","",SUMIFS(Chicks!$O:$O,Chicks!$F:$F,$C91,Chicks!$G:$G,$D91))</f>
        <v/>
      </c>
      <c r="M91" s="6" t="str">
        <f>IF($C91="","",SUMIFS(Chicks!$P:$P,Chicks!$F:$F,$C91,Chicks!$G:$G,$D91))</f>
        <v/>
      </c>
      <c r="N91" s="6" t="str">
        <f t="shared" si="0"/>
        <v/>
      </c>
      <c r="O91" s="6" t="e">
        <f t="shared" ca="1" si="1"/>
        <v>#NAME?</v>
      </c>
      <c r="P91" s="6" t="str">
        <f t="shared" si="2"/>
        <v/>
      </c>
    </row>
    <row r="92" spans="1:16" ht="14.25" customHeight="1" x14ac:dyDescent="0.3">
      <c r="A92" s="4"/>
      <c r="B92" s="4"/>
      <c r="C92" s="4" t="str">
        <f t="shared" si="3"/>
        <v/>
      </c>
      <c r="D92" s="4" t="str">
        <f t="shared" si="4"/>
        <v/>
      </c>
      <c r="E92" s="4"/>
      <c r="F92" s="6" t="str">
        <f>IF($C92="","",COUNTIFS(Chicks!$F:$F,$C92,Chicks!$G:$G,$D92))</f>
        <v/>
      </c>
      <c r="G92" s="6" t="str">
        <f>IF($C92="","",COUNTIFS(Chicks!$F:$F,$C92,Chicks!$G:$G,$D92,Chicks!$I:$I,"Yes"))</f>
        <v/>
      </c>
      <c r="H92" s="6" t="str">
        <f>IF($C92="","",SUMIFS(Chicks!$J:$J,Chicks!$F:$F,$C92,Chicks!$G:$G,$D92))</f>
        <v/>
      </c>
      <c r="I92" s="6" t="str">
        <f>IF($C92="","",COUNTIFS(Chicks!$F:$F,$C92,Chicks!$G:$G,$D92,Chicks!$I:$I,"No"))</f>
        <v/>
      </c>
      <c r="J92" s="6" t="str">
        <f>IF($C92="","",IFERROR(AVERAGEIFS(Chicks!$M:$M,Chicks!$F:$F,$C92,Chicks!$G:$G,$D92),""))</f>
        <v/>
      </c>
      <c r="K92" s="6" t="str">
        <f>IF($C92="","",SUMIFS(Chicks!$N:$N,Chicks!$F:$F,$C92,Chicks!$G:$G,$D92))</f>
        <v/>
      </c>
      <c r="L92" s="6" t="str">
        <f>IF($C92="","",SUMIFS(Chicks!$O:$O,Chicks!$F:$F,$C92,Chicks!$G:$G,$D92))</f>
        <v/>
      </c>
      <c r="M92" s="6" t="str">
        <f>IF($C92="","",SUMIFS(Chicks!$P:$P,Chicks!$F:$F,$C92,Chicks!$G:$G,$D92))</f>
        <v/>
      </c>
      <c r="N92" s="6" t="str">
        <f t="shared" si="0"/>
        <v/>
      </c>
      <c r="O92" s="6" t="e">
        <f t="shared" ca="1" si="1"/>
        <v>#NAME?</v>
      </c>
      <c r="P92" s="6" t="str">
        <f t="shared" si="2"/>
        <v/>
      </c>
    </row>
    <row r="93" spans="1:16" ht="14.25" customHeight="1" x14ac:dyDescent="0.3">
      <c r="A93" s="4"/>
      <c r="B93" s="4"/>
      <c r="C93" s="4" t="str">
        <f t="shared" si="3"/>
        <v/>
      </c>
      <c r="D93" s="4" t="str">
        <f t="shared" si="4"/>
        <v/>
      </c>
      <c r="E93" s="4"/>
      <c r="F93" s="6" t="str">
        <f>IF($C93="","",COUNTIFS(Chicks!$F:$F,$C93,Chicks!$G:$G,$D93))</f>
        <v/>
      </c>
      <c r="G93" s="6" t="str">
        <f>IF($C93="","",COUNTIFS(Chicks!$F:$F,$C93,Chicks!$G:$G,$D93,Chicks!$I:$I,"Yes"))</f>
        <v/>
      </c>
      <c r="H93" s="6" t="str">
        <f>IF($C93="","",SUMIFS(Chicks!$J:$J,Chicks!$F:$F,$C93,Chicks!$G:$G,$D93))</f>
        <v/>
      </c>
      <c r="I93" s="6" t="str">
        <f>IF($C93="","",COUNTIFS(Chicks!$F:$F,$C93,Chicks!$G:$G,$D93,Chicks!$I:$I,"No"))</f>
        <v/>
      </c>
      <c r="J93" s="6" t="str">
        <f>IF($C93="","",IFERROR(AVERAGEIFS(Chicks!$M:$M,Chicks!$F:$F,$C93,Chicks!$G:$G,$D93),""))</f>
        <v/>
      </c>
      <c r="K93" s="6" t="str">
        <f>IF($C93="","",SUMIFS(Chicks!$N:$N,Chicks!$F:$F,$C93,Chicks!$G:$G,$D93))</f>
        <v/>
      </c>
      <c r="L93" s="6" t="str">
        <f>IF($C93="","",SUMIFS(Chicks!$O:$O,Chicks!$F:$F,$C93,Chicks!$G:$G,$D93))</f>
        <v/>
      </c>
      <c r="M93" s="6" t="str">
        <f>IF($C93="","",SUMIFS(Chicks!$P:$P,Chicks!$F:$F,$C93,Chicks!$G:$G,$D93))</f>
        <v/>
      </c>
      <c r="N93" s="6" t="str">
        <f t="shared" si="0"/>
        <v/>
      </c>
      <c r="O93" s="6" t="e">
        <f t="shared" ca="1" si="1"/>
        <v>#NAME?</v>
      </c>
      <c r="P93" s="6" t="str">
        <f t="shared" si="2"/>
        <v/>
      </c>
    </row>
    <row r="94" spans="1:16" ht="14.25" customHeight="1" x14ac:dyDescent="0.3">
      <c r="A94" s="4"/>
      <c r="B94" s="4"/>
      <c r="C94" s="4" t="str">
        <f t="shared" si="3"/>
        <v/>
      </c>
      <c r="D94" s="4" t="str">
        <f t="shared" si="4"/>
        <v/>
      </c>
      <c r="E94" s="4"/>
      <c r="F94" s="6" t="str">
        <f>IF($C94="","",COUNTIFS(Chicks!$F:$F,$C94,Chicks!$G:$G,$D94))</f>
        <v/>
      </c>
      <c r="G94" s="6" t="str">
        <f>IF($C94="","",COUNTIFS(Chicks!$F:$F,$C94,Chicks!$G:$G,$D94,Chicks!$I:$I,"Yes"))</f>
        <v/>
      </c>
      <c r="H94" s="6" t="str">
        <f>IF($C94="","",SUMIFS(Chicks!$J:$J,Chicks!$F:$F,$C94,Chicks!$G:$G,$D94))</f>
        <v/>
      </c>
      <c r="I94" s="6" t="str">
        <f>IF($C94="","",COUNTIFS(Chicks!$F:$F,$C94,Chicks!$G:$G,$D94,Chicks!$I:$I,"No"))</f>
        <v/>
      </c>
      <c r="J94" s="6" t="str">
        <f>IF($C94="","",IFERROR(AVERAGEIFS(Chicks!$M:$M,Chicks!$F:$F,$C94,Chicks!$G:$G,$D94),""))</f>
        <v/>
      </c>
      <c r="K94" s="6" t="str">
        <f>IF($C94="","",SUMIFS(Chicks!$N:$N,Chicks!$F:$F,$C94,Chicks!$G:$G,$D94))</f>
        <v/>
      </c>
      <c r="L94" s="6" t="str">
        <f>IF($C94="","",SUMIFS(Chicks!$O:$O,Chicks!$F:$F,$C94,Chicks!$G:$G,$D94))</f>
        <v/>
      </c>
      <c r="M94" s="6" t="str">
        <f>IF($C94="","",SUMIFS(Chicks!$P:$P,Chicks!$F:$F,$C94,Chicks!$G:$G,$D94))</f>
        <v/>
      </c>
      <c r="N94" s="6" t="str">
        <f t="shared" si="0"/>
        <v/>
      </c>
      <c r="O94" s="6" t="e">
        <f t="shared" ca="1" si="1"/>
        <v>#NAME?</v>
      </c>
      <c r="P94" s="6" t="str">
        <f t="shared" si="2"/>
        <v/>
      </c>
    </row>
    <row r="95" spans="1:16" ht="14.25" customHeight="1" x14ac:dyDescent="0.3">
      <c r="A95" s="4"/>
      <c r="B95" s="4"/>
      <c r="C95" s="4" t="str">
        <f t="shared" si="3"/>
        <v/>
      </c>
      <c r="D95" s="4" t="str">
        <f t="shared" si="4"/>
        <v/>
      </c>
      <c r="E95" s="4"/>
      <c r="F95" s="6" t="str">
        <f>IF($C95="","",COUNTIFS(Chicks!$F:$F,$C95,Chicks!$G:$G,$D95))</f>
        <v/>
      </c>
      <c r="G95" s="6" t="str">
        <f>IF($C95="","",COUNTIFS(Chicks!$F:$F,$C95,Chicks!$G:$G,$D95,Chicks!$I:$I,"Yes"))</f>
        <v/>
      </c>
      <c r="H95" s="6" t="str">
        <f>IF($C95="","",SUMIFS(Chicks!$J:$J,Chicks!$F:$F,$C95,Chicks!$G:$G,$D95))</f>
        <v/>
      </c>
      <c r="I95" s="6" t="str">
        <f>IF($C95="","",COUNTIFS(Chicks!$F:$F,$C95,Chicks!$G:$G,$D95,Chicks!$I:$I,"No"))</f>
        <v/>
      </c>
      <c r="J95" s="6" t="str">
        <f>IF($C95="","",IFERROR(AVERAGEIFS(Chicks!$M:$M,Chicks!$F:$F,$C95,Chicks!$G:$G,$D95),""))</f>
        <v/>
      </c>
      <c r="K95" s="6" t="str">
        <f>IF($C95="","",SUMIFS(Chicks!$N:$N,Chicks!$F:$F,$C95,Chicks!$G:$G,$D95))</f>
        <v/>
      </c>
      <c r="L95" s="6" t="str">
        <f>IF($C95="","",SUMIFS(Chicks!$O:$O,Chicks!$F:$F,$C95,Chicks!$G:$G,$D95))</f>
        <v/>
      </c>
      <c r="M95" s="6" t="str">
        <f>IF($C95="","",SUMIFS(Chicks!$P:$P,Chicks!$F:$F,$C95,Chicks!$G:$G,$D95))</f>
        <v/>
      </c>
      <c r="N95" s="6" t="str">
        <f t="shared" si="0"/>
        <v/>
      </c>
      <c r="O95" s="6" t="e">
        <f t="shared" ca="1" si="1"/>
        <v>#NAME?</v>
      </c>
      <c r="P95" s="6" t="str">
        <f t="shared" si="2"/>
        <v/>
      </c>
    </row>
    <row r="96" spans="1:16" ht="14.25" customHeight="1" x14ac:dyDescent="0.3">
      <c r="A96" s="4"/>
      <c r="B96" s="4"/>
      <c r="C96" s="4" t="str">
        <f t="shared" si="3"/>
        <v/>
      </c>
      <c r="D96" s="4" t="str">
        <f t="shared" si="4"/>
        <v/>
      </c>
      <c r="E96" s="4"/>
      <c r="F96" s="6" t="str">
        <f>IF($C96="","",COUNTIFS(Chicks!$F:$F,$C96,Chicks!$G:$G,$D96))</f>
        <v/>
      </c>
      <c r="G96" s="6" t="str">
        <f>IF($C96="","",COUNTIFS(Chicks!$F:$F,$C96,Chicks!$G:$G,$D96,Chicks!$I:$I,"Yes"))</f>
        <v/>
      </c>
      <c r="H96" s="6" t="str">
        <f>IF($C96="","",SUMIFS(Chicks!$J:$J,Chicks!$F:$F,$C96,Chicks!$G:$G,$D96))</f>
        <v/>
      </c>
      <c r="I96" s="6" t="str">
        <f>IF($C96="","",COUNTIFS(Chicks!$F:$F,$C96,Chicks!$G:$G,$D96,Chicks!$I:$I,"No"))</f>
        <v/>
      </c>
      <c r="J96" s="6" t="str">
        <f>IF($C96="","",IFERROR(AVERAGEIFS(Chicks!$M:$M,Chicks!$F:$F,$C96,Chicks!$G:$G,$D96),""))</f>
        <v/>
      </c>
      <c r="K96" s="6" t="str">
        <f>IF($C96="","",SUMIFS(Chicks!$N:$N,Chicks!$F:$F,$C96,Chicks!$G:$G,$D96))</f>
        <v/>
      </c>
      <c r="L96" s="6" t="str">
        <f>IF($C96="","",SUMIFS(Chicks!$O:$O,Chicks!$F:$F,$C96,Chicks!$G:$G,$D96))</f>
        <v/>
      </c>
      <c r="M96" s="6" t="str">
        <f>IF($C96="","",SUMIFS(Chicks!$P:$P,Chicks!$F:$F,$C96,Chicks!$G:$G,$D96))</f>
        <v/>
      </c>
      <c r="N96" s="6" t="str">
        <f t="shared" si="0"/>
        <v/>
      </c>
      <c r="O96" s="6" t="e">
        <f t="shared" ca="1" si="1"/>
        <v>#NAME?</v>
      </c>
      <c r="P96" s="6" t="str">
        <f t="shared" si="2"/>
        <v/>
      </c>
    </row>
    <row r="97" spans="1:16" ht="14.25" customHeight="1" x14ac:dyDescent="0.3">
      <c r="A97" s="4"/>
      <c r="B97" s="4"/>
      <c r="C97" s="4" t="str">
        <f t="shared" si="3"/>
        <v/>
      </c>
      <c r="D97" s="4" t="str">
        <f t="shared" si="4"/>
        <v/>
      </c>
      <c r="E97" s="4"/>
      <c r="F97" s="6" t="str">
        <f>IF($C97="","",COUNTIFS(Chicks!$F:$F,$C97,Chicks!$G:$G,$D97))</f>
        <v/>
      </c>
      <c r="G97" s="6" t="str">
        <f>IF($C97="","",COUNTIFS(Chicks!$F:$F,$C97,Chicks!$G:$G,$D97,Chicks!$I:$I,"Yes"))</f>
        <v/>
      </c>
      <c r="H97" s="6" t="str">
        <f>IF($C97="","",SUMIFS(Chicks!$J:$J,Chicks!$F:$F,$C97,Chicks!$G:$G,$D97))</f>
        <v/>
      </c>
      <c r="I97" s="6" t="str">
        <f>IF($C97="","",COUNTIFS(Chicks!$F:$F,$C97,Chicks!$G:$G,$D97,Chicks!$I:$I,"No"))</f>
        <v/>
      </c>
      <c r="J97" s="6" t="str">
        <f>IF($C97="","",IFERROR(AVERAGEIFS(Chicks!$M:$M,Chicks!$F:$F,$C97,Chicks!$G:$G,$D97),""))</f>
        <v/>
      </c>
      <c r="K97" s="6" t="str">
        <f>IF($C97="","",SUMIFS(Chicks!$N:$N,Chicks!$F:$F,$C97,Chicks!$G:$G,$D97))</f>
        <v/>
      </c>
      <c r="L97" s="6" t="str">
        <f>IF($C97="","",SUMIFS(Chicks!$O:$O,Chicks!$F:$F,$C97,Chicks!$G:$G,$D97))</f>
        <v/>
      </c>
      <c r="M97" s="6" t="str">
        <f>IF($C97="","",SUMIFS(Chicks!$P:$P,Chicks!$F:$F,$C97,Chicks!$G:$G,$D97))</f>
        <v/>
      </c>
      <c r="N97" s="6" t="str">
        <f t="shared" si="0"/>
        <v/>
      </c>
      <c r="O97" s="6" t="e">
        <f t="shared" ca="1" si="1"/>
        <v>#NAME?</v>
      </c>
      <c r="P97" s="6" t="str">
        <f t="shared" si="2"/>
        <v/>
      </c>
    </row>
    <row r="98" spans="1:16" ht="14.25" customHeight="1" x14ac:dyDescent="0.3">
      <c r="A98" s="4"/>
      <c r="B98" s="4"/>
      <c r="C98" s="4" t="str">
        <f t="shared" si="3"/>
        <v/>
      </c>
      <c r="D98" s="4" t="str">
        <f t="shared" si="4"/>
        <v/>
      </c>
      <c r="E98" s="4"/>
      <c r="F98" s="6" t="str">
        <f>IF($C98="","",COUNTIFS(Chicks!$F:$F,$C98,Chicks!$G:$G,$D98))</f>
        <v/>
      </c>
      <c r="G98" s="6" t="str">
        <f>IF($C98="","",COUNTIFS(Chicks!$F:$F,$C98,Chicks!$G:$G,$D98,Chicks!$I:$I,"Yes"))</f>
        <v/>
      </c>
      <c r="H98" s="6" t="str">
        <f>IF($C98="","",SUMIFS(Chicks!$J:$J,Chicks!$F:$F,$C98,Chicks!$G:$G,$D98))</f>
        <v/>
      </c>
      <c r="I98" s="6" t="str">
        <f>IF($C98="","",COUNTIFS(Chicks!$F:$F,$C98,Chicks!$G:$G,$D98,Chicks!$I:$I,"No"))</f>
        <v/>
      </c>
      <c r="J98" s="6" t="str">
        <f>IF($C98="","",IFERROR(AVERAGEIFS(Chicks!$M:$M,Chicks!$F:$F,$C98,Chicks!$G:$G,$D98),""))</f>
        <v/>
      </c>
      <c r="K98" s="6" t="str">
        <f>IF($C98="","",SUMIFS(Chicks!$N:$N,Chicks!$F:$F,$C98,Chicks!$G:$G,$D98))</f>
        <v/>
      </c>
      <c r="L98" s="6" t="str">
        <f>IF($C98="","",SUMIFS(Chicks!$O:$O,Chicks!$F:$F,$C98,Chicks!$G:$G,$D98))</f>
        <v/>
      </c>
      <c r="M98" s="6" t="str">
        <f>IF($C98="","",SUMIFS(Chicks!$P:$P,Chicks!$F:$F,$C98,Chicks!$G:$G,$D98))</f>
        <v/>
      </c>
      <c r="N98" s="6" t="str">
        <f t="shared" si="0"/>
        <v/>
      </c>
      <c r="O98" s="6" t="e">
        <f t="shared" ca="1" si="1"/>
        <v>#NAME?</v>
      </c>
      <c r="P98" s="6" t="str">
        <f t="shared" si="2"/>
        <v/>
      </c>
    </row>
    <row r="99" spans="1:16" ht="14.25" customHeight="1" x14ac:dyDescent="0.3">
      <c r="A99" s="4"/>
      <c r="B99" s="4"/>
      <c r="C99" s="4" t="str">
        <f t="shared" si="3"/>
        <v/>
      </c>
      <c r="D99" s="4" t="str">
        <f t="shared" si="4"/>
        <v/>
      </c>
      <c r="E99" s="4"/>
      <c r="F99" s="6" t="str">
        <f>IF($C99="","",COUNTIFS(Chicks!$F:$F,$C99,Chicks!$G:$G,$D99))</f>
        <v/>
      </c>
      <c r="G99" s="6" t="str">
        <f>IF($C99="","",COUNTIFS(Chicks!$F:$F,$C99,Chicks!$G:$G,$D99,Chicks!$I:$I,"Yes"))</f>
        <v/>
      </c>
      <c r="H99" s="6" t="str">
        <f>IF($C99="","",SUMIFS(Chicks!$J:$J,Chicks!$F:$F,$C99,Chicks!$G:$G,$D99))</f>
        <v/>
      </c>
      <c r="I99" s="6" t="str">
        <f>IF($C99="","",COUNTIFS(Chicks!$F:$F,$C99,Chicks!$G:$G,$D99,Chicks!$I:$I,"No"))</f>
        <v/>
      </c>
      <c r="J99" s="6" t="str">
        <f>IF($C99="","",IFERROR(AVERAGEIFS(Chicks!$M:$M,Chicks!$F:$F,$C99,Chicks!$G:$G,$D99),""))</f>
        <v/>
      </c>
      <c r="K99" s="6" t="str">
        <f>IF($C99="","",SUMIFS(Chicks!$N:$N,Chicks!$F:$F,$C99,Chicks!$G:$G,$D99))</f>
        <v/>
      </c>
      <c r="L99" s="6" t="str">
        <f>IF($C99="","",SUMIFS(Chicks!$O:$O,Chicks!$F:$F,$C99,Chicks!$G:$G,$D99))</f>
        <v/>
      </c>
      <c r="M99" s="6" t="str">
        <f>IF($C99="","",SUMIFS(Chicks!$P:$P,Chicks!$F:$F,$C99,Chicks!$G:$G,$D99))</f>
        <v/>
      </c>
      <c r="N99" s="6" t="str">
        <f t="shared" si="0"/>
        <v/>
      </c>
      <c r="O99" s="6" t="e">
        <f t="shared" ca="1" si="1"/>
        <v>#NAME?</v>
      </c>
      <c r="P99" s="6" t="str">
        <f t="shared" si="2"/>
        <v/>
      </c>
    </row>
    <row r="100" spans="1:16" ht="14.25" customHeight="1" x14ac:dyDescent="0.3">
      <c r="A100" s="4"/>
      <c r="B100" s="4"/>
      <c r="C100" s="4" t="str">
        <f t="shared" si="3"/>
        <v/>
      </c>
      <c r="D100" s="4" t="str">
        <f t="shared" si="4"/>
        <v/>
      </c>
      <c r="E100" s="4"/>
      <c r="F100" s="6" t="str">
        <f>IF($C100="","",COUNTIFS(Chicks!$F:$F,$C100,Chicks!$G:$G,$D100))</f>
        <v/>
      </c>
      <c r="G100" s="6" t="str">
        <f>IF($C100="","",COUNTIFS(Chicks!$F:$F,$C100,Chicks!$G:$G,$D100,Chicks!$I:$I,"Yes"))</f>
        <v/>
      </c>
      <c r="H100" s="6" t="str">
        <f>IF($C100="","",SUMIFS(Chicks!$J:$J,Chicks!$F:$F,$C100,Chicks!$G:$G,$D100))</f>
        <v/>
      </c>
      <c r="I100" s="6" t="str">
        <f>IF($C100="","",COUNTIFS(Chicks!$F:$F,$C100,Chicks!$G:$G,$D100,Chicks!$I:$I,"No"))</f>
        <v/>
      </c>
      <c r="J100" s="6" t="str">
        <f>IF($C100="","",IFERROR(AVERAGEIFS(Chicks!$M:$M,Chicks!$F:$F,$C100,Chicks!$G:$G,$D100),""))</f>
        <v/>
      </c>
      <c r="K100" s="6" t="str">
        <f>IF($C100="","",SUMIFS(Chicks!$N:$N,Chicks!$F:$F,$C100,Chicks!$G:$G,$D100))</f>
        <v/>
      </c>
      <c r="L100" s="6" t="str">
        <f>IF($C100="","",SUMIFS(Chicks!$O:$O,Chicks!$F:$F,$C100,Chicks!$G:$G,$D100))</f>
        <v/>
      </c>
      <c r="M100" s="6" t="str">
        <f>IF($C100="","",SUMIFS(Chicks!$P:$P,Chicks!$F:$F,$C100,Chicks!$G:$G,$D100))</f>
        <v/>
      </c>
      <c r="N100" s="6" t="str">
        <f t="shared" si="0"/>
        <v/>
      </c>
      <c r="O100" s="6" t="e">
        <f t="shared" ca="1" si="1"/>
        <v>#NAME?</v>
      </c>
      <c r="P100" s="6" t="str">
        <f t="shared" si="2"/>
        <v/>
      </c>
    </row>
    <row r="101" spans="1:16" ht="14.25" customHeight="1" x14ac:dyDescent="0.3">
      <c r="A101" s="4"/>
      <c r="B101" s="4"/>
      <c r="C101" s="4" t="str">
        <f t="shared" si="3"/>
        <v/>
      </c>
      <c r="D101" s="4" t="str">
        <f t="shared" si="4"/>
        <v/>
      </c>
      <c r="E101" s="4"/>
      <c r="F101" s="6" t="str">
        <f>IF($C101="","",COUNTIFS(Chicks!$F:$F,$C101,Chicks!$G:$G,$D101))</f>
        <v/>
      </c>
      <c r="G101" s="6" t="str">
        <f>IF($C101="","",COUNTIFS(Chicks!$F:$F,$C101,Chicks!$G:$G,$D101,Chicks!$I:$I,"Yes"))</f>
        <v/>
      </c>
      <c r="H101" s="6" t="str">
        <f>IF($C101="","",SUMIFS(Chicks!$J:$J,Chicks!$F:$F,$C101,Chicks!$G:$G,$D101))</f>
        <v/>
      </c>
      <c r="I101" s="6" t="str">
        <f>IF($C101="","",COUNTIFS(Chicks!$F:$F,$C101,Chicks!$G:$G,$D101,Chicks!$I:$I,"No"))</f>
        <v/>
      </c>
      <c r="J101" s="6" t="str">
        <f>IF($C101="","",IFERROR(AVERAGEIFS(Chicks!$M:$M,Chicks!$F:$F,$C101,Chicks!$G:$G,$D101),""))</f>
        <v/>
      </c>
      <c r="K101" s="6" t="str">
        <f>IF($C101="","",SUMIFS(Chicks!$N:$N,Chicks!$F:$F,$C101,Chicks!$G:$G,$D101))</f>
        <v/>
      </c>
      <c r="L101" s="6" t="str">
        <f>IF($C101="","",SUMIFS(Chicks!$O:$O,Chicks!$F:$F,$C101,Chicks!$G:$G,$D101))</f>
        <v/>
      </c>
      <c r="M101" s="6" t="str">
        <f>IF($C101="","",SUMIFS(Chicks!$P:$P,Chicks!$F:$F,$C101,Chicks!$G:$G,$D101))</f>
        <v/>
      </c>
      <c r="N101" s="6" t="str">
        <f t="shared" si="0"/>
        <v/>
      </c>
      <c r="O101" s="6" t="e">
        <f t="shared" ca="1" si="1"/>
        <v>#NAME?</v>
      </c>
      <c r="P101" s="6" t="str">
        <f t="shared" si="2"/>
        <v/>
      </c>
    </row>
    <row r="102" spans="1:16" ht="14.25" customHeight="1" x14ac:dyDescent="0.3">
      <c r="A102" s="4"/>
      <c r="B102" s="4"/>
      <c r="C102" s="4" t="str">
        <f t="shared" si="3"/>
        <v/>
      </c>
      <c r="D102" s="4" t="str">
        <f t="shared" si="4"/>
        <v/>
      </c>
      <c r="E102" s="4"/>
      <c r="F102" s="6" t="str">
        <f>IF($C102="","",COUNTIFS(Chicks!$F:$F,$C102,Chicks!$G:$G,$D102))</f>
        <v/>
      </c>
      <c r="G102" s="6" t="str">
        <f>IF($C102="","",COUNTIFS(Chicks!$F:$F,$C102,Chicks!$G:$G,$D102,Chicks!$I:$I,"Yes"))</f>
        <v/>
      </c>
      <c r="H102" s="6" t="str">
        <f>IF($C102="","",SUMIFS(Chicks!$J:$J,Chicks!$F:$F,$C102,Chicks!$G:$G,$D102))</f>
        <v/>
      </c>
      <c r="I102" s="6" t="str">
        <f>IF($C102="","",COUNTIFS(Chicks!$F:$F,$C102,Chicks!$G:$G,$D102,Chicks!$I:$I,"No"))</f>
        <v/>
      </c>
      <c r="J102" s="6" t="str">
        <f>IF($C102="","",IFERROR(AVERAGEIFS(Chicks!$M:$M,Chicks!$F:$F,$C102,Chicks!$G:$G,$D102),""))</f>
        <v/>
      </c>
      <c r="K102" s="6" t="str">
        <f>IF($C102="","",SUMIFS(Chicks!$N:$N,Chicks!$F:$F,$C102,Chicks!$G:$G,$D102))</f>
        <v/>
      </c>
      <c r="L102" s="6" t="str">
        <f>IF($C102="","",SUMIFS(Chicks!$O:$O,Chicks!$F:$F,$C102,Chicks!$G:$G,$D102))</f>
        <v/>
      </c>
      <c r="M102" s="6" t="str">
        <f>IF($C102="","",SUMIFS(Chicks!$P:$P,Chicks!$F:$F,$C102,Chicks!$G:$G,$D102))</f>
        <v/>
      </c>
      <c r="N102" s="6" t="str">
        <f t="shared" si="0"/>
        <v/>
      </c>
      <c r="O102" s="6" t="e">
        <f t="shared" ca="1" si="1"/>
        <v>#NAME?</v>
      </c>
      <c r="P102" s="6" t="str">
        <f t="shared" si="2"/>
        <v/>
      </c>
    </row>
    <row r="103" spans="1:16" ht="14.25" customHeight="1" x14ac:dyDescent="0.3">
      <c r="A103" s="4"/>
      <c r="B103" s="4"/>
      <c r="C103" s="4" t="str">
        <f t="shared" si="3"/>
        <v/>
      </c>
      <c r="D103" s="4" t="str">
        <f t="shared" si="4"/>
        <v/>
      </c>
      <c r="E103" s="4"/>
      <c r="F103" s="6" t="str">
        <f>IF($C103="","",COUNTIFS(Chicks!$F:$F,$C103,Chicks!$G:$G,$D103))</f>
        <v/>
      </c>
      <c r="G103" s="6" t="str">
        <f>IF($C103="","",COUNTIFS(Chicks!$F:$F,$C103,Chicks!$G:$G,$D103,Chicks!$I:$I,"Yes"))</f>
        <v/>
      </c>
      <c r="H103" s="6" t="str">
        <f>IF($C103="","",SUMIFS(Chicks!$J:$J,Chicks!$F:$F,$C103,Chicks!$G:$G,$D103))</f>
        <v/>
      </c>
      <c r="I103" s="6" t="str">
        <f>IF($C103="","",COUNTIFS(Chicks!$F:$F,$C103,Chicks!$G:$G,$D103,Chicks!$I:$I,"No"))</f>
        <v/>
      </c>
      <c r="J103" s="6" t="str">
        <f>IF($C103="","",IFERROR(AVERAGEIFS(Chicks!$M:$M,Chicks!$F:$F,$C103,Chicks!$G:$G,$D103),""))</f>
        <v/>
      </c>
      <c r="K103" s="6" t="str">
        <f>IF($C103="","",SUMIFS(Chicks!$N:$N,Chicks!$F:$F,$C103,Chicks!$G:$G,$D103))</f>
        <v/>
      </c>
      <c r="L103" s="6" t="str">
        <f>IF($C103="","",SUMIFS(Chicks!$O:$O,Chicks!$F:$F,$C103,Chicks!$G:$G,$D103))</f>
        <v/>
      </c>
      <c r="M103" s="6" t="str">
        <f>IF($C103="","",SUMIFS(Chicks!$P:$P,Chicks!$F:$F,$C103,Chicks!$G:$G,$D103))</f>
        <v/>
      </c>
      <c r="N103" s="6" t="str">
        <f t="shared" si="0"/>
        <v/>
      </c>
      <c r="O103" s="6" t="e">
        <f t="shared" ca="1" si="1"/>
        <v>#NAME?</v>
      </c>
      <c r="P103" s="6" t="str">
        <f t="shared" si="2"/>
        <v/>
      </c>
    </row>
    <row r="104" spans="1:16" ht="14.25" customHeight="1" x14ac:dyDescent="0.3">
      <c r="A104" s="4"/>
      <c r="B104" s="4"/>
      <c r="C104" s="4" t="str">
        <f t="shared" si="3"/>
        <v/>
      </c>
      <c r="D104" s="4" t="str">
        <f t="shared" si="4"/>
        <v/>
      </c>
      <c r="E104" s="4"/>
      <c r="F104" s="6" t="str">
        <f>IF($C104="","",COUNTIFS(Chicks!$F:$F,$C104,Chicks!$G:$G,$D104))</f>
        <v/>
      </c>
      <c r="G104" s="6" t="str">
        <f>IF($C104="","",COUNTIFS(Chicks!$F:$F,$C104,Chicks!$G:$G,$D104,Chicks!$I:$I,"Yes"))</f>
        <v/>
      </c>
      <c r="H104" s="6" t="str">
        <f>IF($C104="","",SUMIFS(Chicks!$J:$J,Chicks!$F:$F,$C104,Chicks!$G:$G,$D104))</f>
        <v/>
      </c>
      <c r="I104" s="6" t="str">
        <f>IF($C104="","",COUNTIFS(Chicks!$F:$F,$C104,Chicks!$G:$G,$D104,Chicks!$I:$I,"No"))</f>
        <v/>
      </c>
      <c r="J104" s="6" t="str">
        <f>IF($C104="","",IFERROR(AVERAGEIFS(Chicks!$M:$M,Chicks!$F:$F,$C104,Chicks!$G:$G,$D104),""))</f>
        <v/>
      </c>
      <c r="K104" s="6" t="str">
        <f>IF($C104="","",SUMIFS(Chicks!$N:$N,Chicks!$F:$F,$C104,Chicks!$G:$G,$D104))</f>
        <v/>
      </c>
      <c r="L104" s="6" t="str">
        <f>IF($C104="","",SUMIFS(Chicks!$O:$O,Chicks!$F:$F,$C104,Chicks!$G:$G,$D104))</f>
        <v/>
      </c>
      <c r="M104" s="6" t="str">
        <f>IF($C104="","",SUMIFS(Chicks!$P:$P,Chicks!$F:$F,$C104,Chicks!$G:$G,$D104))</f>
        <v/>
      </c>
      <c r="N104" s="6" t="str">
        <f t="shared" si="0"/>
        <v/>
      </c>
      <c r="O104" s="6" t="e">
        <f t="shared" ca="1" si="1"/>
        <v>#NAME?</v>
      </c>
      <c r="P104" s="6" t="str">
        <f t="shared" si="2"/>
        <v/>
      </c>
    </row>
    <row r="105" spans="1:16" ht="14.25" customHeight="1" x14ac:dyDescent="0.3">
      <c r="A105" s="4"/>
      <c r="B105" s="4"/>
      <c r="C105" s="4" t="str">
        <f t="shared" si="3"/>
        <v/>
      </c>
      <c r="D105" s="4" t="str">
        <f t="shared" si="4"/>
        <v/>
      </c>
      <c r="E105" s="4"/>
      <c r="F105" s="6" t="str">
        <f>IF($C105="","",COUNTIFS(Chicks!$F:$F,$C105,Chicks!$G:$G,$D105))</f>
        <v/>
      </c>
      <c r="G105" s="6" t="str">
        <f>IF($C105="","",COUNTIFS(Chicks!$F:$F,$C105,Chicks!$G:$G,$D105,Chicks!$I:$I,"Yes"))</f>
        <v/>
      </c>
      <c r="H105" s="6" t="str">
        <f>IF($C105="","",SUMIFS(Chicks!$J:$J,Chicks!$F:$F,$C105,Chicks!$G:$G,$D105))</f>
        <v/>
      </c>
      <c r="I105" s="6" t="str">
        <f>IF($C105="","",COUNTIFS(Chicks!$F:$F,$C105,Chicks!$G:$G,$D105,Chicks!$I:$I,"No"))</f>
        <v/>
      </c>
      <c r="J105" s="6" t="str">
        <f>IF($C105="","",IFERROR(AVERAGEIFS(Chicks!$M:$M,Chicks!$F:$F,$C105,Chicks!$G:$G,$D105),""))</f>
        <v/>
      </c>
      <c r="K105" s="6" t="str">
        <f>IF($C105="","",SUMIFS(Chicks!$N:$N,Chicks!$F:$F,$C105,Chicks!$G:$G,$D105))</f>
        <v/>
      </c>
      <c r="L105" s="6" t="str">
        <f>IF($C105="","",SUMIFS(Chicks!$O:$O,Chicks!$F:$F,$C105,Chicks!$G:$G,$D105))</f>
        <v/>
      </c>
      <c r="M105" s="6" t="str">
        <f>IF($C105="","",SUMIFS(Chicks!$P:$P,Chicks!$F:$F,$C105,Chicks!$G:$G,$D105))</f>
        <v/>
      </c>
      <c r="N105" s="6" t="str">
        <f t="shared" si="0"/>
        <v/>
      </c>
      <c r="O105" s="6" t="e">
        <f t="shared" ca="1" si="1"/>
        <v>#NAME?</v>
      </c>
      <c r="P105" s="6" t="str">
        <f t="shared" si="2"/>
        <v/>
      </c>
    </row>
    <row r="106" spans="1:16" ht="14.25" customHeight="1" x14ac:dyDescent="0.3">
      <c r="A106" s="4"/>
      <c r="B106" s="4"/>
      <c r="C106" s="4" t="str">
        <f t="shared" si="3"/>
        <v/>
      </c>
      <c r="D106" s="4" t="str">
        <f t="shared" si="4"/>
        <v/>
      </c>
      <c r="E106" s="4"/>
      <c r="F106" s="6" t="str">
        <f>IF($C106="","",COUNTIFS(Chicks!$F:$F,$C106,Chicks!$G:$G,$D106))</f>
        <v/>
      </c>
      <c r="G106" s="6" t="str">
        <f>IF($C106="","",COUNTIFS(Chicks!$F:$F,$C106,Chicks!$G:$G,$D106,Chicks!$I:$I,"Yes"))</f>
        <v/>
      </c>
      <c r="H106" s="6" t="str">
        <f>IF($C106="","",SUMIFS(Chicks!$J:$J,Chicks!$F:$F,$C106,Chicks!$G:$G,$D106))</f>
        <v/>
      </c>
      <c r="I106" s="6" t="str">
        <f>IF($C106="","",COUNTIFS(Chicks!$F:$F,$C106,Chicks!$G:$G,$D106,Chicks!$I:$I,"No"))</f>
        <v/>
      </c>
      <c r="J106" s="6" t="str">
        <f>IF($C106="","",IFERROR(AVERAGEIFS(Chicks!$M:$M,Chicks!$F:$F,$C106,Chicks!$G:$G,$D106),""))</f>
        <v/>
      </c>
      <c r="K106" s="6" t="str">
        <f>IF($C106="","",SUMIFS(Chicks!$N:$N,Chicks!$F:$F,$C106,Chicks!$G:$G,$D106))</f>
        <v/>
      </c>
      <c r="L106" s="6" t="str">
        <f>IF($C106="","",SUMIFS(Chicks!$O:$O,Chicks!$F:$F,$C106,Chicks!$G:$G,$D106))</f>
        <v/>
      </c>
      <c r="M106" s="6" t="str">
        <f>IF($C106="","",SUMIFS(Chicks!$P:$P,Chicks!$F:$F,$C106,Chicks!$G:$G,$D106))</f>
        <v/>
      </c>
      <c r="N106" s="6" t="str">
        <f t="shared" si="0"/>
        <v/>
      </c>
      <c r="O106" s="6" t="e">
        <f t="shared" ca="1" si="1"/>
        <v>#NAME?</v>
      </c>
      <c r="P106" s="6" t="str">
        <f t="shared" si="2"/>
        <v/>
      </c>
    </row>
    <row r="107" spans="1:16" ht="14.25" customHeight="1" x14ac:dyDescent="0.3">
      <c r="A107" s="4"/>
      <c r="B107" s="4"/>
      <c r="C107" s="4" t="str">
        <f t="shared" si="3"/>
        <v/>
      </c>
      <c r="D107" s="4" t="str">
        <f t="shared" si="4"/>
        <v/>
      </c>
      <c r="E107" s="4"/>
      <c r="F107" s="6" t="str">
        <f>IF($C107="","",COUNTIFS(Chicks!$F:$F,$C107,Chicks!$G:$G,$D107))</f>
        <v/>
      </c>
      <c r="G107" s="6" t="str">
        <f>IF($C107="","",COUNTIFS(Chicks!$F:$F,$C107,Chicks!$G:$G,$D107,Chicks!$I:$I,"Yes"))</f>
        <v/>
      </c>
      <c r="H107" s="6" t="str">
        <f>IF($C107="","",SUMIFS(Chicks!$J:$J,Chicks!$F:$F,$C107,Chicks!$G:$G,$D107))</f>
        <v/>
      </c>
      <c r="I107" s="6" t="str">
        <f>IF($C107="","",COUNTIFS(Chicks!$F:$F,$C107,Chicks!$G:$G,$D107,Chicks!$I:$I,"No"))</f>
        <v/>
      </c>
      <c r="J107" s="6" t="str">
        <f>IF($C107="","",IFERROR(AVERAGEIFS(Chicks!$M:$M,Chicks!$F:$F,$C107,Chicks!$G:$G,$D107),""))</f>
        <v/>
      </c>
      <c r="K107" s="6" t="str">
        <f>IF($C107="","",SUMIFS(Chicks!$N:$N,Chicks!$F:$F,$C107,Chicks!$G:$G,$D107))</f>
        <v/>
      </c>
      <c r="L107" s="6" t="str">
        <f>IF($C107="","",SUMIFS(Chicks!$O:$O,Chicks!$F:$F,$C107,Chicks!$G:$G,$D107))</f>
        <v/>
      </c>
      <c r="M107" s="6" t="str">
        <f>IF($C107="","",SUMIFS(Chicks!$P:$P,Chicks!$F:$F,$C107,Chicks!$G:$G,$D107))</f>
        <v/>
      </c>
      <c r="N107" s="6" t="str">
        <f t="shared" si="0"/>
        <v/>
      </c>
      <c r="O107" s="6" t="e">
        <f t="shared" ca="1" si="1"/>
        <v>#NAME?</v>
      </c>
      <c r="P107" s="6" t="str">
        <f t="shared" si="2"/>
        <v/>
      </c>
    </row>
    <row r="108" spans="1:16" ht="14.25" customHeight="1" x14ac:dyDescent="0.3">
      <c r="A108" s="4"/>
      <c r="B108" s="4"/>
      <c r="C108" s="4" t="str">
        <f t="shared" si="3"/>
        <v/>
      </c>
      <c r="D108" s="4" t="str">
        <f t="shared" si="4"/>
        <v/>
      </c>
      <c r="E108" s="4"/>
      <c r="F108" s="6" t="str">
        <f>IF($C108="","",COUNTIFS(Chicks!$F:$F,$C108,Chicks!$G:$G,$D108))</f>
        <v/>
      </c>
      <c r="G108" s="6" t="str">
        <f>IF($C108="","",COUNTIFS(Chicks!$F:$F,$C108,Chicks!$G:$G,$D108,Chicks!$I:$I,"Yes"))</f>
        <v/>
      </c>
      <c r="H108" s="6" t="str">
        <f>IF($C108="","",SUMIFS(Chicks!$J:$J,Chicks!$F:$F,$C108,Chicks!$G:$G,$D108))</f>
        <v/>
      </c>
      <c r="I108" s="6" t="str">
        <f>IF($C108="","",COUNTIFS(Chicks!$F:$F,$C108,Chicks!$G:$G,$D108,Chicks!$I:$I,"No"))</f>
        <v/>
      </c>
      <c r="J108" s="6" t="str">
        <f>IF($C108="","",IFERROR(AVERAGEIFS(Chicks!$M:$M,Chicks!$F:$F,$C108,Chicks!$G:$G,$D108),""))</f>
        <v/>
      </c>
      <c r="K108" s="6" t="str">
        <f>IF($C108="","",SUMIFS(Chicks!$N:$N,Chicks!$F:$F,$C108,Chicks!$G:$G,$D108))</f>
        <v/>
      </c>
      <c r="L108" s="6" t="str">
        <f>IF($C108="","",SUMIFS(Chicks!$O:$O,Chicks!$F:$F,$C108,Chicks!$G:$G,$D108))</f>
        <v/>
      </c>
      <c r="M108" s="6" t="str">
        <f>IF($C108="","",SUMIFS(Chicks!$P:$P,Chicks!$F:$F,$C108,Chicks!$G:$G,$D108))</f>
        <v/>
      </c>
      <c r="N108" s="6" t="str">
        <f t="shared" si="0"/>
        <v/>
      </c>
      <c r="O108" s="6" t="e">
        <f t="shared" ca="1" si="1"/>
        <v>#NAME?</v>
      </c>
      <c r="P108" s="6" t="str">
        <f t="shared" si="2"/>
        <v/>
      </c>
    </row>
    <row r="109" spans="1:16" ht="14.25" customHeight="1" x14ac:dyDescent="0.3">
      <c r="A109" s="4"/>
      <c r="B109" s="4"/>
      <c r="C109" s="4" t="str">
        <f t="shared" si="3"/>
        <v/>
      </c>
      <c r="D109" s="4" t="str">
        <f t="shared" si="4"/>
        <v/>
      </c>
      <c r="E109" s="4"/>
      <c r="F109" s="6" t="str">
        <f>IF($C109="","",COUNTIFS(Chicks!$F:$F,$C109,Chicks!$G:$G,$D109))</f>
        <v/>
      </c>
      <c r="G109" s="6" t="str">
        <f>IF($C109="","",COUNTIFS(Chicks!$F:$F,$C109,Chicks!$G:$G,$D109,Chicks!$I:$I,"Yes"))</f>
        <v/>
      </c>
      <c r="H109" s="6" t="str">
        <f>IF($C109="","",SUMIFS(Chicks!$J:$J,Chicks!$F:$F,$C109,Chicks!$G:$G,$D109))</f>
        <v/>
      </c>
      <c r="I109" s="6" t="str">
        <f>IF($C109="","",COUNTIFS(Chicks!$F:$F,$C109,Chicks!$G:$G,$D109,Chicks!$I:$I,"No"))</f>
        <v/>
      </c>
      <c r="J109" s="6" t="str">
        <f>IF($C109="","",IFERROR(AVERAGEIFS(Chicks!$M:$M,Chicks!$F:$F,$C109,Chicks!$G:$G,$D109),""))</f>
        <v/>
      </c>
      <c r="K109" s="6" t="str">
        <f>IF($C109="","",SUMIFS(Chicks!$N:$N,Chicks!$F:$F,$C109,Chicks!$G:$G,$D109))</f>
        <v/>
      </c>
      <c r="L109" s="6" t="str">
        <f>IF($C109="","",SUMIFS(Chicks!$O:$O,Chicks!$F:$F,$C109,Chicks!$G:$G,$D109))</f>
        <v/>
      </c>
      <c r="M109" s="6" t="str">
        <f>IF($C109="","",SUMIFS(Chicks!$P:$P,Chicks!$F:$F,$C109,Chicks!$G:$G,$D109))</f>
        <v/>
      </c>
      <c r="N109" s="6" t="str">
        <f t="shared" si="0"/>
        <v/>
      </c>
      <c r="O109" s="6" t="e">
        <f t="shared" ca="1" si="1"/>
        <v>#NAME?</v>
      </c>
      <c r="P109" s="6" t="str">
        <f t="shared" si="2"/>
        <v/>
      </c>
    </row>
    <row r="110" spans="1:16" ht="14.25" customHeight="1" x14ac:dyDescent="0.3">
      <c r="A110" s="4"/>
      <c r="B110" s="4"/>
      <c r="C110" s="4" t="str">
        <f t="shared" si="3"/>
        <v/>
      </c>
      <c r="D110" s="4" t="str">
        <f t="shared" si="4"/>
        <v/>
      </c>
      <c r="E110" s="4"/>
      <c r="F110" s="6" t="str">
        <f>IF($C110="","",COUNTIFS(Chicks!$F:$F,$C110,Chicks!$G:$G,$D110))</f>
        <v/>
      </c>
      <c r="G110" s="6" t="str">
        <f>IF($C110="","",COUNTIFS(Chicks!$F:$F,$C110,Chicks!$G:$G,$D110,Chicks!$I:$I,"Yes"))</f>
        <v/>
      </c>
      <c r="H110" s="6" t="str">
        <f>IF($C110="","",SUMIFS(Chicks!$J:$J,Chicks!$F:$F,$C110,Chicks!$G:$G,$D110))</f>
        <v/>
      </c>
      <c r="I110" s="6" t="str">
        <f>IF($C110="","",COUNTIFS(Chicks!$F:$F,$C110,Chicks!$G:$G,$D110,Chicks!$I:$I,"No"))</f>
        <v/>
      </c>
      <c r="J110" s="6" t="str">
        <f>IF($C110="","",IFERROR(AVERAGEIFS(Chicks!$M:$M,Chicks!$F:$F,$C110,Chicks!$G:$G,$D110),""))</f>
        <v/>
      </c>
      <c r="K110" s="6" t="str">
        <f>IF($C110="","",SUMIFS(Chicks!$N:$N,Chicks!$F:$F,$C110,Chicks!$G:$G,$D110))</f>
        <v/>
      </c>
      <c r="L110" s="6" t="str">
        <f>IF($C110="","",SUMIFS(Chicks!$O:$O,Chicks!$F:$F,$C110,Chicks!$G:$G,$D110))</f>
        <v/>
      </c>
      <c r="M110" s="6" t="str">
        <f>IF($C110="","",SUMIFS(Chicks!$P:$P,Chicks!$F:$F,$C110,Chicks!$G:$G,$D110))</f>
        <v/>
      </c>
      <c r="N110" s="6" t="str">
        <f t="shared" si="0"/>
        <v/>
      </c>
      <c r="O110" s="6" t="e">
        <f t="shared" ca="1" si="1"/>
        <v>#NAME?</v>
      </c>
      <c r="P110" s="6" t="str">
        <f t="shared" si="2"/>
        <v/>
      </c>
    </row>
    <row r="111" spans="1:16" ht="14.25" customHeight="1" x14ac:dyDescent="0.3">
      <c r="A111" s="4"/>
      <c r="B111" s="4"/>
      <c r="C111" s="4" t="str">
        <f t="shared" si="3"/>
        <v/>
      </c>
      <c r="D111" s="4" t="str">
        <f t="shared" si="4"/>
        <v/>
      </c>
      <c r="E111" s="4"/>
      <c r="F111" s="6" t="str">
        <f>IF($C111="","",COUNTIFS(Chicks!$F:$F,$C111,Chicks!$G:$G,$D111))</f>
        <v/>
      </c>
      <c r="G111" s="6" t="str">
        <f>IF($C111="","",COUNTIFS(Chicks!$F:$F,$C111,Chicks!$G:$G,$D111,Chicks!$I:$I,"Yes"))</f>
        <v/>
      </c>
      <c r="H111" s="6" t="str">
        <f>IF($C111="","",SUMIFS(Chicks!$J:$J,Chicks!$F:$F,$C111,Chicks!$G:$G,$D111))</f>
        <v/>
      </c>
      <c r="I111" s="6" t="str">
        <f>IF($C111="","",COUNTIFS(Chicks!$F:$F,$C111,Chicks!$G:$G,$D111,Chicks!$I:$I,"No"))</f>
        <v/>
      </c>
      <c r="J111" s="6" t="str">
        <f>IF($C111="","",IFERROR(AVERAGEIFS(Chicks!$M:$M,Chicks!$F:$F,$C111,Chicks!$G:$G,$D111),""))</f>
        <v/>
      </c>
      <c r="K111" s="6" t="str">
        <f>IF($C111="","",SUMIFS(Chicks!$N:$N,Chicks!$F:$F,$C111,Chicks!$G:$G,$D111))</f>
        <v/>
      </c>
      <c r="L111" s="6" t="str">
        <f>IF($C111="","",SUMIFS(Chicks!$O:$O,Chicks!$F:$F,$C111,Chicks!$G:$G,$D111))</f>
        <v/>
      </c>
      <c r="M111" s="6" t="str">
        <f>IF($C111="","",SUMIFS(Chicks!$P:$P,Chicks!$F:$F,$C111,Chicks!$G:$G,$D111))</f>
        <v/>
      </c>
      <c r="N111" s="6" t="str">
        <f t="shared" si="0"/>
        <v/>
      </c>
      <c r="O111" s="6" t="e">
        <f t="shared" ca="1" si="1"/>
        <v>#NAME?</v>
      </c>
      <c r="P111" s="6" t="str">
        <f t="shared" si="2"/>
        <v/>
      </c>
    </row>
    <row r="112" spans="1:16" ht="14.25" customHeight="1" x14ac:dyDescent="0.3">
      <c r="A112" s="4"/>
      <c r="B112" s="4"/>
      <c r="C112" s="4" t="str">
        <f t="shared" si="3"/>
        <v/>
      </c>
      <c r="D112" s="4" t="str">
        <f t="shared" si="4"/>
        <v/>
      </c>
      <c r="E112" s="4"/>
      <c r="F112" s="6" t="str">
        <f>IF($C112="","",COUNTIFS(Chicks!$F:$F,$C112,Chicks!$G:$G,$D112))</f>
        <v/>
      </c>
      <c r="G112" s="6" t="str">
        <f>IF($C112="","",COUNTIFS(Chicks!$F:$F,$C112,Chicks!$G:$G,$D112,Chicks!$I:$I,"Yes"))</f>
        <v/>
      </c>
      <c r="H112" s="6" t="str">
        <f>IF($C112="","",SUMIFS(Chicks!$J:$J,Chicks!$F:$F,$C112,Chicks!$G:$G,$D112))</f>
        <v/>
      </c>
      <c r="I112" s="6" t="str">
        <f>IF($C112="","",COUNTIFS(Chicks!$F:$F,$C112,Chicks!$G:$G,$D112,Chicks!$I:$I,"No"))</f>
        <v/>
      </c>
      <c r="J112" s="6" t="str">
        <f>IF($C112="","",IFERROR(AVERAGEIFS(Chicks!$M:$M,Chicks!$F:$F,$C112,Chicks!$G:$G,$D112),""))</f>
        <v/>
      </c>
      <c r="K112" s="6" t="str">
        <f>IF($C112="","",SUMIFS(Chicks!$N:$N,Chicks!$F:$F,$C112,Chicks!$G:$G,$D112))</f>
        <v/>
      </c>
      <c r="L112" s="6" t="str">
        <f>IF($C112="","",SUMIFS(Chicks!$O:$O,Chicks!$F:$F,$C112,Chicks!$G:$G,$D112))</f>
        <v/>
      </c>
      <c r="M112" s="6" t="str">
        <f>IF($C112="","",SUMIFS(Chicks!$P:$P,Chicks!$F:$F,$C112,Chicks!$G:$G,$D112))</f>
        <v/>
      </c>
      <c r="N112" s="6" t="str">
        <f t="shared" si="0"/>
        <v/>
      </c>
      <c r="O112" s="6" t="e">
        <f t="shared" ca="1" si="1"/>
        <v>#NAME?</v>
      </c>
      <c r="P112" s="6" t="str">
        <f t="shared" si="2"/>
        <v/>
      </c>
    </row>
    <row r="113" spans="1:16" ht="14.25" customHeight="1" x14ac:dyDescent="0.3">
      <c r="A113" s="4"/>
      <c r="B113" s="4"/>
      <c r="C113" s="4" t="str">
        <f t="shared" si="3"/>
        <v/>
      </c>
      <c r="D113" s="4" t="str">
        <f t="shared" si="4"/>
        <v/>
      </c>
      <c r="E113" s="4"/>
      <c r="F113" s="6" t="str">
        <f>IF($C113="","",COUNTIFS(Chicks!$F:$F,$C113,Chicks!$G:$G,$D113))</f>
        <v/>
      </c>
      <c r="G113" s="6" t="str">
        <f>IF($C113="","",COUNTIFS(Chicks!$F:$F,$C113,Chicks!$G:$G,$D113,Chicks!$I:$I,"Yes"))</f>
        <v/>
      </c>
      <c r="H113" s="6" t="str">
        <f>IF($C113="","",SUMIFS(Chicks!$J:$J,Chicks!$F:$F,$C113,Chicks!$G:$G,$D113))</f>
        <v/>
      </c>
      <c r="I113" s="6" t="str">
        <f>IF($C113="","",COUNTIFS(Chicks!$F:$F,$C113,Chicks!$G:$G,$D113,Chicks!$I:$I,"No"))</f>
        <v/>
      </c>
      <c r="J113" s="6" t="str">
        <f>IF($C113="","",IFERROR(AVERAGEIFS(Chicks!$M:$M,Chicks!$F:$F,$C113,Chicks!$G:$G,$D113),""))</f>
        <v/>
      </c>
      <c r="K113" s="6" t="str">
        <f>IF($C113="","",SUMIFS(Chicks!$N:$N,Chicks!$F:$F,$C113,Chicks!$G:$G,$D113))</f>
        <v/>
      </c>
      <c r="L113" s="6" t="str">
        <f>IF($C113="","",SUMIFS(Chicks!$O:$O,Chicks!$F:$F,$C113,Chicks!$G:$G,$D113))</f>
        <v/>
      </c>
      <c r="M113" s="6" t="str">
        <f>IF($C113="","",SUMIFS(Chicks!$P:$P,Chicks!$F:$F,$C113,Chicks!$G:$G,$D113))</f>
        <v/>
      </c>
      <c r="N113" s="6" t="str">
        <f t="shared" si="0"/>
        <v/>
      </c>
      <c r="O113" s="6" t="e">
        <f t="shared" ca="1" si="1"/>
        <v>#NAME?</v>
      </c>
      <c r="P113" s="6" t="str">
        <f t="shared" si="2"/>
        <v/>
      </c>
    </row>
    <row r="114" spans="1:16" ht="14.25" customHeight="1" x14ac:dyDescent="0.3">
      <c r="A114" s="4"/>
      <c r="B114" s="4"/>
      <c r="C114" s="4" t="str">
        <f t="shared" si="3"/>
        <v/>
      </c>
      <c r="D114" s="4" t="str">
        <f t="shared" si="4"/>
        <v/>
      </c>
      <c r="E114" s="4"/>
      <c r="F114" s="6" t="str">
        <f>IF($C114="","",COUNTIFS(Chicks!$F:$F,$C114,Chicks!$G:$G,$D114))</f>
        <v/>
      </c>
      <c r="G114" s="6" t="str">
        <f>IF($C114="","",COUNTIFS(Chicks!$F:$F,$C114,Chicks!$G:$G,$D114,Chicks!$I:$I,"Yes"))</f>
        <v/>
      </c>
      <c r="H114" s="6" t="str">
        <f>IF($C114="","",SUMIFS(Chicks!$J:$J,Chicks!$F:$F,$C114,Chicks!$G:$G,$D114))</f>
        <v/>
      </c>
      <c r="I114" s="6" t="str">
        <f>IF($C114="","",COUNTIFS(Chicks!$F:$F,$C114,Chicks!$G:$G,$D114,Chicks!$I:$I,"No"))</f>
        <v/>
      </c>
      <c r="J114" s="6" t="str">
        <f>IF($C114="","",IFERROR(AVERAGEIFS(Chicks!$M:$M,Chicks!$F:$F,$C114,Chicks!$G:$G,$D114),""))</f>
        <v/>
      </c>
      <c r="K114" s="6" t="str">
        <f>IF($C114="","",SUMIFS(Chicks!$N:$N,Chicks!$F:$F,$C114,Chicks!$G:$G,$D114))</f>
        <v/>
      </c>
      <c r="L114" s="6" t="str">
        <f>IF($C114="","",SUMIFS(Chicks!$O:$O,Chicks!$F:$F,$C114,Chicks!$G:$G,$D114))</f>
        <v/>
      </c>
      <c r="M114" s="6" t="str">
        <f>IF($C114="","",SUMIFS(Chicks!$P:$P,Chicks!$F:$F,$C114,Chicks!$G:$G,$D114))</f>
        <v/>
      </c>
      <c r="N114" s="6" t="str">
        <f t="shared" si="0"/>
        <v/>
      </c>
      <c r="O114" s="6" t="e">
        <f t="shared" ca="1" si="1"/>
        <v>#NAME?</v>
      </c>
      <c r="P114" s="6" t="str">
        <f t="shared" si="2"/>
        <v/>
      </c>
    </row>
    <row r="115" spans="1:16" ht="14.25" customHeight="1" x14ac:dyDescent="0.3">
      <c r="A115" s="4"/>
      <c r="B115" s="4"/>
      <c r="C115" s="4" t="str">
        <f t="shared" si="3"/>
        <v/>
      </c>
      <c r="D115" s="4" t="str">
        <f t="shared" si="4"/>
        <v/>
      </c>
      <c r="E115" s="4"/>
      <c r="F115" s="6" t="str">
        <f>IF($C115="","",COUNTIFS(Chicks!$F:$F,$C115,Chicks!$G:$G,$D115))</f>
        <v/>
      </c>
      <c r="G115" s="6" t="str">
        <f>IF($C115="","",COUNTIFS(Chicks!$F:$F,$C115,Chicks!$G:$G,$D115,Chicks!$I:$I,"Yes"))</f>
        <v/>
      </c>
      <c r="H115" s="6" t="str">
        <f>IF($C115="","",SUMIFS(Chicks!$J:$J,Chicks!$F:$F,$C115,Chicks!$G:$G,$D115))</f>
        <v/>
      </c>
      <c r="I115" s="6" t="str">
        <f>IF($C115="","",COUNTIFS(Chicks!$F:$F,$C115,Chicks!$G:$G,$D115,Chicks!$I:$I,"No"))</f>
        <v/>
      </c>
      <c r="J115" s="6" t="str">
        <f>IF($C115="","",IFERROR(AVERAGEIFS(Chicks!$M:$M,Chicks!$F:$F,$C115,Chicks!$G:$G,$D115),""))</f>
        <v/>
      </c>
      <c r="K115" s="6" t="str">
        <f>IF($C115="","",SUMIFS(Chicks!$N:$N,Chicks!$F:$F,$C115,Chicks!$G:$G,$D115))</f>
        <v/>
      </c>
      <c r="L115" s="6" t="str">
        <f>IF($C115="","",SUMIFS(Chicks!$O:$O,Chicks!$F:$F,$C115,Chicks!$G:$G,$D115))</f>
        <v/>
      </c>
      <c r="M115" s="6" t="str">
        <f>IF($C115="","",SUMIFS(Chicks!$P:$P,Chicks!$F:$F,$C115,Chicks!$G:$G,$D115))</f>
        <v/>
      </c>
      <c r="N115" s="6" t="str">
        <f t="shared" si="0"/>
        <v/>
      </c>
      <c r="O115" s="6" t="e">
        <f t="shared" ca="1" si="1"/>
        <v>#NAME?</v>
      </c>
      <c r="P115" s="6" t="str">
        <f t="shared" si="2"/>
        <v/>
      </c>
    </row>
    <row r="116" spans="1:16" ht="14.25" customHeight="1" x14ac:dyDescent="0.3">
      <c r="A116" s="4"/>
      <c r="B116" s="4"/>
      <c r="C116" s="4" t="str">
        <f t="shared" si="3"/>
        <v/>
      </c>
      <c r="D116" s="4" t="str">
        <f t="shared" si="4"/>
        <v/>
      </c>
      <c r="E116" s="4"/>
      <c r="F116" s="6" t="str">
        <f>IF($C116="","",COUNTIFS(Chicks!$F:$F,$C116,Chicks!$G:$G,$D116))</f>
        <v/>
      </c>
      <c r="G116" s="6" t="str">
        <f>IF($C116="","",COUNTIFS(Chicks!$F:$F,$C116,Chicks!$G:$G,$D116,Chicks!$I:$I,"Yes"))</f>
        <v/>
      </c>
      <c r="H116" s="6" t="str">
        <f>IF($C116="","",SUMIFS(Chicks!$J:$J,Chicks!$F:$F,$C116,Chicks!$G:$G,$D116))</f>
        <v/>
      </c>
      <c r="I116" s="6" t="str">
        <f>IF($C116="","",COUNTIFS(Chicks!$F:$F,$C116,Chicks!$G:$G,$D116,Chicks!$I:$I,"No"))</f>
        <v/>
      </c>
      <c r="J116" s="6" t="str">
        <f>IF($C116="","",IFERROR(AVERAGEIFS(Chicks!$M:$M,Chicks!$F:$F,$C116,Chicks!$G:$G,$D116),""))</f>
        <v/>
      </c>
      <c r="K116" s="6" t="str">
        <f>IF($C116="","",SUMIFS(Chicks!$N:$N,Chicks!$F:$F,$C116,Chicks!$G:$G,$D116))</f>
        <v/>
      </c>
      <c r="L116" s="6" t="str">
        <f>IF($C116="","",SUMIFS(Chicks!$O:$O,Chicks!$F:$F,$C116,Chicks!$G:$G,$D116))</f>
        <v/>
      </c>
      <c r="M116" s="6" t="str">
        <f>IF($C116="","",SUMIFS(Chicks!$P:$P,Chicks!$F:$F,$C116,Chicks!$G:$G,$D116))</f>
        <v/>
      </c>
      <c r="N116" s="6" t="str">
        <f t="shared" si="0"/>
        <v/>
      </c>
      <c r="O116" s="6" t="e">
        <f t="shared" ca="1" si="1"/>
        <v>#NAME?</v>
      </c>
      <c r="P116" s="6" t="str">
        <f t="shared" si="2"/>
        <v/>
      </c>
    </row>
    <row r="117" spans="1:16" ht="14.25" customHeight="1" x14ac:dyDescent="0.3">
      <c r="A117" s="4"/>
      <c r="B117" s="4"/>
      <c r="C117" s="4" t="str">
        <f t="shared" si="3"/>
        <v/>
      </c>
      <c r="D117" s="4" t="str">
        <f t="shared" si="4"/>
        <v/>
      </c>
      <c r="E117" s="4"/>
      <c r="F117" s="6" t="str">
        <f>IF($C117="","",COUNTIFS(Chicks!$F:$F,$C117,Chicks!$G:$G,$D117))</f>
        <v/>
      </c>
      <c r="G117" s="6" t="str">
        <f>IF($C117="","",COUNTIFS(Chicks!$F:$F,$C117,Chicks!$G:$G,$D117,Chicks!$I:$I,"Yes"))</f>
        <v/>
      </c>
      <c r="H117" s="6" t="str">
        <f>IF($C117="","",SUMIFS(Chicks!$J:$J,Chicks!$F:$F,$C117,Chicks!$G:$G,$D117))</f>
        <v/>
      </c>
      <c r="I117" s="6" t="str">
        <f>IF($C117="","",COUNTIFS(Chicks!$F:$F,$C117,Chicks!$G:$G,$D117,Chicks!$I:$I,"No"))</f>
        <v/>
      </c>
      <c r="J117" s="6" t="str">
        <f>IF($C117="","",IFERROR(AVERAGEIFS(Chicks!$M:$M,Chicks!$F:$F,$C117,Chicks!$G:$G,$D117),""))</f>
        <v/>
      </c>
      <c r="K117" s="6" t="str">
        <f>IF($C117="","",SUMIFS(Chicks!$N:$N,Chicks!$F:$F,$C117,Chicks!$G:$G,$D117))</f>
        <v/>
      </c>
      <c r="L117" s="6" t="str">
        <f>IF($C117="","",SUMIFS(Chicks!$O:$O,Chicks!$F:$F,$C117,Chicks!$G:$G,$D117))</f>
        <v/>
      </c>
      <c r="M117" s="6" t="str">
        <f>IF($C117="","",SUMIFS(Chicks!$P:$P,Chicks!$F:$F,$C117,Chicks!$G:$G,$D117))</f>
        <v/>
      </c>
      <c r="N117" s="6" t="str">
        <f t="shared" si="0"/>
        <v/>
      </c>
      <c r="O117" s="6" t="e">
        <f t="shared" ca="1" si="1"/>
        <v>#NAME?</v>
      </c>
      <c r="P117" s="6" t="str">
        <f t="shared" si="2"/>
        <v/>
      </c>
    </row>
    <row r="118" spans="1:16" ht="14.25" customHeight="1" x14ac:dyDescent="0.3">
      <c r="A118" s="4"/>
      <c r="B118" s="4"/>
      <c r="C118" s="4" t="str">
        <f t="shared" si="3"/>
        <v/>
      </c>
      <c r="D118" s="4" t="str">
        <f t="shared" si="4"/>
        <v/>
      </c>
      <c r="E118" s="4"/>
      <c r="F118" s="6" t="str">
        <f>IF($C118="","",COUNTIFS(Chicks!$F:$F,$C118,Chicks!$G:$G,$D118))</f>
        <v/>
      </c>
      <c r="G118" s="6" t="str">
        <f>IF($C118="","",COUNTIFS(Chicks!$F:$F,$C118,Chicks!$G:$G,$D118,Chicks!$I:$I,"Yes"))</f>
        <v/>
      </c>
      <c r="H118" s="6" t="str">
        <f>IF($C118="","",SUMIFS(Chicks!$J:$J,Chicks!$F:$F,$C118,Chicks!$G:$G,$D118))</f>
        <v/>
      </c>
      <c r="I118" s="6" t="str">
        <f>IF($C118="","",COUNTIFS(Chicks!$F:$F,$C118,Chicks!$G:$G,$D118,Chicks!$I:$I,"No"))</f>
        <v/>
      </c>
      <c r="J118" s="6" t="str">
        <f>IF($C118="","",IFERROR(AVERAGEIFS(Chicks!$M:$M,Chicks!$F:$F,$C118,Chicks!$G:$G,$D118),""))</f>
        <v/>
      </c>
      <c r="K118" s="6" t="str">
        <f>IF($C118="","",SUMIFS(Chicks!$N:$N,Chicks!$F:$F,$C118,Chicks!$G:$G,$D118))</f>
        <v/>
      </c>
      <c r="L118" s="6" t="str">
        <f>IF($C118="","",SUMIFS(Chicks!$O:$O,Chicks!$F:$F,$C118,Chicks!$G:$G,$D118))</f>
        <v/>
      </c>
      <c r="M118" s="6" t="str">
        <f>IF($C118="","",SUMIFS(Chicks!$P:$P,Chicks!$F:$F,$C118,Chicks!$G:$G,$D118))</f>
        <v/>
      </c>
      <c r="N118" s="6" t="str">
        <f t="shared" si="0"/>
        <v/>
      </c>
      <c r="O118" s="6" t="e">
        <f t="shared" ca="1" si="1"/>
        <v>#NAME?</v>
      </c>
      <c r="P118" s="6" t="str">
        <f t="shared" si="2"/>
        <v/>
      </c>
    </row>
    <row r="119" spans="1:16" ht="14.25" customHeight="1" x14ac:dyDescent="0.3">
      <c r="A119" s="4"/>
      <c r="B119" s="4"/>
      <c r="C119" s="4" t="str">
        <f t="shared" si="3"/>
        <v/>
      </c>
      <c r="D119" s="4" t="str">
        <f t="shared" si="4"/>
        <v/>
      </c>
      <c r="E119" s="4"/>
      <c r="F119" s="6" t="str">
        <f>IF($C119="","",COUNTIFS(Chicks!$F:$F,$C119,Chicks!$G:$G,$D119))</f>
        <v/>
      </c>
      <c r="G119" s="6" t="str">
        <f>IF($C119="","",COUNTIFS(Chicks!$F:$F,$C119,Chicks!$G:$G,$D119,Chicks!$I:$I,"Yes"))</f>
        <v/>
      </c>
      <c r="H119" s="6" t="str">
        <f>IF($C119="","",SUMIFS(Chicks!$J:$J,Chicks!$F:$F,$C119,Chicks!$G:$G,$D119))</f>
        <v/>
      </c>
      <c r="I119" s="6" t="str">
        <f>IF($C119="","",COUNTIFS(Chicks!$F:$F,$C119,Chicks!$G:$G,$D119,Chicks!$I:$I,"No"))</f>
        <v/>
      </c>
      <c r="J119" s="6" t="str">
        <f>IF($C119="","",IFERROR(AVERAGEIFS(Chicks!$M:$M,Chicks!$F:$F,$C119,Chicks!$G:$G,$D119),""))</f>
        <v/>
      </c>
      <c r="K119" s="6" t="str">
        <f>IF($C119="","",SUMIFS(Chicks!$N:$N,Chicks!$F:$F,$C119,Chicks!$G:$G,$D119))</f>
        <v/>
      </c>
      <c r="L119" s="6" t="str">
        <f>IF($C119="","",SUMIFS(Chicks!$O:$O,Chicks!$F:$F,$C119,Chicks!$G:$G,$D119))</f>
        <v/>
      </c>
      <c r="M119" s="6" t="str">
        <f>IF($C119="","",SUMIFS(Chicks!$P:$P,Chicks!$F:$F,$C119,Chicks!$G:$G,$D119))</f>
        <v/>
      </c>
      <c r="N119" s="6" t="str">
        <f t="shared" si="0"/>
        <v/>
      </c>
      <c r="O119" s="6" t="e">
        <f t="shared" ca="1" si="1"/>
        <v>#NAME?</v>
      </c>
      <c r="P119" s="6" t="str">
        <f t="shared" si="2"/>
        <v/>
      </c>
    </row>
    <row r="120" spans="1:16" ht="14.25" customHeight="1" x14ac:dyDescent="0.3">
      <c r="A120" s="4"/>
      <c r="B120" s="4"/>
      <c r="C120" s="4" t="str">
        <f t="shared" si="3"/>
        <v/>
      </c>
      <c r="D120" s="4" t="str">
        <f t="shared" si="4"/>
        <v/>
      </c>
      <c r="E120" s="4"/>
      <c r="F120" s="6" t="str">
        <f>IF($C120="","",COUNTIFS(Chicks!$F:$F,$C120,Chicks!$G:$G,$D120))</f>
        <v/>
      </c>
      <c r="G120" s="6" t="str">
        <f>IF($C120="","",COUNTIFS(Chicks!$F:$F,$C120,Chicks!$G:$G,$D120,Chicks!$I:$I,"Yes"))</f>
        <v/>
      </c>
      <c r="H120" s="6" t="str">
        <f>IF($C120="","",SUMIFS(Chicks!$J:$J,Chicks!$F:$F,$C120,Chicks!$G:$G,$D120))</f>
        <v/>
      </c>
      <c r="I120" s="6" t="str">
        <f>IF($C120="","",COUNTIFS(Chicks!$F:$F,$C120,Chicks!$G:$G,$D120,Chicks!$I:$I,"No"))</f>
        <v/>
      </c>
      <c r="J120" s="6" t="str">
        <f>IF($C120="","",IFERROR(AVERAGEIFS(Chicks!$M:$M,Chicks!$F:$F,$C120,Chicks!$G:$G,$D120),""))</f>
        <v/>
      </c>
      <c r="K120" s="6" t="str">
        <f>IF($C120="","",SUMIFS(Chicks!$N:$N,Chicks!$F:$F,$C120,Chicks!$G:$G,$D120))</f>
        <v/>
      </c>
      <c r="L120" s="6" t="str">
        <f>IF($C120="","",SUMIFS(Chicks!$O:$O,Chicks!$F:$F,$C120,Chicks!$G:$G,$D120))</f>
        <v/>
      </c>
      <c r="M120" s="6" t="str">
        <f>IF($C120="","",SUMIFS(Chicks!$P:$P,Chicks!$F:$F,$C120,Chicks!$G:$G,$D120))</f>
        <v/>
      </c>
      <c r="N120" s="6" t="str">
        <f t="shared" si="0"/>
        <v/>
      </c>
      <c r="O120" s="6" t="e">
        <f t="shared" ca="1" si="1"/>
        <v>#NAME?</v>
      </c>
      <c r="P120" s="6" t="str">
        <f t="shared" si="2"/>
        <v/>
      </c>
    </row>
    <row r="121" spans="1:16" ht="14.25" customHeight="1" x14ac:dyDescent="0.3">
      <c r="A121" s="4"/>
      <c r="B121" s="4"/>
      <c r="C121" s="4" t="str">
        <f t="shared" si="3"/>
        <v/>
      </c>
      <c r="D121" s="4" t="str">
        <f t="shared" si="4"/>
        <v/>
      </c>
      <c r="E121" s="4"/>
      <c r="F121" s="6" t="str">
        <f>IF($C121="","",COUNTIFS(Chicks!$F:$F,$C121,Chicks!$G:$G,$D121))</f>
        <v/>
      </c>
      <c r="G121" s="6" t="str">
        <f>IF($C121="","",COUNTIFS(Chicks!$F:$F,$C121,Chicks!$G:$G,$D121,Chicks!$I:$I,"Yes"))</f>
        <v/>
      </c>
      <c r="H121" s="6" t="str">
        <f>IF($C121="","",SUMIFS(Chicks!$J:$J,Chicks!$F:$F,$C121,Chicks!$G:$G,$D121))</f>
        <v/>
      </c>
      <c r="I121" s="6" t="str">
        <f>IF($C121="","",COUNTIFS(Chicks!$F:$F,$C121,Chicks!$G:$G,$D121,Chicks!$I:$I,"No"))</f>
        <v/>
      </c>
      <c r="J121" s="6" t="str">
        <f>IF($C121="","",IFERROR(AVERAGEIFS(Chicks!$M:$M,Chicks!$F:$F,$C121,Chicks!$G:$G,$D121),""))</f>
        <v/>
      </c>
      <c r="K121" s="6" t="str">
        <f>IF($C121="","",SUMIFS(Chicks!$N:$N,Chicks!$F:$F,$C121,Chicks!$G:$G,$D121))</f>
        <v/>
      </c>
      <c r="L121" s="6" t="str">
        <f>IF($C121="","",SUMIFS(Chicks!$O:$O,Chicks!$F:$F,$C121,Chicks!$G:$G,$D121))</f>
        <v/>
      </c>
      <c r="M121" s="6" t="str">
        <f>IF($C121="","",SUMIFS(Chicks!$P:$P,Chicks!$F:$F,$C121,Chicks!$G:$G,$D121))</f>
        <v/>
      </c>
      <c r="N121" s="6" t="str">
        <f t="shared" si="0"/>
        <v/>
      </c>
      <c r="O121" s="6" t="e">
        <f t="shared" ca="1" si="1"/>
        <v>#NAME?</v>
      </c>
      <c r="P121" s="6" t="str">
        <f t="shared" si="2"/>
        <v/>
      </c>
    </row>
    <row r="122" spans="1:16" ht="14.25" customHeight="1" x14ac:dyDescent="0.3">
      <c r="A122" s="4"/>
      <c r="B122" s="4"/>
      <c r="C122" s="4" t="str">
        <f t="shared" si="3"/>
        <v/>
      </c>
      <c r="D122" s="4" t="str">
        <f t="shared" si="4"/>
        <v/>
      </c>
      <c r="E122" s="4"/>
      <c r="F122" s="6" t="str">
        <f>IF($C122="","",COUNTIFS(Chicks!$F:$F,$C122,Chicks!$G:$G,$D122))</f>
        <v/>
      </c>
      <c r="G122" s="6" t="str">
        <f>IF($C122="","",COUNTIFS(Chicks!$F:$F,$C122,Chicks!$G:$G,$D122,Chicks!$I:$I,"Yes"))</f>
        <v/>
      </c>
      <c r="H122" s="6" t="str">
        <f>IF($C122="","",SUMIFS(Chicks!$J:$J,Chicks!$F:$F,$C122,Chicks!$G:$G,$D122))</f>
        <v/>
      </c>
      <c r="I122" s="6" t="str">
        <f>IF($C122="","",COUNTIFS(Chicks!$F:$F,$C122,Chicks!$G:$G,$D122,Chicks!$I:$I,"No"))</f>
        <v/>
      </c>
      <c r="J122" s="6" t="str">
        <f>IF($C122="","",IFERROR(AVERAGEIFS(Chicks!$M:$M,Chicks!$F:$F,$C122,Chicks!$G:$G,$D122),""))</f>
        <v/>
      </c>
      <c r="K122" s="6" t="str">
        <f>IF($C122="","",SUMIFS(Chicks!$N:$N,Chicks!$F:$F,$C122,Chicks!$G:$G,$D122))</f>
        <v/>
      </c>
      <c r="L122" s="6" t="str">
        <f>IF($C122="","",SUMIFS(Chicks!$O:$O,Chicks!$F:$F,$C122,Chicks!$G:$G,$D122))</f>
        <v/>
      </c>
      <c r="M122" s="6" t="str">
        <f>IF($C122="","",SUMIFS(Chicks!$P:$P,Chicks!$F:$F,$C122,Chicks!$G:$G,$D122))</f>
        <v/>
      </c>
      <c r="N122" s="6" t="str">
        <f t="shared" si="0"/>
        <v/>
      </c>
      <c r="O122" s="6" t="e">
        <f t="shared" ca="1" si="1"/>
        <v>#NAME?</v>
      </c>
      <c r="P122" s="6" t="str">
        <f t="shared" si="2"/>
        <v/>
      </c>
    </row>
    <row r="123" spans="1:16" ht="14.25" customHeight="1" x14ac:dyDescent="0.3">
      <c r="A123" s="4"/>
      <c r="B123" s="4"/>
      <c r="C123" s="4" t="str">
        <f t="shared" si="3"/>
        <v/>
      </c>
      <c r="D123" s="4" t="str">
        <f t="shared" si="4"/>
        <v/>
      </c>
      <c r="E123" s="4"/>
      <c r="F123" s="6" t="str">
        <f>IF($C123="","",COUNTIFS(Chicks!$F:$F,$C123,Chicks!$G:$G,$D123))</f>
        <v/>
      </c>
      <c r="G123" s="6" t="str">
        <f>IF($C123="","",COUNTIFS(Chicks!$F:$F,$C123,Chicks!$G:$G,$D123,Chicks!$I:$I,"Yes"))</f>
        <v/>
      </c>
      <c r="H123" s="6" t="str">
        <f>IF($C123="","",SUMIFS(Chicks!$J:$J,Chicks!$F:$F,$C123,Chicks!$G:$G,$D123))</f>
        <v/>
      </c>
      <c r="I123" s="6" t="str">
        <f>IF($C123="","",COUNTIFS(Chicks!$F:$F,$C123,Chicks!$G:$G,$D123,Chicks!$I:$I,"No"))</f>
        <v/>
      </c>
      <c r="J123" s="6" t="str">
        <f>IF($C123="","",IFERROR(AVERAGEIFS(Chicks!$M:$M,Chicks!$F:$F,$C123,Chicks!$G:$G,$D123),""))</f>
        <v/>
      </c>
      <c r="K123" s="6" t="str">
        <f>IF($C123="","",SUMIFS(Chicks!$N:$N,Chicks!$F:$F,$C123,Chicks!$G:$G,$D123))</f>
        <v/>
      </c>
      <c r="L123" s="6" t="str">
        <f>IF($C123="","",SUMIFS(Chicks!$O:$O,Chicks!$F:$F,$C123,Chicks!$G:$G,$D123))</f>
        <v/>
      </c>
      <c r="M123" s="6" t="str">
        <f>IF($C123="","",SUMIFS(Chicks!$P:$P,Chicks!$F:$F,$C123,Chicks!$G:$G,$D123))</f>
        <v/>
      </c>
      <c r="N123" s="6" t="str">
        <f t="shared" si="0"/>
        <v/>
      </c>
      <c r="O123" s="6" t="e">
        <f t="shared" ca="1" si="1"/>
        <v>#NAME?</v>
      </c>
      <c r="P123" s="6" t="str">
        <f t="shared" si="2"/>
        <v/>
      </c>
    </row>
    <row r="124" spans="1:16" ht="14.25" customHeight="1" x14ac:dyDescent="0.3">
      <c r="A124" s="4"/>
      <c r="B124" s="4"/>
      <c r="C124" s="4" t="str">
        <f t="shared" si="3"/>
        <v/>
      </c>
      <c r="D124" s="4" t="str">
        <f t="shared" si="4"/>
        <v/>
      </c>
      <c r="E124" s="4"/>
      <c r="F124" s="6" t="str">
        <f>IF($C124="","",COUNTIFS(Chicks!$F:$F,$C124,Chicks!$G:$G,$D124))</f>
        <v/>
      </c>
      <c r="G124" s="6" t="str">
        <f>IF($C124="","",COUNTIFS(Chicks!$F:$F,$C124,Chicks!$G:$G,$D124,Chicks!$I:$I,"Yes"))</f>
        <v/>
      </c>
      <c r="H124" s="6" t="str">
        <f>IF($C124="","",SUMIFS(Chicks!$J:$J,Chicks!$F:$F,$C124,Chicks!$G:$G,$D124))</f>
        <v/>
      </c>
      <c r="I124" s="6" t="str">
        <f>IF($C124="","",COUNTIFS(Chicks!$F:$F,$C124,Chicks!$G:$G,$D124,Chicks!$I:$I,"No"))</f>
        <v/>
      </c>
      <c r="J124" s="6" t="str">
        <f>IF($C124="","",IFERROR(AVERAGEIFS(Chicks!$M:$M,Chicks!$F:$F,$C124,Chicks!$G:$G,$D124),""))</f>
        <v/>
      </c>
      <c r="K124" s="6" t="str">
        <f>IF($C124="","",SUMIFS(Chicks!$N:$N,Chicks!$F:$F,$C124,Chicks!$G:$G,$D124))</f>
        <v/>
      </c>
      <c r="L124" s="6" t="str">
        <f>IF($C124="","",SUMIFS(Chicks!$O:$O,Chicks!$F:$F,$C124,Chicks!$G:$G,$D124))</f>
        <v/>
      </c>
      <c r="M124" s="6" t="str">
        <f>IF($C124="","",SUMIFS(Chicks!$P:$P,Chicks!$F:$F,$C124,Chicks!$G:$G,$D124))</f>
        <v/>
      </c>
      <c r="N124" s="6" t="str">
        <f t="shared" si="0"/>
        <v/>
      </c>
      <c r="O124" s="6" t="e">
        <f t="shared" ca="1" si="1"/>
        <v>#NAME?</v>
      </c>
      <c r="P124" s="6" t="str">
        <f t="shared" si="2"/>
        <v/>
      </c>
    </row>
    <row r="125" spans="1:16" ht="14.25" customHeight="1" x14ac:dyDescent="0.3">
      <c r="A125" s="4"/>
      <c r="B125" s="4"/>
      <c r="C125" s="4" t="str">
        <f t="shared" si="3"/>
        <v/>
      </c>
      <c r="D125" s="4" t="str">
        <f t="shared" si="4"/>
        <v/>
      </c>
      <c r="E125" s="4"/>
      <c r="F125" s="6" t="str">
        <f>IF($C125="","",COUNTIFS(Chicks!$F:$F,$C125,Chicks!$G:$G,$D125))</f>
        <v/>
      </c>
      <c r="G125" s="6" t="str">
        <f>IF($C125="","",COUNTIFS(Chicks!$F:$F,$C125,Chicks!$G:$G,$D125,Chicks!$I:$I,"Yes"))</f>
        <v/>
      </c>
      <c r="H125" s="6" t="str">
        <f>IF($C125="","",SUMIFS(Chicks!$J:$J,Chicks!$F:$F,$C125,Chicks!$G:$G,$D125))</f>
        <v/>
      </c>
      <c r="I125" s="6" t="str">
        <f>IF($C125="","",COUNTIFS(Chicks!$F:$F,$C125,Chicks!$G:$G,$D125,Chicks!$I:$I,"No"))</f>
        <v/>
      </c>
      <c r="J125" s="6" t="str">
        <f>IF($C125="","",IFERROR(AVERAGEIFS(Chicks!$M:$M,Chicks!$F:$F,$C125,Chicks!$G:$G,$D125),""))</f>
        <v/>
      </c>
      <c r="K125" s="6" t="str">
        <f>IF($C125="","",SUMIFS(Chicks!$N:$N,Chicks!$F:$F,$C125,Chicks!$G:$G,$D125))</f>
        <v/>
      </c>
      <c r="L125" s="6" t="str">
        <f>IF($C125="","",SUMIFS(Chicks!$O:$O,Chicks!$F:$F,$C125,Chicks!$G:$G,$D125))</f>
        <v/>
      </c>
      <c r="M125" s="6" t="str">
        <f>IF($C125="","",SUMIFS(Chicks!$P:$P,Chicks!$F:$F,$C125,Chicks!$G:$G,$D125))</f>
        <v/>
      </c>
      <c r="N125" s="6" t="str">
        <f t="shared" si="0"/>
        <v/>
      </c>
      <c r="O125" s="6" t="e">
        <f t="shared" ca="1" si="1"/>
        <v>#NAME?</v>
      </c>
      <c r="P125" s="6" t="str">
        <f t="shared" si="2"/>
        <v/>
      </c>
    </row>
    <row r="126" spans="1:16" ht="14.25" customHeight="1" x14ac:dyDescent="0.3">
      <c r="A126" s="4"/>
      <c r="B126" s="4"/>
      <c r="C126" s="4" t="str">
        <f t="shared" si="3"/>
        <v/>
      </c>
      <c r="D126" s="4" t="str">
        <f t="shared" si="4"/>
        <v/>
      </c>
      <c r="E126" s="4"/>
      <c r="F126" s="6" t="str">
        <f>IF($C126="","",COUNTIFS(Chicks!$F:$F,$C126,Chicks!$G:$G,$D126))</f>
        <v/>
      </c>
      <c r="G126" s="6" t="str">
        <f>IF($C126="","",COUNTIFS(Chicks!$F:$F,$C126,Chicks!$G:$G,$D126,Chicks!$I:$I,"Yes"))</f>
        <v/>
      </c>
      <c r="H126" s="6" t="str">
        <f>IF($C126="","",SUMIFS(Chicks!$J:$J,Chicks!$F:$F,$C126,Chicks!$G:$G,$D126))</f>
        <v/>
      </c>
      <c r="I126" s="6" t="str">
        <f>IF($C126="","",COUNTIFS(Chicks!$F:$F,$C126,Chicks!$G:$G,$D126,Chicks!$I:$I,"No"))</f>
        <v/>
      </c>
      <c r="J126" s="6" t="str">
        <f>IF($C126="","",IFERROR(AVERAGEIFS(Chicks!$M:$M,Chicks!$F:$F,$C126,Chicks!$G:$G,$D126),""))</f>
        <v/>
      </c>
      <c r="K126" s="6" t="str">
        <f>IF($C126="","",SUMIFS(Chicks!$N:$N,Chicks!$F:$F,$C126,Chicks!$G:$G,$D126))</f>
        <v/>
      </c>
      <c r="L126" s="6" t="str">
        <f>IF($C126="","",SUMIFS(Chicks!$O:$O,Chicks!$F:$F,$C126,Chicks!$G:$G,$D126))</f>
        <v/>
      </c>
      <c r="M126" s="6" t="str">
        <f>IF($C126="","",SUMIFS(Chicks!$P:$P,Chicks!$F:$F,$C126,Chicks!$G:$G,$D126))</f>
        <v/>
      </c>
      <c r="N126" s="6" t="str">
        <f t="shared" si="0"/>
        <v/>
      </c>
      <c r="O126" s="6" t="e">
        <f t="shared" ca="1" si="1"/>
        <v>#NAME?</v>
      </c>
      <c r="P126" s="6" t="str">
        <f t="shared" si="2"/>
        <v/>
      </c>
    </row>
    <row r="127" spans="1:16" ht="14.25" customHeight="1" x14ac:dyDescent="0.3">
      <c r="A127" s="4"/>
      <c r="B127" s="4"/>
      <c r="C127" s="4" t="str">
        <f t="shared" si="3"/>
        <v/>
      </c>
      <c r="D127" s="4" t="str">
        <f t="shared" si="4"/>
        <v/>
      </c>
      <c r="E127" s="4"/>
      <c r="F127" s="6" t="str">
        <f>IF($C127="","",COUNTIFS(Chicks!$F:$F,$C127,Chicks!$G:$G,$D127))</f>
        <v/>
      </c>
      <c r="G127" s="6" t="str">
        <f>IF($C127="","",COUNTIFS(Chicks!$F:$F,$C127,Chicks!$G:$G,$D127,Chicks!$I:$I,"Yes"))</f>
        <v/>
      </c>
      <c r="H127" s="6" t="str">
        <f>IF($C127="","",SUMIFS(Chicks!$J:$J,Chicks!$F:$F,$C127,Chicks!$G:$G,$D127))</f>
        <v/>
      </c>
      <c r="I127" s="6" t="str">
        <f>IF($C127="","",COUNTIFS(Chicks!$F:$F,$C127,Chicks!$G:$G,$D127,Chicks!$I:$I,"No"))</f>
        <v/>
      </c>
      <c r="J127" s="6" t="str">
        <f>IF($C127="","",IFERROR(AVERAGEIFS(Chicks!$M:$M,Chicks!$F:$F,$C127,Chicks!$G:$G,$D127),""))</f>
        <v/>
      </c>
      <c r="K127" s="6" t="str">
        <f>IF($C127="","",SUMIFS(Chicks!$N:$N,Chicks!$F:$F,$C127,Chicks!$G:$G,$D127))</f>
        <v/>
      </c>
      <c r="L127" s="6" t="str">
        <f>IF($C127="","",SUMIFS(Chicks!$O:$O,Chicks!$F:$F,$C127,Chicks!$G:$G,$D127))</f>
        <v/>
      </c>
      <c r="M127" s="6" t="str">
        <f>IF($C127="","",SUMIFS(Chicks!$P:$P,Chicks!$F:$F,$C127,Chicks!$G:$G,$D127))</f>
        <v/>
      </c>
      <c r="N127" s="6" t="str">
        <f t="shared" si="0"/>
        <v/>
      </c>
      <c r="O127" s="6" t="e">
        <f t="shared" ca="1" si="1"/>
        <v>#NAME?</v>
      </c>
      <c r="P127" s="6" t="str">
        <f t="shared" si="2"/>
        <v/>
      </c>
    </row>
    <row r="128" spans="1:16" ht="14.25" customHeight="1" x14ac:dyDescent="0.3">
      <c r="A128" s="4"/>
      <c r="B128" s="4"/>
      <c r="C128" s="4" t="str">
        <f t="shared" si="3"/>
        <v/>
      </c>
      <c r="D128" s="4" t="str">
        <f t="shared" si="4"/>
        <v/>
      </c>
      <c r="E128" s="4"/>
      <c r="F128" s="6" t="str">
        <f>IF($C128="","",COUNTIFS(Chicks!$F:$F,$C128,Chicks!$G:$G,$D128))</f>
        <v/>
      </c>
      <c r="G128" s="6" t="str">
        <f>IF($C128="","",COUNTIFS(Chicks!$F:$F,$C128,Chicks!$G:$G,$D128,Chicks!$I:$I,"Yes"))</f>
        <v/>
      </c>
      <c r="H128" s="6" t="str">
        <f>IF($C128="","",SUMIFS(Chicks!$J:$J,Chicks!$F:$F,$C128,Chicks!$G:$G,$D128))</f>
        <v/>
      </c>
      <c r="I128" s="6" t="str">
        <f>IF($C128="","",COUNTIFS(Chicks!$F:$F,$C128,Chicks!$G:$G,$D128,Chicks!$I:$I,"No"))</f>
        <v/>
      </c>
      <c r="J128" s="6" t="str">
        <f>IF($C128="","",IFERROR(AVERAGEIFS(Chicks!$M:$M,Chicks!$F:$F,$C128,Chicks!$G:$G,$D128),""))</f>
        <v/>
      </c>
      <c r="K128" s="6" t="str">
        <f>IF($C128="","",SUMIFS(Chicks!$N:$N,Chicks!$F:$F,$C128,Chicks!$G:$G,$D128))</f>
        <v/>
      </c>
      <c r="L128" s="6" t="str">
        <f>IF($C128="","",SUMIFS(Chicks!$O:$O,Chicks!$F:$F,$C128,Chicks!$G:$G,$D128))</f>
        <v/>
      </c>
      <c r="M128" s="6" t="str">
        <f>IF($C128="","",SUMIFS(Chicks!$P:$P,Chicks!$F:$F,$C128,Chicks!$G:$G,$D128))</f>
        <v/>
      </c>
      <c r="N128" s="6" t="str">
        <f t="shared" si="0"/>
        <v/>
      </c>
      <c r="O128" s="6" t="e">
        <f t="shared" ca="1" si="1"/>
        <v>#NAME?</v>
      </c>
      <c r="P128" s="6" t="str">
        <f t="shared" si="2"/>
        <v/>
      </c>
    </row>
    <row r="129" spans="1:16" ht="14.25" customHeight="1" x14ac:dyDescent="0.3">
      <c r="A129" s="4"/>
      <c r="B129" s="4"/>
      <c r="C129" s="4" t="str">
        <f t="shared" si="3"/>
        <v/>
      </c>
      <c r="D129" s="4" t="str">
        <f t="shared" si="4"/>
        <v/>
      </c>
      <c r="E129" s="4"/>
      <c r="F129" s="6" t="str">
        <f>IF($C129="","",COUNTIFS(Chicks!$F:$F,$C129,Chicks!$G:$G,$D129))</f>
        <v/>
      </c>
      <c r="G129" s="6" t="str">
        <f>IF($C129="","",COUNTIFS(Chicks!$F:$F,$C129,Chicks!$G:$G,$D129,Chicks!$I:$I,"Yes"))</f>
        <v/>
      </c>
      <c r="H129" s="6" t="str">
        <f>IF($C129="","",SUMIFS(Chicks!$J:$J,Chicks!$F:$F,$C129,Chicks!$G:$G,$D129))</f>
        <v/>
      </c>
      <c r="I129" s="6" t="str">
        <f>IF($C129="","",COUNTIFS(Chicks!$F:$F,$C129,Chicks!$G:$G,$D129,Chicks!$I:$I,"No"))</f>
        <v/>
      </c>
      <c r="J129" s="6" t="str">
        <f>IF($C129="","",IFERROR(AVERAGEIFS(Chicks!$M:$M,Chicks!$F:$F,$C129,Chicks!$G:$G,$D129),""))</f>
        <v/>
      </c>
      <c r="K129" s="6" t="str">
        <f>IF($C129="","",SUMIFS(Chicks!$N:$N,Chicks!$F:$F,$C129,Chicks!$G:$G,$D129))</f>
        <v/>
      </c>
      <c r="L129" s="6" t="str">
        <f>IF($C129="","",SUMIFS(Chicks!$O:$O,Chicks!$F:$F,$C129,Chicks!$G:$G,$D129))</f>
        <v/>
      </c>
      <c r="M129" s="6" t="str">
        <f>IF($C129="","",SUMIFS(Chicks!$P:$P,Chicks!$F:$F,$C129,Chicks!$G:$G,$D129))</f>
        <v/>
      </c>
      <c r="N129" s="6" t="str">
        <f t="shared" si="0"/>
        <v/>
      </c>
      <c r="O129" s="6" t="e">
        <f t="shared" ca="1" si="1"/>
        <v>#NAME?</v>
      </c>
      <c r="P129" s="6" t="str">
        <f t="shared" si="2"/>
        <v/>
      </c>
    </row>
    <row r="130" spans="1:16" ht="14.25" customHeight="1" x14ac:dyDescent="0.3">
      <c r="A130" s="4"/>
      <c r="B130" s="4"/>
      <c r="C130" s="4" t="str">
        <f t="shared" si="3"/>
        <v/>
      </c>
      <c r="D130" s="4" t="str">
        <f t="shared" si="4"/>
        <v/>
      </c>
      <c r="E130" s="4"/>
      <c r="F130" s="6" t="str">
        <f>IF($C130="","",COUNTIFS(Chicks!$F:$F,$C130,Chicks!$G:$G,$D130))</f>
        <v/>
      </c>
      <c r="G130" s="6" t="str">
        <f>IF($C130="","",COUNTIFS(Chicks!$F:$F,$C130,Chicks!$G:$G,$D130,Chicks!$I:$I,"Yes"))</f>
        <v/>
      </c>
      <c r="H130" s="6" t="str">
        <f>IF($C130="","",SUMIFS(Chicks!$J:$J,Chicks!$F:$F,$C130,Chicks!$G:$G,$D130))</f>
        <v/>
      </c>
      <c r="I130" s="6" t="str">
        <f>IF($C130="","",COUNTIFS(Chicks!$F:$F,$C130,Chicks!$G:$G,$D130,Chicks!$I:$I,"No"))</f>
        <v/>
      </c>
      <c r="J130" s="6" t="str">
        <f>IF($C130="","",IFERROR(AVERAGEIFS(Chicks!$M:$M,Chicks!$F:$F,$C130,Chicks!$G:$G,$D130),""))</f>
        <v/>
      </c>
      <c r="K130" s="6" t="str">
        <f>IF($C130="","",SUMIFS(Chicks!$N:$N,Chicks!$F:$F,$C130,Chicks!$G:$G,$D130))</f>
        <v/>
      </c>
      <c r="L130" s="6" t="str">
        <f>IF($C130="","",SUMIFS(Chicks!$O:$O,Chicks!$F:$F,$C130,Chicks!$G:$G,$D130))</f>
        <v/>
      </c>
      <c r="M130" s="6" t="str">
        <f>IF($C130="","",SUMIFS(Chicks!$P:$P,Chicks!$F:$F,$C130,Chicks!$G:$G,$D130))</f>
        <v/>
      </c>
      <c r="N130" s="6" t="str">
        <f t="shared" si="0"/>
        <v/>
      </c>
      <c r="O130" s="6" t="e">
        <f t="shared" ca="1" si="1"/>
        <v>#NAME?</v>
      </c>
      <c r="P130" s="6" t="str">
        <f t="shared" si="2"/>
        <v/>
      </c>
    </row>
    <row r="131" spans="1:16" ht="14.25" customHeight="1" x14ac:dyDescent="0.3">
      <c r="A131" s="4"/>
      <c r="B131" s="4"/>
      <c r="C131" s="4" t="str">
        <f t="shared" si="3"/>
        <v/>
      </c>
      <c r="D131" s="4" t="str">
        <f t="shared" si="4"/>
        <v/>
      </c>
      <c r="E131" s="4"/>
      <c r="F131" s="6" t="str">
        <f>IF($C131="","",COUNTIFS(Chicks!$F:$F,$C131,Chicks!$G:$G,$D131))</f>
        <v/>
      </c>
      <c r="G131" s="6" t="str">
        <f>IF($C131="","",COUNTIFS(Chicks!$F:$F,$C131,Chicks!$G:$G,$D131,Chicks!$I:$I,"Yes"))</f>
        <v/>
      </c>
      <c r="H131" s="6" t="str">
        <f>IF($C131="","",SUMIFS(Chicks!$J:$J,Chicks!$F:$F,$C131,Chicks!$G:$G,$D131))</f>
        <v/>
      </c>
      <c r="I131" s="6" t="str">
        <f>IF($C131="","",COUNTIFS(Chicks!$F:$F,$C131,Chicks!$G:$G,$D131,Chicks!$I:$I,"No"))</f>
        <v/>
      </c>
      <c r="J131" s="6" t="str">
        <f>IF($C131="","",IFERROR(AVERAGEIFS(Chicks!$M:$M,Chicks!$F:$F,$C131,Chicks!$G:$G,$D131),""))</f>
        <v/>
      </c>
      <c r="K131" s="6" t="str">
        <f>IF($C131="","",SUMIFS(Chicks!$N:$N,Chicks!$F:$F,$C131,Chicks!$G:$G,$D131))</f>
        <v/>
      </c>
      <c r="L131" s="6" t="str">
        <f>IF($C131="","",SUMIFS(Chicks!$O:$O,Chicks!$F:$F,$C131,Chicks!$G:$G,$D131))</f>
        <v/>
      </c>
      <c r="M131" s="6" t="str">
        <f>IF($C131="","",SUMIFS(Chicks!$P:$P,Chicks!$F:$F,$C131,Chicks!$G:$G,$D131))</f>
        <v/>
      </c>
      <c r="N131" s="6" t="str">
        <f t="shared" si="0"/>
        <v/>
      </c>
      <c r="O131" s="6" t="e">
        <f t="shared" ca="1" si="1"/>
        <v>#NAME?</v>
      </c>
      <c r="P131" s="6" t="str">
        <f t="shared" si="2"/>
        <v/>
      </c>
    </row>
    <row r="132" spans="1:16" ht="14.25" customHeight="1" x14ac:dyDescent="0.3">
      <c r="A132" s="4"/>
      <c r="B132" s="4"/>
      <c r="C132" s="4" t="str">
        <f t="shared" si="3"/>
        <v/>
      </c>
      <c r="D132" s="4" t="str">
        <f t="shared" si="4"/>
        <v/>
      </c>
      <c r="E132" s="4"/>
      <c r="F132" s="6" t="str">
        <f>IF($C132="","",COUNTIFS(Chicks!$F:$F,$C132,Chicks!$G:$G,$D132))</f>
        <v/>
      </c>
      <c r="G132" s="6" t="str">
        <f>IF($C132="","",COUNTIFS(Chicks!$F:$F,$C132,Chicks!$G:$G,$D132,Chicks!$I:$I,"Yes"))</f>
        <v/>
      </c>
      <c r="H132" s="6" t="str">
        <f>IF($C132="","",SUMIFS(Chicks!$J:$J,Chicks!$F:$F,$C132,Chicks!$G:$G,$D132))</f>
        <v/>
      </c>
      <c r="I132" s="6" t="str">
        <f>IF($C132="","",COUNTIFS(Chicks!$F:$F,$C132,Chicks!$G:$G,$D132,Chicks!$I:$I,"No"))</f>
        <v/>
      </c>
      <c r="J132" s="6" t="str">
        <f>IF($C132="","",IFERROR(AVERAGEIFS(Chicks!$M:$M,Chicks!$F:$F,$C132,Chicks!$G:$G,$D132),""))</f>
        <v/>
      </c>
      <c r="K132" s="6" t="str">
        <f>IF($C132="","",SUMIFS(Chicks!$N:$N,Chicks!$F:$F,$C132,Chicks!$G:$G,$D132))</f>
        <v/>
      </c>
      <c r="L132" s="6" t="str">
        <f>IF($C132="","",SUMIFS(Chicks!$O:$O,Chicks!$F:$F,$C132,Chicks!$G:$G,$D132))</f>
        <v/>
      </c>
      <c r="M132" s="6" t="str">
        <f>IF($C132="","",SUMIFS(Chicks!$P:$P,Chicks!$F:$F,$C132,Chicks!$G:$G,$D132))</f>
        <v/>
      </c>
      <c r="N132" s="6" t="str">
        <f t="shared" si="0"/>
        <v/>
      </c>
      <c r="O132" s="6" t="e">
        <f t="shared" ca="1" si="1"/>
        <v>#NAME?</v>
      </c>
      <c r="P132" s="6" t="str">
        <f t="shared" si="2"/>
        <v/>
      </c>
    </row>
    <row r="133" spans="1:16" ht="14.25" customHeight="1" x14ac:dyDescent="0.3">
      <c r="A133" s="4"/>
      <c r="B133" s="4"/>
      <c r="C133" s="4" t="str">
        <f t="shared" si="3"/>
        <v/>
      </c>
      <c r="D133" s="4" t="str">
        <f t="shared" si="4"/>
        <v/>
      </c>
      <c r="E133" s="4"/>
      <c r="F133" s="6" t="str">
        <f>IF($C133="","",COUNTIFS(Chicks!$F:$F,$C133,Chicks!$G:$G,$D133))</f>
        <v/>
      </c>
      <c r="G133" s="6" t="str">
        <f>IF($C133="","",COUNTIFS(Chicks!$F:$F,$C133,Chicks!$G:$G,$D133,Chicks!$I:$I,"Yes"))</f>
        <v/>
      </c>
      <c r="H133" s="6" t="str">
        <f>IF($C133="","",SUMIFS(Chicks!$J:$J,Chicks!$F:$F,$C133,Chicks!$G:$G,$D133))</f>
        <v/>
      </c>
      <c r="I133" s="6" t="str">
        <f>IF($C133="","",COUNTIFS(Chicks!$F:$F,$C133,Chicks!$G:$G,$D133,Chicks!$I:$I,"No"))</f>
        <v/>
      </c>
      <c r="J133" s="6" t="str">
        <f>IF($C133="","",IFERROR(AVERAGEIFS(Chicks!$M:$M,Chicks!$F:$F,$C133,Chicks!$G:$G,$D133),""))</f>
        <v/>
      </c>
      <c r="K133" s="6" t="str">
        <f>IF($C133="","",SUMIFS(Chicks!$N:$N,Chicks!$F:$F,$C133,Chicks!$G:$G,$D133))</f>
        <v/>
      </c>
      <c r="L133" s="6" t="str">
        <f>IF($C133="","",SUMIFS(Chicks!$O:$O,Chicks!$F:$F,$C133,Chicks!$G:$G,$D133))</f>
        <v/>
      </c>
      <c r="M133" s="6" t="str">
        <f>IF($C133="","",SUMIFS(Chicks!$P:$P,Chicks!$F:$F,$C133,Chicks!$G:$G,$D133))</f>
        <v/>
      </c>
      <c r="N133" s="6" t="str">
        <f t="shared" si="0"/>
        <v/>
      </c>
      <c r="O133" s="6" t="e">
        <f t="shared" ca="1" si="1"/>
        <v>#NAME?</v>
      </c>
      <c r="P133" s="6" t="str">
        <f t="shared" si="2"/>
        <v/>
      </c>
    </row>
    <row r="134" spans="1:16" ht="14.25" customHeight="1" x14ac:dyDescent="0.3">
      <c r="A134" s="4"/>
      <c r="B134" s="4"/>
      <c r="C134" s="4" t="str">
        <f t="shared" si="3"/>
        <v/>
      </c>
      <c r="D134" s="4" t="str">
        <f t="shared" si="4"/>
        <v/>
      </c>
      <c r="E134" s="4"/>
      <c r="F134" s="6" t="str">
        <f>IF($C134="","",COUNTIFS(Chicks!$F:$F,$C134,Chicks!$G:$G,$D134))</f>
        <v/>
      </c>
      <c r="G134" s="6" t="str">
        <f>IF($C134="","",COUNTIFS(Chicks!$F:$F,$C134,Chicks!$G:$G,$D134,Chicks!$I:$I,"Yes"))</f>
        <v/>
      </c>
      <c r="H134" s="6" t="str">
        <f>IF($C134="","",SUMIFS(Chicks!$J:$J,Chicks!$F:$F,$C134,Chicks!$G:$G,$D134))</f>
        <v/>
      </c>
      <c r="I134" s="6" t="str">
        <f>IF($C134="","",COUNTIFS(Chicks!$F:$F,$C134,Chicks!$G:$G,$D134,Chicks!$I:$I,"No"))</f>
        <v/>
      </c>
      <c r="J134" s="6" t="str">
        <f>IF($C134="","",IFERROR(AVERAGEIFS(Chicks!$M:$M,Chicks!$F:$F,$C134,Chicks!$G:$G,$D134),""))</f>
        <v/>
      </c>
      <c r="K134" s="6" t="str">
        <f>IF($C134="","",SUMIFS(Chicks!$N:$N,Chicks!$F:$F,$C134,Chicks!$G:$G,$D134))</f>
        <v/>
      </c>
      <c r="L134" s="6" t="str">
        <f>IF($C134="","",SUMIFS(Chicks!$O:$O,Chicks!$F:$F,$C134,Chicks!$G:$G,$D134))</f>
        <v/>
      </c>
      <c r="M134" s="6" t="str">
        <f>IF($C134="","",SUMIFS(Chicks!$P:$P,Chicks!$F:$F,$C134,Chicks!$G:$G,$D134))</f>
        <v/>
      </c>
      <c r="N134" s="6" t="str">
        <f t="shared" si="0"/>
        <v/>
      </c>
      <c r="O134" s="6" t="e">
        <f t="shared" ca="1" si="1"/>
        <v>#NAME?</v>
      </c>
      <c r="P134" s="6" t="str">
        <f t="shared" si="2"/>
        <v/>
      </c>
    </row>
    <row r="135" spans="1:16" ht="14.25" customHeight="1" x14ac:dyDescent="0.3">
      <c r="A135" s="4"/>
      <c r="B135" s="4"/>
      <c r="C135" s="4" t="str">
        <f t="shared" si="3"/>
        <v/>
      </c>
      <c r="D135" s="4" t="str">
        <f t="shared" si="4"/>
        <v/>
      </c>
      <c r="E135" s="4"/>
      <c r="F135" s="6" t="str">
        <f>IF($C135="","",COUNTIFS(Chicks!$F:$F,$C135,Chicks!$G:$G,$D135))</f>
        <v/>
      </c>
      <c r="G135" s="6" t="str">
        <f>IF($C135="","",COUNTIFS(Chicks!$F:$F,$C135,Chicks!$G:$G,$D135,Chicks!$I:$I,"Yes"))</f>
        <v/>
      </c>
      <c r="H135" s="6" t="str">
        <f>IF($C135="","",SUMIFS(Chicks!$J:$J,Chicks!$F:$F,$C135,Chicks!$G:$G,$D135))</f>
        <v/>
      </c>
      <c r="I135" s="6" t="str">
        <f>IF($C135="","",COUNTIFS(Chicks!$F:$F,$C135,Chicks!$G:$G,$D135,Chicks!$I:$I,"No"))</f>
        <v/>
      </c>
      <c r="J135" s="6" t="str">
        <f>IF($C135="","",IFERROR(AVERAGEIFS(Chicks!$M:$M,Chicks!$F:$F,$C135,Chicks!$G:$G,$D135),""))</f>
        <v/>
      </c>
      <c r="K135" s="6" t="str">
        <f>IF($C135="","",SUMIFS(Chicks!$N:$N,Chicks!$F:$F,$C135,Chicks!$G:$G,$D135))</f>
        <v/>
      </c>
      <c r="L135" s="6" t="str">
        <f>IF($C135="","",SUMIFS(Chicks!$O:$O,Chicks!$F:$F,$C135,Chicks!$G:$G,$D135))</f>
        <v/>
      </c>
      <c r="M135" s="6" t="str">
        <f>IF($C135="","",SUMIFS(Chicks!$P:$P,Chicks!$F:$F,$C135,Chicks!$G:$G,$D135))</f>
        <v/>
      </c>
      <c r="N135" s="6" t="str">
        <f t="shared" si="0"/>
        <v/>
      </c>
      <c r="O135" s="6" t="e">
        <f t="shared" ca="1" si="1"/>
        <v>#NAME?</v>
      </c>
      <c r="P135" s="6" t="str">
        <f t="shared" si="2"/>
        <v/>
      </c>
    </row>
    <row r="136" spans="1:16" ht="14.25" customHeight="1" x14ac:dyDescent="0.3">
      <c r="A136" s="4"/>
      <c r="B136" s="4"/>
      <c r="C136" s="4" t="str">
        <f t="shared" si="3"/>
        <v/>
      </c>
      <c r="D136" s="4" t="str">
        <f t="shared" si="4"/>
        <v/>
      </c>
      <c r="E136" s="4"/>
      <c r="F136" s="6" t="str">
        <f>IF($C136="","",COUNTIFS(Chicks!$F:$F,$C136,Chicks!$G:$G,$D136))</f>
        <v/>
      </c>
      <c r="G136" s="6" t="str">
        <f>IF($C136="","",COUNTIFS(Chicks!$F:$F,$C136,Chicks!$G:$G,$D136,Chicks!$I:$I,"Yes"))</f>
        <v/>
      </c>
      <c r="H136" s="6" t="str">
        <f>IF($C136="","",SUMIFS(Chicks!$J:$J,Chicks!$F:$F,$C136,Chicks!$G:$G,$D136))</f>
        <v/>
      </c>
      <c r="I136" s="6" t="str">
        <f>IF($C136="","",COUNTIFS(Chicks!$F:$F,$C136,Chicks!$G:$G,$D136,Chicks!$I:$I,"No"))</f>
        <v/>
      </c>
      <c r="J136" s="6" t="str">
        <f>IF($C136="","",IFERROR(AVERAGEIFS(Chicks!$M:$M,Chicks!$F:$F,$C136,Chicks!$G:$G,$D136),""))</f>
        <v/>
      </c>
      <c r="K136" s="6" t="str">
        <f>IF($C136="","",SUMIFS(Chicks!$N:$N,Chicks!$F:$F,$C136,Chicks!$G:$G,$D136))</f>
        <v/>
      </c>
      <c r="L136" s="6" t="str">
        <f>IF($C136="","",SUMIFS(Chicks!$O:$O,Chicks!$F:$F,$C136,Chicks!$G:$G,$D136))</f>
        <v/>
      </c>
      <c r="M136" s="6" t="str">
        <f>IF($C136="","",SUMIFS(Chicks!$P:$P,Chicks!$F:$F,$C136,Chicks!$G:$G,$D136))</f>
        <v/>
      </c>
      <c r="N136" s="6" t="str">
        <f t="shared" si="0"/>
        <v/>
      </c>
      <c r="O136" s="6" t="e">
        <f t="shared" ca="1" si="1"/>
        <v>#NAME?</v>
      </c>
      <c r="P136" s="6" t="str">
        <f t="shared" si="2"/>
        <v/>
      </c>
    </row>
    <row r="137" spans="1:16" ht="14.25" customHeight="1" x14ac:dyDescent="0.3">
      <c r="A137" s="4"/>
      <c r="B137" s="4"/>
      <c r="C137" s="4" t="str">
        <f t="shared" si="3"/>
        <v/>
      </c>
      <c r="D137" s="4" t="str">
        <f t="shared" si="4"/>
        <v/>
      </c>
      <c r="E137" s="4"/>
      <c r="F137" s="6" t="str">
        <f>IF($C137="","",COUNTIFS(Chicks!$F:$F,$C137,Chicks!$G:$G,$D137))</f>
        <v/>
      </c>
      <c r="G137" s="6" t="str">
        <f>IF($C137="","",COUNTIFS(Chicks!$F:$F,$C137,Chicks!$G:$G,$D137,Chicks!$I:$I,"Yes"))</f>
        <v/>
      </c>
      <c r="H137" s="6" t="str">
        <f>IF($C137="","",SUMIFS(Chicks!$J:$J,Chicks!$F:$F,$C137,Chicks!$G:$G,$D137))</f>
        <v/>
      </c>
      <c r="I137" s="6" t="str">
        <f>IF($C137="","",COUNTIFS(Chicks!$F:$F,$C137,Chicks!$G:$G,$D137,Chicks!$I:$I,"No"))</f>
        <v/>
      </c>
      <c r="J137" s="6" t="str">
        <f>IF($C137="","",IFERROR(AVERAGEIFS(Chicks!$M:$M,Chicks!$F:$F,$C137,Chicks!$G:$G,$D137),""))</f>
        <v/>
      </c>
      <c r="K137" s="6" t="str">
        <f>IF($C137="","",SUMIFS(Chicks!$N:$N,Chicks!$F:$F,$C137,Chicks!$G:$G,$D137))</f>
        <v/>
      </c>
      <c r="L137" s="6" t="str">
        <f>IF($C137="","",SUMIFS(Chicks!$O:$O,Chicks!$F:$F,$C137,Chicks!$G:$G,$D137))</f>
        <v/>
      </c>
      <c r="M137" s="6" t="str">
        <f>IF($C137="","",SUMIFS(Chicks!$P:$P,Chicks!$F:$F,$C137,Chicks!$G:$G,$D137))</f>
        <v/>
      </c>
      <c r="N137" s="6" t="str">
        <f t="shared" si="0"/>
        <v/>
      </c>
      <c r="O137" s="6" t="e">
        <f t="shared" ca="1" si="1"/>
        <v>#NAME?</v>
      </c>
      <c r="P137" s="6" t="str">
        <f t="shared" si="2"/>
        <v/>
      </c>
    </row>
    <row r="138" spans="1:16" ht="14.25" customHeight="1" x14ac:dyDescent="0.3">
      <c r="A138" s="4"/>
      <c r="B138" s="4"/>
      <c r="C138" s="4" t="str">
        <f t="shared" si="3"/>
        <v/>
      </c>
      <c r="D138" s="4" t="str">
        <f t="shared" si="4"/>
        <v/>
      </c>
      <c r="E138" s="4"/>
      <c r="F138" s="6" t="str">
        <f>IF($C138="","",COUNTIFS(Chicks!$F:$F,$C138,Chicks!$G:$G,$D138))</f>
        <v/>
      </c>
      <c r="G138" s="6" t="str">
        <f>IF($C138="","",COUNTIFS(Chicks!$F:$F,$C138,Chicks!$G:$G,$D138,Chicks!$I:$I,"Yes"))</f>
        <v/>
      </c>
      <c r="H138" s="6" t="str">
        <f>IF($C138="","",SUMIFS(Chicks!$J:$J,Chicks!$F:$F,$C138,Chicks!$G:$G,$D138))</f>
        <v/>
      </c>
      <c r="I138" s="6" t="str">
        <f>IF($C138="","",COUNTIFS(Chicks!$F:$F,$C138,Chicks!$G:$G,$D138,Chicks!$I:$I,"No"))</f>
        <v/>
      </c>
      <c r="J138" s="6" t="str">
        <f>IF($C138="","",IFERROR(AVERAGEIFS(Chicks!$M:$M,Chicks!$F:$F,$C138,Chicks!$G:$G,$D138),""))</f>
        <v/>
      </c>
      <c r="K138" s="6" t="str">
        <f>IF($C138="","",SUMIFS(Chicks!$N:$N,Chicks!$F:$F,$C138,Chicks!$G:$G,$D138))</f>
        <v/>
      </c>
      <c r="L138" s="6" t="str">
        <f>IF($C138="","",SUMIFS(Chicks!$O:$O,Chicks!$F:$F,$C138,Chicks!$G:$G,$D138))</f>
        <v/>
      </c>
      <c r="M138" s="6" t="str">
        <f>IF($C138="","",SUMIFS(Chicks!$P:$P,Chicks!$F:$F,$C138,Chicks!$G:$G,$D138))</f>
        <v/>
      </c>
      <c r="N138" s="6" t="str">
        <f t="shared" si="0"/>
        <v/>
      </c>
      <c r="O138" s="6" t="e">
        <f t="shared" ca="1" si="1"/>
        <v>#NAME?</v>
      </c>
      <c r="P138" s="6" t="str">
        <f t="shared" si="2"/>
        <v/>
      </c>
    </row>
    <row r="139" spans="1:16" ht="14.25" customHeight="1" x14ac:dyDescent="0.3">
      <c r="A139" s="4"/>
      <c r="B139" s="4"/>
      <c r="C139" s="4" t="str">
        <f t="shared" si="3"/>
        <v/>
      </c>
      <c r="D139" s="4" t="str">
        <f t="shared" si="4"/>
        <v/>
      </c>
      <c r="E139" s="4"/>
      <c r="F139" s="6" t="str">
        <f>IF($C139="","",COUNTIFS(Chicks!$F:$F,$C139,Chicks!$G:$G,$D139))</f>
        <v/>
      </c>
      <c r="G139" s="6" t="str">
        <f>IF($C139="","",COUNTIFS(Chicks!$F:$F,$C139,Chicks!$G:$G,$D139,Chicks!$I:$I,"Yes"))</f>
        <v/>
      </c>
      <c r="H139" s="6" t="str">
        <f>IF($C139="","",SUMIFS(Chicks!$J:$J,Chicks!$F:$F,$C139,Chicks!$G:$G,$D139))</f>
        <v/>
      </c>
      <c r="I139" s="6" t="str">
        <f>IF($C139="","",COUNTIFS(Chicks!$F:$F,$C139,Chicks!$G:$G,$D139,Chicks!$I:$I,"No"))</f>
        <v/>
      </c>
      <c r="J139" s="6" t="str">
        <f>IF($C139="","",IFERROR(AVERAGEIFS(Chicks!$M:$M,Chicks!$F:$F,$C139,Chicks!$G:$G,$D139),""))</f>
        <v/>
      </c>
      <c r="K139" s="6" t="str">
        <f>IF($C139="","",SUMIFS(Chicks!$N:$N,Chicks!$F:$F,$C139,Chicks!$G:$G,$D139))</f>
        <v/>
      </c>
      <c r="L139" s="6" t="str">
        <f>IF($C139="","",SUMIFS(Chicks!$O:$O,Chicks!$F:$F,$C139,Chicks!$G:$G,$D139))</f>
        <v/>
      </c>
      <c r="M139" s="6" t="str">
        <f>IF($C139="","",SUMIFS(Chicks!$P:$P,Chicks!$F:$F,$C139,Chicks!$G:$G,$D139))</f>
        <v/>
      </c>
      <c r="N139" s="6" t="str">
        <f t="shared" si="0"/>
        <v/>
      </c>
      <c r="O139" s="6" t="e">
        <f t="shared" ca="1" si="1"/>
        <v>#NAME?</v>
      </c>
      <c r="P139" s="6" t="str">
        <f t="shared" si="2"/>
        <v/>
      </c>
    </row>
    <row r="140" spans="1:16" ht="14.25" customHeight="1" x14ac:dyDescent="0.3">
      <c r="A140" s="4"/>
      <c r="B140" s="4"/>
      <c r="C140" s="4" t="str">
        <f t="shared" si="3"/>
        <v/>
      </c>
      <c r="D140" s="4" t="str">
        <f t="shared" si="4"/>
        <v/>
      </c>
      <c r="E140" s="4"/>
      <c r="F140" s="6" t="str">
        <f>IF($C140="","",COUNTIFS(Chicks!$F:$F,$C140,Chicks!$G:$G,$D140))</f>
        <v/>
      </c>
      <c r="G140" s="6" t="str">
        <f>IF($C140="","",COUNTIFS(Chicks!$F:$F,$C140,Chicks!$G:$G,$D140,Chicks!$I:$I,"Yes"))</f>
        <v/>
      </c>
      <c r="H140" s="6" t="str">
        <f>IF($C140="","",SUMIFS(Chicks!$J:$J,Chicks!$F:$F,$C140,Chicks!$G:$G,$D140))</f>
        <v/>
      </c>
      <c r="I140" s="6" t="str">
        <f>IF($C140="","",COUNTIFS(Chicks!$F:$F,$C140,Chicks!$G:$G,$D140,Chicks!$I:$I,"No"))</f>
        <v/>
      </c>
      <c r="J140" s="6" t="str">
        <f>IF($C140="","",IFERROR(AVERAGEIFS(Chicks!$M:$M,Chicks!$F:$F,$C140,Chicks!$G:$G,$D140),""))</f>
        <v/>
      </c>
      <c r="K140" s="6" t="str">
        <f>IF($C140="","",SUMIFS(Chicks!$N:$N,Chicks!$F:$F,$C140,Chicks!$G:$G,$D140))</f>
        <v/>
      </c>
      <c r="L140" s="6" t="str">
        <f>IF($C140="","",SUMIFS(Chicks!$O:$O,Chicks!$F:$F,$C140,Chicks!$G:$G,$D140))</f>
        <v/>
      </c>
      <c r="M140" s="6" t="str">
        <f>IF($C140="","",SUMIFS(Chicks!$P:$P,Chicks!$F:$F,$C140,Chicks!$G:$G,$D140))</f>
        <v/>
      </c>
      <c r="N140" s="6" t="str">
        <f t="shared" si="0"/>
        <v/>
      </c>
      <c r="O140" s="6" t="e">
        <f t="shared" ca="1" si="1"/>
        <v>#NAME?</v>
      </c>
      <c r="P140" s="6" t="str">
        <f t="shared" si="2"/>
        <v/>
      </c>
    </row>
    <row r="141" spans="1:16" ht="14.25" customHeight="1" x14ac:dyDescent="0.3">
      <c r="A141" s="4"/>
      <c r="B141" s="4"/>
      <c r="C141" s="4" t="str">
        <f t="shared" si="3"/>
        <v/>
      </c>
      <c r="D141" s="4" t="str">
        <f t="shared" si="4"/>
        <v/>
      </c>
      <c r="E141" s="4"/>
      <c r="F141" s="6" t="str">
        <f>IF($C141="","",COUNTIFS(Chicks!$F:$F,$C141,Chicks!$G:$G,$D141))</f>
        <v/>
      </c>
      <c r="G141" s="6" t="str">
        <f>IF($C141="","",COUNTIFS(Chicks!$F:$F,$C141,Chicks!$G:$G,$D141,Chicks!$I:$I,"Yes"))</f>
        <v/>
      </c>
      <c r="H141" s="6" t="str">
        <f>IF($C141="","",SUMIFS(Chicks!$J:$J,Chicks!$F:$F,$C141,Chicks!$G:$G,$D141))</f>
        <v/>
      </c>
      <c r="I141" s="6" t="str">
        <f>IF($C141="","",COUNTIFS(Chicks!$F:$F,$C141,Chicks!$G:$G,$D141,Chicks!$I:$I,"No"))</f>
        <v/>
      </c>
      <c r="J141" s="6" t="str">
        <f>IF($C141="","",IFERROR(AVERAGEIFS(Chicks!$M:$M,Chicks!$F:$F,$C141,Chicks!$G:$G,$D141),""))</f>
        <v/>
      </c>
      <c r="K141" s="6" t="str">
        <f>IF($C141="","",SUMIFS(Chicks!$N:$N,Chicks!$F:$F,$C141,Chicks!$G:$G,$D141))</f>
        <v/>
      </c>
      <c r="L141" s="6" t="str">
        <f>IF($C141="","",SUMIFS(Chicks!$O:$O,Chicks!$F:$F,$C141,Chicks!$G:$G,$D141))</f>
        <v/>
      </c>
      <c r="M141" s="6" t="str">
        <f>IF($C141="","",SUMIFS(Chicks!$P:$P,Chicks!$F:$F,$C141,Chicks!$G:$G,$D141))</f>
        <v/>
      </c>
      <c r="N141" s="6" t="str">
        <f t="shared" si="0"/>
        <v/>
      </c>
      <c r="O141" s="6" t="e">
        <f t="shared" ca="1" si="1"/>
        <v>#NAME?</v>
      </c>
      <c r="P141" s="6" t="str">
        <f t="shared" si="2"/>
        <v/>
      </c>
    </row>
    <row r="142" spans="1:16" ht="14.25" customHeight="1" x14ac:dyDescent="0.3">
      <c r="A142" s="4"/>
      <c r="B142" s="4"/>
      <c r="C142" s="4" t="str">
        <f t="shared" si="3"/>
        <v/>
      </c>
      <c r="D142" s="4" t="str">
        <f t="shared" si="4"/>
        <v/>
      </c>
      <c r="E142" s="4"/>
      <c r="F142" s="6" t="str">
        <f>IF($C142="","",COUNTIFS(Chicks!$F:$F,$C142,Chicks!$G:$G,$D142))</f>
        <v/>
      </c>
      <c r="G142" s="6" t="str">
        <f>IF($C142="","",COUNTIFS(Chicks!$F:$F,$C142,Chicks!$G:$G,$D142,Chicks!$I:$I,"Yes"))</f>
        <v/>
      </c>
      <c r="H142" s="6" t="str">
        <f>IF($C142="","",SUMIFS(Chicks!$J:$J,Chicks!$F:$F,$C142,Chicks!$G:$G,$D142))</f>
        <v/>
      </c>
      <c r="I142" s="6" t="str">
        <f>IF($C142="","",COUNTIFS(Chicks!$F:$F,$C142,Chicks!$G:$G,$D142,Chicks!$I:$I,"No"))</f>
        <v/>
      </c>
      <c r="J142" s="6" t="str">
        <f>IF($C142="","",IFERROR(AVERAGEIFS(Chicks!$M:$M,Chicks!$F:$F,$C142,Chicks!$G:$G,$D142),""))</f>
        <v/>
      </c>
      <c r="K142" s="6" t="str">
        <f>IF($C142="","",SUMIFS(Chicks!$N:$N,Chicks!$F:$F,$C142,Chicks!$G:$G,$D142))</f>
        <v/>
      </c>
      <c r="L142" s="6" t="str">
        <f>IF($C142="","",SUMIFS(Chicks!$O:$O,Chicks!$F:$F,$C142,Chicks!$G:$G,$D142))</f>
        <v/>
      </c>
      <c r="M142" s="6" t="str">
        <f>IF($C142="","",SUMIFS(Chicks!$P:$P,Chicks!$F:$F,$C142,Chicks!$G:$G,$D142))</f>
        <v/>
      </c>
      <c r="N142" s="6" t="str">
        <f t="shared" si="0"/>
        <v/>
      </c>
      <c r="O142" s="6" t="e">
        <f t="shared" ca="1" si="1"/>
        <v>#NAME?</v>
      </c>
      <c r="P142" s="6" t="str">
        <f t="shared" si="2"/>
        <v/>
      </c>
    </row>
    <row r="143" spans="1:16" ht="14.25" customHeight="1" x14ac:dyDescent="0.3">
      <c r="A143" s="4"/>
      <c r="B143" s="4"/>
      <c r="C143" s="4" t="str">
        <f t="shared" si="3"/>
        <v/>
      </c>
      <c r="D143" s="4" t="str">
        <f t="shared" si="4"/>
        <v/>
      </c>
      <c r="E143" s="4"/>
      <c r="F143" s="6" t="str">
        <f>IF($C143="","",COUNTIFS(Chicks!$F:$F,$C143,Chicks!$G:$G,$D143))</f>
        <v/>
      </c>
      <c r="G143" s="6" t="str">
        <f>IF($C143="","",COUNTIFS(Chicks!$F:$F,$C143,Chicks!$G:$G,$D143,Chicks!$I:$I,"Yes"))</f>
        <v/>
      </c>
      <c r="H143" s="6" t="str">
        <f>IF($C143="","",SUMIFS(Chicks!$J:$J,Chicks!$F:$F,$C143,Chicks!$G:$G,$D143))</f>
        <v/>
      </c>
      <c r="I143" s="6" t="str">
        <f>IF($C143="","",COUNTIFS(Chicks!$F:$F,$C143,Chicks!$G:$G,$D143,Chicks!$I:$I,"No"))</f>
        <v/>
      </c>
      <c r="J143" s="6" t="str">
        <f>IF($C143="","",IFERROR(AVERAGEIFS(Chicks!$M:$M,Chicks!$F:$F,$C143,Chicks!$G:$G,$D143),""))</f>
        <v/>
      </c>
      <c r="K143" s="6" t="str">
        <f>IF($C143="","",SUMIFS(Chicks!$N:$N,Chicks!$F:$F,$C143,Chicks!$G:$G,$D143))</f>
        <v/>
      </c>
      <c r="L143" s="6" t="str">
        <f>IF($C143="","",SUMIFS(Chicks!$O:$O,Chicks!$F:$F,$C143,Chicks!$G:$G,$D143))</f>
        <v/>
      </c>
      <c r="M143" s="6" t="str">
        <f>IF($C143="","",SUMIFS(Chicks!$P:$P,Chicks!$F:$F,$C143,Chicks!$G:$G,$D143))</f>
        <v/>
      </c>
      <c r="N143" s="6" t="str">
        <f t="shared" si="0"/>
        <v/>
      </c>
      <c r="O143" s="6" t="e">
        <f t="shared" ca="1" si="1"/>
        <v>#NAME?</v>
      </c>
      <c r="P143" s="6" t="str">
        <f t="shared" si="2"/>
        <v/>
      </c>
    </row>
    <row r="144" spans="1:16" ht="14.25" customHeight="1" x14ac:dyDescent="0.3">
      <c r="A144" s="4"/>
      <c r="B144" s="4"/>
      <c r="C144" s="4" t="str">
        <f t="shared" si="3"/>
        <v/>
      </c>
      <c r="D144" s="4" t="str">
        <f t="shared" si="4"/>
        <v/>
      </c>
      <c r="E144" s="4"/>
      <c r="F144" s="6" t="str">
        <f>IF($C144="","",COUNTIFS(Chicks!$F:$F,$C144,Chicks!$G:$G,$D144))</f>
        <v/>
      </c>
      <c r="G144" s="6" t="str">
        <f>IF($C144="","",COUNTIFS(Chicks!$F:$F,$C144,Chicks!$G:$G,$D144,Chicks!$I:$I,"Yes"))</f>
        <v/>
      </c>
      <c r="H144" s="6" t="str">
        <f>IF($C144="","",SUMIFS(Chicks!$J:$J,Chicks!$F:$F,$C144,Chicks!$G:$G,$D144))</f>
        <v/>
      </c>
      <c r="I144" s="6" t="str">
        <f>IF($C144="","",COUNTIFS(Chicks!$F:$F,$C144,Chicks!$G:$G,$D144,Chicks!$I:$I,"No"))</f>
        <v/>
      </c>
      <c r="J144" s="6" t="str">
        <f>IF($C144="","",IFERROR(AVERAGEIFS(Chicks!$M:$M,Chicks!$F:$F,$C144,Chicks!$G:$G,$D144),""))</f>
        <v/>
      </c>
      <c r="K144" s="6" t="str">
        <f>IF($C144="","",SUMIFS(Chicks!$N:$N,Chicks!$F:$F,$C144,Chicks!$G:$G,$D144))</f>
        <v/>
      </c>
      <c r="L144" s="6" t="str">
        <f>IF($C144="","",SUMIFS(Chicks!$O:$O,Chicks!$F:$F,$C144,Chicks!$G:$G,$D144))</f>
        <v/>
      </c>
      <c r="M144" s="6" t="str">
        <f>IF($C144="","",SUMIFS(Chicks!$P:$P,Chicks!$F:$F,$C144,Chicks!$G:$G,$D144))</f>
        <v/>
      </c>
      <c r="N144" s="6" t="str">
        <f t="shared" si="0"/>
        <v/>
      </c>
      <c r="O144" s="6" t="e">
        <f t="shared" ca="1" si="1"/>
        <v>#NAME?</v>
      </c>
      <c r="P144" s="6" t="str">
        <f t="shared" si="2"/>
        <v/>
      </c>
    </row>
    <row r="145" spans="1:16" ht="14.25" customHeight="1" x14ac:dyDescent="0.3">
      <c r="A145" s="4"/>
      <c r="B145" s="4"/>
      <c r="C145" s="4" t="str">
        <f t="shared" si="3"/>
        <v/>
      </c>
      <c r="D145" s="4" t="str">
        <f t="shared" si="4"/>
        <v/>
      </c>
      <c r="E145" s="4"/>
      <c r="F145" s="6" t="str">
        <f>IF($C145="","",COUNTIFS(Chicks!$F:$F,$C145,Chicks!$G:$G,$D145))</f>
        <v/>
      </c>
      <c r="G145" s="6" t="str">
        <f>IF($C145="","",COUNTIFS(Chicks!$F:$F,$C145,Chicks!$G:$G,$D145,Chicks!$I:$I,"Yes"))</f>
        <v/>
      </c>
      <c r="H145" s="6" t="str">
        <f>IF($C145="","",SUMIFS(Chicks!$J:$J,Chicks!$F:$F,$C145,Chicks!$G:$G,$D145))</f>
        <v/>
      </c>
      <c r="I145" s="6" t="str">
        <f>IF($C145="","",COUNTIFS(Chicks!$F:$F,$C145,Chicks!$G:$G,$D145,Chicks!$I:$I,"No"))</f>
        <v/>
      </c>
      <c r="J145" s="6" t="str">
        <f>IF($C145="","",IFERROR(AVERAGEIFS(Chicks!$M:$M,Chicks!$F:$F,$C145,Chicks!$G:$G,$D145),""))</f>
        <v/>
      </c>
      <c r="K145" s="6" t="str">
        <f>IF($C145="","",SUMIFS(Chicks!$N:$N,Chicks!$F:$F,$C145,Chicks!$G:$G,$D145))</f>
        <v/>
      </c>
      <c r="L145" s="6" t="str">
        <f>IF($C145="","",SUMIFS(Chicks!$O:$O,Chicks!$F:$F,$C145,Chicks!$G:$G,$D145))</f>
        <v/>
      </c>
      <c r="M145" s="6" t="str">
        <f>IF($C145="","",SUMIFS(Chicks!$P:$P,Chicks!$F:$F,$C145,Chicks!$G:$G,$D145))</f>
        <v/>
      </c>
      <c r="N145" s="6" t="str">
        <f t="shared" si="0"/>
        <v/>
      </c>
      <c r="O145" s="6" t="e">
        <f t="shared" ca="1" si="1"/>
        <v>#NAME?</v>
      </c>
      <c r="P145" s="6" t="str">
        <f t="shared" si="2"/>
        <v/>
      </c>
    </row>
    <row r="146" spans="1:16" ht="14.25" customHeight="1" x14ac:dyDescent="0.3">
      <c r="A146" s="4"/>
      <c r="B146" s="4"/>
      <c r="C146" s="4" t="str">
        <f t="shared" si="3"/>
        <v/>
      </c>
      <c r="D146" s="4" t="str">
        <f t="shared" si="4"/>
        <v/>
      </c>
      <c r="E146" s="4"/>
      <c r="F146" s="6" t="str">
        <f>IF($C146="","",COUNTIFS(Chicks!$F:$F,$C146,Chicks!$G:$G,$D146))</f>
        <v/>
      </c>
      <c r="G146" s="6" t="str">
        <f>IF($C146="","",COUNTIFS(Chicks!$F:$F,$C146,Chicks!$G:$G,$D146,Chicks!$I:$I,"Yes"))</f>
        <v/>
      </c>
      <c r="H146" s="6" t="str">
        <f>IF($C146="","",SUMIFS(Chicks!$J:$J,Chicks!$F:$F,$C146,Chicks!$G:$G,$D146))</f>
        <v/>
      </c>
      <c r="I146" s="6" t="str">
        <f>IF($C146="","",COUNTIFS(Chicks!$F:$F,$C146,Chicks!$G:$G,$D146,Chicks!$I:$I,"No"))</f>
        <v/>
      </c>
      <c r="J146" s="6" t="str">
        <f>IF($C146="","",IFERROR(AVERAGEIFS(Chicks!$M:$M,Chicks!$F:$F,$C146,Chicks!$G:$G,$D146),""))</f>
        <v/>
      </c>
      <c r="K146" s="6" t="str">
        <f>IF($C146="","",SUMIFS(Chicks!$N:$N,Chicks!$F:$F,$C146,Chicks!$G:$G,$D146))</f>
        <v/>
      </c>
      <c r="L146" s="6" t="str">
        <f>IF($C146="","",SUMIFS(Chicks!$O:$O,Chicks!$F:$F,$C146,Chicks!$G:$G,$D146))</f>
        <v/>
      </c>
      <c r="M146" s="6" t="str">
        <f>IF($C146="","",SUMIFS(Chicks!$P:$P,Chicks!$F:$F,$C146,Chicks!$G:$G,$D146))</f>
        <v/>
      </c>
      <c r="N146" s="6" t="str">
        <f t="shared" si="0"/>
        <v/>
      </c>
      <c r="O146" s="6" t="e">
        <f t="shared" ca="1" si="1"/>
        <v>#NAME?</v>
      </c>
      <c r="P146" s="6" t="str">
        <f t="shared" si="2"/>
        <v/>
      </c>
    </row>
    <row r="147" spans="1:16" ht="14.25" customHeight="1" x14ac:dyDescent="0.3">
      <c r="A147" s="4"/>
      <c r="B147" s="4"/>
      <c r="C147" s="4" t="str">
        <f t="shared" si="3"/>
        <v/>
      </c>
      <c r="D147" s="4" t="str">
        <f t="shared" si="4"/>
        <v/>
      </c>
      <c r="E147" s="4"/>
      <c r="F147" s="6" t="str">
        <f>IF($C147="","",COUNTIFS(Chicks!$F:$F,$C147,Chicks!$G:$G,$D147))</f>
        <v/>
      </c>
      <c r="G147" s="6" t="str">
        <f>IF($C147="","",COUNTIFS(Chicks!$F:$F,$C147,Chicks!$G:$G,$D147,Chicks!$I:$I,"Yes"))</f>
        <v/>
      </c>
      <c r="H147" s="6" t="str">
        <f>IF($C147="","",SUMIFS(Chicks!$J:$J,Chicks!$F:$F,$C147,Chicks!$G:$G,$D147))</f>
        <v/>
      </c>
      <c r="I147" s="6" t="str">
        <f>IF($C147="","",COUNTIFS(Chicks!$F:$F,$C147,Chicks!$G:$G,$D147,Chicks!$I:$I,"No"))</f>
        <v/>
      </c>
      <c r="J147" s="6" t="str">
        <f>IF($C147="","",IFERROR(AVERAGEIFS(Chicks!$M:$M,Chicks!$F:$F,$C147,Chicks!$G:$G,$D147),""))</f>
        <v/>
      </c>
      <c r="K147" s="6" t="str">
        <f>IF($C147="","",SUMIFS(Chicks!$N:$N,Chicks!$F:$F,$C147,Chicks!$G:$G,$D147))</f>
        <v/>
      </c>
      <c r="L147" s="6" t="str">
        <f>IF($C147="","",SUMIFS(Chicks!$O:$O,Chicks!$F:$F,$C147,Chicks!$G:$G,$D147))</f>
        <v/>
      </c>
      <c r="M147" s="6" t="str">
        <f>IF($C147="","",SUMIFS(Chicks!$P:$P,Chicks!$F:$F,$C147,Chicks!$G:$G,$D147))</f>
        <v/>
      </c>
      <c r="N147" s="6" t="str">
        <f t="shared" si="0"/>
        <v/>
      </c>
      <c r="O147" s="6" t="e">
        <f t="shared" ca="1" si="1"/>
        <v>#NAME?</v>
      </c>
      <c r="P147" s="6" t="str">
        <f t="shared" si="2"/>
        <v/>
      </c>
    </row>
    <row r="148" spans="1:16" ht="14.25" customHeight="1" x14ac:dyDescent="0.3">
      <c r="A148" s="4"/>
      <c r="B148" s="4"/>
      <c r="C148" s="4" t="str">
        <f t="shared" si="3"/>
        <v/>
      </c>
      <c r="D148" s="4" t="str">
        <f t="shared" si="4"/>
        <v/>
      </c>
      <c r="E148" s="4"/>
      <c r="F148" s="6" t="str">
        <f>IF($C148="","",COUNTIFS(Chicks!$F:$F,$C148,Chicks!$G:$G,$D148))</f>
        <v/>
      </c>
      <c r="G148" s="6" t="str">
        <f>IF($C148="","",COUNTIFS(Chicks!$F:$F,$C148,Chicks!$G:$G,$D148,Chicks!$I:$I,"Yes"))</f>
        <v/>
      </c>
      <c r="H148" s="6" t="str">
        <f>IF($C148="","",SUMIFS(Chicks!$J:$J,Chicks!$F:$F,$C148,Chicks!$G:$G,$D148))</f>
        <v/>
      </c>
      <c r="I148" s="6" t="str">
        <f>IF($C148="","",COUNTIFS(Chicks!$F:$F,$C148,Chicks!$G:$G,$D148,Chicks!$I:$I,"No"))</f>
        <v/>
      </c>
      <c r="J148" s="6" t="str">
        <f>IF($C148="","",IFERROR(AVERAGEIFS(Chicks!$M:$M,Chicks!$F:$F,$C148,Chicks!$G:$G,$D148),""))</f>
        <v/>
      </c>
      <c r="K148" s="6" t="str">
        <f>IF($C148="","",SUMIFS(Chicks!$N:$N,Chicks!$F:$F,$C148,Chicks!$G:$G,$D148))</f>
        <v/>
      </c>
      <c r="L148" s="6" t="str">
        <f>IF($C148="","",SUMIFS(Chicks!$O:$O,Chicks!$F:$F,$C148,Chicks!$G:$G,$D148))</f>
        <v/>
      </c>
      <c r="M148" s="6" t="str">
        <f>IF($C148="","",SUMIFS(Chicks!$P:$P,Chicks!$F:$F,$C148,Chicks!$G:$G,$D148))</f>
        <v/>
      </c>
      <c r="N148" s="6" t="str">
        <f t="shared" si="0"/>
        <v/>
      </c>
      <c r="O148" s="6" t="e">
        <f t="shared" ca="1" si="1"/>
        <v>#NAME?</v>
      </c>
      <c r="P148" s="6" t="str">
        <f t="shared" si="2"/>
        <v/>
      </c>
    </row>
    <row r="149" spans="1:16" ht="14.25" customHeight="1" x14ac:dyDescent="0.3">
      <c r="A149" s="4"/>
      <c r="B149" s="4"/>
      <c r="C149" s="4" t="str">
        <f t="shared" si="3"/>
        <v/>
      </c>
      <c r="D149" s="4" t="str">
        <f t="shared" si="4"/>
        <v/>
      </c>
      <c r="E149" s="4"/>
      <c r="F149" s="6" t="str">
        <f>IF($C149="","",COUNTIFS(Chicks!$F:$F,$C149,Chicks!$G:$G,$D149))</f>
        <v/>
      </c>
      <c r="G149" s="6" t="str">
        <f>IF($C149="","",COUNTIFS(Chicks!$F:$F,$C149,Chicks!$G:$G,$D149,Chicks!$I:$I,"Yes"))</f>
        <v/>
      </c>
      <c r="H149" s="6" t="str">
        <f>IF($C149="","",SUMIFS(Chicks!$J:$J,Chicks!$F:$F,$C149,Chicks!$G:$G,$D149))</f>
        <v/>
      </c>
      <c r="I149" s="6" t="str">
        <f>IF($C149="","",COUNTIFS(Chicks!$F:$F,$C149,Chicks!$G:$G,$D149,Chicks!$I:$I,"No"))</f>
        <v/>
      </c>
      <c r="J149" s="6" t="str">
        <f>IF($C149="","",IFERROR(AVERAGEIFS(Chicks!$M:$M,Chicks!$F:$F,$C149,Chicks!$G:$G,$D149),""))</f>
        <v/>
      </c>
      <c r="K149" s="6" t="str">
        <f>IF($C149="","",SUMIFS(Chicks!$N:$N,Chicks!$F:$F,$C149,Chicks!$G:$G,$D149))</f>
        <v/>
      </c>
      <c r="L149" s="6" t="str">
        <f>IF($C149="","",SUMIFS(Chicks!$O:$O,Chicks!$F:$F,$C149,Chicks!$G:$G,$D149))</f>
        <v/>
      </c>
      <c r="M149" s="6" t="str">
        <f>IF($C149="","",SUMIFS(Chicks!$P:$P,Chicks!$F:$F,$C149,Chicks!$G:$G,$D149))</f>
        <v/>
      </c>
      <c r="N149" s="6" t="str">
        <f t="shared" si="0"/>
        <v/>
      </c>
      <c r="O149" s="6" t="e">
        <f t="shared" ca="1" si="1"/>
        <v>#NAME?</v>
      </c>
      <c r="P149" s="6" t="str">
        <f t="shared" si="2"/>
        <v/>
      </c>
    </row>
    <row r="150" spans="1:16" ht="14.25" customHeight="1" x14ac:dyDescent="0.3">
      <c r="A150" s="4"/>
      <c r="B150" s="4"/>
      <c r="C150" s="4" t="str">
        <f t="shared" si="3"/>
        <v/>
      </c>
      <c r="D150" s="4" t="str">
        <f t="shared" si="4"/>
        <v/>
      </c>
      <c r="E150" s="4"/>
      <c r="F150" s="6" t="str">
        <f>IF($C150="","",COUNTIFS(Chicks!$F:$F,$C150,Chicks!$G:$G,$D150))</f>
        <v/>
      </c>
      <c r="G150" s="6" t="str">
        <f>IF($C150="","",COUNTIFS(Chicks!$F:$F,$C150,Chicks!$G:$G,$D150,Chicks!$I:$I,"Yes"))</f>
        <v/>
      </c>
      <c r="H150" s="6" t="str">
        <f>IF($C150="","",SUMIFS(Chicks!$J:$J,Chicks!$F:$F,$C150,Chicks!$G:$G,$D150))</f>
        <v/>
      </c>
      <c r="I150" s="6" t="str">
        <f>IF($C150="","",COUNTIFS(Chicks!$F:$F,$C150,Chicks!$G:$G,$D150,Chicks!$I:$I,"No"))</f>
        <v/>
      </c>
      <c r="J150" s="6" t="str">
        <f>IF($C150="","",IFERROR(AVERAGEIFS(Chicks!$M:$M,Chicks!$F:$F,$C150,Chicks!$G:$G,$D150),""))</f>
        <v/>
      </c>
      <c r="K150" s="6" t="str">
        <f>IF($C150="","",SUMIFS(Chicks!$N:$N,Chicks!$F:$F,$C150,Chicks!$G:$G,$D150))</f>
        <v/>
      </c>
      <c r="L150" s="6" t="str">
        <f>IF($C150="","",SUMIFS(Chicks!$O:$O,Chicks!$F:$F,$C150,Chicks!$G:$G,$D150))</f>
        <v/>
      </c>
      <c r="M150" s="6" t="str">
        <f>IF($C150="","",SUMIFS(Chicks!$P:$P,Chicks!$F:$F,$C150,Chicks!$G:$G,$D150))</f>
        <v/>
      </c>
      <c r="N150" s="6" t="str">
        <f t="shared" si="0"/>
        <v/>
      </c>
      <c r="O150" s="6" t="e">
        <f t="shared" ca="1" si="1"/>
        <v>#NAME?</v>
      </c>
      <c r="P150" s="6" t="str">
        <f t="shared" si="2"/>
        <v/>
      </c>
    </row>
    <row r="151" spans="1:16" ht="14.25" customHeight="1" x14ac:dyDescent="0.3">
      <c r="A151" s="4"/>
      <c r="B151" s="4"/>
      <c r="C151" s="4" t="str">
        <f t="shared" si="3"/>
        <v/>
      </c>
      <c r="D151" s="4" t="str">
        <f t="shared" si="4"/>
        <v/>
      </c>
      <c r="E151" s="4"/>
      <c r="F151" s="6" t="str">
        <f>IF($C151="","",COUNTIFS(Chicks!$F:$F,$C151,Chicks!$G:$G,$D151))</f>
        <v/>
      </c>
      <c r="G151" s="6" t="str">
        <f>IF($C151="","",COUNTIFS(Chicks!$F:$F,$C151,Chicks!$G:$G,$D151,Chicks!$I:$I,"Yes"))</f>
        <v/>
      </c>
      <c r="H151" s="6" t="str">
        <f>IF($C151="","",SUMIFS(Chicks!$J:$J,Chicks!$F:$F,$C151,Chicks!$G:$G,$D151))</f>
        <v/>
      </c>
      <c r="I151" s="6" t="str">
        <f>IF($C151="","",COUNTIFS(Chicks!$F:$F,$C151,Chicks!$G:$G,$D151,Chicks!$I:$I,"No"))</f>
        <v/>
      </c>
      <c r="J151" s="6" t="str">
        <f>IF($C151="","",IFERROR(AVERAGEIFS(Chicks!$M:$M,Chicks!$F:$F,$C151,Chicks!$G:$G,$D151),""))</f>
        <v/>
      </c>
      <c r="K151" s="6" t="str">
        <f>IF($C151="","",SUMIFS(Chicks!$N:$N,Chicks!$F:$F,$C151,Chicks!$G:$G,$D151))</f>
        <v/>
      </c>
      <c r="L151" s="6" t="str">
        <f>IF($C151="","",SUMIFS(Chicks!$O:$O,Chicks!$F:$F,$C151,Chicks!$G:$G,$D151))</f>
        <v/>
      </c>
      <c r="M151" s="6" t="str">
        <f>IF($C151="","",SUMIFS(Chicks!$P:$P,Chicks!$F:$F,$C151,Chicks!$G:$G,$D151))</f>
        <v/>
      </c>
      <c r="N151" s="6" t="str">
        <f t="shared" si="0"/>
        <v/>
      </c>
      <c r="O151" s="6" t="e">
        <f t="shared" ca="1" si="1"/>
        <v>#NAME?</v>
      </c>
      <c r="P151" s="6" t="str">
        <f t="shared" si="2"/>
        <v/>
      </c>
    </row>
    <row r="152" spans="1:16" ht="14.25" customHeight="1" x14ac:dyDescent="0.3">
      <c r="A152" s="4"/>
      <c r="B152" s="4"/>
      <c r="C152" s="4" t="str">
        <f t="shared" si="3"/>
        <v/>
      </c>
      <c r="D152" s="4" t="str">
        <f t="shared" si="4"/>
        <v/>
      </c>
      <c r="E152" s="4"/>
      <c r="F152" s="6" t="str">
        <f>IF($C152="","",COUNTIFS(Chicks!$F:$F,$C152,Chicks!$G:$G,$D152))</f>
        <v/>
      </c>
      <c r="G152" s="6" t="str">
        <f>IF($C152="","",COUNTIFS(Chicks!$F:$F,$C152,Chicks!$G:$G,$D152,Chicks!$I:$I,"Yes"))</f>
        <v/>
      </c>
      <c r="H152" s="6" t="str">
        <f>IF($C152="","",SUMIFS(Chicks!$J:$J,Chicks!$F:$F,$C152,Chicks!$G:$G,$D152))</f>
        <v/>
      </c>
      <c r="I152" s="6" t="str">
        <f>IF($C152="","",COUNTIFS(Chicks!$F:$F,$C152,Chicks!$G:$G,$D152,Chicks!$I:$I,"No"))</f>
        <v/>
      </c>
      <c r="J152" s="6" t="str">
        <f>IF($C152="","",IFERROR(AVERAGEIFS(Chicks!$M:$M,Chicks!$F:$F,$C152,Chicks!$G:$G,$D152),""))</f>
        <v/>
      </c>
      <c r="K152" s="6" t="str">
        <f>IF($C152="","",SUMIFS(Chicks!$N:$N,Chicks!$F:$F,$C152,Chicks!$G:$G,$D152))</f>
        <v/>
      </c>
      <c r="L152" s="6" t="str">
        <f>IF($C152="","",SUMIFS(Chicks!$O:$O,Chicks!$F:$F,$C152,Chicks!$G:$G,$D152))</f>
        <v/>
      </c>
      <c r="M152" s="6" t="str">
        <f>IF($C152="","",SUMIFS(Chicks!$P:$P,Chicks!$F:$F,$C152,Chicks!$G:$G,$D152))</f>
        <v/>
      </c>
      <c r="N152" s="6" t="str">
        <f t="shared" si="0"/>
        <v/>
      </c>
      <c r="O152" s="6" t="e">
        <f t="shared" ca="1" si="1"/>
        <v>#NAME?</v>
      </c>
      <c r="P152" s="6" t="str">
        <f t="shared" si="2"/>
        <v/>
      </c>
    </row>
    <row r="153" spans="1:16" ht="14.25" customHeight="1" x14ac:dyDescent="0.3">
      <c r="A153" s="4"/>
      <c r="B153" s="4"/>
      <c r="C153" s="4" t="str">
        <f t="shared" si="3"/>
        <v/>
      </c>
      <c r="D153" s="4" t="str">
        <f t="shared" si="4"/>
        <v/>
      </c>
      <c r="E153" s="4"/>
      <c r="F153" s="6" t="str">
        <f>IF($C153="","",COUNTIFS(Chicks!$F:$F,$C153,Chicks!$G:$G,$D153))</f>
        <v/>
      </c>
      <c r="G153" s="6" t="str">
        <f>IF($C153="","",COUNTIFS(Chicks!$F:$F,$C153,Chicks!$G:$G,$D153,Chicks!$I:$I,"Yes"))</f>
        <v/>
      </c>
      <c r="H153" s="6" t="str">
        <f>IF($C153="","",SUMIFS(Chicks!$J:$J,Chicks!$F:$F,$C153,Chicks!$G:$G,$D153))</f>
        <v/>
      </c>
      <c r="I153" s="6" t="str">
        <f>IF($C153="","",COUNTIFS(Chicks!$F:$F,$C153,Chicks!$G:$G,$D153,Chicks!$I:$I,"No"))</f>
        <v/>
      </c>
      <c r="J153" s="6" t="str">
        <f>IF($C153="","",IFERROR(AVERAGEIFS(Chicks!$M:$M,Chicks!$F:$F,$C153,Chicks!$G:$G,$D153),""))</f>
        <v/>
      </c>
      <c r="K153" s="6" t="str">
        <f>IF($C153="","",SUMIFS(Chicks!$N:$N,Chicks!$F:$F,$C153,Chicks!$G:$G,$D153))</f>
        <v/>
      </c>
      <c r="L153" s="6" t="str">
        <f>IF($C153="","",SUMIFS(Chicks!$O:$O,Chicks!$F:$F,$C153,Chicks!$G:$G,$D153))</f>
        <v/>
      </c>
      <c r="M153" s="6" t="str">
        <f>IF($C153="","",SUMIFS(Chicks!$P:$P,Chicks!$F:$F,$C153,Chicks!$G:$G,$D153))</f>
        <v/>
      </c>
      <c r="N153" s="6" t="str">
        <f t="shared" si="0"/>
        <v/>
      </c>
      <c r="O153" s="6" t="e">
        <f t="shared" ca="1" si="1"/>
        <v>#NAME?</v>
      </c>
      <c r="P153" s="6" t="str">
        <f t="shared" si="2"/>
        <v/>
      </c>
    </row>
    <row r="154" spans="1:16" ht="14.25" customHeight="1" x14ac:dyDescent="0.3">
      <c r="A154" s="4"/>
      <c r="B154" s="4"/>
      <c r="C154" s="4" t="str">
        <f t="shared" si="3"/>
        <v/>
      </c>
      <c r="D154" s="4" t="str">
        <f t="shared" si="4"/>
        <v/>
      </c>
      <c r="E154" s="4"/>
      <c r="F154" s="6" t="str">
        <f>IF($C154="","",COUNTIFS(Chicks!$F:$F,$C154,Chicks!$G:$G,$D154))</f>
        <v/>
      </c>
      <c r="G154" s="6" t="str">
        <f>IF($C154="","",COUNTIFS(Chicks!$F:$F,$C154,Chicks!$G:$G,$D154,Chicks!$I:$I,"Yes"))</f>
        <v/>
      </c>
      <c r="H154" s="6" t="str">
        <f>IF($C154="","",SUMIFS(Chicks!$J:$J,Chicks!$F:$F,$C154,Chicks!$G:$G,$D154))</f>
        <v/>
      </c>
      <c r="I154" s="6" t="str">
        <f>IF($C154="","",COUNTIFS(Chicks!$F:$F,$C154,Chicks!$G:$G,$D154,Chicks!$I:$I,"No"))</f>
        <v/>
      </c>
      <c r="J154" s="6" t="str">
        <f>IF($C154="","",IFERROR(AVERAGEIFS(Chicks!$M:$M,Chicks!$F:$F,$C154,Chicks!$G:$G,$D154),""))</f>
        <v/>
      </c>
      <c r="K154" s="6" t="str">
        <f>IF($C154="","",SUMIFS(Chicks!$N:$N,Chicks!$F:$F,$C154,Chicks!$G:$G,$D154))</f>
        <v/>
      </c>
      <c r="L154" s="6" t="str">
        <f>IF($C154="","",SUMIFS(Chicks!$O:$O,Chicks!$F:$F,$C154,Chicks!$G:$G,$D154))</f>
        <v/>
      </c>
      <c r="M154" s="6" t="str">
        <f>IF($C154="","",SUMIFS(Chicks!$P:$P,Chicks!$F:$F,$C154,Chicks!$G:$G,$D154))</f>
        <v/>
      </c>
      <c r="N154" s="6" t="str">
        <f t="shared" si="0"/>
        <v/>
      </c>
      <c r="O154" s="6" t="e">
        <f t="shared" ca="1" si="1"/>
        <v>#NAME?</v>
      </c>
      <c r="P154" s="6" t="str">
        <f t="shared" si="2"/>
        <v/>
      </c>
    </row>
    <row r="155" spans="1:16" ht="14.25" customHeight="1" x14ac:dyDescent="0.3">
      <c r="A155" s="4"/>
      <c r="B155" s="4"/>
      <c r="C155" s="4" t="str">
        <f t="shared" si="3"/>
        <v/>
      </c>
      <c r="D155" s="4" t="str">
        <f t="shared" si="4"/>
        <v/>
      </c>
      <c r="E155" s="4"/>
      <c r="F155" s="6" t="str">
        <f>IF($C155="","",COUNTIFS(Chicks!$F:$F,$C155,Chicks!$G:$G,$D155))</f>
        <v/>
      </c>
      <c r="G155" s="6" t="str">
        <f>IF($C155="","",COUNTIFS(Chicks!$F:$F,$C155,Chicks!$G:$G,$D155,Chicks!$I:$I,"Yes"))</f>
        <v/>
      </c>
      <c r="H155" s="6" t="str">
        <f>IF($C155="","",SUMIFS(Chicks!$J:$J,Chicks!$F:$F,$C155,Chicks!$G:$G,$D155))</f>
        <v/>
      </c>
      <c r="I155" s="6" t="str">
        <f>IF($C155="","",COUNTIFS(Chicks!$F:$F,$C155,Chicks!$G:$G,$D155,Chicks!$I:$I,"No"))</f>
        <v/>
      </c>
      <c r="J155" s="6" t="str">
        <f>IF($C155="","",IFERROR(AVERAGEIFS(Chicks!$M:$M,Chicks!$F:$F,$C155,Chicks!$G:$G,$D155),""))</f>
        <v/>
      </c>
      <c r="K155" s="6" t="str">
        <f>IF($C155="","",SUMIFS(Chicks!$N:$N,Chicks!$F:$F,$C155,Chicks!$G:$G,$D155))</f>
        <v/>
      </c>
      <c r="L155" s="6" t="str">
        <f>IF($C155="","",SUMIFS(Chicks!$O:$O,Chicks!$F:$F,$C155,Chicks!$G:$G,$D155))</f>
        <v/>
      </c>
      <c r="M155" s="6" t="str">
        <f>IF($C155="","",SUMIFS(Chicks!$P:$P,Chicks!$F:$F,$C155,Chicks!$G:$G,$D155))</f>
        <v/>
      </c>
      <c r="N155" s="6" t="str">
        <f t="shared" si="0"/>
        <v/>
      </c>
      <c r="O155" s="6" t="e">
        <f t="shared" ca="1" si="1"/>
        <v>#NAME?</v>
      </c>
      <c r="P155" s="6" t="str">
        <f t="shared" si="2"/>
        <v/>
      </c>
    </row>
    <row r="156" spans="1:16" ht="14.25" customHeight="1" x14ac:dyDescent="0.3">
      <c r="A156" s="4"/>
      <c r="B156" s="4"/>
      <c r="C156" s="4" t="str">
        <f t="shared" si="3"/>
        <v/>
      </c>
      <c r="D156" s="4" t="str">
        <f t="shared" si="4"/>
        <v/>
      </c>
      <c r="E156" s="4"/>
      <c r="F156" s="6" t="str">
        <f>IF($C156="","",COUNTIFS(Chicks!$F:$F,$C156,Chicks!$G:$G,$D156))</f>
        <v/>
      </c>
      <c r="G156" s="6" t="str">
        <f>IF($C156="","",COUNTIFS(Chicks!$F:$F,$C156,Chicks!$G:$G,$D156,Chicks!$I:$I,"Yes"))</f>
        <v/>
      </c>
      <c r="H156" s="6" t="str">
        <f>IF($C156="","",SUMIFS(Chicks!$J:$J,Chicks!$F:$F,$C156,Chicks!$G:$G,$D156))</f>
        <v/>
      </c>
      <c r="I156" s="6" t="str">
        <f>IF($C156="","",COUNTIFS(Chicks!$F:$F,$C156,Chicks!$G:$G,$D156,Chicks!$I:$I,"No"))</f>
        <v/>
      </c>
      <c r="J156" s="6" t="str">
        <f>IF($C156="","",IFERROR(AVERAGEIFS(Chicks!$M:$M,Chicks!$F:$F,$C156,Chicks!$G:$G,$D156),""))</f>
        <v/>
      </c>
      <c r="K156" s="6" t="str">
        <f>IF($C156="","",SUMIFS(Chicks!$N:$N,Chicks!$F:$F,$C156,Chicks!$G:$G,$D156))</f>
        <v/>
      </c>
      <c r="L156" s="6" t="str">
        <f>IF($C156="","",SUMIFS(Chicks!$O:$O,Chicks!$F:$F,$C156,Chicks!$G:$G,$D156))</f>
        <v/>
      </c>
      <c r="M156" s="6" t="str">
        <f>IF($C156="","",SUMIFS(Chicks!$P:$P,Chicks!$F:$F,$C156,Chicks!$G:$G,$D156))</f>
        <v/>
      </c>
      <c r="N156" s="6" t="str">
        <f t="shared" si="0"/>
        <v/>
      </c>
      <c r="O156" s="6" t="e">
        <f t="shared" ca="1" si="1"/>
        <v>#NAME?</v>
      </c>
      <c r="P156" s="6" t="str">
        <f t="shared" si="2"/>
        <v/>
      </c>
    </row>
    <row r="157" spans="1:16" ht="14.25" customHeight="1" x14ac:dyDescent="0.3">
      <c r="A157" s="4"/>
      <c r="B157" s="4"/>
      <c r="C157" s="4" t="str">
        <f t="shared" si="3"/>
        <v/>
      </c>
      <c r="D157" s="4" t="str">
        <f t="shared" si="4"/>
        <v/>
      </c>
      <c r="E157" s="4"/>
      <c r="F157" s="6" t="str">
        <f>IF($C157="","",COUNTIFS(Chicks!$F:$F,$C157,Chicks!$G:$G,$D157))</f>
        <v/>
      </c>
      <c r="G157" s="6" t="str">
        <f>IF($C157="","",COUNTIFS(Chicks!$F:$F,$C157,Chicks!$G:$G,$D157,Chicks!$I:$I,"Yes"))</f>
        <v/>
      </c>
      <c r="H157" s="6" t="str">
        <f>IF($C157="","",SUMIFS(Chicks!$J:$J,Chicks!$F:$F,$C157,Chicks!$G:$G,$D157))</f>
        <v/>
      </c>
      <c r="I157" s="6" t="str">
        <f>IF($C157="","",COUNTIFS(Chicks!$F:$F,$C157,Chicks!$G:$G,$D157,Chicks!$I:$I,"No"))</f>
        <v/>
      </c>
      <c r="J157" s="6" t="str">
        <f>IF($C157="","",IFERROR(AVERAGEIFS(Chicks!$M:$M,Chicks!$F:$F,$C157,Chicks!$G:$G,$D157),""))</f>
        <v/>
      </c>
      <c r="K157" s="6" t="str">
        <f>IF($C157="","",SUMIFS(Chicks!$N:$N,Chicks!$F:$F,$C157,Chicks!$G:$G,$D157))</f>
        <v/>
      </c>
      <c r="L157" s="6" t="str">
        <f>IF($C157="","",SUMIFS(Chicks!$O:$O,Chicks!$F:$F,$C157,Chicks!$G:$G,$D157))</f>
        <v/>
      </c>
      <c r="M157" s="6" t="str">
        <f>IF($C157="","",SUMIFS(Chicks!$P:$P,Chicks!$F:$F,$C157,Chicks!$G:$G,$D157))</f>
        <v/>
      </c>
      <c r="N157" s="6" t="str">
        <f t="shared" si="0"/>
        <v/>
      </c>
      <c r="O157" s="6" t="e">
        <f t="shared" ca="1" si="1"/>
        <v>#NAME?</v>
      </c>
      <c r="P157" s="6" t="str">
        <f t="shared" si="2"/>
        <v/>
      </c>
    </row>
    <row r="158" spans="1:16" ht="14.25" customHeight="1" x14ac:dyDescent="0.3">
      <c r="A158" s="4"/>
      <c r="B158" s="4"/>
      <c r="C158" s="4" t="str">
        <f t="shared" si="3"/>
        <v/>
      </c>
      <c r="D158" s="4" t="str">
        <f t="shared" si="4"/>
        <v/>
      </c>
      <c r="E158" s="4"/>
      <c r="F158" s="6" t="str">
        <f>IF($C158="","",COUNTIFS(Chicks!$F:$F,$C158,Chicks!$G:$G,$D158))</f>
        <v/>
      </c>
      <c r="G158" s="6" t="str">
        <f>IF($C158="","",COUNTIFS(Chicks!$F:$F,$C158,Chicks!$G:$G,$D158,Chicks!$I:$I,"Yes"))</f>
        <v/>
      </c>
      <c r="H158" s="6" t="str">
        <f>IF($C158="","",SUMIFS(Chicks!$J:$J,Chicks!$F:$F,$C158,Chicks!$G:$G,$D158))</f>
        <v/>
      </c>
      <c r="I158" s="6" t="str">
        <f>IF($C158="","",COUNTIFS(Chicks!$F:$F,$C158,Chicks!$G:$G,$D158,Chicks!$I:$I,"No"))</f>
        <v/>
      </c>
      <c r="J158" s="6" t="str">
        <f>IF($C158="","",IFERROR(AVERAGEIFS(Chicks!$M:$M,Chicks!$F:$F,$C158,Chicks!$G:$G,$D158),""))</f>
        <v/>
      </c>
      <c r="K158" s="6" t="str">
        <f>IF($C158="","",SUMIFS(Chicks!$N:$N,Chicks!$F:$F,$C158,Chicks!$G:$G,$D158))</f>
        <v/>
      </c>
      <c r="L158" s="6" t="str">
        <f>IF($C158="","",SUMIFS(Chicks!$O:$O,Chicks!$F:$F,$C158,Chicks!$G:$G,$D158))</f>
        <v/>
      </c>
      <c r="M158" s="6" t="str">
        <f>IF($C158="","",SUMIFS(Chicks!$P:$P,Chicks!$F:$F,$C158,Chicks!$G:$G,$D158))</f>
        <v/>
      </c>
      <c r="N158" s="6" t="str">
        <f t="shared" si="0"/>
        <v/>
      </c>
      <c r="O158" s="6" t="e">
        <f t="shared" ca="1" si="1"/>
        <v>#NAME?</v>
      </c>
      <c r="P158" s="6" t="str">
        <f t="shared" si="2"/>
        <v/>
      </c>
    </row>
    <row r="159" spans="1:16" ht="14.25" customHeight="1" x14ac:dyDescent="0.3">
      <c r="A159" s="4"/>
      <c r="B159" s="4"/>
      <c r="C159" s="4" t="str">
        <f t="shared" si="3"/>
        <v/>
      </c>
      <c r="D159" s="4" t="str">
        <f t="shared" si="4"/>
        <v/>
      </c>
      <c r="E159" s="4"/>
      <c r="F159" s="6" t="str">
        <f>IF($C159="","",COUNTIFS(Chicks!$F:$F,$C159,Chicks!$G:$G,$D159))</f>
        <v/>
      </c>
      <c r="G159" s="6" t="str">
        <f>IF($C159="","",COUNTIFS(Chicks!$F:$F,$C159,Chicks!$G:$G,$D159,Chicks!$I:$I,"Yes"))</f>
        <v/>
      </c>
      <c r="H159" s="6" t="str">
        <f>IF($C159="","",SUMIFS(Chicks!$J:$J,Chicks!$F:$F,$C159,Chicks!$G:$G,$D159))</f>
        <v/>
      </c>
      <c r="I159" s="6" t="str">
        <f>IF($C159="","",COUNTIFS(Chicks!$F:$F,$C159,Chicks!$G:$G,$D159,Chicks!$I:$I,"No"))</f>
        <v/>
      </c>
      <c r="J159" s="6" t="str">
        <f>IF($C159="","",IFERROR(AVERAGEIFS(Chicks!$M:$M,Chicks!$F:$F,$C159,Chicks!$G:$G,$D159),""))</f>
        <v/>
      </c>
      <c r="K159" s="6" t="str">
        <f>IF($C159="","",SUMIFS(Chicks!$N:$N,Chicks!$F:$F,$C159,Chicks!$G:$G,$D159))</f>
        <v/>
      </c>
      <c r="L159" s="6" t="str">
        <f>IF($C159="","",SUMIFS(Chicks!$O:$O,Chicks!$F:$F,$C159,Chicks!$G:$G,$D159))</f>
        <v/>
      </c>
      <c r="M159" s="6" t="str">
        <f>IF($C159="","",SUMIFS(Chicks!$P:$P,Chicks!$F:$F,$C159,Chicks!$G:$G,$D159))</f>
        <v/>
      </c>
      <c r="N159" s="6" t="str">
        <f t="shared" si="0"/>
        <v/>
      </c>
      <c r="O159" s="6" t="e">
        <f t="shared" ca="1" si="1"/>
        <v>#NAME?</v>
      </c>
      <c r="P159" s="6" t="str">
        <f t="shared" si="2"/>
        <v/>
      </c>
    </row>
    <row r="160" spans="1:16" ht="14.25" customHeight="1" x14ac:dyDescent="0.3">
      <c r="A160" s="4"/>
      <c r="B160" s="4"/>
      <c r="C160" s="4" t="str">
        <f t="shared" si="3"/>
        <v/>
      </c>
      <c r="D160" s="4" t="str">
        <f t="shared" si="4"/>
        <v/>
      </c>
      <c r="E160" s="4"/>
      <c r="F160" s="6" t="str">
        <f>IF($C160="","",COUNTIFS(Chicks!$F:$F,$C160,Chicks!$G:$G,$D160))</f>
        <v/>
      </c>
      <c r="G160" s="6" t="str">
        <f>IF($C160="","",COUNTIFS(Chicks!$F:$F,$C160,Chicks!$G:$G,$D160,Chicks!$I:$I,"Yes"))</f>
        <v/>
      </c>
      <c r="H160" s="6" t="str">
        <f>IF($C160="","",SUMIFS(Chicks!$J:$J,Chicks!$F:$F,$C160,Chicks!$G:$G,$D160))</f>
        <v/>
      </c>
      <c r="I160" s="6" t="str">
        <f>IF($C160="","",COUNTIFS(Chicks!$F:$F,$C160,Chicks!$G:$G,$D160,Chicks!$I:$I,"No"))</f>
        <v/>
      </c>
      <c r="J160" s="6" t="str">
        <f>IF($C160="","",IFERROR(AVERAGEIFS(Chicks!$M:$M,Chicks!$F:$F,$C160,Chicks!$G:$G,$D160),""))</f>
        <v/>
      </c>
      <c r="K160" s="6" t="str">
        <f>IF($C160="","",SUMIFS(Chicks!$N:$N,Chicks!$F:$F,$C160,Chicks!$G:$G,$D160))</f>
        <v/>
      </c>
      <c r="L160" s="6" t="str">
        <f>IF($C160="","",SUMIFS(Chicks!$O:$O,Chicks!$F:$F,$C160,Chicks!$G:$G,$D160))</f>
        <v/>
      </c>
      <c r="M160" s="6" t="str">
        <f>IF($C160="","",SUMIFS(Chicks!$P:$P,Chicks!$F:$F,$C160,Chicks!$G:$G,$D160))</f>
        <v/>
      </c>
      <c r="N160" s="6" t="str">
        <f t="shared" si="0"/>
        <v/>
      </c>
      <c r="O160" s="6" t="e">
        <f t="shared" ca="1" si="1"/>
        <v>#NAME?</v>
      </c>
      <c r="P160" s="6" t="str">
        <f t="shared" si="2"/>
        <v/>
      </c>
    </row>
    <row r="161" spans="1:16" ht="14.25" customHeight="1" x14ac:dyDescent="0.3">
      <c r="A161" s="4"/>
      <c r="B161" s="4"/>
      <c r="C161" s="4" t="str">
        <f t="shared" si="3"/>
        <v/>
      </c>
      <c r="D161" s="4" t="str">
        <f t="shared" si="4"/>
        <v/>
      </c>
      <c r="E161" s="4"/>
      <c r="F161" s="6" t="str">
        <f>IF($C161="","",COUNTIFS(Chicks!$F:$F,$C161,Chicks!$G:$G,$D161))</f>
        <v/>
      </c>
      <c r="G161" s="6" t="str">
        <f>IF($C161="","",COUNTIFS(Chicks!$F:$F,$C161,Chicks!$G:$G,$D161,Chicks!$I:$I,"Yes"))</f>
        <v/>
      </c>
      <c r="H161" s="6" t="str">
        <f>IF($C161="","",SUMIFS(Chicks!$J:$J,Chicks!$F:$F,$C161,Chicks!$G:$G,$D161))</f>
        <v/>
      </c>
      <c r="I161" s="6" t="str">
        <f>IF($C161="","",COUNTIFS(Chicks!$F:$F,$C161,Chicks!$G:$G,$D161,Chicks!$I:$I,"No"))</f>
        <v/>
      </c>
      <c r="J161" s="6" t="str">
        <f>IF($C161="","",IFERROR(AVERAGEIFS(Chicks!$M:$M,Chicks!$F:$F,$C161,Chicks!$G:$G,$D161),""))</f>
        <v/>
      </c>
      <c r="K161" s="6" t="str">
        <f>IF($C161="","",SUMIFS(Chicks!$N:$N,Chicks!$F:$F,$C161,Chicks!$G:$G,$D161))</f>
        <v/>
      </c>
      <c r="L161" s="6" t="str">
        <f>IF($C161="","",SUMIFS(Chicks!$O:$O,Chicks!$F:$F,$C161,Chicks!$G:$G,$D161))</f>
        <v/>
      </c>
      <c r="M161" s="6" t="str">
        <f>IF($C161="","",SUMIFS(Chicks!$P:$P,Chicks!$F:$F,$C161,Chicks!$G:$G,$D161))</f>
        <v/>
      </c>
      <c r="N161" s="6" t="str">
        <f t="shared" si="0"/>
        <v/>
      </c>
      <c r="O161" s="6" t="e">
        <f t="shared" ca="1" si="1"/>
        <v>#NAME?</v>
      </c>
      <c r="P161" s="6" t="str">
        <f t="shared" si="2"/>
        <v/>
      </c>
    </row>
    <row r="162" spans="1:16" ht="14.25" customHeight="1" x14ac:dyDescent="0.3">
      <c r="A162" s="4"/>
      <c r="B162" s="4"/>
      <c r="C162" s="4" t="str">
        <f t="shared" si="3"/>
        <v/>
      </c>
      <c r="D162" s="4" t="str">
        <f t="shared" si="4"/>
        <v/>
      </c>
      <c r="E162" s="4"/>
      <c r="F162" s="6" t="str">
        <f>IF($C162="","",COUNTIFS(Chicks!$F:$F,$C162,Chicks!$G:$G,$D162))</f>
        <v/>
      </c>
      <c r="G162" s="6" t="str">
        <f>IF($C162="","",COUNTIFS(Chicks!$F:$F,$C162,Chicks!$G:$G,$D162,Chicks!$I:$I,"Yes"))</f>
        <v/>
      </c>
      <c r="H162" s="6" t="str">
        <f>IF($C162="","",SUMIFS(Chicks!$J:$J,Chicks!$F:$F,$C162,Chicks!$G:$G,$D162))</f>
        <v/>
      </c>
      <c r="I162" s="6" t="str">
        <f>IF($C162="","",COUNTIFS(Chicks!$F:$F,$C162,Chicks!$G:$G,$D162,Chicks!$I:$I,"No"))</f>
        <v/>
      </c>
      <c r="J162" s="6" t="str">
        <f>IF($C162="","",IFERROR(AVERAGEIFS(Chicks!$M:$M,Chicks!$F:$F,$C162,Chicks!$G:$G,$D162),""))</f>
        <v/>
      </c>
      <c r="K162" s="6" t="str">
        <f>IF($C162="","",SUMIFS(Chicks!$N:$N,Chicks!$F:$F,$C162,Chicks!$G:$G,$D162))</f>
        <v/>
      </c>
      <c r="L162" s="6" t="str">
        <f>IF($C162="","",SUMIFS(Chicks!$O:$O,Chicks!$F:$F,$C162,Chicks!$G:$G,$D162))</f>
        <v/>
      </c>
      <c r="M162" s="6" t="str">
        <f>IF($C162="","",SUMIFS(Chicks!$P:$P,Chicks!$F:$F,$C162,Chicks!$G:$G,$D162))</f>
        <v/>
      </c>
      <c r="N162" s="6" t="str">
        <f t="shared" si="0"/>
        <v/>
      </c>
      <c r="O162" s="6" t="e">
        <f t="shared" ca="1" si="1"/>
        <v>#NAME?</v>
      </c>
      <c r="P162" s="6" t="str">
        <f t="shared" si="2"/>
        <v/>
      </c>
    </row>
    <row r="163" spans="1:16" ht="14.25" customHeight="1" x14ac:dyDescent="0.3">
      <c r="A163" s="4"/>
      <c r="B163" s="4"/>
      <c r="C163" s="4" t="str">
        <f t="shared" si="3"/>
        <v/>
      </c>
      <c r="D163" s="4" t="str">
        <f t="shared" si="4"/>
        <v/>
      </c>
      <c r="E163" s="4"/>
      <c r="F163" s="6" t="str">
        <f>IF($C163="","",COUNTIFS(Chicks!$F:$F,$C163,Chicks!$G:$G,$D163))</f>
        <v/>
      </c>
      <c r="G163" s="6" t="str">
        <f>IF($C163="","",COUNTIFS(Chicks!$F:$F,$C163,Chicks!$G:$G,$D163,Chicks!$I:$I,"Yes"))</f>
        <v/>
      </c>
      <c r="H163" s="6" t="str">
        <f>IF($C163="","",SUMIFS(Chicks!$J:$J,Chicks!$F:$F,$C163,Chicks!$G:$G,$D163))</f>
        <v/>
      </c>
      <c r="I163" s="6" t="str">
        <f>IF($C163="","",COUNTIFS(Chicks!$F:$F,$C163,Chicks!$G:$G,$D163,Chicks!$I:$I,"No"))</f>
        <v/>
      </c>
      <c r="J163" s="6" t="str">
        <f>IF($C163="","",IFERROR(AVERAGEIFS(Chicks!$M:$M,Chicks!$F:$F,$C163,Chicks!$G:$G,$D163),""))</f>
        <v/>
      </c>
      <c r="K163" s="6" t="str">
        <f>IF($C163="","",SUMIFS(Chicks!$N:$N,Chicks!$F:$F,$C163,Chicks!$G:$G,$D163))</f>
        <v/>
      </c>
      <c r="L163" s="6" t="str">
        <f>IF($C163="","",SUMIFS(Chicks!$O:$O,Chicks!$F:$F,$C163,Chicks!$G:$G,$D163))</f>
        <v/>
      </c>
      <c r="M163" s="6" t="str">
        <f>IF($C163="","",SUMIFS(Chicks!$P:$P,Chicks!$F:$F,$C163,Chicks!$G:$G,$D163))</f>
        <v/>
      </c>
      <c r="N163" s="6" t="str">
        <f t="shared" si="0"/>
        <v/>
      </c>
      <c r="O163" s="6" t="e">
        <f t="shared" ca="1" si="1"/>
        <v>#NAME?</v>
      </c>
      <c r="P163" s="6" t="str">
        <f t="shared" si="2"/>
        <v/>
      </c>
    </row>
    <row r="164" spans="1:16" ht="14.25" customHeight="1" x14ac:dyDescent="0.3">
      <c r="A164" s="4"/>
      <c r="B164" s="4"/>
      <c r="C164" s="4" t="str">
        <f t="shared" si="3"/>
        <v/>
      </c>
      <c r="D164" s="4" t="str">
        <f t="shared" si="4"/>
        <v/>
      </c>
      <c r="E164" s="4"/>
      <c r="F164" s="6" t="str">
        <f>IF($C164="","",COUNTIFS(Chicks!$F:$F,$C164,Chicks!$G:$G,$D164))</f>
        <v/>
      </c>
      <c r="G164" s="6" t="str">
        <f>IF($C164="","",COUNTIFS(Chicks!$F:$F,$C164,Chicks!$G:$G,$D164,Chicks!$I:$I,"Yes"))</f>
        <v/>
      </c>
      <c r="H164" s="6" t="str">
        <f>IF($C164="","",SUMIFS(Chicks!$J:$J,Chicks!$F:$F,$C164,Chicks!$G:$G,$D164))</f>
        <v/>
      </c>
      <c r="I164" s="6" t="str">
        <f>IF($C164="","",COUNTIFS(Chicks!$F:$F,$C164,Chicks!$G:$G,$D164,Chicks!$I:$I,"No"))</f>
        <v/>
      </c>
      <c r="J164" s="6" t="str">
        <f>IF($C164="","",IFERROR(AVERAGEIFS(Chicks!$M:$M,Chicks!$F:$F,$C164,Chicks!$G:$G,$D164),""))</f>
        <v/>
      </c>
      <c r="K164" s="6" t="str">
        <f>IF($C164="","",SUMIFS(Chicks!$N:$N,Chicks!$F:$F,$C164,Chicks!$G:$G,$D164))</f>
        <v/>
      </c>
      <c r="L164" s="6" t="str">
        <f>IF($C164="","",SUMIFS(Chicks!$O:$O,Chicks!$F:$F,$C164,Chicks!$G:$G,$D164))</f>
        <v/>
      </c>
      <c r="M164" s="6" t="str">
        <f>IF($C164="","",SUMIFS(Chicks!$P:$P,Chicks!$F:$F,$C164,Chicks!$G:$G,$D164))</f>
        <v/>
      </c>
      <c r="N164" s="6" t="str">
        <f t="shared" si="0"/>
        <v/>
      </c>
      <c r="O164" s="6" t="e">
        <f t="shared" ca="1" si="1"/>
        <v>#NAME?</v>
      </c>
      <c r="P164" s="6" t="str">
        <f t="shared" si="2"/>
        <v/>
      </c>
    </row>
    <row r="165" spans="1:16" ht="14.25" customHeight="1" x14ac:dyDescent="0.3">
      <c r="A165" s="4"/>
      <c r="B165" s="4"/>
      <c r="C165" s="4" t="str">
        <f t="shared" si="3"/>
        <v/>
      </c>
      <c r="D165" s="4" t="str">
        <f t="shared" si="4"/>
        <v/>
      </c>
      <c r="E165" s="4"/>
      <c r="F165" s="6" t="str">
        <f>IF($C165="","",COUNTIFS(Chicks!$F:$F,$C165,Chicks!$G:$G,$D165))</f>
        <v/>
      </c>
      <c r="G165" s="6" t="str">
        <f>IF($C165="","",COUNTIFS(Chicks!$F:$F,$C165,Chicks!$G:$G,$D165,Chicks!$I:$I,"Yes"))</f>
        <v/>
      </c>
      <c r="H165" s="6" t="str">
        <f>IF($C165="","",SUMIFS(Chicks!$J:$J,Chicks!$F:$F,$C165,Chicks!$G:$G,$D165))</f>
        <v/>
      </c>
      <c r="I165" s="6" t="str">
        <f>IF($C165="","",COUNTIFS(Chicks!$F:$F,$C165,Chicks!$G:$G,$D165,Chicks!$I:$I,"No"))</f>
        <v/>
      </c>
      <c r="J165" s="6" t="str">
        <f>IF($C165="","",IFERROR(AVERAGEIFS(Chicks!$M:$M,Chicks!$F:$F,$C165,Chicks!$G:$G,$D165),""))</f>
        <v/>
      </c>
      <c r="K165" s="6" t="str">
        <f>IF($C165="","",SUMIFS(Chicks!$N:$N,Chicks!$F:$F,$C165,Chicks!$G:$G,$D165))</f>
        <v/>
      </c>
      <c r="L165" s="6" t="str">
        <f>IF($C165="","",SUMIFS(Chicks!$O:$O,Chicks!$F:$F,$C165,Chicks!$G:$G,$D165))</f>
        <v/>
      </c>
      <c r="M165" s="6" t="str">
        <f>IF($C165="","",SUMIFS(Chicks!$P:$P,Chicks!$F:$F,$C165,Chicks!$G:$G,$D165))</f>
        <v/>
      </c>
      <c r="N165" s="6" t="str">
        <f t="shared" si="0"/>
        <v/>
      </c>
      <c r="O165" s="6" t="e">
        <f t="shared" ca="1" si="1"/>
        <v>#NAME?</v>
      </c>
      <c r="P165" s="6" t="str">
        <f t="shared" si="2"/>
        <v/>
      </c>
    </row>
    <row r="166" spans="1:16" ht="14.25" customHeight="1" x14ac:dyDescent="0.3">
      <c r="A166" s="4"/>
      <c r="B166" s="4"/>
      <c r="C166" s="4" t="str">
        <f t="shared" si="3"/>
        <v/>
      </c>
      <c r="D166" s="4" t="str">
        <f t="shared" si="4"/>
        <v/>
      </c>
      <c r="E166" s="4"/>
      <c r="F166" s="6" t="str">
        <f>IF($C166="","",COUNTIFS(Chicks!$F:$F,$C166,Chicks!$G:$G,$D166))</f>
        <v/>
      </c>
      <c r="G166" s="6" t="str">
        <f>IF($C166="","",COUNTIFS(Chicks!$F:$F,$C166,Chicks!$G:$G,$D166,Chicks!$I:$I,"Yes"))</f>
        <v/>
      </c>
      <c r="H166" s="6" t="str">
        <f>IF($C166="","",SUMIFS(Chicks!$J:$J,Chicks!$F:$F,$C166,Chicks!$G:$G,$D166))</f>
        <v/>
      </c>
      <c r="I166" s="6" t="str">
        <f>IF($C166="","",COUNTIFS(Chicks!$F:$F,$C166,Chicks!$G:$G,$D166,Chicks!$I:$I,"No"))</f>
        <v/>
      </c>
      <c r="J166" s="6" t="str">
        <f>IF($C166="","",IFERROR(AVERAGEIFS(Chicks!$M:$M,Chicks!$F:$F,$C166,Chicks!$G:$G,$D166),""))</f>
        <v/>
      </c>
      <c r="K166" s="6" t="str">
        <f>IF($C166="","",SUMIFS(Chicks!$N:$N,Chicks!$F:$F,$C166,Chicks!$G:$G,$D166))</f>
        <v/>
      </c>
      <c r="L166" s="6" t="str">
        <f>IF($C166="","",SUMIFS(Chicks!$O:$O,Chicks!$F:$F,$C166,Chicks!$G:$G,$D166))</f>
        <v/>
      </c>
      <c r="M166" s="6" t="str">
        <f>IF($C166="","",SUMIFS(Chicks!$P:$P,Chicks!$F:$F,$C166,Chicks!$G:$G,$D166))</f>
        <v/>
      </c>
      <c r="N166" s="6" t="str">
        <f t="shared" si="0"/>
        <v/>
      </c>
      <c r="O166" s="6" t="e">
        <f t="shared" ca="1" si="1"/>
        <v>#NAME?</v>
      </c>
      <c r="P166" s="6" t="str">
        <f t="shared" si="2"/>
        <v/>
      </c>
    </row>
    <row r="167" spans="1:16" ht="14.25" customHeight="1" x14ac:dyDescent="0.3">
      <c r="A167" s="4"/>
      <c r="B167" s="4"/>
      <c r="C167" s="4" t="str">
        <f t="shared" si="3"/>
        <v/>
      </c>
      <c r="D167" s="4" t="str">
        <f t="shared" si="4"/>
        <v/>
      </c>
      <c r="E167" s="4"/>
      <c r="F167" s="6" t="str">
        <f>IF($C167="","",COUNTIFS(Chicks!$F:$F,$C167,Chicks!$G:$G,$D167))</f>
        <v/>
      </c>
      <c r="G167" s="6" t="str">
        <f>IF($C167="","",COUNTIFS(Chicks!$F:$F,$C167,Chicks!$G:$G,$D167,Chicks!$I:$I,"Yes"))</f>
        <v/>
      </c>
      <c r="H167" s="6" t="str">
        <f>IF($C167="","",SUMIFS(Chicks!$J:$J,Chicks!$F:$F,$C167,Chicks!$G:$G,$D167))</f>
        <v/>
      </c>
      <c r="I167" s="6" t="str">
        <f>IF($C167="","",COUNTIFS(Chicks!$F:$F,$C167,Chicks!$G:$G,$D167,Chicks!$I:$I,"No"))</f>
        <v/>
      </c>
      <c r="J167" s="6" t="str">
        <f>IF($C167="","",IFERROR(AVERAGEIFS(Chicks!$M:$M,Chicks!$F:$F,$C167,Chicks!$G:$G,$D167),""))</f>
        <v/>
      </c>
      <c r="K167" s="6" t="str">
        <f>IF($C167="","",SUMIFS(Chicks!$N:$N,Chicks!$F:$F,$C167,Chicks!$G:$G,$D167))</f>
        <v/>
      </c>
      <c r="L167" s="6" t="str">
        <f>IF($C167="","",SUMIFS(Chicks!$O:$O,Chicks!$F:$F,$C167,Chicks!$G:$G,$D167))</f>
        <v/>
      </c>
      <c r="M167" s="6" t="str">
        <f>IF($C167="","",SUMIFS(Chicks!$P:$P,Chicks!$F:$F,$C167,Chicks!$G:$G,$D167))</f>
        <v/>
      </c>
      <c r="N167" s="6" t="str">
        <f t="shared" si="0"/>
        <v/>
      </c>
      <c r="O167" s="6" t="e">
        <f t="shared" ca="1" si="1"/>
        <v>#NAME?</v>
      </c>
      <c r="P167" s="6" t="str">
        <f t="shared" si="2"/>
        <v/>
      </c>
    </row>
    <row r="168" spans="1:16" ht="14.25" customHeight="1" x14ac:dyDescent="0.3">
      <c r="A168" s="4"/>
      <c r="B168" s="4"/>
      <c r="C168" s="4" t="str">
        <f t="shared" si="3"/>
        <v/>
      </c>
      <c r="D168" s="4" t="str">
        <f t="shared" si="4"/>
        <v/>
      </c>
      <c r="E168" s="4"/>
      <c r="F168" s="6" t="str">
        <f>IF($C168="","",COUNTIFS(Chicks!$F:$F,$C168,Chicks!$G:$G,$D168))</f>
        <v/>
      </c>
      <c r="G168" s="6" t="str">
        <f>IF($C168="","",COUNTIFS(Chicks!$F:$F,$C168,Chicks!$G:$G,$D168,Chicks!$I:$I,"Yes"))</f>
        <v/>
      </c>
      <c r="H168" s="6" t="str">
        <f>IF($C168="","",SUMIFS(Chicks!$J:$J,Chicks!$F:$F,$C168,Chicks!$G:$G,$D168))</f>
        <v/>
      </c>
      <c r="I168" s="6" t="str">
        <f>IF($C168="","",COUNTIFS(Chicks!$F:$F,$C168,Chicks!$G:$G,$D168,Chicks!$I:$I,"No"))</f>
        <v/>
      </c>
      <c r="J168" s="6" t="str">
        <f>IF($C168="","",IFERROR(AVERAGEIFS(Chicks!$M:$M,Chicks!$F:$F,$C168,Chicks!$G:$G,$D168),""))</f>
        <v/>
      </c>
      <c r="K168" s="6" t="str">
        <f>IF($C168="","",SUMIFS(Chicks!$N:$N,Chicks!$F:$F,$C168,Chicks!$G:$G,$D168))</f>
        <v/>
      </c>
      <c r="L168" s="6" t="str">
        <f>IF($C168="","",SUMIFS(Chicks!$O:$O,Chicks!$F:$F,$C168,Chicks!$G:$G,$D168))</f>
        <v/>
      </c>
      <c r="M168" s="6" t="str">
        <f>IF($C168="","",SUMIFS(Chicks!$P:$P,Chicks!$F:$F,$C168,Chicks!$G:$G,$D168))</f>
        <v/>
      </c>
      <c r="N168" s="6" t="str">
        <f t="shared" si="0"/>
        <v/>
      </c>
      <c r="O168" s="6" t="e">
        <f t="shared" ca="1" si="1"/>
        <v>#NAME?</v>
      </c>
      <c r="P168" s="6" t="str">
        <f t="shared" si="2"/>
        <v/>
      </c>
    </row>
    <row r="169" spans="1:16" ht="14.25" customHeight="1" x14ac:dyDescent="0.3">
      <c r="A169" s="4"/>
      <c r="B169" s="4"/>
      <c r="C169" s="4" t="str">
        <f t="shared" si="3"/>
        <v/>
      </c>
      <c r="D169" s="4" t="str">
        <f t="shared" si="4"/>
        <v/>
      </c>
      <c r="E169" s="4"/>
      <c r="F169" s="6" t="str">
        <f>IF($C169="","",COUNTIFS(Chicks!$F:$F,$C169,Chicks!$G:$G,$D169))</f>
        <v/>
      </c>
      <c r="G169" s="6" t="str">
        <f>IF($C169="","",COUNTIFS(Chicks!$F:$F,$C169,Chicks!$G:$G,$D169,Chicks!$I:$I,"Yes"))</f>
        <v/>
      </c>
      <c r="H169" s="6" t="str">
        <f>IF($C169="","",SUMIFS(Chicks!$J:$J,Chicks!$F:$F,$C169,Chicks!$G:$G,$D169))</f>
        <v/>
      </c>
      <c r="I169" s="6" t="str">
        <f>IF($C169="","",COUNTIFS(Chicks!$F:$F,$C169,Chicks!$G:$G,$D169,Chicks!$I:$I,"No"))</f>
        <v/>
      </c>
      <c r="J169" s="6" t="str">
        <f>IF($C169="","",IFERROR(AVERAGEIFS(Chicks!$M:$M,Chicks!$F:$F,$C169,Chicks!$G:$G,$D169),""))</f>
        <v/>
      </c>
      <c r="K169" s="6" t="str">
        <f>IF($C169="","",SUMIFS(Chicks!$N:$N,Chicks!$F:$F,$C169,Chicks!$G:$G,$D169))</f>
        <v/>
      </c>
      <c r="L169" s="6" t="str">
        <f>IF($C169="","",SUMIFS(Chicks!$O:$O,Chicks!$F:$F,$C169,Chicks!$G:$G,$D169))</f>
        <v/>
      </c>
      <c r="M169" s="6" t="str">
        <f>IF($C169="","",SUMIFS(Chicks!$P:$P,Chicks!$F:$F,$C169,Chicks!$G:$G,$D169))</f>
        <v/>
      </c>
      <c r="N169" s="6" t="str">
        <f t="shared" si="0"/>
        <v/>
      </c>
      <c r="O169" s="6" t="e">
        <f t="shared" ca="1" si="1"/>
        <v>#NAME?</v>
      </c>
      <c r="P169" s="6" t="str">
        <f t="shared" si="2"/>
        <v/>
      </c>
    </row>
    <row r="170" spans="1:16" ht="14.25" customHeight="1" x14ac:dyDescent="0.3">
      <c r="A170" s="4"/>
      <c r="B170" s="4"/>
      <c r="C170" s="4" t="str">
        <f t="shared" si="3"/>
        <v/>
      </c>
      <c r="D170" s="4" t="str">
        <f t="shared" si="4"/>
        <v/>
      </c>
      <c r="E170" s="4"/>
      <c r="F170" s="6" t="str">
        <f>IF($C170="","",COUNTIFS(Chicks!$F:$F,$C170,Chicks!$G:$G,$D170))</f>
        <v/>
      </c>
      <c r="G170" s="6" t="str">
        <f>IF($C170="","",COUNTIFS(Chicks!$F:$F,$C170,Chicks!$G:$G,$D170,Chicks!$I:$I,"Yes"))</f>
        <v/>
      </c>
      <c r="H170" s="6" t="str">
        <f>IF($C170="","",SUMIFS(Chicks!$J:$J,Chicks!$F:$F,$C170,Chicks!$G:$G,$D170))</f>
        <v/>
      </c>
      <c r="I170" s="6" t="str">
        <f>IF($C170="","",COUNTIFS(Chicks!$F:$F,$C170,Chicks!$G:$G,$D170,Chicks!$I:$I,"No"))</f>
        <v/>
      </c>
      <c r="J170" s="6" t="str">
        <f>IF($C170="","",IFERROR(AVERAGEIFS(Chicks!$M:$M,Chicks!$F:$F,$C170,Chicks!$G:$G,$D170),""))</f>
        <v/>
      </c>
      <c r="K170" s="6" t="str">
        <f>IF($C170="","",SUMIFS(Chicks!$N:$N,Chicks!$F:$F,$C170,Chicks!$G:$G,$D170))</f>
        <v/>
      </c>
      <c r="L170" s="6" t="str">
        <f>IF($C170="","",SUMIFS(Chicks!$O:$O,Chicks!$F:$F,$C170,Chicks!$G:$G,$D170))</f>
        <v/>
      </c>
      <c r="M170" s="6" t="str">
        <f>IF($C170="","",SUMIFS(Chicks!$P:$P,Chicks!$F:$F,$C170,Chicks!$G:$G,$D170))</f>
        <v/>
      </c>
      <c r="N170" s="6" t="str">
        <f t="shared" si="0"/>
        <v/>
      </c>
      <c r="O170" s="6" t="e">
        <f t="shared" ca="1" si="1"/>
        <v>#NAME?</v>
      </c>
      <c r="P170" s="6" t="str">
        <f t="shared" si="2"/>
        <v/>
      </c>
    </row>
    <row r="171" spans="1:16" ht="14.25" customHeight="1" x14ac:dyDescent="0.3">
      <c r="A171" s="4"/>
      <c r="B171" s="4"/>
      <c r="C171" s="4" t="str">
        <f t="shared" si="3"/>
        <v/>
      </c>
      <c r="D171" s="4" t="str">
        <f t="shared" si="4"/>
        <v/>
      </c>
      <c r="E171" s="4"/>
      <c r="F171" s="6" t="str">
        <f>IF($C171="","",COUNTIFS(Chicks!$F:$F,$C171,Chicks!$G:$G,$D171))</f>
        <v/>
      </c>
      <c r="G171" s="6" t="str">
        <f>IF($C171="","",COUNTIFS(Chicks!$F:$F,$C171,Chicks!$G:$G,$D171,Chicks!$I:$I,"Yes"))</f>
        <v/>
      </c>
      <c r="H171" s="6" t="str">
        <f>IF($C171="","",SUMIFS(Chicks!$J:$J,Chicks!$F:$F,$C171,Chicks!$G:$G,$D171))</f>
        <v/>
      </c>
      <c r="I171" s="6" t="str">
        <f>IF($C171="","",COUNTIFS(Chicks!$F:$F,$C171,Chicks!$G:$G,$D171,Chicks!$I:$I,"No"))</f>
        <v/>
      </c>
      <c r="J171" s="6" t="str">
        <f>IF($C171="","",IFERROR(AVERAGEIFS(Chicks!$M:$M,Chicks!$F:$F,$C171,Chicks!$G:$G,$D171),""))</f>
        <v/>
      </c>
      <c r="K171" s="6" t="str">
        <f>IF($C171="","",SUMIFS(Chicks!$N:$N,Chicks!$F:$F,$C171,Chicks!$G:$G,$D171))</f>
        <v/>
      </c>
      <c r="L171" s="6" t="str">
        <f>IF($C171="","",SUMIFS(Chicks!$O:$O,Chicks!$F:$F,$C171,Chicks!$G:$G,$D171))</f>
        <v/>
      </c>
      <c r="M171" s="6" t="str">
        <f>IF($C171="","",SUMIFS(Chicks!$P:$P,Chicks!$F:$F,$C171,Chicks!$G:$G,$D171))</f>
        <v/>
      </c>
      <c r="N171" s="6" t="str">
        <f t="shared" si="0"/>
        <v/>
      </c>
      <c r="O171" s="6" t="e">
        <f t="shared" ca="1" si="1"/>
        <v>#NAME?</v>
      </c>
      <c r="P171" s="6" t="str">
        <f t="shared" si="2"/>
        <v/>
      </c>
    </row>
    <row r="172" spans="1:16" ht="14.25" customHeight="1" x14ac:dyDescent="0.3">
      <c r="A172" s="4"/>
      <c r="B172" s="4"/>
      <c r="C172" s="4" t="str">
        <f t="shared" si="3"/>
        <v/>
      </c>
      <c r="D172" s="4" t="str">
        <f t="shared" si="4"/>
        <v/>
      </c>
      <c r="E172" s="4"/>
      <c r="F172" s="6" t="str">
        <f>IF($C172="","",COUNTIFS(Chicks!$F:$F,$C172,Chicks!$G:$G,$D172))</f>
        <v/>
      </c>
      <c r="G172" s="6" t="str">
        <f>IF($C172="","",COUNTIFS(Chicks!$F:$F,$C172,Chicks!$G:$G,$D172,Chicks!$I:$I,"Yes"))</f>
        <v/>
      </c>
      <c r="H172" s="6" t="str">
        <f>IF($C172="","",SUMIFS(Chicks!$J:$J,Chicks!$F:$F,$C172,Chicks!$G:$G,$D172))</f>
        <v/>
      </c>
      <c r="I172" s="6" t="str">
        <f>IF($C172="","",COUNTIFS(Chicks!$F:$F,$C172,Chicks!$G:$G,$D172,Chicks!$I:$I,"No"))</f>
        <v/>
      </c>
      <c r="J172" s="6" t="str">
        <f>IF($C172="","",IFERROR(AVERAGEIFS(Chicks!$M:$M,Chicks!$F:$F,$C172,Chicks!$G:$G,$D172),""))</f>
        <v/>
      </c>
      <c r="K172" s="6" t="str">
        <f>IF($C172="","",SUMIFS(Chicks!$N:$N,Chicks!$F:$F,$C172,Chicks!$G:$G,$D172))</f>
        <v/>
      </c>
      <c r="L172" s="6" t="str">
        <f>IF($C172="","",SUMIFS(Chicks!$O:$O,Chicks!$F:$F,$C172,Chicks!$G:$G,$D172))</f>
        <v/>
      </c>
      <c r="M172" s="6" t="str">
        <f>IF($C172="","",SUMIFS(Chicks!$P:$P,Chicks!$F:$F,$C172,Chicks!$G:$G,$D172))</f>
        <v/>
      </c>
      <c r="N172" s="6" t="str">
        <f t="shared" si="0"/>
        <v/>
      </c>
      <c r="O172" s="6" t="e">
        <f t="shared" ca="1" si="1"/>
        <v>#NAME?</v>
      </c>
      <c r="P172" s="6" t="str">
        <f t="shared" si="2"/>
        <v/>
      </c>
    </row>
    <row r="173" spans="1:16" ht="14.25" customHeight="1" x14ac:dyDescent="0.3">
      <c r="A173" s="4"/>
      <c r="B173" s="4"/>
      <c r="C173" s="4" t="str">
        <f t="shared" si="3"/>
        <v/>
      </c>
      <c r="D173" s="4" t="str">
        <f t="shared" si="4"/>
        <v/>
      </c>
      <c r="E173" s="4"/>
      <c r="F173" s="6" t="str">
        <f>IF($C173="","",COUNTIFS(Chicks!$F:$F,$C173,Chicks!$G:$G,$D173))</f>
        <v/>
      </c>
      <c r="G173" s="6" t="str">
        <f>IF($C173="","",COUNTIFS(Chicks!$F:$F,$C173,Chicks!$G:$G,$D173,Chicks!$I:$I,"Yes"))</f>
        <v/>
      </c>
      <c r="H173" s="6" t="str">
        <f>IF($C173="","",SUMIFS(Chicks!$J:$J,Chicks!$F:$F,$C173,Chicks!$G:$G,$D173))</f>
        <v/>
      </c>
      <c r="I173" s="6" t="str">
        <f>IF($C173="","",COUNTIFS(Chicks!$F:$F,$C173,Chicks!$G:$G,$D173,Chicks!$I:$I,"No"))</f>
        <v/>
      </c>
      <c r="J173" s="6" t="str">
        <f>IF($C173="","",IFERROR(AVERAGEIFS(Chicks!$M:$M,Chicks!$F:$F,$C173,Chicks!$G:$G,$D173),""))</f>
        <v/>
      </c>
      <c r="K173" s="6" t="str">
        <f>IF($C173="","",SUMIFS(Chicks!$N:$N,Chicks!$F:$F,$C173,Chicks!$G:$G,$D173))</f>
        <v/>
      </c>
      <c r="L173" s="6" t="str">
        <f>IF($C173="","",SUMIFS(Chicks!$O:$O,Chicks!$F:$F,$C173,Chicks!$G:$G,$D173))</f>
        <v/>
      </c>
      <c r="M173" s="6" t="str">
        <f>IF($C173="","",SUMIFS(Chicks!$P:$P,Chicks!$F:$F,$C173,Chicks!$G:$G,$D173))</f>
        <v/>
      </c>
      <c r="N173" s="6" t="str">
        <f t="shared" si="0"/>
        <v/>
      </c>
      <c r="O173" s="6" t="e">
        <f t="shared" ca="1" si="1"/>
        <v>#NAME?</v>
      </c>
      <c r="P173" s="6" t="str">
        <f t="shared" si="2"/>
        <v/>
      </c>
    </row>
    <row r="174" spans="1:16" ht="14.25" customHeight="1" x14ac:dyDescent="0.3">
      <c r="A174" s="4"/>
      <c r="B174" s="4"/>
      <c r="C174" s="4" t="str">
        <f t="shared" si="3"/>
        <v/>
      </c>
      <c r="D174" s="4" t="str">
        <f t="shared" si="4"/>
        <v/>
      </c>
      <c r="E174" s="4"/>
      <c r="F174" s="6" t="str">
        <f>IF($C174="","",COUNTIFS(Chicks!$F:$F,$C174,Chicks!$G:$G,$D174))</f>
        <v/>
      </c>
      <c r="G174" s="6" t="str">
        <f>IF($C174="","",COUNTIFS(Chicks!$F:$F,$C174,Chicks!$G:$G,$D174,Chicks!$I:$I,"Yes"))</f>
        <v/>
      </c>
      <c r="H174" s="6" t="str">
        <f>IF($C174="","",SUMIFS(Chicks!$J:$J,Chicks!$F:$F,$C174,Chicks!$G:$G,$D174))</f>
        <v/>
      </c>
      <c r="I174" s="6" t="str">
        <f>IF($C174="","",COUNTIFS(Chicks!$F:$F,$C174,Chicks!$G:$G,$D174,Chicks!$I:$I,"No"))</f>
        <v/>
      </c>
      <c r="J174" s="6" t="str">
        <f>IF($C174="","",IFERROR(AVERAGEIFS(Chicks!$M:$M,Chicks!$F:$F,$C174,Chicks!$G:$G,$D174),""))</f>
        <v/>
      </c>
      <c r="K174" s="6" t="str">
        <f>IF($C174="","",SUMIFS(Chicks!$N:$N,Chicks!$F:$F,$C174,Chicks!$G:$G,$D174))</f>
        <v/>
      </c>
      <c r="L174" s="6" t="str">
        <f>IF($C174="","",SUMIFS(Chicks!$O:$O,Chicks!$F:$F,$C174,Chicks!$G:$G,$D174))</f>
        <v/>
      </c>
      <c r="M174" s="6" t="str">
        <f>IF($C174="","",SUMIFS(Chicks!$P:$P,Chicks!$F:$F,$C174,Chicks!$G:$G,$D174))</f>
        <v/>
      </c>
      <c r="N174" s="6" t="str">
        <f t="shared" si="0"/>
        <v/>
      </c>
      <c r="O174" s="6" t="e">
        <f t="shared" ca="1" si="1"/>
        <v>#NAME?</v>
      </c>
      <c r="P174" s="6" t="str">
        <f t="shared" si="2"/>
        <v/>
      </c>
    </row>
    <row r="175" spans="1:16" ht="14.25" customHeight="1" x14ac:dyDescent="0.3">
      <c r="A175" s="4"/>
      <c r="B175" s="4"/>
      <c r="C175" s="4" t="str">
        <f t="shared" si="3"/>
        <v/>
      </c>
      <c r="D175" s="4" t="str">
        <f t="shared" si="4"/>
        <v/>
      </c>
      <c r="E175" s="4"/>
      <c r="F175" s="6" t="str">
        <f>IF($C175="","",COUNTIFS(Chicks!$F:$F,$C175,Chicks!$G:$G,$D175))</f>
        <v/>
      </c>
      <c r="G175" s="6" t="str">
        <f>IF($C175="","",COUNTIFS(Chicks!$F:$F,$C175,Chicks!$G:$G,$D175,Chicks!$I:$I,"Yes"))</f>
        <v/>
      </c>
      <c r="H175" s="6" t="str">
        <f>IF($C175="","",SUMIFS(Chicks!$J:$J,Chicks!$F:$F,$C175,Chicks!$G:$G,$D175))</f>
        <v/>
      </c>
      <c r="I175" s="6" t="str">
        <f>IF($C175="","",COUNTIFS(Chicks!$F:$F,$C175,Chicks!$G:$G,$D175,Chicks!$I:$I,"No"))</f>
        <v/>
      </c>
      <c r="J175" s="6" t="str">
        <f>IF($C175="","",IFERROR(AVERAGEIFS(Chicks!$M:$M,Chicks!$F:$F,$C175,Chicks!$G:$G,$D175),""))</f>
        <v/>
      </c>
      <c r="K175" s="6" t="str">
        <f>IF($C175="","",SUMIFS(Chicks!$N:$N,Chicks!$F:$F,$C175,Chicks!$G:$G,$D175))</f>
        <v/>
      </c>
      <c r="L175" s="6" t="str">
        <f>IF($C175="","",SUMIFS(Chicks!$O:$O,Chicks!$F:$F,$C175,Chicks!$G:$G,$D175))</f>
        <v/>
      </c>
      <c r="M175" s="6" t="str">
        <f>IF($C175="","",SUMIFS(Chicks!$P:$P,Chicks!$F:$F,$C175,Chicks!$G:$G,$D175))</f>
        <v/>
      </c>
      <c r="N175" s="6" t="str">
        <f t="shared" si="0"/>
        <v/>
      </c>
      <c r="O175" s="6" t="e">
        <f t="shared" ca="1" si="1"/>
        <v>#NAME?</v>
      </c>
      <c r="P175" s="6" t="str">
        <f t="shared" si="2"/>
        <v/>
      </c>
    </row>
    <row r="176" spans="1:16" ht="14.25" customHeight="1" x14ac:dyDescent="0.3">
      <c r="A176" s="4"/>
      <c r="B176" s="4"/>
      <c r="C176" s="4" t="str">
        <f t="shared" si="3"/>
        <v/>
      </c>
      <c r="D176" s="4" t="str">
        <f t="shared" si="4"/>
        <v/>
      </c>
      <c r="E176" s="4"/>
      <c r="F176" s="6" t="str">
        <f>IF($C176="","",COUNTIFS(Chicks!$F:$F,$C176,Chicks!$G:$G,$D176))</f>
        <v/>
      </c>
      <c r="G176" s="6" t="str">
        <f>IF($C176="","",COUNTIFS(Chicks!$F:$F,$C176,Chicks!$G:$G,$D176,Chicks!$I:$I,"Yes"))</f>
        <v/>
      </c>
      <c r="H176" s="6" t="str">
        <f>IF($C176="","",SUMIFS(Chicks!$J:$J,Chicks!$F:$F,$C176,Chicks!$G:$G,$D176))</f>
        <v/>
      </c>
      <c r="I176" s="6" t="str">
        <f>IF($C176="","",COUNTIFS(Chicks!$F:$F,$C176,Chicks!$G:$G,$D176,Chicks!$I:$I,"No"))</f>
        <v/>
      </c>
      <c r="J176" s="6" t="str">
        <f>IF($C176="","",IFERROR(AVERAGEIFS(Chicks!$M:$M,Chicks!$F:$F,$C176,Chicks!$G:$G,$D176),""))</f>
        <v/>
      </c>
      <c r="K176" s="6" t="str">
        <f>IF($C176="","",SUMIFS(Chicks!$N:$N,Chicks!$F:$F,$C176,Chicks!$G:$G,$D176))</f>
        <v/>
      </c>
      <c r="L176" s="6" t="str">
        <f>IF($C176="","",SUMIFS(Chicks!$O:$O,Chicks!$F:$F,$C176,Chicks!$G:$G,$D176))</f>
        <v/>
      </c>
      <c r="M176" s="6" t="str">
        <f>IF($C176="","",SUMIFS(Chicks!$P:$P,Chicks!$F:$F,$C176,Chicks!$G:$G,$D176))</f>
        <v/>
      </c>
      <c r="N176" s="6" t="str">
        <f t="shared" si="0"/>
        <v/>
      </c>
      <c r="O176" s="6" t="e">
        <f t="shared" ca="1" si="1"/>
        <v>#NAME?</v>
      </c>
      <c r="P176" s="6" t="str">
        <f t="shared" si="2"/>
        <v/>
      </c>
    </row>
    <row r="177" spans="1:16" ht="14.25" customHeight="1" x14ac:dyDescent="0.3">
      <c r="A177" s="4"/>
      <c r="B177" s="4"/>
      <c r="C177" s="4" t="str">
        <f t="shared" si="3"/>
        <v/>
      </c>
      <c r="D177" s="4" t="str">
        <f t="shared" si="4"/>
        <v/>
      </c>
      <c r="E177" s="4"/>
      <c r="F177" s="6" t="str">
        <f>IF($C177="","",COUNTIFS(Chicks!$F:$F,$C177,Chicks!$G:$G,$D177))</f>
        <v/>
      </c>
      <c r="G177" s="6" t="str">
        <f>IF($C177="","",COUNTIFS(Chicks!$F:$F,$C177,Chicks!$G:$G,$D177,Chicks!$I:$I,"Yes"))</f>
        <v/>
      </c>
      <c r="H177" s="6" t="str">
        <f>IF($C177="","",SUMIFS(Chicks!$J:$J,Chicks!$F:$F,$C177,Chicks!$G:$G,$D177))</f>
        <v/>
      </c>
      <c r="I177" s="6" t="str">
        <f>IF($C177="","",COUNTIFS(Chicks!$F:$F,$C177,Chicks!$G:$G,$D177,Chicks!$I:$I,"No"))</f>
        <v/>
      </c>
      <c r="J177" s="6" t="str">
        <f>IF($C177="","",IFERROR(AVERAGEIFS(Chicks!$M:$M,Chicks!$F:$F,$C177,Chicks!$G:$G,$D177),""))</f>
        <v/>
      </c>
      <c r="K177" s="6" t="str">
        <f>IF($C177="","",SUMIFS(Chicks!$N:$N,Chicks!$F:$F,$C177,Chicks!$G:$G,$D177))</f>
        <v/>
      </c>
      <c r="L177" s="6" t="str">
        <f>IF($C177="","",SUMIFS(Chicks!$O:$O,Chicks!$F:$F,$C177,Chicks!$G:$G,$D177))</f>
        <v/>
      </c>
      <c r="M177" s="6" t="str">
        <f>IF($C177="","",SUMIFS(Chicks!$P:$P,Chicks!$F:$F,$C177,Chicks!$G:$G,$D177))</f>
        <v/>
      </c>
      <c r="N177" s="6" t="str">
        <f t="shared" si="0"/>
        <v/>
      </c>
      <c r="O177" s="6" t="e">
        <f t="shared" ca="1" si="1"/>
        <v>#NAME?</v>
      </c>
      <c r="P177" s="6" t="str">
        <f t="shared" si="2"/>
        <v/>
      </c>
    </row>
    <row r="178" spans="1:16" ht="14.25" customHeight="1" x14ac:dyDescent="0.3">
      <c r="A178" s="4"/>
      <c r="B178" s="4"/>
      <c r="C178" s="4" t="str">
        <f t="shared" si="3"/>
        <v/>
      </c>
      <c r="D178" s="4" t="str">
        <f t="shared" si="4"/>
        <v/>
      </c>
      <c r="E178" s="4"/>
      <c r="F178" s="6" t="str">
        <f>IF($C178="","",COUNTIFS(Chicks!$F:$F,$C178,Chicks!$G:$G,$D178))</f>
        <v/>
      </c>
      <c r="G178" s="6" t="str">
        <f>IF($C178="","",COUNTIFS(Chicks!$F:$F,$C178,Chicks!$G:$G,$D178,Chicks!$I:$I,"Yes"))</f>
        <v/>
      </c>
      <c r="H178" s="6" t="str">
        <f>IF($C178="","",SUMIFS(Chicks!$J:$J,Chicks!$F:$F,$C178,Chicks!$G:$G,$D178))</f>
        <v/>
      </c>
      <c r="I178" s="6" t="str">
        <f>IF($C178="","",COUNTIFS(Chicks!$F:$F,$C178,Chicks!$G:$G,$D178,Chicks!$I:$I,"No"))</f>
        <v/>
      </c>
      <c r="J178" s="6" t="str">
        <f>IF($C178="","",IFERROR(AVERAGEIFS(Chicks!$M:$M,Chicks!$F:$F,$C178,Chicks!$G:$G,$D178),""))</f>
        <v/>
      </c>
      <c r="K178" s="6" t="str">
        <f>IF($C178="","",SUMIFS(Chicks!$N:$N,Chicks!$F:$F,$C178,Chicks!$G:$G,$D178))</f>
        <v/>
      </c>
      <c r="L178" s="6" t="str">
        <f>IF($C178="","",SUMIFS(Chicks!$O:$O,Chicks!$F:$F,$C178,Chicks!$G:$G,$D178))</f>
        <v/>
      </c>
      <c r="M178" s="6" t="str">
        <f>IF($C178="","",SUMIFS(Chicks!$P:$P,Chicks!$F:$F,$C178,Chicks!$G:$G,$D178))</f>
        <v/>
      </c>
      <c r="N178" s="6" t="str">
        <f t="shared" si="0"/>
        <v/>
      </c>
      <c r="O178" s="6" t="e">
        <f t="shared" ca="1" si="1"/>
        <v>#NAME?</v>
      </c>
      <c r="P178" s="6" t="str">
        <f t="shared" si="2"/>
        <v/>
      </c>
    </row>
    <row r="179" spans="1:16" ht="14.25" customHeight="1" x14ac:dyDescent="0.3">
      <c r="A179" s="4"/>
      <c r="B179" s="4"/>
      <c r="C179" s="4" t="str">
        <f t="shared" si="3"/>
        <v/>
      </c>
      <c r="D179" s="4" t="str">
        <f t="shared" si="4"/>
        <v/>
      </c>
      <c r="E179" s="4"/>
      <c r="F179" s="6" t="str">
        <f>IF($C179="","",COUNTIFS(Chicks!$F:$F,$C179,Chicks!$G:$G,$D179))</f>
        <v/>
      </c>
      <c r="G179" s="6" t="str">
        <f>IF($C179="","",COUNTIFS(Chicks!$F:$F,$C179,Chicks!$G:$G,$D179,Chicks!$I:$I,"Yes"))</f>
        <v/>
      </c>
      <c r="H179" s="6" t="str">
        <f>IF($C179="","",SUMIFS(Chicks!$J:$J,Chicks!$F:$F,$C179,Chicks!$G:$G,$D179))</f>
        <v/>
      </c>
      <c r="I179" s="6" t="str">
        <f>IF($C179="","",COUNTIFS(Chicks!$F:$F,$C179,Chicks!$G:$G,$D179,Chicks!$I:$I,"No"))</f>
        <v/>
      </c>
      <c r="J179" s="6" t="str">
        <f>IF($C179="","",IFERROR(AVERAGEIFS(Chicks!$M:$M,Chicks!$F:$F,$C179,Chicks!$G:$G,$D179),""))</f>
        <v/>
      </c>
      <c r="K179" s="6" t="str">
        <f>IF($C179="","",SUMIFS(Chicks!$N:$N,Chicks!$F:$F,$C179,Chicks!$G:$G,$D179))</f>
        <v/>
      </c>
      <c r="L179" s="6" t="str">
        <f>IF($C179="","",SUMIFS(Chicks!$O:$O,Chicks!$F:$F,$C179,Chicks!$G:$G,$D179))</f>
        <v/>
      </c>
      <c r="M179" s="6" t="str">
        <f>IF($C179="","",SUMIFS(Chicks!$P:$P,Chicks!$F:$F,$C179,Chicks!$G:$G,$D179))</f>
        <v/>
      </c>
      <c r="N179" s="6" t="str">
        <f t="shared" si="0"/>
        <v/>
      </c>
      <c r="O179" s="6" t="e">
        <f t="shared" ca="1" si="1"/>
        <v>#NAME?</v>
      </c>
      <c r="P179" s="6" t="str">
        <f t="shared" si="2"/>
        <v/>
      </c>
    </row>
    <row r="180" spans="1:16" ht="14.25" customHeight="1" x14ac:dyDescent="0.3">
      <c r="A180" s="4"/>
      <c r="B180" s="4"/>
      <c r="C180" s="4" t="str">
        <f t="shared" si="3"/>
        <v/>
      </c>
      <c r="D180" s="4" t="str">
        <f t="shared" si="4"/>
        <v/>
      </c>
      <c r="E180" s="4"/>
      <c r="F180" s="6" t="str">
        <f>IF($C180="","",COUNTIFS(Chicks!$F:$F,$C180,Chicks!$G:$G,$D180))</f>
        <v/>
      </c>
      <c r="G180" s="6" t="str">
        <f>IF($C180="","",COUNTIFS(Chicks!$F:$F,$C180,Chicks!$G:$G,$D180,Chicks!$I:$I,"Yes"))</f>
        <v/>
      </c>
      <c r="H180" s="6" t="str">
        <f>IF($C180="","",SUMIFS(Chicks!$J:$J,Chicks!$F:$F,$C180,Chicks!$G:$G,$D180))</f>
        <v/>
      </c>
      <c r="I180" s="6" t="str">
        <f>IF($C180="","",COUNTIFS(Chicks!$F:$F,$C180,Chicks!$G:$G,$D180,Chicks!$I:$I,"No"))</f>
        <v/>
      </c>
      <c r="J180" s="6" t="str">
        <f>IF($C180="","",IFERROR(AVERAGEIFS(Chicks!$M:$M,Chicks!$F:$F,$C180,Chicks!$G:$G,$D180),""))</f>
        <v/>
      </c>
      <c r="K180" s="6" t="str">
        <f>IF($C180="","",SUMIFS(Chicks!$N:$N,Chicks!$F:$F,$C180,Chicks!$G:$G,$D180))</f>
        <v/>
      </c>
      <c r="L180" s="6" t="str">
        <f>IF($C180="","",SUMIFS(Chicks!$O:$O,Chicks!$F:$F,$C180,Chicks!$G:$G,$D180))</f>
        <v/>
      </c>
      <c r="M180" s="6" t="str">
        <f>IF($C180="","",SUMIFS(Chicks!$P:$P,Chicks!$F:$F,$C180,Chicks!$G:$G,$D180))</f>
        <v/>
      </c>
      <c r="N180" s="6" t="str">
        <f t="shared" si="0"/>
        <v/>
      </c>
      <c r="O180" s="6" t="e">
        <f t="shared" ca="1" si="1"/>
        <v>#NAME?</v>
      </c>
      <c r="P180" s="6" t="str">
        <f t="shared" si="2"/>
        <v/>
      </c>
    </row>
    <row r="181" spans="1:16" ht="14.25" customHeight="1" x14ac:dyDescent="0.3">
      <c r="A181" s="4"/>
      <c r="B181" s="4"/>
      <c r="C181" s="4" t="str">
        <f t="shared" si="3"/>
        <v/>
      </c>
      <c r="D181" s="4" t="str">
        <f t="shared" si="4"/>
        <v/>
      </c>
      <c r="E181" s="4"/>
      <c r="F181" s="6" t="str">
        <f>IF($C181="","",COUNTIFS(Chicks!$F:$F,$C181,Chicks!$G:$G,$D181))</f>
        <v/>
      </c>
      <c r="G181" s="6" t="str">
        <f>IF($C181="","",COUNTIFS(Chicks!$F:$F,$C181,Chicks!$G:$G,$D181,Chicks!$I:$I,"Yes"))</f>
        <v/>
      </c>
      <c r="H181" s="6" t="str">
        <f>IF($C181="","",SUMIFS(Chicks!$J:$J,Chicks!$F:$F,$C181,Chicks!$G:$G,$D181))</f>
        <v/>
      </c>
      <c r="I181" s="6" t="str">
        <f>IF($C181="","",COUNTIFS(Chicks!$F:$F,$C181,Chicks!$G:$G,$D181,Chicks!$I:$I,"No"))</f>
        <v/>
      </c>
      <c r="J181" s="6" t="str">
        <f>IF($C181="","",IFERROR(AVERAGEIFS(Chicks!$M:$M,Chicks!$F:$F,$C181,Chicks!$G:$G,$D181),""))</f>
        <v/>
      </c>
      <c r="K181" s="6" t="str">
        <f>IF($C181="","",SUMIFS(Chicks!$N:$N,Chicks!$F:$F,$C181,Chicks!$G:$G,$D181))</f>
        <v/>
      </c>
      <c r="L181" s="6" t="str">
        <f>IF($C181="","",SUMIFS(Chicks!$O:$O,Chicks!$F:$F,$C181,Chicks!$G:$G,$D181))</f>
        <v/>
      </c>
      <c r="M181" s="6" t="str">
        <f>IF($C181="","",SUMIFS(Chicks!$P:$P,Chicks!$F:$F,$C181,Chicks!$G:$G,$D181))</f>
        <v/>
      </c>
      <c r="N181" s="6" t="str">
        <f t="shared" si="0"/>
        <v/>
      </c>
      <c r="O181" s="6" t="e">
        <f t="shared" ca="1" si="1"/>
        <v>#NAME?</v>
      </c>
      <c r="P181" s="6" t="str">
        <f t="shared" si="2"/>
        <v/>
      </c>
    </row>
    <row r="182" spans="1:16" ht="14.25" customHeight="1" x14ac:dyDescent="0.3">
      <c r="A182" s="4"/>
      <c r="B182" s="4"/>
      <c r="C182" s="4" t="str">
        <f t="shared" si="3"/>
        <v/>
      </c>
      <c r="D182" s="4" t="str">
        <f t="shared" si="4"/>
        <v/>
      </c>
      <c r="E182" s="4"/>
      <c r="F182" s="6" t="str">
        <f>IF($C182="","",COUNTIFS(Chicks!$F:$F,$C182,Chicks!$G:$G,$D182))</f>
        <v/>
      </c>
      <c r="G182" s="6" t="str">
        <f>IF($C182="","",COUNTIFS(Chicks!$F:$F,$C182,Chicks!$G:$G,$D182,Chicks!$I:$I,"Yes"))</f>
        <v/>
      </c>
      <c r="H182" s="6" t="str">
        <f>IF($C182="","",SUMIFS(Chicks!$J:$J,Chicks!$F:$F,$C182,Chicks!$G:$G,$D182))</f>
        <v/>
      </c>
      <c r="I182" s="6" t="str">
        <f>IF($C182="","",COUNTIFS(Chicks!$F:$F,$C182,Chicks!$G:$G,$D182,Chicks!$I:$I,"No"))</f>
        <v/>
      </c>
      <c r="J182" s="6" t="str">
        <f>IF($C182="","",IFERROR(AVERAGEIFS(Chicks!$M:$M,Chicks!$F:$F,$C182,Chicks!$G:$G,$D182),""))</f>
        <v/>
      </c>
      <c r="K182" s="6" t="str">
        <f>IF($C182="","",SUMIFS(Chicks!$N:$N,Chicks!$F:$F,$C182,Chicks!$G:$G,$D182))</f>
        <v/>
      </c>
      <c r="L182" s="6" t="str">
        <f>IF($C182="","",SUMIFS(Chicks!$O:$O,Chicks!$F:$F,$C182,Chicks!$G:$G,$D182))</f>
        <v/>
      </c>
      <c r="M182" s="6" t="str">
        <f>IF($C182="","",SUMIFS(Chicks!$P:$P,Chicks!$F:$F,$C182,Chicks!$G:$G,$D182))</f>
        <v/>
      </c>
      <c r="N182" s="6" t="str">
        <f t="shared" si="0"/>
        <v/>
      </c>
      <c r="O182" s="6" t="e">
        <f t="shared" ca="1" si="1"/>
        <v>#NAME?</v>
      </c>
      <c r="P182" s="6" t="str">
        <f t="shared" si="2"/>
        <v/>
      </c>
    </row>
    <row r="183" spans="1:16" ht="14.25" customHeight="1" x14ac:dyDescent="0.3">
      <c r="A183" s="4"/>
      <c r="B183" s="4"/>
      <c r="C183" s="4" t="str">
        <f t="shared" si="3"/>
        <v/>
      </c>
      <c r="D183" s="4" t="str">
        <f t="shared" si="4"/>
        <v/>
      </c>
      <c r="E183" s="4"/>
      <c r="F183" s="6" t="str">
        <f>IF($C183="","",COUNTIFS(Chicks!$F:$F,$C183,Chicks!$G:$G,$D183))</f>
        <v/>
      </c>
      <c r="G183" s="6" t="str">
        <f>IF($C183="","",COUNTIFS(Chicks!$F:$F,$C183,Chicks!$G:$G,$D183,Chicks!$I:$I,"Yes"))</f>
        <v/>
      </c>
      <c r="H183" s="6" t="str">
        <f>IF($C183="","",SUMIFS(Chicks!$J:$J,Chicks!$F:$F,$C183,Chicks!$G:$G,$D183))</f>
        <v/>
      </c>
      <c r="I183" s="6" t="str">
        <f>IF($C183="","",COUNTIFS(Chicks!$F:$F,$C183,Chicks!$G:$G,$D183,Chicks!$I:$I,"No"))</f>
        <v/>
      </c>
      <c r="J183" s="6" t="str">
        <f>IF($C183="","",IFERROR(AVERAGEIFS(Chicks!$M:$M,Chicks!$F:$F,$C183,Chicks!$G:$G,$D183),""))</f>
        <v/>
      </c>
      <c r="K183" s="6" t="str">
        <f>IF($C183="","",SUMIFS(Chicks!$N:$N,Chicks!$F:$F,$C183,Chicks!$G:$G,$D183))</f>
        <v/>
      </c>
      <c r="L183" s="6" t="str">
        <f>IF($C183="","",SUMIFS(Chicks!$O:$O,Chicks!$F:$F,$C183,Chicks!$G:$G,$D183))</f>
        <v/>
      </c>
      <c r="M183" s="6" t="str">
        <f>IF($C183="","",SUMIFS(Chicks!$P:$P,Chicks!$F:$F,$C183,Chicks!$G:$G,$D183))</f>
        <v/>
      </c>
      <c r="N183" s="6" t="str">
        <f t="shared" si="0"/>
        <v/>
      </c>
      <c r="O183" s="6" t="e">
        <f t="shared" ca="1" si="1"/>
        <v>#NAME?</v>
      </c>
      <c r="P183" s="6" t="str">
        <f t="shared" si="2"/>
        <v/>
      </c>
    </row>
    <row r="184" spans="1:16" ht="14.25" customHeight="1" x14ac:dyDescent="0.3">
      <c r="A184" s="4"/>
      <c r="B184" s="4"/>
      <c r="C184" s="4" t="str">
        <f t="shared" si="3"/>
        <v/>
      </c>
      <c r="D184" s="4" t="str">
        <f t="shared" si="4"/>
        <v/>
      </c>
      <c r="E184" s="4"/>
      <c r="F184" s="6" t="str">
        <f>IF($C184="","",COUNTIFS(Chicks!$F:$F,$C184,Chicks!$G:$G,$D184))</f>
        <v/>
      </c>
      <c r="G184" s="6" t="str">
        <f>IF($C184="","",COUNTIFS(Chicks!$F:$F,$C184,Chicks!$G:$G,$D184,Chicks!$I:$I,"Yes"))</f>
        <v/>
      </c>
      <c r="H184" s="6" t="str">
        <f>IF($C184="","",SUMIFS(Chicks!$J:$J,Chicks!$F:$F,$C184,Chicks!$G:$G,$D184))</f>
        <v/>
      </c>
      <c r="I184" s="6" t="str">
        <f>IF($C184="","",COUNTIFS(Chicks!$F:$F,$C184,Chicks!$G:$G,$D184,Chicks!$I:$I,"No"))</f>
        <v/>
      </c>
      <c r="J184" s="6" t="str">
        <f>IF($C184="","",IFERROR(AVERAGEIFS(Chicks!$M:$M,Chicks!$F:$F,$C184,Chicks!$G:$G,$D184),""))</f>
        <v/>
      </c>
      <c r="K184" s="6" t="str">
        <f>IF($C184="","",SUMIFS(Chicks!$N:$N,Chicks!$F:$F,$C184,Chicks!$G:$G,$D184))</f>
        <v/>
      </c>
      <c r="L184" s="6" t="str">
        <f>IF($C184="","",SUMIFS(Chicks!$O:$O,Chicks!$F:$F,$C184,Chicks!$G:$G,$D184))</f>
        <v/>
      </c>
      <c r="M184" s="6" t="str">
        <f>IF($C184="","",SUMIFS(Chicks!$P:$P,Chicks!$F:$F,$C184,Chicks!$G:$G,$D184))</f>
        <v/>
      </c>
      <c r="N184" s="6" t="str">
        <f t="shared" si="0"/>
        <v/>
      </c>
      <c r="O184" s="6" t="e">
        <f t="shared" ca="1" si="1"/>
        <v>#NAME?</v>
      </c>
      <c r="P184" s="6" t="str">
        <f t="shared" si="2"/>
        <v/>
      </c>
    </row>
    <row r="185" spans="1:16" ht="14.25" customHeight="1" x14ac:dyDescent="0.3">
      <c r="A185" s="4"/>
      <c r="B185" s="4"/>
      <c r="C185" s="4" t="str">
        <f t="shared" si="3"/>
        <v/>
      </c>
      <c r="D185" s="4" t="str">
        <f t="shared" si="4"/>
        <v/>
      </c>
      <c r="E185" s="4"/>
      <c r="F185" s="6" t="str">
        <f>IF($C185="","",COUNTIFS(Chicks!$F:$F,$C185,Chicks!$G:$G,$D185))</f>
        <v/>
      </c>
      <c r="G185" s="6" t="str">
        <f>IF($C185="","",COUNTIFS(Chicks!$F:$F,$C185,Chicks!$G:$G,$D185,Chicks!$I:$I,"Yes"))</f>
        <v/>
      </c>
      <c r="H185" s="6" t="str">
        <f>IF($C185="","",SUMIFS(Chicks!$J:$J,Chicks!$F:$F,$C185,Chicks!$G:$G,$D185))</f>
        <v/>
      </c>
      <c r="I185" s="6" t="str">
        <f>IF($C185="","",COUNTIFS(Chicks!$F:$F,$C185,Chicks!$G:$G,$D185,Chicks!$I:$I,"No"))</f>
        <v/>
      </c>
      <c r="J185" s="6" t="str">
        <f>IF($C185="","",IFERROR(AVERAGEIFS(Chicks!$M:$M,Chicks!$F:$F,$C185,Chicks!$G:$G,$D185),""))</f>
        <v/>
      </c>
      <c r="K185" s="6" t="str">
        <f>IF($C185="","",SUMIFS(Chicks!$N:$N,Chicks!$F:$F,$C185,Chicks!$G:$G,$D185))</f>
        <v/>
      </c>
      <c r="L185" s="6" t="str">
        <f>IF($C185="","",SUMIFS(Chicks!$O:$O,Chicks!$F:$F,$C185,Chicks!$G:$G,$D185))</f>
        <v/>
      </c>
      <c r="M185" s="6" t="str">
        <f>IF($C185="","",SUMIFS(Chicks!$P:$P,Chicks!$F:$F,$C185,Chicks!$G:$G,$D185))</f>
        <v/>
      </c>
      <c r="N185" s="6" t="str">
        <f t="shared" si="0"/>
        <v/>
      </c>
      <c r="O185" s="6" t="e">
        <f t="shared" ca="1" si="1"/>
        <v>#NAME?</v>
      </c>
      <c r="P185" s="6" t="str">
        <f t="shared" si="2"/>
        <v/>
      </c>
    </row>
    <row r="186" spans="1:16" ht="14.25" customHeight="1" x14ac:dyDescent="0.3">
      <c r="A186" s="4"/>
      <c r="B186" s="4"/>
      <c r="C186" s="4" t="str">
        <f t="shared" si="3"/>
        <v/>
      </c>
      <c r="D186" s="4" t="str">
        <f t="shared" si="4"/>
        <v/>
      </c>
      <c r="E186" s="4"/>
      <c r="F186" s="6" t="str">
        <f>IF($C186="","",COUNTIFS(Chicks!$F:$F,$C186,Chicks!$G:$G,$D186))</f>
        <v/>
      </c>
      <c r="G186" s="6" t="str">
        <f>IF($C186="","",COUNTIFS(Chicks!$F:$F,$C186,Chicks!$G:$G,$D186,Chicks!$I:$I,"Yes"))</f>
        <v/>
      </c>
      <c r="H186" s="6" t="str">
        <f>IF($C186="","",SUMIFS(Chicks!$J:$J,Chicks!$F:$F,$C186,Chicks!$G:$G,$D186))</f>
        <v/>
      </c>
      <c r="I186" s="6" t="str">
        <f>IF($C186="","",COUNTIFS(Chicks!$F:$F,$C186,Chicks!$G:$G,$D186,Chicks!$I:$I,"No"))</f>
        <v/>
      </c>
      <c r="J186" s="6" t="str">
        <f>IF($C186="","",IFERROR(AVERAGEIFS(Chicks!$M:$M,Chicks!$F:$F,$C186,Chicks!$G:$G,$D186),""))</f>
        <v/>
      </c>
      <c r="K186" s="6" t="str">
        <f>IF($C186="","",SUMIFS(Chicks!$N:$N,Chicks!$F:$F,$C186,Chicks!$G:$G,$D186))</f>
        <v/>
      </c>
      <c r="L186" s="6" t="str">
        <f>IF($C186="","",SUMIFS(Chicks!$O:$O,Chicks!$F:$F,$C186,Chicks!$G:$G,$D186))</f>
        <v/>
      </c>
      <c r="M186" s="6" t="str">
        <f>IF($C186="","",SUMIFS(Chicks!$P:$P,Chicks!$F:$F,$C186,Chicks!$G:$G,$D186))</f>
        <v/>
      </c>
      <c r="N186" s="6" t="str">
        <f t="shared" si="0"/>
        <v/>
      </c>
      <c r="O186" s="6" t="e">
        <f t="shared" ca="1" si="1"/>
        <v>#NAME?</v>
      </c>
      <c r="P186" s="6" t="str">
        <f t="shared" si="2"/>
        <v/>
      </c>
    </row>
    <row r="187" spans="1:16" ht="14.25" customHeight="1" x14ac:dyDescent="0.3">
      <c r="A187" s="4"/>
      <c r="B187" s="4"/>
      <c r="C187" s="4" t="str">
        <f t="shared" si="3"/>
        <v/>
      </c>
      <c r="D187" s="4" t="str">
        <f t="shared" si="4"/>
        <v/>
      </c>
      <c r="E187" s="4"/>
      <c r="F187" s="6" t="str">
        <f>IF($C187="","",COUNTIFS(Chicks!$F:$F,$C187,Chicks!$G:$G,$D187))</f>
        <v/>
      </c>
      <c r="G187" s="6" t="str">
        <f>IF($C187="","",COUNTIFS(Chicks!$F:$F,$C187,Chicks!$G:$G,$D187,Chicks!$I:$I,"Yes"))</f>
        <v/>
      </c>
      <c r="H187" s="6" t="str">
        <f>IF($C187="","",SUMIFS(Chicks!$J:$J,Chicks!$F:$F,$C187,Chicks!$G:$G,$D187))</f>
        <v/>
      </c>
      <c r="I187" s="6" t="str">
        <f>IF($C187="","",COUNTIFS(Chicks!$F:$F,$C187,Chicks!$G:$G,$D187,Chicks!$I:$I,"No"))</f>
        <v/>
      </c>
      <c r="J187" s="6" t="str">
        <f>IF($C187="","",IFERROR(AVERAGEIFS(Chicks!$M:$M,Chicks!$F:$F,$C187,Chicks!$G:$G,$D187),""))</f>
        <v/>
      </c>
      <c r="K187" s="6" t="str">
        <f>IF($C187="","",SUMIFS(Chicks!$N:$N,Chicks!$F:$F,$C187,Chicks!$G:$G,$D187))</f>
        <v/>
      </c>
      <c r="L187" s="6" t="str">
        <f>IF($C187="","",SUMIFS(Chicks!$O:$O,Chicks!$F:$F,$C187,Chicks!$G:$G,$D187))</f>
        <v/>
      </c>
      <c r="M187" s="6" t="str">
        <f>IF($C187="","",SUMIFS(Chicks!$P:$P,Chicks!$F:$F,$C187,Chicks!$G:$G,$D187))</f>
        <v/>
      </c>
      <c r="N187" s="6" t="str">
        <f t="shared" si="0"/>
        <v/>
      </c>
      <c r="O187" s="6" t="e">
        <f t="shared" ca="1" si="1"/>
        <v>#NAME?</v>
      </c>
      <c r="P187" s="6" t="str">
        <f t="shared" si="2"/>
        <v/>
      </c>
    </row>
    <row r="188" spans="1:16" ht="14.25" customHeight="1" x14ac:dyDescent="0.3">
      <c r="A188" s="4"/>
      <c r="B188" s="4"/>
      <c r="C188" s="4" t="str">
        <f t="shared" si="3"/>
        <v/>
      </c>
      <c r="D188" s="4" t="str">
        <f t="shared" si="4"/>
        <v/>
      </c>
      <c r="E188" s="4"/>
      <c r="F188" s="6" t="str">
        <f>IF($C188="","",COUNTIFS(Chicks!$F:$F,$C188,Chicks!$G:$G,$D188))</f>
        <v/>
      </c>
      <c r="G188" s="6" t="str">
        <f>IF($C188="","",COUNTIFS(Chicks!$F:$F,$C188,Chicks!$G:$G,$D188,Chicks!$I:$I,"Yes"))</f>
        <v/>
      </c>
      <c r="H188" s="6" t="str">
        <f>IF($C188="","",SUMIFS(Chicks!$J:$J,Chicks!$F:$F,$C188,Chicks!$G:$G,$D188))</f>
        <v/>
      </c>
      <c r="I188" s="6" t="str">
        <f>IF($C188="","",COUNTIFS(Chicks!$F:$F,$C188,Chicks!$G:$G,$D188,Chicks!$I:$I,"No"))</f>
        <v/>
      </c>
      <c r="J188" s="6" t="str">
        <f>IF($C188="","",IFERROR(AVERAGEIFS(Chicks!$M:$M,Chicks!$F:$F,$C188,Chicks!$G:$G,$D188),""))</f>
        <v/>
      </c>
      <c r="K188" s="6" t="str">
        <f>IF($C188="","",SUMIFS(Chicks!$N:$N,Chicks!$F:$F,$C188,Chicks!$G:$G,$D188))</f>
        <v/>
      </c>
      <c r="L188" s="6" t="str">
        <f>IF($C188="","",SUMIFS(Chicks!$O:$O,Chicks!$F:$F,$C188,Chicks!$G:$G,$D188))</f>
        <v/>
      </c>
      <c r="M188" s="6" t="str">
        <f>IF($C188="","",SUMIFS(Chicks!$P:$P,Chicks!$F:$F,$C188,Chicks!$G:$G,$D188))</f>
        <v/>
      </c>
      <c r="N188" s="6" t="str">
        <f t="shared" si="0"/>
        <v/>
      </c>
      <c r="O188" s="6" t="e">
        <f t="shared" ca="1" si="1"/>
        <v>#NAME?</v>
      </c>
      <c r="P188" s="6" t="str">
        <f t="shared" si="2"/>
        <v/>
      </c>
    </row>
    <row r="189" spans="1:16" ht="14.25" customHeight="1" x14ac:dyDescent="0.3">
      <c r="A189" s="4"/>
      <c r="B189" s="4"/>
      <c r="C189" s="4" t="str">
        <f t="shared" si="3"/>
        <v/>
      </c>
      <c r="D189" s="4" t="str">
        <f t="shared" si="4"/>
        <v/>
      </c>
      <c r="E189" s="4"/>
      <c r="F189" s="6" t="str">
        <f>IF($C189="","",COUNTIFS(Chicks!$F:$F,$C189,Chicks!$G:$G,$D189))</f>
        <v/>
      </c>
      <c r="G189" s="6" t="str">
        <f>IF($C189="","",COUNTIFS(Chicks!$F:$F,$C189,Chicks!$G:$G,$D189,Chicks!$I:$I,"Yes"))</f>
        <v/>
      </c>
      <c r="H189" s="6" t="str">
        <f>IF($C189="","",SUMIFS(Chicks!$J:$J,Chicks!$F:$F,$C189,Chicks!$G:$G,$D189))</f>
        <v/>
      </c>
      <c r="I189" s="6" t="str">
        <f>IF($C189="","",COUNTIFS(Chicks!$F:$F,$C189,Chicks!$G:$G,$D189,Chicks!$I:$I,"No"))</f>
        <v/>
      </c>
      <c r="J189" s="6" t="str">
        <f>IF($C189="","",IFERROR(AVERAGEIFS(Chicks!$M:$M,Chicks!$F:$F,$C189,Chicks!$G:$G,$D189),""))</f>
        <v/>
      </c>
      <c r="K189" s="6" t="str">
        <f>IF($C189="","",SUMIFS(Chicks!$N:$N,Chicks!$F:$F,$C189,Chicks!$G:$G,$D189))</f>
        <v/>
      </c>
      <c r="L189" s="6" t="str">
        <f>IF($C189="","",SUMIFS(Chicks!$O:$O,Chicks!$F:$F,$C189,Chicks!$G:$G,$D189))</f>
        <v/>
      </c>
      <c r="M189" s="6" t="str">
        <f>IF($C189="","",SUMIFS(Chicks!$P:$P,Chicks!$F:$F,$C189,Chicks!$G:$G,$D189))</f>
        <v/>
      </c>
      <c r="N189" s="6" t="str">
        <f t="shared" si="0"/>
        <v/>
      </c>
      <c r="O189" s="6" t="e">
        <f t="shared" ca="1" si="1"/>
        <v>#NAME?</v>
      </c>
      <c r="P189" s="6" t="str">
        <f t="shared" si="2"/>
        <v/>
      </c>
    </row>
    <row r="190" spans="1:16" ht="14.25" customHeight="1" x14ac:dyDescent="0.3">
      <c r="A190" s="4"/>
      <c r="B190" s="4"/>
      <c r="C190" s="4" t="str">
        <f t="shared" si="3"/>
        <v/>
      </c>
      <c r="D190" s="4" t="str">
        <f t="shared" si="4"/>
        <v/>
      </c>
      <c r="E190" s="4"/>
      <c r="F190" s="6" t="str">
        <f>IF($C190="","",COUNTIFS(Chicks!$F:$F,$C190,Chicks!$G:$G,$D190))</f>
        <v/>
      </c>
      <c r="G190" s="6" t="str">
        <f>IF($C190="","",COUNTIFS(Chicks!$F:$F,$C190,Chicks!$G:$G,$D190,Chicks!$I:$I,"Yes"))</f>
        <v/>
      </c>
      <c r="H190" s="6" t="str">
        <f>IF($C190="","",SUMIFS(Chicks!$J:$J,Chicks!$F:$F,$C190,Chicks!$G:$G,$D190))</f>
        <v/>
      </c>
      <c r="I190" s="6" t="str">
        <f>IF($C190="","",COUNTIFS(Chicks!$F:$F,$C190,Chicks!$G:$G,$D190,Chicks!$I:$I,"No"))</f>
        <v/>
      </c>
      <c r="J190" s="6" t="str">
        <f>IF($C190="","",IFERROR(AVERAGEIFS(Chicks!$M:$M,Chicks!$F:$F,$C190,Chicks!$G:$G,$D190),""))</f>
        <v/>
      </c>
      <c r="K190" s="6" t="str">
        <f>IF($C190="","",SUMIFS(Chicks!$N:$N,Chicks!$F:$F,$C190,Chicks!$G:$G,$D190))</f>
        <v/>
      </c>
      <c r="L190" s="6" t="str">
        <f>IF($C190="","",SUMIFS(Chicks!$O:$O,Chicks!$F:$F,$C190,Chicks!$G:$G,$D190))</f>
        <v/>
      </c>
      <c r="M190" s="6" t="str">
        <f>IF($C190="","",SUMIFS(Chicks!$P:$P,Chicks!$F:$F,$C190,Chicks!$G:$G,$D190))</f>
        <v/>
      </c>
      <c r="N190" s="6" t="str">
        <f t="shared" si="0"/>
        <v/>
      </c>
      <c r="O190" s="6" t="e">
        <f t="shared" ca="1" si="1"/>
        <v>#NAME?</v>
      </c>
      <c r="P190" s="6" t="str">
        <f t="shared" si="2"/>
        <v/>
      </c>
    </row>
    <row r="191" spans="1:16" ht="14.25" customHeight="1" x14ac:dyDescent="0.3">
      <c r="A191" s="4"/>
      <c r="B191" s="4"/>
      <c r="C191" s="4" t="str">
        <f t="shared" si="3"/>
        <v/>
      </c>
      <c r="D191" s="4" t="str">
        <f t="shared" si="4"/>
        <v/>
      </c>
      <c r="E191" s="4"/>
      <c r="F191" s="6" t="str">
        <f>IF($C191="","",COUNTIFS(Chicks!$F:$F,$C191,Chicks!$G:$G,$D191))</f>
        <v/>
      </c>
      <c r="G191" s="6" t="str">
        <f>IF($C191="","",COUNTIFS(Chicks!$F:$F,$C191,Chicks!$G:$G,$D191,Chicks!$I:$I,"Yes"))</f>
        <v/>
      </c>
      <c r="H191" s="6" t="str">
        <f>IF($C191="","",SUMIFS(Chicks!$J:$J,Chicks!$F:$F,$C191,Chicks!$G:$G,$D191))</f>
        <v/>
      </c>
      <c r="I191" s="6" t="str">
        <f>IF($C191="","",COUNTIFS(Chicks!$F:$F,$C191,Chicks!$G:$G,$D191,Chicks!$I:$I,"No"))</f>
        <v/>
      </c>
      <c r="J191" s="6" t="str">
        <f>IF($C191="","",IFERROR(AVERAGEIFS(Chicks!$M:$M,Chicks!$F:$F,$C191,Chicks!$G:$G,$D191),""))</f>
        <v/>
      </c>
      <c r="K191" s="6" t="str">
        <f>IF($C191="","",SUMIFS(Chicks!$N:$N,Chicks!$F:$F,$C191,Chicks!$G:$G,$D191))</f>
        <v/>
      </c>
      <c r="L191" s="6" t="str">
        <f>IF($C191="","",SUMIFS(Chicks!$O:$O,Chicks!$F:$F,$C191,Chicks!$G:$G,$D191))</f>
        <v/>
      </c>
      <c r="M191" s="6" t="str">
        <f>IF($C191="","",SUMIFS(Chicks!$P:$P,Chicks!$F:$F,$C191,Chicks!$G:$G,$D191))</f>
        <v/>
      </c>
      <c r="N191" s="6" t="str">
        <f t="shared" si="0"/>
        <v/>
      </c>
      <c r="O191" s="6" t="e">
        <f t="shared" ca="1" si="1"/>
        <v>#NAME?</v>
      </c>
      <c r="P191" s="6" t="str">
        <f t="shared" si="2"/>
        <v/>
      </c>
    </row>
    <row r="192" spans="1:16" ht="14.25" customHeight="1" x14ac:dyDescent="0.3">
      <c r="A192" s="4"/>
      <c r="B192" s="4"/>
      <c r="C192" s="4" t="str">
        <f t="shared" si="3"/>
        <v/>
      </c>
      <c r="D192" s="4" t="str">
        <f t="shared" si="4"/>
        <v/>
      </c>
      <c r="E192" s="4"/>
      <c r="F192" s="6" t="str">
        <f>IF($C192="","",COUNTIFS(Chicks!$F:$F,$C192,Chicks!$G:$G,$D192))</f>
        <v/>
      </c>
      <c r="G192" s="6" t="str">
        <f>IF($C192="","",COUNTIFS(Chicks!$F:$F,$C192,Chicks!$G:$G,$D192,Chicks!$I:$I,"Yes"))</f>
        <v/>
      </c>
      <c r="H192" s="6" t="str">
        <f>IF($C192="","",SUMIFS(Chicks!$J:$J,Chicks!$F:$F,$C192,Chicks!$G:$G,$D192))</f>
        <v/>
      </c>
      <c r="I192" s="6" t="str">
        <f>IF($C192="","",COUNTIFS(Chicks!$F:$F,$C192,Chicks!$G:$G,$D192,Chicks!$I:$I,"No"))</f>
        <v/>
      </c>
      <c r="J192" s="6" t="str">
        <f>IF($C192="","",IFERROR(AVERAGEIFS(Chicks!$M:$M,Chicks!$F:$F,$C192,Chicks!$G:$G,$D192),""))</f>
        <v/>
      </c>
      <c r="K192" s="6" t="str">
        <f>IF($C192="","",SUMIFS(Chicks!$N:$N,Chicks!$F:$F,$C192,Chicks!$G:$G,$D192))</f>
        <v/>
      </c>
      <c r="L192" s="6" t="str">
        <f>IF($C192="","",SUMIFS(Chicks!$O:$O,Chicks!$F:$F,$C192,Chicks!$G:$G,$D192))</f>
        <v/>
      </c>
      <c r="M192" s="6" t="str">
        <f>IF($C192="","",SUMIFS(Chicks!$P:$P,Chicks!$F:$F,$C192,Chicks!$G:$G,$D192))</f>
        <v/>
      </c>
      <c r="N192" s="6" t="str">
        <f t="shared" si="0"/>
        <v/>
      </c>
      <c r="O192" s="6" t="e">
        <f t="shared" ca="1" si="1"/>
        <v>#NAME?</v>
      </c>
      <c r="P192" s="6" t="str">
        <f t="shared" si="2"/>
        <v/>
      </c>
    </row>
    <row r="193" spans="1:16" ht="14.25" customHeight="1" x14ac:dyDescent="0.3">
      <c r="A193" s="4"/>
      <c r="B193" s="4"/>
      <c r="C193" s="4" t="str">
        <f t="shared" si="3"/>
        <v/>
      </c>
      <c r="D193" s="4" t="str">
        <f t="shared" si="4"/>
        <v/>
      </c>
      <c r="E193" s="4"/>
      <c r="F193" s="6" t="str">
        <f>IF($C193="","",COUNTIFS(Chicks!$F:$F,$C193,Chicks!$G:$G,$D193))</f>
        <v/>
      </c>
      <c r="G193" s="6" t="str">
        <f>IF($C193="","",COUNTIFS(Chicks!$F:$F,$C193,Chicks!$G:$G,$D193,Chicks!$I:$I,"Yes"))</f>
        <v/>
      </c>
      <c r="H193" s="6" t="str">
        <f>IF($C193="","",SUMIFS(Chicks!$J:$J,Chicks!$F:$F,$C193,Chicks!$G:$G,$D193))</f>
        <v/>
      </c>
      <c r="I193" s="6" t="str">
        <f>IF($C193="","",COUNTIFS(Chicks!$F:$F,$C193,Chicks!$G:$G,$D193,Chicks!$I:$I,"No"))</f>
        <v/>
      </c>
      <c r="J193" s="6" t="str">
        <f>IF($C193="","",IFERROR(AVERAGEIFS(Chicks!$M:$M,Chicks!$F:$F,$C193,Chicks!$G:$G,$D193),""))</f>
        <v/>
      </c>
      <c r="K193" s="6" t="str">
        <f>IF($C193="","",SUMIFS(Chicks!$N:$N,Chicks!$F:$F,$C193,Chicks!$G:$G,$D193))</f>
        <v/>
      </c>
      <c r="L193" s="6" t="str">
        <f>IF($C193="","",SUMIFS(Chicks!$O:$O,Chicks!$F:$F,$C193,Chicks!$G:$G,$D193))</f>
        <v/>
      </c>
      <c r="M193" s="6" t="str">
        <f>IF($C193="","",SUMIFS(Chicks!$P:$P,Chicks!$F:$F,$C193,Chicks!$G:$G,$D193))</f>
        <v/>
      </c>
      <c r="N193" s="6" t="str">
        <f t="shared" si="0"/>
        <v/>
      </c>
      <c r="O193" s="6" t="e">
        <f t="shared" ca="1" si="1"/>
        <v>#NAME?</v>
      </c>
      <c r="P193" s="6" t="str">
        <f t="shared" si="2"/>
        <v/>
      </c>
    </row>
    <row r="194" spans="1:16" ht="14.25" customHeight="1" x14ac:dyDescent="0.3">
      <c r="A194" s="4"/>
      <c r="B194" s="4"/>
      <c r="C194" s="4" t="str">
        <f t="shared" si="3"/>
        <v/>
      </c>
      <c r="D194" s="4" t="str">
        <f t="shared" si="4"/>
        <v/>
      </c>
      <c r="E194" s="4"/>
      <c r="F194" s="6" t="str">
        <f>IF($C194="","",COUNTIFS(Chicks!$F:$F,$C194,Chicks!$G:$G,$D194))</f>
        <v/>
      </c>
      <c r="G194" s="6" t="str">
        <f>IF($C194="","",COUNTIFS(Chicks!$F:$F,$C194,Chicks!$G:$G,$D194,Chicks!$I:$I,"Yes"))</f>
        <v/>
      </c>
      <c r="H194" s="6" t="str">
        <f>IF($C194="","",SUMIFS(Chicks!$J:$J,Chicks!$F:$F,$C194,Chicks!$G:$G,$D194))</f>
        <v/>
      </c>
      <c r="I194" s="6" t="str">
        <f>IF($C194="","",COUNTIFS(Chicks!$F:$F,$C194,Chicks!$G:$G,$D194,Chicks!$I:$I,"No"))</f>
        <v/>
      </c>
      <c r="J194" s="6" t="str">
        <f>IF($C194="","",IFERROR(AVERAGEIFS(Chicks!$M:$M,Chicks!$F:$F,$C194,Chicks!$G:$G,$D194),""))</f>
        <v/>
      </c>
      <c r="K194" s="6" t="str">
        <f>IF($C194="","",SUMIFS(Chicks!$N:$N,Chicks!$F:$F,$C194,Chicks!$G:$G,$D194))</f>
        <v/>
      </c>
      <c r="L194" s="6" t="str">
        <f>IF($C194="","",SUMIFS(Chicks!$O:$O,Chicks!$F:$F,$C194,Chicks!$G:$G,$D194))</f>
        <v/>
      </c>
      <c r="M194" s="6" t="str">
        <f>IF($C194="","",SUMIFS(Chicks!$P:$P,Chicks!$F:$F,$C194,Chicks!$G:$G,$D194))</f>
        <v/>
      </c>
      <c r="N194" s="6" t="str">
        <f t="shared" si="0"/>
        <v/>
      </c>
      <c r="O194" s="6" t="e">
        <f t="shared" ca="1" si="1"/>
        <v>#NAME?</v>
      </c>
      <c r="P194" s="6" t="str">
        <f t="shared" si="2"/>
        <v/>
      </c>
    </row>
    <row r="195" spans="1:16" ht="14.25" customHeight="1" x14ac:dyDescent="0.3">
      <c r="A195" s="4"/>
      <c r="B195" s="4"/>
      <c r="C195" s="4" t="str">
        <f t="shared" si="3"/>
        <v/>
      </c>
      <c r="D195" s="4" t="str">
        <f t="shared" si="4"/>
        <v/>
      </c>
      <c r="E195" s="4"/>
      <c r="F195" s="6" t="str">
        <f>IF($C195="","",COUNTIFS(Chicks!$F:$F,$C195,Chicks!$G:$G,$D195))</f>
        <v/>
      </c>
      <c r="G195" s="6" t="str">
        <f>IF($C195="","",COUNTIFS(Chicks!$F:$F,$C195,Chicks!$G:$G,$D195,Chicks!$I:$I,"Yes"))</f>
        <v/>
      </c>
      <c r="H195" s="6" t="str">
        <f>IF($C195="","",SUMIFS(Chicks!$J:$J,Chicks!$F:$F,$C195,Chicks!$G:$G,$D195))</f>
        <v/>
      </c>
      <c r="I195" s="6" t="str">
        <f>IF($C195="","",COUNTIFS(Chicks!$F:$F,$C195,Chicks!$G:$G,$D195,Chicks!$I:$I,"No"))</f>
        <v/>
      </c>
      <c r="J195" s="6" t="str">
        <f>IF($C195="","",IFERROR(AVERAGEIFS(Chicks!$M:$M,Chicks!$F:$F,$C195,Chicks!$G:$G,$D195),""))</f>
        <v/>
      </c>
      <c r="K195" s="6" t="str">
        <f>IF($C195="","",SUMIFS(Chicks!$N:$N,Chicks!$F:$F,$C195,Chicks!$G:$G,$D195))</f>
        <v/>
      </c>
      <c r="L195" s="6" t="str">
        <f>IF($C195="","",SUMIFS(Chicks!$O:$O,Chicks!$F:$F,$C195,Chicks!$G:$G,$D195))</f>
        <v/>
      </c>
      <c r="M195" s="6" t="str">
        <f>IF($C195="","",SUMIFS(Chicks!$P:$P,Chicks!$F:$F,$C195,Chicks!$G:$G,$D195))</f>
        <v/>
      </c>
      <c r="N195" s="6" t="str">
        <f t="shared" si="0"/>
        <v/>
      </c>
      <c r="O195" s="6" t="e">
        <f t="shared" ca="1" si="1"/>
        <v>#NAME?</v>
      </c>
      <c r="P195" s="6" t="str">
        <f t="shared" si="2"/>
        <v/>
      </c>
    </row>
    <row r="196" spans="1:16" ht="14.25" customHeight="1" x14ac:dyDescent="0.3">
      <c r="A196" s="4"/>
      <c r="B196" s="4"/>
      <c r="C196" s="4" t="str">
        <f t="shared" si="3"/>
        <v/>
      </c>
      <c r="D196" s="4" t="str">
        <f t="shared" si="4"/>
        <v/>
      </c>
      <c r="E196" s="4"/>
      <c r="F196" s="6" t="str">
        <f>IF($C196="","",COUNTIFS(Chicks!$F:$F,$C196,Chicks!$G:$G,$D196))</f>
        <v/>
      </c>
      <c r="G196" s="6" t="str">
        <f>IF($C196="","",COUNTIFS(Chicks!$F:$F,$C196,Chicks!$G:$G,$D196,Chicks!$I:$I,"Yes"))</f>
        <v/>
      </c>
      <c r="H196" s="6" t="str">
        <f>IF($C196="","",SUMIFS(Chicks!$J:$J,Chicks!$F:$F,$C196,Chicks!$G:$G,$D196))</f>
        <v/>
      </c>
      <c r="I196" s="6" t="str">
        <f>IF($C196="","",COUNTIFS(Chicks!$F:$F,$C196,Chicks!$G:$G,$D196,Chicks!$I:$I,"No"))</f>
        <v/>
      </c>
      <c r="J196" s="6" t="str">
        <f>IF($C196="","",IFERROR(AVERAGEIFS(Chicks!$M:$M,Chicks!$F:$F,$C196,Chicks!$G:$G,$D196),""))</f>
        <v/>
      </c>
      <c r="K196" s="6" t="str">
        <f>IF($C196="","",SUMIFS(Chicks!$N:$N,Chicks!$F:$F,$C196,Chicks!$G:$G,$D196))</f>
        <v/>
      </c>
      <c r="L196" s="6" t="str">
        <f>IF($C196="","",SUMIFS(Chicks!$O:$O,Chicks!$F:$F,$C196,Chicks!$G:$G,$D196))</f>
        <v/>
      </c>
      <c r="M196" s="6" t="str">
        <f>IF($C196="","",SUMIFS(Chicks!$P:$P,Chicks!$F:$F,$C196,Chicks!$G:$G,$D196))</f>
        <v/>
      </c>
      <c r="N196" s="6" t="str">
        <f t="shared" si="0"/>
        <v/>
      </c>
      <c r="O196" s="6" t="e">
        <f t="shared" ca="1" si="1"/>
        <v>#NAME?</v>
      </c>
      <c r="P196" s="6" t="str">
        <f t="shared" si="2"/>
        <v/>
      </c>
    </row>
    <row r="197" spans="1:16" ht="14.25" customHeight="1" x14ac:dyDescent="0.3">
      <c r="A197" s="4"/>
      <c r="B197" s="4"/>
      <c r="C197" s="4" t="str">
        <f t="shared" si="3"/>
        <v/>
      </c>
      <c r="D197" s="4" t="str">
        <f t="shared" si="4"/>
        <v/>
      </c>
      <c r="E197" s="4"/>
      <c r="F197" s="6" t="str">
        <f>IF($C197="","",COUNTIFS(Chicks!$F:$F,$C197,Chicks!$G:$G,$D197))</f>
        <v/>
      </c>
      <c r="G197" s="6" t="str">
        <f>IF($C197="","",COUNTIFS(Chicks!$F:$F,$C197,Chicks!$G:$G,$D197,Chicks!$I:$I,"Yes"))</f>
        <v/>
      </c>
      <c r="H197" s="6" t="str">
        <f>IF($C197="","",SUMIFS(Chicks!$J:$J,Chicks!$F:$F,$C197,Chicks!$G:$G,$D197))</f>
        <v/>
      </c>
      <c r="I197" s="6" t="str">
        <f>IF($C197="","",COUNTIFS(Chicks!$F:$F,$C197,Chicks!$G:$G,$D197,Chicks!$I:$I,"No"))</f>
        <v/>
      </c>
      <c r="J197" s="6" t="str">
        <f>IF($C197="","",IFERROR(AVERAGEIFS(Chicks!$M:$M,Chicks!$F:$F,$C197,Chicks!$G:$G,$D197),""))</f>
        <v/>
      </c>
      <c r="K197" s="6" t="str">
        <f>IF($C197="","",SUMIFS(Chicks!$N:$N,Chicks!$F:$F,$C197,Chicks!$G:$G,$D197))</f>
        <v/>
      </c>
      <c r="L197" s="6" t="str">
        <f>IF($C197="","",SUMIFS(Chicks!$O:$O,Chicks!$F:$F,$C197,Chicks!$G:$G,$D197))</f>
        <v/>
      </c>
      <c r="M197" s="6" t="str">
        <f>IF($C197="","",SUMIFS(Chicks!$P:$P,Chicks!$F:$F,$C197,Chicks!$G:$G,$D197))</f>
        <v/>
      </c>
      <c r="N197" s="6" t="str">
        <f t="shared" si="0"/>
        <v/>
      </c>
      <c r="O197" s="6" t="e">
        <f t="shared" ca="1" si="1"/>
        <v>#NAME?</v>
      </c>
      <c r="P197" s="6" t="str">
        <f t="shared" si="2"/>
        <v/>
      </c>
    </row>
    <row r="198" spans="1:16" ht="14.25" customHeight="1" x14ac:dyDescent="0.3">
      <c r="A198" s="4"/>
      <c r="B198" s="4"/>
      <c r="C198" s="4" t="str">
        <f t="shared" si="3"/>
        <v/>
      </c>
      <c r="D198" s="4" t="str">
        <f t="shared" si="4"/>
        <v/>
      </c>
      <c r="E198" s="4"/>
      <c r="F198" s="6" t="str">
        <f>IF($C198="","",COUNTIFS(Chicks!$F:$F,$C198,Chicks!$G:$G,$D198))</f>
        <v/>
      </c>
      <c r="G198" s="6" t="str">
        <f>IF($C198="","",COUNTIFS(Chicks!$F:$F,$C198,Chicks!$G:$G,$D198,Chicks!$I:$I,"Yes"))</f>
        <v/>
      </c>
      <c r="H198" s="6" t="str">
        <f>IF($C198="","",SUMIFS(Chicks!$J:$J,Chicks!$F:$F,$C198,Chicks!$G:$G,$D198))</f>
        <v/>
      </c>
      <c r="I198" s="6" t="str">
        <f>IF($C198="","",COUNTIFS(Chicks!$F:$F,$C198,Chicks!$G:$G,$D198,Chicks!$I:$I,"No"))</f>
        <v/>
      </c>
      <c r="J198" s="6" t="str">
        <f>IF($C198="","",IFERROR(AVERAGEIFS(Chicks!$M:$M,Chicks!$F:$F,$C198,Chicks!$G:$G,$D198),""))</f>
        <v/>
      </c>
      <c r="K198" s="6" t="str">
        <f>IF($C198="","",SUMIFS(Chicks!$N:$N,Chicks!$F:$F,$C198,Chicks!$G:$G,$D198))</f>
        <v/>
      </c>
      <c r="L198" s="6" t="str">
        <f>IF($C198="","",SUMIFS(Chicks!$O:$O,Chicks!$F:$F,$C198,Chicks!$G:$G,$D198))</f>
        <v/>
      </c>
      <c r="M198" s="6" t="str">
        <f>IF($C198="","",SUMIFS(Chicks!$P:$P,Chicks!$F:$F,$C198,Chicks!$G:$G,$D198))</f>
        <v/>
      </c>
      <c r="N198" s="6" t="str">
        <f t="shared" si="0"/>
        <v/>
      </c>
      <c r="O198" s="6" t="e">
        <f t="shared" ca="1" si="1"/>
        <v>#NAME?</v>
      </c>
      <c r="P198" s="6" t="str">
        <f t="shared" si="2"/>
        <v/>
      </c>
    </row>
    <row r="199" spans="1:16" ht="14.25" customHeight="1" x14ac:dyDescent="0.3">
      <c r="A199" s="4"/>
      <c r="B199" s="4"/>
      <c r="C199" s="4" t="str">
        <f t="shared" si="3"/>
        <v/>
      </c>
      <c r="D199" s="4" t="str">
        <f t="shared" si="4"/>
        <v/>
      </c>
      <c r="E199" s="4"/>
      <c r="F199" s="6" t="str">
        <f>IF($C199="","",COUNTIFS(Chicks!$F:$F,$C199,Chicks!$G:$G,$D199))</f>
        <v/>
      </c>
      <c r="G199" s="6" t="str">
        <f>IF($C199="","",COUNTIFS(Chicks!$F:$F,$C199,Chicks!$G:$G,$D199,Chicks!$I:$I,"Yes"))</f>
        <v/>
      </c>
      <c r="H199" s="6" t="str">
        <f>IF($C199="","",SUMIFS(Chicks!$J:$J,Chicks!$F:$F,$C199,Chicks!$G:$G,$D199))</f>
        <v/>
      </c>
      <c r="I199" s="6" t="str">
        <f>IF($C199="","",COUNTIFS(Chicks!$F:$F,$C199,Chicks!$G:$G,$D199,Chicks!$I:$I,"No"))</f>
        <v/>
      </c>
      <c r="J199" s="6" t="str">
        <f>IF($C199="","",IFERROR(AVERAGEIFS(Chicks!$M:$M,Chicks!$F:$F,$C199,Chicks!$G:$G,$D199),""))</f>
        <v/>
      </c>
      <c r="K199" s="6" t="str">
        <f>IF($C199="","",SUMIFS(Chicks!$N:$N,Chicks!$F:$F,$C199,Chicks!$G:$G,$D199))</f>
        <v/>
      </c>
      <c r="L199" s="6" t="str">
        <f>IF($C199="","",SUMIFS(Chicks!$O:$O,Chicks!$F:$F,$C199,Chicks!$G:$G,$D199))</f>
        <v/>
      </c>
      <c r="M199" s="6" t="str">
        <f>IF($C199="","",SUMIFS(Chicks!$P:$P,Chicks!$F:$F,$C199,Chicks!$G:$G,$D199))</f>
        <v/>
      </c>
      <c r="N199" s="6" t="str">
        <f t="shared" si="0"/>
        <v/>
      </c>
      <c r="O199" s="6" t="e">
        <f t="shared" ca="1" si="1"/>
        <v>#NAME?</v>
      </c>
      <c r="P199" s="6" t="str">
        <f t="shared" si="2"/>
        <v/>
      </c>
    </row>
    <row r="200" spans="1:16" ht="14.25" customHeight="1" x14ac:dyDescent="0.3">
      <c r="A200" s="4"/>
      <c r="B200" s="4"/>
      <c r="C200" s="4" t="str">
        <f t="shared" si="3"/>
        <v/>
      </c>
      <c r="D200" s="4" t="str">
        <f t="shared" si="4"/>
        <v/>
      </c>
      <c r="E200" s="4"/>
      <c r="F200" s="6" t="str">
        <f>IF($C200="","",COUNTIFS(Chicks!$F:$F,$C200,Chicks!$G:$G,$D200))</f>
        <v/>
      </c>
      <c r="G200" s="6" t="str">
        <f>IF($C200="","",COUNTIFS(Chicks!$F:$F,$C200,Chicks!$G:$G,$D200,Chicks!$I:$I,"Yes"))</f>
        <v/>
      </c>
      <c r="H200" s="6" t="str">
        <f>IF($C200="","",SUMIFS(Chicks!$J:$J,Chicks!$F:$F,$C200,Chicks!$G:$G,$D200))</f>
        <v/>
      </c>
      <c r="I200" s="6" t="str">
        <f>IF($C200="","",COUNTIFS(Chicks!$F:$F,$C200,Chicks!$G:$G,$D200,Chicks!$I:$I,"No"))</f>
        <v/>
      </c>
      <c r="J200" s="6" t="str">
        <f>IF($C200="","",IFERROR(AVERAGEIFS(Chicks!$M:$M,Chicks!$F:$F,$C200,Chicks!$G:$G,$D200),""))</f>
        <v/>
      </c>
      <c r="K200" s="6" t="str">
        <f>IF($C200="","",SUMIFS(Chicks!$N:$N,Chicks!$F:$F,$C200,Chicks!$G:$G,$D200))</f>
        <v/>
      </c>
      <c r="L200" s="6" t="str">
        <f>IF($C200="","",SUMIFS(Chicks!$O:$O,Chicks!$F:$F,$C200,Chicks!$G:$G,$D200))</f>
        <v/>
      </c>
      <c r="M200" s="6" t="str">
        <f>IF($C200="","",SUMIFS(Chicks!$P:$P,Chicks!$F:$F,$C200,Chicks!$G:$G,$D200))</f>
        <v/>
      </c>
      <c r="N200" s="6" t="str">
        <f t="shared" si="0"/>
        <v/>
      </c>
      <c r="O200" s="6" t="e">
        <f t="shared" ca="1" si="1"/>
        <v>#NAME?</v>
      </c>
      <c r="P200" s="6" t="str">
        <f t="shared" si="2"/>
        <v/>
      </c>
    </row>
    <row r="201" spans="1:16" ht="14.25" customHeight="1" x14ac:dyDescent="0.3">
      <c r="A201" s="4"/>
      <c r="B201" s="4"/>
      <c r="C201" s="4" t="str">
        <f t="shared" si="3"/>
        <v/>
      </c>
      <c r="D201" s="4" t="str">
        <f t="shared" si="4"/>
        <v/>
      </c>
      <c r="E201" s="4"/>
      <c r="F201" s="6" t="str">
        <f>IF($C201="","",COUNTIFS(Chicks!$F:$F,$C201,Chicks!$G:$G,$D201))</f>
        <v/>
      </c>
      <c r="G201" s="6" t="str">
        <f>IF($C201="","",COUNTIFS(Chicks!$F:$F,$C201,Chicks!$G:$G,$D201,Chicks!$I:$I,"Yes"))</f>
        <v/>
      </c>
      <c r="H201" s="6" t="str">
        <f>IF($C201="","",SUMIFS(Chicks!$J:$J,Chicks!$F:$F,$C201,Chicks!$G:$G,$D201))</f>
        <v/>
      </c>
      <c r="I201" s="6" t="str">
        <f>IF($C201="","",COUNTIFS(Chicks!$F:$F,$C201,Chicks!$G:$G,$D201,Chicks!$I:$I,"No"))</f>
        <v/>
      </c>
      <c r="J201" s="6" t="str">
        <f>IF($C201="","",IFERROR(AVERAGEIFS(Chicks!$M:$M,Chicks!$F:$F,$C201,Chicks!$G:$G,$D201),""))</f>
        <v/>
      </c>
      <c r="K201" s="6" t="str">
        <f>IF($C201="","",SUMIFS(Chicks!$N:$N,Chicks!$F:$F,$C201,Chicks!$G:$G,$D201))</f>
        <v/>
      </c>
      <c r="L201" s="6" t="str">
        <f>IF($C201="","",SUMIFS(Chicks!$O:$O,Chicks!$F:$F,$C201,Chicks!$G:$G,$D201))</f>
        <v/>
      </c>
      <c r="M201" s="6" t="str">
        <f>IF($C201="","",SUMIFS(Chicks!$P:$P,Chicks!$F:$F,$C201,Chicks!$G:$G,$D201))</f>
        <v/>
      </c>
      <c r="N201" s="6" t="str">
        <f t="shared" si="0"/>
        <v/>
      </c>
      <c r="O201" s="6" t="e">
        <f t="shared" ca="1" si="1"/>
        <v>#NAME?</v>
      </c>
      <c r="P201" s="6" t="str">
        <f t="shared" si="2"/>
        <v/>
      </c>
    </row>
    <row r="202" spans="1:16" ht="14.25" customHeight="1" x14ac:dyDescent="0.3">
      <c r="A202" s="4"/>
      <c r="B202" s="4"/>
      <c r="C202" s="4" t="str">
        <f t="shared" si="3"/>
        <v/>
      </c>
      <c r="D202" s="4" t="str">
        <f t="shared" si="4"/>
        <v/>
      </c>
      <c r="E202" s="4"/>
      <c r="F202" s="6" t="str">
        <f>IF($C202="","",COUNTIFS(Chicks!$F:$F,$C202,Chicks!$G:$G,$D202))</f>
        <v/>
      </c>
      <c r="G202" s="6" t="str">
        <f>IF($C202="","",COUNTIFS(Chicks!$F:$F,$C202,Chicks!$G:$G,$D202,Chicks!$I:$I,"Yes"))</f>
        <v/>
      </c>
      <c r="H202" s="6" t="str">
        <f>IF($C202="","",SUMIFS(Chicks!$J:$J,Chicks!$F:$F,$C202,Chicks!$G:$G,$D202))</f>
        <v/>
      </c>
      <c r="I202" s="6" t="str">
        <f>IF($C202="","",COUNTIFS(Chicks!$F:$F,$C202,Chicks!$G:$G,$D202,Chicks!$I:$I,"No"))</f>
        <v/>
      </c>
      <c r="J202" s="6" t="str">
        <f>IF($C202="","",IFERROR(AVERAGEIFS(Chicks!$M:$M,Chicks!$F:$F,$C202,Chicks!$G:$G,$D202),""))</f>
        <v/>
      </c>
      <c r="K202" s="6" t="str">
        <f>IF($C202="","",SUMIFS(Chicks!$N:$N,Chicks!$F:$F,$C202,Chicks!$G:$G,$D202))</f>
        <v/>
      </c>
      <c r="L202" s="6" t="str">
        <f>IF($C202="","",SUMIFS(Chicks!$O:$O,Chicks!$F:$F,$C202,Chicks!$G:$G,$D202))</f>
        <v/>
      </c>
      <c r="M202" s="6" t="str">
        <f>IF($C202="","",SUMIFS(Chicks!$P:$P,Chicks!$F:$F,$C202,Chicks!$G:$G,$D202))</f>
        <v/>
      </c>
      <c r="N202" s="6" t="str">
        <f t="shared" si="0"/>
        <v/>
      </c>
      <c r="O202" s="6" t="e">
        <f t="shared" ca="1" si="1"/>
        <v>#NAME?</v>
      </c>
      <c r="P202" s="6" t="str">
        <f t="shared" si="2"/>
        <v/>
      </c>
    </row>
    <row r="203" spans="1:16" ht="14.25" customHeight="1" x14ac:dyDescent="0.3">
      <c r="A203" s="4"/>
      <c r="B203" s="4"/>
      <c r="C203" s="4" t="str">
        <f t="shared" si="3"/>
        <v/>
      </c>
      <c r="D203" s="4" t="str">
        <f t="shared" si="4"/>
        <v/>
      </c>
      <c r="E203" s="4"/>
      <c r="F203" s="6" t="str">
        <f>IF($C203="","",COUNTIFS(Chicks!$F:$F,$C203,Chicks!$G:$G,$D203))</f>
        <v/>
      </c>
      <c r="G203" s="6" t="str">
        <f>IF($C203="","",COUNTIFS(Chicks!$F:$F,$C203,Chicks!$G:$G,$D203,Chicks!$I:$I,"Yes"))</f>
        <v/>
      </c>
      <c r="H203" s="6" t="str">
        <f>IF($C203="","",SUMIFS(Chicks!$J:$J,Chicks!$F:$F,$C203,Chicks!$G:$G,$D203))</f>
        <v/>
      </c>
      <c r="I203" s="6" t="str">
        <f>IF($C203="","",COUNTIFS(Chicks!$F:$F,$C203,Chicks!$G:$G,$D203,Chicks!$I:$I,"No"))</f>
        <v/>
      </c>
      <c r="J203" s="6" t="str">
        <f>IF($C203="","",IFERROR(AVERAGEIFS(Chicks!$M:$M,Chicks!$F:$F,$C203,Chicks!$G:$G,$D203),""))</f>
        <v/>
      </c>
      <c r="K203" s="6" t="str">
        <f>IF($C203="","",SUMIFS(Chicks!$N:$N,Chicks!$F:$F,$C203,Chicks!$G:$G,$D203))</f>
        <v/>
      </c>
      <c r="L203" s="6" t="str">
        <f>IF($C203="","",SUMIFS(Chicks!$O:$O,Chicks!$F:$F,$C203,Chicks!$G:$G,$D203))</f>
        <v/>
      </c>
      <c r="M203" s="6" t="str">
        <f>IF($C203="","",SUMIFS(Chicks!$P:$P,Chicks!$F:$F,$C203,Chicks!$G:$G,$D203))</f>
        <v/>
      </c>
      <c r="N203" s="6" t="str">
        <f t="shared" si="0"/>
        <v/>
      </c>
      <c r="O203" s="6" t="e">
        <f t="shared" ca="1" si="1"/>
        <v>#NAME?</v>
      </c>
      <c r="P203" s="6" t="str">
        <f t="shared" si="2"/>
        <v/>
      </c>
    </row>
    <row r="204" spans="1:16" ht="14.25" customHeight="1" x14ac:dyDescent="0.3">
      <c r="A204" s="4"/>
      <c r="B204" s="4"/>
      <c r="C204" s="4" t="str">
        <f t="shared" si="3"/>
        <v/>
      </c>
      <c r="D204" s="4" t="str">
        <f t="shared" si="4"/>
        <v/>
      </c>
      <c r="E204" s="4"/>
      <c r="F204" s="6" t="str">
        <f>IF($C204="","",COUNTIFS(Chicks!$F:$F,$C204,Chicks!$G:$G,$D204))</f>
        <v/>
      </c>
      <c r="G204" s="6" t="str">
        <f>IF($C204="","",COUNTIFS(Chicks!$F:$F,$C204,Chicks!$G:$G,$D204,Chicks!$I:$I,"Yes"))</f>
        <v/>
      </c>
      <c r="H204" s="6" t="str">
        <f>IF($C204="","",SUMIFS(Chicks!$J:$J,Chicks!$F:$F,$C204,Chicks!$G:$G,$D204))</f>
        <v/>
      </c>
      <c r="I204" s="6" t="str">
        <f>IF($C204="","",COUNTIFS(Chicks!$F:$F,$C204,Chicks!$G:$G,$D204,Chicks!$I:$I,"No"))</f>
        <v/>
      </c>
      <c r="J204" s="6" t="str">
        <f>IF($C204="","",IFERROR(AVERAGEIFS(Chicks!$M:$M,Chicks!$F:$F,$C204,Chicks!$G:$G,$D204),""))</f>
        <v/>
      </c>
      <c r="K204" s="6" t="str">
        <f>IF($C204="","",SUMIFS(Chicks!$N:$N,Chicks!$F:$F,$C204,Chicks!$G:$G,$D204))</f>
        <v/>
      </c>
      <c r="L204" s="6" t="str">
        <f>IF($C204="","",SUMIFS(Chicks!$O:$O,Chicks!$F:$F,$C204,Chicks!$G:$G,$D204))</f>
        <v/>
      </c>
      <c r="M204" s="6" t="str">
        <f>IF($C204="","",SUMIFS(Chicks!$P:$P,Chicks!$F:$F,$C204,Chicks!$G:$G,$D204))</f>
        <v/>
      </c>
      <c r="N204" s="6" t="str">
        <f t="shared" si="0"/>
        <v/>
      </c>
      <c r="O204" s="6" t="e">
        <f t="shared" ca="1" si="1"/>
        <v>#NAME?</v>
      </c>
      <c r="P204" s="6" t="str">
        <f t="shared" si="2"/>
        <v/>
      </c>
    </row>
    <row r="205" spans="1:16" ht="14.25" customHeight="1" x14ac:dyDescent="0.3">
      <c r="A205" s="4"/>
      <c r="B205" s="4"/>
      <c r="C205" s="4" t="str">
        <f t="shared" si="3"/>
        <v/>
      </c>
      <c r="D205" s="4" t="str">
        <f t="shared" si="4"/>
        <v/>
      </c>
      <c r="E205" s="4"/>
      <c r="F205" s="6" t="str">
        <f>IF($C205="","",COUNTIFS(Chicks!$F:$F,$C205,Chicks!$G:$G,$D205))</f>
        <v/>
      </c>
      <c r="G205" s="6" t="str">
        <f>IF($C205="","",COUNTIFS(Chicks!$F:$F,$C205,Chicks!$G:$G,$D205,Chicks!$I:$I,"Yes"))</f>
        <v/>
      </c>
      <c r="H205" s="6" t="str">
        <f>IF($C205="","",SUMIFS(Chicks!$J:$J,Chicks!$F:$F,$C205,Chicks!$G:$G,$D205))</f>
        <v/>
      </c>
      <c r="I205" s="6" t="str">
        <f>IF($C205="","",COUNTIFS(Chicks!$F:$F,$C205,Chicks!$G:$G,$D205,Chicks!$I:$I,"No"))</f>
        <v/>
      </c>
      <c r="J205" s="6" t="str">
        <f>IF($C205="","",IFERROR(AVERAGEIFS(Chicks!$M:$M,Chicks!$F:$F,$C205,Chicks!$G:$G,$D205),""))</f>
        <v/>
      </c>
      <c r="K205" s="6" t="str">
        <f>IF($C205="","",SUMIFS(Chicks!$N:$N,Chicks!$F:$F,$C205,Chicks!$G:$G,$D205))</f>
        <v/>
      </c>
      <c r="L205" s="6" t="str">
        <f>IF($C205="","",SUMIFS(Chicks!$O:$O,Chicks!$F:$F,$C205,Chicks!$G:$G,$D205))</f>
        <v/>
      </c>
      <c r="M205" s="6" t="str">
        <f>IF($C205="","",SUMIFS(Chicks!$P:$P,Chicks!$F:$F,$C205,Chicks!$G:$G,$D205))</f>
        <v/>
      </c>
      <c r="N205" s="6" t="str">
        <f t="shared" si="0"/>
        <v/>
      </c>
      <c r="O205" s="6" t="e">
        <f t="shared" ca="1" si="1"/>
        <v>#NAME?</v>
      </c>
      <c r="P205" s="6" t="str">
        <f t="shared" si="2"/>
        <v/>
      </c>
    </row>
    <row r="206" spans="1:16" ht="14.25" customHeight="1" x14ac:dyDescent="0.3">
      <c r="A206" s="4"/>
      <c r="B206" s="4"/>
      <c r="C206" s="4" t="str">
        <f t="shared" si="3"/>
        <v/>
      </c>
      <c r="D206" s="4" t="str">
        <f t="shared" si="4"/>
        <v/>
      </c>
      <c r="E206" s="4"/>
      <c r="F206" s="6" t="str">
        <f>IF($C206="","",COUNTIFS(Chicks!$F:$F,$C206,Chicks!$G:$G,$D206))</f>
        <v/>
      </c>
      <c r="G206" s="6" t="str">
        <f>IF($C206="","",COUNTIFS(Chicks!$F:$F,$C206,Chicks!$G:$G,$D206,Chicks!$I:$I,"Yes"))</f>
        <v/>
      </c>
      <c r="H206" s="6" t="str">
        <f>IF($C206="","",SUMIFS(Chicks!$J:$J,Chicks!$F:$F,$C206,Chicks!$G:$G,$D206))</f>
        <v/>
      </c>
      <c r="I206" s="6" t="str">
        <f>IF($C206="","",COUNTIFS(Chicks!$F:$F,$C206,Chicks!$G:$G,$D206,Chicks!$I:$I,"No"))</f>
        <v/>
      </c>
      <c r="J206" s="6" t="str">
        <f>IF($C206="","",IFERROR(AVERAGEIFS(Chicks!$M:$M,Chicks!$F:$F,$C206,Chicks!$G:$G,$D206),""))</f>
        <v/>
      </c>
      <c r="K206" s="6" t="str">
        <f>IF($C206="","",SUMIFS(Chicks!$N:$N,Chicks!$F:$F,$C206,Chicks!$G:$G,$D206))</f>
        <v/>
      </c>
      <c r="L206" s="6" t="str">
        <f>IF($C206="","",SUMIFS(Chicks!$O:$O,Chicks!$F:$F,$C206,Chicks!$G:$G,$D206))</f>
        <v/>
      </c>
      <c r="M206" s="6" t="str">
        <f>IF($C206="","",SUMIFS(Chicks!$P:$P,Chicks!$F:$F,$C206,Chicks!$G:$G,$D206))</f>
        <v/>
      </c>
      <c r="N206" s="6" t="str">
        <f t="shared" si="0"/>
        <v/>
      </c>
      <c r="O206" s="6" t="e">
        <f t="shared" ca="1" si="1"/>
        <v>#NAME?</v>
      </c>
      <c r="P206" s="6" t="str">
        <f t="shared" si="2"/>
        <v/>
      </c>
    </row>
    <row r="207" spans="1:16" ht="14.25" customHeight="1" x14ac:dyDescent="0.3">
      <c r="A207" s="4"/>
      <c r="B207" s="4"/>
      <c r="C207" s="4" t="str">
        <f t="shared" si="3"/>
        <v/>
      </c>
      <c r="D207" s="4" t="str">
        <f t="shared" si="4"/>
        <v/>
      </c>
      <c r="E207" s="4"/>
      <c r="F207" s="6" t="str">
        <f>IF($C207="","",COUNTIFS(Chicks!$F:$F,$C207,Chicks!$G:$G,$D207))</f>
        <v/>
      </c>
      <c r="G207" s="6" t="str">
        <f>IF($C207="","",COUNTIFS(Chicks!$F:$F,$C207,Chicks!$G:$G,$D207,Chicks!$I:$I,"Yes"))</f>
        <v/>
      </c>
      <c r="H207" s="6" t="str">
        <f>IF($C207="","",SUMIFS(Chicks!$J:$J,Chicks!$F:$F,$C207,Chicks!$G:$G,$D207))</f>
        <v/>
      </c>
      <c r="I207" s="6" t="str">
        <f>IF($C207="","",COUNTIFS(Chicks!$F:$F,$C207,Chicks!$G:$G,$D207,Chicks!$I:$I,"No"))</f>
        <v/>
      </c>
      <c r="J207" s="6" t="str">
        <f>IF($C207="","",IFERROR(AVERAGEIFS(Chicks!$M:$M,Chicks!$F:$F,$C207,Chicks!$G:$G,$D207),""))</f>
        <v/>
      </c>
      <c r="K207" s="6" t="str">
        <f>IF($C207="","",SUMIFS(Chicks!$N:$N,Chicks!$F:$F,$C207,Chicks!$G:$G,$D207))</f>
        <v/>
      </c>
      <c r="L207" s="6" t="str">
        <f>IF($C207="","",SUMIFS(Chicks!$O:$O,Chicks!$F:$F,$C207,Chicks!$G:$G,$D207))</f>
        <v/>
      </c>
      <c r="M207" s="6" t="str">
        <f>IF($C207="","",SUMIFS(Chicks!$P:$P,Chicks!$F:$F,$C207,Chicks!$G:$G,$D207))</f>
        <v/>
      </c>
      <c r="N207" s="6" t="str">
        <f t="shared" si="0"/>
        <v/>
      </c>
      <c r="O207" s="6" t="e">
        <f t="shared" ca="1" si="1"/>
        <v>#NAME?</v>
      </c>
      <c r="P207" s="6" t="str">
        <f t="shared" si="2"/>
        <v/>
      </c>
    </row>
    <row r="208" spans="1:16" ht="14.25" customHeight="1" x14ac:dyDescent="0.3">
      <c r="A208" s="4"/>
      <c r="B208" s="4"/>
      <c r="C208" s="4" t="str">
        <f t="shared" si="3"/>
        <v/>
      </c>
      <c r="D208" s="4" t="str">
        <f t="shared" si="4"/>
        <v/>
      </c>
      <c r="E208" s="4"/>
      <c r="F208" s="6" t="str">
        <f>IF($C208="","",COUNTIFS(Chicks!$F:$F,$C208,Chicks!$G:$G,$D208))</f>
        <v/>
      </c>
      <c r="G208" s="6" t="str">
        <f>IF($C208="","",COUNTIFS(Chicks!$F:$F,$C208,Chicks!$G:$G,$D208,Chicks!$I:$I,"Yes"))</f>
        <v/>
      </c>
      <c r="H208" s="6" t="str">
        <f>IF($C208="","",SUMIFS(Chicks!$J:$J,Chicks!$F:$F,$C208,Chicks!$G:$G,$D208))</f>
        <v/>
      </c>
      <c r="I208" s="6" t="str">
        <f>IF($C208="","",COUNTIFS(Chicks!$F:$F,$C208,Chicks!$G:$G,$D208,Chicks!$I:$I,"No"))</f>
        <v/>
      </c>
      <c r="J208" s="6" t="str">
        <f>IF($C208="","",IFERROR(AVERAGEIFS(Chicks!$M:$M,Chicks!$F:$F,$C208,Chicks!$G:$G,$D208),""))</f>
        <v/>
      </c>
      <c r="K208" s="6" t="str">
        <f>IF($C208="","",SUMIFS(Chicks!$N:$N,Chicks!$F:$F,$C208,Chicks!$G:$G,$D208))</f>
        <v/>
      </c>
      <c r="L208" s="6" t="str">
        <f>IF($C208="","",SUMIFS(Chicks!$O:$O,Chicks!$F:$F,$C208,Chicks!$G:$G,$D208))</f>
        <v/>
      </c>
      <c r="M208" s="6" t="str">
        <f>IF($C208="","",SUMIFS(Chicks!$P:$P,Chicks!$F:$F,$C208,Chicks!$G:$G,$D208))</f>
        <v/>
      </c>
      <c r="N208" s="6" t="str">
        <f t="shared" si="0"/>
        <v/>
      </c>
      <c r="O208" s="6" t="e">
        <f t="shared" ca="1" si="1"/>
        <v>#NAME?</v>
      </c>
      <c r="P208" s="6" t="str">
        <f t="shared" si="2"/>
        <v/>
      </c>
    </row>
    <row r="209" spans="1:16" ht="14.25" customHeight="1" x14ac:dyDescent="0.3">
      <c r="A209" s="4"/>
      <c r="B209" s="4"/>
      <c r="C209" s="4" t="str">
        <f t="shared" si="3"/>
        <v/>
      </c>
      <c r="D209" s="4" t="str">
        <f t="shared" si="4"/>
        <v/>
      </c>
      <c r="E209" s="4"/>
      <c r="F209" s="6" t="str">
        <f>IF($C209="","",COUNTIFS(Chicks!$F:$F,$C209,Chicks!$G:$G,$D209))</f>
        <v/>
      </c>
      <c r="G209" s="6" t="str">
        <f>IF($C209="","",COUNTIFS(Chicks!$F:$F,$C209,Chicks!$G:$G,$D209,Chicks!$I:$I,"Yes"))</f>
        <v/>
      </c>
      <c r="H209" s="6" t="str">
        <f>IF($C209="","",SUMIFS(Chicks!$J:$J,Chicks!$F:$F,$C209,Chicks!$G:$G,$D209))</f>
        <v/>
      </c>
      <c r="I209" s="6" t="str">
        <f>IF($C209="","",COUNTIFS(Chicks!$F:$F,$C209,Chicks!$G:$G,$D209,Chicks!$I:$I,"No"))</f>
        <v/>
      </c>
      <c r="J209" s="6" t="str">
        <f>IF($C209="","",IFERROR(AVERAGEIFS(Chicks!$M:$M,Chicks!$F:$F,$C209,Chicks!$G:$G,$D209),""))</f>
        <v/>
      </c>
      <c r="K209" s="6" t="str">
        <f>IF($C209="","",SUMIFS(Chicks!$N:$N,Chicks!$F:$F,$C209,Chicks!$G:$G,$D209))</f>
        <v/>
      </c>
      <c r="L209" s="6" t="str">
        <f>IF($C209="","",SUMIFS(Chicks!$O:$O,Chicks!$F:$F,$C209,Chicks!$G:$G,$D209))</f>
        <v/>
      </c>
      <c r="M209" s="6" t="str">
        <f>IF($C209="","",SUMIFS(Chicks!$P:$P,Chicks!$F:$F,$C209,Chicks!$G:$G,$D209))</f>
        <v/>
      </c>
      <c r="N209" s="6" t="str">
        <f t="shared" si="0"/>
        <v/>
      </c>
      <c r="O209" s="6" t="e">
        <f t="shared" ca="1" si="1"/>
        <v>#NAME?</v>
      </c>
      <c r="P209" s="6" t="str">
        <f t="shared" si="2"/>
        <v/>
      </c>
    </row>
    <row r="210" spans="1:16" ht="14.25" customHeight="1" x14ac:dyDescent="0.3">
      <c r="A210" s="4"/>
      <c r="B210" s="4"/>
      <c r="C210" s="4" t="str">
        <f t="shared" si="3"/>
        <v/>
      </c>
      <c r="D210" s="4" t="str">
        <f t="shared" si="4"/>
        <v/>
      </c>
      <c r="E210" s="4"/>
      <c r="F210" s="6" t="str">
        <f>IF($C210="","",COUNTIFS(Chicks!$F:$F,$C210,Chicks!$G:$G,$D210))</f>
        <v/>
      </c>
      <c r="G210" s="6" t="str">
        <f>IF($C210="","",COUNTIFS(Chicks!$F:$F,$C210,Chicks!$G:$G,$D210,Chicks!$I:$I,"Yes"))</f>
        <v/>
      </c>
      <c r="H210" s="6" t="str">
        <f>IF($C210="","",SUMIFS(Chicks!$J:$J,Chicks!$F:$F,$C210,Chicks!$G:$G,$D210))</f>
        <v/>
      </c>
      <c r="I210" s="6" t="str">
        <f>IF($C210="","",COUNTIFS(Chicks!$F:$F,$C210,Chicks!$G:$G,$D210,Chicks!$I:$I,"No"))</f>
        <v/>
      </c>
      <c r="J210" s="6" t="str">
        <f>IF($C210="","",IFERROR(AVERAGEIFS(Chicks!$M:$M,Chicks!$F:$F,$C210,Chicks!$G:$G,$D210),""))</f>
        <v/>
      </c>
      <c r="K210" s="6" t="str">
        <f>IF($C210="","",SUMIFS(Chicks!$N:$N,Chicks!$F:$F,$C210,Chicks!$G:$G,$D210))</f>
        <v/>
      </c>
      <c r="L210" s="6" t="str">
        <f>IF($C210="","",SUMIFS(Chicks!$O:$O,Chicks!$F:$F,$C210,Chicks!$G:$G,$D210))</f>
        <v/>
      </c>
      <c r="M210" s="6" t="str">
        <f>IF($C210="","",SUMIFS(Chicks!$P:$P,Chicks!$F:$F,$C210,Chicks!$G:$G,$D210))</f>
        <v/>
      </c>
      <c r="N210" s="6" t="str">
        <f t="shared" si="0"/>
        <v/>
      </c>
      <c r="O210" s="6" t="e">
        <f t="shared" ca="1" si="1"/>
        <v>#NAME?</v>
      </c>
      <c r="P210" s="6" t="str">
        <f t="shared" si="2"/>
        <v/>
      </c>
    </row>
    <row r="211" spans="1:16" ht="14.25" customHeight="1" x14ac:dyDescent="0.3">
      <c r="A211" s="4"/>
      <c r="B211" s="4"/>
      <c r="C211" s="4" t="str">
        <f t="shared" si="3"/>
        <v/>
      </c>
      <c r="D211" s="4" t="str">
        <f t="shared" si="4"/>
        <v/>
      </c>
      <c r="E211" s="4"/>
      <c r="F211" s="6" t="str">
        <f>IF($C211="","",COUNTIFS(Chicks!$F:$F,$C211,Chicks!$G:$G,$D211))</f>
        <v/>
      </c>
      <c r="G211" s="6" t="str">
        <f>IF($C211="","",COUNTIFS(Chicks!$F:$F,$C211,Chicks!$G:$G,$D211,Chicks!$I:$I,"Yes"))</f>
        <v/>
      </c>
      <c r="H211" s="6" t="str">
        <f>IF($C211="","",SUMIFS(Chicks!$J:$J,Chicks!$F:$F,$C211,Chicks!$G:$G,$D211))</f>
        <v/>
      </c>
      <c r="I211" s="6" t="str">
        <f>IF($C211="","",COUNTIFS(Chicks!$F:$F,$C211,Chicks!$G:$G,$D211,Chicks!$I:$I,"No"))</f>
        <v/>
      </c>
      <c r="J211" s="6" t="str">
        <f>IF($C211="","",IFERROR(AVERAGEIFS(Chicks!$M:$M,Chicks!$F:$F,$C211,Chicks!$G:$G,$D211),""))</f>
        <v/>
      </c>
      <c r="K211" s="6" t="str">
        <f>IF($C211="","",SUMIFS(Chicks!$N:$N,Chicks!$F:$F,$C211,Chicks!$G:$G,$D211))</f>
        <v/>
      </c>
      <c r="L211" s="6" t="str">
        <f>IF($C211="","",SUMIFS(Chicks!$O:$O,Chicks!$F:$F,$C211,Chicks!$G:$G,$D211))</f>
        <v/>
      </c>
      <c r="M211" s="6" t="str">
        <f>IF($C211="","",SUMIFS(Chicks!$P:$P,Chicks!$F:$F,$C211,Chicks!$G:$G,$D211))</f>
        <v/>
      </c>
      <c r="N211" s="6" t="str">
        <f t="shared" si="0"/>
        <v/>
      </c>
      <c r="O211" s="6" t="e">
        <f t="shared" ca="1" si="1"/>
        <v>#NAME?</v>
      </c>
      <c r="P211" s="6" t="str">
        <f t="shared" si="2"/>
        <v/>
      </c>
    </row>
    <row r="212" spans="1:16" ht="14.25" customHeight="1" x14ac:dyDescent="0.3">
      <c r="A212" s="4"/>
      <c r="B212" s="4"/>
      <c r="C212" s="4" t="str">
        <f t="shared" si="3"/>
        <v/>
      </c>
      <c r="D212" s="4" t="str">
        <f t="shared" si="4"/>
        <v/>
      </c>
      <c r="E212" s="4"/>
      <c r="F212" s="6" t="str">
        <f>IF($C212="","",COUNTIFS(Chicks!$F:$F,$C212,Chicks!$G:$G,$D212))</f>
        <v/>
      </c>
      <c r="G212" s="6" t="str">
        <f>IF($C212="","",COUNTIFS(Chicks!$F:$F,$C212,Chicks!$G:$G,$D212,Chicks!$I:$I,"Yes"))</f>
        <v/>
      </c>
      <c r="H212" s="6" t="str">
        <f>IF($C212="","",SUMIFS(Chicks!$J:$J,Chicks!$F:$F,$C212,Chicks!$G:$G,$D212))</f>
        <v/>
      </c>
      <c r="I212" s="6" t="str">
        <f>IF($C212="","",COUNTIFS(Chicks!$F:$F,$C212,Chicks!$G:$G,$D212,Chicks!$I:$I,"No"))</f>
        <v/>
      </c>
      <c r="J212" s="6" t="str">
        <f>IF($C212="","",IFERROR(AVERAGEIFS(Chicks!$M:$M,Chicks!$F:$F,$C212,Chicks!$G:$G,$D212),""))</f>
        <v/>
      </c>
      <c r="K212" s="6" t="str">
        <f>IF($C212="","",SUMIFS(Chicks!$N:$N,Chicks!$F:$F,$C212,Chicks!$G:$G,$D212))</f>
        <v/>
      </c>
      <c r="L212" s="6" t="str">
        <f>IF($C212="","",SUMIFS(Chicks!$O:$O,Chicks!$F:$F,$C212,Chicks!$G:$G,$D212))</f>
        <v/>
      </c>
      <c r="M212" s="6" t="str">
        <f>IF($C212="","",SUMIFS(Chicks!$P:$P,Chicks!$F:$F,$C212,Chicks!$G:$G,$D212))</f>
        <v/>
      </c>
      <c r="N212" s="6" t="str">
        <f t="shared" si="0"/>
        <v/>
      </c>
      <c r="O212" s="6" t="e">
        <f t="shared" ca="1" si="1"/>
        <v>#NAME?</v>
      </c>
      <c r="P212" s="6" t="str">
        <f t="shared" si="2"/>
        <v/>
      </c>
    </row>
    <row r="213" spans="1:16" ht="14.25" customHeight="1" x14ac:dyDescent="0.3">
      <c r="A213" s="4"/>
      <c r="B213" s="4"/>
      <c r="C213" s="4" t="str">
        <f t="shared" si="3"/>
        <v/>
      </c>
      <c r="D213" s="4" t="str">
        <f t="shared" si="4"/>
        <v/>
      </c>
      <c r="E213" s="4"/>
      <c r="F213" s="6" t="str">
        <f>IF($C213="","",COUNTIFS(Chicks!$F:$F,$C213,Chicks!$G:$G,$D213))</f>
        <v/>
      </c>
      <c r="G213" s="6" t="str">
        <f>IF($C213="","",COUNTIFS(Chicks!$F:$F,$C213,Chicks!$G:$G,$D213,Chicks!$I:$I,"Yes"))</f>
        <v/>
      </c>
      <c r="H213" s="6" t="str">
        <f>IF($C213="","",SUMIFS(Chicks!$J:$J,Chicks!$F:$F,$C213,Chicks!$G:$G,$D213))</f>
        <v/>
      </c>
      <c r="I213" s="6" t="str">
        <f>IF($C213="","",COUNTIFS(Chicks!$F:$F,$C213,Chicks!$G:$G,$D213,Chicks!$I:$I,"No"))</f>
        <v/>
      </c>
      <c r="J213" s="6" t="str">
        <f>IF($C213="","",IFERROR(AVERAGEIFS(Chicks!$M:$M,Chicks!$F:$F,$C213,Chicks!$G:$G,$D213),""))</f>
        <v/>
      </c>
      <c r="K213" s="6" t="str">
        <f>IF($C213="","",SUMIFS(Chicks!$N:$N,Chicks!$F:$F,$C213,Chicks!$G:$G,$D213))</f>
        <v/>
      </c>
      <c r="L213" s="6" t="str">
        <f>IF($C213="","",SUMIFS(Chicks!$O:$O,Chicks!$F:$F,$C213,Chicks!$G:$G,$D213))</f>
        <v/>
      </c>
      <c r="M213" s="6" t="str">
        <f>IF($C213="","",SUMIFS(Chicks!$P:$P,Chicks!$F:$F,$C213,Chicks!$G:$G,$D213))</f>
        <v/>
      </c>
      <c r="N213" s="6" t="str">
        <f t="shared" si="0"/>
        <v/>
      </c>
      <c r="O213" s="6" t="e">
        <f t="shared" ca="1" si="1"/>
        <v>#NAME?</v>
      </c>
      <c r="P213" s="6" t="str">
        <f t="shared" si="2"/>
        <v/>
      </c>
    </row>
    <row r="214" spans="1:16" ht="14.25" customHeight="1" x14ac:dyDescent="0.3">
      <c r="A214" s="4"/>
      <c r="B214" s="4"/>
      <c r="C214" s="4" t="str">
        <f t="shared" si="3"/>
        <v/>
      </c>
      <c r="D214" s="4" t="str">
        <f t="shared" si="4"/>
        <v/>
      </c>
      <c r="E214" s="4"/>
      <c r="F214" s="6" t="str">
        <f>IF($C214="","",COUNTIFS(Chicks!$F:$F,$C214,Chicks!$G:$G,$D214))</f>
        <v/>
      </c>
      <c r="G214" s="6" t="str">
        <f>IF($C214="","",COUNTIFS(Chicks!$F:$F,$C214,Chicks!$G:$G,$D214,Chicks!$I:$I,"Yes"))</f>
        <v/>
      </c>
      <c r="H214" s="6" t="str">
        <f>IF($C214="","",SUMIFS(Chicks!$J:$J,Chicks!$F:$F,$C214,Chicks!$G:$G,$D214))</f>
        <v/>
      </c>
      <c r="I214" s="6" t="str">
        <f>IF($C214="","",COUNTIFS(Chicks!$F:$F,$C214,Chicks!$G:$G,$D214,Chicks!$I:$I,"No"))</f>
        <v/>
      </c>
      <c r="J214" s="6" t="str">
        <f>IF($C214="","",IFERROR(AVERAGEIFS(Chicks!$M:$M,Chicks!$F:$F,$C214,Chicks!$G:$G,$D214),""))</f>
        <v/>
      </c>
      <c r="K214" s="6" t="str">
        <f>IF($C214="","",SUMIFS(Chicks!$N:$N,Chicks!$F:$F,$C214,Chicks!$G:$G,$D214))</f>
        <v/>
      </c>
      <c r="L214" s="6" t="str">
        <f>IF($C214="","",SUMIFS(Chicks!$O:$O,Chicks!$F:$F,$C214,Chicks!$G:$G,$D214))</f>
        <v/>
      </c>
      <c r="M214" s="6" t="str">
        <f>IF($C214="","",SUMIFS(Chicks!$P:$P,Chicks!$F:$F,$C214,Chicks!$G:$G,$D214))</f>
        <v/>
      </c>
      <c r="N214" s="6" t="str">
        <f t="shared" si="0"/>
        <v/>
      </c>
      <c r="O214" s="6" t="e">
        <f t="shared" ca="1" si="1"/>
        <v>#NAME?</v>
      </c>
      <c r="P214" s="6" t="str">
        <f t="shared" si="2"/>
        <v/>
      </c>
    </row>
    <row r="215" spans="1:16" ht="14.25" customHeight="1" x14ac:dyDescent="0.3">
      <c r="A215" s="4"/>
      <c r="B215" s="4"/>
      <c r="C215" s="4" t="str">
        <f t="shared" si="3"/>
        <v/>
      </c>
      <c r="D215" s="4" t="str">
        <f t="shared" si="4"/>
        <v/>
      </c>
      <c r="E215" s="4"/>
      <c r="F215" s="6" t="str">
        <f>IF($C215="","",COUNTIFS(Chicks!$F:$F,$C215,Chicks!$G:$G,$D215))</f>
        <v/>
      </c>
      <c r="G215" s="6" t="str">
        <f>IF($C215="","",COUNTIFS(Chicks!$F:$F,$C215,Chicks!$G:$G,$D215,Chicks!$I:$I,"Yes"))</f>
        <v/>
      </c>
      <c r="H215" s="6" t="str">
        <f>IF($C215="","",SUMIFS(Chicks!$J:$J,Chicks!$F:$F,$C215,Chicks!$G:$G,$D215))</f>
        <v/>
      </c>
      <c r="I215" s="6" t="str">
        <f>IF($C215="","",COUNTIFS(Chicks!$F:$F,$C215,Chicks!$G:$G,$D215,Chicks!$I:$I,"No"))</f>
        <v/>
      </c>
      <c r="J215" s="6" t="str">
        <f>IF($C215="","",IFERROR(AVERAGEIFS(Chicks!$M:$M,Chicks!$F:$F,$C215,Chicks!$G:$G,$D215),""))</f>
        <v/>
      </c>
      <c r="K215" s="6" t="str">
        <f>IF($C215="","",SUMIFS(Chicks!$N:$N,Chicks!$F:$F,$C215,Chicks!$G:$G,$D215))</f>
        <v/>
      </c>
      <c r="L215" s="6" t="str">
        <f>IF($C215="","",SUMIFS(Chicks!$O:$O,Chicks!$F:$F,$C215,Chicks!$G:$G,$D215))</f>
        <v/>
      </c>
      <c r="M215" s="6" t="str">
        <f>IF($C215="","",SUMIFS(Chicks!$P:$P,Chicks!$F:$F,$C215,Chicks!$G:$G,$D215))</f>
        <v/>
      </c>
      <c r="N215" s="6" t="str">
        <f t="shared" si="0"/>
        <v/>
      </c>
      <c r="O215" s="6" t="e">
        <f t="shared" ca="1" si="1"/>
        <v>#NAME?</v>
      </c>
      <c r="P215" s="6" t="str">
        <f t="shared" si="2"/>
        <v/>
      </c>
    </row>
    <row r="216" spans="1:16" ht="14.25" customHeight="1" x14ac:dyDescent="0.3">
      <c r="A216" s="4"/>
      <c r="B216" s="4"/>
      <c r="C216" s="4" t="str">
        <f t="shared" si="3"/>
        <v/>
      </c>
      <c r="D216" s="4" t="str">
        <f t="shared" si="4"/>
        <v/>
      </c>
      <c r="E216" s="4"/>
      <c r="F216" s="6" t="str">
        <f>IF($C216="","",COUNTIFS(Chicks!$F:$F,$C216,Chicks!$G:$G,$D216))</f>
        <v/>
      </c>
      <c r="G216" s="6" t="str">
        <f>IF($C216="","",COUNTIFS(Chicks!$F:$F,$C216,Chicks!$G:$G,$D216,Chicks!$I:$I,"Yes"))</f>
        <v/>
      </c>
      <c r="H216" s="6" t="str">
        <f>IF($C216="","",SUMIFS(Chicks!$J:$J,Chicks!$F:$F,$C216,Chicks!$G:$G,$D216))</f>
        <v/>
      </c>
      <c r="I216" s="6" t="str">
        <f>IF($C216="","",COUNTIFS(Chicks!$F:$F,$C216,Chicks!$G:$G,$D216,Chicks!$I:$I,"No"))</f>
        <v/>
      </c>
      <c r="J216" s="6" t="str">
        <f>IF($C216="","",IFERROR(AVERAGEIFS(Chicks!$M:$M,Chicks!$F:$F,$C216,Chicks!$G:$G,$D216),""))</f>
        <v/>
      </c>
      <c r="K216" s="6" t="str">
        <f>IF($C216="","",SUMIFS(Chicks!$N:$N,Chicks!$F:$F,$C216,Chicks!$G:$G,$D216))</f>
        <v/>
      </c>
      <c r="L216" s="6" t="str">
        <f>IF($C216="","",SUMIFS(Chicks!$O:$O,Chicks!$F:$F,$C216,Chicks!$G:$G,$D216))</f>
        <v/>
      </c>
      <c r="M216" s="6" t="str">
        <f>IF($C216="","",SUMIFS(Chicks!$P:$P,Chicks!$F:$F,$C216,Chicks!$G:$G,$D216))</f>
        <v/>
      </c>
      <c r="N216" s="6" t="str">
        <f t="shared" si="0"/>
        <v/>
      </c>
      <c r="O216" s="6" t="e">
        <f t="shared" ca="1" si="1"/>
        <v>#NAME?</v>
      </c>
      <c r="P216" s="6" t="str">
        <f t="shared" si="2"/>
        <v/>
      </c>
    </row>
    <row r="217" spans="1:16" ht="14.25" customHeight="1" x14ac:dyDescent="0.3">
      <c r="A217" s="4"/>
      <c r="B217" s="4"/>
      <c r="C217" s="4" t="str">
        <f t="shared" si="3"/>
        <v/>
      </c>
      <c r="D217" s="4" t="str">
        <f t="shared" si="4"/>
        <v/>
      </c>
      <c r="E217" s="4"/>
      <c r="F217" s="6" t="str">
        <f>IF($C217="","",COUNTIFS(Chicks!$F:$F,$C217,Chicks!$G:$G,$D217))</f>
        <v/>
      </c>
      <c r="G217" s="6" t="str">
        <f>IF($C217="","",COUNTIFS(Chicks!$F:$F,$C217,Chicks!$G:$G,$D217,Chicks!$I:$I,"Yes"))</f>
        <v/>
      </c>
      <c r="H217" s="6" t="str">
        <f>IF($C217="","",SUMIFS(Chicks!$J:$J,Chicks!$F:$F,$C217,Chicks!$G:$G,$D217))</f>
        <v/>
      </c>
      <c r="I217" s="6" t="str">
        <f>IF($C217="","",COUNTIFS(Chicks!$F:$F,$C217,Chicks!$G:$G,$D217,Chicks!$I:$I,"No"))</f>
        <v/>
      </c>
      <c r="J217" s="6" t="str">
        <f>IF($C217="","",IFERROR(AVERAGEIFS(Chicks!$M:$M,Chicks!$F:$F,$C217,Chicks!$G:$G,$D217),""))</f>
        <v/>
      </c>
      <c r="K217" s="6" t="str">
        <f>IF($C217="","",SUMIFS(Chicks!$N:$N,Chicks!$F:$F,$C217,Chicks!$G:$G,$D217))</f>
        <v/>
      </c>
      <c r="L217" s="6" t="str">
        <f>IF($C217="","",SUMIFS(Chicks!$O:$O,Chicks!$F:$F,$C217,Chicks!$G:$G,$D217))</f>
        <v/>
      </c>
      <c r="M217" s="6" t="str">
        <f>IF($C217="","",SUMIFS(Chicks!$P:$P,Chicks!$F:$F,$C217,Chicks!$G:$G,$D217))</f>
        <v/>
      </c>
      <c r="N217" s="6" t="str">
        <f t="shared" si="0"/>
        <v/>
      </c>
      <c r="O217" s="6" t="e">
        <f t="shared" ca="1" si="1"/>
        <v>#NAME?</v>
      </c>
      <c r="P217" s="6" t="str">
        <f t="shared" si="2"/>
        <v/>
      </c>
    </row>
    <row r="218" spans="1:16" ht="14.25" customHeight="1" x14ac:dyDescent="0.3">
      <c r="A218" s="4"/>
      <c r="B218" s="4"/>
      <c r="C218" s="4" t="str">
        <f t="shared" si="3"/>
        <v/>
      </c>
      <c r="D218" s="4" t="str">
        <f t="shared" si="4"/>
        <v/>
      </c>
      <c r="E218" s="4"/>
      <c r="F218" s="6" t="str">
        <f>IF($C218="","",COUNTIFS(Chicks!$F:$F,$C218,Chicks!$G:$G,$D218))</f>
        <v/>
      </c>
      <c r="G218" s="6" t="str">
        <f>IF($C218="","",COUNTIFS(Chicks!$F:$F,$C218,Chicks!$G:$G,$D218,Chicks!$I:$I,"Yes"))</f>
        <v/>
      </c>
      <c r="H218" s="6" t="str">
        <f>IF($C218="","",SUMIFS(Chicks!$J:$J,Chicks!$F:$F,$C218,Chicks!$G:$G,$D218))</f>
        <v/>
      </c>
      <c r="I218" s="6" t="str">
        <f>IF($C218="","",COUNTIFS(Chicks!$F:$F,$C218,Chicks!$G:$G,$D218,Chicks!$I:$I,"No"))</f>
        <v/>
      </c>
      <c r="J218" s="6" t="str">
        <f>IF($C218="","",IFERROR(AVERAGEIFS(Chicks!$M:$M,Chicks!$F:$F,$C218,Chicks!$G:$G,$D218),""))</f>
        <v/>
      </c>
      <c r="K218" s="6" t="str">
        <f>IF($C218="","",SUMIFS(Chicks!$N:$N,Chicks!$F:$F,$C218,Chicks!$G:$G,$D218))</f>
        <v/>
      </c>
      <c r="L218" s="6" t="str">
        <f>IF($C218="","",SUMIFS(Chicks!$O:$O,Chicks!$F:$F,$C218,Chicks!$G:$G,$D218))</f>
        <v/>
      </c>
      <c r="M218" s="6" t="str">
        <f>IF($C218="","",SUMIFS(Chicks!$P:$P,Chicks!$F:$F,$C218,Chicks!$G:$G,$D218))</f>
        <v/>
      </c>
      <c r="N218" s="6" t="str">
        <f t="shared" si="0"/>
        <v/>
      </c>
      <c r="O218" s="6" t="e">
        <f t="shared" ca="1" si="1"/>
        <v>#NAME?</v>
      </c>
      <c r="P218" s="6" t="str">
        <f t="shared" si="2"/>
        <v/>
      </c>
    </row>
    <row r="219" spans="1:16" ht="14.25" customHeight="1" x14ac:dyDescent="0.3">
      <c r="A219" s="4"/>
      <c r="B219" s="4"/>
      <c r="C219" s="4" t="str">
        <f t="shared" si="3"/>
        <v/>
      </c>
      <c r="D219" s="4" t="str">
        <f t="shared" si="4"/>
        <v/>
      </c>
      <c r="E219" s="4"/>
      <c r="F219" s="6" t="str">
        <f>IF($C219="","",COUNTIFS(Chicks!$F:$F,$C219,Chicks!$G:$G,$D219))</f>
        <v/>
      </c>
      <c r="G219" s="6" t="str">
        <f>IF($C219="","",COUNTIFS(Chicks!$F:$F,$C219,Chicks!$G:$G,$D219,Chicks!$I:$I,"Yes"))</f>
        <v/>
      </c>
      <c r="H219" s="6" t="str">
        <f>IF($C219="","",SUMIFS(Chicks!$J:$J,Chicks!$F:$F,$C219,Chicks!$G:$G,$D219))</f>
        <v/>
      </c>
      <c r="I219" s="6" t="str">
        <f>IF($C219="","",COUNTIFS(Chicks!$F:$F,$C219,Chicks!$G:$G,$D219,Chicks!$I:$I,"No"))</f>
        <v/>
      </c>
      <c r="J219" s="6" t="str">
        <f>IF($C219="","",IFERROR(AVERAGEIFS(Chicks!$M:$M,Chicks!$F:$F,$C219,Chicks!$G:$G,$D219),""))</f>
        <v/>
      </c>
      <c r="K219" s="6" t="str">
        <f>IF($C219="","",SUMIFS(Chicks!$N:$N,Chicks!$F:$F,$C219,Chicks!$G:$G,$D219))</f>
        <v/>
      </c>
      <c r="L219" s="6" t="str">
        <f>IF($C219="","",SUMIFS(Chicks!$O:$O,Chicks!$F:$F,$C219,Chicks!$G:$G,$D219))</f>
        <v/>
      </c>
      <c r="M219" s="6" t="str">
        <f>IF($C219="","",SUMIFS(Chicks!$P:$P,Chicks!$F:$F,$C219,Chicks!$G:$G,$D219))</f>
        <v/>
      </c>
      <c r="N219" s="6" t="str">
        <f t="shared" si="0"/>
        <v/>
      </c>
      <c r="O219" s="6" t="e">
        <f t="shared" ca="1" si="1"/>
        <v>#NAME?</v>
      </c>
      <c r="P219" s="6" t="str">
        <f t="shared" si="2"/>
        <v/>
      </c>
    </row>
    <row r="220" spans="1:16" ht="14.25" customHeight="1" x14ac:dyDescent="0.3">
      <c r="A220" s="4"/>
      <c r="B220" s="4"/>
      <c r="C220" s="4" t="str">
        <f t="shared" si="3"/>
        <v/>
      </c>
      <c r="D220" s="4" t="str">
        <f t="shared" si="4"/>
        <v/>
      </c>
      <c r="E220" s="4"/>
      <c r="F220" s="6" t="str">
        <f>IF($C220="","",COUNTIFS(Chicks!$F:$F,$C220,Chicks!$G:$G,$D220))</f>
        <v/>
      </c>
      <c r="G220" s="6" t="str">
        <f>IF($C220="","",COUNTIFS(Chicks!$F:$F,$C220,Chicks!$G:$G,$D220,Chicks!$I:$I,"Yes"))</f>
        <v/>
      </c>
      <c r="H220" s="6" t="str">
        <f>IF($C220="","",SUMIFS(Chicks!$J:$J,Chicks!$F:$F,$C220,Chicks!$G:$G,$D220))</f>
        <v/>
      </c>
      <c r="I220" s="6" t="str">
        <f>IF($C220="","",COUNTIFS(Chicks!$F:$F,$C220,Chicks!$G:$G,$D220,Chicks!$I:$I,"No"))</f>
        <v/>
      </c>
      <c r="J220" s="6" t="str">
        <f>IF($C220="","",IFERROR(AVERAGEIFS(Chicks!$M:$M,Chicks!$F:$F,$C220,Chicks!$G:$G,$D220),""))</f>
        <v/>
      </c>
      <c r="K220" s="6" t="str">
        <f>IF($C220="","",SUMIFS(Chicks!$N:$N,Chicks!$F:$F,$C220,Chicks!$G:$G,$D220))</f>
        <v/>
      </c>
      <c r="L220" s="6" t="str">
        <f>IF($C220="","",SUMIFS(Chicks!$O:$O,Chicks!$F:$F,$C220,Chicks!$G:$G,$D220))</f>
        <v/>
      </c>
      <c r="M220" s="6" t="str">
        <f>IF($C220="","",SUMIFS(Chicks!$P:$P,Chicks!$F:$F,$C220,Chicks!$G:$G,$D220))</f>
        <v/>
      </c>
      <c r="N220" s="6" t="str">
        <f t="shared" si="0"/>
        <v/>
      </c>
      <c r="O220" s="6" t="e">
        <f t="shared" ca="1" si="1"/>
        <v>#NAME?</v>
      </c>
      <c r="P220" s="6" t="str">
        <f t="shared" si="2"/>
        <v/>
      </c>
    </row>
    <row r="221" spans="1:16" ht="14.25" customHeight="1" x14ac:dyDescent="0.3">
      <c r="A221" s="4"/>
      <c r="B221" s="4"/>
      <c r="C221" s="4" t="str">
        <f t="shared" si="3"/>
        <v/>
      </c>
      <c r="D221" s="4" t="str">
        <f t="shared" si="4"/>
        <v/>
      </c>
      <c r="E221" s="4"/>
      <c r="F221" s="6" t="str">
        <f>IF($C221="","",COUNTIFS(Chicks!$F:$F,$C221,Chicks!$G:$G,$D221))</f>
        <v/>
      </c>
      <c r="G221" s="6" t="str">
        <f>IF($C221="","",COUNTIFS(Chicks!$F:$F,$C221,Chicks!$G:$G,$D221,Chicks!$I:$I,"Yes"))</f>
        <v/>
      </c>
      <c r="H221" s="6" t="str">
        <f>IF($C221="","",SUMIFS(Chicks!$J:$J,Chicks!$F:$F,$C221,Chicks!$G:$G,$D221))</f>
        <v/>
      </c>
      <c r="I221" s="6" t="str">
        <f>IF($C221="","",COUNTIFS(Chicks!$F:$F,$C221,Chicks!$G:$G,$D221,Chicks!$I:$I,"No"))</f>
        <v/>
      </c>
      <c r="J221" s="6" t="str">
        <f>IF($C221="","",IFERROR(AVERAGEIFS(Chicks!$M:$M,Chicks!$F:$F,$C221,Chicks!$G:$G,$D221),""))</f>
        <v/>
      </c>
      <c r="K221" s="6" t="str">
        <f>IF($C221="","",SUMIFS(Chicks!$N:$N,Chicks!$F:$F,$C221,Chicks!$G:$G,$D221))</f>
        <v/>
      </c>
      <c r="L221" s="6" t="str">
        <f>IF($C221="","",SUMIFS(Chicks!$O:$O,Chicks!$F:$F,$C221,Chicks!$G:$G,$D221))</f>
        <v/>
      </c>
      <c r="M221" s="6" t="str">
        <f>IF($C221="","",SUMIFS(Chicks!$P:$P,Chicks!$F:$F,$C221,Chicks!$G:$G,$D221))</f>
        <v/>
      </c>
      <c r="N221" s="6" t="str">
        <f t="shared" si="0"/>
        <v/>
      </c>
      <c r="O221" s="6" t="e">
        <f t="shared" ca="1" si="1"/>
        <v>#NAME?</v>
      </c>
      <c r="P221" s="6" t="str">
        <f t="shared" si="2"/>
        <v/>
      </c>
    </row>
    <row r="222" spans="1:16" ht="14.25" customHeight="1" x14ac:dyDescent="0.3">
      <c r="A222" s="4"/>
      <c r="B222" s="4"/>
      <c r="C222" s="4" t="str">
        <f t="shared" si="3"/>
        <v/>
      </c>
      <c r="D222" s="4" t="str">
        <f t="shared" si="4"/>
        <v/>
      </c>
      <c r="E222" s="4"/>
      <c r="F222" s="6" t="str">
        <f>IF($C222="","",COUNTIFS(Chicks!$F:$F,$C222,Chicks!$G:$G,$D222))</f>
        <v/>
      </c>
      <c r="G222" s="6" t="str">
        <f>IF($C222="","",COUNTIFS(Chicks!$F:$F,$C222,Chicks!$G:$G,$D222,Chicks!$I:$I,"Yes"))</f>
        <v/>
      </c>
      <c r="H222" s="6" t="str">
        <f>IF($C222="","",SUMIFS(Chicks!$J:$J,Chicks!$F:$F,$C222,Chicks!$G:$G,$D222))</f>
        <v/>
      </c>
      <c r="I222" s="6" t="str">
        <f>IF($C222="","",COUNTIFS(Chicks!$F:$F,$C222,Chicks!$G:$G,$D222,Chicks!$I:$I,"No"))</f>
        <v/>
      </c>
      <c r="J222" s="6" t="str">
        <f>IF($C222="","",IFERROR(AVERAGEIFS(Chicks!$M:$M,Chicks!$F:$F,$C222,Chicks!$G:$G,$D222),""))</f>
        <v/>
      </c>
      <c r="K222" s="6" t="str">
        <f>IF($C222="","",SUMIFS(Chicks!$N:$N,Chicks!$F:$F,$C222,Chicks!$G:$G,$D222))</f>
        <v/>
      </c>
      <c r="L222" s="6" t="str">
        <f>IF($C222="","",SUMIFS(Chicks!$O:$O,Chicks!$F:$F,$C222,Chicks!$G:$G,$D222))</f>
        <v/>
      </c>
      <c r="M222" s="6" t="str">
        <f>IF($C222="","",SUMIFS(Chicks!$P:$P,Chicks!$F:$F,$C222,Chicks!$G:$G,$D222))</f>
        <v/>
      </c>
      <c r="N222" s="6" t="str">
        <f t="shared" si="0"/>
        <v/>
      </c>
      <c r="O222" s="6" t="e">
        <f t="shared" ca="1" si="1"/>
        <v>#NAME?</v>
      </c>
      <c r="P222" s="6" t="str">
        <f t="shared" si="2"/>
        <v/>
      </c>
    </row>
    <row r="223" spans="1:16" ht="14.25" customHeight="1" x14ac:dyDescent="0.3">
      <c r="A223" s="4"/>
      <c r="B223" s="4"/>
      <c r="C223" s="4" t="str">
        <f t="shared" si="3"/>
        <v/>
      </c>
      <c r="D223" s="4" t="str">
        <f t="shared" si="4"/>
        <v/>
      </c>
      <c r="E223" s="4"/>
      <c r="F223" s="6" t="str">
        <f>IF($C223="","",COUNTIFS(Chicks!$F:$F,$C223,Chicks!$G:$G,$D223))</f>
        <v/>
      </c>
      <c r="G223" s="6" t="str">
        <f>IF($C223="","",COUNTIFS(Chicks!$F:$F,$C223,Chicks!$G:$G,$D223,Chicks!$I:$I,"Yes"))</f>
        <v/>
      </c>
      <c r="H223" s="6" t="str">
        <f>IF($C223="","",SUMIFS(Chicks!$J:$J,Chicks!$F:$F,$C223,Chicks!$G:$G,$D223))</f>
        <v/>
      </c>
      <c r="I223" s="6" t="str">
        <f>IF($C223="","",COUNTIFS(Chicks!$F:$F,$C223,Chicks!$G:$G,$D223,Chicks!$I:$I,"No"))</f>
        <v/>
      </c>
      <c r="J223" s="6" t="str">
        <f>IF($C223="","",IFERROR(AVERAGEIFS(Chicks!$M:$M,Chicks!$F:$F,$C223,Chicks!$G:$G,$D223),""))</f>
        <v/>
      </c>
      <c r="K223" s="6" t="str">
        <f>IF($C223="","",SUMIFS(Chicks!$N:$N,Chicks!$F:$F,$C223,Chicks!$G:$G,$D223))</f>
        <v/>
      </c>
      <c r="L223" s="6" t="str">
        <f>IF($C223="","",SUMIFS(Chicks!$O:$O,Chicks!$F:$F,$C223,Chicks!$G:$G,$D223))</f>
        <v/>
      </c>
      <c r="M223" s="6" t="str">
        <f>IF($C223="","",SUMIFS(Chicks!$P:$P,Chicks!$F:$F,$C223,Chicks!$G:$G,$D223))</f>
        <v/>
      </c>
      <c r="N223" s="6" t="str">
        <f t="shared" si="0"/>
        <v/>
      </c>
      <c r="O223" s="6" t="e">
        <f t="shared" ca="1" si="1"/>
        <v>#NAME?</v>
      </c>
      <c r="P223" s="6" t="str">
        <f t="shared" si="2"/>
        <v/>
      </c>
    </row>
    <row r="224" spans="1:16" ht="14.25" customHeight="1" x14ac:dyDescent="0.3">
      <c r="A224" s="4"/>
      <c r="B224" s="4"/>
      <c r="C224" s="4" t="str">
        <f t="shared" si="3"/>
        <v/>
      </c>
      <c r="D224" s="4" t="str">
        <f t="shared" si="4"/>
        <v/>
      </c>
      <c r="E224" s="4"/>
      <c r="F224" s="6" t="str">
        <f>IF($C224="","",COUNTIFS(Chicks!$F:$F,$C224,Chicks!$G:$G,$D224))</f>
        <v/>
      </c>
      <c r="G224" s="6" t="str">
        <f>IF($C224="","",COUNTIFS(Chicks!$F:$F,$C224,Chicks!$G:$G,$D224,Chicks!$I:$I,"Yes"))</f>
        <v/>
      </c>
      <c r="H224" s="6" t="str">
        <f>IF($C224="","",SUMIFS(Chicks!$J:$J,Chicks!$F:$F,$C224,Chicks!$G:$G,$D224))</f>
        <v/>
      </c>
      <c r="I224" s="6" t="str">
        <f>IF($C224="","",COUNTIFS(Chicks!$F:$F,$C224,Chicks!$G:$G,$D224,Chicks!$I:$I,"No"))</f>
        <v/>
      </c>
      <c r="J224" s="6" t="str">
        <f>IF($C224="","",IFERROR(AVERAGEIFS(Chicks!$M:$M,Chicks!$F:$F,$C224,Chicks!$G:$G,$D224),""))</f>
        <v/>
      </c>
      <c r="K224" s="6" t="str">
        <f>IF($C224="","",SUMIFS(Chicks!$N:$N,Chicks!$F:$F,$C224,Chicks!$G:$G,$D224))</f>
        <v/>
      </c>
      <c r="L224" s="6" t="str">
        <f>IF($C224="","",SUMIFS(Chicks!$O:$O,Chicks!$F:$F,$C224,Chicks!$G:$G,$D224))</f>
        <v/>
      </c>
      <c r="M224" s="6" t="str">
        <f>IF($C224="","",SUMIFS(Chicks!$P:$P,Chicks!$F:$F,$C224,Chicks!$G:$G,$D224))</f>
        <v/>
      </c>
      <c r="N224" s="6" t="str">
        <f t="shared" si="0"/>
        <v/>
      </c>
      <c r="O224" s="6" t="e">
        <f t="shared" ca="1" si="1"/>
        <v>#NAME?</v>
      </c>
      <c r="P224" s="6" t="str">
        <f t="shared" si="2"/>
        <v/>
      </c>
    </row>
    <row r="225" spans="1:16" ht="14.25" customHeight="1" x14ac:dyDescent="0.3">
      <c r="A225" s="4"/>
      <c r="B225" s="4"/>
      <c r="C225" s="4" t="str">
        <f t="shared" si="3"/>
        <v/>
      </c>
      <c r="D225" s="4" t="str">
        <f t="shared" si="4"/>
        <v/>
      </c>
      <c r="E225" s="4"/>
      <c r="F225" s="6" t="str">
        <f>IF($C225="","",COUNTIFS(Chicks!$F:$F,$C225,Chicks!$G:$G,$D225))</f>
        <v/>
      </c>
      <c r="G225" s="6" t="str">
        <f>IF($C225="","",COUNTIFS(Chicks!$F:$F,$C225,Chicks!$G:$G,$D225,Chicks!$I:$I,"Yes"))</f>
        <v/>
      </c>
      <c r="H225" s="6" t="str">
        <f>IF($C225="","",SUMIFS(Chicks!$J:$J,Chicks!$F:$F,$C225,Chicks!$G:$G,$D225))</f>
        <v/>
      </c>
      <c r="I225" s="6" t="str">
        <f>IF($C225="","",COUNTIFS(Chicks!$F:$F,$C225,Chicks!$G:$G,$D225,Chicks!$I:$I,"No"))</f>
        <v/>
      </c>
      <c r="J225" s="6" t="str">
        <f>IF($C225="","",IFERROR(AVERAGEIFS(Chicks!$M:$M,Chicks!$F:$F,$C225,Chicks!$G:$G,$D225),""))</f>
        <v/>
      </c>
      <c r="K225" s="6" t="str">
        <f>IF($C225="","",SUMIFS(Chicks!$N:$N,Chicks!$F:$F,$C225,Chicks!$G:$G,$D225))</f>
        <v/>
      </c>
      <c r="L225" s="6" t="str">
        <f>IF($C225="","",SUMIFS(Chicks!$O:$O,Chicks!$F:$F,$C225,Chicks!$G:$G,$D225))</f>
        <v/>
      </c>
      <c r="M225" s="6" t="str">
        <f>IF($C225="","",SUMIFS(Chicks!$P:$P,Chicks!$F:$F,$C225,Chicks!$G:$G,$D225))</f>
        <v/>
      </c>
      <c r="N225" s="6" t="str">
        <f t="shared" si="0"/>
        <v/>
      </c>
      <c r="O225" s="6" t="e">
        <f t="shared" ca="1" si="1"/>
        <v>#NAME?</v>
      </c>
      <c r="P225" s="6" t="str">
        <f t="shared" si="2"/>
        <v/>
      </c>
    </row>
    <row r="226" spans="1:16" ht="14.25" customHeight="1" x14ac:dyDescent="0.3">
      <c r="A226" s="4"/>
      <c r="B226" s="4"/>
      <c r="C226" s="4" t="str">
        <f t="shared" si="3"/>
        <v/>
      </c>
      <c r="D226" s="4" t="str">
        <f t="shared" si="4"/>
        <v/>
      </c>
      <c r="E226" s="4"/>
      <c r="F226" s="6" t="str">
        <f>IF($C226="","",COUNTIFS(Chicks!$F:$F,$C226,Chicks!$G:$G,$D226))</f>
        <v/>
      </c>
      <c r="G226" s="6" t="str">
        <f>IF($C226="","",COUNTIFS(Chicks!$F:$F,$C226,Chicks!$G:$G,$D226,Chicks!$I:$I,"Yes"))</f>
        <v/>
      </c>
      <c r="H226" s="6" t="str">
        <f>IF($C226="","",SUMIFS(Chicks!$J:$J,Chicks!$F:$F,$C226,Chicks!$G:$G,$D226))</f>
        <v/>
      </c>
      <c r="I226" s="6" t="str">
        <f>IF($C226="","",COUNTIFS(Chicks!$F:$F,$C226,Chicks!$G:$G,$D226,Chicks!$I:$I,"No"))</f>
        <v/>
      </c>
      <c r="J226" s="6" t="str">
        <f>IF($C226="","",IFERROR(AVERAGEIFS(Chicks!$M:$M,Chicks!$F:$F,$C226,Chicks!$G:$G,$D226),""))</f>
        <v/>
      </c>
      <c r="K226" s="6" t="str">
        <f>IF($C226="","",SUMIFS(Chicks!$N:$N,Chicks!$F:$F,$C226,Chicks!$G:$G,$D226))</f>
        <v/>
      </c>
      <c r="L226" s="6" t="str">
        <f>IF($C226="","",SUMIFS(Chicks!$O:$O,Chicks!$F:$F,$C226,Chicks!$G:$G,$D226))</f>
        <v/>
      </c>
      <c r="M226" s="6" t="str">
        <f>IF($C226="","",SUMIFS(Chicks!$P:$P,Chicks!$F:$F,$C226,Chicks!$G:$G,$D226))</f>
        <v/>
      </c>
      <c r="N226" s="6" t="str">
        <f t="shared" si="0"/>
        <v/>
      </c>
      <c r="O226" s="6" t="e">
        <f t="shared" ca="1" si="1"/>
        <v>#NAME?</v>
      </c>
      <c r="P226" s="6" t="str">
        <f t="shared" si="2"/>
        <v/>
      </c>
    </row>
    <row r="227" spans="1:16" ht="14.25" customHeight="1" x14ac:dyDescent="0.3">
      <c r="A227" s="4"/>
      <c r="B227" s="4"/>
      <c r="C227" s="4" t="str">
        <f t="shared" si="3"/>
        <v/>
      </c>
      <c r="D227" s="4" t="str">
        <f t="shared" si="4"/>
        <v/>
      </c>
      <c r="E227" s="4"/>
      <c r="F227" s="6" t="str">
        <f>IF($C227="","",COUNTIFS(Chicks!$F:$F,$C227,Chicks!$G:$G,$D227))</f>
        <v/>
      </c>
      <c r="G227" s="6" t="str">
        <f>IF($C227="","",COUNTIFS(Chicks!$F:$F,$C227,Chicks!$G:$G,$D227,Chicks!$I:$I,"Yes"))</f>
        <v/>
      </c>
      <c r="H227" s="6" t="str">
        <f>IF($C227="","",SUMIFS(Chicks!$J:$J,Chicks!$F:$F,$C227,Chicks!$G:$G,$D227))</f>
        <v/>
      </c>
      <c r="I227" s="6" t="str">
        <f>IF($C227="","",COUNTIFS(Chicks!$F:$F,$C227,Chicks!$G:$G,$D227,Chicks!$I:$I,"No"))</f>
        <v/>
      </c>
      <c r="J227" s="6" t="str">
        <f>IF($C227="","",IFERROR(AVERAGEIFS(Chicks!$M:$M,Chicks!$F:$F,$C227,Chicks!$G:$G,$D227),""))</f>
        <v/>
      </c>
      <c r="K227" s="6" t="str">
        <f>IF($C227="","",SUMIFS(Chicks!$N:$N,Chicks!$F:$F,$C227,Chicks!$G:$G,$D227))</f>
        <v/>
      </c>
      <c r="L227" s="6" t="str">
        <f>IF($C227="","",SUMIFS(Chicks!$O:$O,Chicks!$F:$F,$C227,Chicks!$G:$G,$D227))</f>
        <v/>
      </c>
      <c r="M227" s="6" t="str">
        <f>IF($C227="","",SUMIFS(Chicks!$P:$P,Chicks!$F:$F,$C227,Chicks!$G:$G,$D227))</f>
        <v/>
      </c>
      <c r="N227" s="6" t="str">
        <f t="shared" si="0"/>
        <v/>
      </c>
      <c r="O227" s="6" t="e">
        <f t="shared" ca="1" si="1"/>
        <v>#NAME?</v>
      </c>
      <c r="P227" s="6" t="str">
        <f t="shared" si="2"/>
        <v/>
      </c>
    </row>
    <row r="228" spans="1:16" ht="14.25" customHeight="1" x14ac:dyDescent="0.3">
      <c r="A228" s="4"/>
      <c r="B228" s="4"/>
      <c r="C228" s="4" t="str">
        <f t="shared" si="3"/>
        <v/>
      </c>
      <c r="D228" s="4" t="str">
        <f t="shared" si="4"/>
        <v/>
      </c>
      <c r="E228" s="4"/>
      <c r="F228" s="6" t="str">
        <f>IF($C228="","",COUNTIFS(Chicks!$F:$F,$C228,Chicks!$G:$G,$D228))</f>
        <v/>
      </c>
      <c r="G228" s="6" t="str">
        <f>IF($C228="","",COUNTIFS(Chicks!$F:$F,$C228,Chicks!$G:$G,$D228,Chicks!$I:$I,"Yes"))</f>
        <v/>
      </c>
      <c r="H228" s="6" t="str">
        <f>IF($C228="","",SUMIFS(Chicks!$J:$J,Chicks!$F:$F,$C228,Chicks!$G:$G,$D228))</f>
        <v/>
      </c>
      <c r="I228" s="6" t="str">
        <f>IF($C228="","",COUNTIFS(Chicks!$F:$F,$C228,Chicks!$G:$G,$D228,Chicks!$I:$I,"No"))</f>
        <v/>
      </c>
      <c r="J228" s="6" t="str">
        <f>IF($C228="","",IFERROR(AVERAGEIFS(Chicks!$M:$M,Chicks!$F:$F,$C228,Chicks!$G:$G,$D228),""))</f>
        <v/>
      </c>
      <c r="K228" s="6" t="str">
        <f>IF($C228="","",SUMIFS(Chicks!$N:$N,Chicks!$F:$F,$C228,Chicks!$G:$G,$D228))</f>
        <v/>
      </c>
      <c r="L228" s="6" t="str">
        <f>IF($C228="","",SUMIFS(Chicks!$O:$O,Chicks!$F:$F,$C228,Chicks!$G:$G,$D228))</f>
        <v/>
      </c>
      <c r="M228" s="6" t="str">
        <f>IF($C228="","",SUMIFS(Chicks!$P:$P,Chicks!$F:$F,$C228,Chicks!$G:$G,$D228))</f>
        <v/>
      </c>
      <c r="N228" s="6" t="str">
        <f t="shared" si="0"/>
        <v/>
      </c>
      <c r="O228" s="6" t="e">
        <f t="shared" ca="1" si="1"/>
        <v>#NAME?</v>
      </c>
      <c r="P228" s="6" t="str">
        <f t="shared" si="2"/>
        <v/>
      </c>
    </row>
    <row r="229" spans="1:16" ht="14.25" customHeight="1" x14ac:dyDescent="0.3">
      <c r="A229" s="4"/>
      <c r="B229" s="4"/>
      <c r="C229" s="4" t="str">
        <f t="shared" si="3"/>
        <v/>
      </c>
      <c r="D229" s="4" t="str">
        <f t="shared" si="4"/>
        <v/>
      </c>
      <c r="E229" s="4"/>
      <c r="F229" s="6" t="str">
        <f>IF($C229="","",COUNTIFS(Chicks!$F:$F,$C229,Chicks!$G:$G,$D229))</f>
        <v/>
      </c>
      <c r="G229" s="6" t="str">
        <f>IF($C229="","",COUNTIFS(Chicks!$F:$F,$C229,Chicks!$G:$G,$D229,Chicks!$I:$I,"Yes"))</f>
        <v/>
      </c>
      <c r="H229" s="6" t="str">
        <f>IF($C229="","",SUMIFS(Chicks!$J:$J,Chicks!$F:$F,$C229,Chicks!$G:$G,$D229))</f>
        <v/>
      </c>
      <c r="I229" s="6" t="str">
        <f>IF($C229="","",COUNTIFS(Chicks!$F:$F,$C229,Chicks!$G:$G,$D229,Chicks!$I:$I,"No"))</f>
        <v/>
      </c>
      <c r="J229" s="6" t="str">
        <f>IF($C229="","",IFERROR(AVERAGEIFS(Chicks!$M:$M,Chicks!$F:$F,$C229,Chicks!$G:$G,$D229),""))</f>
        <v/>
      </c>
      <c r="K229" s="6" t="str">
        <f>IF($C229="","",SUMIFS(Chicks!$N:$N,Chicks!$F:$F,$C229,Chicks!$G:$G,$D229))</f>
        <v/>
      </c>
      <c r="L229" s="6" t="str">
        <f>IF($C229="","",SUMIFS(Chicks!$O:$O,Chicks!$F:$F,$C229,Chicks!$G:$G,$D229))</f>
        <v/>
      </c>
      <c r="M229" s="6" t="str">
        <f>IF($C229="","",SUMIFS(Chicks!$P:$P,Chicks!$F:$F,$C229,Chicks!$G:$G,$D229))</f>
        <v/>
      </c>
      <c r="N229" s="6" t="str">
        <f t="shared" si="0"/>
        <v/>
      </c>
      <c r="O229" s="6" t="e">
        <f t="shared" ca="1" si="1"/>
        <v>#NAME?</v>
      </c>
      <c r="P229" s="6" t="str">
        <f t="shared" si="2"/>
        <v/>
      </c>
    </row>
    <row r="230" spans="1:16" ht="14.25" customHeight="1" x14ac:dyDescent="0.3">
      <c r="A230" s="4"/>
      <c r="B230" s="4"/>
      <c r="C230" s="4" t="str">
        <f t="shared" si="3"/>
        <v/>
      </c>
      <c r="D230" s="4" t="str">
        <f t="shared" si="4"/>
        <v/>
      </c>
      <c r="E230" s="4"/>
      <c r="F230" s="6" t="str">
        <f>IF($C230="","",COUNTIFS(Chicks!$F:$F,$C230,Chicks!$G:$G,$D230))</f>
        <v/>
      </c>
      <c r="G230" s="6" t="str">
        <f>IF($C230="","",COUNTIFS(Chicks!$F:$F,$C230,Chicks!$G:$G,$D230,Chicks!$I:$I,"Yes"))</f>
        <v/>
      </c>
      <c r="H230" s="6" t="str">
        <f>IF($C230="","",SUMIFS(Chicks!$J:$J,Chicks!$F:$F,$C230,Chicks!$G:$G,$D230))</f>
        <v/>
      </c>
      <c r="I230" s="6" t="str">
        <f>IF($C230="","",COUNTIFS(Chicks!$F:$F,$C230,Chicks!$G:$G,$D230,Chicks!$I:$I,"No"))</f>
        <v/>
      </c>
      <c r="J230" s="6" t="str">
        <f>IF($C230="","",IFERROR(AVERAGEIFS(Chicks!$M:$M,Chicks!$F:$F,$C230,Chicks!$G:$G,$D230),""))</f>
        <v/>
      </c>
      <c r="K230" s="6" t="str">
        <f>IF($C230="","",SUMIFS(Chicks!$N:$N,Chicks!$F:$F,$C230,Chicks!$G:$G,$D230))</f>
        <v/>
      </c>
      <c r="L230" s="6" t="str">
        <f>IF($C230="","",SUMIFS(Chicks!$O:$O,Chicks!$F:$F,$C230,Chicks!$G:$G,$D230))</f>
        <v/>
      </c>
      <c r="M230" s="6" t="str">
        <f>IF($C230="","",SUMIFS(Chicks!$P:$P,Chicks!$F:$F,$C230,Chicks!$G:$G,$D230))</f>
        <v/>
      </c>
      <c r="N230" s="6" t="str">
        <f t="shared" si="0"/>
        <v/>
      </c>
      <c r="O230" s="6" t="e">
        <f t="shared" ca="1" si="1"/>
        <v>#NAME?</v>
      </c>
      <c r="P230" s="6" t="str">
        <f t="shared" si="2"/>
        <v/>
      </c>
    </row>
    <row r="231" spans="1:16" ht="14.25" customHeight="1" x14ac:dyDescent="0.3">
      <c r="A231" s="4"/>
      <c r="B231" s="4"/>
      <c r="C231" s="4" t="str">
        <f t="shared" si="3"/>
        <v/>
      </c>
      <c r="D231" s="4" t="str">
        <f t="shared" si="4"/>
        <v/>
      </c>
      <c r="E231" s="4"/>
      <c r="F231" s="6" t="str">
        <f>IF($C231="","",COUNTIFS(Chicks!$F:$F,$C231,Chicks!$G:$G,$D231))</f>
        <v/>
      </c>
      <c r="G231" s="6" t="str">
        <f>IF($C231="","",COUNTIFS(Chicks!$F:$F,$C231,Chicks!$G:$G,$D231,Chicks!$I:$I,"Yes"))</f>
        <v/>
      </c>
      <c r="H231" s="6" t="str">
        <f>IF($C231="","",SUMIFS(Chicks!$J:$J,Chicks!$F:$F,$C231,Chicks!$G:$G,$D231))</f>
        <v/>
      </c>
      <c r="I231" s="6" t="str">
        <f>IF($C231="","",COUNTIFS(Chicks!$F:$F,$C231,Chicks!$G:$G,$D231,Chicks!$I:$I,"No"))</f>
        <v/>
      </c>
      <c r="J231" s="6" t="str">
        <f>IF($C231="","",IFERROR(AVERAGEIFS(Chicks!$M:$M,Chicks!$F:$F,$C231,Chicks!$G:$G,$D231),""))</f>
        <v/>
      </c>
      <c r="K231" s="6" t="str">
        <f>IF($C231="","",SUMIFS(Chicks!$N:$N,Chicks!$F:$F,$C231,Chicks!$G:$G,$D231))</f>
        <v/>
      </c>
      <c r="L231" s="6" t="str">
        <f>IF($C231="","",SUMIFS(Chicks!$O:$O,Chicks!$F:$F,$C231,Chicks!$G:$G,$D231))</f>
        <v/>
      </c>
      <c r="M231" s="6" t="str">
        <f>IF($C231="","",SUMIFS(Chicks!$P:$P,Chicks!$F:$F,$C231,Chicks!$G:$G,$D231))</f>
        <v/>
      </c>
      <c r="N231" s="6" t="str">
        <f t="shared" si="0"/>
        <v/>
      </c>
      <c r="O231" s="6" t="e">
        <f t="shared" ca="1" si="1"/>
        <v>#NAME?</v>
      </c>
      <c r="P231" s="6" t="str">
        <f t="shared" si="2"/>
        <v/>
      </c>
    </row>
    <row r="232" spans="1:16" ht="14.25" customHeight="1" x14ac:dyDescent="0.3">
      <c r="A232" s="4"/>
      <c r="B232" s="4"/>
      <c r="C232" s="4" t="str">
        <f t="shared" si="3"/>
        <v/>
      </c>
      <c r="D232" s="4" t="str">
        <f t="shared" si="4"/>
        <v/>
      </c>
      <c r="E232" s="4"/>
      <c r="F232" s="6" t="str">
        <f>IF($C232="","",COUNTIFS(Chicks!$F:$F,$C232,Chicks!$G:$G,$D232))</f>
        <v/>
      </c>
      <c r="G232" s="6" t="str">
        <f>IF($C232="","",COUNTIFS(Chicks!$F:$F,$C232,Chicks!$G:$G,$D232,Chicks!$I:$I,"Yes"))</f>
        <v/>
      </c>
      <c r="H232" s="6" t="str">
        <f>IF($C232="","",SUMIFS(Chicks!$J:$J,Chicks!$F:$F,$C232,Chicks!$G:$G,$D232))</f>
        <v/>
      </c>
      <c r="I232" s="6" t="str">
        <f>IF($C232="","",COUNTIFS(Chicks!$F:$F,$C232,Chicks!$G:$G,$D232,Chicks!$I:$I,"No"))</f>
        <v/>
      </c>
      <c r="J232" s="6" t="str">
        <f>IF($C232="","",IFERROR(AVERAGEIFS(Chicks!$M:$M,Chicks!$F:$F,$C232,Chicks!$G:$G,$D232),""))</f>
        <v/>
      </c>
      <c r="K232" s="6" t="str">
        <f>IF($C232="","",SUMIFS(Chicks!$N:$N,Chicks!$F:$F,$C232,Chicks!$G:$G,$D232))</f>
        <v/>
      </c>
      <c r="L232" s="6" t="str">
        <f>IF($C232="","",SUMIFS(Chicks!$O:$O,Chicks!$F:$F,$C232,Chicks!$G:$G,$D232))</f>
        <v/>
      </c>
      <c r="M232" s="6" t="str">
        <f>IF($C232="","",SUMIFS(Chicks!$P:$P,Chicks!$F:$F,$C232,Chicks!$G:$G,$D232))</f>
        <v/>
      </c>
      <c r="N232" s="6" t="str">
        <f t="shared" si="0"/>
        <v/>
      </c>
      <c r="O232" s="6" t="e">
        <f t="shared" ca="1" si="1"/>
        <v>#NAME?</v>
      </c>
      <c r="P232" s="6" t="str">
        <f t="shared" si="2"/>
        <v/>
      </c>
    </row>
    <row r="233" spans="1:16" ht="14.25" customHeight="1" x14ac:dyDescent="0.3">
      <c r="A233" s="4"/>
      <c r="B233" s="4"/>
      <c r="C233" s="4" t="str">
        <f t="shared" si="3"/>
        <v/>
      </c>
      <c r="D233" s="4" t="str">
        <f t="shared" si="4"/>
        <v/>
      </c>
      <c r="E233" s="4"/>
      <c r="F233" s="6" t="str">
        <f>IF($C233="","",COUNTIFS(Chicks!$F:$F,$C233,Chicks!$G:$G,$D233))</f>
        <v/>
      </c>
      <c r="G233" s="6" t="str">
        <f>IF($C233="","",COUNTIFS(Chicks!$F:$F,$C233,Chicks!$G:$G,$D233,Chicks!$I:$I,"Yes"))</f>
        <v/>
      </c>
      <c r="H233" s="6" t="str">
        <f>IF($C233="","",SUMIFS(Chicks!$J:$J,Chicks!$F:$F,$C233,Chicks!$G:$G,$D233))</f>
        <v/>
      </c>
      <c r="I233" s="6" t="str">
        <f>IF($C233="","",COUNTIFS(Chicks!$F:$F,$C233,Chicks!$G:$G,$D233,Chicks!$I:$I,"No"))</f>
        <v/>
      </c>
      <c r="J233" s="6" t="str">
        <f>IF($C233="","",IFERROR(AVERAGEIFS(Chicks!$M:$M,Chicks!$F:$F,$C233,Chicks!$G:$G,$D233),""))</f>
        <v/>
      </c>
      <c r="K233" s="6" t="str">
        <f>IF($C233="","",SUMIFS(Chicks!$N:$N,Chicks!$F:$F,$C233,Chicks!$G:$G,$D233))</f>
        <v/>
      </c>
      <c r="L233" s="6" t="str">
        <f>IF($C233="","",SUMIFS(Chicks!$O:$O,Chicks!$F:$F,$C233,Chicks!$G:$G,$D233))</f>
        <v/>
      </c>
      <c r="M233" s="6" t="str">
        <f>IF($C233="","",SUMIFS(Chicks!$P:$P,Chicks!$F:$F,$C233,Chicks!$G:$G,$D233))</f>
        <v/>
      </c>
      <c r="N233" s="6" t="str">
        <f t="shared" si="0"/>
        <v/>
      </c>
      <c r="O233" s="6" t="e">
        <f t="shared" ca="1" si="1"/>
        <v>#NAME?</v>
      </c>
      <c r="P233" s="6" t="str">
        <f t="shared" si="2"/>
        <v/>
      </c>
    </row>
    <row r="234" spans="1:16" ht="14.25" customHeight="1" x14ac:dyDescent="0.3">
      <c r="A234" s="4"/>
      <c r="B234" s="4"/>
      <c r="C234" s="4" t="str">
        <f t="shared" si="3"/>
        <v/>
      </c>
      <c r="D234" s="4" t="str">
        <f t="shared" si="4"/>
        <v/>
      </c>
      <c r="E234" s="4"/>
      <c r="F234" s="6" t="str">
        <f>IF($C234="","",COUNTIFS(Chicks!$F:$F,$C234,Chicks!$G:$G,$D234))</f>
        <v/>
      </c>
      <c r="G234" s="6" t="str">
        <f>IF($C234="","",COUNTIFS(Chicks!$F:$F,$C234,Chicks!$G:$G,$D234,Chicks!$I:$I,"Yes"))</f>
        <v/>
      </c>
      <c r="H234" s="6" t="str">
        <f>IF($C234="","",SUMIFS(Chicks!$J:$J,Chicks!$F:$F,$C234,Chicks!$G:$G,$D234))</f>
        <v/>
      </c>
      <c r="I234" s="6" t="str">
        <f>IF($C234="","",COUNTIFS(Chicks!$F:$F,$C234,Chicks!$G:$G,$D234,Chicks!$I:$I,"No"))</f>
        <v/>
      </c>
      <c r="J234" s="6" t="str">
        <f>IF($C234="","",IFERROR(AVERAGEIFS(Chicks!$M:$M,Chicks!$F:$F,$C234,Chicks!$G:$G,$D234),""))</f>
        <v/>
      </c>
      <c r="K234" s="6" t="str">
        <f>IF($C234="","",SUMIFS(Chicks!$N:$N,Chicks!$F:$F,$C234,Chicks!$G:$G,$D234))</f>
        <v/>
      </c>
      <c r="L234" s="6" t="str">
        <f>IF($C234="","",SUMIFS(Chicks!$O:$O,Chicks!$F:$F,$C234,Chicks!$G:$G,$D234))</f>
        <v/>
      </c>
      <c r="M234" s="6" t="str">
        <f>IF($C234="","",SUMIFS(Chicks!$P:$P,Chicks!$F:$F,$C234,Chicks!$G:$G,$D234))</f>
        <v/>
      </c>
      <c r="N234" s="6" t="str">
        <f t="shared" si="0"/>
        <v/>
      </c>
      <c r="O234" s="6" t="e">
        <f t="shared" ca="1" si="1"/>
        <v>#NAME?</v>
      </c>
      <c r="P234" s="6" t="str">
        <f t="shared" si="2"/>
        <v/>
      </c>
    </row>
    <row r="235" spans="1:16" ht="14.25" customHeight="1" x14ac:dyDescent="0.3">
      <c r="A235" s="4"/>
      <c r="B235" s="4"/>
      <c r="C235" s="4" t="str">
        <f t="shared" si="3"/>
        <v/>
      </c>
      <c r="D235" s="4" t="str">
        <f t="shared" si="4"/>
        <v/>
      </c>
      <c r="E235" s="4"/>
      <c r="F235" s="6" t="str">
        <f>IF($C235="","",COUNTIFS(Chicks!$F:$F,$C235,Chicks!$G:$G,$D235))</f>
        <v/>
      </c>
      <c r="G235" s="6" t="str">
        <f>IF($C235="","",COUNTIFS(Chicks!$F:$F,$C235,Chicks!$G:$G,$D235,Chicks!$I:$I,"Yes"))</f>
        <v/>
      </c>
      <c r="H235" s="6" t="str">
        <f>IF($C235="","",SUMIFS(Chicks!$J:$J,Chicks!$F:$F,$C235,Chicks!$G:$G,$D235))</f>
        <v/>
      </c>
      <c r="I235" s="6" t="str">
        <f>IF($C235="","",COUNTIFS(Chicks!$F:$F,$C235,Chicks!$G:$G,$D235,Chicks!$I:$I,"No"))</f>
        <v/>
      </c>
      <c r="J235" s="6" t="str">
        <f>IF($C235="","",IFERROR(AVERAGEIFS(Chicks!$M:$M,Chicks!$F:$F,$C235,Chicks!$G:$G,$D235),""))</f>
        <v/>
      </c>
      <c r="K235" s="6" t="str">
        <f>IF($C235="","",SUMIFS(Chicks!$N:$N,Chicks!$F:$F,$C235,Chicks!$G:$G,$D235))</f>
        <v/>
      </c>
      <c r="L235" s="6" t="str">
        <f>IF($C235="","",SUMIFS(Chicks!$O:$O,Chicks!$F:$F,$C235,Chicks!$G:$G,$D235))</f>
        <v/>
      </c>
      <c r="M235" s="6" t="str">
        <f>IF($C235="","",SUMIFS(Chicks!$P:$P,Chicks!$F:$F,$C235,Chicks!$G:$G,$D235))</f>
        <v/>
      </c>
      <c r="N235" s="6" t="str">
        <f t="shared" si="0"/>
        <v/>
      </c>
      <c r="O235" s="6" t="e">
        <f t="shared" ca="1" si="1"/>
        <v>#NAME?</v>
      </c>
      <c r="P235" s="6" t="str">
        <f t="shared" si="2"/>
        <v/>
      </c>
    </row>
    <row r="236" spans="1:16" ht="14.25" customHeight="1" x14ac:dyDescent="0.3">
      <c r="A236" s="4"/>
      <c r="B236" s="4"/>
      <c r="C236" s="4" t="str">
        <f t="shared" si="3"/>
        <v/>
      </c>
      <c r="D236" s="4" t="str">
        <f t="shared" si="4"/>
        <v/>
      </c>
      <c r="E236" s="4"/>
      <c r="F236" s="6" t="str">
        <f>IF($C236="","",COUNTIFS(Chicks!$F:$F,$C236,Chicks!$G:$G,$D236))</f>
        <v/>
      </c>
      <c r="G236" s="6" t="str">
        <f>IF($C236="","",COUNTIFS(Chicks!$F:$F,$C236,Chicks!$G:$G,$D236,Chicks!$I:$I,"Yes"))</f>
        <v/>
      </c>
      <c r="H236" s="6" t="str">
        <f>IF($C236="","",SUMIFS(Chicks!$J:$J,Chicks!$F:$F,$C236,Chicks!$G:$G,$D236))</f>
        <v/>
      </c>
      <c r="I236" s="6" t="str">
        <f>IF($C236="","",COUNTIFS(Chicks!$F:$F,$C236,Chicks!$G:$G,$D236,Chicks!$I:$I,"No"))</f>
        <v/>
      </c>
      <c r="J236" s="6" t="str">
        <f>IF($C236="","",IFERROR(AVERAGEIFS(Chicks!$M:$M,Chicks!$F:$F,$C236,Chicks!$G:$G,$D236),""))</f>
        <v/>
      </c>
      <c r="K236" s="6" t="str">
        <f>IF($C236="","",SUMIFS(Chicks!$N:$N,Chicks!$F:$F,$C236,Chicks!$G:$G,$D236))</f>
        <v/>
      </c>
      <c r="L236" s="6" t="str">
        <f>IF($C236="","",SUMIFS(Chicks!$O:$O,Chicks!$F:$F,$C236,Chicks!$G:$G,$D236))</f>
        <v/>
      </c>
      <c r="M236" s="6" t="str">
        <f>IF($C236="","",SUMIFS(Chicks!$P:$P,Chicks!$F:$F,$C236,Chicks!$G:$G,$D236))</f>
        <v/>
      </c>
      <c r="N236" s="6" t="str">
        <f t="shared" si="0"/>
        <v/>
      </c>
      <c r="O236" s="6" t="e">
        <f t="shared" ca="1" si="1"/>
        <v>#NAME?</v>
      </c>
      <c r="P236" s="6" t="str">
        <f t="shared" si="2"/>
        <v/>
      </c>
    </row>
    <row r="237" spans="1:16" ht="14.25" customHeight="1" x14ac:dyDescent="0.3">
      <c r="A237" s="4"/>
      <c r="B237" s="4"/>
      <c r="C237" s="4" t="str">
        <f t="shared" si="3"/>
        <v/>
      </c>
      <c r="D237" s="4" t="str">
        <f t="shared" si="4"/>
        <v/>
      </c>
      <c r="E237" s="4"/>
      <c r="F237" s="6" t="str">
        <f>IF($C237="","",COUNTIFS(Chicks!$F:$F,$C237,Chicks!$G:$G,$D237))</f>
        <v/>
      </c>
      <c r="G237" s="6" t="str">
        <f>IF($C237="","",COUNTIFS(Chicks!$F:$F,$C237,Chicks!$G:$G,$D237,Chicks!$I:$I,"Yes"))</f>
        <v/>
      </c>
      <c r="H237" s="6" t="str">
        <f>IF($C237="","",SUMIFS(Chicks!$J:$J,Chicks!$F:$F,$C237,Chicks!$G:$G,$D237))</f>
        <v/>
      </c>
      <c r="I237" s="6" t="str">
        <f>IF($C237="","",COUNTIFS(Chicks!$F:$F,$C237,Chicks!$G:$G,$D237,Chicks!$I:$I,"No"))</f>
        <v/>
      </c>
      <c r="J237" s="6" t="str">
        <f>IF($C237="","",IFERROR(AVERAGEIFS(Chicks!$M:$M,Chicks!$F:$F,$C237,Chicks!$G:$G,$D237),""))</f>
        <v/>
      </c>
      <c r="K237" s="6" t="str">
        <f>IF($C237="","",SUMIFS(Chicks!$N:$N,Chicks!$F:$F,$C237,Chicks!$G:$G,$D237))</f>
        <v/>
      </c>
      <c r="L237" s="6" t="str">
        <f>IF($C237="","",SUMIFS(Chicks!$O:$O,Chicks!$F:$F,$C237,Chicks!$G:$G,$D237))</f>
        <v/>
      </c>
      <c r="M237" s="6" t="str">
        <f>IF($C237="","",SUMIFS(Chicks!$P:$P,Chicks!$F:$F,$C237,Chicks!$G:$G,$D237))</f>
        <v/>
      </c>
      <c r="N237" s="6" t="str">
        <f t="shared" si="0"/>
        <v/>
      </c>
      <c r="O237" s="6" t="e">
        <f t="shared" ca="1" si="1"/>
        <v>#NAME?</v>
      </c>
      <c r="P237" s="6" t="str">
        <f t="shared" si="2"/>
        <v/>
      </c>
    </row>
    <row r="238" spans="1:16" ht="14.25" customHeight="1" x14ac:dyDescent="0.3">
      <c r="A238" s="4"/>
      <c r="B238" s="4"/>
      <c r="C238" s="4" t="str">
        <f t="shared" si="3"/>
        <v/>
      </c>
      <c r="D238" s="4" t="str">
        <f t="shared" si="4"/>
        <v/>
      </c>
      <c r="E238" s="4"/>
      <c r="F238" s="6" t="str">
        <f>IF($C238="","",COUNTIFS(Chicks!$F:$F,$C238,Chicks!$G:$G,$D238))</f>
        <v/>
      </c>
      <c r="G238" s="6" t="str">
        <f>IF($C238="","",COUNTIFS(Chicks!$F:$F,$C238,Chicks!$G:$G,$D238,Chicks!$I:$I,"Yes"))</f>
        <v/>
      </c>
      <c r="H238" s="6" t="str">
        <f>IF($C238="","",SUMIFS(Chicks!$J:$J,Chicks!$F:$F,$C238,Chicks!$G:$G,$D238))</f>
        <v/>
      </c>
      <c r="I238" s="6" t="str">
        <f>IF($C238="","",COUNTIFS(Chicks!$F:$F,$C238,Chicks!$G:$G,$D238,Chicks!$I:$I,"No"))</f>
        <v/>
      </c>
      <c r="J238" s="6" t="str">
        <f>IF($C238="","",IFERROR(AVERAGEIFS(Chicks!$M:$M,Chicks!$F:$F,$C238,Chicks!$G:$G,$D238),""))</f>
        <v/>
      </c>
      <c r="K238" s="6" t="str">
        <f>IF($C238="","",SUMIFS(Chicks!$N:$N,Chicks!$F:$F,$C238,Chicks!$G:$G,$D238))</f>
        <v/>
      </c>
      <c r="L238" s="6" t="str">
        <f>IF($C238="","",SUMIFS(Chicks!$O:$O,Chicks!$F:$F,$C238,Chicks!$G:$G,$D238))</f>
        <v/>
      </c>
      <c r="M238" s="6" t="str">
        <f>IF($C238="","",SUMIFS(Chicks!$P:$P,Chicks!$F:$F,$C238,Chicks!$G:$G,$D238))</f>
        <v/>
      </c>
      <c r="N238" s="6" t="str">
        <f t="shared" si="0"/>
        <v/>
      </c>
      <c r="O238" s="6" t="e">
        <f t="shared" ca="1" si="1"/>
        <v>#NAME?</v>
      </c>
      <c r="P238" s="6" t="str">
        <f t="shared" si="2"/>
        <v/>
      </c>
    </row>
    <row r="239" spans="1:16" ht="14.25" customHeight="1" x14ac:dyDescent="0.3">
      <c r="A239" s="4"/>
      <c r="B239" s="4"/>
      <c r="C239" s="4" t="str">
        <f t="shared" si="3"/>
        <v/>
      </c>
      <c r="D239" s="4" t="str">
        <f t="shared" si="4"/>
        <v/>
      </c>
      <c r="E239" s="4"/>
      <c r="F239" s="6" t="str">
        <f>IF($C239="","",COUNTIFS(Chicks!$F:$F,$C239,Chicks!$G:$G,$D239))</f>
        <v/>
      </c>
      <c r="G239" s="6" t="str">
        <f>IF($C239="","",COUNTIFS(Chicks!$F:$F,$C239,Chicks!$G:$G,$D239,Chicks!$I:$I,"Yes"))</f>
        <v/>
      </c>
      <c r="H239" s="6" t="str">
        <f>IF($C239="","",SUMIFS(Chicks!$J:$J,Chicks!$F:$F,$C239,Chicks!$G:$G,$D239))</f>
        <v/>
      </c>
      <c r="I239" s="6" t="str">
        <f>IF($C239="","",COUNTIFS(Chicks!$F:$F,$C239,Chicks!$G:$G,$D239,Chicks!$I:$I,"No"))</f>
        <v/>
      </c>
      <c r="J239" s="6" t="str">
        <f>IF($C239="","",IFERROR(AVERAGEIFS(Chicks!$M:$M,Chicks!$F:$F,$C239,Chicks!$G:$G,$D239),""))</f>
        <v/>
      </c>
      <c r="K239" s="6" t="str">
        <f>IF($C239="","",SUMIFS(Chicks!$N:$N,Chicks!$F:$F,$C239,Chicks!$G:$G,$D239))</f>
        <v/>
      </c>
      <c r="L239" s="6" t="str">
        <f>IF($C239="","",SUMIFS(Chicks!$O:$O,Chicks!$F:$F,$C239,Chicks!$G:$G,$D239))</f>
        <v/>
      </c>
      <c r="M239" s="6" t="str">
        <f>IF($C239="","",SUMIFS(Chicks!$P:$P,Chicks!$F:$F,$C239,Chicks!$G:$G,$D239))</f>
        <v/>
      </c>
      <c r="N239" s="6" t="str">
        <f t="shared" si="0"/>
        <v/>
      </c>
      <c r="O239" s="6" t="e">
        <f t="shared" ca="1" si="1"/>
        <v>#NAME?</v>
      </c>
      <c r="P239" s="6" t="str">
        <f t="shared" si="2"/>
        <v/>
      </c>
    </row>
    <row r="240" spans="1:16" ht="14.25" customHeight="1" x14ac:dyDescent="0.3">
      <c r="A240" s="4"/>
      <c r="B240" s="4"/>
      <c r="C240" s="4" t="str">
        <f t="shared" si="3"/>
        <v/>
      </c>
      <c r="D240" s="4" t="str">
        <f t="shared" si="4"/>
        <v/>
      </c>
      <c r="E240" s="4"/>
      <c r="F240" s="6" t="str">
        <f>IF($C240="","",COUNTIFS(Chicks!$F:$F,$C240,Chicks!$G:$G,$D240))</f>
        <v/>
      </c>
      <c r="G240" s="6" t="str">
        <f>IF($C240="","",COUNTIFS(Chicks!$F:$F,$C240,Chicks!$G:$G,$D240,Chicks!$I:$I,"Yes"))</f>
        <v/>
      </c>
      <c r="H240" s="6" t="str">
        <f>IF($C240="","",SUMIFS(Chicks!$J:$J,Chicks!$F:$F,$C240,Chicks!$G:$G,$D240))</f>
        <v/>
      </c>
      <c r="I240" s="6" t="str">
        <f>IF($C240="","",COUNTIFS(Chicks!$F:$F,$C240,Chicks!$G:$G,$D240,Chicks!$I:$I,"No"))</f>
        <v/>
      </c>
      <c r="J240" s="6" t="str">
        <f>IF($C240="","",IFERROR(AVERAGEIFS(Chicks!$M:$M,Chicks!$F:$F,$C240,Chicks!$G:$G,$D240),""))</f>
        <v/>
      </c>
      <c r="K240" s="6" t="str">
        <f>IF($C240="","",SUMIFS(Chicks!$N:$N,Chicks!$F:$F,$C240,Chicks!$G:$G,$D240))</f>
        <v/>
      </c>
      <c r="L240" s="6" t="str">
        <f>IF($C240="","",SUMIFS(Chicks!$O:$O,Chicks!$F:$F,$C240,Chicks!$G:$G,$D240))</f>
        <v/>
      </c>
      <c r="M240" s="6" t="str">
        <f>IF($C240="","",SUMIFS(Chicks!$P:$P,Chicks!$F:$F,$C240,Chicks!$G:$G,$D240))</f>
        <v/>
      </c>
      <c r="N240" s="6" t="str">
        <f t="shared" si="0"/>
        <v/>
      </c>
      <c r="O240" s="6" t="e">
        <f t="shared" ca="1" si="1"/>
        <v>#NAME?</v>
      </c>
      <c r="P240" s="6" t="str">
        <f t="shared" si="2"/>
        <v/>
      </c>
    </row>
    <row r="241" spans="1:16" ht="14.25" customHeight="1" x14ac:dyDescent="0.3">
      <c r="A241" s="4"/>
      <c r="B241" s="4"/>
      <c r="C241" s="4" t="str">
        <f t="shared" si="3"/>
        <v/>
      </c>
      <c r="D241" s="4" t="str">
        <f t="shared" si="4"/>
        <v/>
      </c>
      <c r="E241" s="4"/>
      <c r="F241" s="6" t="str">
        <f>IF($C241="","",COUNTIFS(Chicks!$F:$F,$C241,Chicks!$G:$G,$D241))</f>
        <v/>
      </c>
      <c r="G241" s="6" t="str">
        <f>IF($C241="","",COUNTIFS(Chicks!$F:$F,$C241,Chicks!$G:$G,$D241,Chicks!$I:$I,"Yes"))</f>
        <v/>
      </c>
      <c r="H241" s="6" t="str">
        <f>IF($C241="","",SUMIFS(Chicks!$J:$J,Chicks!$F:$F,$C241,Chicks!$G:$G,$D241))</f>
        <v/>
      </c>
      <c r="I241" s="6" t="str">
        <f>IF($C241="","",COUNTIFS(Chicks!$F:$F,$C241,Chicks!$G:$G,$D241,Chicks!$I:$I,"No"))</f>
        <v/>
      </c>
      <c r="J241" s="6" t="str">
        <f>IF($C241="","",IFERROR(AVERAGEIFS(Chicks!$M:$M,Chicks!$F:$F,$C241,Chicks!$G:$G,$D241),""))</f>
        <v/>
      </c>
      <c r="K241" s="6" t="str">
        <f>IF($C241="","",SUMIFS(Chicks!$N:$N,Chicks!$F:$F,$C241,Chicks!$G:$G,$D241))</f>
        <v/>
      </c>
      <c r="L241" s="6" t="str">
        <f>IF($C241="","",SUMIFS(Chicks!$O:$O,Chicks!$F:$F,$C241,Chicks!$G:$G,$D241))</f>
        <v/>
      </c>
      <c r="M241" s="6" t="str">
        <f>IF($C241="","",SUMIFS(Chicks!$P:$P,Chicks!$F:$F,$C241,Chicks!$G:$G,$D241))</f>
        <v/>
      </c>
      <c r="N241" s="6" t="str">
        <f t="shared" si="0"/>
        <v/>
      </c>
      <c r="O241" s="6" t="e">
        <f t="shared" ca="1" si="1"/>
        <v>#NAME?</v>
      </c>
      <c r="P241" s="6" t="str">
        <f t="shared" si="2"/>
        <v/>
      </c>
    </row>
    <row r="242" spans="1:16" ht="14.25" customHeight="1" x14ac:dyDescent="0.3">
      <c r="A242" s="4"/>
      <c r="B242" s="4"/>
      <c r="C242" s="4" t="str">
        <f t="shared" si="3"/>
        <v/>
      </c>
      <c r="D242" s="4" t="str">
        <f t="shared" si="4"/>
        <v/>
      </c>
      <c r="E242" s="4"/>
      <c r="F242" s="6" t="str">
        <f>IF($C242="","",COUNTIFS(Chicks!$F:$F,$C242,Chicks!$G:$G,$D242))</f>
        <v/>
      </c>
      <c r="G242" s="6" t="str">
        <f>IF($C242="","",COUNTIFS(Chicks!$F:$F,$C242,Chicks!$G:$G,$D242,Chicks!$I:$I,"Yes"))</f>
        <v/>
      </c>
      <c r="H242" s="6" t="str">
        <f>IF($C242="","",SUMIFS(Chicks!$J:$J,Chicks!$F:$F,$C242,Chicks!$G:$G,$D242))</f>
        <v/>
      </c>
      <c r="I242" s="6" t="str">
        <f>IF($C242="","",COUNTIFS(Chicks!$F:$F,$C242,Chicks!$G:$G,$D242,Chicks!$I:$I,"No"))</f>
        <v/>
      </c>
      <c r="J242" s="6" t="str">
        <f>IF($C242="","",IFERROR(AVERAGEIFS(Chicks!$M:$M,Chicks!$F:$F,$C242,Chicks!$G:$G,$D242),""))</f>
        <v/>
      </c>
      <c r="K242" s="6" t="str">
        <f>IF($C242="","",SUMIFS(Chicks!$N:$N,Chicks!$F:$F,$C242,Chicks!$G:$G,$D242))</f>
        <v/>
      </c>
      <c r="L242" s="6" t="str">
        <f>IF($C242="","",SUMIFS(Chicks!$O:$O,Chicks!$F:$F,$C242,Chicks!$G:$G,$D242))</f>
        <v/>
      </c>
      <c r="M242" s="6" t="str">
        <f>IF($C242="","",SUMIFS(Chicks!$P:$P,Chicks!$F:$F,$C242,Chicks!$G:$G,$D242))</f>
        <v/>
      </c>
      <c r="N242" s="6" t="str">
        <f t="shared" si="0"/>
        <v/>
      </c>
      <c r="O242" s="6" t="e">
        <f t="shared" ca="1" si="1"/>
        <v>#NAME?</v>
      </c>
      <c r="P242" s="6" t="str">
        <f t="shared" si="2"/>
        <v/>
      </c>
    </row>
    <row r="243" spans="1:16" ht="14.25" customHeight="1" x14ac:dyDescent="0.3">
      <c r="A243" s="4"/>
      <c r="B243" s="4"/>
      <c r="C243" s="4" t="str">
        <f t="shared" si="3"/>
        <v/>
      </c>
      <c r="D243" s="4" t="str">
        <f t="shared" si="4"/>
        <v/>
      </c>
      <c r="E243" s="4"/>
      <c r="F243" s="6" t="str">
        <f>IF($C243="","",COUNTIFS(Chicks!$F:$F,$C243,Chicks!$G:$G,$D243))</f>
        <v/>
      </c>
      <c r="G243" s="6" t="str">
        <f>IF($C243="","",COUNTIFS(Chicks!$F:$F,$C243,Chicks!$G:$G,$D243,Chicks!$I:$I,"Yes"))</f>
        <v/>
      </c>
      <c r="H243" s="6" t="str">
        <f>IF($C243="","",SUMIFS(Chicks!$J:$J,Chicks!$F:$F,$C243,Chicks!$G:$G,$D243))</f>
        <v/>
      </c>
      <c r="I243" s="6" t="str">
        <f>IF($C243="","",COUNTIFS(Chicks!$F:$F,$C243,Chicks!$G:$G,$D243,Chicks!$I:$I,"No"))</f>
        <v/>
      </c>
      <c r="J243" s="6" t="str">
        <f>IF($C243="","",IFERROR(AVERAGEIFS(Chicks!$M:$M,Chicks!$F:$F,$C243,Chicks!$G:$G,$D243),""))</f>
        <v/>
      </c>
      <c r="K243" s="6" t="str">
        <f>IF($C243="","",SUMIFS(Chicks!$N:$N,Chicks!$F:$F,$C243,Chicks!$G:$G,$D243))</f>
        <v/>
      </c>
      <c r="L243" s="6" t="str">
        <f>IF($C243="","",SUMIFS(Chicks!$O:$O,Chicks!$F:$F,$C243,Chicks!$G:$G,$D243))</f>
        <v/>
      </c>
      <c r="M243" s="6" t="str">
        <f>IF($C243="","",SUMIFS(Chicks!$P:$P,Chicks!$F:$F,$C243,Chicks!$G:$G,$D243))</f>
        <v/>
      </c>
      <c r="N243" s="6" t="str">
        <f t="shared" si="0"/>
        <v/>
      </c>
      <c r="O243" s="6" t="e">
        <f t="shared" ca="1" si="1"/>
        <v>#NAME?</v>
      </c>
      <c r="P243" s="6" t="str">
        <f t="shared" si="2"/>
        <v/>
      </c>
    </row>
    <row r="244" spans="1:16" ht="14.25" customHeight="1" x14ac:dyDescent="0.3">
      <c r="A244" s="4"/>
      <c r="B244" s="4"/>
      <c r="C244" s="4" t="str">
        <f t="shared" si="3"/>
        <v/>
      </c>
      <c r="D244" s="4" t="str">
        <f t="shared" si="4"/>
        <v/>
      </c>
      <c r="E244" s="4"/>
      <c r="F244" s="6" t="str">
        <f>IF($C244="","",COUNTIFS(Chicks!$F:$F,$C244,Chicks!$G:$G,$D244))</f>
        <v/>
      </c>
      <c r="G244" s="6" t="str">
        <f>IF($C244="","",COUNTIFS(Chicks!$F:$F,$C244,Chicks!$G:$G,$D244,Chicks!$I:$I,"Yes"))</f>
        <v/>
      </c>
      <c r="H244" s="6" t="str">
        <f>IF($C244="","",SUMIFS(Chicks!$J:$J,Chicks!$F:$F,$C244,Chicks!$G:$G,$D244))</f>
        <v/>
      </c>
      <c r="I244" s="6" t="str">
        <f>IF($C244="","",COUNTIFS(Chicks!$F:$F,$C244,Chicks!$G:$G,$D244,Chicks!$I:$I,"No"))</f>
        <v/>
      </c>
      <c r="J244" s="6" t="str">
        <f>IF($C244="","",IFERROR(AVERAGEIFS(Chicks!$M:$M,Chicks!$F:$F,$C244,Chicks!$G:$G,$D244),""))</f>
        <v/>
      </c>
      <c r="K244" s="6" t="str">
        <f>IF($C244="","",SUMIFS(Chicks!$N:$N,Chicks!$F:$F,$C244,Chicks!$G:$G,$D244))</f>
        <v/>
      </c>
      <c r="L244" s="6" t="str">
        <f>IF($C244="","",SUMIFS(Chicks!$O:$O,Chicks!$F:$F,$C244,Chicks!$G:$G,$D244))</f>
        <v/>
      </c>
      <c r="M244" s="6" t="str">
        <f>IF($C244="","",SUMIFS(Chicks!$P:$P,Chicks!$F:$F,$C244,Chicks!$G:$G,$D244))</f>
        <v/>
      </c>
      <c r="N244" s="6" t="str">
        <f t="shared" si="0"/>
        <v/>
      </c>
      <c r="O244" s="6" t="e">
        <f t="shared" ca="1" si="1"/>
        <v>#NAME?</v>
      </c>
      <c r="P244" s="6" t="str">
        <f t="shared" si="2"/>
        <v/>
      </c>
    </row>
    <row r="245" spans="1:16" ht="14.25" customHeight="1" x14ac:dyDescent="0.3">
      <c r="A245" s="4"/>
      <c r="B245" s="4"/>
      <c r="C245" s="4" t="str">
        <f t="shared" si="3"/>
        <v/>
      </c>
      <c r="D245" s="4" t="str">
        <f t="shared" si="4"/>
        <v/>
      </c>
      <c r="E245" s="4"/>
      <c r="F245" s="6" t="str">
        <f>IF($C245="","",COUNTIFS(Chicks!$F:$F,$C245,Chicks!$G:$G,$D245))</f>
        <v/>
      </c>
      <c r="G245" s="6" t="str">
        <f>IF($C245="","",COUNTIFS(Chicks!$F:$F,$C245,Chicks!$G:$G,$D245,Chicks!$I:$I,"Yes"))</f>
        <v/>
      </c>
      <c r="H245" s="6" t="str">
        <f>IF($C245="","",SUMIFS(Chicks!$J:$J,Chicks!$F:$F,$C245,Chicks!$G:$G,$D245))</f>
        <v/>
      </c>
      <c r="I245" s="6" t="str">
        <f>IF($C245="","",COUNTIFS(Chicks!$F:$F,$C245,Chicks!$G:$G,$D245,Chicks!$I:$I,"No"))</f>
        <v/>
      </c>
      <c r="J245" s="6" t="str">
        <f>IF($C245="","",IFERROR(AVERAGEIFS(Chicks!$M:$M,Chicks!$F:$F,$C245,Chicks!$G:$G,$D245),""))</f>
        <v/>
      </c>
      <c r="K245" s="6" t="str">
        <f>IF($C245="","",SUMIFS(Chicks!$N:$N,Chicks!$F:$F,$C245,Chicks!$G:$G,$D245))</f>
        <v/>
      </c>
      <c r="L245" s="6" t="str">
        <f>IF($C245="","",SUMIFS(Chicks!$O:$O,Chicks!$F:$F,$C245,Chicks!$G:$G,$D245))</f>
        <v/>
      </c>
      <c r="M245" s="6" t="str">
        <f>IF($C245="","",SUMIFS(Chicks!$P:$P,Chicks!$F:$F,$C245,Chicks!$G:$G,$D245))</f>
        <v/>
      </c>
      <c r="N245" s="6" t="str">
        <f t="shared" si="0"/>
        <v/>
      </c>
      <c r="O245" s="6" t="e">
        <f t="shared" ca="1" si="1"/>
        <v>#NAME?</v>
      </c>
      <c r="P245" s="6" t="str">
        <f t="shared" si="2"/>
        <v/>
      </c>
    </row>
    <row r="246" spans="1:16" ht="14.25" customHeight="1" x14ac:dyDescent="0.3">
      <c r="A246" s="4"/>
      <c r="B246" s="4"/>
      <c r="C246" s="4" t="str">
        <f t="shared" si="3"/>
        <v/>
      </c>
      <c r="D246" s="4" t="str">
        <f t="shared" si="4"/>
        <v/>
      </c>
      <c r="E246" s="4"/>
      <c r="F246" s="6" t="str">
        <f>IF($C246="","",COUNTIFS(Chicks!$F:$F,$C246,Chicks!$G:$G,$D246))</f>
        <v/>
      </c>
      <c r="G246" s="6" t="str">
        <f>IF($C246="","",COUNTIFS(Chicks!$F:$F,$C246,Chicks!$G:$G,$D246,Chicks!$I:$I,"Yes"))</f>
        <v/>
      </c>
      <c r="H246" s="6" t="str">
        <f>IF($C246="","",SUMIFS(Chicks!$J:$J,Chicks!$F:$F,$C246,Chicks!$G:$G,$D246))</f>
        <v/>
      </c>
      <c r="I246" s="6" t="str">
        <f>IF($C246="","",COUNTIFS(Chicks!$F:$F,$C246,Chicks!$G:$G,$D246,Chicks!$I:$I,"No"))</f>
        <v/>
      </c>
      <c r="J246" s="6" t="str">
        <f>IF($C246="","",IFERROR(AVERAGEIFS(Chicks!$M:$M,Chicks!$F:$F,$C246,Chicks!$G:$G,$D246),""))</f>
        <v/>
      </c>
      <c r="K246" s="6" t="str">
        <f>IF($C246="","",SUMIFS(Chicks!$N:$N,Chicks!$F:$F,$C246,Chicks!$G:$G,$D246))</f>
        <v/>
      </c>
      <c r="L246" s="6" t="str">
        <f>IF($C246="","",SUMIFS(Chicks!$O:$O,Chicks!$F:$F,$C246,Chicks!$G:$G,$D246))</f>
        <v/>
      </c>
      <c r="M246" s="6" t="str">
        <f>IF($C246="","",SUMIFS(Chicks!$P:$P,Chicks!$F:$F,$C246,Chicks!$G:$G,$D246))</f>
        <v/>
      </c>
      <c r="N246" s="6" t="str">
        <f t="shared" si="0"/>
        <v/>
      </c>
      <c r="O246" s="6" t="e">
        <f t="shared" ca="1" si="1"/>
        <v>#NAME?</v>
      </c>
      <c r="P246" s="6" t="str">
        <f t="shared" si="2"/>
        <v/>
      </c>
    </row>
    <row r="247" spans="1:16" ht="14.25" customHeight="1" x14ac:dyDescent="0.3">
      <c r="A247" s="4"/>
      <c r="B247" s="4"/>
      <c r="C247" s="4" t="str">
        <f t="shared" si="3"/>
        <v/>
      </c>
      <c r="D247" s="4" t="str">
        <f t="shared" si="4"/>
        <v/>
      </c>
      <c r="E247" s="4"/>
      <c r="F247" s="6" t="str">
        <f>IF($C247="","",COUNTIFS(Chicks!$F:$F,$C247,Chicks!$G:$G,$D247))</f>
        <v/>
      </c>
      <c r="G247" s="6" t="str">
        <f>IF($C247="","",COUNTIFS(Chicks!$F:$F,$C247,Chicks!$G:$G,$D247,Chicks!$I:$I,"Yes"))</f>
        <v/>
      </c>
      <c r="H247" s="6" t="str">
        <f>IF($C247="","",SUMIFS(Chicks!$J:$J,Chicks!$F:$F,$C247,Chicks!$G:$G,$D247))</f>
        <v/>
      </c>
      <c r="I247" s="6" t="str">
        <f>IF($C247="","",COUNTIFS(Chicks!$F:$F,$C247,Chicks!$G:$G,$D247,Chicks!$I:$I,"No"))</f>
        <v/>
      </c>
      <c r="J247" s="6" t="str">
        <f>IF($C247="","",IFERROR(AVERAGEIFS(Chicks!$M:$M,Chicks!$F:$F,$C247,Chicks!$G:$G,$D247),""))</f>
        <v/>
      </c>
      <c r="K247" s="6" t="str">
        <f>IF($C247="","",SUMIFS(Chicks!$N:$N,Chicks!$F:$F,$C247,Chicks!$G:$G,$D247))</f>
        <v/>
      </c>
      <c r="L247" s="6" t="str">
        <f>IF($C247="","",SUMIFS(Chicks!$O:$O,Chicks!$F:$F,$C247,Chicks!$G:$G,$D247))</f>
        <v/>
      </c>
      <c r="M247" s="6" t="str">
        <f>IF($C247="","",SUMIFS(Chicks!$P:$P,Chicks!$F:$F,$C247,Chicks!$G:$G,$D247))</f>
        <v/>
      </c>
      <c r="N247" s="6" t="str">
        <f t="shared" si="0"/>
        <v/>
      </c>
      <c r="O247" s="6" t="e">
        <f t="shared" ca="1" si="1"/>
        <v>#NAME?</v>
      </c>
      <c r="P247" s="6" t="str">
        <f t="shared" si="2"/>
        <v/>
      </c>
    </row>
    <row r="248" spans="1:16" ht="14.25" customHeight="1" x14ac:dyDescent="0.3">
      <c r="A248" s="4"/>
      <c r="B248" s="4"/>
      <c r="C248" s="4" t="str">
        <f t="shared" si="3"/>
        <v/>
      </c>
      <c r="D248" s="4" t="str">
        <f t="shared" si="4"/>
        <v/>
      </c>
      <c r="E248" s="4"/>
      <c r="F248" s="6" t="str">
        <f>IF($C248="","",COUNTIFS(Chicks!$F:$F,$C248,Chicks!$G:$G,$D248))</f>
        <v/>
      </c>
      <c r="G248" s="6" t="str">
        <f>IF($C248="","",COUNTIFS(Chicks!$F:$F,$C248,Chicks!$G:$G,$D248,Chicks!$I:$I,"Yes"))</f>
        <v/>
      </c>
      <c r="H248" s="6" t="str">
        <f>IF($C248="","",SUMIFS(Chicks!$J:$J,Chicks!$F:$F,$C248,Chicks!$G:$G,$D248))</f>
        <v/>
      </c>
      <c r="I248" s="6" t="str">
        <f>IF($C248="","",COUNTIFS(Chicks!$F:$F,$C248,Chicks!$G:$G,$D248,Chicks!$I:$I,"No"))</f>
        <v/>
      </c>
      <c r="J248" s="6" t="str">
        <f>IF($C248="","",IFERROR(AVERAGEIFS(Chicks!$M:$M,Chicks!$F:$F,$C248,Chicks!$G:$G,$D248),""))</f>
        <v/>
      </c>
      <c r="K248" s="6" t="str">
        <f>IF($C248="","",SUMIFS(Chicks!$N:$N,Chicks!$F:$F,$C248,Chicks!$G:$G,$D248))</f>
        <v/>
      </c>
      <c r="L248" s="6" t="str">
        <f>IF($C248="","",SUMIFS(Chicks!$O:$O,Chicks!$F:$F,$C248,Chicks!$G:$G,$D248))</f>
        <v/>
      </c>
      <c r="M248" s="6" t="str">
        <f>IF($C248="","",SUMIFS(Chicks!$P:$P,Chicks!$F:$F,$C248,Chicks!$G:$G,$D248))</f>
        <v/>
      </c>
      <c r="N248" s="6" t="str">
        <f t="shared" si="0"/>
        <v/>
      </c>
      <c r="O248" s="6" t="e">
        <f t="shared" ca="1" si="1"/>
        <v>#NAME?</v>
      </c>
      <c r="P248" s="6" t="str">
        <f t="shared" si="2"/>
        <v/>
      </c>
    </row>
    <row r="249" spans="1:16" ht="14.25" customHeight="1" x14ac:dyDescent="0.3">
      <c r="A249" s="4"/>
      <c r="B249" s="4"/>
      <c r="C249" s="4" t="str">
        <f t="shared" si="3"/>
        <v/>
      </c>
      <c r="D249" s="4" t="str">
        <f t="shared" si="4"/>
        <v/>
      </c>
      <c r="E249" s="4"/>
      <c r="F249" s="6" t="str">
        <f>IF($C249="","",COUNTIFS(Chicks!$F:$F,$C249,Chicks!$G:$G,$D249))</f>
        <v/>
      </c>
      <c r="G249" s="6" t="str">
        <f>IF($C249="","",COUNTIFS(Chicks!$F:$F,$C249,Chicks!$G:$G,$D249,Chicks!$I:$I,"Yes"))</f>
        <v/>
      </c>
      <c r="H249" s="6" t="str">
        <f>IF($C249="","",SUMIFS(Chicks!$J:$J,Chicks!$F:$F,$C249,Chicks!$G:$G,$D249))</f>
        <v/>
      </c>
      <c r="I249" s="6" t="str">
        <f>IF($C249="","",COUNTIFS(Chicks!$F:$F,$C249,Chicks!$G:$G,$D249,Chicks!$I:$I,"No"))</f>
        <v/>
      </c>
      <c r="J249" s="6" t="str">
        <f>IF($C249="","",IFERROR(AVERAGEIFS(Chicks!$M:$M,Chicks!$F:$F,$C249,Chicks!$G:$G,$D249),""))</f>
        <v/>
      </c>
      <c r="K249" s="6" t="str">
        <f>IF($C249="","",SUMIFS(Chicks!$N:$N,Chicks!$F:$F,$C249,Chicks!$G:$G,$D249))</f>
        <v/>
      </c>
      <c r="L249" s="6" t="str">
        <f>IF($C249="","",SUMIFS(Chicks!$O:$O,Chicks!$F:$F,$C249,Chicks!$G:$G,$D249))</f>
        <v/>
      </c>
      <c r="M249" s="6" t="str">
        <f>IF($C249="","",SUMIFS(Chicks!$P:$P,Chicks!$F:$F,$C249,Chicks!$G:$G,$D249))</f>
        <v/>
      </c>
      <c r="N249" s="6" t="str">
        <f t="shared" si="0"/>
        <v/>
      </c>
      <c r="O249" s="6" t="e">
        <f t="shared" ca="1" si="1"/>
        <v>#NAME?</v>
      </c>
      <c r="P249" s="6" t="str">
        <f t="shared" si="2"/>
        <v/>
      </c>
    </row>
    <row r="250" spans="1:16" ht="14.25" customHeight="1" x14ac:dyDescent="0.3">
      <c r="A250" s="4"/>
      <c r="B250" s="4"/>
      <c r="C250" s="4" t="str">
        <f t="shared" si="3"/>
        <v/>
      </c>
      <c r="D250" s="4" t="str">
        <f t="shared" si="4"/>
        <v/>
      </c>
      <c r="E250" s="4"/>
      <c r="F250" s="6" t="str">
        <f>IF($C250="","",COUNTIFS(Chicks!$F:$F,$C250,Chicks!$G:$G,$D250))</f>
        <v/>
      </c>
      <c r="G250" s="6" t="str">
        <f>IF($C250="","",COUNTIFS(Chicks!$F:$F,$C250,Chicks!$G:$G,$D250,Chicks!$I:$I,"Yes"))</f>
        <v/>
      </c>
      <c r="H250" s="6" t="str">
        <f>IF($C250="","",SUMIFS(Chicks!$J:$J,Chicks!$F:$F,$C250,Chicks!$G:$G,$D250))</f>
        <v/>
      </c>
      <c r="I250" s="6" t="str">
        <f>IF($C250="","",COUNTIFS(Chicks!$F:$F,$C250,Chicks!$G:$G,$D250,Chicks!$I:$I,"No"))</f>
        <v/>
      </c>
      <c r="J250" s="6" t="str">
        <f>IF($C250="","",IFERROR(AVERAGEIFS(Chicks!$M:$M,Chicks!$F:$F,$C250,Chicks!$G:$G,$D250),""))</f>
        <v/>
      </c>
      <c r="K250" s="6" t="str">
        <f>IF($C250="","",SUMIFS(Chicks!$N:$N,Chicks!$F:$F,$C250,Chicks!$G:$G,$D250))</f>
        <v/>
      </c>
      <c r="L250" s="6" t="str">
        <f>IF($C250="","",SUMIFS(Chicks!$O:$O,Chicks!$F:$F,$C250,Chicks!$G:$G,$D250))</f>
        <v/>
      </c>
      <c r="M250" s="6" t="str">
        <f>IF($C250="","",SUMIFS(Chicks!$P:$P,Chicks!$F:$F,$C250,Chicks!$G:$G,$D250))</f>
        <v/>
      </c>
      <c r="N250" s="6" t="str">
        <f t="shared" si="0"/>
        <v/>
      </c>
      <c r="O250" s="6" t="e">
        <f t="shared" ca="1" si="1"/>
        <v>#NAME?</v>
      </c>
      <c r="P250" s="6" t="str">
        <f t="shared" si="2"/>
        <v/>
      </c>
    </row>
    <row r="251" spans="1:16" ht="14.25" customHeight="1" x14ac:dyDescent="0.3">
      <c r="A251" s="4"/>
      <c r="B251" s="4"/>
      <c r="C251" s="4" t="str">
        <f t="shared" si="3"/>
        <v/>
      </c>
      <c r="D251" s="4" t="str">
        <f t="shared" si="4"/>
        <v/>
      </c>
      <c r="E251" s="4"/>
      <c r="F251" s="6" t="str">
        <f>IF($C251="","",COUNTIFS(Chicks!$F:$F,$C251,Chicks!$G:$G,$D251))</f>
        <v/>
      </c>
      <c r="G251" s="6" t="str">
        <f>IF($C251="","",COUNTIFS(Chicks!$F:$F,$C251,Chicks!$G:$G,$D251,Chicks!$I:$I,"Yes"))</f>
        <v/>
      </c>
      <c r="H251" s="6" t="str">
        <f>IF($C251="","",SUMIFS(Chicks!$J:$J,Chicks!$F:$F,$C251,Chicks!$G:$G,$D251))</f>
        <v/>
      </c>
      <c r="I251" s="6" t="str">
        <f>IF($C251="","",COUNTIFS(Chicks!$F:$F,$C251,Chicks!$G:$G,$D251,Chicks!$I:$I,"No"))</f>
        <v/>
      </c>
      <c r="J251" s="6" t="str">
        <f>IF($C251="","",IFERROR(AVERAGEIFS(Chicks!$M:$M,Chicks!$F:$F,$C251,Chicks!$G:$G,$D251),""))</f>
        <v/>
      </c>
      <c r="K251" s="6" t="str">
        <f>IF($C251="","",SUMIFS(Chicks!$N:$N,Chicks!$F:$F,$C251,Chicks!$G:$G,$D251))</f>
        <v/>
      </c>
      <c r="L251" s="6" t="str">
        <f>IF($C251="","",SUMIFS(Chicks!$O:$O,Chicks!$F:$F,$C251,Chicks!$G:$G,$D251))</f>
        <v/>
      </c>
      <c r="M251" s="6" t="str">
        <f>IF($C251="","",SUMIFS(Chicks!$P:$P,Chicks!$F:$F,$C251,Chicks!$G:$G,$D251))</f>
        <v/>
      </c>
      <c r="N251" s="6" t="str">
        <f t="shared" si="0"/>
        <v/>
      </c>
      <c r="O251" s="6" t="e">
        <f t="shared" ca="1" si="1"/>
        <v>#NAME?</v>
      </c>
      <c r="P251" s="6" t="str">
        <f t="shared" si="2"/>
        <v/>
      </c>
    </row>
    <row r="252" spans="1:16" ht="14.25" customHeight="1" x14ac:dyDescent="0.3">
      <c r="A252" s="4"/>
      <c r="B252" s="4"/>
      <c r="C252" s="4" t="str">
        <f t="shared" si="3"/>
        <v/>
      </c>
      <c r="D252" s="4" t="str">
        <f t="shared" si="4"/>
        <v/>
      </c>
      <c r="E252" s="4"/>
      <c r="F252" s="6" t="str">
        <f>IF($C252="","",COUNTIFS(Chicks!$F:$F,$C252,Chicks!$G:$G,$D252))</f>
        <v/>
      </c>
      <c r="G252" s="6" t="str">
        <f>IF($C252="","",COUNTIFS(Chicks!$F:$F,$C252,Chicks!$G:$G,$D252,Chicks!$I:$I,"Yes"))</f>
        <v/>
      </c>
      <c r="H252" s="6" t="str">
        <f>IF($C252="","",SUMIFS(Chicks!$J:$J,Chicks!$F:$F,$C252,Chicks!$G:$G,$D252))</f>
        <v/>
      </c>
      <c r="I252" s="6" t="str">
        <f>IF($C252="","",COUNTIFS(Chicks!$F:$F,$C252,Chicks!$G:$G,$D252,Chicks!$I:$I,"No"))</f>
        <v/>
      </c>
      <c r="J252" s="6" t="str">
        <f>IF($C252="","",IFERROR(AVERAGEIFS(Chicks!$M:$M,Chicks!$F:$F,$C252,Chicks!$G:$G,$D252),""))</f>
        <v/>
      </c>
      <c r="K252" s="6" t="str">
        <f>IF($C252="","",SUMIFS(Chicks!$N:$N,Chicks!$F:$F,$C252,Chicks!$G:$G,$D252))</f>
        <v/>
      </c>
      <c r="L252" s="6" t="str">
        <f>IF($C252="","",SUMIFS(Chicks!$O:$O,Chicks!$F:$F,$C252,Chicks!$G:$G,$D252))</f>
        <v/>
      </c>
      <c r="M252" s="6" t="str">
        <f>IF($C252="","",SUMIFS(Chicks!$P:$P,Chicks!$F:$F,$C252,Chicks!$G:$G,$D252))</f>
        <v/>
      </c>
      <c r="N252" s="6" t="str">
        <f t="shared" si="0"/>
        <v/>
      </c>
      <c r="O252" s="6" t="e">
        <f t="shared" ca="1" si="1"/>
        <v>#NAME?</v>
      </c>
      <c r="P252" s="6" t="str">
        <f t="shared" si="2"/>
        <v/>
      </c>
    </row>
    <row r="253" spans="1:16" ht="14.25" customHeight="1" x14ac:dyDescent="0.3">
      <c r="A253" s="4"/>
      <c r="B253" s="4"/>
      <c r="C253" s="4" t="str">
        <f t="shared" si="3"/>
        <v/>
      </c>
      <c r="D253" s="4" t="str">
        <f t="shared" si="4"/>
        <v/>
      </c>
      <c r="E253" s="4"/>
      <c r="F253" s="6" t="str">
        <f>IF($C253="","",COUNTIFS(Chicks!$F:$F,$C253,Chicks!$G:$G,$D253))</f>
        <v/>
      </c>
      <c r="G253" s="6" t="str">
        <f>IF($C253="","",COUNTIFS(Chicks!$F:$F,$C253,Chicks!$G:$G,$D253,Chicks!$I:$I,"Yes"))</f>
        <v/>
      </c>
      <c r="H253" s="6" t="str">
        <f>IF($C253="","",SUMIFS(Chicks!$J:$J,Chicks!$F:$F,$C253,Chicks!$G:$G,$D253))</f>
        <v/>
      </c>
      <c r="I253" s="6" t="str">
        <f>IF($C253="","",COUNTIFS(Chicks!$F:$F,$C253,Chicks!$G:$G,$D253,Chicks!$I:$I,"No"))</f>
        <v/>
      </c>
      <c r="J253" s="6" t="str">
        <f>IF($C253="","",IFERROR(AVERAGEIFS(Chicks!$M:$M,Chicks!$F:$F,$C253,Chicks!$G:$G,$D253),""))</f>
        <v/>
      </c>
      <c r="K253" s="6" t="str">
        <f>IF($C253="","",SUMIFS(Chicks!$N:$N,Chicks!$F:$F,$C253,Chicks!$G:$G,$D253))</f>
        <v/>
      </c>
      <c r="L253" s="6" t="str">
        <f>IF($C253="","",SUMIFS(Chicks!$O:$O,Chicks!$F:$F,$C253,Chicks!$G:$G,$D253))</f>
        <v/>
      </c>
      <c r="M253" s="6" t="str">
        <f>IF($C253="","",SUMIFS(Chicks!$P:$P,Chicks!$F:$F,$C253,Chicks!$G:$G,$D253))</f>
        <v/>
      </c>
      <c r="N253" s="6" t="str">
        <f t="shared" si="0"/>
        <v/>
      </c>
      <c r="O253" s="6" t="e">
        <f t="shared" ca="1" si="1"/>
        <v>#NAME?</v>
      </c>
      <c r="P253" s="6" t="str">
        <f t="shared" si="2"/>
        <v/>
      </c>
    </row>
    <row r="254" spans="1:16" ht="14.25" customHeight="1" x14ac:dyDescent="0.3">
      <c r="A254" s="4"/>
      <c r="B254" s="4"/>
      <c r="C254" s="4" t="str">
        <f t="shared" si="3"/>
        <v/>
      </c>
      <c r="D254" s="4" t="str">
        <f t="shared" si="4"/>
        <v/>
      </c>
      <c r="E254" s="4"/>
      <c r="F254" s="6" t="str">
        <f>IF($C254="","",COUNTIFS(Chicks!$F:$F,$C254,Chicks!$G:$G,$D254))</f>
        <v/>
      </c>
      <c r="G254" s="6" t="str">
        <f>IF($C254="","",COUNTIFS(Chicks!$F:$F,$C254,Chicks!$G:$G,$D254,Chicks!$I:$I,"Yes"))</f>
        <v/>
      </c>
      <c r="H254" s="6" t="str">
        <f>IF($C254="","",SUMIFS(Chicks!$J:$J,Chicks!$F:$F,$C254,Chicks!$G:$G,$D254))</f>
        <v/>
      </c>
      <c r="I254" s="6" t="str">
        <f>IF($C254="","",COUNTIFS(Chicks!$F:$F,$C254,Chicks!$G:$G,$D254,Chicks!$I:$I,"No"))</f>
        <v/>
      </c>
      <c r="J254" s="6" t="str">
        <f>IF($C254="","",IFERROR(AVERAGEIFS(Chicks!$M:$M,Chicks!$F:$F,$C254,Chicks!$G:$G,$D254),""))</f>
        <v/>
      </c>
      <c r="K254" s="6" t="str">
        <f>IF($C254="","",SUMIFS(Chicks!$N:$N,Chicks!$F:$F,$C254,Chicks!$G:$G,$D254))</f>
        <v/>
      </c>
      <c r="L254" s="6" t="str">
        <f>IF($C254="","",SUMIFS(Chicks!$O:$O,Chicks!$F:$F,$C254,Chicks!$G:$G,$D254))</f>
        <v/>
      </c>
      <c r="M254" s="6" t="str">
        <f>IF($C254="","",SUMIFS(Chicks!$P:$P,Chicks!$F:$F,$C254,Chicks!$G:$G,$D254))</f>
        <v/>
      </c>
      <c r="N254" s="6" t="str">
        <f t="shared" si="0"/>
        <v/>
      </c>
      <c r="O254" s="6" t="e">
        <f t="shared" ca="1" si="1"/>
        <v>#NAME?</v>
      </c>
      <c r="P254" s="6" t="str">
        <f t="shared" si="2"/>
        <v/>
      </c>
    </row>
    <row r="255" spans="1:16" ht="14.25" customHeight="1" x14ac:dyDescent="0.3">
      <c r="A255" s="4"/>
      <c r="B255" s="4"/>
      <c r="C255" s="4" t="str">
        <f t="shared" si="3"/>
        <v/>
      </c>
      <c r="D255" s="4" t="str">
        <f t="shared" si="4"/>
        <v/>
      </c>
      <c r="E255" s="4"/>
      <c r="F255" s="6" t="str">
        <f>IF($C255="","",COUNTIFS(Chicks!$F:$F,$C255,Chicks!$G:$G,$D255))</f>
        <v/>
      </c>
      <c r="G255" s="6" t="str">
        <f>IF($C255="","",COUNTIFS(Chicks!$F:$F,$C255,Chicks!$G:$G,$D255,Chicks!$I:$I,"Yes"))</f>
        <v/>
      </c>
      <c r="H255" s="6" t="str">
        <f>IF($C255="","",SUMIFS(Chicks!$J:$J,Chicks!$F:$F,$C255,Chicks!$G:$G,$D255))</f>
        <v/>
      </c>
      <c r="I255" s="6" t="str">
        <f>IF($C255="","",COUNTIFS(Chicks!$F:$F,$C255,Chicks!$G:$G,$D255,Chicks!$I:$I,"No"))</f>
        <v/>
      </c>
      <c r="J255" s="6" t="str">
        <f>IF($C255="","",IFERROR(AVERAGEIFS(Chicks!$M:$M,Chicks!$F:$F,$C255,Chicks!$G:$G,$D255),""))</f>
        <v/>
      </c>
      <c r="K255" s="6" t="str">
        <f>IF($C255="","",SUMIFS(Chicks!$N:$N,Chicks!$F:$F,$C255,Chicks!$G:$G,$D255))</f>
        <v/>
      </c>
      <c r="L255" s="6" t="str">
        <f>IF($C255="","",SUMIFS(Chicks!$O:$O,Chicks!$F:$F,$C255,Chicks!$G:$G,$D255))</f>
        <v/>
      </c>
      <c r="M255" s="6" t="str">
        <f>IF($C255="","",SUMIFS(Chicks!$P:$P,Chicks!$F:$F,$C255,Chicks!$G:$G,$D255))</f>
        <v/>
      </c>
      <c r="N255" s="6" t="str">
        <f t="shared" si="0"/>
        <v/>
      </c>
      <c r="O255" s="6" t="e">
        <f t="shared" ca="1" si="1"/>
        <v>#NAME?</v>
      </c>
      <c r="P255" s="6" t="str">
        <f t="shared" si="2"/>
        <v/>
      </c>
    </row>
    <row r="256" spans="1:16" ht="14.25" customHeight="1" x14ac:dyDescent="0.3">
      <c r="A256" s="4"/>
      <c r="B256" s="4"/>
      <c r="C256" s="4" t="str">
        <f t="shared" si="3"/>
        <v/>
      </c>
      <c r="D256" s="4" t="str">
        <f t="shared" si="4"/>
        <v/>
      </c>
      <c r="E256" s="4"/>
      <c r="F256" s="6" t="str">
        <f>IF($C256="","",COUNTIFS(Chicks!$F:$F,$C256,Chicks!$G:$G,$D256))</f>
        <v/>
      </c>
      <c r="G256" s="6" t="str">
        <f>IF($C256="","",COUNTIFS(Chicks!$F:$F,$C256,Chicks!$G:$G,$D256,Chicks!$I:$I,"Yes"))</f>
        <v/>
      </c>
      <c r="H256" s="6" t="str">
        <f>IF($C256="","",SUMIFS(Chicks!$J:$J,Chicks!$F:$F,$C256,Chicks!$G:$G,$D256))</f>
        <v/>
      </c>
      <c r="I256" s="6" t="str">
        <f>IF($C256="","",COUNTIFS(Chicks!$F:$F,$C256,Chicks!$G:$G,$D256,Chicks!$I:$I,"No"))</f>
        <v/>
      </c>
      <c r="J256" s="6" t="str">
        <f>IF($C256="","",IFERROR(AVERAGEIFS(Chicks!$M:$M,Chicks!$F:$F,$C256,Chicks!$G:$G,$D256),""))</f>
        <v/>
      </c>
      <c r="K256" s="6" t="str">
        <f>IF($C256="","",SUMIFS(Chicks!$N:$N,Chicks!$F:$F,$C256,Chicks!$G:$G,$D256))</f>
        <v/>
      </c>
      <c r="L256" s="6" t="str">
        <f>IF($C256="","",SUMIFS(Chicks!$O:$O,Chicks!$F:$F,$C256,Chicks!$G:$G,$D256))</f>
        <v/>
      </c>
      <c r="M256" s="6" t="str">
        <f>IF($C256="","",SUMIFS(Chicks!$P:$P,Chicks!$F:$F,$C256,Chicks!$G:$G,$D256))</f>
        <v/>
      </c>
      <c r="N256" s="6" t="str">
        <f t="shared" si="0"/>
        <v/>
      </c>
      <c r="O256" s="6" t="e">
        <f t="shared" ca="1" si="1"/>
        <v>#NAME?</v>
      </c>
      <c r="P256" s="6" t="str">
        <f t="shared" si="2"/>
        <v/>
      </c>
    </row>
    <row r="257" spans="1:16" ht="14.25" customHeight="1" x14ac:dyDescent="0.3">
      <c r="A257" s="4"/>
      <c r="B257" s="4"/>
      <c r="C257" s="4" t="str">
        <f t="shared" si="3"/>
        <v/>
      </c>
      <c r="D257" s="4" t="str">
        <f t="shared" si="4"/>
        <v/>
      </c>
      <c r="E257" s="4"/>
      <c r="F257" s="6" t="str">
        <f>IF($C257="","",COUNTIFS(Chicks!$F:$F,$C257,Chicks!$G:$G,$D257))</f>
        <v/>
      </c>
      <c r="G257" s="6" t="str">
        <f>IF($C257="","",COUNTIFS(Chicks!$F:$F,$C257,Chicks!$G:$G,$D257,Chicks!$I:$I,"Yes"))</f>
        <v/>
      </c>
      <c r="H257" s="6" t="str">
        <f>IF($C257="","",SUMIFS(Chicks!$J:$J,Chicks!$F:$F,$C257,Chicks!$G:$G,$D257))</f>
        <v/>
      </c>
      <c r="I257" s="6" t="str">
        <f>IF($C257="","",COUNTIFS(Chicks!$F:$F,$C257,Chicks!$G:$G,$D257,Chicks!$I:$I,"No"))</f>
        <v/>
      </c>
      <c r="J257" s="6" t="str">
        <f>IF($C257="","",IFERROR(AVERAGEIFS(Chicks!$M:$M,Chicks!$F:$F,$C257,Chicks!$G:$G,$D257),""))</f>
        <v/>
      </c>
      <c r="K257" s="6" t="str">
        <f>IF($C257="","",SUMIFS(Chicks!$N:$N,Chicks!$F:$F,$C257,Chicks!$G:$G,$D257))</f>
        <v/>
      </c>
      <c r="L257" s="6" t="str">
        <f>IF($C257="","",SUMIFS(Chicks!$O:$O,Chicks!$F:$F,$C257,Chicks!$G:$G,$D257))</f>
        <v/>
      </c>
      <c r="M257" s="6" t="str">
        <f>IF($C257="","",SUMIFS(Chicks!$P:$P,Chicks!$F:$F,$C257,Chicks!$G:$G,$D257))</f>
        <v/>
      </c>
      <c r="N257" s="6" t="str">
        <f t="shared" ref="N257:N511" si="5">IF($J257="","",RANK($J257,$J$2:$J$1000,0))</f>
        <v/>
      </c>
      <c r="O257" s="6" t="e">
        <f t="shared" ref="O257:O511" ca="1" si="6">IF($F257=0,"",_xludf.IFS($G257/$F257&lt;0.5,"0★",$G257/$F257&lt;=0.6,"★",$G257/$F257&lt;=0.7,"★★",$G257/$F257&lt;=0.8,"★★★",$G257/$F257&lt;=0.9,"★★★★",$G257/$F257&lt;=1,"★★★★★"))</f>
        <v>#NAME?</v>
      </c>
      <c r="P257" s="6" t="str">
        <f t="shared" ref="P257:P511" si="7">IF($J257="","",_xludf.IFS($J257&lt;0.5,"0★",$J257&lt;=0.6,"★",$J257&lt;=0.7,"★★",$J257&lt;=0.8,"★★★",$J257&lt;=0.9,"★★★★",$J257&lt;=1,"★★★★★"))</f>
        <v/>
      </c>
    </row>
    <row r="258" spans="1:16" ht="14.25" customHeight="1" x14ac:dyDescent="0.3">
      <c r="A258" s="4"/>
      <c r="B258" s="4"/>
      <c r="C258" s="4" t="str">
        <f t="shared" si="3"/>
        <v/>
      </c>
      <c r="D258" s="4" t="str">
        <f t="shared" si="4"/>
        <v/>
      </c>
      <c r="E258" s="4"/>
      <c r="F258" s="6" t="str">
        <f>IF($C258="","",COUNTIFS(Chicks!$F:$F,$C258,Chicks!$G:$G,$D258))</f>
        <v/>
      </c>
      <c r="G258" s="6" t="str">
        <f>IF($C258="","",COUNTIFS(Chicks!$F:$F,$C258,Chicks!$G:$G,$D258,Chicks!$I:$I,"Yes"))</f>
        <v/>
      </c>
      <c r="H258" s="6" t="str">
        <f>IF($C258="","",SUMIFS(Chicks!$J:$J,Chicks!$F:$F,$C258,Chicks!$G:$G,$D258))</f>
        <v/>
      </c>
      <c r="I258" s="6" t="str">
        <f>IF($C258="","",COUNTIFS(Chicks!$F:$F,$C258,Chicks!$G:$G,$D258,Chicks!$I:$I,"No"))</f>
        <v/>
      </c>
      <c r="J258" s="6" t="str">
        <f>IF($C258="","",IFERROR(AVERAGEIFS(Chicks!$M:$M,Chicks!$F:$F,$C258,Chicks!$G:$G,$D258),""))</f>
        <v/>
      </c>
      <c r="K258" s="6" t="str">
        <f>IF($C258="","",SUMIFS(Chicks!$N:$N,Chicks!$F:$F,$C258,Chicks!$G:$G,$D258))</f>
        <v/>
      </c>
      <c r="L258" s="6" t="str">
        <f>IF($C258="","",SUMIFS(Chicks!$O:$O,Chicks!$F:$F,$C258,Chicks!$G:$G,$D258))</f>
        <v/>
      </c>
      <c r="M258" s="6" t="str">
        <f>IF($C258="","",SUMIFS(Chicks!$P:$P,Chicks!$F:$F,$C258,Chicks!$G:$G,$D258))</f>
        <v/>
      </c>
      <c r="N258" s="6" t="str">
        <f t="shared" si="5"/>
        <v/>
      </c>
      <c r="O258" s="6" t="e">
        <f t="shared" ca="1" si="6"/>
        <v>#NAME?</v>
      </c>
      <c r="P258" s="6" t="str">
        <f t="shared" si="7"/>
        <v/>
      </c>
    </row>
    <row r="259" spans="1:16" ht="14.25" customHeight="1" x14ac:dyDescent="0.3">
      <c r="A259" s="4"/>
      <c r="B259" s="4"/>
      <c r="C259" s="4" t="str">
        <f t="shared" si="3"/>
        <v/>
      </c>
      <c r="D259" s="4" t="str">
        <f t="shared" si="4"/>
        <v/>
      </c>
      <c r="E259" s="4"/>
      <c r="F259" s="6" t="str">
        <f>IF($C259="","",COUNTIFS(Chicks!$F:$F,$C259,Chicks!$G:$G,$D259))</f>
        <v/>
      </c>
      <c r="G259" s="6" t="str">
        <f>IF($C259="","",COUNTIFS(Chicks!$F:$F,$C259,Chicks!$G:$G,$D259,Chicks!$I:$I,"Yes"))</f>
        <v/>
      </c>
      <c r="H259" s="6" t="str">
        <f>IF($C259="","",SUMIFS(Chicks!$J:$J,Chicks!$F:$F,$C259,Chicks!$G:$G,$D259))</f>
        <v/>
      </c>
      <c r="I259" s="6" t="str">
        <f>IF($C259="","",COUNTIFS(Chicks!$F:$F,$C259,Chicks!$G:$G,$D259,Chicks!$I:$I,"No"))</f>
        <v/>
      </c>
      <c r="J259" s="6" t="str">
        <f>IF($C259="","",IFERROR(AVERAGEIFS(Chicks!$M:$M,Chicks!$F:$F,$C259,Chicks!$G:$G,$D259),""))</f>
        <v/>
      </c>
      <c r="K259" s="6" t="str">
        <f>IF($C259="","",SUMIFS(Chicks!$N:$N,Chicks!$F:$F,$C259,Chicks!$G:$G,$D259))</f>
        <v/>
      </c>
      <c r="L259" s="6" t="str">
        <f>IF($C259="","",SUMIFS(Chicks!$O:$O,Chicks!$F:$F,$C259,Chicks!$G:$G,$D259))</f>
        <v/>
      </c>
      <c r="M259" s="6" t="str">
        <f>IF($C259="","",SUMIFS(Chicks!$P:$P,Chicks!$F:$F,$C259,Chicks!$G:$G,$D259))</f>
        <v/>
      </c>
      <c r="N259" s="6" t="str">
        <f t="shared" si="5"/>
        <v/>
      </c>
      <c r="O259" s="6" t="e">
        <f t="shared" ca="1" si="6"/>
        <v>#NAME?</v>
      </c>
      <c r="P259" s="6" t="str">
        <f t="shared" si="7"/>
        <v/>
      </c>
    </row>
    <row r="260" spans="1:16" ht="14.25" customHeight="1" x14ac:dyDescent="0.3">
      <c r="A260" s="4"/>
      <c r="B260" s="4"/>
      <c r="C260" s="4" t="str">
        <f t="shared" si="3"/>
        <v/>
      </c>
      <c r="D260" s="4" t="str">
        <f t="shared" si="4"/>
        <v/>
      </c>
      <c r="E260" s="4"/>
      <c r="F260" s="6" t="str">
        <f>IF($C260="","",COUNTIFS(Chicks!$F:$F,$C260,Chicks!$G:$G,$D260))</f>
        <v/>
      </c>
      <c r="G260" s="6" t="str">
        <f>IF($C260="","",COUNTIFS(Chicks!$F:$F,$C260,Chicks!$G:$G,$D260,Chicks!$I:$I,"Yes"))</f>
        <v/>
      </c>
      <c r="H260" s="6" t="str">
        <f>IF($C260="","",SUMIFS(Chicks!$J:$J,Chicks!$F:$F,$C260,Chicks!$G:$G,$D260))</f>
        <v/>
      </c>
      <c r="I260" s="6" t="str">
        <f>IF($C260="","",COUNTIFS(Chicks!$F:$F,$C260,Chicks!$G:$G,$D260,Chicks!$I:$I,"No"))</f>
        <v/>
      </c>
      <c r="J260" s="6" t="str">
        <f>IF($C260="","",IFERROR(AVERAGEIFS(Chicks!$M:$M,Chicks!$F:$F,$C260,Chicks!$G:$G,$D260),""))</f>
        <v/>
      </c>
      <c r="K260" s="6" t="str">
        <f>IF($C260="","",SUMIFS(Chicks!$N:$N,Chicks!$F:$F,$C260,Chicks!$G:$G,$D260))</f>
        <v/>
      </c>
      <c r="L260" s="6" t="str">
        <f>IF($C260="","",SUMIFS(Chicks!$O:$O,Chicks!$F:$F,$C260,Chicks!$G:$G,$D260))</f>
        <v/>
      </c>
      <c r="M260" s="6" t="str">
        <f>IF($C260="","",SUMIFS(Chicks!$P:$P,Chicks!$F:$F,$C260,Chicks!$G:$G,$D260))</f>
        <v/>
      </c>
      <c r="N260" s="6" t="str">
        <f t="shared" si="5"/>
        <v/>
      </c>
      <c r="O260" s="6" t="e">
        <f t="shared" ca="1" si="6"/>
        <v>#NAME?</v>
      </c>
      <c r="P260" s="6" t="str">
        <f t="shared" si="7"/>
        <v/>
      </c>
    </row>
    <row r="261" spans="1:16" ht="14.25" customHeight="1" x14ac:dyDescent="0.3">
      <c r="A261" s="4"/>
      <c r="B261" s="4"/>
      <c r="C261" s="4" t="str">
        <f t="shared" si="3"/>
        <v/>
      </c>
      <c r="D261" s="4" t="str">
        <f t="shared" si="4"/>
        <v/>
      </c>
      <c r="E261" s="4"/>
      <c r="F261" s="6" t="str">
        <f>IF($C261="","",COUNTIFS(Chicks!$F:$F,$C261,Chicks!$G:$G,$D261))</f>
        <v/>
      </c>
      <c r="G261" s="6" t="str">
        <f>IF($C261="","",COUNTIFS(Chicks!$F:$F,$C261,Chicks!$G:$G,$D261,Chicks!$I:$I,"Yes"))</f>
        <v/>
      </c>
      <c r="H261" s="6" t="str">
        <f>IF($C261="","",SUMIFS(Chicks!$J:$J,Chicks!$F:$F,$C261,Chicks!$G:$G,$D261))</f>
        <v/>
      </c>
      <c r="I261" s="6" t="str">
        <f>IF($C261="","",COUNTIFS(Chicks!$F:$F,$C261,Chicks!$G:$G,$D261,Chicks!$I:$I,"No"))</f>
        <v/>
      </c>
      <c r="J261" s="6" t="str">
        <f>IF($C261="","",IFERROR(AVERAGEIFS(Chicks!$M:$M,Chicks!$F:$F,$C261,Chicks!$G:$G,$D261),""))</f>
        <v/>
      </c>
      <c r="K261" s="6" t="str">
        <f>IF($C261="","",SUMIFS(Chicks!$N:$N,Chicks!$F:$F,$C261,Chicks!$G:$G,$D261))</f>
        <v/>
      </c>
      <c r="L261" s="6" t="str">
        <f>IF($C261="","",SUMIFS(Chicks!$O:$O,Chicks!$F:$F,$C261,Chicks!$G:$G,$D261))</f>
        <v/>
      </c>
      <c r="M261" s="6" t="str">
        <f>IF($C261="","",SUMIFS(Chicks!$P:$P,Chicks!$F:$F,$C261,Chicks!$G:$G,$D261))</f>
        <v/>
      </c>
      <c r="N261" s="6" t="str">
        <f t="shared" si="5"/>
        <v/>
      </c>
      <c r="O261" s="6" t="e">
        <f t="shared" ca="1" si="6"/>
        <v>#NAME?</v>
      </c>
      <c r="P261" s="6" t="str">
        <f t="shared" si="7"/>
        <v/>
      </c>
    </row>
    <row r="262" spans="1:16" ht="14.25" customHeight="1" x14ac:dyDescent="0.3">
      <c r="A262" s="4"/>
      <c r="B262" s="4"/>
      <c r="C262" s="4" t="str">
        <f t="shared" si="3"/>
        <v/>
      </c>
      <c r="D262" s="4" t="str">
        <f t="shared" si="4"/>
        <v/>
      </c>
      <c r="E262" s="4"/>
      <c r="F262" s="6" t="str">
        <f>IF($C262="","",COUNTIFS(Chicks!$F:$F,$C262,Chicks!$G:$G,$D262))</f>
        <v/>
      </c>
      <c r="G262" s="6" t="str">
        <f>IF($C262="","",COUNTIFS(Chicks!$F:$F,$C262,Chicks!$G:$G,$D262,Chicks!$I:$I,"Yes"))</f>
        <v/>
      </c>
      <c r="H262" s="6" t="str">
        <f>IF($C262="","",SUMIFS(Chicks!$J:$J,Chicks!$F:$F,$C262,Chicks!$G:$G,$D262))</f>
        <v/>
      </c>
      <c r="I262" s="6" t="str">
        <f>IF($C262="","",COUNTIFS(Chicks!$F:$F,$C262,Chicks!$G:$G,$D262,Chicks!$I:$I,"No"))</f>
        <v/>
      </c>
      <c r="J262" s="6" t="str">
        <f>IF($C262="","",IFERROR(AVERAGEIFS(Chicks!$M:$M,Chicks!$F:$F,$C262,Chicks!$G:$G,$D262),""))</f>
        <v/>
      </c>
      <c r="K262" s="6" t="str">
        <f>IF($C262="","",SUMIFS(Chicks!$N:$N,Chicks!$F:$F,$C262,Chicks!$G:$G,$D262))</f>
        <v/>
      </c>
      <c r="L262" s="6" t="str">
        <f>IF($C262="","",SUMIFS(Chicks!$O:$O,Chicks!$F:$F,$C262,Chicks!$G:$G,$D262))</f>
        <v/>
      </c>
      <c r="M262" s="6" t="str">
        <f>IF($C262="","",SUMIFS(Chicks!$P:$P,Chicks!$F:$F,$C262,Chicks!$G:$G,$D262))</f>
        <v/>
      </c>
      <c r="N262" s="6" t="str">
        <f t="shared" si="5"/>
        <v/>
      </c>
      <c r="O262" s="6" t="e">
        <f t="shared" ca="1" si="6"/>
        <v>#NAME?</v>
      </c>
      <c r="P262" s="6" t="str">
        <f t="shared" si="7"/>
        <v/>
      </c>
    </row>
    <row r="263" spans="1:16" ht="14.25" customHeight="1" x14ac:dyDescent="0.3">
      <c r="A263" s="4"/>
      <c r="B263" s="4"/>
      <c r="C263" s="4" t="str">
        <f t="shared" si="3"/>
        <v/>
      </c>
      <c r="D263" s="4" t="str">
        <f t="shared" si="4"/>
        <v/>
      </c>
      <c r="E263" s="4"/>
      <c r="F263" s="6" t="str">
        <f>IF($C263="","",COUNTIFS(Chicks!$F:$F,$C263,Chicks!$G:$G,$D263))</f>
        <v/>
      </c>
      <c r="G263" s="6" t="str">
        <f>IF($C263="","",COUNTIFS(Chicks!$F:$F,$C263,Chicks!$G:$G,$D263,Chicks!$I:$I,"Yes"))</f>
        <v/>
      </c>
      <c r="H263" s="6" t="str">
        <f>IF($C263="","",SUMIFS(Chicks!$J:$J,Chicks!$F:$F,$C263,Chicks!$G:$G,$D263))</f>
        <v/>
      </c>
      <c r="I263" s="6" t="str">
        <f>IF($C263="","",COUNTIFS(Chicks!$F:$F,$C263,Chicks!$G:$G,$D263,Chicks!$I:$I,"No"))</f>
        <v/>
      </c>
      <c r="J263" s="6" t="str">
        <f>IF($C263="","",IFERROR(AVERAGEIFS(Chicks!$M:$M,Chicks!$F:$F,$C263,Chicks!$G:$G,$D263),""))</f>
        <v/>
      </c>
      <c r="K263" s="6" t="str">
        <f>IF($C263="","",SUMIFS(Chicks!$N:$N,Chicks!$F:$F,$C263,Chicks!$G:$G,$D263))</f>
        <v/>
      </c>
      <c r="L263" s="6" t="str">
        <f>IF($C263="","",SUMIFS(Chicks!$O:$O,Chicks!$F:$F,$C263,Chicks!$G:$G,$D263))</f>
        <v/>
      </c>
      <c r="M263" s="6" t="str">
        <f>IF($C263="","",SUMIFS(Chicks!$P:$P,Chicks!$F:$F,$C263,Chicks!$G:$G,$D263))</f>
        <v/>
      </c>
      <c r="N263" s="6" t="str">
        <f t="shared" si="5"/>
        <v/>
      </c>
      <c r="O263" s="6" t="e">
        <f t="shared" ca="1" si="6"/>
        <v>#NAME?</v>
      </c>
      <c r="P263" s="6" t="str">
        <f t="shared" si="7"/>
        <v/>
      </c>
    </row>
    <row r="264" spans="1:16" ht="14.25" customHeight="1" x14ac:dyDescent="0.3">
      <c r="A264" s="4"/>
      <c r="B264" s="4"/>
      <c r="C264" s="4" t="str">
        <f t="shared" si="3"/>
        <v/>
      </c>
      <c r="D264" s="4" t="str">
        <f t="shared" si="4"/>
        <v/>
      </c>
      <c r="E264" s="4"/>
      <c r="F264" s="6" t="str">
        <f>IF($C264="","",COUNTIFS(Chicks!$F:$F,$C264,Chicks!$G:$G,$D264))</f>
        <v/>
      </c>
      <c r="G264" s="6" t="str">
        <f>IF($C264="","",COUNTIFS(Chicks!$F:$F,$C264,Chicks!$G:$G,$D264,Chicks!$I:$I,"Yes"))</f>
        <v/>
      </c>
      <c r="H264" s="6" t="str">
        <f>IF($C264="","",SUMIFS(Chicks!$J:$J,Chicks!$F:$F,$C264,Chicks!$G:$G,$D264))</f>
        <v/>
      </c>
      <c r="I264" s="6" t="str">
        <f>IF($C264="","",COUNTIFS(Chicks!$F:$F,$C264,Chicks!$G:$G,$D264,Chicks!$I:$I,"No"))</f>
        <v/>
      </c>
      <c r="J264" s="6" t="str">
        <f>IF($C264="","",IFERROR(AVERAGEIFS(Chicks!$M:$M,Chicks!$F:$F,$C264,Chicks!$G:$G,$D264),""))</f>
        <v/>
      </c>
      <c r="K264" s="6" t="str">
        <f>IF($C264="","",SUMIFS(Chicks!$N:$N,Chicks!$F:$F,$C264,Chicks!$G:$G,$D264))</f>
        <v/>
      </c>
      <c r="L264" s="6" t="str">
        <f>IF($C264="","",SUMIFS(Chicks!$O:$O,Chicks!$F:$F,$C264,Chicks!$G:$G,$D264))</f>
        <v/>
      </c>
      <c r="M264" s="6" t="str">
        <f>IF($C264="","",SUMIFS(Chicks!$P:$P,Chicks!$F:$F,$C264,Chicks!$G:$G,$D264))</f>
        <v/>
      </c>
      <c r="N264" s="6" t="str">
        <f t="shared" si="5"/>
        <v/>
      </c>
      <c r="O264" s="6" t="e">
        <f t="shared" ca="1" si="6"/>
        <v>#NAME?</v>
      </c>
      <c r="P264" s="6" t="str">
        <f t="shared" si="7"/>
        <v/>
      </c>
    </row>
    <row r="265" spans="1:16" ht="14.25" customHeight="1" x14ac:dyDescent="0.3">
      <c r="A265" s="4"/>
      <c r="B265" s="4"/>
      <c r="C265" s="4" t="str">
        <f t="shared" si="3"/>
        <v/>
      </c>
      <c r="D265" s="4" t="str">
        <f t="shared" si="4"/>
        <v/>
      </c>
      <c r="E265" s="4"/>
      <c r="F265" s="6" t="str">
        <f>IF($C265="","",COUNTIFS(Chicks!$F:$F,$C265,Chicks!$G:$G,$D265))</f>
        <v/>
      </c>
      <c r="G265" s="6" t="str">
        <f>IF($C265="","",COUNTIFS(Chicks!$F:$F,$C265,Chicks!$G:$G,$D265,Chicks!$I:$I,"Yes"))</f>
        <v/>
      </c>
      <c r="H265" s="6" t="str">
        <f>IF($C265="","",SUMIFS(Chicks!$J:$J,Chicks!$F:$F,$C265,Chicks!$G:$G,$D265))</f>
        <v/>
      </c>
      <c r="I265" s="6" t="str">
        <f>IF($C265="","",COUNTIFS(Chicks!$F:$F,$C265,Chicks!$G:$G,$D265,Chicks!$I:$I,"No"))</f>
        <v/>
      </c>
      <c r="J265" s="6" t="str">
        <f>IF($C265="","",IFERROR(AVERAGEIFS(Chicks!$M:$M,Chicks!$F:$F,$C265,Chicks!$G:$G,$D265),""))</f>
        <v/>
      </c>
      <c r="K265" s="6" t="str">
        <f>IF($C265="","",SUMIFS(Chicks!$N:$N,Chicks!$F:$F,$C265,Chicks!$G:$G,$D265))</f>
        <v/>
      </c>
      <c r="L265" s="6" t="str">
        <f>IF($C265="","",SUMIFS(Chicks!$O:$O,Chicks!$F:$F,$C265,Chicks!$G:$G,$D265))</f>
        <v/>
      </c>
      <c r="M265" s="6" t="str">
        <f>IF($C265="","",SUMIFS(Chicks!$P:$P,Chicks!$F:$F,$C265,Chicks!$G:$G,$D265))</f>
        <v/>
      </c>
      <c r="N265" s="6" t="str">
        <f t="shared" si="5"/>
        <v/>
      </c>
      <c r="O265" s="6" t="e">
        <f t="shared" ca="1" si="6"/>
        <v>#NAME?</v>
      </c>
      <c r="P265" s="6" t="str">
        <f t="shared" si="7"/>
        <v/>
      </c>
    </row>
    <row r="266" spans="1:16" ht="14.25" customHeight="1" x14ac:dyDescent="0.3">
      <c r="A266" s="4"/>
      <c r="B266" s="4"/>
      <c r="C266" s="4" t="str">
        <f t="shared" si="3"/>
        <v/>
      </c>
      <c r="D266" s="4" t="str">
        <f t="shared" si="4"/>
        <v/>
      </c>
      <c r="E266" s="4"/>
      <c r="F266" s="6" t="str">
        <f>IF($C266="","",COUNTIFS(Chicks!$F:$F,$C266,Chicks!$G:$G,$D266))</f>
        <v/>
      </c>
      <c r="G266" s="6" t="str">
        <f>IF($C266="","",COUNTIFS(Chicks!$F:$F,$C266,Chicks!$G:$G,$D266,Chicks!$I:$I,"Yes"))</f>
        <v/>
      </c>
      <c r="H266" s="6" t="str">
        <f>IF($C266="","",SUMIFS(Chicks!$J:$J,Chicks!$F:$F,$C266,Chicks!$G:$G,$D266))</f>
        <v/>
      </c>
      <c r="I266" s="6" t="str">
        <f>IF($C266="","",COUNTIFS(Chicks!$F:$F,$C266,Chicks!$G:$G,$D266,Chicks!$I:$I,"No"))</f>
        <v/>
      </c>
      <c r="J266" s="6" t="str">
        <f>IF($C266="","",IFERROR(AVERAGEIFS(Chicks!$M:$M,Chicks!$F:$F,$C266,Chicks!$G:$G,$D266),""))</f>
        <v/>
      </c>
      <c r="K266" s="6" t="str">
        <f>IF($C266="","",SUMIFS(Chicks!$N:$N,Chicks!$F:$F,$C266,Chicks!$G:$G,$D266))</f>
        <v/>
      </c>
      <c r="L266" s="6" t="str">
        <f>IF($C266="","",SUMIFS(Chicks!$O:$O,Chicks!$F:$F,$C266,Chicks!$G:$G,$D266))</f>
        <v/>
      </c>
      <c r="M266" s="6" t="str">
        <f>IF($C266="","",SUMIFS(Chicks!$P:$P,Chicks!$F:$F,$C266,Chicks!$G:$G,$D266))</f>
        <v/>
      </c>
      <c r="N266" s="6" t="str">
        <f t="shared" si="5"/>
        <v/>
      </c>
      <c r="O266" s="6" t="e">
        <f t="shared" ca="1" si="6"/>
        <v>#NAME?</v>
      </c>
      <c r="P266" s="6" t="str">
        <f t="shared" si="7"/>
        <v/>
      </c>
    </row>
    <row r="267" spans="1:16" ht="14.25" customHeight="1" x14ac:dyDescent="0.3">
      <c r="A267" s="4"/>
      <c r="B267" s="4"/>
      <c r="C267" s="4" t="str">
        <f t="shared" si="3"/>
        <v/>
      </c>
      <c r="D267" s="4" t="str">
        <f t="shared" si="4"/>
        <v/>
      </c>
      <c r="E267" s="4"/>
      <c r="F267" s="6" t="str">
        <f>IF($C267="","",COUNTIFS(Chicks!$F:$F,$C267,Chicks!$G:$G,$D267))</f>
        <v/>
      </c>
      <c r="G267" s="6" t="str">
        <f>IF($C267="","",COUNTIFS(Chicks!$F:$F,$C267,Chicks!$G:$G,$D267,Chicks!$I:$I,"Yes"))</f>
        <v/>
      </c>
      <c r="H267" s="6" t="str">
        <f>IF($C267="","",SUMIFS(Chicks!$J:$J,Chicks!$F:$F,$C267,Chicks!$G:$G,$D267))</f>
        <v/>
      </c>
      <c r="I267" s="6" t="str">
        <f>IF($C267="","",COUNTIFS(Chicks!$F:$F,$C267,Chicks!$G:$G,$D267,Chicks!$I:$I,"No"))</f>
        <v/>
      </c>
      <c r="J267" s="6" t="str">
        <f>IF($C267="","",IFERROR(AVERAGEIFS(Chicks!$M:$M,Chicks!$F:$F,$C267,Chicks!$G:$G,$D267),""))</f>
        <v/>
      </c>
      <c r="K267" s="6" t="str">
        <f>IF($C267="","",SUMIFS(Chicks!$N:$N,Chicks!$F:$F,$C267,Chicks!$G:$G,$D267))</f>
        <v/>
      </c>
      <c r="L267" s="6" t="str">
        <f>IF($C267="","",SUMIFS(Chicks!$O:$O,Chicks!$F:$F,$C267,Chicks!$G:$G,$D267))</f>
        <v/>
      </c>
      <c r="M267" s="6" t="str">
        <f>IF($C267="","",SUMIFS(Chicks!$P:$P,Chicks!$F:$F,$C267,Chicks!$G:$G,$D267))</f>
        <v/>
      </c>
      <c r="N267" s="6" t="str">
        <f t="shared" si="5"/>
        <v/>
      </c>
      <c r="O267" s="6" t="e">
        <f t="shared" ca="1" si="6"/>
        <v>#NAME?</v>
      </c>
      <c r="P267" s="6" t="str">
        <f t="shared" si="7"/>
        <v/>
      </c>
    </row>
    <row r="268" spans="1:16" ht="14.25" customHeight="1" x14ac:dyDescent="0.3">
      <c r="A268" s="4"/>
      <c r="B268" s="4"/>
      <c r="C268" s="4" t="str">
        <f t="shared" si="3"/>
        <v/>
      </c>
      <c r="D268" s="4" t="str">
        <f t="shared" si="4"/>
        <v/>
      </c>
      <c r="E268" s="4"/>
      <c r="F268" s="6" t="str">
        <f>IF($C268="","",COUNTIFS(Chicks!$F:$F,$C268,Chicks!$G:$G,$D268))</f>
        <v/>
      </c>
      <c r="G268" s="6" t="str">
        <f>IF($C268="","",COUNTIFS(Chicks!$F:$F,$C268,Chicks!$G:$G,$D268,Chicks!$I:$I,"Yes"))</f>
        <v/>
      </c>
      <c r="H268" s="6" t="str">
        <f>IF($C268="","",SUMIFS(Chicks!$J:$J,Chicks!$F:$F,$C268,Chicks!$G:$G,$D268))</f>
        <v/>
      </c>
      <c r="I268" s="6" t="str">
        <f>IF($C268="","",COUNTIFS(Chicks!$F:$F,$C268,Chicks!$G:$G,$D268,Chicks!$I:$I,"No"))</f>
        <v/>
      </c>
      <c r="J268" s="6" t="str">
        <f>IF($C268="","",IFERROR(AVERAGEIFS(Chicks!$M:$M,Chicks!$F:$F,$C268,Chicks!$G:$G,$D268),""))</f>
        <v/>
      </c>
      <c r="K268" s="6" t="str">
        <f>IF($C268="","",SUMIFS(Chicks!$N:$N,Chicks!$F:$F,$C268,Chicks!$G:$G,$D268))</f>
        <v/>
      </c>
      <c r="L268" s="6" t="str">
        <f>IF($C268="","",SUMIFS(Chicks!$O:$O,Chicks!$F:$F,$C268,Chicks!$G:$G,$D268))</f>
        <v/>
      </c>
      <c r="M268" s="6" t="str">
        <f>IF($C268="","",SUMIFS(Chicks!$P:$P,Chicks!$F:$F,$C268,Chicks!$G:$G,$D268))</f>
        <v/>
      </c>
      <c r="N268" s="6" t="str">
        <f t="shared" si="5"/>
        <v/>
      </c>
      <c r="O268" s="6" t="e">
        <f t="shared" ca="1" si="6"/>
        <v>#NAME?</v>
      </c>
      <c r="P268" s="6" t="str">
        <f t="shared" si="7"/>
        <v/>
      </c>
    </row>
    <row r="269" spans="1:16" ht="14.25" customHeight="1" x14ac:dyDescent="0.3">
      <c r="A269" s="4"/>
      <c r="B269" s="4"/>
      <c r="C269" s="4" t="str">
        <f t="shared" ref="C269:C523" si="8">IFERROR(VALUE(LEFT($A269,FIND("-",$A269)-1)),"")</f>
        <v/>
      </c>
      <c r="D269" s="4" t="str">
        <f t="shared" ref="D269:D523" si="9">IFERROR(VALUE(MID($A269,FIND("-",$A269)+1,99)),"")</f>
        <v/>
      </c>
      <c r="E269" s="4"/>
      <c r="F269" s="6" t="str">
        <f>IF($C269="","",COUNTIFS(Chicks!$F:$F,$C269,Chicks!$G:$G,$D269))</f>
        <v/>
      </c>
      <c r="G269" s="6" t="str">
        <f>IF($C269="","",COUNTIFS(Chicks!$F:$F,$C269,Chicks!$G:$G,$D269,Chicks!$I:$I,"Yes"))</f>
        <v/>
      </c>
      <c r="H269" s="6" t="str">
        <f>IF($C269="","",SUMIFS(Chicks!$J:$J,Chicks!$F:$F,$C269,Chicks!$G:$G,$D269))</f>
        <v/>
      </c>
      <c r="I269" s="6" t="str">
        <f>IF($C269="","",COUNTIFS(Chicks!$F:$F,$C269,Chicks!$G:$G,$D269,Chicks!$I:$I,"No"))</f>
        <v/>
      </c>
      <c r="J269" s="6" t="str">
        <f>IF($C269="","",IFERROR(AVERAGEIFS(Chicks!$M:$M,Chicks!$F:$F,$C269,Chicks!$G:$G,$D269),""))</f>
        <v/>
      </c>
      <c r="K269" s="6" t="str">
        <f>IF($C269="","",SUMIFS(Chicks!$N:$N,Chicks!$F:$F,$C269,Chicks!$G:$G,$D269))</f>
        <v/>
      </c>
      <c r="L269" s="6" t="str">
        <f>IF($C269="","",SUMIFS(Chicks!$O:$O,Chicks!$F:$F,$C269,Chicks!$G:$G,$D269))</f>
        <v/>
      </c>
      <c r="M269" s="6" t="str">
        <f>IF($C269="","",SUMIFS(Chicks!$P:$P,Chicks!$F:$F,$C269,Chicks!$G:$G,$D269))</f>
        <v/>
      </c>
      <c r="N269" s="6" t="str">
        <f t="shared" si="5"/>
        <v/>
      </c>
      <c r="O269" s="6" t="e">
        <f t="shared" ca="1" si="6"/>
        <v>#NAME?</v>
      </c>
      <c r="P269" s="6" t="str">
        <f t="shared" si="7"/>
        <v/>
      </c>
    </row>
    <row r="270" spans="1:16" ht="14.25" customHeight="1" x14ac:dyDescent="0.3">
      <c r="A270" s="4"/>
      <c r="B270" s="4"/>
      <c r="C270" s="4" t="str">
        <f t="shared" si="8"/>
        <v/>
      </c>
      <c r="D270" s="4" t="str">
        <f t="shared" si="9"/>
        <v/>
      </c>
      <c r="E270" s="4"/>
      <c r="F270" s="6" t="str">
        <f>IF($C270="","",COUNTIFS(Chicks!$F:$F,$C270,Chicks!$G:$G,$D270))</f>
        <v/>
      </c>
      <c r="G270" s="6" t="str">
        <f>IF($C270="","",COUNTIFS(Chicks!$F:$F,$C270,Chicks!$G:$G,$D270,Chicks!$I:$I,"Yes"))</f>
        <v/>
      </c>
      <c r="H270" s="6" t="str">
        <f>IF($C270="","",SUMIFS(Chicks!$J:$J,Chicks!$F:$F,$C270,Chicks!$G:$G,$D270))</f>
        <v/>
      </c>
      <c r="I270" s="6" t="str">
        <f>IF($C270="","",COUNTIFS(Chicks!$F:$F,$C270,Chicks!$G:$G,$D270,Chicks!$I:$I,"No"))</f>
        <v/>
      </c>
      <c r="J270" s="6" t="str">
        <f>IF($C270="","",IFERROR(AVERAGEIFS(Chicks!$M:$M,Chicks!$F:$F,$C270,Chicks!$G:$G,$D270),""))</f>
        <v/>
      </c>
      <c r="K270" s="6" t="str">
        <f>IF($C270="","",SUMIFS(Chicks!$N:$N,Chicks!$F:$F,$C270,Chicks!$G:$G,$D270))</f>
        <v/>
      </c>
      <c r="L270" s="6" t="str">
        <f>IF($C270="","",SUMIFS(Chicks!$O:$O,Chicks!$F:$F,$C270,Chicks!$G:$G,$D270))</f>
        <v/>
      </c>
      <c r="M270" s="6" t="str">
        <f>IF($C270="","",SUMIFS(Chicks!$P:$P,Chicks!$F:$F,$C270,Chicks!$G:$G,$D270))</f>
        <v/>
      </c>
      <c r="N270" s="6" t="str">
        <f t="shared" si="5"/>
        <v/>
      </c>
      <c r="O270" s="6" t="e">
        <f t="shared" ca="1" si="6"/>
        <v>#NAME?</v>
      </c>
      <c r="P270" s="6" t="str">
        <f t="shared" si="7"/>
        <v/>
      </c>
    </row>
    <row r="271" spans="1:16" ht="14.25" customHeight="1" x14ac:dyDescent="0.3">
      <c r="A271" s="4"/>
      <c r="B271" s="4"/>
      <c r="C271" s="4" t="str">
        <f t="shared" si="8"/>
        <v/>
      </c>
      <c r="D271" s="4" t="str">
        <f t="shared" si="9"/>
        <v/>
      </c>
      <c r="E271" s="4"/>
      <c r="F271" s="6" t="str">
        <f>IF($C271="","",COUNTIFS(Chicks!$F:$F,$C271,Chicks!$G:$G,$D271))</f>
        <v/>
      </c>
      <c r="G271" s="6" t="str">
        <f>IF($C271="","",COUNTIFS(Chicks!$F:$F,$C271,Chicks!$G:$G,$D271,Chicks!$I:$I,"Yes"))</f>
        <v/>
      </c>
      <c r="H271" s="6" t="str">
        <f>IF($C271="","",SUMIFS(Chicks!$J:$J,Chicks!$F:$F,$C271,Chicks!$G:$G,$D271))</f>
        <v/>
      </c>
      <c r="I271" s="6" t="str">
        <f>IF($C271="","",COUNTIFS(Chicks!$F:$F,$C271,Chicks!$G:$G,$D271,Chicks!$I:$I,"No"))</f>
        <v/>
      </c>
      <c r="J271" s="6" t="str">
        <f>IF($C271="","",IFERROR(AVERAGEIFS(Chicks!$M:$M,Chicks!$F:$F,$C271,Chicks!$G:$G,$D271),""))</f>
        <v/>
      </c>
      <c r="K271" s="6" t="str">
        <f>IF($C271="","",SUMIFS(Chicks!$N:$N,Chicks!$F:$F,$C271,Chicks!$G:$G,$D271))</f>
        <v/>
      </c>
      <c r="L271" s="6" t="str">
        <f>IF($C271="","",SUMIFS(Chicks!$O:$O,Chicks!$F:$F,$C271,Chicks!$G:$G,$D271))</f>
        <v/>
      </c>
      <c r="M271" s="6" t="str">
        <f>IF($C271="","",SUMIFS(Chicks!$P:$P,Chicks!$F:$F,$C271,Chicks!$G:$G,$D271))</f>
        <v/>
      </c>
      <c r="N271" s="6" t="str">
        <f t="shared" si="5"/>
        <v/>
      </c>
      <c r="O271" s="6" t="e">
        <f t="shared" ca="1" si="6"/>
        <v>#NAME?</v>
      </c>
      <c r="P271" s="6" t="str">
        <f t="shared" si="7"/>
        <v/>
      </c>
    </row>
    <row r="272" spans="1:16" ht="14.25" customHeight="1" x14ac:dyDescent="0.3">
      <c r="A272" s="4"/>
      <c r="B272" s="4"/>
      <c r="C272" s="4" t="str">
        <f t="shared" si="8"/>
        <v/>
      </c>
      <c r="D272" s="4" t="str">
        <f t="shared" si="9"/>
        <v/>
      </c>
      <c r="E272" s="4"/>
      <c r="F272" s="6" t="str">
        <f>IF($C272="","",COUNTIFS(Chicks!$F:$F,$C272,Chicks!$G:$G,$D272))</f>
        <v/>
      </c>
      <c r="G272" s="6" t="str">
        <f>IF($C272="","",COUNTIFS(Chicks!$F:$F,$C272,Chicks!$G:$G,$D272,Chicks!$I:$I,"Yes"))</f>
        <v/>
      </c>
      <c r="H272" s="6" t="str">
        <f>IF($C272="","",SUMIFS(Chicks!$J:$J,Chicks!$F:$F,$C272,Chicks!$G:$G,$D272))</f>
        <v/>
      </c>
      <c r="I272" s="6" t="str">
        <f>IF($C272="","",COUNTIFS(Chicks!$F:$F,$C272,Chicks!$G:$G,$D272,Chicks!$I:$I,"No"))</f>
        <v/>
      </c>
      <c r="J272" s="6" t="str">
        <f>IF($C272="","",IFERROR(AVERAGEIFS(Chicks!$M:$M,Chicks!$F:$F,$C272,Chicks!$G:$G,$D272),""))</f>
        <v/>
      </c>
      <c r="K272" s="6" t="str">
        <f>IF($C272="","",SUMIFS(Chicks!$N:$N,Chicks!$F:$F,$C272,Chicks!$G:$G,$D272))</f>
        <v/>
      </c>
      <c r="L272" s="6" t="str">
        <f>IF($C272="","",SUMIFS(Chicks!$O:$O,Chicks!$F:$F,$C272,Chicks!$G:$G,$D272))</f>
        <v/>
      </c>
      <c r="M272" s="6" t="str">
        <f>IF($C272="","",SUMIFS(Chicks!$P:$P,Chicks!$F:$F,$C272,Chicks!$G:$G,$D272))</f>
        <v/>
      </c>
      <c r="N272" s="6" t="str">
        <f t="shared" si="5"/>
        <v/>
      </c>
      <c r="O272" s="6" t="e">
        <f t="shared" ca="1" si="6"/>
        <v>#NAME?</v>
      </c>
      <c r="P272" s="6" t="str">
        <f t="shared" si="7"/>
        <v/>
      </c>
    </row>
    <row r="273" spans="1:16" ht="14.25" customHeight="1" x14ac:dyDescent="0.3">
      <c r="A273" s="4"/>
      <c r="B273" s="4"/>
      <c r="C273" s="4" t="str">
        <f t="shared" si="8"/>
        <v/>
      </c>
      <c r="D273" s="4" t="str">
        <f t="shared" si="9"/>
        <v/>
      </c>
      <c r="E273" s="4"/>
      <c r="F273" s="6" t="str">
        <f>IF($C273="","",COUNTIFS(Chicks!$F:$F,$C273,Chicks!$G:$G,$D273))</f>
        <v/>
      </c>
      <c r="G273" s="6" t="str">
        <f>IF($C273="","",COUNTIFS(Chicks!$F:$F,$C273,Chicks!$G:$G,$D273,Chicks!$I:$I,"Yes"))</f>
        <v/>
      </c>
      <c r="H273" s="6" t="str">
        <f>IF($C273="","",SUMIFS(Chicks!$J:$J,Chicks!$F:$F,$C273,Chicks!$G:$G,$D273))</f>
        <v/>
      </c>
      <c r="I273" s="6" t="str">
        <f>IF($C273="","",COUNTIFS(Chicks!$F:$F,$C273,Chicks!$G:$G,$D273,Chicks!$I:$I,"No"))</f>
        <v/>
      </c>
      <c r="J273" s="6" t="str">
        <f>IF($C273="","",IFERROR(AVERAGEIFS(Chicks!$M:$M,Chicks!$F:$F,$C273,Chicks!$G:$G,$D273),""))</f>
        <v/>
      </c>
      <c r="K273" s="6" t="str">
        <f>IF($C273="","",SUMIFS(Chicks!$N:$N,Chicks!$F:$F,$C273,Chicks!$G:$G,$D273))</f>
        <v/>
      </c>
      <c r="L273" s="6" t="str">
        <f>IF($C273="","",SUMIFS(Chicks!$O:$O,Chicks!$F:$F,$C273,Chicks!$G:$G,$D273))</f>
        <v/>
      </c>
      <c r="M273" s="6" t="str">
        <f>IF($C273="","",SUMIFS(Chicks!$P:$P,Chicks!$F:$F,$C273,Chicks!$G:$G,$D273))</f>
        <v/>
      </c>
      <c r="N273" s="6" t="str">
        <f t="shared" si="5"/>
        <v/>
      </c>
      <c r="O273" s="6" t="e">
        <f t="shared" ca="1" si="6"/>
        <v>#NAME?</v>
      </c>
      <c r="P273" s="6" t="str">
        <f t="shared" si="7"/>
        <v/>
      </c>
    </row>
    <row r="274" spans="1:16" ht="14.25" customHeight="1" x14ac:dyDescent="0.3">
      <c r="A274" s="4"/>
      <c r="B274" s="4"/>
      <c r="C274" s="4" t="str">
        <f t="shared" si="8"/>
        <v/>
      </c>
      <c r="D274" s="4" t="str">
        <f t="shared" si="9"/>
        <v/>
      </c>
      <c r="E274" s="4"/>
      <c r="F274" s="6" t="str">
        <f>IF($C274="","",COUNTIFS(Chicks!$F:$F,$C274,Chicks!$G:$G,$D274))</f>
        <v/>
      </c>
      <c r="G274" s="6" t="str">
        <f>IF($C274="","",COUNTIFS(Chicks!$F:$F,$C274,Chicks!$G:$G,$D274,Chicks!$I:$I,"Yes"))</f>
        <v/>
      </c>
      <c r="H274" s="6" t="str">
        <f>IF($C274="","",SUMIFS(Chicks!$J:$J,Chicks!$F:$F,$C274,Chicks!$G:$G,$D274))</f>
        <v/>
      </c>
      <c r="I274" s="6" t="str">
        <f>IF($C274="","",COUNTIFS(Chicks!$F:$F,$C274,Chicks!$G:$G,$D274,Chicks!$I:$I,"No"))</f>
        <v/>
      </c>
      <c r="J274" s="6" t="str">
        <f>IF($C274="","",IFERROR(AVERAGEIFS(Chicks!$M:$M,Chicks!$F:$F,$C274,Chicks!$G:$G,$D274),""))</f>
        <v/>
      </c>
      <c r="K274" s="6" t="str">
        <f>IF($C274="","",SUMIFS(Chicks!$N:$N,Chicks!$F:$F,$C274,Chicks!$G:$G,$D274))</f>
        <v/>
      </c>
      <c r="L274" s="6" t="str">
        <f>IF($C274="","",SUMIFS(Chicks!$O:$O,Chicks!$F:$F,$C274,Chicks!$G:$G,$D274))</f>
        <v/>
      </c>
      <c r="M274" s="6" t="str">
        <f>IF($C274="","",SUMIFS(Chicks!$P:$P,Chicks!$F:$F,$C274,Chicks!$G:$G,$D274))</f>
        <v/>
      </c>
      <c r="N274" s="6" t="str">
        <f t="shared" si="5"/>
        <v/>
      </c>
      <c r="O274" s="6" t="e">
        <f t="shared" ca="1" si="6"/>
        <v>#NAME?</v>
      </c>
      <c r="P274" s="6" t="str">
        <f t="shared" si="7"/>
        <v/>
      </c>
    </row>
    <row r="275" spans="1:16" ht="14.25" customHeight="1" x14ac:dyDescent="0.3">
      <c r="A275" s="4"/>
      <c r="B275" s="4"/>
      <c r="C275" s="4" t="str">
        <f t="shared" si="8"/>
        <v/>
      </c>
      <c r="D275" s="4" t="str">
        <f t="shared" si="9"/>
        <v/>
      </c>
      <c r="E275" s="4"/>
      <c r="F275" s="6" t="str">
        <f>IF($C275="","",COUNTIFS(Chicks!$F:$F,$C275,Chicks!$G:$G,$D275))</f>
        <v/>
      </c>
      <c r="G275" s="6" t="str">
        <f>IF($C275="","",COUNTIFS(Chicks!$F:$F,$C275,Chicks!$G:$G,$D275,Chicks!$I:$I,"Yes"))</f>
        <v/>
      </c>
      <c r="H275" s="6" t="str">
        <f>IF($C275="","",SUMIFS(Chicks!$J:$J,Chicks!$F:$F,$C275,Chicks!$G:$G,$D275))</f>
        <v/>
      </c>
      <c r="I275" s="6" t="str">
        <f>IF($C275="","",COUNTIFS(Chicks!$F:$F,$C275,Chicks!$G:$G,$D275,Chicks!$I:$I,"No"))</f>
        <v/>
      </c>
      <c r="J275" s="6" t="str">
        <f>IF($C275="","",IFERROR(AVERAGEIFS(Chicks!$M:$M,Chicks!$F:$F,$C275,Chicks!$G:$G,$D275),""))</f>
        <v/>
      </c>
      <c r="K275" s="6" t="str">
        <f>IF($C275="","",SUMIFS(Chicks!$N:$N,Chicks!$F:$F,$C275,Chicks!$G:$G,$D275))</f>
        <v/>
      </c>
      <c r="L275" s="6" t="str">
        <f>IF($C275="","",SUMIFS(Chicks!$O:$O,Chicks!$F:$F,$C275,Chicks!$G:$G,$D275))</f>
        <v/>
      </c>
      <c r="M275" s="6" t="str">
        <f>IF($C275="","",SUMIFS(Chicks!$P:$P,Chicks!$F:$F,$C275,Chicks!$G:$G,$D275))</f>
        <v/>
      </c>
      <c r="N275" s="6" t="str">
        <f t="shared" si="5"/>
        <v/>
      </c>
      <c r="O275" s="6" t="e">
        <f t="shared" ca="1" si="6"/>
        <v>#NAME?</v>
      </c>
      <c r="P275" s="6" t="str">
        <f t="shared" si="7"/>
        <v/>
      </c>
    </row>
    <row r="276" spans="1:16" ht="14.25" customHeight="1" x14ac:dyDescent="0.3">
      <c r="A276" s="4"/>
      <c r="B276" s="4"/>
      <c r="C276" s="4" t="str">
        <f t="shared" si="8"/>
        <v/>
      </c>
      <c r="D276" s="4" t="str">
        <f t="shared" si="9"/>
        <v/>
      </c>
      <c r="E276" s="4"/>
      <c r="F276" s="6" t="str">
        <f>IF($C276="","",COUNTIFS(Chicks!$F:$F,$C276,Chicks!$G:$G,$D276))</f>
        <v/>
      </c>
      <c r="G276" s="6" t="str">
        <f>IF($C276="","",COUNTIFS(Chicks!$F:$F,$C276,Chicks!$G:$G,$D276,Chicks!$I:$I,"Yes"))</f>
        <v/>
      </c>
      <c r="H276" s="6" t="str">
        <f>IF($C276="","",SUMIFS(Chicks!$J:$J,Chicks!$F:$F,$C276,Chicks!$G:$G,$D276))</f>
        <v/>
      </c>
      <c r="I276" s="6" t="str">
        <f>IF($C276="","",COUNTIFS(Chicks!$F:$F,$C276,Chicks!$G:$G,$D276,Chicks!$I:$I,"No"))</f>
        <v/>
      </c>
      <c r="J276" s="6" t="str">
        <f>IF($C276="","",IFERROR(AVERAGEIFS(Chicks!$M:$M,Chicks!$F:$F,$C276,Chicks!$G:$G,$D276),""))</f>
        <v/>
      </c>
      <c r="K276" s="6" t="str">
        <f>IF($C276="","",SUMIFS(Chicks!$N:$N,Chicks!$F:$F,$C276,Chicks!$G:$G,$D276))</f>
        <v/>
      </c>
      <c r="L276" s="6" t="str">
        <f>IF($C276="","",SUMIFS(Chicks!$O:$O,Chicks!$F:$F,$C276,Chicks!$G:$G,$D276))</f>
        <v/>
      </c>
      <c r="M276" s="6" t="str">
        <f>IF($C276="","",SUMIFS(Chicks!$P:$P,Chicks!$F:$F,$C276,Chicks!$G:$G,$D276))</f>
        <v/>
      </c>
      <c r="N276" s="6" t="str">
        <f t="shared" si="5"/>
        <v/>
      </c>
      <c r="O276" s="6" t="e">
        <f t="shared" ca="1" si="6"/>
        <v>#NAME?</v>
      </c>
      <c r="P276" s="6" t="str">
        <f t="shared" si="7"/>
        <v/>
      </c>
    </row>
    <row r="277" spans="1:16" ht="14.25" customHeight="1" x14ac:dyDescent="0.3">
      <c r="A277" s="4"/>
      <c r="B277" s="4"/>
      <c r="C277" s="4" t="str">
        <f t="shared" si="8"/>
        <v/>
      </c>
      <c r="D277" s="4" t="str">
        <f t="shared" si="9"/>
        <v/>
      </c>
      <c r="E277" s="4"/>
      <c r="F277" s="6" t="str">
        <f>IF($C277="","",COUNTIFS(Chicks!$F:$F,$C277,Chicks!$G:$G,$D277))</f>
        <v/>
      </c>
      <c r="G277" s="6" t="str">
        <f>IF($C277="","",COUNTIFS(Chicks!$F:$F,$C277,Chicks!$G:$G,$D277,Chicks!$I:$I,"Yes"))</f>
        <v/>
      </c>
      <c r="H277" s="6" t="str">
        <f>IF($C277="","",SUMIFS(Chicks!$J:$J,Chicks!$F:$F,$C277,Chicks!$G:$G,$D277))</f>
        <v/>
      </c>
      <c r="I277" s="6" t="str">
        <f>IF($C277="","",COUNTIFS(Chicks!$F:$F,$C277,Chicks!$G:$G,$D277,Chicks!$I:$I,"No"))</f>
        <v/>
      </c>
      <c r="J277" s="6" t="str">
        <f>IF($C277="","",IFERROR(AVERAGEIFS(Chicks!$M:$M,Chicks!$F:$F,$C277,Chicks!$G:$G,$D277),""))</f>
        <v/>
      </c>
      <c r="K277" s="6" t="str">
        <f>IF($C277="","",SUMIFS(Chicks!$N:$N,Chicks!$F:$F,$C277,Chicks!$G:$G,$D277))</f>
        <v/>
      </c>
      <c r="L277" s="6" t="str">
        <f>IF($C277="","",SUMIFS(Chicks!$O:$O,Chicks!$F:$F,$C277,Chicks!$G:$G,$D277))</f>
        <v/>
      </c>
      <c r="M277" s="6" t="str">
        <f>IF($C277="","",SUMIFS(Chicks!$P:$P,Chicks!$F:$F,$C277,Chicks!$G:$G,$D277))</f>
        <v/>
      </c>
      <c r="N277" s="6" t="str">
        <f t="shared" si="5"/>
        <v/>
      </c>
      <c r="O277" s="6" t="e">
        <f t="shared" ca="1" si="6"/>
        <v>#NAME?</v>
      </c>
      <c r="P277" s="6" t="str">
        <f t="shared" si="7"/>
        <v/>
      </c>
    </row>
    <row r="278" spans="1:16" ht="14.25" customHeight="1" x14ac:dyDescent="0.3">
      <c r="A278" s="4"/>
      <c r="B278" s="4"/>
      <c r="C278" s="4" t="str">
        <f t="shared" si="8"/>
        <v/>
      </c>
      <c r="D278" s="4" t="str">
        <f t="shared" si="9"/>
        <v/>
      </c>
      <c r="E278" s="4"/>
      <c r="F278" s="6" t="str">
        <f>IF($C278="","",COUNTIFS(Chicks!$F:$F,$C278,Chicks!$G:$G,$D278))</f>
        <v/>
      </c>
      <c r="G278" s="6" t="str">
        <f>IF($C278="","",COUNTIFS(Chicks!$F:$F,$C278,Chicks!$G:$G,$D278,Chicks!$I:$I,"Yes"))</f>
        <v/>
      </c>
      <c r="H278" s="6" t="str">
        <f>IF($C278="","",SUMIFS(Chicks!$J:$J,Chicks!$F:$F,$C278,Chicks!$G:$G,$D278))</f>
        <v/>
      </c>
      <c r="I278" s="6" t="str">
        <f>IF($C278="","",COUNTIFS(Chicks!$F:$F,$C278,Chicks!$G:$G,$D278,Chicks!$I:$I,"No"))</f>
        <v/>
      </c>
      <c r="J278" s="6" t="str">
        <f>IF($C278="","",IFERROR(AVERAGEIFS(Chicks!$M:$M,Chicks!$F:$F,$C278,Chicks!$G:$G,$D278),""))</f>
        <v/>
      </c>
      <c r="K278" s="6" t="str">
        <f>IF($C278="","",SUMIFS(Chicks!$N:$N,Chicks!$F:$F,$C278,Chicks!$G:$G,$D278))</f>
        <v/>
      </c>
      <c r="L278" s="6" t="str">
        <f>IF($C278="","",SUMIFS(Chicks!$O:$O,Chicks!$F:$F,$C278,Chicks!$G:$G,$D278))</f>
        <v/>
      </c>
      <c r="M278" s="6" t="str">
        <f>IF($C278="","",SUMIFS(Chicks!$P:$P,Chicks!$F:$F,$C278,Chicks!$G:$G,$D278))</f>
        <v/>
      </c>
      <c r="N278" s="6" t="str">
        <f t="shared" si="5"/>
        <v/>
      </c>
      <c r="O278" s="6" t="e">
        <f t="shared" ca="1" si="6"/>
        <v>#NAME?</v>
      </c>
      <c r="P278" s="6" t="str">
        <f t="shared" si="7"/>
        <v/>
      </c>
    </row>
    <row r="279" spans="1:16" ht="14.25" customHeight="1" x14ac:dyDescent="0.3">
      <c r="A279" s="4"/>
      <c r="B279" s="4"/>
      <c r="C279" s="4" t="str">
        <f t="shared" si="8"/>
        <v/>
      </c>
      <c r="D279" s="4" t="str">
        <f t="shared" si="9"/>
        <v/>
      </c>
      <c r="E279" s="4"/>
      <c r="F279" s="6" t="str">
        <f>IF($C279="","",COUNTIFS(Chicks!$F:$F,$C279,Chicks!$G:$G,$D279))</f>
        <v/>
      </c>
      <c r="G279" s="6" t="str">
        <f>IF($C279="","",COUNTIFS(Chicks!$F:$F,$C279,Chicks!$G:$G,$D279,Chicks!$I:$I,"Yes"))</f>
        <v/>
      </c>
      <c r="H279" s="6" t="str">
        <f>IF($C279="","",SUMIFS(Chicks!$J:$J,Chicks!$F:$F,$C279,Chicks!$G:$G,$D279))</f>
        <v/>
      </c>
      <c r="I279" s="6" t="str">
        <f>IF($C279="","",COUNTIFS(Chicks!$F:$F,$C279,Chicks!$G:$G,$D279,Chicks!$I:$I,"No"))</f>
        <v/>
      </c>
      <c r="J279" s="6" t="str">
        <f>IF($C279="","",IFERROR(AVERAGEIFS(Chicks!$M:$M,Chicks!$F:$F,$C279,Chicks!$G:$G,$D279),""))</f>
        <v/>
      </c>
      <c r="K279" s="6" t="str">
        <f>IF($C279="","",SUMIFS(Chicks!$N:$N,Chicks!$F:$F,$C279,Chicks!$G:$G,$D279))</f>
        <v/>
      </c>
      <c r="L279" s="6" t="str">
        <f>IF($C279="","",SUMIFS(Chicks!$O:$O,Chicks!$F:$F,$C279,Chicks!$G:$G,$D279))</f>
        <v/>
      </c>
      <c r="M279" s="6" t="str">
        <f>IF($C279="","",SUMIFS(Chicks!$P:$P,Chicks!$F:$F,$C279,Chicks!$G:$G,$D279))</f>
        <v/>
      </c>
      <c r="N279" s="6" t="str">
        <f t="shared" si="5"/>
        <v/>
      </c>
      <c r="O279" s="6" t="e">
        <f t="shared" ca="1" si="6"/>
        <v>#NAME?</v>
      </c>
      <c r="P279" s="6" t="str">
        <f t="shared" si="7"/>
        <v/>
      </c>
    </row>
    <row r="280" spans="1:16" ht="14.25" customHeight="1" x14ac:dyDescent="0.3">
      <c r="A280" s="4"/>
      <c r="B280" s="4"/>
      <c r="C280" s="4" t="str">
        <f t="shared" si="8"/>
        <v/>
      </c>
      <c r="D280" s="4" t="str">
        <f t="shared" si="9"/>
        <v/>
      </c>
      <c r="E280" s="4"/>
      <c r="F280" s="6" t="str">
        <f>IF($C280="","",COUNTIFS(Chicks!$F:$F,$C280,Chicks!$G:$G,$D280))</f>
        <v/>
      </c>
      <c r="G280" s="6" t="str">
        <f>IF($C280="","",COUNTIFS(Chicks!$F:$F,$C280,Chicks!$G:$G,$D280,Chicks!$I:$I,"Yes"))</f>
        <v/>
      </c>
      <c r="H280" s="6" t="str">
        <f>IF($C280="","",SUMIFS(Chicks!$J:$J,Chicks!$F:$F,$C280,Chicks!$G:$G,$D280))</f>
        <v/>
      </c>
      <c r="I280" s="6" t="str">
        <f>IF($C280="","",COUNTIFS(Chicks!$F:$F,$C280,Chicks!$G:$G,$D280,Chicks!$I:$I,"No"))</f>
        <v/>
      </c>
      <c r="J280" s="6" t="str">
        <f>IF($C280="","",IFERROR(AVERAGEIFS(Chicks!$M:$M,Chicks!$F:$F,$C280,Chicks!$G:$G,$D280),""))</f>
        <v/>
      </c>
      <c r="K280" s="6" t="str">
        <f>IF($C280="","",SUMIFS(Chicks!$N:$N,Chicks!$F:$F,$C280,Chicks!$G:$G,$D280))</f>
        <v/>
      </c>
      <c r="L280" s="6" t="str">
        <f>IF($C280="","",SUMIFS(Chicks!$O:$O,Chicks!$F:$F,$C280,Chicks!$G:$G,$D280))</f>
        <v/>
      </c>
      <c r="M280" s="6" t="str">
        <f>IF($C280="","",SUMIFS(Chicks!$P:$P,Chicks!$F:$F,$C280,Chicks!$G:$G,$D280))</f>
        <v/>
      </c>
      <c r="N280" s="6" t="str">
        <f t="shared" si="5"/>
        <v/>
      </c>
      <c r="O280" s="6" t="e">
        <f t="shared" ca="1" si="6"/>
        <v>#NAME?</v>
      </c>
      <c r="P280" s="6" t="str">
        <f t="shared" si="7"/>
        <v/>
      </c>
    </row>
    <row r="281" spans="1:16" ht="14.25" customHeight="1" x14ac:dyDescent="0.3">
      <c r="A281" s="4"/>
      <c r="B281" s="4"/>
      <c r="C281" s="4" t="str">
        <f t="shared" si="8"/>
        <v/>
      </c>
      <c r="D281" s="4" t="str">
        <f t="shared" si="9"/>
        <v/>
      </c>
      <c r="E281" s="4"/>
      <c r="F281" s="6" t="str">
        <f>IF($C281="","",COUNTIFS(Chicks!$F:$F,$C281,Chicks!$G:$G,$D281))</f>
        <v/>
      </c>
      <c r="G281" s="6" t="str">
        <f>IF($C281="","",COUNTIFS(Chicks!$F:$F,$C281,Chicks!$G:$G,$D281,Chicks!$I:$I,"Yes"))</f>
        <v/>
      </c>
      <c r="H281" s="6" t="str">
        <f>IF($C281="","",SUMIFS(Chicks!$J:$J,Chicks!$F:$F,$C281,Chicks!$G:$G,$D281))</f>
        <v/>
      </c>
      <c r="I281" s="6" t="str">
        <f>IF($C281="","",COUNTIFS(Chicks!$F:$F,$C281,Chicks!$G:$G,$D281,Chicks!$I:$I,"No"))</f>
        <v/>
      </c>
      <c r="J281" s="6" t="str">
        <f>IF($C281="","",IFERROR(AVERAGEIFS(Chicks!$M:$M,Chicks!$F:$F,$C281,Chicks!$G:$G,$D281),""))</f>
        <v/>
      </c>
      <c r="K281" s="6" t="str">
        <f>IF($C281="","",SUMIFS(Chicks!$N:$N,Chicks!$F:$F,$C281,Chicks!$G:$G,$D281))</f>
        <v/>
      </c>
      <c r="L281" s="6" t="str">
        <f>IF($C281="","",SUMIFS(Chicks!$O:$O,Chicks!$F:$F,$C281,Chicks!$G:$G,$D281))</f>
        <v/>
      </c>
      <c r="M281" s="6" t="str">
        <f>IF($C281="","",SUMIFS(Chicks!$P:$P,Chicks!$F:$F,$C281,Chicks!$G:$G,$D281))</f>
        <v/>
      </c>
      <c r="N281" s="6" t="str">
        <f t="shared" si="5"/>
        <v/>
      </c>
      <c r="O281" s="6" t="e">
        <f t="shared" ca="1" si="6"/>
        <v>#NAME?</v>
      </c>
      <c r="P281" s="6" t="str">
        <f t="shared" si="7"/>
        <v/>
      </c>
    </row>
    <row r="282" spans="1:16" ht="14.25" customHeight="1" x14ac:dyDescent="0.3">
      <c r="A282" s="4"/>
      <c r="B282" s="4"/>
      <c r="C282" s="4" t="str">
        <f t="shared" si="8"/>
        <v/>
      </c>
      <c r="D282" s="4" t="str">
        <f t="shared" si="9"/>
        <v/>
      </c>
      <c r="E282" s="4"/>
      <c r="F282" s="6" t="str">
        <f>IF($C282="","",COUNTIFS(Chicks!$F:$F,$C282,Chicks!$G:$G,$D282))</f>
        <v/>
      </c>
      <c r="G282" s="6" t="str">
        <f>IF($C282="","",COUNTIFS(Chicks!$F:$F,$C282,Chicks!$G:$G,$D282,Chicks!$I:$I,"Yes"))</f>
        <v/>
      </c>
      <c r="H282" s="6" t="str">
        <f>IF($C282="","",SUMIFS(Chicks!$J:$J,Chicks!$F:$F,$C282,Chicks!$G:$G,$D282))</f>
        <v/>
      </c>
      <c r="I282" s="6" t="str">
        <f>IF($C282="","",COUNTIFS(Chicks!$F:$F,$C282,Chicks!$G:$G,$D282,Chicks!$I:$I,"No"))</f>
        <v/>
      </c>
      <c r="J282" s="6" t="str">
        <f>IF($C282="","",IFERROR(AVERAGEIFS(Chicks!$M:$M,Chicks!$F:$F,$C282,Chicks!$G:$G,$D282),""))</f>
        <v/>
      </c>
      <c r="K282" s="6" t="str">
        <f>IF($C282="","",SUMIFS(Chicks!$N:$N,Chicks!$F:$F,$C282,Chicks!$G:$G,$D282))</f>
        <v/>
      </c>
      <c r="L282" s="6" t="str">
        <f>IF($C282="","",SUMIFS(Chicks!$O:$O,Chicks!$F:$F,$C282,Chicks!$G:$G,$D282))</f>
        <v/>
      </c>
      <c r="M282" s="6" t="str">
        <f>IF($C282="","",SUMIFS(Chicks!$P:$P,Chicks!$F:$F,$C282,Chicks!$G:$G,$D282))</f>
        <v/>
      </c>
      <c r="N282" s="6" t="str">
        <f t="shared" si="5"/>
        <v/>
      </c>
      <c r="O282" s="6" t="e">
        <f t="shared" ca="1" si="6"/>
        <v>#NAME?</v>
      </c>
      <c r="P282" s="6" t="str">
        <f t="shared" si="7"/>
        <v/>
      </c>
    </row>
    <row r="283" spans="1:16" ht="14.25" customHeight="1" x14ac:dyDescent="0.3">
      <c r="A283" s="4"/>
      <c r="B283" s="4"/>
      <c r="C283" s="4" t="str">
        <f t="shared" si="8"/>
        <v/>
      </c>
      <c r="D283" s="4" t="str">
        <f t="shared" si="9"/>
        <v/>
      </c>
      <c r="E283" s="4"/>
      <c r="F283" s="6" t="str">
        <f>IF($C283="","",COUNTIFS(Chicks!$F:$F,$C283,Chicks!$G:$G,$D283))</f>
        <v/>
      </c>
      <c r="G283" s="6" t="str">
        <f>IF($C283="","",COUNTIFS(Chicks!$F:$F,$C283,Chicks!$G:$G,$D283,Chicks!$I:$I,"Yes"))</f>
        <v/>
      </c>
      <c r="H283" s="6" t="str">
        <f>IF($C283="","",SUMIFS(Chicks!$J:$J,Chicks!$F:$F,$C283,Chicks!$G:$G,$D283))</f>
        <v/>
      </c>
      <c r="I283" s="6" t="str">
        <f>IF($C283="","",COUNTIFS(Chicks!$F:$F,$C283,Chicks!$G:$G,$D283,Chicks!$I:$I,"No"))</f>
        <v/>
      </c>
      <c r="J283" s="6" t="str">
        <f>IF($C283="","",IFERROR(AVERAGEIFS(Chicks!$M:$M,Chicks!$F:$F,$C283,Chicks!$G:$G,$D283),""))</f>
        <v/>
      </c>
      <c r="K283" s="6" t="str">
        <f>IF($C283="","",SUMIFS(Chicks!$N:$N,Chicks!$F:$F,$C283,Chicks!$G:$G,$D283))</f>
        <v/>
      </c>
      <c r="L283" s="6" t="str">
        <f>IF($C283="","",SUMIFS(Chicks!$O:$O,Chicks!$F:$F,$C283,Chicks!$G:$G,$D283))</f>
        <v/>
      </c>
      <c r="M283" s="6" t="str">
        <f>IF($C283="","",SUMIFS(Chicks!$P:$P,Chicks!$F:$F,$C283,Chicks!$G:$G,$D283))</f>
        <v/>
      </c>
      <c r="N283" s="6" t="str">
        <f t="shared" si="5"/>
        <v/>
      </c>
      <c r="O283" s="6" t="e">
        <f t="shared" ca="1" si="6"/>
        <v>#NAME?</v>
      </c>
      <c r="P283" s="6" t="str">
        <f t="shared" si="7"/>
        <v/>
      </c>
    </row>
    <row r="284" spans="1:16" ht="14.25" customHeight="1" x14ac:dyDescent="0.3">
      <c r="A284" s="4"/>
      <c r="B284" s="4"/>
      <c r="C284" s="4" t="str">
        <f t="shared" si="8"/>
        <v/>
      </c>
      <c r="D284" s="4" t="str">
        <f t="shared" si="9"/>
        <v/>
      </c>
      <c r="E284" s="4"/>
      <c r="F284" s="6" t="str">
        <f>IF($C284="","",COUNTIFS(Chicks!$F:$F,$C284,Chicks!$G:$G,$D284))</f>
        <v/>
      </c>
      <c r="G284" s="6" t="str">
        <f>IF($C284="","",COUNTIFS(Chicks!$F:$F,$C284,Chicks!$G:$G,$D284,Chicks!$I:$I,"Yes"))</f>
        <v/>
      </c>
      <c r="H284" s="6" t="str">
        <f>IF($C284="","",SUMIFS(Chicks!$J:$J,Chicks!$F:$F,$C284,Chicks!$G:$G,$D284))</f>
        <v/>
      </c>
      <c r="I284" s="6" t="str">
        <f>IF($C284="","",COUNTIFS(Chicks!$F:$F,$C284,Chicks!$G:$G,$D284,Chicks!$I:$I,"No"))</f>
        <v/>
      </c>
      <c r="J284" s="6" t="str">
        <f>IF($C284="","",IFERROR(AVERAGEIFS(Chicks!$M:$M,Chicks!$F:$F,$C284,Chicks!$G:$G,$D284),""))</f>
        <v/>
      </c>
      <c r="K284" s="6" t="str">
        <f>IF($C284="","",SUMIFS(Chicks!$N:$N,Chicks!$F:$F,$C284,Chicks!$G:$G,$D284))</f>
        <v/>
      </c>
      <c r="L284" s="6" t="str">
        <f>IF($C284="","",SUMIFS(Chicks!$O:$O,Chicks!$F:$F,$C284,Chicks!$G:$G,$D284))</f>
        <v/>
      </c>
      <c r="M284" s="6" t="str">
        <f>IF($C284="","",SUMIFS(Chicks!$P:$P,Chicks!$F:$F,$C284,Chicks!$G:$G,$D284))</f>
        <v/>
      </c>
      <c r="N284" s="6" t="str">
        <f t="shared" si="5"/>
        <v/>
      </c>
      <c r="O284" s="6" t="e">
        <f t="shared" ca="1" si="6"/>
        <v>#NAME?</v>
      </c>
      <c r="P284" s="6" t="str">
        <f t="shared" si="7"/>
        <v/>
      </c>
    </row>
    <row r="285" spans="1:16" ht="14.25" customHeight="1" x14ac:dyDescent="0.3">
      <c r="A285" s="4"/>
      <c r="B285" s="4"/>
      <c r="C285" s="4" t="str">
        <f t="shared" si="8"/>
        <v/>
      </c>
      <c r="D285" s="4" t="str">
        <f t="shared" si="9"/>
        <v/>
      </c>
      <c r="E285" s="4"/>
      <c r="F285" s="6" t="str">
        <f>IF($C285="","",COUNTIFS(Chicks!$F:$F,$C285,Chicks!$G:$G,$D285))</f>
        <v/>
      </c>
      <c r="G285" s="6" t="str">
        <f>IF($C285="","",COUNTIFS(Chicks!$F:$F,$C285,Chicks!$G:$G,$D285,Chicks!$I:$I,"Yes"))</f>
        <v/>
      </c>
      <c r="H285" s="6" t="str">
        <f>IF($C285="","",SUMIFS(Chicks!$J:$J,Chicks!$F:$F,$C285,Chicks!$G:$G,$D285))</f>
        <v/>
      </c>
      <c r="I285" s="6" t="str">
        <f>IF($C285="","",COUNTIFS(Chicks!$F:$F,$C285,Chicks!$G:$G,$D285,Chicks!$I:$I,"No"))</f>
        <v/>
      </c>
      <c r="J285" s="6" t="str">
        <f>IF($C285="","",IFERROR(AVERAGEIFS(Chicks!$M:$M,Chicks!$F:$F,$C285,Chicks!$G:$G,$D285),""))</f>
        <v/>
      </c>
      <c r="K285" s="6" t="str">
        <f>IF($C285="","",SUMIFS(Chicks!$N:$N,Chicks!$F:$F,$C285,Chicks!$G:$G,$D285))</f>
        <v/>
      </c>
      <c r="L285" s="6" t="str">
        <f>IF($C285="","",SUMIFS(Chicks!$O:$O,Chicks!$F:$F,$C285,Chicks!$G:$G,$D285))</f>
        <v/>
      </c>
      <c r="M285" s="6" t="str">
        <f>IF($C285="","",SUMIFS(Chicks!$P:$P,Chicks!$F:$F,$C285,Chicks!$G:$G,$D285))</f>
        <v/>
      </c>
      <c r="N285" s="6" t="str">
        <f t="shared" si="5"/>
        <v/>
      </c>
      <c r="O285" s="6" t="e">
        <f t="shared" ca="1" si="6"/>
        <v>#NAME?</v>
      </c>
      <c r="P285" s="6" t="str">
        <f t="shared" si="7"/>
        <v/>
      </c>
    </row>
    <row r="286" spans="1:16" ht="14.25" customHeight="1" x14ac:dyDescent="0.3">
      <c r="A286" s="4"/>
      <c r="B286" s="4"/>
      <c r="C286" s="4" t="str">
        <f t="shared" si="8"/>
        <v/>
      </c>
      <c r="D286" s="4" t="str">
        <f t="shared" si="9"/>
        <v/>
      </c>
      <c r="E286" s="4"/>
      <c r="F286" s="6" t="str">
        <f>IF($C286="","",COUNTIFS(Chicks!$F:$F,$C286,Chicks!$G:$G,$D286))</f>
        <v/>
      </c>
      <c r="G286" s="6" t="str">
        <f>IF($C286="","",COUNTIFS(Chicks!$F:$F,$C286,Chicks!$G:$G,$D286,Chicks!$I:$I,"Yes"))</f>
        <v/>
      </c>
      <c r="H286" s="6" t="str">
        <f>IF($C286="","",SUMIFS(Chicks!$J:$J,Chicks!$F:$F,$C286,Chicks!$G:$G,$D286))</f>
        <v/>
      </c>
      <c r="I286" s="6" t="str">
        <f>IF($C286="","",COUNTIFS(Chicks!$F:$F,$C286,Chicks!$G:$G,$D286,Chicks!$I:$I,"No"))</f>
        <v/>
      </c>
      <c r="J286" s="6" t="str">
        <f>IF($C286="","",IFERROR(AVERAGEIFS(Chicks!$M:$M,Chicks!$F:$F,$C286,Chicks!$G:$G,$D286),""))</f>
        <v/>
      </c>
      <c r="K286" s="6" t="str">
        <f>IF($C286="","",SUMIFS(Chicks!$N:$N,Chicks!$F:$F,$C286,Chicks!$G:$G,$D286))</f>
        <v/>
      </c>
      <c r="L286" s="6" t="str">
        <f>IF($C286="","",SUMIFS(Chicks!$O:$O,Chicks!$F:$F,$C286,Chicks!$G:$G,$D286))</f>
        <v/>
      </c>
      <c r="M286" s="6" t="str">
        <f>IF($C286="","",SUMIFS(Chicks!$P:$P,Chicks!$F:$F,$C286,Chicks!$G:$G,$D286))</f>
        <v/>
      </c>
      <c r="N286" s="6" t="str">
        <f t="shared" si="5"/>
        <v/>
      </c>
      <c r="O286" s="6" t="e">
        <f t="shared" ca="1" si="6"/>
        <v>#NAME?</v>
      </c>
      <c r="P286" s="6" t="str">
        <f t="shared" si="7"/>
        <v/>
      </c>
    </row>
    <row r="287" spans="1:16" ht="14.25" customHeight="1" x14ac:dyDescent="0.3">
      <c r="A287" s="4"/>
      <c r="B287" s="4"/>
      <c r="C287" s="4" t="str">
        <f t="shared" si="8"/>
        <v/>
      </c>
      <c r="D287" s="4" t="str">
        <f t="shared" si="9"/>
        <v/>
      </c>
      <c r="E287" s="4"/>
      <c r="F287" s="6" t="str">
        <f>IF($C287="","",COUNTIFS(Chicks!$F:$F,$C287,Chicks!$G:$G,$D287))</f>
        <v/>
      </c>
      <c r="G287" s="6" t="str">
        <f>IF($C287="","",COUNTIFS(Chicks!$F:$F,$C287,Chicks!$G:$G,$D287,Chicks!$I:$I,"Yes"))</f>
        <v/>
      </c>
      <c r="H287" s="6" t="str">
        <f>IF($C287="","",SUMIFS(Chicks!$J:$J,Chicks!$F:$F,$C287,Chicks!$G:$G,$D287))</f>
        <v/>
      </c>
      <c r="I287" s="6" t="str">
        <f>IF($C287="","",COUNTIFS(Chicks!$F:$F,$C287,Chicks!$G:$G,$D287,Chicks!$I:$I,"No"))</f>
        <v/>
      </c>
      <c r="J287" s="6" t="str">
        <f>IF($C287="","",IFERROR(AVERAGEIFS(Chicks!$M:$M,Chicks!$F:$F,$C287,Chicks!$G:$G,$D287),""))</f>
        <v/>
      </c>
      <c r="K287" s="6" t="str">
        <f>IF($C287="","",SUMIFS(Chicks!$N:$N,Chicks!$F:$F,$C287,Chicks!$G:$G,$D287))</f>
        <v/>
      </c>
      <c r="L287" s="6" t="str">
        <f>IF($C287="","",SUMIFS(Chicks!$O:$O,Chicks!$F:$F,$C287,Chicks!$G:$G,$D287))</f>
        <v/>
      </c>
      <c r="M287" s="6" t="str">
        <f>IF($C287="","",SUMIFS(Chicks!$P:$P,Chicks!$F:$F,$C287,Chicks!$G:$G,$D287))</f>
        <v/>
      </c>
      <c r="N287" s="6" t="str">
        <f t="shared" si="5"/>
        <v/>
      </c>
      <c r="O287" s="6" t="e">
        <f t="shared" ca="1" si="6"/>
        <v>#NAME?</v>
      </c>
      <c r="P287" s="6" t="str">
        <f t="shared" si="7"/>
        <v/>
      </c>
    </row>
    <row r="288" spans="1:16" ht="14.25" customHeight="1" x14ac:dyDescent="0.3">
      <c r="A288" s="4"/>
      <c r="B288" s="4"/>
      <c r="C288" s="4" t="str">
        <f t="shared" si="8"/>
        <v/>
      </c>
      <c r="D288" s="4" t="str">
        <f t="shared" si="9"/>
        <v/>
      </c>
      <c r="E288" s="4"/>
      <c r="F288" s="6" t="str">
        <f>IF($C288="","",COUNTIFS(Chicks!$F:$F,$C288,Chicks!$G:$G,$D288))</f>
        <v/>
      </c>
      <c r="G288" s="6" t="str">
        <f>IF($C288="","",COUNTIFS(Chicks!$F:$F,$C288,Chicks!$G:$G,$D288,Chicks!$I:$I,"Yes"))</f>
        <v/>
      </c>
      <c r="H288" s="6" t="str">
        <f>IF($C288="","",SUMIFS(Chicks!$J:$J,Chicks!$F:$F,$C288,Chicks!$G:$G,$D288))</f>
        <v/>
      </c>
      <c r="I288" s="6" t="str">
        <f>IF($C288="","",COUNTIFS(Chicks!$F:$F,$C288,Chicks!$G:$G,$D288,Chicks!$I:$I,"No"))</f>
        <v/>
      </c>
      <c r="J288" s="6" t="str">
        <f>IF($C288="","",IFERROR(AVERAGEIFS(Chicks!$M:$M,Chicks!$F:$F,$C288,Chicks!$G:$G,$D288),""))</f>
        <v/>
      </c>
      <c r="K288" s="6" t="str">
        <f>IF($C288="","",SUMIFS(Chicks!$N:$N,Chicks!$F:$F,$C288,Chicks!$G:$G,$D288))</f>
        <v/>
      </c>
      <c r="L288" s="6" t="str">
        <f>IF($C288="","",SUMIFS(Chicks!$O:$O,Chicks!$F:$F,$C288,Chicks!$G:$G,$D288))</f>
        <v/>
      </c>
      <c r="M288" s="6" t="str">
        <f>IF($C288="","",SUMIFS(Chicks!$P:$P,Chicks!$F:$F,$C288,Chicks!$G:$G,$D288))</f>
        <v/>
      </c>
      <c r="N288" s="6" t="str">
        <f t="shared" si="5"/>
        <v/>
      </c>
      <c r="O288" s="6" t="e">
        <f t="shared" ca="1" si="6"/>
        <v>#NAME?</v>
      </c>
      <c r="P288" s="6" t="str">
        <f t="shared" si="7"/>
        <v/>
      </c>
    </row>
    <row r="289" spans="1:16" ht="14.25" customHeight="1" x14ac:dyDescent="0.3">
      <c r="A289" s="4"/>
      <c r="B289" s="4"/>
      <c r="C289" s="4" t="str">
        <f t="shared" si="8"/>
        <v/>
      </c>
      <c r="D289" s="4" t="str">
        <f t="shared" si="9"/>
        <v/>
      </c>
      <c r="E289" s="4"/>
      <c r="F289" s="6" t="str">
        <f>IF($C289="","",COUNTIFS(Chicks!$F:$F,$C289,Chicks!$G:$G,$D289))</f>
        <v/>
      </c>
      <c r="G289" s="6" t="str">
        <f>IF($C289="","",COUNTIFS(Chicks!$F:$F,$C289,Chicks!$G:$G,$D289,Chicks!$I:$I,"Yes"))</f>
        <v/>
      </c>
      <c r="H289" s="6" t="str">
        <f>IF($C289="","",SUMIFS(Chicks!$J:$J,Chicks!$F:$F,$C289,Chicks!$G:$G,$D289))</f>
        <v/>
      </c>
      <c r="I289" s="6" t="str">
        <f>IF($C289="","",COUNTIFS(Chicks!$F:$F,$C289,Chicks!$G:$G,$D289,Chicks!$I:$I,"No"))</f>
        <v/>
      </c>
      <c r="J289" s="6" t="str">
        <f>IF($C289="","",IFERROR(AVERAGEIFS(Chicks!$M:$M,Chicks!$F:$F,$C289,Chicks!$G:$G,$D289),""))</f>
        <v/>
      </c>
      <c r="K289" s="6" t="str">
        <f>IF($C289="","",SUMIFS(Chicks!$N:$N,Chicks!$F:$F,$C289,Chicks!$G:$G,$D289))</f>
        <v/>
      </c>
      <c r="L289" s="6" t="str">
        <f>IF($C289="","",SUMIFS(Chicks!$O:$O,Chicks!$F:$F,$C289,Chicks!$G:$G,$D289))</f>
        <v/>
      </c>
      <c r="M289" s="6" t="str">
        <f>IF($C289="","",SUMIFS(Chicks!$P:$P,Chicks!$F:$F,$C289,Chicks!$G:$G,$D289))</f>
        <v/>
      </c>
      <c r="N289" s="6" t="str">
        <f t="shared" si="5"/>
        <v/>
      </c>
      <c r="O289" s="6" t="e">
        <f t="shared" ca="1" si="6"/>
        <v>#NAME?</v>
      </c>
      <c r="P289" s="6" t="str">
        <f t="shared" si="7"/>
        <v/>
      </c>
    </row>
    <row r="290" spans="1:16" ht="14.25" customHeight="1" x14ac:dyDescent="0.3">
      <c r="A290" s="4"/>
      <c r="B290" s="4"/>
      <c r="C290" s="4" t="str">
        <f t="shared" si="8"/>
        <v/>
      </c>
      <c r="D290" s="4" t="str">
        <f t="shared" si="9"/>
        <v/>
      </c>
      <c r="E290" s="4"/>
      <c r="F290" s="6" t="str">
        <f>IF($C290="","",COUNTIFS(Chicks!$F:$F,$C290,Chicks!$G:$G,$D290))</f>
        <v/>
      </c>
      <c r="G290" s="6" t="str">
        <f>IF($C290="","",COUNTIFS(Chicks!$F:$F,$C290,Chicks!$G:$G,$D290,Chicks!$I:$I,"Yes"))</f>
        <v/>
      </c>
      <c r="H290" s="6" t="str">
        <f>IF($C290="","",SUMIFS(Chicks!$J:$J,Chicks!$F:$F,$C290,Chicks!$G:$G,$D290))</f>
        <v/>
      </c>
      <c r="I290" s="6" t="str">
        <f>IF($C290="","",COUNTIFS(Chicks!$F:$F,$C290,Chicks!$G:$G,$D290,Chicks!$I:$I,"No"))</f>
        <v/>
      </c>
      <c r="J290" s="6" t="str">
        <f>IF($C290="","",IFERROR(AVERAGEIFS(Chicks!$M:$M,Chicks!$F:$F,$C290,Chicks!$G:$G,$D290),""))</f>
        <v/>
      </c>
      <c r="K290" s="6" t="str">
        <f>IF($C290="","",SUMIFS(Chicks!$N:$N,Chicks!$F:$F,$C290,Chicks!$G:$G,$D290))</f>
        <v/>
      </c>
      <c r="L290" s="6" t="str">
        <f>IF($C290="","",SUMIFS(Chicks!$O:$O,Chicks!$F:$F,$C290,Chicks!$G:$G,$D290))</f>
        <v/>
      </c>
      <c r="M290" s="6" t="str">
        <f>IF($C290="","",SUMIFS(Chicks!$P:$P,Chicks!$F:$F,$C290,Chicks!$G:$G,$D290))</f>
        <v/>
      </c>
      <c r="N290" s="6" t="str">
        <f t="shared" si="5"/>
        <v/>
      </c>
      <c r="O290" s="6" t="e">
        <f t="shared" ca="1" si="6"/>
        <v>#NAME?</v>
      </c>
      <c r="P290" s="6" t="str">
        <f t="shared" si="7"/>
        <v/>
      </c>
    </row>
    <row r="291" spans="1:16" ht="14.25" customHeight="1" x14ac:dyDescent="0.3">
      <c r="A291" s="4"/>
      <c r="B291" s="4"/>
      <c r="C291" s="4" t="str">
        <f t="shared" si="8"/>
        <v/>
      </c>
      <c r="D291" s="4" t="str">
        <f t="shared" si="9"/>
        <v/>
      </c>
      <c r="E291" s="4"/>
      <c r="F291" s="6" t="str">
        <f>IF($C291="","",COUNTIFS(Chicks!$F:$F,$C291,Chicks!$G:$G,$D291))</f>
        <v/>
      </c>
      <c r="G291" s="6" t="str">
        <f>IF($C291="","",COUNTIFS(Chicks!$F:$F,$C291,Chicks!$G:$G,$D291,Chicks!$I:$I,"Yes"))</f>
        <v/>
      </c>
      <c r="H291" s="6" t="str">
        <f>IF($C291="","",SUMIFS(Chicks!$J:$J,Chicks!$F:$F,$C291,Chicks!$G:$G,$D291))</f>
        <v/>
      </c>
      <c r="I291" s="6" t="str">
        <f>IF($C291="","",COUNTIFS(Chicks!$F:$F,$C291,Chicks!$G:$G,$D291,Chicks!$I:$I,"No"))</f>
        <v/>
      </c>
      <c r="J291" s="6" t="str">
        <f>IF($C291="","",IFERROR(AVERAGEIFS(Chicks!$M:$M,Chicks!$F:$F,$C291,Chicks!$G:$G,$D291),""))</f>
        <v/>
      </c>
      <c r="K291" s="6" t="str">
        <f>IF($C291="","",SUMIFS(Chicks!$N:$N,Chicks!$F:$F,$C291,Chicks!$G:$G,$D291))</f>
        <v/>
      </c>
      <c r="L291" s="6" t="str">
        <f>IF($C291="","",SUMIFS(Chicks!$O:$O,Chicks!$F:$F,$C291,Chicks!$G:$G,$D291))</f>
        <v/>
      </c>
      <c r="M291" s="6" t="str">
        <f>IF($C291="","",SUMIFS(Chicks!$P:$P,Chicks!$F:$F,$C291,Chicks!$G:$G,$D291))</f>
        <v/>
      </c>
      <c r="N291" s="6" t="str">
        <f t="shared" si="5"/>
        <v/>
      </c>
      <c r="O291" s="6" t="e">
        <f t="shared" ca="1" si="6"/>
        <v>#NAME?</v>
      </c>
      <c r="P291" s="6" t="str">
        <f t="shared" si="7"/>
        <v/>
      </c>
    </row>
    <row r="292" spans="1:16" ht="14.25" customHeight="1" x14ac:dyDescent="0.3">
      <c r="A292" s="4"/>
      <c r="B292" s="4"/>
      <c r="C292" s="4" t="str">
        <f t="shared" si="8"/>
        <v/>
      </c>
      <c r="D292" s="4" t="str">
        <f t="shared" si="9"/>
        <v/>
      </c>
      <c r="E292" s="4"/>
      <c r="F292" s="6" t="str">
        <f>IF($C292="","",COUNTIFS(Chicks!$F:$F,$C292,Chicks!$G:$G,$D292))</f>
        <v/>
      </c>
      <c r="G292" s="6" t="str">
        <f>IF($C292="","",COUNTIFS(Chicks!$F:$F,$C292,Chicks!$G:$G,$D292,Chicks!$I:$I,"Yes"))</f>
        <v/>
      </c>
      <c r="H292" s="6" t="str">
        <f>IF($C292="","",SUMIFS(Chicks!$J:$J,Chicks!$F:$F,$C292,Chicks!$G:$G,$D292))</f>
        <v/>
      </c>
      <c r="I292" s="6" t="str">
        <f>IF($C292="","",COUNTIFS(Chicks!$F:$F,$C292,Chicks!$G:$G,$D292,Chicks!$I:$I,"No"))</f>
        <v/>
      </c>
      <c r="J292" s="6" t="str">
        <f>IF($C292="","",IFERROR(AVERAGEIFS(Chicks!$M:$M,Chicks!$F:$F,$C292,Chicks!$G:$G,$D292),""))</f>
        <v/>
      </c>
      <c r="K292" s="6" t="str">
        <f>IF($C292="","",SUMIFS(Chicks!$N:$N,Chicks!$F:$F,$C292,Chicks!$G:$G,$D292))</f>
        <v/>
      </c>
      <c r="L292" s="6" t="str">
        <f>IF($C292="","",SUMIFS(Chicks!$O:$O,Chicks!$F:$F,$C292,Chicks!$G:$G,$D292))</f>
        <v/>
      </c>
      <c r="M292" s="6" t="str">
        <f>IF($C292="","",SUMIFS(Chicks!$P:$P,Chicks!$F:$F,$C292,Chicks!$G:$G,$D292))</f>
        <v/>
      </c>
      <c r="N292" s="6" t="str">
        <f t="shared" si="5"/>
        <v/>
      </c>
      <c r="O292" s="6" t="e">
        <f t="shared" ca="1" si="6"/>
        <v>#NAME?</v>
      </c>
      <c r="P292" s="6" t="str">
        <f t="shared" si="7"/>
        <v/>
      </c>
    </row>
    <row r="293" spans="1:16" ht="14.25" customHeight="1" x14ac:dyDescent="0.3">
      <c r="A293" s="4"/>
      <c r="B293" s="4"/>
      <c r="C293" s="4" t="str">
        <f t="shared" si="8"/>
        <v/>
      </c>
      <c r="D293" s="4" t="str">
        <f t="shared" si="9"/>
        <v/>
      </c>
      <c r="E293" s="4"/>
      <c r="F293" s="6" t="str">
        <f>IF($C293="","",COUNTIFS(Chicks!$F:$F,$C293,Chicks!$G:$G,$D293))</f>
        <v/>
      </c>
      <c r="G293" s="6" t="str">
        <f>IF($C293="","",COUNTIFS(Chicks!$F:$F,$C293,Chicks!$G:$G,$D293,Chicks!$I:$I,"Yes"))</f>
        <v/>
      </c>
      <c r="H293" s="6" t="str">
        <f>IF($C293="","",SUMIFS(Chicks!$J:$J,Chicks!$F:$F,$C293,Chicks!$G:$G,$D293))</f>
        <v/>
      </c>
      <c r="I293" s="6" t="str">
        <f>IF($C293="","",COUNTIFS(Chicks!$F:$F,$C293,Chicks!$G:$G,$D293,Chicks!$I:$I,"No"))</f>
        <v/>
      </c>
      <c r="J293" s="6" t="str">
        <f>IF($C293="","",IFERROR(AVERAGEIFS(Chicks!$M:$M,Chicks!$F:$F,$C293,Chicks!$G:$G,$D293),""))</f>
        <v/>
      </c>
      <c r="K293" s="6" t="str">
        <f>IF($C293="","",SUMIFS(Chicks!$N:$N,Chicks!$F:$F,$C293,Chicks!$G:$G,$D293))</f>
        <v/>
      </c>
      <c r="L293" s="6" t="str">
        <f>IF($C293="","",SUMIFS(Chicks!$O:$O,Chicks!$F:$F,$C293,Chicks!$G:$G,$D293))</f>
        <v/>
      </c>
      <c r="M293" s="6" t="str">
        <f>IF($C293="","",SUMIFS(Chicks!$P:$P,Chicks!$F:$F,$C293,Chicks!$G:$G,$D293))</f>
        <v/>
      </c>
      <c r="N293" s="6" t="str">
        <f t="shared" si="5"/>
        <v/>
      </c>
      <c r="O293" s="6" t="e">
        <f t="shared" ca="1" si="6"/>
        <v>#NAME?</v>
      </c>
      <c r="P293" s="6" t="str">
        <f t="shared" si="7"/>
        <v/>
      </c>
    </row>
    <row r="294" spans="1:16" ht="14.25" customHeight="1" x14ac:dyDescent="0.3">
      <c r="A294" s="4"/>
      <c r="B294" s="4"/>
      <c r="C294" s="4" t="str">
        <f t="shared" si="8"/>
        <v/>
      </c>
      <c r="D294" s="4" t="str">
        <f t="shared" si="9"/>
        <v/>
      </c>
      <c r="E294" s="4"/>
      <c r="F294" s="6" t="str">
        <f>IF($C294="","",COUNTIFS(Chicks!$F:$F,$C294,Chicks!$G:$G,$D294))</f>
        <v/>
      </c>
      <c r="G294" s="6" t="str">
        <f>IF($C294="","",COUNTIFS(Chicks!$F:$F,$C294,Chicks!$G:$G,$D294,Chicks!$I:$I,"Yes"))</f>
        <v/>
      </c>
      <c r="H294" s="6" t="str">
        <f>IF($C294="","",SUMIFS(Chicks!$J:$J,Chicks!$F:$F,$C294,Chicks!$G:$G,$D294))</f>
        <v/>
      </c>
      <c r="I294" s="6" t="str">
        <f>IF($C294="","",COUNTIFS(Chicks!$F:$F,$C294,Chicks!$G:$G,$D294,Chicks!$I:$I,"No"))</f>
        <v/>
      </c>
      <c r="J294" s="6" t="str">
        <f>IF($C294="","",IFERROR(AVERAGEIFS(Chicks!$M:$M,Chicks!$F:$F,$C294,Chicks!$G:$G,$D294),""))</f>
        <v/>
      </c>
      <c r="K294" s="6" t="str">
        <f>IF($C294="","",SUMIFS(Chicks!$N:$N,Chicks!$F:$F,$C294,Chicks!$G:$G,$D294))</f>
        <v/>
      </c>
      <c r="L294" s="6" t="str">
        <f>IF($C294="","",SUMIFS(Chicks!$O:$O,Chicks!$F:$F,$C294,Chicks!$G:$G,$D294))</f>
        <v/>
      </c>
      <c r="M294" s="6" t="str">
        <f>IF($C294="","",SUMIFS(Chicks!$P:$P,Chicks!$F:$F,$C294,Chicks!$G:$G,$D294))</f>
        <v/>
      </c>
      <c r="N294" s="6" t="str">
        <f t="shared" si="5"/>
        <v/>
      </c>
      <c r="O294" s="6" t="e">
        <f t="shared" ca="1" si="6"/>
        <v>#NAME?</v>
      </c>
      <c r="P294" s="6" t="str">
        <f t="shared" si="7"/>
        <v/>
      </c>
    </row>
    <row r="295" spans="1:16" ht="14.25" customHeight="1" x14ac:dyDescent="0.3">
      <c r="A295" s="4"/>
      <c r="B295" s="4"/>
      <c r="C295" s="4" t="str">
        <f t="shared" si="8"/>
        <v/>
      </c>
      <c r="D295" s="4" t="str">
        <f t="shared" si="9"/>
        <v/>
      </c>
      <c r="E295" s="4"/>
      <c r="F295" s="6" t="str">
        <f>IF($C295="","",COUNTIFS(Chicks!$F:$F,$C295,Chicks!$G:$G,$D295))</f>
        <v/>
      </c>
      <c r="G295" s="6" t="str">
        <f>IF($C295="","",COUNTIFS(Chicks!$F:$F,$C295,Chicks!$G:$G,$D295,Chicks!$I:$I,"Yes"))</f>
        <v/>
      </c>
      <c r="H295" s="6" t="str">
        <f>IF($C295="","",SUMIFS(Chicks!$J:$J,Chicks!$F:$F,$C295,Chicks!$G:$G,$D295))</f>
        <v/>
      </c>
      <c r="I295" s="6" t="str">
        <f>IF($C295="","",COUNTIFS(Chicks!$F:$F,$C295,Chicks!$G:$G,$D295,Chicks!$I:$I,"No"))</f>
        <v/>
      </c>
      <c r="J295" s="6" t="str">
        <f>IF($C295="","",IFERROR(AVERAGEIFS(Chicks!$M:$M,Chicks!$F:$F,$C295,Chicks!$G:$G,$D295),""))</f>
        <v/>
      </c>
      <c r="K295" s="6" t="str">
        <f>IF($C295="","",SUMIFS(Chicks!$N:$N,Chicks!$F:$F,$C295,Chicks!$G:$G,$D295))</f>
        <v/>
      </c>
      <c r="L295" s="6" t="str">
        <f>IF($C295="","",SUMIFS(Chicks!$O:$O,Chicks!$F:$F,$C295,Chicks!$G:$G,$D295))</f>
        <v/>
      </c>
      <c r="M295" s="6" t="str">
        <f>IF($C295="","",SUMIFS(Chicks!$P:$P,Chicks!$F:$F,$C295,Chicks!$G:$G,$D295))</f>
        <v/>
      </c>
      <c r="N295" s="6" t="str">
        <f t="shared" si="5"/>
        <v/>
      </c>
      <c r="O295" s="6" t="e">
        <f t="shared" ca="1" si="6"/>
        <v>#NAME?</v>
      </c>
      <c r="P295" s="6" t="str">
        <f t="shared" si="7"/>
        <v/>
      </c>
    </row>
    <row r="296" spans="1:16" ht="14.25" customHeight="1" x14ac:dyDescent="0.3">
      <c r="A296" s="4"/>
      <c r="B296" s="4"/>
      <c r="C296" s="4" t="str">
        <f t="shared" si="8"/>
        <v/>
      </c>
      <c r="D296" s="4" t="str">
        <f t="shared" si="9"/>
        <v/>
      </c>
      <c r="E296" s="4"/>
      <c r="F296" s="6" t="str">
        <f>IF($C296="","",COUNTIFS(Chicks!$F:$F,$C296,Chicks!$G:$G,$D296))</f>
        <v/>
      </c>
      <c r="G296" s="6" t="str">
        <f>IF($C296="","",COUNTIFS(Chicks!$F:$F,$C296,Chicks!$G:$G,$D296,Chicks!$I:$I,"Yes"))</f>
        <v/>
      </c>
      <c r="H296" s="6" t="str">
        <f>IF($C296="","",SUMIFS(Chicks!$J:$J,Chicks!$F:$F,$C296,Chicks!$G:$G,$D296))</f>
        <v/>
      </c>
      <c r="I296" s="6" t="str">
        <f>IF($C296="","",COUNTIFS(Chicks!$F:$F,$C296,Chicks!$G:$G,$D296,Chicks!$I:$I,"No"))</f>
        <v/>
      </c>
      <c r="J296" s="6" t="str">
        <f>IF($C296="","",IFERROR(AVERAGEIFS(Chicks!$M:$M,Chicks!$F:$F,$C296,Chicks!$G:$G,$D296),""))</f>
        <v/>
      </c>
      <c r="K296" s="6" t="str">
        <f>IF($C296="","",SUMIFS(Chicks!$N:$N,Chicks!$F:$F,$C296,Chicks!$G:$G,$D296))</f>
        <v/>
      </c>
      <c r="L296" s="6" t="str">
        <f>IF($C296="","",SUMIFS(Chicks!$O:$O,Chicks!$F:$F,$C296,Chicks!$G:$G,$D296))</f>
        <v/>
      </c>
      <c r="M296" s="6" t="str">
        <f>IF($C296="","",SUMIFS(Chicks!$P:$P,Chicks!$F:$F,$C296,Chicks!$G:$G,$D296))</f>
        <v/>
      </c>
      <c r="N296" s="6" t="str">
        <f t="shared" si="5"/>
        <v/>
      </c>
      <c r="O296" s="6" t="e">
        <f t="shared" ca="1" si="6"/>
        <v>#NAME?</v>
      </c>
      <c r="P296" s="6" t="str">
        <f t="shared" si="7"/>
        <v/>
      </c>
    </row>
    <row r="297" spans="1:16" ht="14.25" customHeight="1" x14ac:dyDescent="0.3">
      <c r="A297" s="4"/>
      <c r="B297" s="4"/>
      <c r="C297" s="4" t="str">
        <f t="shared" si="8"/>
        <v/>
      </c>
      <c r="D297" s="4" t="str">
        <f t="shared" si="9"/>
        <v/>
      </c>
      <c r="E297" s="4"/>
      <c r="F297" s="6" t="str">
        <f>IF($C297="","",COUNTIFS(Chicks!$F:$F,$C297,Chicks!$G:$G,$D297))</f>
        <v/>
      </c>
      <c r="G297" s="6" t="str">
        <f>IF($C297="","",COUNTIFS(Chicks!$F:$F,$C297,Chicks!$G:$G,$D297,Chicks!$I:$I,"Yes"))</f>
        <v/>
      </c>
      <c r="H297" s="6" t="str">
        <f>IF($C297="","",SUMIFS(Chicks!$J:$J,Chicks!$F:$F,$C297,Chicks!$G:$G,$D297))</f>
        <v/>
      </c>
      <c r="I297" s="6" t="str">
        <f>IF($C297="","",COUNTIFS(Chicks!$F:$F,$C297,Chicks!$G:$G,$D297,Chicks!$I:$I,"No"))</f>
        <v/>
      </c>
      <c r="J297" s="6" t="str">
        <f>IF($C297="","",IFERROR(AVERAGEIFS(Chicks!$M:$M,Chicks!$F:$F,$C297,Chicks!$G:$G,$D297),""))</f>
        <v/>
      </c>
      <c r="K297" s="6" t="str">
        <f>IF($C297="","",SUMIFS(Chicks!$N:$N,Chicks!$F:$F,$C297,Chicks!$G:$G,$D297))</f>
        <v/>
      </c>
      <c r="L297" s="6" t="str">
        <f>IF($C297="","",SUMIFS(Chicks!$O:$O,Chicks!$F:$F,$C297,Chicks!$G:$G,$D297))</f>
        <v/>
      </c>
      <c r="M297" s="6" t="str">
        <f>IF($C297="","",SUMIFS(Chicks!$P:$P,Chicks!$F:$F,$C297,Chicks!$G:$G,$D297))</f>
        <v/>
      </c>
      <c r="N297" s="6" t="str">
        <f t="shared" si="5"/>
        <v/>
      </c>
      <c r="O297" s="6" t="e">
        <f t="shared" ca="1" si="6"/>
        <v>#NAME?</v>
      </c>
      <c r="P297" s="6" t="str">
        <f t="shared" si="7"/>
        <v/>
      </c>
    </row>
    <row r="298" spans="1:16" ht="14.25" customHeight="1" x14ac:dyDescent="0.3">
      <c r="A298" s="4"/>
      <c r="B298" s="4"/>
      <c r="C298" s="4" t="str">
        <f t="shared" si="8"/>
        <v/>
      </c>
      <c r="D298" s="4" t="str">
        <f t="shared" si="9"/>
        <v/>
      </c>
      <c r="E298" s="4"/>
      <c r="F298" s="6" t="str">
        <f>IF($C298="","",COUNTIFS(Chicks!$F:$F,$C298,Chicks!$G:$G,$D298))</f>
        <v/>
      </c>
      <c r="G298" s="6" t="str">
        <f>IF($C298="","",COUNTIFS(Chicks!$F:$F,$C298,Chicks!$G:$G,$D298,Chicks!$I:$I,"Yes"))</f>
        <v/>
      </c>
      <c r="H298" s="6" t="str">
        <f>IF($C298="","",SUMIFS(Chicks!$J:$J,Chicks!$F:$F,$C298,Chicks!$G:$G,$D298))</f>
        <v/>
      </c>
      <c r="I298" s="6" t="str">
        <f>IF($C298="","",COUNTIFS(Chicks!$F:$F,$C298,Chicks!$G:$G,$D298,Chicks!$I:$I,"No"))</f>
        <v/>
      </c>
      <c r="J298" s="6" t="str">
        <f>IF($C298="","",IFERROR(AVERAGEIFS(Chicks!$M:$M,Chicks!$F:$F,$C298,Chicks!$G:$G,$D298),""))</f>
        <v/>
      </c>
      <c r="K298" s="6" t="str">
        <f>IF($C298="","",SUMIFS(Chicks!$N:$N,Chicks!$F:$F,$C298,Chicks!$G:$G,$D298))</f>
        <v/>
      </c>
      <c r="L298" s="6" t="str">
        <f>IF($C298="","",SUMIFS(Chicks!$O:$O,Chicks!$F:$F,$C298,Chicks!$G:$G,$D298))</f>
        <v/>
      </c>
      <c r="M298" s="6" t="str">
        <f>IF($C298="","",SUMIFS(Chicks!$P:$P,Chicks!$F:$F,$C298,Chicks!$G:$G,$D298))</f>
        <v/>
      </c>
      <c r="N298" s="6" t="str">
        <f t="shared" si="5"/>
        <v/>
      </c>
      <c r="O298" s="6" t="e">
        <f t="shared" ca="1" si="6"/>
        <v>#NAME?</v>
      </c>
      <c r="P298" s="6" t="str">
        <f t="shared" si="7"/>
        <v/>
      </c>
    </row>
    <row r="299" spans="1:16" ht="14.25" customHeight="1" x14ac:dyDescent="0.3">
      <c r="A299" s="4"/>
      <c r="B299" s="4"/>
      <c r="C299" s="4" t="str">
        <f t="shared" si="8"/>
        <v/>
      </c>
      <c r="D299" s="4" t="str">
        <f t="shared" si="9"/>
        <v/>
      </c>
      <c r="E299" s="4"/>
      <c r="F299" s="6" t="str">
        <f>IF($C299="","",COUNTIFS(Chicks!$F:$F,$C299,Chicks!$G:$G,$D299))</f>
        <v/>
      </c>
      <c r="G299" s="6" t="str">
        <f>IF($C299="","",COUNTIFS(Chicks!$F:$F,$C299,Chicks!$G:$G,$D299,Chicks!$I:$I,"Yes"))</f>
        <v/>
      </c>
      <c r="H299" s="6" t="str">
        <f>IF($C299="","",SUMIFS(Chicks!$J:$J,Chicks!$F:$F,$C299,Chicks!$G:$G,$D299))</f>
        <v/>
      </c>
      <c r="I299" s="6" t="str">
        <f>IF($C299="","",COUNTIFS(Chicks!$F:$F,$C299,Chicks!$G:$G,$D299,Chicks!$I:$I,"No"))</f>
        <v/>
      </c>
      <c r="J299" s="6" t="str">
        <f>IF($C299="","",IFERROR(AVERAGEIFS(Chicks!$M:$M,Chicks!$F:$F,$C299,Chicks!$G:$G,$D299),""))</f>
        <v/>
      </c>
      <c r="K299" s="6" t="str">
        <f>IF($C299="","",SUMIFS(Chicks!$N:$N,Chicks!$F:$F,$C299,Chicks!$G:$G,$D299))</f>
        <v/>
      </c>
      <c r="L299" s="6" t="str">
        <f>IF($C299="","",SUMIFS(Chicks!$O:$O,Chicks!$F:$F,$C299,Chicks!$G:$G,$D299))</f>
        <v/>
      </c>
      <c r="M299" s="6" t="str">
        <f>IF($C299="","",SUMIFS(Chicks!$P:$P,Chicks!$F:$F,$C299,Chicks!$G:$G,$D299))</f>
        <v/>
      </c>
      <c r="N299" s="6" t="str">
        <f t="shared" si="5"/>
        <v/>
      </c>
      <c r="O299" s="6" t="e">
        <f t="shared" ca="1" si="6"/>
        <v>#NAME?</v>
      </c>
      <c r="P299" s="6" t="str">
        <f t="shared" si="7"/>
        <v/>
      </c>
    </row>
    <row r="300" spans="1:16" ht="14.25" customHeight="1" x14ac:dyDescent="0.3">
      <c r="A300" s="4"/>
      <c r="B300" s="4"/>
      <c r="C300" s="4" t="str">
        <f t="shared" si="8"/>
        <v/>
      </c>
      <c r="D300" s="4" t="str">
        <f t="shared" si="9"/>
        <v/>
      </c>
      <c r="E300" s="4"/>
      <c r="F300" s="6" t="str">
        <f>IF($C300="","",COUNTIFS(Chicks!$F:$F,$C300,Chicks!$G:$G,$D300))</f>
        <v/>
      </c>
      <c r="G300" s="6" t="str">
        <f>IF($C300="","",COUNTIFS(Chicks!$F:$F,$C300,Chicks!$G:$G,$D300,Chicks!$I:$I,"Yes"))</f>
        <v/>
      </c>
      <c r="H300" s="6" t="str">
        <f>IF($C300="","",SUMIFS(Chicks!$J:$J,Chicks!$F:$F,$C300,Chicks!$G:$G,$D300))</f>
        <v/>
      </c>
      <c r="I300" s="6" t="str">
        <f>IF($C300="","",COUNTIFS(Chicks!$F:$F,$C300,Chicks!$G:$G,$D300,Chicks!$I:$I,"No"))</f>
        <v/>
      </c>
      <c r="J300" s="6" t="str">
        <f>IF($C300="","",IFERROR(AVERAGEIFS(Chicks!$M:$M,Chicks!$F:$F,$C300,Chicks!$G:$G,$D300),""))</f>
        <v/>
      </c>
      <c r="K300" s="6" t="str">
        <f>IF($C300="","",SUMIFS(Chicks!$N:$N,Chicks!$F:$F,$C300,Chicks!$G:$G,$D300))</f>
        <v/>
      </c>
      <c r="L300" s="6" t="str">
        <f>IF($C300="","",SUMIFS(Chicks!$O:$O,Chicks!$F:$F,$C300,Chicks!$G:$G,$D300))</f>
        <v/>
      </c>
      <c r="M300" s="6" t="str">
        <f>IF($C300="","",SUMIFS(Chicks!$P:$P,Chicks!$F:$F,$C300,Chicks!$G:$G,$D300))</f>
        <v/>
      </c>
      <c r="N300" s="6" t="str">
        <f t="shared" si="5"/>
        <v/>
      </c>
      <c r="O300" s="6" t="e">
        <f t="shared" ca="1" si="6"/>
        <v>#NAME?</v>
      </c>
      <c r="P300" s="6" t="str">
        <f t="shared" si="7"/>
        <v/>
      </c>
    </row>
    <row r="301" spans="1:16" ht="14.25" customHeight="1" x14ac:dyDescent="0.3">
      <c r="A301" s="4"/>
      <c r="B301" s="4"/>
      <c r="C301" s="4" t="str">
        <f t="shared" si="8"/>
        <v/>
      </c>
      <c r="D301" s="4" t="str">
        <f t="shared" si="9"/>
        <v/>
      </c>
      <c r="E301" s="4"/>
      <c r="F301" s="6" t="str">
        <f>IF($C301="","",COUNTIFS(Chicks!$F:$F,$C301,Chicks!$G:$G,$D301))</f>
        <v/>
      </c>
      <c r="G301" s="6" t="str">
        <f>IF($C301="","",COUNTIFS(Chicks!$F:$F,$C301,Chicks!$G:$G,$D301,Chicks!$I:$I,"Yes"))</f>
        <v/>
      </c>
      <c r="H301" s="6" t="str">
        <f>IF($C301="","",SUMIFS(Chicks!$J:$J,Chicks!$F:$F,$C301,Chicks!$G:$G,$D301))</f>
        <v/>
      </c>
      <c r="I301" s="6" t="str">
        <f>IF($C301="","",COUNTIFS(Chicks!$F:$F,$C301,Chicks!$G:$G,$D301,Chicks!$I:$I,"No"))</f>
        <v/>
      </c>
      <c r="J301" s="6" t="str">
        <f>IF($C301="","",IFERROR(AVERAGEIFS(Chicks!$M:$M,Chicks!$F:$F,$C301,Chicks!$G:$G,$D301),""))</f>
        <v/>
      </c>
      <c r="K301" s="6" t="str">
        <f>IF($C301="","",SUMIFS(Chicks!$N:$N,Chicks!$F:$F,$C301,Chicks!$G:$G,$D301))</f>
        <v/>
      </c>
      <c r="L301" s="6" t="str">
        <f>IF($C301="","",SUMIFS(Chicks!$O:$O,Chicks!$F:$F,$C301,Chicks!$G:$G,$D301))</f>
        <v/>
      </c>
      <c r="M301" s="6" t="str">
        <f>IF($C301="","",SUMIFS(Chicks!$P:$P,Chicks!$F:$F,$C301,Chicks!$G:$G,$D301))</f>
        <v/>
      </c>
      <c r="N301" s="6" t="str">
        <f t="shared" si="5"/>
        <v/>
      </c>
      <c r="O301" s="6" t="e">
        <f t="shared" ca="1" si="6"/>
        <v>#NAME?</v>
      </c>
      <c r="P301" s="6" t="str">
        <f t="shared" si="7"/>
        <v/>
      </c>
    </row>
    <row r="302" spans="1:16" ht="14.25" customHeight="1" x14ac:dyDescent="0.3">
      <c r="A302" s="4"/>
      <c r="B302" s="4"/>
      <c r="C302" s="4" t="str">
        <f t="shared" si="8"/>
        <v/>
      </c>
      <c r="D302" s="4" t="str">
        <f t="shared" si="9"/>
        <v/>
      </c>
      <c r="E302" s="4"/>
      <c r="F302" s="6" t="str">
        <f>IF($C302="","",COUNTIFS(Chicks!$F:$F,$C302,Chicks!$G:$G,$D302))</f>
        <v/>
      </c>
      <c r="G302" s="6" t="str">
        <f>IF($C302="","",COUNTIFS(Chicks!$F:$F,$C302,Chicks!$G:$G,$D302,Chicks!$I:$I,"Yes"))</f>
        <v/>
      </c>
      <c r="H302" s="6" t="str">
        <f>IF($C302="","",SUMIFS(Chicks!$J:$J,Chicks!$F:$F,$C302,Chicks!$G:$G,$D302))</f>
        <v/>
      </c>
      <c r="I302" s="6" t="str">
        <f>IF($C302="","",COUNTIFS(Chicks!$F:$F,$C302,Chicks!$G:$G,$D302,Chicks!$I:$I,"No"))</f>
        <v/>
      </c>
      <c r="J302" s="6" t="str">
        <f>IF($C302="","",IFERROR(AVERAGEIFS(Chicks!$M:$M,Chicks!$F:$F,$C302,Chicks!$G:$G,$D302),""))</f>
        <v/>
      </c>
      <c r="K302" s="6" t="str">
        <f>IF($C302="","",SUMIFS(Chicks!$N:$N,Chicks!$F:$F,$C302,Chicks!$G:$G,$D302))</f>
        <v/>
      </c>
      <c r="L302" s="6" t="str">
        <f>IF($C302="","",SUMIFS(Chicks!$O:$O,Chicks!$F:$F,$C302,Chicks!$G:$G,$D302))</f>
        <v/>
      </c>
      <c r="M302" s="6" t="str">
        <f>IF($C302="","",SUMIFS(Chicks!$P:$P,Chicks!$F:$F,$C302,Chicks!$G:$G,$D302))</f>
        <v/>
      </c>
      <c r="N302" s="6" t="str">
        <f t="shared" si="5"/>
        <v/>
      </c>
      <c r="O302" s="6" t="e">
        <f t="shared" ca="1" si="6"/>
        <v>#NAME?</v>
      </c>
      <c r="P302" s="6" t="str">
        <f t="shared" si="7"/>
        <v/>
      </c>
    </row>
    <row r="303" spans="1:16" ht="14.25" customHeight="1" x14ac:dyDescent="0.3">
      <c r="A303" s="4"/>
      <c r="B303" s="4"/>
      <c r="C303" s="4" t="str">
        <f t="shared" si="8"/>
        <v/>
      </c>
      <c r="D303" s="4" t="str">
        <f t="shared" si="9"/>
        <v/>
      </c>
      <c r="E303" s="4"/>
      <c r="F303" s="6" t="str">
        <f>IF($C303="","",COUNTIFS(Chicks!$F:$F,$C303,Chicks!$G:$G,$D303))</f>
        <v/>
      </c>
      <c r="G303" s="6" t="str">
        <f>IF($C303="","",COUNTIFS(Chicks!$F:$F,$C303,Chicks!$G:$G,$D303,Chicks!$I:$I,"Yes"))</f>
        <v/>
      </c>
      <c r="H303" s="6" t="str">
        <f>IF($C303="","",SUMIFS(Chicks!$J:$J,Chicks!$F:$F,$C303,Chicks!$G:$G,$D303))</f>
        <v/>
      </c>
      <c r="I303" s="6" t="str">
        <f>IF($C303="","",COUNTIFS(Chicks!$F:$F,$C303,Chicks!$G:$G,$D303,Chicks!$I:$I,"No"))</f>
        <v/>
      </c>
      <c r="J303" s="6" t="str">
        <f>IF($C303="","",IFERROR(AVERAGEIFS(Chicks!$M:$M,Chicks!$F:$F,$C303,Chicks!$G:$G,$D303),""))</f>
        <v/>
      </c>
      <c r="K303" s="6" t="str">
        <f>IF($C303="","",SUMIFS(Chicks!$N:$N,Chicks!$F:$F,$C303,Chicks!$G:$G,$D303))</f>
        <v/>
      </c>
      <c r="L303" s="6" t="str">
        <f>IF($C303="","",SUMIFS(Chicks!$O:$O,Chicks!$F:$F,$C303,Chicks!$G:$G,$D303))</f>
        <v/>
      </c>
      <c r="M303" s="6" t="str">
        <f>IF($C303="","",SUMIFS(Chicks!$P:$P,Chicks!$F:$F,$C303,Chicks!$G:$G,$D303))</f>
        <v/>
      </c>
      <c r="N303" s="6" t="str">
        <f t="shared" si="5"/>
        <v/>
      </c>
      <c r="O303" s="6" t="e">
        <f t="shared" ca="1" si="6"/>
        <v>#NAME?</v>
      </c>
      <c r="P303" s="6" t="str">
        <f t="shared" si="7"/>
        <v/>
      </c>
    </row>
    <row r="304" spans="1:16" ht="14.25" customHeight="1" x14ac:dyDescent="0.3">
      <c r="A304" s="4"/>
      <c r="B304" s="4"/>
      <c r="C304" s="4" t="str">
        <f t="shared" si="8"/>
        <v/>
      </c>
      <c r="D304" s="4" t="str">
        <f t="shared" si="9"/>
        <v/>
      </c>
      <c r="E304" s="4"/>
      <c r="F304" s="6" t="str">
        <f>IF($C304="","",COUNTIFS(Chicks!$F:$F,$C304,Chicks!$G:$G,$D304))</f>
        <v/>
      </c>
      <c r="G304" s="6" t="str">
        <f>IF($C304="","",COUNTIFS(Chicks!$F:$F,$C304,Chicks!$G:$G,$D304,Chicks!$I:$I,"Yes"))</f>
        <v/>
      </c>
      <c r="H304" s="6" t="str">
        <f>IF($C304="","",SUMIFS(Chicks!$J:$J,Chicks!$F:$F,$C304,Chicks!$G:$G,$D304))</f>
        <v/>
      </c>
      <c r="I304" s="6" t="str">
        <f>IF($C304="","",COUNTIFS(Chicks!$F:$F,$C304,Chicks!$G:$G,$D304,Chicks!$I:$I,"No"))</f>
        <v/>
      </c>
      <c r="J304" s="6" t="str">
        <f>IF($C304="","",IFERROR(AVERAGEIFS(Chicks!$M:$M,Chicks!$F:$F,$C304,Chicks!$G:$G,$D304),""))</f>
        <v/>
      </c>
      <c r="K304" s="6" t="str">
        <f>IF($C304="","",SUMIFS(Chicks!$N:$N,Chicks!$F:$F,$C304,Chicks!$G:$G,$D304))</f>
        <v/>
      </c>
      <c r="L304" s="6" t="str">
        <f>IF($C304="","",SUMIFS(Chicks!$O:$O,Chicks!$F:$F,$C304,Chicks!$G:$G,$D304))</f>
        <v/>
      </c>
      <c r="M304" s="6" t="str">
        <f>IF($C304="","",SUMIFS(Chicks!$P:$P,Chicks!$F:$F,$C304,Chicks!$G:$G,$D304))</f>
        <v/>
      </c>
      <c r="N304" s="6" t="str">
        <f t="shared" si="5"/>
        <v/>
      </c>
      <c r="O304" s="6" t="e">
        <f t="shared" ca="1" si="6"/>
        <v>#NAME?</v>
      </c>
      <c r="P304" s="6" t="str">
        <f t="shared" si="7"/>
        <v/>
      </c>
    </row>
    <row r="305" spans="1:16" ht="14.25" customHeight="1" x14ac:dyDescent="0.3">
      <c r="A305" s="4"/>
      <c r="B305" s="4"/>
      <c r="C305" s="4" t="str">
        <f t="shared" si="8"/>
        <v/>
      </c>
      <c r="D305" s="4" t="str">
        <f t="shared" si="9"/>
        <v/>
      </c>
      <c r="E305" s="4"/>
      <c r="F305" s="6" t="str">
        <f>IF($C305="","",COUNTIFS(Chicks!$F:$F,$C305,Chicks!$G:$G,$D305))</f>
        <v/>
      </c>
      <c r="G305" s="6" t="str">
        <f>IF($C305="","",COUNTIFS(Chicks!$F:$F,$C305,Chicks!$G:$G,$D305,Chicks!$I:$I,"Yes"))</f>
        <v/>
      </c>
      <c r="H305" s="6" t="str">
        <f>IF($C305="","",SUMIFS(Chicks!$J:$J,Chicks!$F:$F,$C305,Chicks!$G:$G,$D305))</f>
        <v/>
      </c>
      <c r="I305" s="6" t="str">
        <f>IF($C305="","",COUNTIFS(Chicks!$F:$F,$C305,Chicks!$G:$G,$D305,Chicks!$I:$I,"No"))</f>
        <v/>
      </c>
      <c r="J305" s="6" t="str">
        <f>IF($C305="","",IFERROR(AVERAGEIFS(Chicks!$M:$M,Chicks!$F:$F,$C305,Chicks!$G:$G,$D305),""))</f>
        <v/>
      </c>
      <c r="K305" s="6" t="str">
        <f>IF($C305="","",SUMIFS(Chicks!$N:$N,Chicks!$F:$F,$C305,Chicks!$G:$G,$D305))</f>
        <v/>
      </c>
      <c r="L305" s="6" t="str">
        <f>IF($C305="","",SUMIFS(Chicks!$O:$O,Chicks!$F:$F,$C305,Chicks!$G:$G,$D305))</f>
        <v/>
      </c>
      <c r="M305" s="6" t="str">
        <f>IF($C305="","",SUMIFS(Chicks!$P:$P,Chicks!$F:$F,$C305,Chicks!$G:$G,$D305))</f>
        <v/>
      </c>
      <c r="N305" s="6" t="str">
        <f t="shared" si="5"/>
        <v/>
      </c>
      <c r="O305" s="6" t="e">
        <f t="shared" ca="1" si="6"/>
        <v>#NAME?</v>
      </c>
      <c r="P305" s="6" t="str">
        <f t="shared" si="7"/>
        <v/>
      </c>
    </row>
    <row r="306" spans="1:16" ht="14.25" customHeight="1" x14ac:dyDescent="0.3">
      <c r="A306" s="4"/>
      <c r="B306" s="4"/>
      <c r="C306" s="4" t="str">
        <f t="shared" si="8"/>
        <v/>
      </c>
      <c r="D306" s="4" t="str">
        <f t="shared" si="9"/>
        <v/>
      </c>
      <c r="E306" s="4"/>
      <c r="F306" s="6" t="str">
        <f>IF($C306="","",COUNTIFS(Chicks!$F:$F,$C306,Chicks!$G:$G,$D306))</f>
        <v/>
      </c>
      <c r="G306" s="6" t="str">
        <f>IF($C306="","",COUNTIFS(Chicks!$F:$F,$C306,Chicks!$G:$G,$D306,Chicks!$I:$I,"Yes"))</f>
        <v/>
      </c>
      <c r="H306" s="6" t="str">
        <f>IF($C306="","",SUMIFS(Chicks!$J:$J,Chicks!$F:$F,$C306,Chicks!$G:$G,$D306))</f>
        <v/>
      </c>
      <c r="I306" s="6" t="str">
        <f>IF($C306="","",COUNTIFS(Chicks!$F:$F,$C306,Chicks!$G:$G,$D306,Chicks!$I:$I,"No"))</f>
        <v/>
      </c>
      <c r="J306" s="6" t="str">
        <f>IF($C306="","",IFERROR(AVERAGEIFS(Chicks!$M:$M,Chicks!$F:$F,$C306,Chicks!$G:$G,$D306),""))</f>
        <v/>
      </c>
      <c r="K306" s="6" t="str">
        <f>IF($C306="","",SUMIFS(Chicks!$N:$N,Chicks!$F:$F,$C306,Chicks!$G:$G,$D306))</f>
        <v/>
      </c>
      <c r="L306" s="6" t="str">
        <f>IF($C306="","",SUMIFS(Chicks!$O:$O,Chicks!$F:$F,$C306,Chicks!$G:$G,$D306))</f>
        <v/>
      </c>
      <c r="M306" s="6" t="str">
        <f>IF($C306="","",SUMIFS(Chicks!$P:$P,Chicks!$F:$F,$C306,Chicks!$G:$G,$D306))</f>
        <v/>
      </c>
      <c r="N306" s="6" t="str">
        <f t="shared" si="5"/>
        <v/>
      </c>
      <c r="O306" s="6" t="e">
        <f t="shared" ca="1" si="6"/>
        <v>#NAME?</v>
      </c>
      <c r="P306" s="6" t="str">
        <f t="shared" si="7"/>
        <v/>
      </c>
    </row>
    <row r="307" spans="1:16" ht="14.25" customHeight="1" x14ac:dyDescent="0.3">
      <c r="A307" s="4"/>
      <c r="B307" s="4"/>
      <c r="C307" s="4" t="str">
        <f t="shared" si="8"/>
        <v/>
      </c>
      <c r="D307" s="4" t="str">
        <f t="shared" si="9"/>
        <v/>
      </c>
      <c r="E307" s="4"/>
      <c r="F307" s="6" t="str">
        <f>IF($C307="","",COUNTIFS(Chicks!$F:$F,$C307,Chicks!$G:$G,$D307))</f>
        <v/>
      </c>
      <c r="G307" s="6" t="str">
        <f>IF($C307="","",COUNTIFS(Chicks!$F:$F,$C307,Chicks!$G:$G,$D307,Chicks!$I:$I,"Yes"))</f>
        <v/>
      </c>
      <c r="H307" s="6" t="str">
        <f>IF($C307="","",SUMIFS(Chicks!$J:$J,Chicks!$F:$F,$C307,Chicks!$G:$G,$D307))</f>
        <v/>
      </c>
      <c r="I307" s="6" t="str">
        <f>IF($C307="","",COUNTIFS(Chicks!$F:$F,$C307,Chicks!$G:$G,$D307,Chicks!$I:$I,"No"))</f>
        <v/>
      </c>
      <c r="J307" s="6" t="str">
        <f>IF($C307="","",IFERROR(AVERAGEIFS(Chicks!$M:$M,Chicks!$F:$F,$C307,Chicks!$G:$G,$D307),""))</f>
        <v/>
      </c>
      <c r="K307" s="6" t="str">
        <f>IF($C307="","",SUMIFS(Chicks!$N:$N,Chicks!$F:$F,$C307,Chicks!$G:$G,$D307))</f>
        <v/>
      </c>
      <c r="L307" s="6" t="str">
        <f>IF($C307="","",SUMIFS(Chicks!$O:$O,Chicks!$F:$F,$C307,Chicks!$G:$G,$D307))</f>
        <v/>
      </c>
      <c r="M307" s="6" t="str">
        <f>IF($C307="","",SUMIFS(Chicks!$P:$P,Chicks!$F:$F,$C307,Chicks!$G:$G,$D307))</f>
        <v/>
      </c>
      <c r="N307" s="6" t="str">
        <f t="shared" si="5"/>
        <v/>
      </c>
      <c r="O307" s="6" t="e">
        <f t="shared" ca="1" si="6"/>
        <v>#NAME?</v>
      </c>
      <c r="P307" s="6" t="str">
        <f t="shared" si="7"/>
        <v/>
      </c>
    </row>
    <row r="308" spans="1:16" ht="14.25" customHeight="1" x14ac:dyDescent="0.3">
      <c r="A308" s="4"/>
      <c r="B308" s="4"/>
      <c r="C308" s="4" t="str">
        <f t="shared" si="8"/>
        <v/>
      </c>
      <c r="D308" s="4" t="str">
        <f t="shared" si="9"/>
        <v/>
      </c>
      <c r="E308" s="4"/>
      <c r="F308" s="6" t="str">
        <f>IF($C308="","",COUNTIFS(Chicks!$F:$F,$C308,Chicks!$G:$G,$D308))</f>
        <v/>
      </c>
      <c r="G308" s="6" t="str">
        <f>IF($C308="","",COUNTIFS(Chicks!$F:$F,$C308,Chicks!$G:$G,$D308,Chicks!$I:$I,"Yes"))</f>
        <v/>
      </c>
      <c r="H308" s="6" t="str">
        <f>IF($C308="","",SUMIFS(Chicks!$J:$J,Chicks!$F:$F,$C308,Chicks!$G:$G,$D308))</f>
        <v/>
      </c>
      <c r="I308" s="6" t="str">
        <f>IF($C308="","",COUNTIFS(Chicks!$F:$F,$C308,Chicks!$G:$G,$D308,Chicks!$I:$I,"No"))</f>
        <v/>
      </c>
      <c r="J308" s="6" t="str">
        <f>IF($C308="","",IFERROR(AVERAGEIFS(Chicks!$M:$M,Chicks!$F:$F,$C308,Chicks!$G:$G,$D308),""))</f>
        <v/>
      </c>
      <c r="K308" s="6" t="str">
        <f>IF($C308="","",SUMIFS(Chicks!$N:$N,Chicks!$F:$F,$C308,Chicks!$G:$G,$D308))</f>
        <v/>
      </c>
      <c r="L308" s="6" t="str">
        <f>IF($C308="","",SUMIFS(Chicks!$O:$O,Chicks!$F:$F,$C308,Chicks!$G:$G,$D308))</f>
        <v/>
      </c>
      <c r="M308" s="6" t="str">
        <f>IF($C308="","",SUMIFS(Chicks!$P:$P,Chicks!$F:$F,$C308,Chicks!$G:$G,$D308))</f>
        <v/>
      </c>
      <c r="N308" s="6" t="str">
        <f t="shared" si="5"/>
        <v/>
      </c>
      <c r="O308" s="6" t="e">
        <f t="shared" ca="1" si="6"/>
        <v>#NAME?</v>
      </c>
      <c r="P308" s="6" t="str">
        <f t="shared" si="7"/>
        <v/>
      </c>
    </row>
    <row r="309" spans="1:16" ht="14.25" customHeight="1" x14ac:dyDescent="0.3">
      <c r="A309" s="4"/>
      <c r="B309" s="4"/>
      <c r="C309" s="4" t="str">
        <f t="shared" si="8"/>
        <v/>
      </c>
      <c r="D309" s="4" t="str">
        <f t="shared" si="9"/>
        <v/>
      </c>
      <c r="E309" s="4"/>
      <c r="F309" s="6" t="str">
        <f>IF($C309="","",COUNTIFS(Chicks!$F:$F,$C309,Chicks!$G:$G,$D309))</f>
        <v/>
      </c>
      <c r="G309" s="6" t="str">
        <f>IF($C309="","",COUNTIFS(Chicks!$F:$F,$C309,Chicks!$G:$G,$D309,Chicks!$I:$I,"Yes"))</f>
        <v/>
      </c>
      <c r="H309" s="6" t="str">
        <f>IF($C309="","",SUMIFS(Chicks!$J:$J,Chicks!$F:$F,$C309,Chicks!$G:$G,$D309))</f>
        <v/>
      </c>
      <c r="I309" s="6" t="str">
        <f>IF($C309="","",COUNTIFS(Chicks!$F:$F,$C309,Chicks!$G:$G,$D309,Chicks!$I:$I,"No"))</f>
        <v/>
      </c>
      <c r="J309" s="6" t="str">
        <f>IF($C309="","",IFERROR(AVERAGEIFS(Chicks!$M:$M,Chicks!$F:$F,$C309,Chicks!$G:$G,$D309),""))</f>
        <v/>
      </c>
      <c r="K309" s="6" t="str">
        <f>IF($C309="","",SUMIFS(Chicks!$N:$N,Chicks!$F:$F,$C309,Chicks!$G:$G,$D309))</f>
        <v/>
      </c>
      <c r="L309" s="6" t="str">
        <f>IF($C309="","",SUMIFS(Chicks!$O:$O,Chicks!$F:$F,$C309,Chicks!$G:$G,$D309))</f>
        <v/>
      </c>
      <c r="M309" s="6" t="str">
        <f>IF($C309="","",SUMIFS(Chicks!$P:$P,Chicks!$F:$F,$C309,Chicks!$G:$G,$D309))</f>
        <v/>
      </c>
      <c r="N309" s="6" t="str">
        <f t="shared" si="5"/>
        <v/>
      </c>
      <c r="O309" s="6" t="e">
        <f t="shared" ca="1" si="6"/>
        <v>#NAME?</v>
      </c>
      <c r="P309" s="6" t="str">
        <f t="shared" si="7"/>
        <v/>
      </c>
    </row>
    <row r="310" spans="1:16" ht="14.25" customHeight="1" x14ac:dyDescent="0.3">
      <c r="A310" s="4"/>
      <c r="B310" s="4"/>
      <c r="C310" s="4" t="str">
        <f t="shared" si="8"/>
        <v/>
      </c>
      <c r="D310" s="4" t="str">
        <f t="shared" si="9"/>
        <v/>
      </c>
      <c r="E310" s="4"/>
      <c r="F310" s="6" t="str">
        <f>IF($C310="","",COUNTIFS(Chicks!$F:$F,$C310,Chicks!$G:$G,$D310))</f>
        <v/>
      </c>
      <c r="G310" s="6" t="str">
        <f>IF($C310="","",COUNTIFS(Chicks!$F:$F,$C310,Chicks!$G:$G,$D310,Chicks!$I:$I,"Yes"))</f>
        <v/>
      </c>
      <c r="H310" s="6" t="str">
        <f>IF($C310="","",SUMIFS(Chicks!$J:$J,Chicks!$F:$F,$C310,Chicks!$G:$G,$D310))</f>
        <v/>
      </c>
      <c r="I310" s="6" t="str">
        <f>IF($C310="","",COUNTIFS(Chicks!$F:$F,$C310,Chicks!$G:$G,$D310,Chicks!$I:$I,"No"))</f>
        <v/>
      </c>
      <c r="J310" s="6" t="str">
        <f>IF($C310="","",IFERROR(AVERAGEIFS(Chicks!$M:$M,Chicks!$F:$F,$C310,Chicks!$G:$G,$D310),""))</f>
        <v/>
      </c>
      <c r="K310" s="6" t="str">
        <f>IF($C310="","",SUMIFS(Chicks!$N:$N,Chicks!$F:$F,$C310,Chicks!$G:$G,$D310))</f>
        <v/>
      </c>
      <c r="L310" s="6" t="str">
        <f>IF($C310="","",SUMIFS(Chicks!$O:$O,Chicks!$F:$F,$C310,Chicks!$G:$G,$D310))</f>
        <v/>
      </c>
      <c r="M310" s="6" t="str">
        <f>IF($C310="","",SUMIFS(Chicks!$P:$P,Chicks!$F:$F,$C310,Chicks!$G:$G,$D310))</f>
        <v/>
      </c>
      <c r="N310" s="6" t="str">
        <f t="shared" si="5"/>
        <v/>
      </c>
      <c r="O310" s="6" t="e">
        <f t="shared" ca="1" si="6"/>
        <v>#NAME?</v>
      </c>
      <c r="P310" s="6" t="str">
        <f t="shared" si="7"/>
        <v/>
      </c>
    </row>
    <row r="311" spans="1:16" ht="14.25" customHeight="1" x14ac:dyDescent="0.3">
      <c r="A311" s="4"/>
      <c r="B311" s="4"/>
      <c r="C311" s="4" t="str">
        <f t="shared" si="8"/>
        <v/>
      </c>
      <c r="D311" s="4" t="str">
        <f t="shared" si="9"/>
        <v/>
      </c>
      <c r="E311" s="4"/>
      <c r="F311" s="6" t="str">
        <f>IF($C311="","",COUNTIFS(Chicks!$F:$F,$C311,Chicks!$G:$G,$D311))</f>
        <v/>
      </c>
      <c r="G311" s="6" t="str">
        <f>IF($C311="","",COUNTIFS(Chicks!$F:$F,$C311,Chicks!$G:$G,$D311,Chicks!$I:$I,"Yes"))</f>
        <v/>
      </c>
      <c r="H311" s="6" t="str">
        <f>IF($C311="","",SUMIFS(Chicks!$J:$J,Chicks!$F:$F,$C311,Chicks!$G:$G,$D311))</f>
        <v/>
      </c>
      <c r="I311" s="6" t="str">
        <f>IF($C311="","",COUNTIFS(Chicks!$F:$F,$C311,Chicks!$G:$G,$D311,Chicks!$I:$I,"No"))</f>
        <v/>
      </c>
      <c r="J311" s="6" t="str">
        <f>IF($C311="","",IFERROR(AVERAGEIFS(Chicks!$M:$M,Chicks!$F:$F,$C311,Chicks!$G:$G,$D311),""))</f>
        <v/>
      </c>
      <c r="K311" s="6" t="str">
        <f>IF($C311="","",SUMIFS(Chicks!$N:$N,Chicks!$F:$F,$C311,Chicks!$G:$G,$D311))</f>
        <v/>
      </c>
      <c r="L311" s="6" t="str">
        <f>IF($C311="","",SUMIFS(Chicks!$O:$O,Chicks!$F:$F,$C311,Chicks!$G:$G,$D311))</f>
        <v/>
      </c>
      <c r="M311" s="6" t="str">
        <f>IF($C311="","",SUMIFS(Chicks!$P:$P,Chicks!$F:$F,$C311,Chicks!$G:$G,$D311))</f>
        <v/>
      </c>
      <c r="N311" s="6" t="str">
        <f t="shared" si="5"/>
        <v/>
      </c>
      <c r="O311" s="6" t="e">
        <f t="shared" ca="1" si="6"/>
        <v>#NAME?</v>
      </c>
      <c r="P311" s="6" t="str">
        <f t="shared" si="7"/>
        <v/>
      </c>
    </row>
    <row r="312" spans="1:16" ht="14.25" customHeight="1" x14ac:dyDescent="0.3">
      <c r="A312" s="4"/>
      <c r="B312" s="4"/>
      <c r="C312" s="4" t="str">
        <f t="shared" si="8"/>
        <v/>
      </c>
      <c r="D312" s="4" t="str">
        <f t="shared" si="9"/>
        <v/>
      </c>
      <c r="E312" s="4"/>
      <c r="F312" s="6" t="str">
        <f>IF($C312="","",COUNTIFS(Chicks!$F:$F,$C312,Chicks!$G:$G,$D312))</f>
        <v/>
      </c>
      <c r="G312" s="6" t="str">
        <f>IF($C312="","",COUNTIFS(Chicks!$F:$F,$C312,Chicks!$G:$G,$D312,Chicks!$I:$I,"Yes"))</f>
        <v/>
      </c>
      <c r="H312" s="6" t="str">
        <f>IF($C312="","",SUMIFS(Chicks!$J:$J,Chicks!$F:$F,$C312,Chicks!$G:$G,$D312))</f>
        <v/>
      </c>
      <c r="I312" s="6" t="str">
        <f>IF($C312="","",COUNTIFS(Chicks!$F:$F,$C312,Chicks!$G:$G,$D312,Chicks!$I:$I,"No"))</f>
        <v/>
      </c>
      <c r="J312" s="6" t="str">
        <f>IF($C312="","",IFERROR(AVERAGEIFS(Chicks!$M:$M,Chicks!$F:$F,$C312,Chicks!$G:$G,$D312),""))</f>
        <v/>
      </c>
      <c r="K312" s="6" t="str">
        <f>IF($C312="","",SUMIFS(Chicks!$N:$N,Chicks!$F:$F,$C312,Chicks!$G:$G,$D312))</f>
        <v/>
      </c>
      <c r="L312" s="6" t="str">
        <f>IF($C312="","",SUMIFS(Chicks!$O:$O,Chicks!$F:$F,$C312,Chicks!$G:$G,$D312))</f>
        <v/>
      </c>
      <c r="M312" s="6" t="str">
        <f>IF($C312="","",SUMIFS(Chicks!$P:$P,Chicks!$F:$F,$C312,Chicks!$G:$G,$D312))</f>
        <v/>
      </c>
      <c r="N312" s="6" t="str">
        <f t="shared" si="5"/>
        <v/>
      </c>
      <c r="O312" s="6" t="e">
        <f t="shared" ca="1" si="6"/>
        <v>#NAME?</v>
      </c>
      <c r="P312" s="6" t="str">
        <f t="shared" si="7"/>
        <v/>
      </c>
    </row>
    <row r="313" spans="1:16" ht="14.25" customHeight="1" x14ac:dyDescent="0.3">
      <c r="A313" s="4"/>
      <c r="B313" s="4"/>
      <c r="C313" s="4" t="str">
        <f t="shared" si="8"/>
        <v/>
      </c>
      <c r="D313" s="4" t="str">
        <f t="shared" si="9"/>
        <v/>
      </c>
      <c r="E313" s="4"/>
      <c r="F313" s="6" t="str">
        <f>IF($C313="","",COUNTIFS(Chicks!$F:$F,$C313,Chicks!$G:$G,$D313))</f>
        <v/>
      </c>
      <c r="G313" s="6" t="str">
        <f>IF($C313="","",COUNTIFS(Chicks!$F:$F,$C313,Chicks!$G:$G,$D313,Chicks!$I:$I,"Yes"))</f>
        <v/>
      </c>
      <c r="H313" s="6" t="str">
        <f>IF($C313="","",SUMIFS(Chicks!$J:$J,Chicks!$F:$F,$C313,Chicks!$G:$G,$D313))</f>
        <v/>
      </c>
      <c r="I313" s="6" t="str">
        <f>IF($C313="","",COUNTIFS(Chicks!$F:$F,$C313,Chicks!$G:$G,$D313,Chicks!$I:$I,"No"))</f>
        <v/>
      </c>
      <c r="J313" s="6" t="str">
        <f>IF($C313="","",IFERROR(AVERAGEIFS(Chicks!$M:$M,Chicks!$F:$F,$C313,Chicks!$G:$G,$D313),""))</f>
        <v/>
      </c>
      <c r="K313" s="6" t="str">
        <f>IF($C313="","",SUMIFS(Chicks!$N:$N,Chicks!$F:$F,$C313,Chicks!$G:$G,$D313))</f>
        <v/>
      </c>
      <c r="L313" s="6" t="str">
        <f>IF($C313="","",SUMIFS(Chicks!$O:$O,Chicks!$F:$F,$C313,Chicks!$G:$G,$D313))</f>
        <v/>
      </c>
      <c r="M313" s="6" t="str">
        <f>IF($C313="","",SUMIFS(Chicks!$P:$P,Chicks!$F:$F,$C313,Chicks!$G:$G,$D313))</f>
        <v/>
      </c>
      <c r="N313" s="6" t="str">
        <f t="shared" si="5"/>
        <v/>
      </c>
      <c r="O313" s="6" t="e">
        <f t="shared" ca="1" si="6"/>
        <v>#NAME?</v>
      </c>
      <c r="P313" s="6" t="str">
        <f t="shared" si="7"/>
        <v/>
      </c>
    </row>
    <row r="314" spans="1:16" ht="14.25" customHeight="1" x14ac:dyDescent="0.3">
      <c r="A314" s="4"/>
      <c r="B314" s="4"/>
      <c r="C314" s="4" t="str">
        <f t="shared" si="8"/>
        <v/>
      </c>
      <c r="D314" s="4" t="str">
        <f t="shared" si="9"/>
        <v/>
      </c>
      <c r="E314" s="4"/>
      <c r="F314" s="6" t="str">
        <f>IF($C314="","",COUNTIFS(Chicks!$F:$F,$C314,Chicks!$G:$G,$D314))</f>
        <v/>
      </c>
      <c r="G314" s="6" t="str">
        <f>IF($C314="","",COUNTIFS(Chicks!$F:$F,$C314,Chicks!$G:$G,$D314,Chicks!$I:$I,"Yes"))</f>
        <v/>
      </c>
      <c r="H314" s="6" t="str">
        <f>IF($C314="","",SUMIFS(Chicks!$J:$J,Chicks!$F:$F,$C314,Chicks!$G:$G,$D314))</f>
        <v/>
      </c>
      <c r="I314" s="6" t="str">
        <f>IF($C314="","",COUNTIFS(Chicks!$F:$F,$C314,Chicks!$G:$G,$D314,Chicks!$I:$I,"No"))</f>
        <v/>
      </c>
      <c r="J314" s="6" t="str">
        <f>IF($C314="","",IFERROR(AVERAGEIFS(Chicks!$M:$M,Chicks!$F:$F,$C314,Chicks!$G:$G,$D314),""))</f>
        <v/>
      </c>
      <c r="K314" s="6" t="str">
        <f>IF($C314="","",SUMIFS(Chicks!$N:$N,Chicks!$F:$F,$C314,Chicks!$G:$G,$D314))</f>
        <v/>
      </c>
      <c r="L314" s="6" t="str">
        <f>IF($C314="","",SUMIFS(Chicks!$O:$O,Chicks!$F:$F,$C314,Chicks!$G:$G,$D314))</f>
        <v/>
      </c>
      <c r="M314" s="6" t="str">
        <f>IF($C314="","",SUMIFS(Chicks!$P:$P,Chicks!$F:$F,$C314,Chicks!$G:$G,$D314))</f>
        <v/>
      </c>
      <c r="N314" s="6" t="str">
        <f t="shared" si="5"/>
        <v/>
      </c>
      <c r="O314" s="6" t="e">
        <f t="shared" ca="1" si="6"/>
        <v>#NAME?</v>
      </c>
      <c r="P314" s="6" t="str">
        <f t="shared" si="7"/>
        <v/>
      </c>
    </row>
    <row r="315" spans="1:16" ht="14.25" customHeight="1" x14ac:dyDescent="0.3">
      <c r="A315" s="4"/>
      <c r="B315" s="4"/>
      <c r="C315" s="4" t="str">
        <f t="shared" si="8"/>
        <v/>
      </c>
      <c r="D315" s="4" t="str">
        <f t="shared" si="9"/>
        <v/>
      </c>
      <c r="E315" s="4"/>
      <c r="F315" s="6" t="str">
        <f>IF($C315="","",COUNTIFS(Chicks!$F:$F,$C315,Chicks!$G:$G,$D315))</f>
        <v/>
      </c>
      <c r="G315" s="6" t="str">
        <f>IF($C315="","",COUNTIFS(Chicks!$F:$F,$C315,Chicks!$G:$G,$D315,Chicks!$I:$I,"Yes"))</f>
        <v/>
      </c>
      <c r="H315" s="6" t="str">
        <f>IF($C315="","",SUMIFS(Chicks!$J:$J,Chicks!$F:$F,$C315,Chicks!$G:$G,$D315))</f>
        <v/>
      </c>
      <c r="I315" s="6" t="str">
        <f>IF($C315="","",COUNTIFS(Chicks!$F:$F,$C315,Chicks!$G:$G,$D315,Chicks!$I:$I,"No"))</f>
        <v/>
      </c>
      <c r="J315" s="6" t="str">
        <f>IF($C315="","",IFERROR(AVERAGEIFS(Chicks!$M:$M,Chicks!$F:$F,$C315,Chicks!$G:$G,$D315),""))</f>
        <v/>
      </c>
      <c r="K315" s="6" t="str">
        <f>IF($C315="","",SUMIFS(Chicks!$N:$N,Chicks!$F:$F,$C315,Chicks!$G:$G,$D315))</f>
        <v/>
      </c>
      <c r="L315" s="6" t="str">
        <f>IF($C315="","",SUMIFS(Chicks!$O:$O,Chicks!$F:$F,$C315,Chicks!$G:$G,$D315))</f>
        <v/>
      </c>
      <c r="M315" s="6" t="str">
        <f>IF($C315="","",SUMIFS(Chicks!$P:$P,Chicks!$F:$F,$C315,Chicks!$G:$G,$D315))</f>
        <v/>
      </c>
      <c r="N315" s="6" t="str">
        <f t="shared" si="5"/>
        <v/>
      </c>
      <c r="O315" s="6" t="e">
        <f t="shared" ca="1" si="6"/>
        <v>#NAME?</v>
      </c>
      <c r="P315" s="6" t="str">
        <f t="shared" si="7"/>
        <v/>
      </c>
    </row>
    <row r="316" spans="1:16" ht="14.25" customHeight="1" x14ac:dyDescent="0.3">
      <c r="A316" s="4"/>
      <c r="B316" s="4"/>
      <c r="C316" s="4" t="str">
        <f t="shared" si="8"/>
        <v/>
      </c>
      <c r="D316" s="4" t="str">
        <f t="shared" si="9"/>
        <v/>
      </c>
      <c r="E316" s="4"/>
      <c r="F316" s="6" t="str">
        <f>IF($C316="","",COUNTIFS(Chicks!$F:$F,$C316,Chicks!$G:$G,$D316))</f>
        <v/>
      </c>
      <c r="G316" s="6" t="str">
        <f>IF($C316="","",COUNTIFS(Chicks!$F:$F,$C316,Chicks!$G:$G,$D316,Chicks!$I:$I,"Yes"))</f>
        <v/>
      </c>
      <c r="H316" s="6" t="str">
        <f>IF($C316="","",SUMIFS(Chicks!$J:$J,Chicks!$F:$F,$C316,Chicks!$G:$G,$D316))</f>
        <v/>
      </c>
      <c r="I316" s="6" t="str">
        <f>IF($C316="","",COUNTIFS(Chicks!$F:$F,$C316,Chicks!$G:$G,$D316,Chicks!$I:$I,"No"))</f>
        <v/>
      </c>
      <c r="J316" s="6" t="str">
        <f>IF($C316="","",IFERROR(AVERAGEIFS(Chicks!$M:$M,Chicks!$F:$F,$C316,Chicks!$G:$G,$D316),""))</f>
        <v/>
      </c>
      <c r="K316" s="6" t="str">
        <f>IF($C316="","",SUMIFS(Chicks!$N:$N,Chicks!$F:$F,$C316,Chicks!$G:$G,$D316))</f>
        <v/>
      </c>
      <c r="L316" s="6" t="str">
        <f>IF($C316="","",SUMIFS(Chicks!$O:$O,Chicks!$F:$F,$C316,Chicks!$G:$G,$D316))</f>
        <v/>
      </c>
      <c r="M316" s="6" t="str">
        <f>IF($C316="","",SUMIFS(Chicks!$P:$P,Chicks!$F:$F,$C316,Chicks!$G:$G,$D316))</f>
        <v/>
      </c>
      <c r="N316" s="6" t="str">
        <f t="shared" si="5"/>
        <v/>
      </c>
      <c r="O316" s="6" t="e">
        <f t="shared" ca="1" si="6"/>
        <v>#NAME?</v>
      </c>
      <c r="P316" s="6" t="str">
        <f t="shared" si="7"/>
        <v/>
      </c>
    </row>
    <row r="317" spans="1:16" ht="14.25" customHeight="1" x14ac:dyDescent="0.3">
      <c r="A317" s="4"/>
      <c r="B317" s="4"/>
      <c r="C317" s="4" t="str">
        <f t="shared" si="8"/>
        <v/>
      </c>
      <c r="D317" s="4" t="str">
        <f t="shared" si="9"/>
        <v/>
      </c>
      <c r="E317" s="4"/>
      <c r="F317" s="6" t="str">
        <f>IF($C317="","",COUNTIFS(Chicks!$F:$F,$C317,Chicks!$G:$G,$D317))</f>
        <v/>
      </c>
      <c r="G317" s="6" t="str">
        <f>IF($C317="","",COUNTIFS(Chicks!$F:$F,$C317,Chicks!$G:$G,$D317,Chicks!$I:$I,"Yes"))</f>
        <v/>
      </c>
      <c r="H317" s="6" t="str">
        <f>IF($C317="","",SUMIFS(Chicks!$J:$J,Chicks!$F:$F,$C317,Chicks!$G:$G,$D317))</f>
        <v/>
      </c>
      <c r="I317" s="6" t="str">
        <f>IF($C317="","",COUNTIFS(Chicks!$F:$F,$C317,Chicks!$G:$G,$D317,Chicks!$I:$I,"No"))</f>
        <v/>
      </c>
      <c r="J317" s="6" t="str">
        <f>IF($C317="","",IFERROR(AVERAGEIFS(Chicks!$M:$M,Chicks!$F:$F,$C317,Chicks!$G:$G,$D317),""))</f>
        <v/>
      </c>
      <c r="K317" s="6" t="str">
        <f>IF($C317="","",SUMIFS(Chicks!$N:$N,Chicks!$F:$F,$C317,Chicks!$G:$G,$D317))</f>
        <v/>
      </c>
      <c r="L317" s="6" t="str">
        <f>IF($C317="","",SUMIFS(Chicks!$O:$O,Chicks!$F:$F,$C317,Chicks!$G:$G,$D317))</f>
        <v/>
      </c>
      <c r="M317" s="6" t="str">
        <f>IF($C317="","",SUMIFS(Chicks!$P:$P,Chicks!$F:$F,$C317,Chicks!$G:$G,$D317))</f>
        <v/>
      </c>
      <c r="N317" s="6" t="str">
        <f t="shared" si="5"/>
        <v/>
      </c>
      <c r="O317" s="6" t="e">
        <f t="shared" ca="1" si="6"/>
        <v>#NAME?</v>
      </c>
      <c r="P317" s="6" t="str">
        <f t="shared" si="7"/>
        <v/>
      </c>
    </row>
    <row r="318" spans="1:16" ht="14.25" customHeight="1" x14ac:dyDescent="0.3">
      <c r="A318" s="4"/>
      <c r="B318" s="4"/>
      <c r="C318" s="4" t="str">
        <f t="shared" si="8"/>
        <v/>
      </c>
      <c r="D318" s="4" t="str">
        <f t="shared" si="9"/>
        <v/>
      </c>
      <c r="E318" s="4"/>
      <c r="F318" s="6" t="str">
        <f>IF($C318="","",COUNTIFS(Chicks!$F:$F,$C318,Chicks!$G:$G,$D318))</f>
        <v/>
      </c>
      <c r="G318" s="6" t="str">
        <f>IF($C318="","",COUNTIFS(Chicks!$F:$F,$C318,Chicks!$G:$G,$D318,Chicks!$I:$I,"Yes"))</f>
        <v/>
      </c>
      <c r="H318" s="6" t="str">
        <f>IF($C318="","",SUMIFS(Chicks!$J:$J,Chicks!$F:$F,$C318,Chicks!$G:$G,$D318))</f>
        <v/>
      </c>
      <c r="I318" s="6" t="str">
        <f>IF($C318="","",COUNTIFS(Chicks!$F:$F,$C318,Chicks!$G:$G,$D318,Chicks!$I:$I,"No"))</f>
        <v/>
      </c>
      <c r="J318" s="6" t="str">
        <f>IF($C318="","",IFERROR(AVERAGEIFS(Chicks!$M:$M,Chicks!$F:$F,$C318,Chicks!$G:$G,$D318),""))</f>
        <v/>
      </c>
      <c r="K318" s="6" t="str">
        <f>IF($C318="","",SUMIFS(Chicks!$N:$N,Chicks!$F:$F,$C318,Chicks!$G:$G,$D318))</f>
        <v/>
      </c>
      <c r="L318" s="6" t="str">
        <f>IF($C318="","",SUMIFS(Chicks!$O:$O,Chicks!$F:$F,$C318,Chicks!$G:$G,$D318))</f>
        <v/>
      </c>
      <c r="M318" s="6" t="str">
        <f>IF($C318="","",SUMIFS(Chicks!$P:$P,Chicks!$F:$F,$C318,Chicks!$G:$G,$D318))</f>
        <v/>
      </c>
      <c r="N318" s="6" t="str">
        <f t="shared" si="5"/>
        <v/>
      </c>
      <c r="O318" s="6" t="e">
        <f t="shared" ca="1" si="6"/>
        <v>#NAME?</v>
      </c>
      <c r="P318" s="6" t="str">
        <f t="shared" si="7"/>
        <v/>
      </c>
    </row>
    <row r="319" spans="1:16" ht="14.25" customHeight="1" x14ac:dyDescent="0.3">
      <c r="A319" s="4"/>
      <c r="B319" s="4"/>
      <c r="C319" s="4" t="str">
        <f t="shared" si="8"/>
        <v/>
      </c>
      <c r="D319" s="4" t="str">
        <f t="shared" si="9"/>
        <v/>
      </c>
      <c r="E319" s="4"/>
      <c r="F319" s="6" t="str">
        <f>IF($C319="","",COUNTIFS(Chicks!$F:$F,$C319,Chicks!$G:$G,$D319))</f>
        <v/>
      </c>
      <c r="G319" s="6" t="str">
        <f>IF($C319="","",COUNTIFS(Chicks!$F:$F,$C319,Chicks!$G:$G,$D319,Chicks!$I:$I,"Yes"))</f>
        <v/>
      </c>
      <c r="H319" s="6" t="str">
        <f>IF($C319="","",SUMIFS(Chicks!$J:$J,Chicks!$F:$F,$C319,Chicks!$G:$G,$D319))</f>
        <v/>
      </c>
      <c r="I319" s="6" t="str">
        <f>IF($C319="","",COUNTIFS(Chicks!$F:$F,$C319,Chicks!$G:$G,$D319,Chicks!$I:$I,"No"))</f>
        <v/>
      </c>
      <c r="J319" s="6" t="str">
        <f>IF($C319="","",IFERROR(AVERAGEIFS(Chicks!$M:$M,Chicks!$F:$F,$C319,Chicks!$G:$G,$D319),""))</f>
        <v/>
      </c>
      <c r="K319" s="6" t="str">
        <f>IF($C319="","",SUMIFS(Chicks!$N:$N,Chicks!$F:$F,$C319,Chicks!$G:$G,$D319))</f>
        <v/>
      </c>
      <c r="L319" s="6" t="str">
        <f>IF($C319="","",SUMIFS(Chicks!$O:$O,Chicks!$F:$F,$C319,Chicks!$G:$G,$D319))</f>
        <v/>
      </c>
      <c r="M319" s="6" t="str">
        <f>IF($C319="","",SUMIFS(Chicks!$P:$P,Chicks!$F:$F,$C319,Chicks!$G:$G,$D319))</f>
        <v/>
      </c>
      <c r="N319" s="6" t="str">
        <f t="shared" si="5"/>
        <v/>
      </c>
      <c r="O319" s="6" t="e">
        <f t="shared" ca="1" si="6"/>
        <v>#NAME?</v>
      </c>
      <c r="P319" s="6" t="str">
        <f t="shared" si="7"/>
        <v/>
      </c>
    </row>
    <row r="320" spans="1:16" ht="14.25" customHeight="1" x14ac:dyDescent="0.3">
      <c r="A320" s="4"/>
      <c r="B320" s="4"/>
      <c r="C320" s="4" t="str">
        <f t="shared" si="8"/>
        <v/>
      </c>
      <c r="D320" s="4" t="str">
        <f t="shared" si="9"/>
        <v/>
      </c>
      <c r="E320" s="4"/>
      <c r="F320" s="6" t="str">
        <f>IF($C320="","",COUNTIFS(Chicks!$F:$F,$C320,Chicks!$G:$G,$D320))</f>
        <v/>
      </c>
      <c r="G320" s="6" t="str">
        <f>IF($C320="","",COUNTIFS(Chicks!$F:$F,$C320,Chicks!$G:$G,$D320,Chicks!$I:$I,"Yes"))</f>
        <v/>
      </c>
      <c r="H320" s="6" t="str">
        <f>IF($C320="","",SUMIFS(Chicks!$J:$J,Chicks!$F:$F,$C320,Chicks!$G:$G,$D320))</f>
        <v/>
      </c>
      <c r="I320" s="6" t="str">
        <f>IF($C320="","",COUNTIFS(Chicks!$F:$F,$C320,Chicks!$G:$G,$D320,Chicks!$I:$I,"No"))</f>
        <v/>
      </c>
      <c r="J320" s="6" t="str">
        <f>IF($C320="","",IFERROR(AVERAGEIFS(Chicks!$M:$M,Chicks!$F:$F,$C320,Chicks!$G:$G,$D320),""))</f>
        <v/>
      </c>
      <c r="K320" s="6" t="str">
        <f>IF($C320="","",SUMIFS(Chicks!$N:$N,Chicks!$F:$F,$C320,Chicks!$G:$G,$D320))</f>
        <v/>
      </c>
      <c r="L320" s="6" t="str">
        <f>IF($C320="","",SUMIFS(Chicks!$O:$O,Chicks!$F:$F,$C320,Chicks!$G:$G,$D320))</f>
        <v/>
      </c>
      <c r="M320" s="6" t="str">
        <f>IF($C320="","",SUMIFS(Chicks!$P:$P,Chicks!$F:$F,$C320,Chicks!$G:$G,$D320))</f>
        <v/>
      </c>
      <c r="N320" s="6" t="str">
        <f t="shared" si="5"/>
        <v/>
      </c>
      <c r="O320" s="6" t="e">
        <f t="shared" ca="1" si="6"/>
        <v>#NAME?</v>
      </c>
      <c r="P320" s="6" t="str">
        <f t="shared" si="7"/>
        <v/>
      </c>
    </row>
    <row r="321" spans="1:16" ht="14.25" customHeight="1" x14ac:dyDescent="0.3">
      <c r="A321" s="4"/>
      <c r="B321" s="4"/>
      <c r="C321" s="4" t="str">
        <f t="shared" si="8"/>
        <v/>
      </c>
      <c r="D321" s="4" t="str">
        <f t="shared" si="9"/>
        <v/>
      </c>
      <c r="E321" s="4"/>
      <c r="F321" s="6" t="str">
        <f>IF($C321="","",COUNTIFS(Chicks!$F:$F,$C321,Chicks!$G:$G,$D321))</f>
        <v/>
      </c>
      <c r="G321" s="6" t="str">
        <f>IF($C321="","",COUNTIFS(Chicks!$F:$F,$C321,Chicks!$G:$G,$D321,Chicks!$I:$I,"Yes"))</f>
        <v/>
      </c>
      <c r="H321" s="6" t="str">
        <f>IF($C321="","",SUMIFS(Chicks!$J:$J,Chicks!$F:$F,$C321,Chicks!$G:$G,$D321))</f>
        <v/>
      </c>
      <c r="I321" s="6" t="str">
        <f>IF($C321="","",COUNTIFS(Chicks!$F:$F,$C321,Chicks!$G:$G,$D321,Chicks!$I:$I,"No"))</f>
        <v/>
      </c>
      <c r="J321" s="6" t="str">
        <f>IF($C321="","",IFERROR(AVERAGEIFS(Chicks!$M:$M,Chicks!$F:$F,$C321,Chicks!$G:$G,$D321),""))</f>
        <v/>
      </c>
      <c r="K321" s="6" t="str">
        <f>IF($C321="","",SUMIFS(Chicks!$N:$N,Chicks!$F:$F,$C321,Chicks!$G:$G,$D321))</f>
        <v/>
      </c>
      <c r="L321" s="6" t="str">
        <f>IF($C321="","",SUMIFS(Chicks!$O:$O,Chicks!$F:$F,$C321,Chicks!$G:$G,$D321))</f>
        <v/>
      </c>
      <c r="M321" s="6" t="str">
        <f>IF($C321="","",SUMIFS(Chicks!$P:$P,Chicks!$F:$F,$C321,Chicks!$G:$G,$D321))</f>
        <v/>
      </c>
      <c r="N321" s="6" t="str">
        <f t="shared" si="5"/>
        <v/>
      </c>
      <c r="O321" s="6" t="e">
        <f t="shared" ca="1" si="6"/>
        <v>#NAME?</v>
      </c>
      <c r="P321" s="6" t="str">
        <f t="shared" si="7"/>
        <v/>
      </c>
    </row>
    <row r="322" spans="1:16" ht="14.25" customHeight="1" x14ac:dyDescent="0.3">
      <c r="A322" s="4"/>
      <c r="B322" s="4"/>
      <c r="C322" s="4" t="str">
        <f t="shared" si="8"/>
        <v/>
      </c>
      <c r="D322" s="4" t="str">
        <f t="shared" si="9"/>
        <v/>
      </c>
      <c r="E322" s="4"/>
      <c r="F322" s="6" t="str">
        <f>IF($C322="","",COUNTIFS(Chicks!$F:$F,$C322,Chicks!$G:$G,$D322))</f>
        <v/>
      </c>
      <c r="G322" s="6" t="str">
        <f>IF($C322="","",COUNTIFS(Chicks!$F:$F,$C322,Chicks!$G:$G,$D322,Chicks!$I:$I,"Yes"))</f>
        <v/>
      </c>
      <c r="H322" s="6" t="str">
        <f>IF($C322="","",SUMIFS(Chicks!$J:$J,Chicks!$F:$F,$C322,Chicks!$G:$G,$D322))</f>
        <v/>
      </c>
      <c r="I322" s="6" t="str">
        <f>IF($C322="","",COUNTIFS(Chicks!$F:$F,$C322,Chicks!$G:$G,$D322,Chicks!$I:$I,"No"))</f>
        <v/>
      </c>
      <c r="J322" s="6" t="str">
        <f>IF($C322="","",IFERROR(AVERAGEIFS(Chicks!$M:$M,Chicks!$F:$F,$C322,Chicks!$G:$G,$D322),""))</f>
        <v/>
      </c>
      <c r="K322" s="6" t="str">
        <f>IF($C322="","",SUMIFS(Chicks!$N:$N,Chicks!$F:$F,$C322,Chicks!$G:$G,$D322))</f>
        <v/>
      </c>
      <c r="L322" s="6" t="str">
        <f>IF($C322="","",SUMIFS(Chicks!$O:$O,Chicks!$F:$F,$C322,Chicks!$G:$G,$D322))</f>
        <v/>
      </c>
      <c r="M322" s="6" t="str">
        <f>IF($C322="","",SUMIFS(Chicks!$P:$P,Chicks!$F:$F,$C322,Chicks!$G:$G,$D322))</f>
        <v/>
      </c>
      <c r="N322" s="6" t="str">
        <f t="shared" si="5"/>
        <v/>
      </c>
      <c r="O322" s="6" t="e">
        <f t="shared" ca="1" si="6"/>
        <v>#NAME?</v>
      </c>
      <c r="P322" s="6" t="str">
        <f t="shared" si="7"/>
        <v/>
      </c>
    </row>
    <row r="323" spans="1:16" ht="14.25" customHeight="1" x14ac:dyDescent="0.3">
      <c r="A323" s="4"/>
      <c r="B323" s="4"/>
      <c r="C323" s="4" t="str">
        <f t="shared" si="8"/>
        <v/>
      </c>
      <c r="D323" s="4" t="str">
        <f t="shared" si="9"/>
        <v/>
      </c>
      <c r="E323" s="4"/>
      <c r="F323" s="6" t="str">
        <f>IF($C323="","",COUNTIFS(Chicks!$F:$F,$C323,Chicks!$G:$G,$D323))</f>
        <v/>
      </c>
      <c r="G323" s="6" t="str">
        <f>IF($C323="","",COUNTIFS(Chicks!$F:$F,$C323,Chicks!$G:$G,$D323,Chicks!$I:$I,"Yes"))</f>
        <v/>
      </c>
      <c r="H323" s="6" t="str">
        <f>IF($C323="","",SUMIFS(Chicks!$J:$J,Chicks!$F:$F,$C323,Chicks!$G:$G,$D323))</f>
        <v/>
      </c>
      <c r="I323" s="6" t="str">
        <f>IF($C323="","",COUNTIFS(Chicks!$F:$F,$C323,Chicks!$G:$G,$D323,Chicks!$I:$I,"No"))</f>
        <v/>
      </c>
      <c r="J323" s="6" t="str">
        <f>IF($C323="","",IFERROR(AVERAGEIFS(Chicks!$M:$M,Chicks!$F:$F,$C323,Chicks!$G:$G,$D323),""))</f>
        <v/>
      </c>
      <c r="K323" s="6" t="str">
        <f>IF($C323="","",SUMIFS(Chicks!$N:$N,Chicks!$F:$F,$C323,Chicks!$G:$G,$D323))</f>
        <v/>
      </c>
      <c r="L323" s="6" t="str">
        <f>IF($C323="","",SUMIFS(Chicks!$O:$O,Chicks!$F:$F,$C323,Chicks!$G:$G,$D323))</f>
        <v/>
      </c>
      <c r="M323" s="6" t="str">
        <f>IF($C323="","",SUMIFS(Chicks!$P:$P,Chicks!$F:$F,$C323,Chicks!$G:$G,$D323))</f>
        <v/>
      </c>
      <c r="N323" s="6" t="str">
        <f t="shared" si="5"/>
        <v/>
      </c>
      <c r="O323" s="6" t="e">
        <f t="shared" ca="1" si="6"/>
        <v>#NAME?</v>
      </c>
      <c r="P323" s="6" t="str">
        <f t="shared" si="7"/>
        <v/>
      </c>
    </row>
    <row r="324" spans="1:16" ht="14.25" customHeight="1" x14ac:dyDescent="0.3">
      <c r="A324" s="4"/>
      <c r="B324" s="4"/>
      <c r="C324" s="4" t="str">
        <f t="shared" si="8"/>
        <v/>
      </c>
      <c r="D324" s="4" t="str">
        <f t="shared" si="9"/>
        <v/>
      </c>
      <c r="E324" s="4"/>
      <c r="F324" s="6" t="str">
        <f>IF($C324="","",COUNTIFS(Chicks!$F:$F,$C324,Chicks!$G:$G,$D324))</f>
        <v/>
      </c>
      <c r="G324" s="6" t="str">
        <f>IF($C324="","",COUNTIFS(Chicks!$F:$F,$C324,Chicks!$G:$G,$D324,Chicks!$I:$I,"Yes"))</f>
        <v/>
      </c>
      <c r="H324" s="6" t="str">
        <f>IF($C324="","",SUMIFS(Chicks!$J:$J,Chicks!$F:$F,$C324,Chicks!$G:$G,$D324))</f>
        <v/>
      </c>
      <c r="I324" s="6" t="str">
        <f>IF($C324="","",COUNTIFS(Chicks!$F:$F,$C324,Chicks!$G:$G,$D324,Chicks!$I:$I,"No"))</f>
        <v/>
      </c>
      <c r="J324" s="6" t="str">
        <f>IF($C324="","",IFERROR(AVERAGEIFS(Chicks!$M:$M,Chicks!$F:$F,$C324,Chicks!$G:$G,$D324),""))</f>
        <v/>
      </c>
      <c r="K324" s="6" t="str">
        <f>IF($C324="","",SUMIFS(Chicks!$N:$N,Chicks!$F:$F,$C324,Chicks!$G:$G,$D324))</f>
        <v/>
      </c>
      <c r="L324" s="6" t="str">
        <f>IF($C324="","",SUMIFS(Chicks!$O:$O,Chicks!$F:$F,$C324,Chicks!$G:$G,$D324))</f>
        <v/>
      </c>
      <c r="M324" s="6" t="str">
        <f>IF($C324="","",SUMIFS(Chicks!$P:$P,Chicks!$F:$F,$C324,Chicks!$G:$G,$D324))</f>
        <v/>
      </c>
      <c r="N324" s="6" t="str">
        <f t="shared" si="5"/>
        <v/>
      </c>
      <c r="O324" s="6" t="e">
        <f t="shared" ca="1" si="6"/>
        <v>#NAME?</v>
      </c>
      <c r="P324" s="6" t="str">
        <f t="shared" si="7"/>
        <v/>
      </c>
    </row>
    <row r="325" spans="1:16" ht="14.25" customHeight="1" x14ac:dyDescent="0.3">
      <c r="A325" s="4"/>
      <c r="B325" s="4"/>
      <c r="C325" s="4" t="str">
        <f t="shared" si="8"/>
        <v/>
      </c>
      <c r="D325" s="4" t="str">
        <f t="shared" si="9"/>
        <v/>
      </c>
      <c r="E325" s="4"/>
      <c r="F325" s="6" t="str">
        <f>IF($C325="","",COUNTIFS(Chicks!$F:$F,$C325,Chicks!$G:$G,$D325))</f>
        <v/>
      </c>
      <c r="G325" s="6" t="str">
        <f>IF($C325="","",COUNTIFS(Chicks!$F:$F,$C325,Chicks!$G:$G,$D325,Chicks!$I:$I,"Yes"))</f>
        <v/>
      </c>
      <c r="H325" s="6" t="str">
        <f>IF($C325="","",SUMIFS(Chicks!$J:$J,Chicks!$F:$F,$C325,Chicks!$G:$G,$D325))</f>
        <v/>
      </c>
      <c r="I325" s="6" t="str">
        <f>IF($C325="","",COUNTIFS(Chicks!$F:$F,$C325,Chicks!$G:$G,$D325,Chicks!$I:$I,"No"))</f>
        <v/>
      </c>
      <c r="J325" s="6" t="str">
        <f>IF($C325="","",IFERROR(AVERAGEIFS(Chicks!$M:$M,Chicks!$F:$F,$C325,Chicks!$G:$G,$D325),""))</f>
        <v/>
      </c>
      <c r="K325" s="6" t="str">
        <f>IF($C325="","",SUMIFS(Chicks!$N:$N,Chicks!$F:$F,$C325,Chicks!$G:$G,$D325))</f>
        <v/>
      </c>
      <c r="L325" s="6" t="str">
        <f>IF($C325="","",SUMIFS(Chicks!$O:$O,Chicks!$F:$F,$C325,Chicks!$G:$G,$D325))</f>
        <v/>
      </c>
      <c r="M325" s="6" t="str">
        <f>IF($C325="","",SUMIFS(Chicks!$P:$P,Chicks!$F:$F,$C325,Chicks!$G:$G,$D325))</f>
        <v/>
      </c>
      <c r="N325" s="6" t="str">
        <f t="shared" si="5"/>
        <v/>
      </c>
      <c r="O325" s="6" t="e">
        <f t="shared" ca="1" si="6"/>
        <v>#NAME?</v>
      </c>
      <c r="P325" s="6" t="str">
        <f t="shared" si="7"/>
        <v/>
      </c>
    </row>
    <row r="326" spans="1:16" ht="14.25" customHeight="1" x14ac:dyDescent="0.3">
      <c r="A326" s="4"/>
      <c r="B326" s="4"/>
      <c r="C326" s="4" t="str">
        <f t="shared" si="8"/>
        <v/>
      </c>
      <c r="D326" s="4" t="str">
        <f t="shared" si="9"/>
        <v/>
      </c>
      <c r="E326" s="4"/>
      <c r="F326" s="6" t="str">
        <f>IF($C326="","",COUNTIFS(Chicks!$F:$F,$C326,Chicks!$G:$G,$D326))</f>
        <v/>
      </c>
      <c r="G326" s="6" t="str">
        <f>IF($C326="","",COUNTIFS(Chicks!$F:$F,$C326,Chicks!$G:$G,$D326,Chicks!$I:$I,"Yes"))</f>
        <v/>
      </c>
      <c r="H326" s="6" t="str">
        <f>IF($C326="","",SUMIFS(Chicks!$J:$J,Chicks!$F:$F,$C326,Chicks!$G:$G,$D326))</f>
        <v/>
      </c>
      <c r="I326" s="6" t="str">
        <f>IF($C326="","",COUNTIFS(Chicks!$F:$F,$C326,Chicks!$G:$G,$D326,Chicks!$I:$I,"No"))</f>
        <v/>
      </c>
      <c r="J326" s="6" t="str">
        <f>IF($C326="","",IFERROR(AVERAGEIFS(Chicks!$M:$M,Chicks!$F:$F,$C326,Chicks!$G:$G,$D326),""))</f>
        <v/>
      </c>
      <c r="K326" s="6" t="str">
        <f>IF($C326="","",SUMIFS(Chicks!$N:$N,Chicks!$F:$F,$C326,Chicks!$G:$G,$D326))</f>
        <v/>
      </c>
      <c r="L326" s="6" t="str">
        <f>IF($C326="","",SUMIFS(Chicks!$O:$O,Chicks!$F:$F,$C326,Chicks!$G:$G,$D326))</f>
        <v/>
      </c>
      <c r="M326" s="6" t="str">
        <f>IF($C326="","",SUMIFS(Chicks!$P:$P,Chicks!$F:$F,$C326,Chicks!$G:$G,$D326))</f>
        <v/>
      </c>
      <c r="N326" s="6" t="str">
        <f t="shared" si="5"/>
        <v/>
      </c>
      <c r="O326" s="6" t="e">
        <f t="shared" ca="1" si="6"/>
        <v>#NAME?</v>
      </c>
      <c r="P326" s="6" t="str">
        <f t="shared" si="7"/>
        <v/>
      </c>
    </row>
    <row r="327" spans="1:16" ht="14.25" customHeight="1" x14ac:dyDescent="0.3">
      <c r="A327" s="4"/>
      <c r="B327" s="4"/>
      <c r="C327" s="4" t="str">
        <f t="shared" si="8"/>
        <v/>
      </c>
      <c r="D327" s="4" t="str">
        <f t="shared" si="9"/>
        <v/>
      </c>
      <c r="E327" s="4"/>
      <c r="F327" s="6" t="str">
        <f>IF($C327="","",COUNTIFS(Chicks!$F:$F,$C327,Chicks!$G:$G,$D327))</f>
        <v/>
      </c>
      <c r="G327" s="6" t="str">
        <f>IF($C327="","",COUNTIFS(Chicks!$F:$F,$C327,Chicks!$G:$G,$D327,Chicks!$I:$I,"Yes"))</f>
        <v/>
      </c>
      <c r="H327" s="6" t="str">
        <f>IF($C327="","",SUMIFS(Chicks!$J:$J,Chicks!$F:$F,$C327,Chicks!$G:$G,$D327))</f>
        <v/>
      </c>
      <c r="I327" s="6" t="str">
        <f>IF($C327="","",COUNTIFS(Chicks!$F:$F,$C327,Chicks!$G:$G,$D327,Chicks!$I:$I,"No"))</f>
        <v/>
      </c>
      <c r="J327" s="6" t="str">
        <f>IF($C327="","",IFERROR(AVERAGEIFS(Chicks!$M:$M,Chicks!$F:$F,$C327,Chicks!$G:$G,$D327),""))</f>
        <v/>
      </c>
      <c r="K327" s="6" t="str">
        <f>IF($C327="","",SUMIFS(Chicks!$N:$N,Chicks!$F:$F,$C327,Chicks!$G:$G,$D327))</f>
        <v/>
      </c>
      <c r="L327" s="6" t="str">
        <f>IF($C327="","",SUMIFS(Chicks!$O:$O,Chicks!$F:$F,$C327,Chicks!$G:$G,$D327))</f>
        <v/>
      </c>
      <c r="M327" s="6" t="str">
        <f>IF($C327="","",SUMIFS(Chicks!$P:$P,Chicks!$F:$F,$C327,Chicks!$G:$G,$D327))</f>
        <v/>
      </c>
      <c r="N327" s="6" t="str">
        <f t="shared" si="5"/>
        <v/>
      </c>
      <c r="O327" s="6" t="e">
        <f t="shared" ca="1" si="6"/>
        <v>#NAME?</v>
      </c>
      <c r="P327" s="6" t="str">
        <f t="shared" si="7"/>
        <v/>
      </c>
    </row>
    <row r="328" spans="1:16" ht="14.25" customHeight="1" x14ac:dyDescent="0.3">
      <c r="A328" s="4"/>
      <c r="B328" s="4"/>
      <c r="C328" s="4" t="str">
        <f t="shared" si="8"/>
        <v/>
      </c>
      <c r="D328" s="4" t="str">
        <f t="shared" si="9"/>
        <v/>
      </c>
      <c r="E328" s="4"/>
      <c r="F328" s="6" t="str">
        <f>IF($C328="","",COUNTIFS(Chicks!$F:$F,$C328,Chicks!$G:$G,$D328))</f>
        <v/>
      </c>
      <c r="G328" s="6" t="str">
        <f>IF($C328="","",COUNTIFS(Chicks!$F:$F,$C328,Chicks!$G:$G,$D328,Chicks!$I:$I,"Yes"))</f>
        <v/>
      </c>
      <c r="H328" s="6" t="str">
        <f>IF($C328="","",SUMIFS(Chicks!$J:$J,Chicks!$F:$F,$C328,Chicks!$G:$G,$D328))</f>
        <v/>
      </c>
      <c r="I328" s="6" t="str">
        <f>IF($C328="","",COUNTIFS(Chicks!$F:$F,$C328,Chicks!$G:$G,$D328,Chicks!$I:$I,"No"))</f>
        <v/>
      </c>
      <c r="J328" s="6" t="str">
        <f>IF($C328="","",IFERROR(AVERAGEIFS(Chicks!$M:$M,Chicks!$F:$F,$C328,Chicks!$G:$G,$D328),""))</f>
        <v/>
      </c>
      <c r="K328" s="6" t="str">
        <f>IF($C328="","",SUMIFS(Chicks!$N:$N,Chicks!$F:$F,$C328,Chicks!$G:$G,$D328))</f>
        <v/>
      </c>
      <c r="L328" s="6" t="str">
        <f>IF($C328="","",SUMIFS(Chicks!$O:$O,Chicks!$F:$F,$C328,Chicks!$G:$G,$D328))</f>
        <v/>
      </c>
      <c r="M328" s="6" t="str">
        <f>IF($C328="","",SUMIFS(Chicks!$P:$P,Chicks!$F:$F,$C328,Chicks!$G:$G,$D328))</f>
        <v/>
      </c>
      <c r="N328" s="6" t="str">
        <f t="shared" si="5"/>
        <v/>
      </c>
      <c r="O328" s="6" t="e">
        <f t="shared" ca="1" si="6"/>
        <v>#NAME?</v>
      </c>
      <c r="P328" s="6" t="str">
        <f t="shared" si="7"/>
        <v/>
      </c>
    </row>
    <row r="329" spans="1:16" ht="14.25" customHeight="1" x14ac:dyDescent="0.3">
      <c r="A329" s="4"/>
      <c r="B329" s="4"/>
      <c r="C329" s="4" t="str">
        <f t="shared" si="8"/>
        <v/>
      </c>
      <c r="D329" s="4" t="str">
        <f t="shared" si="9"/>
        <v/>
      </c>
      <c r="E329" s="4"/>
      <c r="F329" s="6" t="str">
        <f>IF($C329="","",COUNTIFS(Chicks!$F:$F,$C329,Chicks!$G:$G,$D329))</f>
        <v/>
      </c>
      <c r="G329" s="6" t="str">
        <f>IF($C329="","",COUNTIFS(Chicks!$F:$F,$C329,Chicks!$G:$G,$D329,Chicks!$I:$I,"Yes"))</f>
        <v/>
      </c>
      <c r="H329" s="6" t="str">
        <f>IF($C329="","",SUMIFS(Chicks!$J:$J,Chicks!$F:$F,$C329,Chicks!$G:$G,$D329))</f>
        <v/>
      </c>
      <c r="I329" s="6" t="str">
        <f>IF($C329="","",COUNTIFS(Chicks!$F:$F,$C329,Chicks!$G:$G,$D329,Chicks!$I:$I,"No"))</f>
        <v/>
      </c>
      <c r="J329" s="6" t="str">
        <f>IF($C329="","",IFERROR(AVERAGEIFS(Chicks!$M:$M,Chicks!$F:$F,$C329,Chicks!$G:$G,$D329),""))</f>
        <v/>
      </c>
      <c r="K329" s="6" t="str">
        <f>IF($C329="","",SUMIFS(Chicks!$N:$N,Chicks!$F:$F,$C329,Chicks!$G:$G,$D329))</f>
        <v/>
      </c>
      <c r="L329" s="6" t="str">
        <f>IF($C329="","",SUMIFS(Chicks!$O:$O,Chicks!$F:$F,$C329,Chicks!$G:$G,$D329))</f>
        <v/>
      </c>
      <c r="M329" s="6" t="str">
        <f>IF($C329="","",SUMIFS(Chicks!$P:$P,Chicks!$F:$F,$C329,Chicks!$G:$G,$D329))</f>
        <v/>
      </c>
      <c r="N329" s="6" t="str">
        <f t="shared" si="5"/>
        <v/>
      </c>
      <c r="O329" s="6" t="e">
        <f t="shared" ca="1" si="6"/>
        <v>#NAME?</v>
      </c>
      <c r="P329" s="6" t="str">
        <f t="shared" si="7"/>
        <v/>
      </c>
    </row>
    <row r="330" spans="1:16" ht="14.25" customHeight="1" x14ac:dyDescent="0.3">
      <c r="A330" s="4"/>
      <c r="B330" s="4"/>
      <c r="C330" s="4" t="str">
        <f t="shared" si="8"/>
        <v/>
      </c>
      <c r="D330" s="4" t="str">
        <f t="shared" si="9"/>
        <v/>
      </c>
      <c r="E330" s="4"/>
      <c r="F330" s="6" t="str">
        <f>IF($C330="","",COUNTIFS(Chicks!$F:$F,$C330,Chicks!$G:$G,$D330))</f>
        <v/>
      </c>
      <c r="G330" s="6" t="str">
        <f>IF($C330="","",COUNTIFS(Chicks!$F:$F,$C330,Chicks!$G:$G,$D330,Chicks!$I:$I,"Yes"))</f>
        <v/>
      </c>
      <c r="H330" s="6" t="str">
        <f>IF($C330="","",SUMIFS(Chicks!$J:$J,Chicks!$F:$F,$C330,Chicks!$G:$G,$D330))</f>
        <v/>
      </c>
      <c r="I330" s="6" t="str">
        <f>IF($C330="","",COUNTIFS(Chicks!$F:$F,$C330,Chicks!$G:$G,$D330,Chicks!$I:$I,"No"))</f>
        <v/>
      </c>
      <c r="J330" s="6" t="str">
        <f>IF($C330="","",IFERROR(AVERAGEIFS(Chicks!$M:$M,Chicks!$F:$F,$C330,Chicks!$G:$G,$D330),""))</f>
        <v/>
      </c>
      <c r="K330" s="6" t="str">
        <f>IF($C330="","",SUMIFS(Chicks!$N:$N,Chicks!$F:$F,$C330,Chicks!$G:$G,$D330))</f>
        <v/>
      </c>
      <c r="L330" s="6" t="str">
        <f>IF($C330="","",SUMIFS(Chicks!$O:$O,Chicks!$F:$F,$C330,Chicks!$G:$G,$D330))</f>
        <v/>
      </c>
      <c r="M330" s="6" t="str">
        <f>IF($C330="","",SUMIFS(Chicks!$P:$P,Chicks!$F:$F,$C330,Chicks!$G:$G,$D330))</f>
        <v/>
      </c>
      <c r="N330" s="6" t="str">
        <f t="shared" si="5"/>
        <v/>
      </c>
      <c r="O330" s="6" t="e">
        <f t="shared" ca="1" si="6"/>
        <v>#NAME?</v>
      </c>
      <c r="P330" s="6" t="str">
        <f t="shared" si="7"/>
        <v/>
      </c>
    </row>
    <row r="331" spans="1:16" ht="14.25" customHeight="1" x14ac:dyDescent="0.3">
      <c r="A331" s="4"/>
      <c r="B331" s="4"/>
      <c r="C331" s="4" t="str">
        <f t="shared" si="8"/>
        <v/>
      </c>
      <c r="D331" s="4" t="str">
        <f t="shared" si="9"/>
        <v/>
      </c>
      <c r="E331" s="4"/>
      <c r="F331" s="6" t="str">
        <f>IF($C331="","",COUNTIFS(Chicks!$F:$F,$C331,Chicks!$G:$G,$D331))</f>
        <v/>
      </c>
      <c r="G331" s="6" t="str">
        <f>IF($C331="","",COUNTIFS(Chicks!$F:$F,$C331,Chicks!$G:$G,$D331,Chicks!$I:$I,"Yes"))</f>
        <v/>
      </c>
      <c r="H331" s="6" t="str">
        <f>IF($C331="","",SUMIFS(Chicks!$J:$J,Chicks!$F:$F,$C331,Chicks!$G:$G,$D331))</f>
        <v/>
      </c>
      <c r="I331" s="6" t="str">
        <f>IF($C331="","",COUNTIFS(Chicks!$F:$F,$C331,Chicks!$G:$G,$D331,Chicks!$I:$I,"No"))</f>
        <v/>
      </c>
      <c r="J331" s="6" t="str">
        <f>IF($C331="","",IFERROR(AVERAGEIFS(Chicks!$M:$M,Chicks!$F:$F,$C331,Chicks!$G:$G,$D331),""))</f>
        <v/>
      </c>
      <c r="K331" s="6" t="str">
        <f>IF($C331="","",SUMIFS(Chicks!$N:$N,Chicks!$F:$F,$C331,Chicks!$G:$G,$D331))</f>
        <v/>
      </c>
      <c r="L331" s="6" t="str">
        <f>IF($C331="","",SUMIFS(Chicks!$O:$O,Chicks!$F:$F,$C331,Chicks!$G:$G,$D331))</f>
        <v/>
      </c>
      <c r="M331" s="6" t="str">
        <f>IF($C331="","",SUMIFS(Chicks!$P:$P,Chicks!$F:$F,$C331,Chicks!$G:$G,$D331))</f>
        <v/>
      </c>
      <c r="N331" s="6" t="str">
        <f t="shared" si="5"/>
        <v/>
      </c>
      <c r="O331" s="6" t="e">
        <f t="shared" ca="1" si="6"/>
        <v>#NAME?</v>
      </c>
      <c r="P331" s="6" t="str">
        <f t="shared" si="7"/>
        <v/>
      </c>
    </row>
    <row r="332" spans="1:16" ht="14.25" customHeight="1" x14ac:dyDescent="0.3">
      <c r="A332" s="4"/>
      <c r="B332" s="4"/>
      <c r="C332" s="4" t="str">
        <f t="shared" si="8"/>
        <v/>
      </c>
      <c r="D332" s="4" t="str">
        <f t="shared" si="9"/>
        <v/>
      </c>
      <c r="E332" s="4"/>
      <c r="F332" s="6" t="str">
        <f>IF($C332="","",COUNTIFS(Chicks!$F:$F,$C332,Chicks!$G:$G,$D332))</f>
        <v/>
      </c>
      <c r="G332" s="6" t="str">
        <f>IF($C332="","",COUNTIFS(Chicks!$F:$F,$C332,Chicks!$G:$G,$D332,Chicks!$I:$I,"Yes"))</f>
        <v/>
      </c>
      <c r="H332" s="6" t="str">
        <f>IF($C332="","",SUMIFS(Chicks!$J:$J,Chicks!$F:$F,$C332,Chicks!$G:$G,$D332))</f>
        <v/>
      </c>
      <c r="I332" s="6" t="str">
        <f>IF($C332="","",COUNTIFS(Chicks!$F:$F,$C332,Chicks!$G:$G,$D332,Chicks!$I:$I,"No"))</f>
        <v/>
      </c>
      <c r="J332" s="6" t="str">
        <f>IF($C332="","",IFERROR(AVERAGEIFS(Chicks!$M:$M,Chicks!$F:$F,$C332,Chicks!$G:$G,$D332),""))</f>
        <v/>
      </c>
      <c r="K332" s="6" t="str">
        <f>IF($C332="","",SUMIFS(Chicks!$N:$N,Chicks!$F:$F,$C332,Chicks!$G:$G,$D332))</f>
        <v/>
      </c>
      <c r="L332" s="6" t="str">
        <f>IF($C332="","",SUMIFS(Chicks!$O:$O,Chicks!$F:$F,$C332,Chicks!$G:$G,$D332))</f>
        <v/>
      </c>
      <c r="M332" s="6" t="str">
        <f>IF($C332="","",SUMIFS(Chicks!$P:$P,Chicks!$F:$F,$C332,Chicks!$G:$G,$D332))</f>
        <v/>
      </c>
      <c r="N332" s="6" t="str">
        <f t="shared" si="5"/>
        <v/>
      </c>
      <c r="O332" s="6" t="e">
        <f t="shared" ca="1" si="6"/>
        <v>#NAME?</v>
      </c>
      <c r="P332" s="6" t="str">
        <f t="shared" si="7"/>
        <v/>
      </c>
    </row>
    <row r="333" spans="1:16" ht="14.25" customHeight="1" x14ac:dyDescent="0.3">
      <c r="A333" s="4"/>
      <c r="B333" s="4"/>
      <c r="C333" s="4" t="str">
        <f t="shared" si="8"/>
        <v/>
      </c>
      <c r="D333" s="4" t="str">
        <f t="shared" si="9"/>
        <v/>
      </c>
      <c r="E333" s="4"/>
      <c r="F333" s="6" t="str">
        <f>IF($C333="","",COUNTIFS(Chicks!$F:$F,$C333,Chicks!$G:$G,$D333))</f>
        <v/>
      </c>
      <c r="G333" s="6" t="str">
        <f>IF($C333="","",COUNTIFS(Chicks!$F:$F,$C333,Chicks!$G:$G,$D333,Chicks!$I:$I,"Yes"))</f>
        <v/>
      </c>
      <c r="H333" s="6" t="str">
        <f>IF($C333="","",SUMIFS(Chicks!$J:$J,Chicks!$F:$F,$C333,Chicks!$G:$G,$D333))</f>
        <v/>
      </c>
      <c r="I333" s="6" t="str">
        <f>IF($C333="","",COUNTIFS(Chicks!$F:$F,$C333,Chicks!$G:$G,$D333,Chicks!$I:$I,"No"))</f>
        <v/>
      </c>
      <c r="J333" s="6" t="str">
        <f>IF($C333="","",IFERROR(AVERAGEIFS(Chicks!$M:$M,Chicks!$F:$F,$C333,Chicks!$G:$G,$D333),""))</f>
        <v/>
      </c>
      <c r="K333" s="6" t="str">
        <f>IF($C333="","",SUMIFS(Chicks!$N:$N,Chicks!$F:$F,$C333,Chicks!$G:$G,$D333))</f>
        <v/>
      </c>
      <c r="L333" s="6" t="str">
        <f>IF($C333="","",SUMIFS(Chicks!$O:$O,Chicks!$F:$F,$C333,Chicks!$G:$G,$D333))</f>
        <v/>
      </c>
      <c r="M333" s="6" t="str">
        <f>IF($C333="","",SUMIFS(Chicks!$P:$P,Chicks!$F:$F,$C333,Chicks!$G:$G,$D333))</f>
        <v/>
      </c>
      <c r="N333" s="6" t="str">
        <f t="shared" si="5"/>
        <v/>
      </c>
      <c r="O333" s="6" t="e">
        <f t="shared" ca="1" si="6"/>
        <v>#NAME?</v>
      </c>
      <c r="P333" s="6" t="str">
        <f t="shared" si="7"/>
        <v/>
      </c>
    </row>
    <row r="334" spans="1:16" ht="14.25" customHeight="1" x14ac:dyDescent="0.3">
      <c r="A334" s="4"/>
      <c r="B334" s="4"/>
      <c r="C334" s="4" t="str">
        <f t="shared" si="8"/>
        <v/>
      </c>
      <c r="D334" s="4" t="str">
        <f t="shared" si="9"/>
        <v/>
      </c>
      <c r="E334" s="4"/>
      <c r="F334" s="6" t="str">
        <f>IF($C334="","",COUNTIFS(Chicks!$F:$F,$C334,Chicks!$G:$G,$D334))</f>
        <v/>
      </c>
      <c r="G334" s="6" t="str">
        <f>IF($C334="","",COUNTIFS(Chicks!$F:$F,$C334,Chicks!$G:$G,$D334,Chicks!$I:$I,"Yes"))</f>
        <v/>
      </c>
      <c r="H334" s="6" t="str">
        <f>IF($C334="","",SUMIFS(Chicks!$J:$J,Chicks!$F:$F,$C334,Chicks!$G:$G,$D334))</f>
        <v/>
      </c>
      <c r="I334" s="6" t="str">
        <f>IF($C334="","",COUNTIFS(Chicks!$F:$F,$C334,Chicks!$G:$G,$D334,Chicks!$I:$I,"No"))</f>
        <v/>
      </c>
      <c r="J334" s="6" t="str">
        <f>IF($C334="","",IFERROR(AVERAGEIFS(Chicks!$M:$M,Chicks!$F:$F,$C334,Chicks!$G:$G,$D334),""))</f>
        <v/>
      </c>
      <c r="K334" s="6" t="str">
        <f>IF($C334="","",SUMIFS(Chicks!$N:$N,Chicks!$F:$F,$C334,Chicks!$G:$G,$D334))</f>
        <v/>
      </c>
      <c r="L334" s="6" t="str">
        <f>IF($C334="","",SUMIFS(Chicks!$O:$O,Chicks!$F:$F,$C334,Chicks!$G:$G,$D334))</f>
        <v/>
      </c>
      <c r="M334" s="6" t="str">
        <f>IF($C334="","",SUMIFS(Chicks!$P:$P,Chicks!$F:$F,$C334,Chicks!$G:$G,$D334))</f>
        <v/>
      </c>
      <c r="N334" s="6" t="str">
        <f t="shared" si="5"/>
        <v/>
      </c>
      <c r="O334" s="6" t="e">
        <f t="shared" ca="1" si="6"/>
        <v>#NAME?</v>
      </c>
      <c r="P334" s="6" t="str">
        <f t="shared" si="7"/>
        <v/>
      </c>
    </row>
    <row r="335" spans="1:16" ht="14.25" customHeight="1" x14ac:dyDescent="0.3">
      <c r="A335" s="4"/>
      <c r="B335" s="4"/>
      <c r="C335" s="4" t="str">
        <f t="shared" si="8"/>
        <v/>
      </c>
      <c r="D335" s="4" t="str">
        <f t="shared" si="9"/>
        <v/>
      </c>
      <c r="E335" s="4"/>
      <c r="F335" s="6" t="str">
        <f>IF($C335="","",COUNTIFS(Chicks!$F:$F,$C335,Chicks!$G:$G,$D335))</f>
        <v/>
      </c>
      <c r="G335" s="6" t="str">
        <f>IF($C335="","",COUNTIFS(Chicks!$F:$F,$C335,Chicks!$G:$G,$D335,Chicks!$I:$I,"Yes"))</f>
        <v/>
      </c>
      <c r="H335" s="6" t="str">
        <f>IF($C335="","",SUMIFS(Chicks!$J:$J,Chicks!$F:$F,$C335,Chicks!$G:$G,$D335))</f>
        <v/>
      </c>
      <c r="I335" s="6" t="str">
        <f>IF($C335="","",COUNTIFS(Chicks!$F:$F,$C335,Chicks!$G:$G,$D335,Chicks!$I:$I,"No"))</f>
        <v/>
      </c>
      <c r="J335" s="6" t="str">
        <f>IF($C335="","",IFERROR(AVERAGEIFS(Chicks!$M:$M,Chicks!$F:$F,$C335,Chicks!$G:$G,$D335),""))</f>
        <v/>
      </c>
      <c r="K335" s="6" t="str">
        <f>IF($C335="","",SUMIFS(Chicks!$N:$N,Chicks!$F:$F,$C335,Chicks!$G:$G,$D335))</f>
        <v/>
      </c>
      <c r="L335" s="6" t="str">
        <f>IF($C335="","",SUMIFS(Chicks!$O:$O,Chicks!$F:$F,$C335,Chicks!$G:$G,$D335))</f>
        <v/>
      </c>
      <c r="M335" s="6" t="str">
        <f>IF($C335="","",SUMIFS(Chicks!$P:$P,Chicks!$F:$F,$C335,Chicks!$G:$G,$D335))</f>
        <v/>
      </c>
      <c r="N335" s="6" t="str">
        <f t="shared" si="5"/>
        <v/>
      </c>
      <c r="O335" s="6" t="e">
        <f t="shared" ca="1" si="6"/>
        <v>#NAME?</v>
      </c>
      <c r="P335" s="6" t="str">
        <f t="shared" si="7"/>
        <v/>
      </c>
    </row>
    <row r="336" spans="1:16" ht="14.25" customHeight="1" x14ac:dyDescent="0.3">
      <c r="A336" s="4"/>
      <c r="B336" s="4"/>
      <c r="C336" s="4" t="str">
        <f t="shared" si="8"/>
        <v/>
      </c>
      <c r="D336" s="4" t="str">
        <f t="shared" si="9"/>
        <v/>
      </c>
      <c r="E336" s="4"/>
      <c r="F336" s="6" t="str">
        <f>IF($C336="","",COUNTIFS(Chicks!$F:$F,$C336,Chicks!$G:$G,$D336))</f>
        <v/>
      </c>
      <c r="G336" s="6" t="str">
        <f>IF($C336="","",COUNTIFS(Chicks!$F:$F,$C336,Chicks!$G:$G,$D336,Chicks!$I:$I,"Yes"))</f>
        <v/>
      </c>
      <c r="H336" s="6" t="str">
        <f>IF($C336="","",SUMIFS(Chicks!$J:$J,Chicks!$F:$F,$C336,Chicks!$G:$G,$D336))</f>
        <v/>
      </c>
      <c r="I336" s="6" t="str">
        <f>IF($C336="","",COUNTIFS(Chicks!$F:$F,$C336,Chicks!$G:$G,$D336,Chicks!$I:$I,"No"))</f>
        <v/>
      </c>
      <c r="J336" s="6" t="str">
        <f>IF($C336="","",IFERROR(AVERAGEIFS(Chicks!$M:$M,Chicks!$F:$F,$C336,Chicks!$G:$G,$D336),""))</f>
        <v/>
      </c>
      <c r="K336" s="6" t="str">
        <f>IF($C336="","",SUMIFS(Chicks!$N:$N,Chicks!$F:$F,$C336,Chicks!$G:$G,$D336))</f>
        <v/>
      </c>
      <c r="L336" s="6" t="str">
        <f>IF($C336="","",SUMIFS(Chicks!$O:$O,Chicks!$F:$F,$C336,Chicks!$G:$G,$D336))</f>
        <v/>
      </c>
      <c r="M336" s="6" t="str">
        <f>IF($C336="","",SUMIFS(Chicks!$P:$P,Chicks!$F:$F,$C336,Chicks!$G:$G,$D336))</f>
        <v/>
      </c>
      <c r="N336" s="6" t="str">
        <f t="shared" si="5"/>
        <v/>
      </c>
      <c r="O336" s="6" t="e">
        <f t="shared" ca="1" si="6"/>
        <v>#NAME?</v>
      </c>
      <c r="P336" s="6" t="str">
        <f t="shared" si="7"/>
        <v/>
      </c>
    </row>
    <row r="337" spans="1:16" ht="14.25" customHeight="1" x14ac:dyDescent="0.3">
      <c r="A337" s="4"/>
      <c r="B337" s="4"/>
      <c r="C337" s="4" t="str">
        <f t="shared" si="8"/>
        <v/>
      </c>
      <c r="D337" s="4" t="str">
        <f t="shared" si="9"/>
        <v/>
      </c>
      <c r="E337" s="4"/>
      <c r="F337" s="6" t="str">
        <f>IF($C337="","",COUNTIFS(Chicks!$F:$F,$C337,Chicks!$G:$G,$D337))</f>
        <v/>
      </c>
      <c r="G337" s="6" t="str">
        <f>IF($C337="","",COUNTIFS(Chicks!$F:$F,$C337,Chicks!$G:$G,$D337,Chicks!$I:$I,"Yes"))</f>
        <v/>
      </c>
      <c r="H337" s="6" t="str">
        <f>IF($C337="","",SUMIFS(Chicks!$J:$J,Chicks!$F:$F,$C337,Chicks!$G:$G,$D337))</f>
        <v/>
      </c>
      <c r="I337" s="6" t="str">
        <f>IF($C337="","",COUNTIFS(Chicks!$F:$F,$C337,Chicks!$G:$G,$D337,Chicks!$I:$I,"No"))</f>
        <v/>
      </c>
      <c r="J337" s="6" t="str">
        <f>IF($C337="","",IFERROR(AVERAGEIFS(Chicks!$M:$M,Chicks!$F:$F,$C337,Chicks!$G:$G,$D337),""))</f>
        <v/>
      </c>
      <c r="K337" s="6" t="str">
        <f>IF($C337="","",SUMIFS(Chicks!$N:$N,Chicks!$F:$F,$C337,Chicks!$G:$G,$D337))</f>
        <v/>
      </c>
      <c r="L337" s="6" t="str">
        <f>IF($C337="","",SUMIFS(Chicks!$O:$O,Chicks!$F:$F,$C337,Chicks!$G:$G,$D337))</f>
        <v/>
      </c>
      <c r="M337" s="6" t="str">
        <f>IF($C337="","",SUMIFS(Chicks!$P:$P,Chicks!$F:$F,$C337,Chicks!$G:$G,$D337))</f>
        <v/>
      </c>
      <c r="N337" s="6" t="str">
        <f t="shared" si="5"/>
        <v/>
      </c>
      <c r="O337" s="6" t="e">
        <f t="shared" ca="1" si="6"/>
        <v>#NAME?</v>
      </c>
      <c r="P337" s="6" t="str">
        <f t="shared" si="7"/>
        <v/>
      </c>
    </row>
    <row r="338" spans="1:16" ht="14.25" customHeight="1" x14ac:dyDescent="0.3">
      <c r="A338" s="4"/>
      <c r="B338" s="4"/>
      <c r="C338" s="4" t="str">
        <f t="shared" si="8"/>
        <v/>
      </c>
      <c r="D338" s="4" t="str">
        <f t="shared" si="9"/>
        <v/>
      </c>
      <c r="E338" s="4"/>
      <c r="F338" s="6" t="str">
        <f>IF($C338="","",COUNTIFS(Chicks!$F:$F,$C338,Chicks!$G:$G,$D338))</f>
        <v/>
      </c>
      <c r="G338" s="6" t="str">
        <f>IF($C338="","",COUNTIFS(Chicks!$F:$F,$C338,Chicks!$G:$G,$D338,Chicks!$I:$I,"Yes"))</f>
        <v/>
      </c>
      <c r="H338" s="6" t="str">
        <f>IF($C338="","",SUMIFS(Chicks!$J:$J,Chicks!$F:$F,$C338,Chicks!$G:$G,$D338))</f>
        <v/>
      </c>
      <c r="I338" s="6" t="str">
        <f>IF($C338="","",COUNTIFS(Chicks!$F:$F,$C338,Chicks!$G:$G,$D338,Chicks!$I:$I,"No"))</f>
        <v/>
      </c>
      <c r="J338" s="6" t="str">
        <f>IF($C338="","",IFERROR(AVERAGEIFS(Chicks!$M:$M,Chicks!$F:$F,$C338,Chicks!$G:$G,$D338),""))</f>
        <v/>
      </c>
      <c r="K338" s="6" t="str">
        <f>IF($C338="","",SUMIFS(Chicks!$N:$N,Chicks!$F:$F,$C338,Chicks!$G:$G,$D338))</f>
        <v/>
      </c>
      <c r="L338" s="6" t="str">
        <f>IF($C338="","",SUMIFS(Chicks!$O:$O,Chicks!$F:$F,$C338,Chicks!$G:$G,$D338))</f>
        <v/>
      </c>
      <c r="M338" s="6" t="str">
        <f>IF($C338="","",SUMIFS(Chicks!$P:$P,Chicks!$F:$F,$C338,Chicks!$G:$G,$D338))</f>
        <v/>
      </c>
      <c r="N338" s="6" t="str">
        <f t="shared" si="5"/>
        <v/>
      </c>
      <c r="O338" s="6" t="e">
        <f t="shared" ca="1" si="6"/>
        <v>#NAME?</v>
      </c>
      <c r="P338" s="6" t="str">
        <f t="shared" si="7"/>
        <v/>
      </c>
    </row>
    <row r="339" spans="1:16" ht="14.25" customHeight="1" x14ac:dyDescent="0.3">
      <c r="A339" s="4"/>
      <c r="B339" s="4"/>
      <c r="C339" s="4" t="str">
        <f t="shared" si="8"/>
        <v/>
      </c>
      <c r="D339" s="4" t="str">
        <f t="shared" si="9"/>
        <v/>
      </c>
      <c r="E339" s="4"/>
      <c r="F339" s="6" t="str">
        <f>IF($C339="","",COUNTIFS(Chicks!$F:$F,$C339,Chicks!$G:$G,$D339))</f>
        <v/>
      </c>
      <c r="G339" s="6" t="str">
        <f>IF($C339="","",COUNTIFS(Chicks!$F:$F,$C339,Chicks!$G:$G,$D339,Chicks!$I:$I,"Yes"))</f>
        <v/>
      </c>
      <c r="H339" s="6" t="str">
        <f>IF($C339="","",SUMIFS(Chicks!$J:$J,Chicks!$F:$F,$C339,Chicks!$G:$G,$D339))</f>
        <v/>
      </c>
      <c r="I339" s="6" t="str">
        <f>IF($C339="","",COUNTIFS(Chicks!$F:$F,$C339,Chicks!$G:$G,$D339,Chicks!$I:$I,"No"))</f>
        <v/>
      </c>
      <c r="J339" s="6" t="str">
        <f>IF($C339="","",IFERROR(AVERAGEIFS(Chicks!$M:$M,Chicks!$F:$F,$C339,Chicks!$G:$G,$D339),""))</f>
        <v/>
      </c>
      <c r="K339" s="6" t="str">
        <f>IF($C339="","",SUMIFS(Chicks!$N:$N,Chicks!$F:$F,$C339,Chicks!$G:$G,$D339))</f>
        <v/>
      </c>
      <c r="L339" s="6" t="str">
        <f>IF($C339="","",SUMIFS(Chicks!$O:$O,Chicks!$F:$F,$C339,Chicks!$G:$G,$D339))</f>
        <v/>
      </c>
      <c r="M339" s="6" t="str">
        <f>IF($C339="","",SUMIFS(Chicks!$P:$P,Chicks!$F:$F,$C339,Chicks!$G:$G,$D339))</f>
        <v/>
      </c>
      <c r="N339" s="6" t="str">
        <f t="shared" si="5"/>
        <v/>
      </c>
      <c r="O339" s="6" t="e">
        <f t="shared" ca="1" si="6"/>
        <v>#NAME?</v>
      </c>
      <c r="P339" s="6" t="str">
        <f t="shared" si="7"/>
        <v/>
      </c>
    </row>
    <row r="340" spans="1:16" ht="14.25" customHeight="1" x14ac:dyDescent="0.3">
      <c r="A340" s="4"/>
      <c r="B340" s="4"/>
      <c r="C340" s="4" t="str">
        <f t="shared" si="8"/>
        <v/>
      </c>
      <c r="D340" s="4" t="str">
        <f t="shared" si="9"/>
        <v/>
      </c>
      <c r="E340" s="4"/>
      <c r="F340" s="6" t="str">
        <f>IF($C340="","",COUNTIFS(Chicks!$F:$F,$C340,Chicks!$G:$G,$D340))</f>
        <v/>
      </c>
      <c r="G340" s="6" t="str">
        <f>IF($C340="","",COUNTIFS(Chicks!$F:$F,$C340,Chicks!$G:$G,$D340,Chicks!$I:$I,"Yes"))</f>
        <v/>
      </c>
      <c r="H340" s="6" t="str">
        <f>IF($C340="","",SUMIFS(Chicks!$J:$J,Chicks!$F:$F,$C340,Chicks!$G:$G,$D340))</f>
        <v/>
      </c>
      <c r="I340" s="6" t="str">
        <f>IF($C340="","",COUNTIFS(Chicks!$F:$F,$C340,Chicks!$G:$G,$D340,Chicks!$I:$I,"No"))</f>
        <v/>
      </c>
      <c r="J340" s="6" t="str">
        <f>IF($C340="","",IFERROR(AVERAGEIFS(Chicks!$M:$M,Chicks!$F:$F,$C340,Chicks!$G:$G,$D340),""))</f>
        <v/>
      </c>
      <c r="K340" s="6" t="str">
        <f>IF($C340="","",SUMIFS(Chicks!$N:$N,Chicks!$F:$F,$C340,Chicks!$G:$G,$D340))</f>
        <v/>
      </c>
      <c r="L340" s="6" t="str">
        <f>IF($C340="","",SUMIFS(Chicks!$O:$O,Chicks!$F:$F,$C340,Chicks!$G:$G,$D340))</f>
        <v/>
      </c>
      <c r="M340" s="6" t="str">
        <f>IF($C340="","",SUMIFS(Chicks!$P:$P,Chicks!$F:$F,$C340,Chicks!$G:$G,$D340))</f>
        <v/>
      </c>
      <c r="N340" s="6" t="str">
        <f t="shared" si="5"/>
        <v/>
      </c>
      <c r="O340" s="6" t="e">
        <f t="shared" ca="1" si="6"/>
        <v>#NAME?</v>
      </c>
      <c r="P340" s="6" t="str">
        <f t="shared" si="7"/>
        <v/>
      </c>
    </row>
    <row r="341" spans="1:16" ht="14.25" customHeight="1" x14ac:dyDescent="0.3">
      <c r="A341" s="4"/>
      <c r="B341" s="4"/>
      <c r="C341" s="4" t="str">
        <f t="shared" si="8"/>
        <v/>
      </c>
      <c r="D341" s="4" t="str">
        <f t="shared" si="9"/>
        <v/>
      </c>
      <c r="E341" s="4"/>
      <c r="F341" s="6" t="str">
        <f>IF($C341="","",COUNTIFS(Chicks!$F:$F,$C341,Chicks!$G:$G,$D341))</f>
        <v/>
      </c>
      <c r="G341" s="6" t="str">
        <f>IF($C341="","",COUNTIFS(Chicks!$F:$F,$C341,Chicks!$G:$G,$D341,Chicks!$I:$I,"Yes"))</f>
        <v/>
      </c>
      <c r="H341" s="6" t="str">
        <f>IF($C341="","",SUMIFS(Chicks!$J:$J,Chicks!$F:$F,$C341,Chicks!$G:$G,$D341))</f>
        <v/>
      </c>
      <c r="I341" s="6" t="str">
        <f>IF($C341="","",COUNTIFS(Chicks!$F:$F,$C341,Chicks!$G:$G,$D341,Chicks!$I:$I,"No"))</f>
        <v/>
      </c>
      <c r="J341" s="6" t="str">
        <f>IF($C341="","",IFERROR(AVERAGEIFS(Chicks!$M:$M,Chicks!$F:$F,$C341,Chicks!$G:$G,$D341),""))</f>
        <v/>
      </c>
      <c r="K341" s="6" t="str">
        <f>IF($C341="","",SUMIFS(Chicks!$N:$N,Chicks!$F:$F,$C341,Chicks!$G:$G,$D341))</f>
        <v/>
      </c>
      <c r="L341" s="6" t="str">
        <f>IF($C341="","",SUMIFS(Chicks!$O:$O,Chicks!$F:$F,$C341,Chicks!$G:$G,$D341))</f>
        <v/>
      </c>
      <c r="M341" s="6" t="str">
        <f>IF($C341="","",SUMIFS(Chicks!$P:$P,Chicks!$F:$F,$C341,Chicks!$G:$G,$D341))</f>
        <v/>
      </c>
      <c r="N341" s="6" t="str">
        <f t="shared" si="5"/>
        <v/>
      </c>
      <c r="O341" s="6" t="e">
        <f t="shared" ca="1" si="6"/>
        <v>#NAME?</v>
      </c>
      <c r="P341" s="6" t="str">
        <f t="shared" si="7"/>
        <v/>
      </c>
    </row>
    <row r="342" spans="1:16" ht="14.25" customHeight="1" x14ac:dyDescent="0.3">
      <c r="A342" s="4"/>
      <c r="B342" s="4"/>
      <c r="C342" s="4" t="str">
        <f t="shared" si="8"/>
        <v/>
      </c>
      <c r="D342" s="4" t="str">
        <f t="shared" si="9"/>
        <v/>
      </c>
      <c r="E342" s="4"/>
      <c r="F342" s="6" t="str">
        <f>IF($C342="","",COUNTIFS(Chicks!$F:$F,$C342,Chicks!$G:$G,$D342))</f>
        <v/>
      </c>
      <c r="G342" s="6" t="str">
        <f>IF($C342="","",COUNTIFS(Chicks!$F:$F,$C342,Chicks!$G:$G,$D342,Chicks!$I:$I,"Yes"))</f>
        <v/>
      </c>
      <c r="H342" s="6" t="str">
        <f>IF($C342="","",SUMIFS(Chicks!$J:$J,Chicks!$F:$F,$C342,Chicks!$G:$G,$D342))</f>
        <v/>
      </c>
      <c r="I342" s="6" t="str">
        <f>IF($C342="","",COUNTIFS(Chicks!$F:$F,$C342,Chicks!$G:$G,$D342,Chicks!$I:$I,"No"))</f>
        <v/>
      </c>
      <c r="J342" s="6" t="str">
        <f>IF($C342="","",IFERROR(AVERAGEIFS(Chicks!$M:$M,Chicks!$F:$F,$C342,Chicks!$G:$G,$D342),""))</f>
        <v/>
      </c>
      <c r="K342" s="6" t="str">
        <f>IF($C342="","",SUMIFS(Chicks!$N:$N,Chicks!$F:$F,$C342,Chicks!$G:$G,$D342))</f>
        <v/>
      </c>
      <c r="L342" s="6" t="str">
        <f>IF($C342="","",SUMIFS(Chicks!$O:$O,Chicks!$F:$F,$C342,Chicks!$G:$G,$D342))</f>
        <v/>
      </c>
      <c r="M342" s="6" t="str">
        <f>IF($C342="","",SUMIFS(Chicks!$P:$P,Chicks!$F:$F,$C342,Chicks!$G:$G,$D342))</f>
        <v/>
      </c>
      <c r="N342" s="6" t="str">
        <f t="shared" si="5"/>
        <v/>
      </c>
      <c r="O342" s="6" t="e">
        <f t="shared" ca="1" si="6"/>
        <v>#NAME?</v>
      </c>
      <c r="P342" s="6" t="str">
        <f t="shared" si="7"/>
        <v/>
      </c>
    </row>
    <row r="343" spans="1:16" ht="14.25" customHeight="1" x14ac:dyDescent="0.3">
      <c r="A343" s="4"/>
      <c r="B343" s="4"/>
      <c r="C343" s="4" t="str">
        <f t="shared" si="8"/>
        <v/>
      </c>
      <c r="D343" s="4" t="str">
        <f t="shared" si="9"/>
        <v/>
      </c>
      <c r="E343" s="4"/>
      <c r="F343" s="6" t="str">
        <f>IF($C343="","",COUNTIFS(Chicks!$F:$F,$C343,Chicks!$G:$G,$D343))</f>
        <v/>
      </c>
      <c r="G343" s="6" t="str">
        <f>IF($C343="","",COUNTIFS(Chicks!$F:$F,$C343,Chicks!$G:$G,$D343,Chicks!$I:$I,"Yes"))</f>
        <v/>
      </c>
      <c r="H343" s="6" t="str">
        <f>IF($C343="","",SUMIFS(Chicks!$J:$J,Chicks!$F:$F,$C343,Chicks!$G:$G,$D343))</f>
        <v/>
      </c>
      <c r="I343" s="6" t="str">
        <f>IF($C343="","",COUNTIFS(Chicks!$F:$F,$C343,Chicks!$G:$G,$D343,Chicks!$I:$I,"No"))</f>
        <v/>
      </c>
      <c r="J343" s="6" t="str">
        <f>IF($C343="","",IFERROR(AVERAGEIFS(Chicks!$M:$M,Chicks!$F:$F,$C343,Chicks!$G:$G,$D343),""))</f>
        <v/>
      </c>
      <c r="K343" s="6" t="str">
        <f>IF($C343="","",SUMIFS(Chicks!$N:$N,Chicks!$F:$F,$C343,Chicks!$G:$G,$D343))</f>
        <v/>
      </c>
      <c r="L343" s="6" t="str">
        <f>IF($C343="","",SUMIFS(Chicks!$O:$O,Chicks!$F:$F,$C343,Chicks!$G:$G,$D343))</f>
        <v/>
      </c>
      <c r="M343" s="6" t="str">
        <f>IF($C343="","",SUMIFS(Chicks!$P:$P,Chicks!$F:$F,$C343,Chicks!$G:$G,$D343))</f>
        <v/>
      </c>
      <c r="N343" s="6" t="str">
        <f t="shared" si="5"/>
        <v/>
      </c>
      <c r="O343" s="6" t="e">
        <f t="shared" ca="1" si="6"/>
        <v>#NAME?</v>
      </c>
      <c r="P343" s="6" t="str">
        <f t="shared" si="7"/>
        <v/>
      </c>
    </row>
    <row r="344" spans="1:16" ht="14.25" customHeight="1" x14ac:dyDescent="0.3">
      <c r="A344" s="4"/>
      <c r="B344" s="4"/>
      <c r="C344" s="4" t="str">
        <f t="shared" si="8"/>
        <v/>
      </c>
      <c r="D344" s="4" t="str">
        <f t="shared" si="9"/>
        <v/>
      </c>
      <c r="E344" s="4"/>
      <c r="F344" s="6" t="str">
        <f>IF($C344="","",COUNTIFS(Chicks!$F:$F,$C344,Chicks!$G:$G,$D344))</f>
        <v/>
      </c>
      <c r="G344" s="6" t="str">
        <f>IF($C344="","",COUNTIFS(Chicks!$F:$F,$C344,Chicks!$G:$G,$D344,Chicks!$I:$I,"Yes"))</f>
        <v/>
      </c>
      <c r="H344" s="6" t="str">
        <f>IF($C344="","",SUMIFS(Chicks!$J:$J,Chicks!$F:$F,$C344,Chicks!$G:$G,$D344))</f>
        <v/>
      </c>
      <c r="I344" s="6" t="str">
        <f>IF($C344="","",COUNTIFS(Chicks!$F:$F,$C344,Chicks!$G:$G,$D344,Chicks!$I:$I,"No"))</f>
        <v/>
      </c>
      <c r="J344" s="6" t="str">
        <f>IF($C344="","",IFERROR(AVERAGEIFS(Chicks!$M:$M,Chicks!$F:$F,$C344,Chicks!$G:$G,$D344),""))</f>
        <v/>
      </c>
      <c r="K344" s="6" t="str">
        <f>IF($C344="","",SUMIFS(Chicks!$N:$N,Chicks!$F:$F,$C344,Chicks!$G:$G,$D344))</f>
        <v/>
      </c>
      <c r="L344" s="6" t="str">
        <f>IF($C344="","",SUMIFS(Chicks!$O:$O,Chicks!$F:$F,$C344,Chicks!$G:$G,$D344))</f>
        <v/>
      </c>
      <c r="M344" s="6" t="str">
        <f>IF($C344="","",SUMIFS(Chicks!$P:$P,Chicks!$F:$F,$C344,Chicks!$G:$G,$D344))</f>
        <v/>
      </c>
      <c r="N344" s="6" t="str">
        <f t="shared" si="5"/>
        <v/>
      </c>
      <c r="O344" s="6" t="e">
        <f t="shared" ca="1" si="6"/>
        <v>#NAME?</v>
      </c>
      <c r="P344" s="6" t="str">
        <f t="shared" si="7"/>
        <v/>
      </c>
    </row>
    <row r="345" spans="1:16" ht="14.25" customHeight="1" x14ac:dyDescent="0.3">
      <c r="A345" s="4"/>
      <c r="B345" s="4"/>
      <c r="C345" s="4" t="str">
        <f t="shared" si="8"/>
        <v/>
      </c>
      <c r="D345" s="4" t="str">
        <f t="shared" si="9"/>
        <v/>
      </c>
      <c r="E345" s="4"/>
      <c r="F345" s="6" t="str">
        <f>IF($C345="","",COUNTIFS(Chicks!$F:$F,$C345,Chicks!$G:$G,$D345))</f>
        <v/>
      </c>
      <c r="G345" s="6" t="str">
        <f>IF($C345="","",COUNTIFS(Chicks!$F:$F,$C345,Chicks!$G:$G,$D345,Chicks!$I:$I,"Yes"))</f>
        <v/>
      </c>
      <c r="H345" s="6" t="str">
        <f>IF($C345="","",SUMIFS(Chicks!$J:$J,Chicks!$F:$F,$C345,Chicks!$G:$G,$D345))</f>
        <v/>
      </c>
      <c r="I345" s="6" t="str">
        <f>IF($C345="","",COUNTIFS(Chicks!$F:$F,$C345,Chicks!$G:$G,$D345,Chicks!$I:$I,"No"))</f>
        <v/>
      </c>
      <c r="J345" s="6" t="str">
        <f>IF($C345="","",IFERROR(AVERAGEIFS(Chicks!$M:$M,Chicks!$F:$F,$C345,Chicks!$G:$G,$D345),""))</f>
        <v/>
      </c>
      <c r="K345" s="6" t="str">
        <f>IF($C345="","",SUMIFS(Chicks!$N:$N,Chicks!$F:$F,$C345,Chicks!$G:$G,$D345))</f>
        <v/>
      </c>
      <c r="L345" s="6" t="str">
        <f>IF($C345="","",SUMIFS(Chicks!$O:$O,Chicks!$F:$F,$C345,Chicks!$G:$G,$D345))</f>
        <v/>
      </c>
      <c r="M345" s="6" t="str">
        <f>IF($C345="","",SUMIFS(Chicks!$P:$P,Chicks!$F:$F,$C345,Chicks!$G:$G,$D345))</f>
        <v/>
      </c>
      <c r="N345" s="6" t="str">
        <f t="shared" si="5"/>
        <v/>
      </c>
      <c r="O345" s="6" t="e">
        <f t="shared" ca="1" si="6"/>
        <v>#NAME?</v>
      </c>
      <c r="P345" s="6" t="str">
        <f t="shared" si="7"/>
        <v/>
      </c>
    </row>
    <row r="346" spans="1:16" ht="14.25" customHeight="1" x14ac:dyDescent="0.3">
      <c r="A346" s="4"/>
      <c r="B346" s="4"/>
      <c r="C346" s="4" t="str">
        <f t="shared" si="8"/>
        <v/>
      </c>
      <c r="D346" s="4" t="str">
        <f t="shared" si="9"/>
        <v/>
      </c>
      <c r="E346" s="4"/>
      <c r="F346" s="6" t="str">
        <f>IF($C346="","",COUNTIFS(Chicks!$F:$F,$C346,Chicks!$G:$G,$D346))</f>
        <v/>
      </c>
      <c r="G346" s="6" t="str">
        <f>IF($C346="","",COUNTIFS(Chicks!$F:$F,$C346,Chicks!$G:$G,$D346,Chicks!$I:$I,"Yes"))</f>
        <v/>
      </c>
      <c r="H346" s="6" t="str">
        <f>IF($C346="","",SUMIFS(Chicks!$J:$J,Chicks!$F:$F,$C346,Chicks!$G:$G,$D346))</f>
        <v/>
      </c>
      <c r="I346" s="6" t="str">
        <f>IF($C346="","",COUNTIFS(Chicks!$F:$F,$C346,Chicks!$G:$G,$D346,Chicks!$I:$I,"No"))</f>
        <v/>
      </c>
      <c r="J346" s="6" t="str">
        <f>IF($C346="","",IFERROR(AVERAGEIFS(Chicks!$M:$M,Chicks!$F:$F,$C346,Chicks!$G:$G,$D346),""))</f>
        <v/>
      </c>
      <c r="K346" s="6" t="str">
        <f>IF($C346="","",SUMIFS(Chicks!$N:$N,Chicks!$F:$F,$C346,Chicks!$G:$G,$D346))</f>
        <v/>
      </c>
      <c r="L346" s="6" t="str">
        <f>IF($C346="","",SUMIFS(Chicks!$O:$O,Chicks!$F:$F,$C346,Chicks!$G:$G,$D346))</f>
        <v/>
      </c>
      <c r="M346" s="6" t="str">
        <f>IF($C346="","",SUMIFS(Chicks!$P:$P,Chicks!$F:$F,$C346,Chicks!$G:$G,$D346))</f>
        <v/>
      </c>
      <c r="N346" s="6" t="str">
        <f t="shared" si="5"/>
        <v/>
      </c>
      <c r="O346" s="6" t="e">
        <f t="shared" ca="1" si="6"/>
        <v>#NAME?</v>
      </c>
      <c r="P346" s="6" t="str">
        <f t="shared" si="7"/>
        <v/>
      </c>
    </row>
    <row r="347" spans="1:16" ht="14.25" customHeight="1" x14ac:dyDescent="0.3">
      <c r="A347" s="4"/>
      <c r="B347" s="4"/>
      <c r="C347" s="4" t="str">
        <f t="shared" si="8"/>
        <v/>
      </c>
      <c r="D347" s="4" t="str">
        <f t="shared" si="9"/>
        <v/>
      </c>
      <c r="E347" s="4"/>
      <c r="F347" s="6" t="str">
        <f>IF($C347="","",COUNTIFS(Chicks!$F:$F,$C347,Chicks!$G:$G,$D347))</f>
        <v/>
      </c>
      <c r="G347" s="6" t="str">
        <f>IF($C347="","",COUNTIFS(Chicks!$F:$F,$C347,Chicks!$G:$G,$D347,Chicks!$I:$I,"Yes"))</f>
        <v/>
      </c>
      <c r="H347" s="6" t="str">
        <f>IF($C347="","",SUMIFS(Chicks!$J:$J,Chicks!$F:$F,$C347,Chicks!$G:$G,$D347))</f>
        <v/>
      </c>
      <c r="I347" s="6" t="str">
        <f>IF($C347="","",COUNTIFS(Chicks!$F:$F,$C347,Chicks!$G:$G,$D347,Chicks!$I:$I,"No"))</f>
        <v/>
      </c>
      <c r="J347" s="6" t="str">
        <f>IF($C347="","",IFERROR(AVERAGEIFS(Chicks!$M:$M,Chicks!$F:$F,$C347,Chicks!$G:$G,$D347),""))</f>
        <v/>
      </c>
      <c r="K347" s="6" t="str">
        <f>IF($C347="","",SUMIFS(Chicks!$N:$N,Chicks!$F:$F,$C347,Chicks!$G:$G,$D347))</f>
        <v/>
      </c>
      <c r="L347" s="6" t="str">
        <f>IF($C347="","",SUMIFS(Chicks!$O:$O,Chicks!$F:$F,$C347,Chicks!$G:$G,$D347))</f>
        <v/>
      </c>
      <c r="M347" s="6" t="str">
        <f>IF($C347="","",SUMIFS(Chicks!$P:$P,Chicks!$F:$F,$C347,Chicks!$G:$G,$D347))</f>
        <v/>
      </c>
      <c r="N347" s="6" t="str">
        <f t="shared" si="5"/>
        <v/>
      </c>
      <c r="O347" s="6" t="e">
        <f t="shared" ca="1" si="6"/>
        <v>#NAME?</v>
      </c>
      <c r="P347" s="6" t="str">
        <f t="shared" si="7"/>
        <v/>
      </c>
    </row>
    <row r="348" spans="1:16" ht="14.25" customHeight="1" x14ac:dyDescent="0.3">
      <c r="A348" s="4"/>
      <c r="B348" s="4"/>
      <c r="C348" s="4" t="str">
        <f t="shared" si="8"/>
        <v/>
      </c>
      <c r="D348" s="4" t="str">
        <f t="shared" si="9"/>
        <v/>
      </c>
      <c r="E348" s="4"/>
      <c r="F348" s="6" t="str">
        <f>IF($C348="","",COUNTIFS(Chicks!$F:$F,$C348,Chicks!$G:$G,$D348))</f>
        <v/>
      </c>
      <c r="G348" s="6" t="str">
        <f>IF($C348="","",COUNTIFS(Chicks!$F:$F,$C348,Chicks!$G:$G,$D348,Chicks!$I:$I,"Yes"))</f>
        <v/>
      </c>
      <c r="H348" s="6" t="str">
        <f>IF($C348="","",SUMIFS(Chicks!$J:$J,Chicks!$F:$F,$C348,Chicks!$G:$G,$D348))</f>
        <v/>
      </c>
      <c r="I348" s="6" t="str">
        <f>IF($C348="","",COUNTIFS(Chicks!$F:$F,$C348,Chicks!$G:$G,$D348,Chicks!$I:$I,"No"))</f>
        <v/>
      </c>
      <c r="J348" s="6" t="str">
        <f>IF($C348="","",IFERROR(AVERAGEIFS(Chicks!$M:$M,Chicks!$F:$F,$C348,Chicks!$G:$G,$D348),""))</f>
        <v/>
      </c>
      <c r="K348" s="6" t="str">
        <f>IF($C348="","",SUMIFS(Chicks!$N:$N,Chicks!$F:$F,$C348,Chicks!$G:$G,$D348))</f>
        <v/>
      </c>
      <c r="L348" s="6" t="str">
        <f>IF($C348="","",SUMIFS(Chicks!$O:$O,Chicks!$F:$F,$C348,Chicks!$G:$G,$D348))</f>
        <v/>
      </c>
      <c r="M348" s="6" t="str">
        <f>IF($C348="","",SUMIFS(Chicks!$P:$P,Chicks!$F:$F,$C348,Chicks!$G:$G,$D348))</f>
        <v/>
      </c>
      <c r="N348" s="6" t="str">
        <f t="shared" si="5"/>
        <v/>
      </c>
      <c r="O348" s="6" t="e">
        <f t="shared" ca="1" si="6"/>
        <v>#NAME?</v>
      </c>
      <c r="P348" s="6" t="str">
        <f t="shared" si="7"/>
        <v/>
      </c>
    </row>
    <row r="349" spans="1:16" ht="14.25" customHeight="1" x14ac:dyDescent="0.3">
      <c r="A349" s="4"/>
      <c r="B349" s="4"/>
      <c r="C349" s="4" t="str">
        <f t="shared" si="8"/>
        <v/>
      </c>
      <c r="D349" s="4" t="str">
        <f t="shared" si="9"/>
        <v/>
      </c>
      <c r="E349" s="4"/>
      <c r="F349" s="6" t="str">
        <f>IF($C349="","",COUNTIFS(Chicks!$F:$F,$C349,Chicks!$G:$G,$D349))</f>
        <v/>
      </c>
      <c r="G349" s="6" t="str">
        <f>IF($C349="","",COUNTIFS(Chicks!$F:$F,$C349,Chicks!$G:$G,$D349,Chicks!$I:$I,"Yes"))</f>
        <v/>
      </c>
      <c r="H349" s="6" t="str">
        <f>IF($C349="","",SUMIFS(Chicks!$J:$J,Chicks!$F:$F,$C349,Chicks!$G:$G,$D349))</f>
        <v/>
      </c>
      <c r="I349" s="6" t="str">
        <f>IF($C349="","",COUNTIFS(Chicks!$F:$F,$C349,Chicks!$G:$G,$D349,Chicks!$I:$I,"No"))</f>
        <v/>
      </c>
      <c r="J349" s="6" t="str">
        <f>IF($C349="","",IFERROR(AVERAGEIFS(Chicks!$M:$M,Chicks!$F:$F,$C349,Chicks!$G:$G,$D349),""))</f>
        <v/>
      </c>
      <c r="K349" s="6" t="str">
        <f>IF($C349="","",SUMIFS(Chicks!$N:$N,Chicks!$F:$F,$C349,Chicks!$G:$G,$D349))</f>
        <v/>
      </c>
      <c r="L349" s="6" t="str">
        <f>IF($C349="","",SUMIFS(Chicks!$O:$O,Chicks!$F:$F,$C349,Chicks!$G:$G,$D349))</f>
        <v/>
      </c>
      <c r="M349" s="6" t="str">
        <f>IF($C349="","",SUMIFS(Chicks!$P:$P,Chicks!$F:$F,$C349,Chicks!$G:$G,$D349))</f>
        <v/>
      </c>
      <c r="N349" s="6" t="str">
        <f t="shared" si="5"/>
        <v/>
      </c>
      <c r="O349" s="6" t="e">
        <f t="shared" ca="1" si="6"/>
        <v>#NAME?</v>
      </c>
      <c r="P349" s="6" t="str">
        <f t="shared" si="7"/>
        <v/>
      </c>
    </row>
    <row r="350" spans="1:16" ht="14.25" customHeight="1" x14ac:dyDescent="0.3">
      <c r="A350" s="4"/>
      <c r="B350" s="4"/>
      <c r="C350" s="4" t="str">
        <f t="shared" si="8"/>
        <v/>
      </c>
      <c r="D350" s="4" t="str">
        <f t="shared" si="9"/>
        <v/>
      </c>
      <c r="E350" s="4"/>
      <c r="F350" s="6" t="str">
        <f>IF($C350="","",COUNTIFS(Chicks!$F:$F,$C350,Chicks!$G:$G,$D350))</f>
        <v/>
      </c>
      <c r="G350" s="6" t="str">
        <f>IF($C350="","",COUNTIFS(Chicks!$F:$F,$C350,Chicks!$G:$G,$D350,Chicks!$I:$I,"Yes"))</f>
        <v/>
      </c>
      <c r="H350" s="6" t="str">
        <f>IF($C350="","",SUMIFS(Chicks!$J:$J,Chicks!$F:$F,$C350,Chicks!$G:$G,$D350))</f>
        <v/>
      </c>
      <c r="I350" s="6" t="str">
        <f>IF($C350="","",COUNTIFS(Chicks!$F:$F,$C350,Chicks!$G:$G,$D350,Chicks!$I:$I,"No"))</f>
        <v/>
      </c>
      <c r="J350" s="6" t="str">
        <f>IF($C350="","",IFERROR(AVERAGEIFS(Chicks!$M:$M,Chicks!$F:$F,$C350,Chicks!$G:$G,$D350),""))</f>
        <v/>
      </c>
      <c r="K350" s="6" t="str">
        <f>IF($C350="","",SUMIFS(Chicks!$N:$N,Chicks!$F:$F,$C350,Chicks!$G:$G,$D350))</f>
        <v/>
      </c>
      <c r="L350" s="6" t="str">
        <f>IF($C350="","",SUMIFS(Chicks!$O:$O,Chicks!$F:$F,$C350,Chicks!$G:$G,$D350))</f>
        <v/>
      </c>
      <c r="M350" s="6" t="str">
        <f>IF($C350="","",SUMIFS(Chicks!$P:$P,Chicks!$F:$F,$C350,Chicks!$G:$G,$D350))</f>
        <v/>
      </c>
      <c r="N350" s="6" t="str">
        <f t="shared" si="5"/>
        <v/>
      </c>
      <c r="O350" s="6" t="e">
        <f t="shared" ca="1" si="6"/>
        <v>#NAME?</v>
      </c>
      <c r="P350" s="6" t="str">
        <f t="shared" si="7"/>
        <v/>
      </c>
    </row>
    <row r="351" spans="1:16" ht="14.25" customHeight="1" x14ac:dyDescent="0.3">
      <c r="A351" s="4"/>
      <c r="B351" s="4"/>
      <c r="C351" s="4" t="str">
        <f t="shared" si="8"/>
        <v/>
      </c>
      <c r="D351" s="4" t="str">
        <f t="shared" si="9"/>
        <v/>
      </c>
      <c r="E351" s="4"/>
      <c r="F351" s="6" t="str">
        <f>IF($C351="","",COUNTIFS(Chicks!$F:$F,$C351,Chicks!$G:$G,$D351))</f>
        <v/>
      </c>
      <c r="G351" s="6" t="str">
        <f>IF($C351="","",COUNTIFS(Chicks!$F:$F,$C351,Chicks!$G:$G,$D351,Chicks!$I:$I,"Yes"))</f>
        <v/>
      </c>
      <c r="H351" s="6" t="str">
        <f>IF($C351="","",SUMIFS(Chicks!$J:$J,Chicks!$F:$F,$C351,Chicks!$G:$G,$D351))</f>
        <v/>
      </c>
      <c r="I351" s="6" t="str">
        <f>IF($C351="","",COUNTIFS(Chicks!$F:$F,$C351,Chicks!$G:$G,$D351,Chicks!$I:$I,"No"))</f>
        <v/>
      </c>
      <c r="J351" s="6" t="str">
        <f>IF($C351="","",IFERROR(AVERAGEIFS(Chicks!$M:$M,Chicks!$F:$F,$C351,Chicks!$G:$G,$D351),""))</f>
        <v/>
      </c>
      <c r="K351" s="6" t="str">
        <f>IF($C351="","",SUMIFS(Chicks!$N:$N,Chicks!$F:$F,$C351,Chicks!$G:$G,$D351))</f>
        <v/>
      </c>
      <c r="L351" s="6" t="str">
        <f>IF($C351="","",SUMIFS(Chicks!$O:$O,Chicks!$F:$F,$C351,Chicks!$G:$G,$D351))</f>
        <v/>
      </c>
      <c r="M351" s="6" t="str">
        <f>IF($C351="","",SUMIFS(Chicks!$P:$P,Chicks!$F:$F,$C351,Chicks!$G:$G,$D351))</f>
        <v/>
      </c>
      <c r="N351" s="6" t="str">
        <f t="shared" si="5"/>
        <v/>
      </c>
      <c r="O351" s="6" t="e">
        <f t="shared" ca="1" si="6"/>
        <v>#NAME?</v>
      </c>
      <c r="P351" s="6" t="str">
        <f t="shared" si="7"/>
        <v/>
      </c>
    </row>
    <row r="352" spans="1:16" ht="14.25" customHeight="1" x14ac:dyDescent="0.3">
      <c r="A352" s="4"/>
      <c r="B352" s="4"/>
      <c r="C352" s="4" t="str">
        <f t="shared" si="8"/>
        <v/>
      </c>
      <c r="D352" s="4" t="str">
        <f t="shared" si="9"/>
        <v/>
      </c>
      <c r="E352" s="4"/>
      <c r="F352" s="6" t="str">
        <f>IF($C352="","",COUNTIFS(Chicks!$F:$F,$C352,Chicks!$G:$G,$D352))</f>
        <v/>
      </c>
      <c r="G352" s="6" t="str">
        <f>IF($C352="","",COUNTIFS(Chicks!$F:$F,$C352,Chicks!$G:$G,$D352,Chicks!$I:$I,"Yes"))</f>
        <v/>
      </c>
      <c r="H352" s="6" t="str">
        <f>IF($C352="","",SUMIFS(Chicks!$J:$J,Chicks!$F:$F,$C352,Chicks!$G:$G,$D352))</f>
        <v/>
      </c>
      <c r="I352" s="6" t="str">
        <f>IF($C352="","",COUNTIFS(Chicks!$F:$F,$C352,Chicks!$G:$G,$D352,Chicks!$I:$I,"No"))</f>
        <v/>
      </c>
      <c r="J352" s="6" t="str">
        <f>IF($C352="","",IFERROR(AVERAGEIFS(Chicks!$M:$M,Chicks!$F:$F,$C352,Chicks!$G:$G,$D352),""))</f>
        <v/>
      </c>
      <c r="K352" s="6" t="str">
        <f>IF($C352="","",SUMIFS(Chicks!$N:$N,Chicks!$F:$F,$C352,Chicks!$G:$G,$D352))</f>
        <v/>
      </c>
      <c r="L352" s="6" t="str">
        <f>IF($C352="","",SUMIFS(Chicks!$O:$O,Chicks!$F:$F,$C352,Chicks!$G:$G,$D352))</f>
        <v/>
      </c>
      <c r="M352" s="6" t="str">
        <f>IF($C352="","",SUMIFS(Chicks!$P:$P,Chicks!$F:$F,$C352,Chicks!$G:$G,$D352))</f>
        <v/>
      </c>
      <c r="N352" s="6" t="str">
        <f t="shared" si="5"/>
        <v/>
      </c>
      <c r="O352" s="6" t="e">
        <f t="shared" ca="1" si="6"/>
        <v>#NAME?</v>
      </c>
      <c r="P352" s="6" t="str">
        <f t="shared" si="7"/>
        <v/>
      </c>
    </row>
    <row r="353" spans="1:16" ht="14.25" customHeight="1" x14ac:dyDescent="0.3">
      <c r="A353" s="4"/>
      <c r="B353" s="4"/>
      <c r="C353" s="4" t="str">
        <f t="shared" si="8"/>
        <v/>
      </c>
      <c r="D353" s="4" t="str">
        <f t="shared" si="9"/>
        <v/>
      </c>
      <c r="E353" s="4"/>
      <c r="F353" s="6" t="str">
        <f>IF($C353="","",COUNTIFS(Chicks!$F:$F,$C353,Chicks!$G:$G,$D353))</f>
        <v/>
      </c>
      <c r="G353" s="6" t="str">
        <f>IF($C353="","",COUNTIFS(Chicks!$F:$F,$C353,Chicks!$G:$G,$D353,Chicks!$I:$I,"Yes"))</f>
        <v/>
      </c>
      <c r="H353" s="6" t="str">
        <f>IF($C353="","",SUMIFS(Chicks!$J:$J,Chicks!$F:$F,$C353,Chicks!$G:$G,$D353))</f>
        <v/>
      </c>
      <c r="I353" s="6" t="str">
        <f>IF($C353="","",COUNTIFS(Chicks!$F:$F,$C353,Chicks!$G:$G,$D353,Chicks!$I:$I,"No"))</f>
        <v/>
      </c>
      <c r="J353" s="6" t="str">
        <f>IF($C353="","",IFERROR(AVERAGEIFS(Chicks!$M:$M,Chicks!$F:$F,$C353,Chicks!$G:$G,$D353),""))</f>
        <v/>
      </c>
      <c r="K353" s="6" t="str">
        <f>IF($C353="","",SUMIFS(Chicks!$N:$N,Chicks!$F:$F,$C353,Chicks!$G:$G,$D353))</f>
        <v/>
      </c>
      <c r="L353" s="6" t="str">
        <f>IF($C353="","",SUMIFS(Chicks!$O:$O,Chicks!$F:$F,$C353,Chicks!$G:$G,$D353))</f>
        <v/>
      </c>
      <c r="M353" s="6" t="str">
        <f>IF($C353="","",SUMIFS(Chicks!$P:$P,Chicks!$F:$F,$C353,Chicks!$G:$G,$D353))</f>
        <v/>
      </c>
      <c r="N353" s="6" t="str">
        <f t="shared" si="5"/>
        <v/>
      </c>
      <c r="O353" s="6" t="e">
        <f t="shared" ca="1" si="6"/>
        <v>#NAME?</v>
      </c>
      <c r="P353" s="6" t="str">
        <f t="shared" si="7"/>
        <v/>
      </c>
    </row>
    <row r="354" spans="1:16" ht="14.25" customHeight="1" x14ac:dyDescent="0.3">
      <c r="A354" s="4"/>
      <c r="B354" s="4"/>
      <c r="C354" s="4" t="str">
        <f t="shared" si="8"/>
        <v/>
      </c>
      <c r="D354" s="4" t="str">
        <f t="shared" si="9"/>
        <v/>
      </c>
      <c r="E354" s="4"/>
      <c r="F354" s="6" t="str">
        <f>IF($C354="","",COUNTIFS(Chicks!$F:$F,$C354,Chicks!$G:$G,$D354))</f>
        <v/>
      </c>
      <c r="G354" s="6" t="str">
        <f>IF($C354="","",COUNTIFS(Chicks!$F:$F,$C354,Chicks!$G:$G,$D354,Chicks!$I:$I,"Yes"))</f>
        <v/>
      </c>
      <c r="H354" s="6" t="str">
        <f>IF($C354="","",SUMIFS(Chicks!$J:$J,Chicks!$F:$F,$C354,Chicks!$G:$G,$D354))</f>
        <v/>
      </c>
      <c r="I354" s="6" t="str">
        <f>IF($C354="","",COUNTIFS(Chicks!$F:$F,$C354,Chicks!$G:$G,$D354,Chicks!$I:$I,"No"))</f>
        <v/>
      </c>
      <c r="J354" s="6" t="str">
        <f>IF($C354="","",IFERROR(AVERAGEIFS(Chicks!$M:$M,Chicks!$F:$F,$C354,Chicks!$G:$G,$D354),""))</f>
        <v/>
      </c>
      <c r="K354" s="6" t="str">
        <f>IF($C354="","",SUMIFS(Chicks!$N:$N,Chicks!$F:$F,$C354,Chicks!$G:$G,$D354))</f>
        <v/>
      </c>
      <c r="L354" s="6" t="str">
        <f>IF($C354="","",SUMIFS(Chicks!$O:$O,Chicks!$F:$F,$C354,Chicks!$G:$G,$D354))</f>
        <v/>
      </c>
      <c r="M354" s="6" t="str">
        <f>IF($C354="","",SUMIFS(Chicks!$P:$P,Chicks!$F:$F,$C354,Chicks!$G:$G,$D354))</f>
        <v/>
      </c>
      <c r="N354" s="6" t="str">
        <f t="shared" si="5"/>
        <v/>
      </c>
      <c r="O354" s="6" t="e">
        <f t="shared" ca="1" si="6"/>
        <v>#NAME?</v>
      </c>
      <c r="P354" s="6" t="str">
        <f t="shared" si="7"/>
        <v/>
      </c>
    </row>
    <row r="355" spans="1:16" ht="14.25" customHeight="1" x14ac:dyDescent="0.3">
      <c r="A355" s="4"/>
      <c r="B355" s="4"/>
      <c r="C355" s="4" t="str">
        <f t="shared" si="8"/>
        <v/>
      </c>
      <c r="D355" s="4" t="str">
        <f t="shared" si="9"/>
        <v/>
      </c>
      <c r="E355" s="4"/>
      <c r="F355" s="6" t="str">
        <f>IF($C355="","",COUNTIFS(Chicks!$F:$F,$C355,Chicks!$G:$G,$D355))</f>
        <v/>
      </c>
      <c r="G355" s="6" t="str">
        <f>IF($C355="","",COUNTIFS(Chicks!$F:$F,$C355,Chicks!$G:$G,$D355,Chicks!$I:$I,"Yes"))</f>
        <v/>
      </c>
      <c r="H355" s="6" t="str">
        <f>IF($C355="","",SUMIFS(Chicks!$J:$J,Chicks!$F:$F,$C355,Chicks!$G:$G,$D355))</f>
        <v/>
      </c>
      <c r="I355" s="6" t="str">
        <f>IF($C355="","",COUNTIFS(Chicks!$F:$F,$C355,Chicks!$G:$G,$D355,Chicks!$I:$I,"No"))</f>
        <v/>
      </c>
      <c r="J355" s="6" t="str">
        <f>IF($C355="","",IFERROR(AVERAGEIFS(Chicks!$M:$M,Chicks!$F:$F,$C355,Chicks!$G:$G,$D355),""))</f>
        <v/>
      </c>
      <c r="K355" s="6" t="str">
        <f>IF($C355="","",SUMIFS(Chicks!$N:$N,Chicks!$F:$F,$C355,Chicks!$G:$G,$D355))</f>
        <v/>
      </c>
      <c r="L355" s="6" t="str">
        <f>IF($C355="","",SUMIFS(Chicks!$O:$O,Chicks!$F:$F,$C355,Chicks!$G:$G,$D355))</f>
        <v/>
      </c>
      <c r="M355" s="6" t="str">
        <f>IF($C355="","",SUMIFS(Chicks!$P:$P,Chicks!$F:$F,$C355,Chicks!$G:$G,$D355))</f>
        <v/>
      </c>
      <c r="N355" s="6" t="str">
        <f t="shared" si="5"/>
        <v/>
      </c>
      <c r="O355" s="6" t="e">
        <f t="shared" ca="1" si="6"/>
        <v>#NAME?</v>
      </c>
      <c r="P355" s="6" t="str">
        <f t="shared" si="7"/>
        <v/>
      </c>
    </row>
    <row r="356" spans="1:16" ht="14.25" customHeight="1" x14ac:dyDescent="0.3">
      <c r="A356" s="4"/>
      <c r="B356" s="4"/>
      <c r="C356" s="4" t="str">
        <f t="shared" si="8"/>
        <v/>
      </c>
      <c r="D356" s="4" t="str">
        <f t="shared" si="9"/>
        <v/>
      </c>
      <c r="E356" s="4"/>
      <c r="F356" s="6" t="str">
        <f>IF($C356="","",COUNTIFS(Chicks!$F:$F,$C356,Chicks!$G:$G,$D356))</f>
        <v/>
      </c>
      <c r="G356" s="6" t="str">
        <f>IF($C356="","",COUNTIFS(Chicks!$F:$F,$C356,Chicks!$G:$G,$D356,Chicks!$I:$I,"Yes"))</f>
        <v/>
      </c>
      <c r="H356" s="6" t="str">
        <f>IF($C356="","",SUMIFS(Chicks!$J:$J,Chicks!$F:$F,$C356,Chicks!$G:$G,$D356))</f>
        <v/>
      </c>
      <c r="I356" s="6" t="str">
        <f>IF($C356="","",COUNTIFS(Chicks!$F:$F,$C356,Chicks!$G:$G,$D356,Chicks!$I:$I,"No"))</f>
        <v/>
      </c>
      <c r="J356" s="6" t="str">
        <f>IF($C356="","",IFERROR(AVERAGEIFS(Chicks!$M:$M,Chicks!$F:$F,$C356,Chicks!$G:$G,$D356),""))</f>
        <v/>
      </c>
      <c r="K356" s="6" t="str">
        <f>IF($C356="","",SUMIFS(Chicks!$N:$N,Chicks!$F:$F,$C356,Chicks!$G:$G,$D356))</f>
        <v/>
      </c>
      <c r="L356" s="6" t="str">
        <f>IF($C356="","",SUMIFS(Chicks!$O:$O,Chicks!$F:$F,$C356,Chicks!$G:$G,$D356))</f>
        <v/>
      </c>
      <c r="M356" s="6" t="str">
        <f>IF($C356="","",SUMIFS(Chicks!$P:$P,Chicks!$F:$F,$C356,Chicks!$G:$G,$D356))</f>
        <v/>
      </c>
      <c r="N356" s="6" t="str">
        <f t="shared" si="5"/>
        <v/>
      </c>
      <c r="O356" s="6" t="e">
        <f t="shared" ca="1" si="6"/>
        <v>#NAME?</v>
      </c>
      <c r="P356" s="6" t="str">
        <f t="shared" si="7"/>
        <v/>
      </c>
    </row>
    <row r="357" spans="1:16" ht="14.25" customHeight="1" x14ac:dyDescent="0.3">
      <c r="A357" s="4"/>
      <c r="B357" s="4"/>
      <c r="C357" s="4" t="str">
        <f t="shared" si="8"/>
        <v/>
      </c>
      <c r="D357" s="4" t="str">
        <f t="shared" si="9"/>
        <v/>
      </c>
      <c r="E357" s="4"/>
      <c r="F357" s="6" t="str">
        <f>IF($C357="","",COUNTIFS(Chicks!$F:$F,$C357,Chicks!$G:$G,$D357))</f>
        <v/>
      </c>
      <c r="G357" s="6" t="str">
        <f>IF($C357="","",COUNTIFS(Chicks!$F:$F,$C357,Chicks!$G:$G,$D357,Chicks!$I:$I,"Yes"))</f>
        <v/>
      </c>
      <c r="H357" s="6" t="str">
        <f>IF($C357="","",SUMIFS(Chicks!$J:$J,Chicks!$F:$F,$C357,Chicks!$G:$G,$D357))</f>
        <v/>
      </c>
      <c r="I357" s="6" t="str">
        <f>IF($C357="","",COUNTIFS(Chicks!$F:$F,$C357,Chicks!$G:$G,$D357,Chicks!$I:$I,"No"))</f>
        <v/>
      </c>
      <c r="J357" s="6" t="str">
        <f>IF($C357="","",IFERROR(AVERAGEIFS(Chicks!$M:$M,Chicks!$F:$F,$C357,Chicks!$G:$G,$D357),""))</f>
        <v/>
      </c>
      <c r="K357" s="6" t="str">
        <f>IF($C357="","",SUMIFS(Chicks!$N:$N,Chicks!$F:$F,$C357,Chicks!$G:$G,$D357))</f>
        <v/>
      </c>
      <c r="L357" s="6" t="str">
        <f>IF($C357="","",SUMIFS(Chicks!$O:$O,Chicks!$F:$F,$C357,Chicks!$G:$G,$D357))</f>
        <v/>
      </c>
      <c r="M357" s="6" t="str">
        <f>IF($C357="","",SUMIFS(Chicks!$P:$P,Chicks!$F:$F,$C357,Chicks!$G:$G,$D357))</f>
        <v/>
      </c>
      <c r="N357" s="6" t="str">
        <f t="shared" si="5"/>
        <v/>
      </c>
      <c r="O357" s="6" t="e">
        <f t="shared" ca="1" si="6"/>
        <v>#NAME?</v>
      </c>
      <c r="P357" s="6" t="str">
        <f t="shared" si="7"/>
        <v/>
      </c>
    </row>
    <row r="358" spans="1:16" ht="14.25" customHeight="1" x14ac:dyDescent="0.3">
      <c r="A358" s="4"/>
      <c r="B358" s="4"/>
      <c r="C358" s="4" t="str">
        <f t="shared" si="8"/>
        <v/>
      </c>
      <c r="D358" s="4" t="str">
        <f t="shared" si="9"/>
        <v/>
      </c>
      <c r="E358" s="4"/>
      <c r="F358" s="6" t="str">
        <f>IF($C358="","",COUNTIFS(Chicks!$F:$F,$C358,Chicks!$G:$G,$D358))</f>
        <v/>
      </c>
      <c r="G358" s="6" t="str">
        <f>IF($C358="","",COUNTIFS(Chicks!$F:$F,$C358,Chicks!$G:$G,$D358,Chicks!$I:$I,"Yes"))</f>
        <v/>
      </c>
      <c r="H358" s="6" t="str">
        <f>IF($C358="","",SUMIFS(Chicks!$J:$J,Chicks!$F:$F,$C358,Chicks!$G:$G,$D358))</f>
        <v/>
      </c>
      <c r="I358" s="6" t="str">
        <f>IF($C358="","",COUNTIFS(Chicks!$F:$F,$C358,Chicks!$G:$G,$D358,Chicks!$I:$I,"No"))</f>
        <v/>
      </c>
      <c r="J358" s="6" t="str">
        <f>IF($C358="","",IFERROR(AVERAGEIFS(Chicks!$M:$M,Chicks!$F:$F,$C358,Chicks!$G:$G,$D358),""))</f>
        <v/>
      </c>
      <c r="K358" s="6" t="str">
        <f>IF($C358="","",SUMIFS(Chicks!$N:$N,Chicks!$F:$F,$C358,Chicks!$G:$G,$D358))</f>
        <v/>
      </c>
      <c r="L358" s="6" t="str">
        <f>IF($C358="","",SUMIFS(Chicks!$O:$O,Chicks!$F:$F,$C358,Chicks!$G:$G,$D358))</f>
        <v/>
      </c>
      <c r="M358" s="6" t="str">
        <f>IF($C358="","",SUMIFS(Chicks!$P:$P,Chicks!$F:$F,$C358,Chicks!$G:$G,$D358))</f>
        <v/>
      </c>
      <c r="N358" s="6" t="str">
        <f t="shared" si="5"/>
        <v/>
      </c>
      <c r="O358" s="6" t="e">
        <f t="shared" ca="1" si="6"/>
        <v>#NAME?</v>
      </c>
      <c r="P358" s="6" t="str">
        <f t="shared" si="7"/>
        <v/>
      </c>
    </row>
    <row r="359" spans="1:16" ht="14.25" customHeight="1" x14ac:dyDescent="0.3">
      <c r="A359" s="4"/>
      <c r="B359" s="4"/>
      <c r="C359" s="4" t="str">
        <f t="shared" si="8"/>
        <v/>
      </c>
      <c r="D359" s="4" t="str">
        <f t="shared" si="9"/>
        <v/>
      </c>
      <c r="E359" s="4"/>
      <c r="F359" s="6" t="str">
        <f>IF($C359="","",COUNTIFS(Chicks!$F:$F,$C359,Chicks!$G:$G,$D359))</f>
        <v/>
      </c>
      <c r="G359" s="6" t="str">
        <f>IF($C359="","",COUNTIFS(Chicks!$F:$F,$C359,Chicks!$G:$G,$D359,Chicks!$I:$I,"Yes"))</f>
        <v/>
      </c>
      <c r="H359" s="6" t="str">
        <f>IF($C359="","",SUMIFS(Chicks!$J:$J,Chicks!$F:$F,$C359,Chicks!$G:$G,$D359))</f>
        <v/>
      </c>
      <c r="I359" s="6" t="str">
        <f>IF($C359="","",COUNTIFS(Chicks!$F:$F,$C359,Chicks!$G:$G,$D359,Chicks!$I:$I,"No"))</f>
        <v/>
      </c>
      <c r="J359" s="6" t="str">
        <f>IF($C359="","",IFERROR(AVERAGEIFS(Chicks!$M:$M,Chicks!$F:$F,$C359,Chicks!$G:$G,$D359),""))</f>
        <v/>
      </c>
      <c r="K359" s="6" t="str">
        <f>IF($C359="","",SUMIFS(Chicks!$N:$N,Chicks!$F:$F,$C359,Chicks!$G:$G,$D359))</f>
        <v/>
      </c>
      <c r="L359" s="6" t="str">
        <f>IF($C359="","",SUMIFS(Chicks!$O:$O,Chicks!$F:$F,$C359,Chicks!$G:$G,$D359))</f>
        <v/>
      </c>
      <c r="M359" s="6" t="str">
        <f>IF($C359="","",SUMIFS(Chicks!$P:$P,Chicks!$F:$F,$C359,Chicks!$G:$G,$D359))</f>
        <v/>
      </c>
      <c r="N359" s="6" t="str">
        <f t="shared" si="5"/>
        <v/>
      </c>
      <c r="O359" s="6" t="e">
        <f t="shared" ca="1" si="6"/>
        <v>#NAME?</v>
      </c>
      <c r="P359" s="6" t="str">
        <f t="shared" si="7"/>
        <v/>
      </c>
    </row>
    <row r="360" spans="1:16" ht="14.25" customHeight="1" x14ac:dyDescent="0.3">
      <c r="A360" s="4"/>
      <c r="B360" s="4"/>
      <c r="C360" s="4" t="str">
        <f t="shared" si="8"/>
        <v/>
      </c>
      <c r="D360" s="4" t="str">
        <f t="shared" si="9"/>
        <v/>
      </c>
      <c r="E360" s="4"/>
      <c r="F360" s="6" t="str">
        <f>IF($C360="","",COUNTIFS(Chicks!$F:$F,$C360,Chicks!$G:$G,$D360))</f>
        <v/>
      </c>
      <c r="G360" s="6" t="str">
        <f>IF($C360="","",COUNTIFS(Chicks!$F:$F,$C360,Chicks!$G:$G,$D360,Chicks!$I:$I,"Yes"))</f>
        <v/>
      </c>
      <c r="H360" s="6" t="str">
        <f>IF($C360="","",SUMIFS(Chicks!$J:$J,Chicks!$F:$F,$C360,Chicks!$G:$G,$D360))</f>
        <v/>
      </c>
      <c r="I360" s="6" t="str">
        <f>IF($C360="","",COUNTIFS(Chicks!$F:$F,$C360,Chicks!$G:$G,$D360,Chicks!$I:$I,"No"))</f>
        <v/>
      </c>
      <c r="J360" s="6" t="str">
        <f>IF($C360="","",IFERROR(AVERAGEIFS(Chicks!$M:$M,Chicks!$F:$F,$C360,Chicks!$G:$G,$D360),""))</f>
        <v/>
      </c>
      <c r="K360" s="6" t="str">
        <f>IF($C360="","",SUMIFS(Chicks!$N:$N,Chicks!$F:$F,$C360,Chicks!$G:$G,$D360))</f>
        <v/>
      </c>
      <c r="L360" s="6" t="str">
        <f>IF($C360="","",SUMIFS(Chicks!$O:$O,Chicks!$F:$F,$C360,Chicks!$G:$G,$D360))</f>
        <v/>
      </c>
      <c r="M360" s="6" t="str">
        <f>IF($C360="","",SUMIFS(Chicks!$P:$P,Chicks!$F:$F,$C360,Chicks!$G:$G,$D360))</f>
        <v/>
      </c>
      <c r="N360" s="6" t="str">
        <f t="shared" si="5"/>
        <v/>
      </c>
      <c r="O360" s="6" t="e">
        <f t="shared" ca="1" si="6"/>
        <v>#NAME?</v>
      </c>
      <c r="P360" s="6" t="str">
        <f t="shared" si="7"/>
        <v/>
      </c>
    </row>
    <row r="361" spans="1:16" ht="14.25" customHeight="1" x14ac:dyDescent="0.3">
      <c r="A361" s="4"/>
      <c r="B361" s="4"/>
      <c r="C361" s="4" t="str">
        <f t="shared" si="8"/>
        <v/>
      </c>
      <c r="D361" s="4" t="str">
        <f t="shared" si="9"/>
        <v/>
      </c>
      <c r="E361" s="4"/>
      <c r="F361" s="6" t="str">
        <f>IF($C361="","",COUNTIFS(Chicks!$F:$F,$C361,Chicks!$G:$G,$D361))</f>
        <v/>
      </c>
      <c r="G361" s="6" t="str">
        <f>IF($C361="","",COUNTIFS(Chicks!$F:$F,$C361,Chicks!$G:$G,$D361,Chicks!$I:$I,"Yes"))</f>
        <v/>
      </c>
      <c r="H361" s="6" t="str">
        <f>IF($C361="","",SUMIFS(Chicks!$J:$J,Chicks!$F:$F,$C361,Chicks!$G:$G,$D361))</f>
        <v/>
      </c>
      <c r="I361" s="6" t="str">
        <f>IF($C361="","",COUNTIFS(Chicks!$F:$F,$C361,Chicks!$G:$G,$D361,Chicks!$I:$I,"No"))</f>
        <v/>
      </c>
      <c r="J361" s="6" t="str">
        <f>IF($C361="","",IFERROR(AVERAGEIFS(Chicks!$M:$M,Chicks!$F:$F,$C361,Chicks!$G:$G,$D361),""))</f>
        <v/>
      </c>
      <c r="K361" s="6" t="str">
        <f>IF($C361="","",SUMIFS(Chicks!$N:$N,Chicks!$F:$F,$C361,Chicks!$G:$G,$D361))</f>
        <v/>
      </c>
      <c r="L361" s="6" t="str">
        <f>IF($C361="","",SUMIFS(Chicks!$O:$O,Chicks!$F:$F,$C361,Chicks!$G:$G,$D361))</f>
        <v/>
      </c>
      <c r="M361" s="6" t="str">
        <f>IF($C361="","",SUMIFS(Chicks!$P:$P,Chicks!$F:$F,$C361,Chicks!$G:$G,$D361))</f>
        <v/>
      </c>
      <c r="N361" s="6" t="str">
        <f t="shared" si="5"/>
        <v/>
      </c>
      <c r="O361" s="6" t="e">
        <f t="shared" ca="1" si="6"/>
        <v>#NAME?</v>
      </c>
      <c r="P361" s="6" t="str">
        <f t="shared" si="7"/>
        <v/>
      </c>
    </row>
    <row r="362" spans="1:16" ht="14.25" customHeight="1" x14ac:dyDescent="0.3">
      <c r="A362" s="4"/>
      <c r="B362" s="4"/>
      <c r="C362" s="4" t="str">
        <f t="shared" si="8"/>
        <v/>
      </c>
      <c r="D362" s="4" t="str">
        <f t="shared" si="9"/>
        <v/>
      </c>
      <c r="E362" s="4"/>
      <c r="F362" s="6" t="str">
        <f>IF($C362="","",COUNTIFS(Chicks!$F:$F,$C362,Chicks!$G:$G,$D362))</f>
        <v/>
      </c>
      <c r="G362" s="6" t="str">
        <f>IF($C362="","",COUNTIFS(Chicks!$F:$F,$C362,Chicks!$G:$G,$D362,Chicks!$I:$I,"Yes"))</f>
        <v/>
      </c>
      <c r="H362" s="6" t="str">
        <f>IF($C362="","",SUMIFS(Chicks!$J:$J,Chicks!$F:$F,$C362,Chicks!$G:$G,$D362))</f>
        <v/>
      </c>
      <c r="I362" s="6" t="str">
        <f>IF($C362="","",COUNTIFS(Chicks!$F:$F,$C362,Chicks!$G:$G,$D362,Chicks!$I:$I,"No"))</f>
        <v/>
      </c>
      <c r="J362" s="6" t="str">
        <f>IF($C362="","",IFERROR(AVERAGEIFS(Chicks!$M:$M,Chicks!$F:$F,$C362,Chicks!$G:$G,$D362),""))</f>
        <v/>
      </c>
      <c r="K362" s="6" t="str">
        <f>IF($C362="","",SUMIFS(Chicks!$N:$N,Chicks!$F:$F,$C362,Chicks!$G:$G,$D362))</f>
        <v/>
      </c>
      <c r="L362" s="6" t="str">
        <f>IF($C362="","",SUMIFS(Chicks!$O:$O,Chicks!$F:$F,$C362,Chicks!$G:$G,$D362))</f>
        <v/>
      </c>
      <c r="M362" s="6" t="str">
        <f>IF($C362="","",SUMIFS(Chicks!$P:$P,Chicks!$F:$F,$C362,Chicks!$G:$G,$D362))</f>
        <v/>
      </c>
      <c r="N362" s="6" t="str">
        <f t="shared" si="5"/>
        <v/>
      </c>
      <c r="O362" s="6" t="e">
        <f t="shared" ca="1" si="6"/>
        <v>#NAME?</v>
      </c>
      <c r="P362" s="6" t="str">
        <f t="shared" si="7"/>
        <v/>
      </c>
    </row>
    <row r="363" spans="1:16" ht="14.25" customHeight="1" x14ac:dyDescent="0.3">
      <c r="A363" s="4"/>
      <c r="B363" s="4"/>
      <c r="C363" s="4" t="str">
        <f t="shared" si="8"/>
        <v/>
      </c>
      <c r="D363" s="4" t="str">
        <f t="shared" si="9"/>
        <v/>
      </c>
      <c r="E363" s="4"/>
      <c r="F363" s="6" t="str">
        <f>IF($C363="","",COUNTIFS(Chicks!$F:$F,$C363,Chicks!$G:$G,$D363))</f>
        <v/>
      </c>
      <c r="G363" s="6" t="str">
        <f>IF($C363="","",COUNTIFS(Chicks!$F:$F,$C363,Chicks!$G:$G,$D363,Chicks!$I:$I,"Yes"))</f>
        <v/>
      </c>
      <c r="H363" s="6" t="str">
        <f>IF($C363="","",SUMIFS(Chicks!$J:$J,Chicks!$F:$F,$C363,Chicks!$G:$G,$D363))</f>
        <v/>
      </c>
      <c r="I363" s="6" t="str">
        <f>IF($C363="","",COUNTIFS(Chicks!$F:$F,$C363,Chicks!$G:$G,$D363,Chicks!$I:$I,"No"))</f>
        <v/>
      </c>
      <c r="J363" s="6" t="str">
        <f>IF($C363="","",IFERROR(AVERAGEIFS(Chicks!$M:$M,Chicks!$F:$F,$C363,Chicks!$G:$G,$D363),""))</f>
        <v/>
      </c>
      <c r="K363" s="6" t="str">
        <f>IF($C363="","",SUMIFS(Chicks!$N:$N,Chicks!$F:$F,$C363,Chicks!$G:$G,$D363))</f>
        <v/>
      </c>
      <c r="L363" s="6" t="str">
        <f>IF($C363="","",SUMIFS(Chicks!$O:$O,Chicks!$F:$F,$C363,Chicks!$G:$G,$D363))</f>
        <v/>
      </c>
      <c r="M363" s="6" t="str">
        <f>IF($C363="","",SUMIFS(Chicks!$P:$P,Chicks!$F:$F,$C363,Chicks!$G:$G,$D363))</f>
        <v/>
      </c>
      <c r="N363" s="6" t="str">
        <f t="shared" si="5"/>
        <v/>
      </c>
      <c r="O363" s="6" t="e">
        <f t="shared" ca="1" si="6"/>
        <v>#NAME?</v>
      </c>
      <c r="P363" s="6" t="str">
        <f t="shared" si="7"/>
        <v/>
      </c>
    </row>
    <row r="364" spans="1:16" ht="14.25" customHeight="1" x14ac:dyDescent="0.3">
      <c r="A364" s="4"/>
      <c r="B364" s="4"/>
      <c r="C364" s="4" t="str">
        <f t="shared" si="8"/>
        <v/>
      </c>
      <c r="D364" s="4" t="str">
        <f t="shared" si="9"/>
        <v/>
      </c>
      <c r="E364" s="4"/>
      <c r="F364" s="6" t="str">
        <f>IF($C364="","",COUNTIFS(Chicks!$F:$F,$C364,Chicks!$G:$G,$D364))</f>
        <v/>
      </c>
      <c r="G364" s="6" t="str">
        <f>IF($C364="","",COUNTIFS(Chicks!$F:$F,$C364,Chicks!$G:$G,$D364,Chicks!$I:$I,"Yes"))</f>
        <v/>
      </c>
      <c r="H364" s="6" t="str">
        <f>IF($C364="","",SUMIFS(Chicks!$J:$J,Chicks!$F:$F,$C364,Chicks!$G:$G,$D364))</f>
        <v/>
      </c>
      <c r="I364" s="6" t="str">
        <f>IF($C364="","",COUNTIFS(Chicks!$F:$F,$C364,Chicks!$G:$G,$D364,Chicks!$I:$I,"No"))</f>
        <v/>
      </c>
      <c r="J364" s="6" t="str">
        <f>IF($C364="","",IFERROR(AVERAGEIFS(Chicks!$M:$M,Chicks!$F:$F,$C364,Chicks!$G:$G,$D364),""))</f>
        <v/>
      </c>
      <c r="K364" s="6" t="str">
        <f>IF($C364="","",SUMIFS(Chicks!$N:$N,Chicks!$F:$F,$C364,Chicks!$G:$G,$D364))</f>
        <v/>
      </c>
      <c r="L364" s="6" t="str">
        <f>IF($C364="","",SUMIFS(Chicks!$O:$O,Chicks!$F:$F,$C364,Chicks!$G:$G,$D364))</f>
        <v/>
      </c>
      <c r="M364" s="6" t="str">
        <f>IF($C364="","",SUMIFS(Chicks!$P:$P,Chicks!$F:$F,$C364,Chicks!$G:$G,$D364))</f>
        <v/>
      </c>
      <c r="N364" s="6" t="str">
        <f t="shared" si="5"/>
        <v/>
      </c>
      <c r="O364" s="6" t="e">
        <f t="shared" ca="1" si="6"/>
        <v>#NAME?</v>
      </c>
      <c r="P364" s="6" t="str">
        <f t="shared" si="7"/>
        <v/>
      </c>
    </row>
    <row r="365" spans="1:16" ht="14.25" customHeight="1" x14ac:dyDescent="0.3">
      <c r="A365" s="4"/>
      <c r="B365" s="4"/>
      <c r="C365" s="4" t="str">
        <f t="shared" si="8"/>
        <v/>
      </c>
      <c r="D365" s="4" t="str">
        <f t="shared" si="9"/>
        <v/>
      </c>
      <c r="E365" s="4"/>
      <c r="F365" s="6" t="str">
        <f>IF($C365="","",COUNTIFS(Chicks!$F:$F,$C365,Chicks!$G:$G,$D365))</f>
        <v/>
      </c>
      <c r="G365" s="6" t="str">
        <f>IF($C365="","",COUNTIFS(Chicks!$F:$F,$C365,Chicks!$G:$G,$D365,Chicks!$I:$I,"Yes"))</f>
        <v/>
      </c>
      <c r="H365" s="6" t="str">
        <f>IF($C365="","",SUMIFS(Chicks!$J:$J,Chicks!$F:$F,$C365,Chicks!$G:$G,$D365))</f>
        <v/>
      </c>
      <c r="I365" s="6" t="str">
        <f>IF($C365="","",COUNTIFS(Chicks!$F:$F,$C365,Chicks!$G:$G,$D365,Chicks!$I:$I,"No"))</f>
        <v/>
      </c>
      <c r="J365" s="6" t="str">
        <f>IF($C365="","",IFERROR(AVERAGEIFS(Chicks!$M:$M,Chicks!$F:$F,$C365,Chicks!$G:$G,$D365),""))</f>
        <v/>
      </c>
      <c r="K365" s="6" t="str">
        <f>IF($C365="","",SUMIFS(Chicks!$N:$N,Chicks!$F:$F,$C365,Chicks!$G:$G,$D365))</f>
        <v/>
      </c>
      <c r="L365" s="6" t="str">
        <f>IF($C365="","",SUMIFS(Chicks!$O:$O,Chicks!$F:$F,$C365,Chicks!$G:$G,$D365))</f>
        <v/>
      </c>
      <c r="M365" s="6" t="str">
        <f>IF($C365="","",SUMIFS(Chicks!$P:$P,Chicks!$F:$F,$C365,Chicks!$G:$G,$D365))</f>
        <v/>
      </c>
      <c r="N365" s="6" t="str">
        <f t="shared" si="5"/>
        <v/>
      </c>
      <c r="O365" s="6" t="e">
        <f t="shared" ca="1" si="6"/>
        <v>#NAME?</v>
      </c>
      <c r="P365" s="6" t="str">
        <f t="shared" si="7"/>
        <v/>
      </c>
    </row>
    <row r="366" spans="1:16" ht="14.25" customHeight="1" x14ac:dyDescent="0.3">
      <c r="A366" s="4"/>
      <c r="B366" s="4"/>
      <c r="C366" s="4" t="str">
        <f t="shared" si="8"/>
        <v/>
      </c>
      <c r="D366" s="4" t="str">
        <f t="shared" si="9"/>
        <v/>
      </c>
      <c r="E366" s="4"/>
      <c r="F366" s="6" t="str">
        <f>IF($C366="","",COUNTIFS(Chicks!$F:$F,$C366,Chicks!$G:$G,$D366))</f>
        <v/>
      </c>
      <c r="G366" s="6" t="str">
        <f>IF($C366="","",COUNTIFS(Chicks!$F:$F,$C366,Chicks!$G:$G,$D366,Chicks!$I:$I,"Yes"))</f>
        <v/>
      </c>
      <c r="H366" s="6" t="str">
        <f>IF($C366="","",SUMIFS(Chicks!$J:$J,Chicks!$F:$F,$C366,Chicks!$G:$G,$D366))</f>
        <v/>
      </c>
      <c r="I366" s="6" t="str">
        <f>IF($C366="","",COUNTIFS(Chicks!$F:$F,$C366,Chicks!$G:$G,$D366,Chicks!$I:$I,"No"))</f>
        <v/>
      </c>
      <c r="J366" s="6" t="str">
        <f>IF($C366="","",IFERROR(AVERAGEIFS(Chicks!$M:$M,Chicks!$F:$F,$C366,Chicks!$G:$G,$D366),""))</f>
        <v/>
      </c>
      <c r="K366" s="6" t="str">
        <f>IF($C366="","",SUMIFS(Chicks!$N:$N,Chicks!$F:$F,$C366,Chicks!$G:$G,$D366))</f>
        <v/>
      </c>
      <c r="L366" s="6" t="str">
        <f>IF($C366="","",SUMIFS(Chicks!$O:$O,Chicks!$F:$F,$C366,Chicks!$G:$G,$D366))</f>
        <v/>
      </c>
      <c r="M366" s="6" t="str">
        <f>IF($C366="","",SUMIFS(Chicks!$P:$P,Chicks!$F:$F,$C366,Chicks!$G:$G,$D366))</f>
        <v/>
      </c>
      <c r="N366" s="6" t="str">
        <f t="shared" si="5"/>
        <v/>
      </c>
      <c r="O366" s="6" t="e">
        <f t="shared" ca="1" si="6"/>
        <v>#NAME?</v>
      </c>
      <c r="P366" s="6" t="str">
        <f t="shared" si="7"/>
        <v/>
      </c>
    </row>
    <row r="367" spans="1:16" ht="14.25" customHeight="1" x14ac:dyDescent="0.3">
      <c r="A367" s="4"/>
      <c r="B367" s="4"/>
      <c r="C367" s="4" t="str">
        <f t="shared" si="8"/>
        <v/>
      </c>
      <c r="D367" s="4" t="str">
        <f t="shared" si="9"/>
        <v/>
      </c>
      <c r="E367" s="4"/>
      <c r="F367" s="6" t="str">
        <f>IF($C367="","",COUNTIFS(Chicks!$F:$F,$C367,Chicks!$G:$G,$D367))</f>
        <v/>
      </c>
      <c r="G367" s="6" t="str">
        <f>IF($C367="","",COUNTIFS(Chicks!$F:$F,$C367,Chicks!$G:$G,$D367,Chicks!$I:$I,"Yes"))</f>
        <v/>
      </c>
      <c r="H367" s="6" t="str">
        <f>IF($C367="","",SUMIFS(Chicks!$J:$J,Chicks!$F:$F,$C367,Chicks!$G:$G,$D367))</f>
        <v/>
      </c>
      <c r="I367" s="6" t="str">
        <f>IF($C367="","",COUNTIFS(Chicks!$F:$F,$C367,Chicks!$G:$G,$D367,Chicks!$I:$I,"No"))</f>
        <v/>
      </c>
      <c r="J367" s="6" t="str">
        <f>IF($C367="","",IFERROR(AVERAGEIFS(Chicks!$M:$M,Chicks!$F:$F,$C367,Chicks!$G:$G,$D367),""))</f>
        <v/>
      </c>
      <c r="K367" s="6" t="str">
        <f>IF($C367="","",SUMIFS(Chicks!$N:$N,Chicks!$F:$F,$C367,Chicks!$G:$G,$D367))</f>
        <v/>
      </c>
      <c r="L367" s="6" t="str">
        <f>IF($C367="","",SUMIFS(Chicks!$O:$O,Chicks!$F:$F,$C367,Chicks!$G:$G,$D367))</f>
        <v/>
      </c>
      <c r="M367" s="6" t="str">
        <f>IF($C367="","",SUMIFS(Chicks!$P:$P,Chicks!$F:$F,$C367,Chicks!$G:$G,$D367))</f>
        <v/>
      </c>
      <c r="N367" s="6" t="str">
        <f t="shared" si="5"/>
        <v/>
      </c>
      <c r="O367" s="6" t="e">
        <f t="shared" ca="1" si="6"/>
        <v>#NAME?</v>
      </c>
      <c r="P367" s="6" t="str">
        <f t="shared" si="7"/>
        <v/>
      </c>
    </row>
    <row r="368" spans="1:16" ht="14.25" customHeight="1" x14ac:dyDescent="0.3">
      <c r="A368" s="4"/>
      <c r="B368" s="4"/>
      <c r="C368" s="4" t="str">
        <f t="shared" si="8"/>
        <v/>
      </c>
      <c r="D368" s="4" t="str">
        <f t="shared" si="9"/>
        <v/>
      </c>
      <c r="E368" s="4"/>
      <c r="F368" s="6" t="str">
        <f>IF($C368="","",COUNTIFS(Chicks!$F:$F,$C368,Chicks!$G:$G,$D368))</f>
        <v/>
      </c>
      <c r="G368" s="6" t="str">
        <f>IF($C368="","",COUNTIFS(Chicks!$F:$F,$C368,Chicks!$G:$G,$D368,Chicks!$I:$I,"Yes"))</f>
        <v/>
      </c>
      <c r="H368" s="6" t="str">
        <f>IF($C368="","",SUMIFS(Chicks!$J:$J,Chicks!$F:$F,$C368,Chicks!$G:$G,$D368))</f>
        <v/>
      </c>
      <c r="I368" s="6" t="str">
        <f>IF($C368="","",COUNTIFS(Chicks!$F:$F,$C368,Chicks!$G:$G,$D368,Chicks!$I:$I,"No"))</f>
        <v/>
      </c>
      <c r="J368" s="6" t="str">
        <f>IF($C368="","",IFERROR(AVERAGEIFS(Chicks!$M:$M,Chicks!$F:$F,$C368,Chicks!$G:$G,$D368),""))</f>
        <v/>
      </c>
      <c r="K368" s="6" t="str">
        <f>IF($C368="","",SUMIFS(Chicks!$N:$N,Chicks!$F:$F,$C368,Chicks!$G:$G,$D368))</f>
        <v/>
      </c>
      <c r="L368" s="6" t="str">
        <f>IF($C368="","",SUMIFS(Chicks!$O:$O,Chicks!$F:$F,$C368,Chicks!$G:$G,$D368))</f>
        <v/>
      </c>
      <c r="M368" s="6" t="str">
        <f>IF($C368="","",SUMIFS(Chicks!$P:$P,Chicks!$F:$F,$C368,Chicks!$G:$G,$D368))</f>
        <v/>
      </c>
      <c r="N368" s="6" t="str">
        <f t="shared" si="5"/>
        <v/>
      </c>
      <c r="O368" s="6" t="e">
        <f t="shared" ca="1" si="6"/>
        <v>#NAME?</v>
      </c>
      <c r="P368" s="6" t="str">
        <f t="shared" si="7"/>
        <v/>
      </c>
    </row>
    <row r="369" spans="1:16" ht="14.25" customHeight="1" x14ac:dyDescent="0.3">
      <c r="A369" s="4"/>
      <c r="B369" s="4"/>
      <c r="C369" s="4" t="str">
        <f t="shared" si="8"/>
        <v/>
      </c>
      <c r="D369" s="4" t="str">
        <f t="shared" si="9"/>
        <v/>
      </c>
      <c r="E369" s="4"/>
      <c r="F369" s="6" t="str">
        <f>IF($C369="","",COUNTIFS(Chicks!$F:$F,$C369,Chicks!$G:$G,$D369))</f>
        <v/>
      </c>
      <c r="G369" s="6" t="str">
        <f>IF($C369="","",COUNTIFS(Chicks!$F:$F,$C369,Chicks!$G:$G,$D369,Chicks!$I:$I,"Yes"))</f>
        <v/>
      </c>
      <c r="H369" s="6" t="str">
        <f>IF($C369="","",SUMIFS(Chicks!$J:$J,Chicks!$F:$F,$C369,Chicks!$G:$G,$D369))</f>
        <v/>
      </c>
      <c r="I369" s="6" t="str">
        <f>IF($C369="","",COUNTIFS(Chicks!$F:$F,$C369,Chicks!$G:$G,$D369,Chicks!$I:$I,"No"))</f>
        <v/>
      </c>
      <c r="J369" s="6" t="str">
        <f>IF($C369="","",IFERROR(AVERAGEIFS(Chicks!$M:$M,Chicks!$F:$F,$C369,Chicks!$G:$G,$D369),""))</f>
        <v/>
      </c>
      <c r="K369" s="6" t="str">
        <f>IF($C369="","",SUMIFS(Chicks!$N:$N,Chicks!$F:$F,$C369,Chicks!$G:$G,$D369))</f>
        <v/>
      </c>
      <c r="L369" s="6" t="str">
        <f>IF($C369="","",SUMIFS(Chicks!$O:$O,Chicks!$F:$F,$C369,Chicks!$G:$G,$D369))</f>
        <v/>
      </c>
      <c r="M369" s="6" t="str">
        <f>IF($C369="","",SUMIFS(Chicks!$P:$P,Chicks!$F:$F,$C369,Chicks!$G:$G,$D369))</f>
        <v/>
      </c>
      <c r="N369" s="6" t="str">
        <f t="shared" si="5"/>
        <v/>
      </c>
      <c r="O369" s="6" t="e">
        <f t="shared" ca="1" si="6"/>
        <v>#NAME?</v>
      </c>
      <c r="P369" s="6" t="str">
        <f t="shared" si="7"/>
        <v/>
      </c>
    </row>
    <row r="370" spans="1:16" ht="14.25" customHeight="1" x14ac:dyDescent="0.3">
      <c r="A370" s="4"/>
      <c r="B370" s="4"/>
      <c r="C370" s="4" t="str">
        <f t="shared" si="8"/>
        <v/>
      </c>
      <c r="D370" s="4" t="str">
        <f t="shared" si="9"/>
        <v/>
      </c>
      <c r="E370" s="4"/>
      <c r="F370" s="6" t="str">
        <f>IF($C370="","",COUNTIFS(Chicks!$F:$F,$C370,Chicks!$G:$G,$D370))</f>
        <v/>
      </c>
      <c r="G370" s="6" t="str">
        <f>IF($C370="","",COUNTIFS(Chicks!$F:$F,$C370,Chicks!$G:$G,$D370,Chicks!$I:$I,"Yes"))</f>
        <v/>
      </c>
      <c r="H370" s="6" t="str">
        <f>IF($C370="","",SUMIFS(Chicks!$J:$J,Chicks!$F:$F,$C370,Chicks!$G:$G,$D370))</f>
        <v/>
      </c>
      <c r="I370" s="6" t="str">
        <f>IF($C370="","",COUNTIFS(Chicks!$F:$F,$C370,Chicks!$G:$G,$D370,Chicks!$I:$I,"No"))</f>
        <v/>
      </c>
      <c r="J370" s="6" t="str">
        <f>IF($C370="","",IFERROR(AVERAGEIFS(Chicks!$M:$M,Chicks!$F:$F,$C370,Chicks!$G:$G,$D370),""))</f>
        <v/>
      </c>
      <c r="K370" s="6" t="str">
        <f>IF($C370="","",SUMIFS(Chicks!$N:$N,Chicks!$F:$F,$C370,Chicks!$G:$G,$D370))</f>
        <v/>
      </c>
      <c r="L370" s="6" t="str">
        <f>IF($C370="","",SUMIFS(Chicks!$O:$O,Chicks!$F:$F,$C370,Chicks!$G:$G,$D370))</f>
        <v/>
      </c>
      <c r="M370" s="6" t="str">
        <f>IF($C370="","",SUMIFS(Chicks!$P:$P,Chicks!$F:$F,$C370,Chicks!$G:$G,$D370))</f>
        <v/>
      </c>
      <c r="N370" s="6" t="str">
        <f t="shared" si="5"/>
        <v/>
      </c>
      <c r="O370" s="6" t="e">
        <f t="shared" ca="1" si="6"/>
        <v>#NAME?</v>
      </c>
      <c r="P370" s="6" t="str">
        <f t="shared" si="7"/>
        <v/>
      </c>
    </row>
    <row r="371" spans="1:16" ht="14.25" customHeight="1" x14ac:dyDescent="0.3">
      <c r="A371" s="4"/>
      <c r="B371" s="4"/>
      <c r="C371" s="4" t="str">
        <f t="shared" si="8"/>
        <v/>
      </c>
      <c r="D371" s="4" t="str">
        <f t="shared" si="9"/>
        <v/>
      </c>
      <c r="E371" s="4"/>
      <c r="F371" s="6" t="str">
        <f>IF($C371="","",COUNTIFS(Chicks!$F:$F,$C371,Chicks!$G:$G,$D371))</f>
        <v/>
      </c>
      <c r="G371" s="6" t="str">
        <f>IF($C371="","",COUNTIFS(Chicks!$F:$F,$C371,Chicks!$G:$G,$D371,Chicks!$I:$I,"Yes"))</f>
        <v/>
      </c>
      <c r="H371" s="6" t="str">
        <f>IF($C371="","",SUMIFS(Chicks!$J:$J,Chicks!$F:$F,$C371,Chicks!$G:$G,$D371))</f>
        <v/>
      </c>
      <c r="I371" s="6" t="str">
        <f>IF($C371="","",COUNTIFS(Chicks!$F:$F,$C371,Chicks!$G:$G,$D371,Chicks!$I:$I,"No"))</f>
        <v/>
      </c>
      <c r="J371" s="6" t="str">
        <f>IF($C371="","",IFERROR(AVERAGEIFS(Chicks!$M:$M,Chicks!$F:$F,$C371,Chicks!$G:$G,$D371),""))</f>
        <v/>
      </c>
      <c r="K371" s="6" t="str">
        <f>IF($C371="","",SUMIFS(Chicks!$N:$N,Chicks!$F:$F,$C371,Chicks!$G:$G,$D371))</f>
        <v/>
      </c>
      <c r="L371" s="6" t="str">
        <f>IF($C371="","",SUMIFS(Chicks!$O:$O,Chicks!$F:$F,$C371,Chicks!$G:$G,$D371))</f>
        <v/>
      </c>
      <c r="M371" s="6" t="str">
        <f>IF($C371="","",SUMIFS(Chicks!$P:$P,Chicks!$F:$F,$C371,Chicks!$G:$G,$D371))</f>
        <v/>
      </c>
      <c r="N371" s="6" t="str">
        <f t="shared" si="5"/>
        <v/>
      </c>
      <c r="O371" s="6" t="e">
        <f t="shared" ca="1" si="6"/>
        <v>#NAME?</v>
      </c>
      <c r="P371" s="6" t="str">
        <f t="shared" si="7"/>
        <v/>
      </c>
    </row>
    <row r="372" spans="1:16" ht="14.25" customHeight="1" x14ac:dyDescent="0.3">
      <c r="A372" s="4"/>
      <c r="B372" s="4"/>
      <c r="C372" s="4" t="str">
        <f t="shared" si="8"/>
        <v/>
      </c>
      <c r="D372" s="4" t="str">
        <f t="shared" si="9"/>
        <v/>
      </c>
      <c r="E372" s="4"/>
      <c r="F372" s="6" t="str">
        <f>IF($C372="","",COUNTIFS(Chicks!$F:$F,$C372,Chicks!$G:$G,$D372))</f>
        <v/>
      </c>
      <c r="G372" s="6" t="str">
        <f>IF($C372="","",COUNTIFS(Chicks!$F:$F,$C372,Chicks!$G:$G,$D372,Chicks!$I:$I,"Yes"))</f>
        <v/>
      </c>
      <c r="H372" s="6" t="str">
        <f>IF($C372="","",SUMIFS(Chicks!$J:$J,Chicks!$F:$F,$C372,Chicks!$G:$G,$D372))</f>
        <v/>
      </c>
      <c r="I372" s="6" t="str">
        <f>IF($C372="","",COUNTIFS(Chicks!$F:$F,$C372,Chicks!$G:$G,$D372,Chicks!$I:$I,"No"))</f>
        <v/>
      </c>
      <c r="J372" s="6" t="str">
        <f>IF($C372="","",IFERROR(AVERAGEIFS(Chicks!$M:$M,Chicks!$F:$F,$C372,Chicks!$G:$G,$D372),""))</f>
        <v/>
      </c>
      <c r="K372" s="6" t="str">
        <f>IF($C372="","",SUMIFS(Chicks!$N:$N,Chicks!$F:$F,$C372,Chicks!$G:$G,$D372))</f>
        <v/>
      </c>
      <c r="L372" s="6" t="str">
        <f>IF($C372="","",SUMIFS(Chicks!$O:$O,Chicks!$F:$F,$C372,Chicks!$G:$G,$D372))</f>
        <v/>
      </c>
      <c r="M372" s="6" t="str">
        <f>IF($C372="","",SUMIFS(Chicks!$P:$P,Chicks!$F:$F,$C372,Chicks!$G:$G,$D372))</f>
        <v/>
      </c>
      <c r="N372" s="6" t="str">
        <f t="shared" si="5"/>
        <v/>
      </c>
      <c r="O372" s="6" t="e">
        <f t="shared" ca="1" si="6"/>
        <v>#NAME?</v>
      </c>
      <c r="P372" s="6" t="str">
        <f t="shared" si="7"/>
        <v/>
      </c>
    </row>
    <row r="373" spans="1:16" ht="14.25" customHeight="1" x14ac:dyDescent="0.3">
      <c r="A373" s="4"/>
      <c r="B373" s="4"/>
      <c r="C373" s="4" t="str">
        <f t="shared" si="8"/>
        <v/>
      </c>
      <c r="D373" s="4" t="str">
        <f t="shared" si="9"/>
        <v/>
      </c>
      <c r="E373" s="4"/>
      <c r="F373" s="6" t="str">
        <f>IF($C373="","",COUNTIFS(Chicks!$F:$F,$C373,Chicks!$G:$G,$D373))</f>
        <v/>
      </c>
      <c r="G373" s="6" t="str">
        <f>IF($C373="","",COUNTIFS(Chicks!$F:$F,$C373,Chicks!$G:$G,$D373,Chicks!$I:$I,"Yes"))</f>
        <v/>
      </c>
      <c r="H373" s="6" t="str">
        <f>IF($C373="","",SUMIFS(Chicks!$J:$J,Chicks!$F:$F,$C373,Chicks!$G:$G,$D373))</f>
        <v/>
      </c>
      <c r="I373" s="6" t="str">
        <f>IF($C373="","",COUNTIFS(Chicks!$F:$F,$C373,Chicks!$G:$G,$D373,Chicks!$I:$I,"No"))</f>
        <v/>
      </c>
      <c r="J373" s="6" t="str">
        <f>IF($C373="","",IFERROR(AVERAGEIFS(Chicks!$M:$M,Chicks!$F:$F,$C373,Chicks!$G:$G,$D373),""))</f>
        <v/>
      </c>
      <c r="K373" s="6" t="str">
        <f>IF($C373="","",SUMIFS(Chicks!$N:$N,Chicks!$F:$F,$C373,Chicks!$G:$G,$D373))</f>
        <v/>
      </c>
      <c r="L373" s="6" t="str">
        <f>IF($C373="","",SUMIFS(Chicks!$O:$O,Chicks!$F:$F,$C373,Chicks!$G:$G,$D373))</f>
        <v/>
      </c>
      <c r="M373" s="6" t="str">
        <f>IF($C373="","",SUMIFS(Chicks!$P:$P,Chicks!$F:$F,$C373,Chicks!$G:$G,$D373))</f>
        <v/>
      </c>
      <c r="N373" s="6" t="str">
        <f t="shared" si="5"/>
        <v/>
      </c>
      <c r="O373" s="6" t="e">
        <f t="shared" ca="1" si="6"/>
        <v>#NAME?</v>
      </c>
      <c r="P373" s="6" t="str">
        <f t="shared" si="7"/>
        <v/>
      </c>
    </row>
    <row r="374" spans="1:16" ht="14.25" customHeight="1" x14ac:dyDescent="0.3">
      <c r="A374" s="4"/>
      <c r="B374" s="4"/>
      <c r="C374" s="4" t="str">
        <f t="shared" si="8"/>
        <v/>
      </c>
      <c r="D374" s="4" t="str">
        <f t="shared" si="9"/>
        <v/>
      </c>
      <c r="E374" s="4"/>
      <c r="F374" s="6" t="str">
        <f>IF($C374="","",COUNTIFS(Chicks!$F:$F,$C374,Chicks!$G:$G,$D374))</f>
        <v/>
      </c>
      <c r="G374" s="6" t="str">
        <f>IF($C374="","",COUNTIFS(Chicks!$F:$F,$C374,Chicks!$G:$G,$D374,Chicks!$I:$I,"Yes"))</f>
        <v/>
      </c>
      <c r="H374" s="6" t="str">
        <f>IF($C374="","",SUMIFS(Chicks!$J:$J,Chicks!$F:$F,$C374,Chicks!$G:$G,$D374))</f>
        <v/>
      </c>
      <c r="I374" s="6" t="str">
        <f>IF($C374="","",COUNTIFS(Chicks!$F:$F,$C374,Chicks!$G:$G,$D374,Chicks!$I:$I,"No"))</f>
        <v/>
      </c>
      <c r="J374" s="6" t="str">
        <f>IF($C374="","",IFERROR(AVERAGEIFS(Chicks!$M:$M,Chicks!$F:$F,$C374,Chicks!$G:$G,$D374),""))</f>
        <v/>
      </c>
      <c r="K374" s="6" t="str">
        <f>IF($C374="","",SUMIFS(Chicks!$N:$N,Chicks!$F:$F,$C374,Chicks!$G:$G,$D374))</f>
        <v/>
      </c>
      <c r="L374" s="6" t="str">
        <f>IF($C374="","",SUMIFS(Chicks!$O:$O,Chicks!$F:$F,$C374,Chicks!$G:$G,$D374))</f>
        <v/>
      </c>
      <c r="M374" s="6" t="str">
        <f>IF($C374="","",SUMIFS(Chicks!$P:$P,Chicks!$F:$F,$C374,Chicks!$G:$G,$D374))</f>
        <v/>
      </c>
      <c r="N374" s="6" t="str">
        <f t="shared" si="5"/>
        <v/>
      </c>
      <c r="O374" s="6" t="e">
        <f t="shared" ca="1" si="6"/>
        <v>#NAME?</v>
      </c>
      <c r="P374" s="6" t="str">
        <f t="shared" si="7"/>
        <v/>
      </c>
    </row>
    <row r="375" spans="1:16" ht="14.25" customHeight="1" x14ac:dyDescent="0.3">
      <c r="A375" s="4"/>
      <c r="B375" s="4"/>
      <c r="C375" s="4" t="str">
        <f t="shared" si="8"/>
        <v/>
      </c>
      <c r="D375" s="4" t="str">
        <f t="shared" si="9"/>
        <v/>
      </c>
      <c r="E375" s="4"/>
      <c r="F375" s="6" t="str">
        <f>IF($C375="","",COUNTIFS(Chicks!$F:$F,$C375,Chicks!$G:$G,$D375))</f>
        <v/>
      </c>
      <c r="G375" s="6" t="str">
        <f>IF($C375="","",COUNTIFS(Chicks!$F:$F,$C375,Chicks!$G:$G,$D375,Chicks!$I:$I,"Yes"))</f>
        <v/>
      </c>
      <c r="H375" s="6" t="str">
        <f>IF($C375="","",SUMIFS(Chicks!$J:$J,Chicks!$F:$F,$C375,Chicks!$G:$G,$D375))</f>
        <v/>
      </c>
      <c r="I375" s="6" t="str">
        <f>IF($C375="","",COUNTIFS(Chicks!$F:$F,$C375,Chicks!$G:$G,$D375,Chicks!$I:$I,"No"))</f>
        <v/>
      </c>
      <c r="J375" s="6" t="str">
        <f>IF($C375="","",IFERROR(AVERAGEIFS(Chicks!$M:$M,Chicks!$F:$F,$C375,Chicks!$G:$G,$D375),""))</f>
        <v/>
      </c>
      <c r="K375" s="6" t="str">
        <f>IF($C375="","",SUMIFS(Chicks!$N:$N,Chicks!$F:$F,$C375,Chicks!$G:$G,$D375))</f>
        <v/>
      </c>
      <c r="L375" s="6" t="str">
        <f>IF($C375="","",SUMIFS(Chicks!$O:$O,Chicks!$F:$F,$C375,Chicks!$G:$G,$D375))</f>
        <v/>
      </c>
      <c r="M375" s="6" t="str">
        <f>IF($C375="","",SUMIFS(Chicks!$P:$P,Chicks!$F:$F,$C375,Chicks!$G:$G,$D375))</f>
        <v/>
      </c>
      <c r="N375" s="6" t="str">
        <f t="shared" si="5"/>
        <v/>
      </c>
      <c r="O375" s="6" t="e">
        <f t="shared" ca="1" si="6"/>
        <v>#NAME?</v>
      </c>
      <c r="P375" s="6" t="str">
        <f t="shared" si="7"/>
        <v/>
      </c>
    </row>
    <row r="376" spans="1:16" ht="14.25" customHeight="1" x14ac:dyDescent="0.3">
      <c r="A376" s="4"/>
      <c r="B376" s="4"/>
      <c r="C376" s="4" t="str">
        <f t="shared" si="8"/>
        <v/>
      </c>
      <c r="D376" s="4" t="str">
        <f t="shared" si="9"/>
        <v/>
      </c>
      <c r="E376" s="4"/>
      <c r="F376" s="6" t="str">
        <f>IF($C376="","",COUNTIFS(Chicks!$F:$F,$C376,Chicks!$G:$G,$D376))</f>
        <v/>
      </c>
      <c r="G376" s="6" t="str">
        <f>IF($C376="","",COUNTIFS(Chicks!$F:$F,$C376,Chicks!$G:$G,$D376,Chicks!$I:$I,"Yes"))</f>
        <v/>
      </c>
      <c r="H376" s="6" t="str">
        <f>IF($C376="","",SUMIFS(Chicks!$J:$J,Chicks!$F:$F,$C376,Chicks!$G:$G,$D376))</f>
        <v/>
      </c>
      <c r="I376" s="6" t="str">
        <f>IF($C376="","",COUNTIFS(Chicks!$F:$F,$C376,Chicks!$G:$G,$D376,Chicks!$I:$I,"No"))</f>
        <v/>
      </c>
      <c r="J376" s="6" t="str">
        <f>IF($C376="","",IFERROR(AVERAGEIFS(Chicks!$M:$M,Chicks!$F:$F,$C376,Chicks!$G:$G,$D376),""))</f>
        <v/>
      </c>
      <c r="K376" s="6" t="str">
        <f>IF($C376="","",SUMIFS(Chicks!$N:$N,Chicks!$F:$F,$C376,Chicks!$G:$G,$D376))</f>
        <v/>
      </c>
      <c r="L376" s="6" t="str">
        <f>IF($C376="","",SUMIFS(Chicks!$O:$O,Chicks!$F:$F,$C376,Chicks!$G:$G,$D376))</f>
        <v/>
      </c>
      <c r="M376" s="6" t="str">
        <f>IF($C376="","",SUMIFS(Chicks!$P:$P,Chicks!$F:$F,$C376,Chicks!$G:$G,$D376))</f>
        <v/>
      </c>
      <c r="N376" s="6" t="str">
        <f t="shared" si="5"/>
        <v/>
      </c>
      <c r="O376" s="6" t="e">
        <f t="shared" ca="1" si="6"/>
        <v>#NAME?</v>
      </c>
      <c r="P376" s="6" t="str">
        <f t="shared" si="7"/>
        <v/>
      </c>
    </row>
    <row r="377" spans="1:16" ht="14.25" customHeight="1" x14ac:dyDescent="0.3">
      <c r="A377" s="4"/>
      <c r="B377" s="4"/>
      <c r="C377" s="4" t="str">
        <f t="shared" si="8"/>
        <v/>
      </c>
      <c r="D377" s="4" t="str">
        <f t="shared" si="9"/>
        <v/>
      </c>
      <c r="E377" s="4"/>
      <c r="F377" s="6" t="str">
        <f>IF($C377="","",COUNTIFS(Chicks!$F:$F,$C377,Chicks!$G:$G,$D377))</f>
        <v/>
      </c>
      <c r="G377" s="6" t="str">
        <f>IF($C377="","",COUNTIFS(Chicks!$F:$F,$C377,Chicks!$G:$G,$D377,Chicks!$I:$I,"Yes"))</f>
        <v/>
      </c>
      <c r="H377" s="6" t="str">
        <f>IF($C377="","",SUMIFS(Chicks!$J:$J,Chicks!$F:$F,$C377,Chicks!$G:$G,$D377))</f>
        <v/>
      </c>
      <c r="I377" s="6" t="str">
        <f>IF($C377="","",COUNTIFS(Chicks!$F:$F,$C377,Chicks!$G:$G,$D377,Chicks!$I:$I,"No"))</f>
        <v/>
      </c>
      <c r="J377" s="6" t="str">
        <f>IF($C377="","",IFERROR(AVERAGEIFS(Chicks!$M:$M,Chicks!$F:$F,$C377,Chicks!$G:$G,$D377),""))</f>
        <v/>
      </c>
      <c r="K377" s="6" t="str">
        <f>IF($C377="","",SUMIFS(Chicks!$N:$N,Chicks!$F:$F,$C377,Chicks!$G:$G,$D377))</f>
        <v/>
      </c>
      <c r="L377" s="6" t="str">
        <f>IF($C377="","",SUMIFS(Chicks!$O:$O,Chicks!$F:$F,$C377,Chicks!$G:$G,$D377))</f>
        <v/>
      </c>
      <c r="M377" s="6" t="str">
        <f>IF($C377="","",SUMIFS(Chicks!$P:$P,Chicks!$F:$F,$C377,Chicks!$G:$G,$D377))</f>
        <v/>
      </c>
      <c r="N377" s="6" t="str">
        <f t="shared" si="5"/>
        <v/>
      </c>
      <c r="O377" s="6" t="e">
        <f t="shared" ca="1" si="6"/>
        <v>#NAME?</v>
      </c>
      <c r="P377" s="6" t="str">
        <f t="shared" si="7"/>
        <v/>
      </c>
    </row>
    <row r="378" spans="1:16" ht="14.25" customHeight="1" x14ac:dyDescent="0.3">
      <c r="A378" s="4"/>
      <c r="B378" s="4"/>
      <c r="C378" s="4" t="str">
        <f t="shared" si="8"/>
        <v/>
      </c>
      <c r="D378" s="4" t="str">
        <f t="shared" si="9"/>
        <v/>
      </c>
      <c r="E378" s="4"/>
      <c r="F378" s="6" t="str">
        <f>IF($C378="","",COUNTIFS(Chicks!$F:$F,$C378,Chicks!$G:$G,$D378))</f>
        <v/>
      </c>
      <c r="G378" s="6" t="str">
        <f>IF($C378="","",COUNTIFS(Chicks!$F:$F,$C378,Chicks!$G:$G,$D378,Chicks!$I:$I,"Yes"))</f>
        <v/>
      </c>
      <c r="H378" s="6" t="str">
        <f>IF($C378="","",SUMIFS(Chicks!$J:$J,Chicks!$F:$F,$C378,Chicks!$G:$G,$D378))</f>
        <v/>
      </c>
      <c r="I378" s="6" t="str">
        <f>IF($C378="","",COUNTIFS(Chicks!$F:$F,$C378,Chicks!$G:$G,$D378,Chicks!$I:$I,"No"))</f>
        <v/>
      </c>
      <c r="J378" s="6" t="str">
        <f>IF($C378="","",IFERROR(AVERAGEIFS(Chicks!$M:$M,Chicks!$F:$F,$C378,Chicks!$G:$G,$D378),""))</f>
        <v/>
      </c>
      <c r="K378" s="6" t="str">
        <f>IF($C378="","",SUMIFS(Chicks!$N:$N,Chicks!$F:$F,$C378,Chicks!$G:$G,$D378))</f>
        <v/>
      </c>
      <c r="L378" s="6" t="str">
        <f>IF($C378="","",SUMIFS(Chicks!$O:$O,Chicks!$F:$F,$C378,Chicks!$G:$G,$D378))</f>
        <v/>
      </c>
      <c r="M378" s="6" t="str">
        <f>IF($C378="","",SUMIFS(Chicks!$P:$P,Chicks!$F:$F,$C378,Chicks!$G:$G,$D378))</f>
        <v/>
      </c>
      <c r="N378" s="6" t="str">
        <f t="shared" si="5"/>
        <v/>
      </c>
      <c r="O378" s="6" t="e">
        <f t="shared" ca="1" si="6"/>
        <v>#NAME?</v>
      </c>
      <c r="P378" s="6" t="str">
        <f t="shared" si="7"/>
        <v/>
      </c>
    </row>
    <row r="379" spans="1:16" ht="14.25" customHeight="1" x14ac:dyDescent="0.3">
      <c r="A379" s="4"/>
      <c r="B379" s="4"/>
      <c r="C379" s="4" t="str">
        <f t="shared" si="8"/>
        <v/>
      </c>
      <c r="D379" s="4" t="str">
        <f t="shared" si="9"/>
        <v/>
      </c>
      <c r="E379" s="4"/>
      <c r="F379" s="6" t="str">
        <f>IF($C379="","",COUNTIFS(Chicks!$F:$F,$C379,Chicks!$G:$G,$D379))</f>
        <v/>
      </c>
      <c r="G379" s="6" t="str">
        <f>IF($C379="","",COUNTIFS(Chicks!$F:$F,$C379,Chicks!$G:$G,$D379,Chicks!$I:$I,"Yes"))</f>
        <v/>
      </c>
      <c r="H379" s="6" t="str">
        <f>IF($C379="","",SUMIFS(Chicks!$J:$J,Chicks!$F:$F,$C379,Chicks!$G:$G,$D379))</f>
        <v/>
      </c>
      <c r="I379" s="6" t="str">
        <f>IF($C379="","",COUNTIFS(Chicks!$F:$F,$C379,Chicks!$G:$G,$D379,Chicks!$I:$I,"No"))</f>
        <v/>
      </c>
      <c r="J379" s="6" t="str">
        <f>IF($C379="","",IFERROR(AVERAGEIFS(Chicks!$M:$M,Chicks!$F:$F,$C379,Chicks!$G:$G,$D379),""))</f>
        <v/>
      </c>
      <c r="K379" s="6" t="str">
        <f>IF($C379="","",SUMIFS(Chicks!$N:$N,Chicks!$F:$F,$C379,Chicks!$G:$G,$D379))</f>
        <v/>
      </c>
      <c r="L379" s="6" t="str">
        <f>IF($C379="","",SUMIFS(Chicks!$O:$O,Chicks!$F:$F,$C379,Chicks!$G:$G,$D379))</f>
        <v/>
      </c>
      <c r="M379" s="6" t="str">
        <f>IF($C379="","",SUMIFS(Chicks!$P:$P,Chicks!$F:$F,$C379,Chicks!$G:$G,$D379))</f>
        <v/>
      </c>
      <c r="N379" s="6" t="str">
        <f t="shared" si="5"/>
        <v/>
      </c>
      <c r="O379" s="6" t="e">
        <f t="shared" ca="1" si="6"/>
        <v>#NAME?</v>
      </c>
      <c r="P379" s="6" t="str">
        <f t="shared" si="7"/>
        <v/>
      </c>
    </row>
    <row r="380" spans="1:16" ht="14.25" customHeight="1" x14ac:dyDescent="0.3">
      <c r="A380" s="4"/>
      <c r="B380" s="4"/>
      <c r="C380" s="4" t="str">
        <f t="shared" si="8"/>
        <v/>
      </c>
      <c r="D380" s="4" t="str">
        <f t="shared" si="9"/>
        <v/>
      </c>
      <c r="E380" s="4"/>
      <c r="F380" s="6" t="str">
        <f>IF($C380="","",COUNTIFS(Chicks!$F:$F,$C380,Chicks!$G:$G,$D380))</f>
        <v/>
      </c>
      <c r="G380" s="6" t="str">
        <f>IF($C380="","",COUNTIFS(Chicks!$F:$F,$C380,Chicks!$G:$G,$D380,Chicks!$I:$I,"Yes"))</f>
        <v/>
      </c>
      <c r="H380" s="6" t="str">
        <f>IF($C380="","",SUMIFS(Chicks!$J:$J,Chicks!$F:$F,$C380,Chicks!$G:$G,$D380))</f>
        <v/>
      </c>
      <c r="I380" s="6" t="str">
        <f>IF($C380="","",COUNTIFS(Chicks!$F:$F,$C380,Chicks!$G:$G,$D380,Chicks!$I:$I,"No"))</f>
        <v/>
      </c>
      <c r="J380" s="6" t="str">
        <f>IF($C380="","",IFERROR(AVERAGEIFS(Chicks!$M:$M,Chicks!$F:$F,$C380,Chicks!$G:$G,$D380),""))</f>
        <v/>
      </c>
      <c r="K380" s="6" t="str">
        <f>IF($C380="","",SUMIFS(Chicks!$N:$N,Chicks!$F:$F,$C380,Chicks!$G:$G,$D380))</f>
        <v/>
      </c>
      <c r="L380" s="6" t="str">
        <f>IF($C380="","",SUMIFS(Chicks!$O:$O,Chicks!$F:$F,$C380,Chicks!$G:$G,$D380))</f>
        <v/>
      </c>
      <c r="M380" s="6" t="str">
        <f>IF($C380="","",SUMIFS(Chicks!$P:$P,Chicks!$F:$F,$C380,Chicks!$G:$G,$D380))</f>
        <v/>
      </c>
      <c r="N380" s="6" t="str">
        <f t="shared" si="5"/>
        <v/>
      </c>
      <c r="O380" s="6" t="e">
        <f t="shared" ca="1" si="6"/>
        <v>#NAME?</v>
      </c>
      <c r="P380" s="6" t="str">
        <f t="shared" si="7"/>
        <v/>
      </c>
    </row>
    <row r="381" spans="1:16" ht="14.25" customHeight="1" x14ac:dyDescent="0.3">
      <c r="A381" s="4"/>
      <c r="B381" s="4"/>
      <c r="C381" s="4" t="str">
        <f t="shared" si="8"/>
        <v/>
      </c>
      <c r="D381" s="4" t="str">
        <f t="shared" si="9"/>
        <v/>
      </c>
      <c r="E381" s="4"/>
      <c r="F381" s="6" t="str">
        <f>IF($C381="","",COUNTIFS(Chicks!$F:$F,$C381,Chicks!$G:$G,$D381))</f>
        <v/>
      </c>
      <c r="G381" s="6" t="str">
        <f>IF($C381="","",COUNTIFS(Chicks!$F:$F,$C381,Chicks!$G:$G,$D381,Chicks!$I:$I,"Yes"))</f>
        <v/>
      </c>
      <c r="H381" s="6" t="str">
        <f>IF($C381="","",SUMIFS(Chicks!$J:$J,Chicks!$F:$F,$C381,Chicks!$G:$G,$D381))</f>
        <v/>
      </c>
      <c r="I381" s="6" t="str">
        <f>IF($C381="","",COUNTIFS(Chicks!$F:$F,$C381,Chicks!$G:$G,$D381,Chicks!$I:$I,"No"))</f>
        <v/>
      </c>
      <c r="J381" s="6" t="str">
        <f>IF($C381="","",IFERROR(AVERAGEIFS(Chicks!$M:$M,Chicks!$F:$F,$C381,Chicks!$G:$G,$D381),""))</f>
        <v/>
      </c>
      <c r="K381" s="6" t="str">
        <f>IF($C381="","",SUMIFS(Chicks!$N:$N,Chicks!$F:$F,$C381,Chicks!$G:$G,$D381))</f>
        <v/>
      </c>
      <c r="L381" s="6" t="str">
        <f>IF($C381="","",SUMIFS(Chicks!$O:$O,Chicks!$F:$F,$C381,Chicks!$G:$G,$D381))</f>
        <v/>
      </c>
      <c r="M381" s="6" t="str">
        <f>IF($C381="","",SUMIFS(Chicks!$P:$P,Chicks!$F:$F,$C381,Chicks!$G:$G,$D381))</f>
        <v/>
      </c>
      <c r="N381" s="6" t="str">
        <f t="shared" si="5"/>
        <v/>
      </c>
      <c r="O381" s="6" t="e">
        <f t="shared" ca="1" si="6"/>
        <v>#NAME?</v>
      </c>
      <c r="P381" s="6" t="str">
        <f t="shared" si="7"/>
        <v/>
      </c>
    </row>
    <row r="382" spans="1:16" ht="14.25" customHeight="1" x14ac:dyDescent="0.3">
      <c r="A382" s="4"/>
      <c r="B382" s="4"/>
      <c r="C382" s="4" t="str">
        <f t="shared" si="8"/>
        <v/>
      </c>
      <c r="D382" s="4" t="str">
        <f t="shared" si="9"/>
        <v/>
      </c>
      <c r="E382" s="4"/>
      <c r="F382" s="6" t="str">
        <f>IF($C382="","",COUNTIFS(Chicks!$F:$F,$C382,Chicks!$G:$G,$D382))</f>
        <v/>
      </c>
      <c r="G382" s="6" t="str">
        <f>IF($C382="","",COUNTIFS(Chicks!$F:$F,$C382,Chicks!$G:$G,$D382,Chicks!$I:$I,"Yes"))</f>
        <v/>
      </c>
      <c r="H382" s="6" t="str">
        <f>IF($C382="","",SUMIFS(Chicks!$J:$J,Chicks!$F:$F,$C382,Chicks!$G:$G,$D382))</f>
        <v/>
      </c>
      <c r="I382" s="6" t="str">
        <f>IF($C382="","",COUNTIFS(Chicks!$F:$F,$C382,Chicks!$G:$G,$D382,Chicks!$I:$I,"No"))</f>
        <v/>
      </c>
      <c r="J382" s="6" t="str">
        <f>IF($C382="","",IFERROR(AVERAGEIFS(Chicks!$M:$M,Chicks!$F:$F,$C382,Chicks!$G:$G,$D382),""))</f>
        <v/>
      </c>
      <c r="K382" s="6" t="str">
        <f>IF($C382="","",SUMIFS(Chicks!$N:$N,Chicks!$F:$F,$C382,Chicks!$G:$G,$D382))</f>
        <v/>
      </c>
      <c r="L382" s="6" t="str">
        <f>IF($C382="","",SUMIFS(Chicks!$O:$O,Chicks!$F:$F,$C382,Chicks!$G:$G,$D382))</f>
        <v/>
      </c>
      <c r="M382" s="6" t="str">
        <f>IF($C382="","",SUMIFS(Chicks!$P:$P,Chicks!$F:$F,$C382,Chicks!$G:$G,$D382))</f>
        <v/>
      </c>
      <c r="N382" s="6" t="str">
        <f t="shared" si="5"/>
        <v/>
      </c>
      <c r="O382" s="6" t="e">
        <f t="shared" ca="1" si="6"/>
        <v>#NAME?</v>
      </c>
      <c r="P382" s="6" t="str">
        <f t="shared" si="7"/>
        <v/>
      </c>
    </row>
    <row r="383" spans="1:16" ht="14.25" customHeight="1" x14ac:dyDescent="0.3">
      <c r="A383" s="4"/>
      <c r="B383" s="4"/>
      <c r="C383" s="4" t="str">
        <f t="shared" si="8"/>
        <v/>
      </c>
      <c r="D383" s="4" t="str">
        <f t="shared" si="9"/>
        <v/>
      </c>
      <c r="E383" s="4"/>
      <c r="F383" s="6" t="str">
        <f>IF($C383="","",COUNTIFS(Chicks!$F:$F,$C383,Chicks!$G:$G,$D383))</f>
        <v/>
      </c>
      <c r="G383" s="6" t="str">
        <f>IF($C383="","",COUNTIFS(Chicks!$F:$F,$C383,Chicks!$G:$G,$D383,Chicks!$I:$I,"Yes"))</f>
        <v/>
      </c>
      <c r="H383" s="6" t="str">
        <f>IF($C383="","",SUMIFS(Chicks!$J:$J,Chicks!$F:$F,$C383,Chicks!$G:$G,$D383))</f>
        <v/>
      </c>
      <c r="I383" s="6" t="str">
        <f>IF($C383="","",COUNTIFS(Chicks!$F:$F,$C383,Chicks!$G:$G,$D383,Chicks!$I:$I,"No"))</f>
        <v/>
      </c>
      <c r="J383" s="6" t="str">
        <f>IF($C383="","",IFERROR(AVERAGEIFS(Chicks!$M:$M,Chicks!$F:$F,$C383,Chicks!$G:$G,$D383),""))</f>
        <v/>
      </c>
      <c r="K383" s="6" t="str">
        <f>IF($C383="","",SUMIFS(Chicks!$N:$N,Chicks!$F:$F,$C383,Chicks!$G:$G,$D383))</f>
        <v/>
      </c>
      <c r="L383" s="6" t="str">
        <f>IF($C383="","",SUMIFS(Chicks!$O:$O,Chicks!$F:$F,$C383,Chicks!$G:$G,$D383))</f>
        <v/>
      </c>
      <c r="M383" s="6" t="str">
        <f>IF($C383="","",SUMIFS(Chicks!$P:$P,Chicks!$F:$F,$C383,Chicks!$G:$G,$D383))</f>
        <v/>
      </c>
      <c r="N383" s="6" t="str">
        <f t="shared" si="5"/>
        <v/>
      </c>
      <c r="O383" s="6" t="e">
        <f t="shared" ca="1" si="6"/>
        <v>#NAME?</v>
      </c>
      <c r="P383" s="6" t="str">
        <f t="shared" si="7"/>
        <v/>
      </c>
    </row>
    <row r="384" spans="1:16" ht="14.25" customHeight="1" x14ac:dyDescent="0.3">
      <c r="A384" s="4"/>
      <c r="B384" s="4"/>
      <c r="C384" s="4" t="str">
        <f t="shared" si="8"/>
        <v/>
      </c>
      <c r="D384" s="4" t="str">
        <f t="shared" si="9"/>
        <v/>
      </c>
      <c r="E384" s="4"/>
      <c r="F384" s="6" t="str">
        <f>IF($C384="","",COUNTIFS(Chicks!$F:$F,$C384,Chicks!$G:$G,$D384))</f>
        <v/>
      </c>
      <c r="G384" s="6" t="str">
        <f>IF($C384="","",COUNTIFS(Chicks!$F:$F,$C384,Chicks!$G:$G,$D384,Chicks!$I:$I,"Yes"))</f>
        <v/>
      </c>
      <c r="H384" s="6" t="str">
        <f>IF($C384="","",SUMIFS(Chicks!$J:$J,Chicks!$F:$F,$C384,Chicks!$G:$G,$D384))</f>
        <v/>
      </c>
      <c r="I384" s="6" t="str">
        <f>IF($C384="","",COUNTIFS(Chicks!$F:$F,$C384,Chicks!$G:$G,$D384,Chicks!$I:$I,"No"))</f>
        <v/>
      </c>
      <c r="J384" s="6" t="str">
        <f>IF($C384="","",IFERROR(AVERAGEIFS(Chicks!$M:$M,Chicks!$F:$F,$C384,Chicks!$G:$G,$D384),""))</f>
        <v/>
      </c>
      <c r="K384" s="6" t="str">
        <f>IF($C384="","",SUMIFS(Chicks!$N:$N,Chicks!$F:$F,$C384,Chicks!$G:$G,$D384))</f>
        <v/>
      </c>
      <c r="L384" s="6" t="str">
        <f>IF($C384="","",SUMIFS(Chicks!$O:$O,Chicks!$F:$F,$C384,Chicks!$G:$G,$D384))</f>
        <v/>
      </c>
      <c r="M384" s="6" t="str">
        <f>IF($C384="","",SUMIFS(Chicks!$P:$P,Chicks!$F:$F,$C384,Chicks!$G:$G,$D384))</f>
        <v/>
      </c>
      <c r="N384" s="6" t="str">
        <f t="shared" si="5"/>
        <v/>
      </c>
      <c r="O384" s="6" t="e">
        <f t="shared" ca="1" si="6"/>
        <v>#NAME?</v>
      </c>
      <c r="P384" s="6" t="str">
        <f t="shared" si="7"/>
        <v/>
      </c>
    </row>
    <row r="385" spans="1:16" ht="14.25" customHeight="1" x14ac:dyDescent="0.3">
      <c r="A385" s="4"/>
      <c r="B385" s="4"/>
      <c r="C385" s="4" t="str">
        <f t="shared" si="8"/>
        <v/>
      </c>
      <c r="D385" s="4" t="str">
        <f t="shared" si="9"/>
        <v/>
      </c>
      <c r="E385" s="4"/>
      <c r="F385" s="6" t="str">
        <f>IF($C385="","",COUNTIFS(Chicks!$F:$F,$C385,Chicks!$G:$G,$D385))</f>
        <v/>
      </c>
      <c r="G385" s="6" t="str">
        <f>IF($C385="","",COUNTIFS(Chicks!$F:$F,$C385,Chicks!$G:$G,$D385,Chicks!$I:$I,"Yes"))</f>
        <v/>
      </c>
      <c r="H385" s="6" t="str">
        <f>IF($C385="","",SUMIFS(Chicks!$J:$J,Chicks!$F:$F,$C385,Chicks!$G:$G,$D385))</f>
        <v/>
      </c>
      <c r="I385" s="6" t="str">
        <f>IF($C385="","",COUNTIFS(Chicks!$F:$F,$C385,Chicks!$G:$G,$D385,Chicks!$I:$I,"No"))</f>
        <v/>
      </c>
      <c r="J385" s="6" t="str">
        <f>IF($C385="","",IFERROR(AVERAGEIFS(Chicks!$M:$M,Chicks!$F:$F,$C385,Chicks!$G:$G,$D385),""))</f>
        <v/>
      </c>
      <c r="K385" s="6" t="str">
        <f>IF($C385="","",SUMIFS(Chicks!$N:$N,Chicks!$F:$F,$C385,Chicks!$G:$G,$D385))</f>
        <v/>
      </c>
      <c r="L385" s="6" t="str">
        <f>IF($C385="","",SUMIFS(Chicks!$O:$O,Chicks!$F:$F,$C385,Chicks!$G:$G,$D385))</f>
        <v/>
      </c>
      <c r="M385" s="6" t="str">
        <f>IF($C385="","",SUMIFS(Chicks!$P:$P,Chicks!$F:$F,$C385,Chicks!$G:$G,$D385))</f>
        <v/>
      </c>
      <c r="N385" s="6" t="str">
        <f t="shared" si="5"/>
        <v/>
      </c>
      <c r="O385" s="6" t="e">
        <f t="shared" ca="1" si="6"/>
        <v>#NAME?</v>
      </c>
      <c r="P385" s="6" t="str">
        <f t="shared" si="7"/>
        <v/>
      </c>
    </row>
    <row r="386" spans="1:16" ht="14.25" customHeight="1" x14ac:dyDescent="0.3">
      <c r="A386" s="4"/>
      <c r="B386" s="4"/>
      <c r="C386" s="4" t="str">
        <f t="shared" si="8"/>
        <v/>
      </c>
      <c r="D386" s="4" t="str">
        <f t="shared" si="9"/>
        <v/>
      </c>
      <c r="E386" s="4"/>
      <c r="F386" s="6" t="str">
        <f>IF($C386="","",COUNTIFS(Chicks!$F:$F,$C386,Chicks!$G:$G,$D386))</f>
        <v/>
      </c>
      <c r="G386" s="6" t="str">
        <f>IF($C386="","",COUNTIFS(Chicks!$F:$F,$C386,Chicks!$G:$G,$D386,Chicks!$I:$I,"Yes"))</f>
        <v/>
      </c>
      <c r="H386" s="6" t="str">
        <f>IF($C386="","",SUMIFS(Chicks!$J:$J,Chicks!$F:$F,$C386,Chicks!$G:$G,$D386))</f>
        <v/>
      </c>
      <c r="I386" s="6" t="str">
        <f>IF($C386="","",COUNTIFS(Chicks!$F:$F,$C386,Chicks!$G:$G,$D386,Chicks!$I:$I,"No"))</f>
        <v/>
      </c>
      <c r="J386" s="6" t="str">
        <f>IF($C386="","",IFERROR(AVERAGEIFS(Chicks!$M:$M,Chicks!$F:$F,$C386,Chicks!$G:$G,$D386),""))</f>
        <v/>
      </c>
      <c r="K386" s="6" t="str">
        <f>IF($C386="","",SUMIFS(Chicks!$N:$N,Chicks!$F:$F,$C386,Chicks!$G:$G,$D386))</f>
        <v/>
      </c>
      <c r="L386" s="6" t="str">
        <f>IF($C386="","",SUMIFS(Chicks!$O:$O,Chicks!$F:$F,$C386,Chicks!$G:$G,$D386))</f>
        <v/>
      </c>
      <c r="M386" s="6" t="str">
        <f>IF($C386="","",SUMIFS(Chicks!$P:$P,Chicks!$F:$F,$C386,Chicks!$G:$G,$D386))</f>
        <v/>
      </c>
      <c r="N386" s="6" t="str">
        <f t="shared" si="5"/>
        <v/>
      </c>
      <c r="O386" s="6" t="e">
        <f t="shared" ca="1" si="6"/>
        <v>#NAME?</v>
      </c>
      <c r="P386" s="6" t="str">
        <f t="shared" si="7"/>
        <v/>
      </c>
    </row>
    <row r="387" spans="1:16" ht="14.25" customHeight="1" x14ac:dyDescent="0.3">
      <c r="A387" s="4"/>
      <c r="B387" s="4"/>
      <c r="C387" s="4" t="str">
        <f t="shared" si="8"/>
        <v/>
      </c>
      <c r="D387" s="4" t="str">
        <f t="shared" si="9"/>
        <v/>
      </c>
      <c r="E387" s="4"/>
      <c r="F387" s="6" t="str">
        <f>IF($C387="","",COUNTIFS(Chicks!$F:$F,$C387,Chicks!$G:$G,$D387))</f>
        <v/>
      </c>
      <c r="G387" s="6" t="str">
        <f>IF($C387="","",COUNTIFS(Chicks!$F:$F,$C387,Chicks!$G:$G,$D387,Chicks!$I:$I,"Yes"))</f>
        <v/>
      </c>
      <c r="H387" s="6" t="str">
        <f>IF($C387="","",SUMIFS(Chicks!$J:$J,Chicks!$F:$F,$C387,Chicks!$G:$G,$D387))</f>
        <v/>
      </c>
      <c r="I387" s="6" t="str">
        <f>IF($C387="","",COUNTIFS(Chicks!$F:$F,$C387,Chicks!$G:$G,$D387,Chicks!$I:$I,"No"))</f>
        <v/>
      </c>
      <c r="J387" s="6" t="str">
        <f>IF($C387="","",IFERROR(AVERAGEIFS(Chicks!$M:$M,Chicks!$F:$F,$C387,Chicks!$G:$G,$D387),""))</f>
        <v/>
      </c>
      <c r="K387" s="6" t="str">
        <f>IF($C387="","",SUMIFS(Chicks!$N:$N,Chicks!$F:$F,$C387,Chicks!$G:$G,$D387))</f>
        <v/>
      </c>
      <c r="L387" s="6" t="str">
        <f>IF($C387="","",SUMIFS(Chicks!$O:$O,Chicks!$F:$F,$C387,Chicks!$G:$G,$D387))</f>
        <v/>
      </c>
      <c r="M387" s="6" t="str">
        <f>IF($C387="","",SUMIFS(Chicks!$P:$P,Chicks!$F:$F,$C387,Chicks!$G:$G,$D387))</f>
        <v/>
      </c>
      <c r="N387" s="6" t="str">
        <f t="shared" si="5"/>
        <v/>
      </c>
      <c r="O387" s="6" t="e">
        <f t="shared" ca="1" si="6"/>
        <v>#NAME?</v>
      </c>
      <c r="P387" s="6" t="str">
        <f t="shared" si="7"/>
        <v/>
      </c>
    </row>
    <row r="388" spans="1:16" ht="14.25" customHeight="1" x14ac:dyDescent="0.3">
      <c r="A388" s="4"/>
      <c r="B388" s="4"/>
      <c r="C388" s="4" t="str">
        <f t="shared" si="8"/>
        <v/>
      </c>
      <c r="D388" s="4" t="str">
        <f t="shared" si="9"/>
        <v/>
      </c>
      <c r="E388" s="4"/>
      <c r="F388" s="6" t="str">
        <f>IF($C388="","",COUNTIFS(Chicks!$F:$F,$C388,Chicks!$G:$G,$D388))</f>
        <v/>
      </c>
      <c r="G388" s="6" t="str">
        <f>IF($C388="","",COUNTIFS(Chicks!$F:$F,$C388,Chicks!$G:$G,$D388,Chicks!$I:$I,"Yes"))</f>
        <v/>
      </c>
      <c r="H388" s="6" t="str">
        <f>IF($C388="","",SUMIFS(Chicks!$J:$J,Chicks!$F:$F,$C388,Chicks!$G:$G,$D388))</f>
        <v/>
      </c>
      <c r="I388" s="6" t="str">
        <f>IF($C388="","",COUNTIFS(Chicks!$F:$F,$C388,Chicks!$G:$G,$D388,Chicks!$I:$I,"No"))</f>
        <v/>
      </c>
      <c r="J388" s="6" t="str">
        <f>IF($C388="","",IFERROR(AVERAGEIFS(Chicks!$M:$M,Chicks!$F:$F,$C388,Chicks!$G:$G,$D388),""))</f>
        <v/>
      </c>
      <c r="K388" s="6" t="str">
        <f>IF($C388="","",SUMIFS(Chicks!$N:$N,Chicks!$F:$F,$C388,Chicks!$G:$G,$D388))</f>
        <v/>
      </c>
      <c r="L388" s="6" t="str">
        <f>IF($C388="","",SUMIFS(Chicks!$O:$O,Chicks!$F:$F,$C388,Chicks!$G:$G,$D388))</f>
        <v/>
      </c>
      <c r="M388" s="6" t="str">
        <f>IF($C388="","",SUMIFS(Chicks!$P:$P,Chicks!$F:$F,$C388,Chicks!$G:$G,$D388))</f>
        <v/>
      </c>
      <c r="N388" s="6" t="str">
        <f t="shared" si="5"/>
        <v/>
      </c>
      <c r="O388" s="6" t="e">
        <f t="shared" ca="1" si="6"/>
        <v>#NAME?</v>
      </c>
      <c r="P388" s="6" t="str">
        <f t="shared" si="7"/>
        <v/>
      </c>
    </row>
    <row r="389" spans="1:16" ht="14.25" customHeight="1" x14ac:dyDescent="0.3">
      <c r="A389" s="4"/>
      <c r="B389" s="4"/>
      <c r="C389" s="4" t="str">
        <f t="shared" si="8"/>
        <v/>
      </c>
      <c r="D389" s="4" t="str">
        <f t="shared" si="9"/>
        <v/>
      </c>
      <c r="E389" s="4"/>
      <c r="F389" s="6" t="str">
        <f>IF($C389="","",COUNTIFS(Chicks!$F:$F,$C389,Chicks!$G:$G,$D389))</f>
        <v/>
      </c>
      <c r="G389" s="6" t="str">
        <f>IF($C389="","",COUNTIFS(Chicks!$F:$F,$C389,Chicks!$G:$G,$D389,Chicks!$I:$I,"Yes"))</f>
        <v/>
      </c>
      <c r="H389" s="6" t="str">
        <f>IF($C389="","",SUMIFS(Chicks!$J:$J,Chicks!$F:$F,$C389,Chicks!$G:$G,$D389))</f>
        <v/>
      </c>
      <c r="I389" s="6" t="str">
        <f>IF($C389="","",COUNTIFS(Chicks!$F:$F,$C389,Chicks!$G:$G,$D389,Chicks!$I:$I,"No"))</f>
        <v/>
      </c>
      <c r="J389" s="6" t="str">
        <f>IF($C389="","",IFERROR(AVERAGEIFS(Chicks!$M:$M,Chicks!$F:$F,$C389,Chicks!$G:$G,$D389),""))</f>
        <v/>
      </c>
      <c r="K389" s="6" t="str">
        <f>IF($C389="","",SUMIFS(Chicks!$N:$N,Chicks!$F:$F,$C389,Chicks!$G:$G,$D389))</f>
        <v/>
      </c>
      <c r="L389" s="6" t="str">
        <f>IF($C389="","",SUMIFS(Chicks!$O:$O,Chicks!$F:$F,$C389,Chicks!$G:$G,$D389))</f>
        <v/>
      </c>
      <c r="M389" s="6" t="str">
        <f>IF($C389="","",SUMIFS(Chicks!$P:$P,Chicks!$F:$F,$C389,Chicks!$G:$G,$D389))</f>
        <v/>
      </c>
      <c r="N389" s="6" t="str">
        <f t="shared" si="5"/>
        <v/>
      </c>
      <c r="O389" s="6" t="e">
        <f t="shared" ca="1" si="6"/>
        <v>#NAME?</v>
      </c>
      <c r="P389" s="6" t="str">
        <f t="shared" si="7"/>
        <v/>
      </c>
    </row>
    <row r="390" spans="1:16" ht="14.25" customHeight="1" x14ac:dyDescent="0.3">
      <c r="A390" s="4"/>
      <c r="B390" s="4"/>
      <c r="C390" s="4" t="str">
        <f t="shared" si="8"/>
        <v/>
      </c>
      <c r="D390" s="4" t="str">
        <f t="shared" si="9"/>
        <v/>
      </c>
      <c r="E390" s="4"/>
      <c r="F390" s="6" t="str">
        <f>IF($C390="","",COUNTIFS(Chicks!$F:$F,$C390,Chicks!$G:$G,$D390))</f>
        <v/>
      </c>
      <c r="G390" s="6" t="str">
        <f>IF($C390="","",COUNTIFS(Chicks!$F:$F,$C390,Chicks!$G:$G,$D390,Chicks!$I:$I,"Yes"))</f>
        <v/>
      </c>
      <c r="H390" s="6" t="str">
        <f>IF($C390="","",SUMIFS(Chicks!$J:$J,Chicks!$F:$F,$C390,Chicks!$G:$G,$D390))</f>
        <v/>
      </c>
      <c r="I390" s="6" t="str">
        <f>IF($C390="","",COUNTIFS(Chicks!$F:$F,$C390,Chicks!$G:$G,$D390,Chicks!$I:$I,"No"))</f>
        <v/>
      </c>
      <c r="J390" s="6" t="str">
        <f>IF($C390="","",IFERROR(AVERAGEIFS(Chicks!$M:$M,Chicks!$F:$F,$C390,Chicks!$G:$G,$D390),""))</f>
        <v/>
      </c>
      <c r="K390" s="6" t="str">
        <f>IF($C390="","",SUMIFS(Chicks!$N:$N,Chicks!$F:$F,$C390,Chicks!$G:$G,$D390))</f>
        <v/>
      </c>
      <c r="L390" s="6" t="str">
        <f>IF($C390="","",SUMIFS(Chicks!$O:$O,Chicks!$F:$F,$C390,Chicks!$G:$G,$D390))</f>
        <v/>
      </c>
      <c r="M390" s="6" t="str">
        <f>IF($C390="","",SUMIFS(Chicks!$P:$P,Chicks!$F:$F,$C390,Chicks!$G:$G,$D390))</f>
        <v/>
      </c>
      <c r="N390" s="6" t="str">
        <f t="shared" si="5"/>
        <v/>
      </c>
      <c r="O390" s="6" t="e">
        <f t="shared" ca="1" si="6"/>
        <v>#NAME?</v>
      </c>
      <c r="P390" s="6" t="str">
        <f t="shared" si="7"/>
        <v/>
      </c>
    </row>
    <row r="391" spans="1:16" ht="14.25" customHeight="1" x14ac:dyDescent="0.3">
      <c r="A391" s="4"/>
      <c r="B391" s="4"/>
      <c r="C391" s="4" t="str">
        <f t="shared" si="8"/>
        <v/>
      </c>
      <c r="D391" s="4" t="str">
        <f t="shared" si="9"/>
        <v/>
      </c>
      <c r="E391" s="4"/>
      <c r="F391" s="6" t="str">
        <f>IF($C391="","",COUNTIFS(Chicks!$F:$F,$C391,Chicks!$G:$G,$D391))</f>
        <v/>
      </c>
      <c r="G391" s="6" t="str">
        <f>IF($C391="","",COUNTIFS(Chicks!$F:$F,$C391,Chicks!$G:$G,$D391,Chicks!$I:$I,"Yes"))</f>
        <v/>
      </c>
      <c r="H391" s="6" t="str">
        <f>IF($C391="","",SUMIFS(Chicks!$J:$J,Chicks!$F:$F,$C391,Chicks!$G:$G,$D391))</f>
        <v/>
      </c>
      <c r="I391" s="6" t="str">
        <f>IF($C391="","",COUNTIFS(Chicks!$F:$F,$C391,Chicks!$G:$G,$D391,Chicks!$I:$I,"No"))</f>
        <v/>
      </c>
      <c r="J391" s="6" t="str">
        <f>IF($C391="","",IFERROR(AVERAGEIFS(Chicks!$M:$M,Chicks!$F:$F,$C391,Chicks!$G:$G,$D391),""))</f>
        <v/>
      </c>
      <c r="K391" s="6" t="str">
        <f>IF($C391="","",SUMIFS(Chicks!$N:$N,Chicks!$F:$F,$C391,Chicks!$G:$G,$D391))</f>
        <v/>
      </c>
      <c r="L391" s="6" t="str">
        <f>IF($C391="","",SUMIFS(Chicks!$O:$O,Chicks!$F:$F,$C391,Chicks!$G:$G,$D391))</f>
        <v/>
      </c>
      <c r="M391" s="6" t="str">
        <f>IF($C391="","",SUMIFS(Chicks!$P:$P,Chicks!$F:$F,$C391,Chicks!$G:$G,$D391))</f>
        <v/>
      </c>
      <c r="N391" s="6" t="str">
        <f t="shared" si="5"/>
        <v/>
      </c>
      <c r="O391" s="6" t="e">
        <f t="shared" ca="1" si="6"/>
        <v>#NAME?</v>
      </c>
      <c r="P391" s="6" t="str">
        <f t="shared" si="7"/>
        <v/>
      </c>
    </row>
    <row r="392" spans="1:16" ht="14.25" customHeight="1" x14ac:dyDescent="0.3">
      <c r="A392" s="4"/>
      <c r="B392" s="4"/>
      <c r="C392" s="4" t="str">
        <f t="shared" si="8"/>
        <v/>
      </c>
      <c r="D392" s="4" t="str">
        <f t="shared" si="9"/>
        <v/>
      </c>
      <c r="E392" s="4"/>
      <c r="F392" s="6" t="str">
        <f>IF($C392="","",COUNTIFS(Chicks!$F:$F,$C392,Chicks!$G:$G,$D392))</f>
        <v/>
      </c>
      <c r="G392" s="6" t="str">
        <f>IF($C392="","",COUNTIFS(Chicks!$F:$F,$C392,Chicks!$G:$G,$D392,Chicks!$I:$I,"Yes"))</f>
        <v/>
      </c>
      <c r="H392" s="6" t="str">
        <f>IF($C392="","",SUMIFS(Chicks!$J:$J,Chicks!$F:$F,$C392,Chicks!$G:$G,$D392))</f>
        <v/>
      </c>
      <c r="I392" s="6" t="str">
        <f>IF($C392="","",COUNTIFS(Chicks!$F:$F,$C392,Chicks!$G:$G,$D392,Chicks!$I:$I,"No"))</f>
        <v/>
      </c>
      <c r="J392" s="6" t="str">
        <f>IF($C392="","",IFERROR(AVERAGEIFS(Chicks!$M:$M,Chicks!$F:$F,$C392,Chicks!$G:$G,$D392),""))</f>
        <v/>
      </c>
      <c r="K392" s="6" t="str">
        <f>IF($C392="","",SUMIFS(Chicks!$N:$N,Chicks!$F:$F,$C392,Chicks!$G:$G,$D392))</f>
        <v/>
      </c>
      <c r="L392" s="6" t="str">
        <f>IF($C392="","",SUMIFS(Chicks!$O:$O,Chicks!$F:$F,$C392,Chicks!$G:$G,$D392))</f>
        <v/>
      </c>
      <c r="M392" s="6" t="str">
        <f>IF($C392="","",SUMIFS(Chicks!$P:$P,Chicks!$F:$F,$C392,Chicks!$G:$G,$D392))</f>
        <v/>
      </c>
      <c r="N392" s="6" t="str">
        <f t="shared" si="5"/>
        <v/>
      </c>
      <c r="O392" s="6" t="e">
        <f t="shared" ca="1" si="6"/>
        <v>#NAME?</v>
      </c>
      <c r="P392" s="6" t="str">
        <f t="shared" si="7"/>
        <v/>
      </c>
    </row>
    <row r="393" spans="1:16" ht="14.25" customHeight="1" x14ac:dyDescent="0.3">
      <c r="A393" s="4"/>
      <c r="B393" s="4"/>
      <c r="C393" s="4" t="str">
        <f t="shared" si="8"/>
        <v/>
      </c>
      <c r="D393" s="4" t="str">
        <f t="shared" si="9"/>
        <v/>
      </c>
      <c r="E393" s="4"/>
      <c r="F393" s="6" t="str">
        <f>IF($C393="","",COUNTIFS(Chicks!$F:$F,$C393,Chicks!$G:$G,$D393))</f>
        <v/>
      </c>
      <c r="G393" s="6" t="str">
        <f>IF($C393="","",COUNTIFS(Chicks!$F:$F,$C393,Chicks!$G:$G,$D393,Chicks!$I:$I,"Yes"))</f>
        <v/>
      </c>
      <c r="H393" s="6" t="str">
        <f>IF($C393="","",SUMIFS(Chicks!$J:$J,Chicks!$F:$F,$C393,Chicks!$G:$G,$D393))</f>
        <v/>
      </c>
      <c r="I393" s="6" t="str">
        <f>IF($C393="","",COUNTIFS(Chicks!$F:$F,$C393,Chicks!$G:$G,$D393,Chicks!$I:$I,"No"))</f>
        <v/>
      </c>
      <c r="J393" s="6" t="str">
        <f>IF($C393="","",IFERROR(AVERAGEIFS(Chicks!$M:$M,Chicks!$F:$F,$C393,Chicks!$G:$G,$D393),""))</f>
        <v/>
      </c>
      <c r="K393" s="6" t="str">
        <f>IF($C393="","",SUMIFS(Chicks!$N:$N,Chicks!$F:$F,$C393,Chicks!$G:$G,$D393))</f>
        <v/>
      </c>
      <c r="L393" s="6" t="str">
        <f>IF($C393="","",SUMIFS(Chicks!$O:$O,Chicks!$F:$F,$C393,Chicks!$G:$G,$D393))</f>
        <v/>
      </c>
      <c r="M393" s="6" t="str">
        <f>IF($C393="","",SUMIFS(Chicks!$P:$P,Chicks!$F:$F,$C393,Chicks!$G:$G,$D393))</f>
        <v/>
      </c>
      <c r="N393" s="6" t="str">
        <f t="shared" si="5"/>
        <v/>
      </c>
      <c r="O393" s="6" t="e">
        <f t="shared" ca="1" si="6"/>
        <v>#NAME?</v>
      </c>
      <c r="P393" s="6" t="str">
        <f t="shared" si="7"/>
        <v/>
      </c>
    </row>
    <row r="394" spans="1:16" ht="14.25" customHeight="1" x14ac:dyDescent="0.3">
      <c r="A394" s="4"/>
      <c r="B394" s="4"/>
      <c r="C394" s="4" t="str">
        <f t="shared" si="8"/>
        <v/>
      </c>
      <c r="D394" s="4" t="str">
        <f t="shared" si="9"/>
        <v/>
      </c>
      <c r="E394" s="4"/>
      <c r="F394" s="6" t="str">
        <f>IF($C394="","",COUNTIFS(Chicks!$F:$F,$C394,Chicks!$G:$G,$D394))</f>
        <v/>
      </c>
      <c r="G394" s="6" t="str">
        <f>IF($C394="","",COUNTIFS(Chicks!$F:$F,$C394,Chicks!$G:$G,$D394,Chicks!$I:$I,"Yes"))</f>
        <v/>
      </c>
      <c r="H394" s="6" t="str">
        <f>IF($C394="","",SUMIFS(Chicks!$J:$J,Chicks!$F:$F,$C394,Chicks!$G:$G,$D394))</f>
        <v/>
      </c>
      <c r="I394" s="6" t="str">
        <f>IF($C394="","",COUNTIFS(Chicks!$F:$F,$C394,Chicks!$G:$G,$D394,Chicks!$I:$I,"No"))</f>
        <v/>
      </c>
      <c r="J394" s="6" t="str">
        <f>IF($C394="","",IFERROR(AVERAGEIFS(Chicks!$M:$M,Chicks!$F:$F,$C394,Chicks!$G:$G,$D394),""))</f>
        <v/>
      </c>
      <c r="K394" s="6" t="str">
        <f>IF($C394="","",SUMIFS(Chicks!$N:$N,Chicks!$F:$F,$C394,Chicks!$G:$G,$D394))</f>
        <v/>
      </c>
      <c r="L394" s="6" t="str">
        <f>IF($C394="","",SUMIFS(Chicks!$O:$O,Chicks!$F:$F,$C394,Chicks!$G:$G,$D394))</f>
        <v/>
      </c>
      <c r="M394" s="6" t="str">
        <f>IF($C394="","",SUMIFS(Chicks!$P:$P,Chicks!$F:$F,$C394,Chicks!$G:$G,$D394))</f>
        <v/>
      </c>
      <c r="N394" s="6" t="str">
        <f t="shared" si="5"/>
        <v/>
      </c>
      <c r="O394" s="6" t="e">
        <f t="shared" ca="1" si="6"/>
        <v>#NAME?</v>
      </c>
      <c r="P394" s="6" t="str">
        <f t="shared" si="7"/>
        <v/>
      </c>
    </row>
    <row r="395" spans="1:16" ht="14.25" customHeight="1" x14ac:dyDescent="0.3">
      <c r="A395" s="4"/>
      <c r="B395" s="4"/>
      <c r="C395" s="4" t="str">
        <f t="shared" si="8"/>
        <v/>
      </c>
      <c r="D395" s="4" t="str">
        <f t="shared" si="9"/>
        <v/>
      </c>
      <c r="E395" s="4"/>
      <c r="F395" s="6" t="str">
        <f>IF($C395="","",COUNTIFS(Chicks!$F:$F,$C395,Chicks!$G:$G,$D395))</f>
        <v/>
      </c>
      <c r="G395" s="6" t="str">
        <f>IF($C395="","",COUNTIFS(Chicks!$F:$F,$C395,Chicks!$G:$G,$D395,Chicks!$I:$I,"Yes"))</f>
        <v/>
      </c>
      <c r="H395" s="6" t="str">
        <f>IF($C395="","",SUMIFS(Chicks!$J:$J,Chicks!$F:$F,$C395,Chicks!$G:$G,$D395))</f>
        <v/>
      </c>
      <c r="I395" s="6" t="str">
        <f>IF($C395="","",COUNTIFS(Chicks!$F:$F,$C395,Chicks!$G:$G,$D395,Chicks!$I:$I,"No"))</f>
        <v/>
      </c>
      <c r="J395" s="6" t="str">
        <f>IF($C395="","",IFERROR(AVERAGEIFS(Chicks!$M:$M,Chicks!$F:$F,$C395,Chicks!$G:$G,$D395),""))</f>
        <v/>
      </c>
      <c r="K395" s="6" t="str">
        <f>IF($C395="","",SUMIFS(Chicks!$N:$N,Chicks!$F:$F,$C395,Chicks!$G:$G,$D395))</f>
        <v/>
      </c>
      <c r="L395" s="6" t="str">
        <f>IF($C395="","",SUMIFS(Chicks!$O:$O,Chicks!$F:$F,$C395,Chicks!$G:$G,$D395))</f>
        <v/>
      </c>
      <c r="M395" s="6" t="str">
        <f>IF($C395="","",SUMIFS(Chicks!$P:$P,Chicks!$F:$F,$C395,Chicks!$G:$G,$D395))</f>
        <v/>
      </c>
      <c r="N395" s="6" t="str">
        <f t="shared" si="5"/>
        <v/>
      </c>
      <c r="O395" s="6" t="e">
        <f t="shared" ca="1" si="6"/>
        <v>#NAME?</v>
      </c>
      <c r="P395" s="6" t="str">
        <f t="shared" si="7"/>
        <v/>
      </c>
    </row>
    <row r="396" spans="1:16" ht="14.25" customHeight="1" x14ac:dyDescent="0.3">
      <c r="A396" s="4"/>
      <c r="B396" s="4"/>
      <c r="C396" s="4" t="str">
        <f t="shared" si="8"/>
        <v/>
      </c>
      <c r="D396" s="4" t="str">
        <f t="shared" si="9"/>
        <v/>
      </c>
      <c r="E396" s="4"/>
      <c r="F396" s="6" t="str">
        <f>IF($C396="","",COUNTIFS(Chicks!$F:$F,$C396,Chicks!$G:$G,$D396))</f>
        <v/>
      </c>
      <c r="G396" s="6" t="str">
        <f>IF($C396="","",COUNTIFS(Chicks!$F:$F,$C396,Chicks!$G:$G,$D396,Chicks!$I:$I,"Yes"))</f>
        <v/>
      </c>
      <c r="H396" s="6" t="str">
        <f>IF($C396="","",SUMIFS(Chicks!$J:$J,Chicks!$F:$F,$C396,Chicks!$G:$G,$D396))</f>
        <v/>
      </c>
      <c r="I396" s="6" t="str">
        <f>IF($C396="","",COUNTIFS(Chicks!$F:$F,$C396,Chicks!$G:$G,$D396,Chicks!$I:$I,"No"))</f>
        <v/>
      </c>
      <c r="J396" s="6" t="str">
        <f>IF($C396="","",IFERROR(AVERAGEIFS(Chicks!$M:$M,Chicks!$F:$F,$C396,Chicks!$G:$G,$D396),""))</f>
        <v/>
      </c>
      <c r="K396" s="6" t="str">
        <f>IF($C396="","",SUMIFS(Chicks!$N:$N,Chicks!$F:$F,$C396,Chicks!$G:$G,$D396))</f>
        <v/>
      </c>
      <c r="L396" s="6" t="str">
        <f>IF($C396="","",SUMIFS(Chicks!$O:$O,Chicks!$F:$F,$C396,Chicks!$G:$G,$D396))</f>
        <v/>
      </c>
      <c r="M396" s="6" t="str">
        <f>IF($C396="","",SUMIFS(Chicks!$P:$P,Chicks!$F:$F,$C396,Chicks!$G:$G,$D396))</f>
        <v/>
      </c>
      <c r="N396" s="6" t="str">
        <f t="shared" si="5"/>
        <v/>
      </c>
      <c r="O396" s="6" t="e">
        <f t="shared" ca="1" si="6"/>
        <v>#NAME?</v>
      </c>
      <c r="P396" s="6" t="str">
        <f t="shared" si="7"/>
        <v/>
      </c>
    </row>
    <row r="397" spans="1:16" ht="14.25" customHeight="1" x14ac:dyDescent="0.3">
      <c r="A397" s="4"/>
      <c r="B397" s="4"/>
      <c r="C397" s="4" t="str">
        <f t="shared" si="8"/>
        <v/>
      </c>
      <c r="D397" s="4" t="str">
        <f t="shared" si="9"/>
        <v/>
      </c>
      <c r="E397" s="4"/>
      <c r="F397" s="6" t="str">
        <f>IF($C397="","",COUNTIFS(Chicks!$F:$F,$C397,Chicks!$G:$G,$D397))</f>
        <v/>
      </c>
      <c r="G397" s="6" t="str">
        <f>IF($C397="","",COUNTIFS(Chicks!$F:$F,$C397,Chicks!$G:$G,$D397,Chicks!$I:$I,"Yes"))</f>
        <v/>
      </c>
      <c r="H397" s="6" t="str">
        <f>IF($C397="","",SUMIFS(Chicks!$J:$J,Chicks!$F:$F,$C397,Chicks!$G:$G,$D397))</f>
        <v/>
      </c>
      <c r="I397" s="6" t="str">
        <f>IF($C397="","",COUNTIFS(Chicks!$F:$F,$C397,Chicks!$G:$G,$D397,Chicks!$I:$I,"No"))</f>
        <v/>
      </c>
      <c r="J397" s="6" t="str">
        <f>IF($C397="","",IFERROR(AVERAGEIFS(Chicks!$M:$M,Chicks!$F:$F,$C397,Chicks!$G:$G,$D397),""))</f>
        <v/>
      </c>
      <c r="K397" s="6" t="str">
        <f>IF($C397="","",SUMIFS(Chicks!$N:$N,Chicks!$F:$F,$C397,Chicks!$G:$G,$D397))</f>
        <v/>
      </c>
      <c r="L397" s="6" t="str">
        <f>IF($C397="","",SUMIFS(Chicks!$O:$O,Chicks!$F:$F,$C397,Chicks!$G:$G,$D397))</f>
        <v/>
      </c>
      <c r="M397" s="6" t="str">
        <f>IF($C397="","",SUMIFS(Chicks!$P:$P,Chicks!$F:$F,$C397,Chicks!$G:$G,$D397))</f>
        <v/>
      </c>
      <c r="N397" s="6" t="str">
        <f t="shared" si="5"/>
        <v/>
      </c>
      <c r="O397" s="6" t="e">
        <f t="shared" ca="1" si="6"/>
        <v>#NAME?</v>
      </c>
      <c r="P397" s="6" t="str">
        <f t="shared" si="7"/>
        <v/>
      </c>
    </row>
    <row r="398" spans="1:16" ht="14.25" customHeight="1" x14ac:dyDescent="0.3">
      <c r="A398" s="4"/>
      <c r="B398" s="4"/>
      <c r="C398" s="4" t="str">
        <f t="shared" si="8"/>
        <v/>
      </c>
      <c r="D398" s="4" t="str">
        <f t="shared" si="9"/>
        <v/>
      </c>
      <c r="E398" s="4"/>
      <c r="F398" s="6" t="str">
        <f>IF($C398="","",COUNTIFS(Chicks!$F:$F,$C398,Chicks!$G:$G,$D398))</f>
        <v/>
      </c>
      <c r="G398" s="6" t="str">
        <f>IF($C398="","",COUNTIFS(Chicks!$F:$F,$C398,Chicks!$G:$G,$D398,Chicks!$I:$I,"Yes"))</f>
        <v/>
      </c>
      <c r="H398" s="6" t="str">
        <f>IF($C398="","",SUMIFS(Chicks!$J:$J,Chicks!$F:$F,$C398,Chicks!$G:$G,$D398))</f>
        <v/>
      </c>
      <c r="I398" s="6" t="str">
        <f>IF($C398="","",COUNTIFS(Chicks!$F:$F,$C398,Chicks!$G:$G,$D398,Chicks!$I:$I,"No"))</f>
        <v/>
      </c>
      <c r="J398" s="6" t="str">
        <f>IF($C398="","",IFERROR(AVERAGEIFS(Chicks!$M:$M,Chicks!$F:$F,$C398,Chicks!$G:$G,$D398),""))</f>
        <v/>
      </c>
      <c r="K398" s="6" t="str">
        <f>IF($C398="","",SUMIFS(Chicks!$N:$N,Chicks!$F:$F,$C398,Chicks!$G:$G,$D398))</f>
        <v/>
      </c>
      <c r="L398" s="6" t="str">
        <f>IF($C398="","",SUMIFS(Chicks!$O:$O,Chicks!$F:$F,$C398,Chicks!$G:$G,$D398))</f>
        <v/>
      </c>
      <c r="M398" s="6" t="str">
        <f>IF($C398="","",SUMIFS(Chicks!$P:$P,Chicks!$F:$F,$C398,Chicks!$G:$G,$D398))</f>
        <v/>
      </c>
      <c r="N398" s="6" t="str">
        <f t="shared" si="5"/>
        <v/>
      </c>
      <c r="O398" s="6" t="e">
        <f t="shared" ca="1" si="6"/>
        <v>#NAME?</v>
      </c>
      <c r="P398" s="6" t="str">
        <f t="shared" si="7"/>
        <v/>
      </c>
    </row>
    <row r="399" spans="1:16" ht="14.25" customHeight="1" x14ac:dyDescent="0.3">
      <c r="A399" s="4"/>
      <c r="B399" s="4"/>
      <c r="C399" s="4" t="str">
        <f t="shared" si="8"/>
        <v/>
      </c>
      <c r="D399" s="4" t="str">
        <f t="shared" si="9"/>
        <v/>
      </c>
      <c r="E399" s="4"/>
      <c r="F399" s="6" t="str">
        <f>IF($C399="","",COUNTIFS(Chicks!$F:$F,$C399,Chicks!$G:$G,$D399))</f>
        <v/>
      </c>
      <c r="G399" s="6" t="str">
        <f>IF($C399="","",COUNTIFS(Chicks!$F:$F,$C399,Chicks!$G:$G,$D399,Chicks!$I:$I,"Yes"))</f>
        <v/>
      </c>
      <c r="H399" s="6" t="str">
        <f>IF($C399="","",SUMIFS(Chicks!$J:$J,Chicks!$F:$F,$C399,Chicks!$G:$G,$D399))</f>
        <v/>
      </c>
      <c r="I399" s="6" t="str">
        <f>IF($C399="","",COUNTIFS(Chicks!$F:$F,$C399,Chicks!$G:$G,$D399,Chicks!$I:$I,"No"))</f>
        <v/>
      </c>
      <c r="J399" s="6" t="str">
        <f>IF($C399="","",IFERROR(AVERAGEIFS(Chicks!$M:$M,Chicks!$F:$F,$C399,Chicks!$G:$G,$D399),""))</f>
        <v/>
      </c>
      <c r="K399" s="6" t="str">
        <f>IF($C399="","",SUMIFS(Chicks!$N:$N,Chicks!$F:$F,$C399,Chicks!$G:$G,$D399))</f>
        <v/>
      </c>
      <c r="L399" s="6" t="str">
        <f>IF($C399="","",SUMIFS(Chicks!$O:$O,Chicks!$F:$F,$C399,Chicks!$G:$G,$D399))</f>
        <v/>
      </c>
      <c r="M399" s="6" t="str">
        <f>IF($C399="","",SUMIFS(Chicks!$P:$P,Chicks!$F:$F,$C399,Chicks!$G:$G,$D399))</f>
        <v/>
      </c>
      <c r="N399" s="6" t="str">
        <f t="shared" si="5"/>
        <v/>
      </c>
      <c r="O399" s="6" t="e">
        <f t="shared" ca="1" si="6"/>
        <v>#NAME?</v>
      </c>
      <c r="P399" s="6" t="str">
        <f t="shared" si="7"/>
        <v/>
      </c>
    </row>
    <row r="400" spans="1:16" ht="14.25" customHeight="1" x14ac:dyDescent="0.3">
      <c r="A400" s="4"/>
      <c r="B400" s="4"/>
      <c r="C400" s="4" t="str">
        <f t="shared" si="8"/>
        <v/>
      </c>
      <c r="D400" s="4" t="str">
        <f t="shared" si="9"/>
        <v/>
      </c>
      <c r="E400" s="4"/>
      <c r="F400" s="6" t="str">
        <f>IF($C400="","",COUNTIFS(Chicks!$F:$F,$C400,Chicks!$G:$G,$D400))</f>
        <v/>
      </c>
      <c r="G400" s="6" t="str">
        <f>IF($C400="","",COUNTIFS(Chicks!$F:$F,$C400,Chicks!$G:$G,$D400,Chicks!$I:$I,"Yes"))</f>
        <v/>
      </c>
      <c r="H400" s="6" t="str">
        <f>IF($C400="","",SUMIFS(Chicks!$J:$J,Chicks!$F:$F,$C400,Chicks!$G:$G,$D400))</f>
        <v/>
      </c>
      <c r="I400" s="6" t="str">
        <f>IF($C400="","",COUNTIFS(Chicks!$F:$F,$C400,Chicks!$G:$G,$D400,Chicks!$I:$I,"No"))</f>
        <v/>
      </c>
      <c r="J400" s="6" t="str">
        <f>IF($C400="","",IFERROR(AVERAGEIFS(Chicks!$M:$M,Chicks!$F:$F,$C400,Chicks!$G:$G,$D400),""))</f>
        <v/>
      </c>
      <c r="K400" s="6" t="str">
        <f>IF($C400="","",SUMIFS(Chicks!$N:$N,Chicks!$F:$F,$C400,Chicks!$G:$G,$D400))</f>
        <v/>
      </c>
      <c r="L400" s="6" t="str">
        <f>IF($C400="","",SUMIFS(Chicks!$O:$O,Chicks!$F:$F,$C400,Chicks!$G:$G,$D400))</f>
        <v/>
      </c>
      <c r="M400" s="6" t="str">
        <f>IF($C400="","",SUMIFS(Chicks!$P:$P,Chicks!$F:$F,$C400,Chicks!$G:$G,$D400))</f>
        <v/>
      </c>
      <c r="N400" s="6" t="str">
        <f t="shared" si="5"/>
        <v/>
      </c>
      <c r="O400" s="6" t="e">
        <f t="shared" ca="1" si="6"/>
        <v>#NAME?</v>
      </c>
      <c r="P400" s="6" t="str">
        <f t="shared" si="7"/>
        <v/>
      </c>
    </row>
    <row r="401" spans="1:16" ht="14.25" customHeight="1" x14ac:dyDescent="0.3">
      <c r="A401" s="4"/>
      <c r="B401" s="4"/>
      <c r="C401" s="4" t="str">
        <f t="shared" si="8"/>
        <v/>
      </c>
      <c r="D401" s="4" t="str">
        <f t="shared" si="9"/>
        <v/>
      </c>
      <c r="E401" s="4"/>
      <c r="F401" s="6" t="str">
        <f>IF($C401="","",COUNTIFS(Chicks!$F:$F,$C401,Chicks!$G:$G,$D401))</f>
        <v/>
      </c>
      <c r="G401" s="6" t="str">
        <f>IF($C401="","",COUNTIFS(Chicks!$F:$F,$C401,Chicks!$G:$G,$D401,Chicks!$I:$I,"Yes"))</f>
        <v/>
      </c>
      <c r="H401" s="6" t="str">
        <f>IF($C401="","",SUMIFS(Chicks!$J:$J,Chicks!$F:$F,$C401,Chicks!$G:$G,$D401))</f>
        <v/>
      </c>
      <c r="I401" s="6" t="str">
        <f>IF($C401="","",COUNTIFS(Chicks!$F:$F,$C401,Chicks!$G:$G,$D401,Chicks!$I:$I,"No"))</f>
        <v/>
      </c>
      <c r="J401" s="6" t="str">
        <f>IF($C401="","",IFERROR(AVERAGEIFS(Chicks!$M:$M,Chicks!$F:$F,$C401,Chicks!$G:$G,$D401),""))</f>
        <v/>
      </c>
      <c r="K401" s="6" t="str">
        <f>IF($C401="","",SUMIFS(Chicks!$N:$N,Chicks!$F:$F,$C401,Chicks!$G:$G,$D401))</f>
        <v/>
      </c>
      <c r="L401" s="6" t="str">
        <f>IF($C401="","",SUMIFS(Chicks!$O:$O,Chicks!$F:$F,$C401,Chicks!$G:$G,$D401))</f>
        <v/>
      </c>
      <c r="M401" s="6" t="str">
        <f>IF($C401="","",SUMIFS(Chicks!$P:$P,Chicks!$F:$F,$C401,Chicks!$G:$G,$D401))</f>
        <v/>
      </c>
      <c r="N401" s="6" t="str">
        <f t="shared" si="5"/>
        <v/>
      </c>
      <c r="O401" s="6" t="e">
        <f t="shared" ca="1" si="6"/>
        <v>#NAME?</v>
      </c>
      <c r="P401" s="6" t="str">
        <f t="shared" si="7"/>
        <v/>
      </c>
    </row>
    <row r="402" spans="1:16" ht="14.25" customHeight="1" x14ac:dyDescent="0.3">
      <c r="A402" s="4"/>
      <c r="B402" s="4"/>
      <c r="C402" s="4" t="str">
        <f t="shared" si="8"/>
        <v/>
      </c>
      <c r="D402" s="4" t="str">
        <f t="shared" si="9"/>
        <v/>
      </c>
      <c r="E402" s="4"/>
      <c r="F402" s="6" t="str">
        <f>IF($C402="","",COUNTIFS(Chicks!$F:$F,$C402,Chicks!$G:$G,$D402))</f>
        <v/>
      </c>
      <c r="G402" s="6" t="str">
        <f>IF($C402="","",COUNTIFS(Chicks!$F:$F,$C402,Chicks!$G:$G,$D402,Chicks!$I:$I,"Yes"))</f>
        <v/>
      </c>
      <c r="H402" s="6" t="str">
        <f>IF($C402="","",SUMIFS(Chicks!$J:$J,Chicks!$F:$F,$C402,Chicks!$G:$G,$D402))</f>
        <v/>
      </c>
      <c r="I402" s="6" t="str">
        <f>IF($C402="","",COUNTIFS(Chicks!$F:$F,$C402,Chicks!$G:$G,$D402,Chicks!$I:$I,"No"))</f>
        <v/>
      </c>
      <c r="J402" s="6" t="str">
        <f>IF($C402="","",IFERROR(AVERAGEIFS(Chicks!$M:$M,Chicks!$F:$F,$C402,Chicks!$G:$G,$D402),""))</f>
        <v/>
      </c>
      <c r="K402" s="6" t="str">
        <f>IF($C402="","",SUMIFS(Chicks!$N:$N,Chicks!$F:$F,$C402,Chicks!$G:$G,$D402))</f>
        <v/>
      </c>
      <c r="L402" s="6" t="str">
        <f>IF($C402="","",SUMIFS(Chicks!$O:$O,Chicks!$F:$F,$C402,Chicks!$G:$G,$D402))</f>
        <v/>
      </c>
      <c r="M402" s="6" t="str">
        <f>IF($C402="","",SUMIFS(Chicks!$P:$P,Chicks!$F:$F,$C402,Chicks!$G:$G,$D402))</f>
        <v/>
      </c>
      <c r="N402" s="6" t="str">
        <f t="shared" si="5"/>
        <v/>
      </c>
      <c r="O402" s="6" t="e">
        <f t="shared" ca="1" si="6"/>
        <v>#NAME?</v>
      </c>
      <c r="P402" s="6" t="str">
        <f t="shared" si="7"/>
        <v/>
      </c>
    </row>
    <row r="403" spans="1:16" ht="14.25" customHeight="1" x14ac:dyDescent="0.3">
      <c r="A403" s="4"/>
      <c r="B403" s="4"/>
      <c r="C403" s="4" t="str">
        <f t="shared" si="8"/>
        <v/>
      </c>
      <c r="D403" s="4" t="str">
        <f t="shared" si="9"/>
        <v/>
      </c>
      <c r="E403" s="4"/>
      <c r="F403" s="6" t="str">
        <f>IF($C403="","",COUNTIFS(Chicks!$F:$F,$C403,Chicks!$G:$G,$D403))</f>
        <v/>
      </c>
      <c r="G403" s="6" t="str">
        <f>IF($C403="","",COUNTIFS(Chicks!$F:$F,$C403,Chicks!$G:$G,$D403,Chicks!$I:$I,"Yes"))</f>
        <v/>
      </c>
      <c r="H403" s="6" t="str">
        <f>IF($C403="","",SUMIFS(Chicks!$J:$J,Chicks!$F:$F,$C403,Chicks!$G:$G,$D403))</f>
        <v/>
      </c>
      <c r="I403" s="6" t="str">
        <f>IF($C403="","",COUNTIFS(Chicks!$F:$F,$C403,Chicks!$G:$G,$D403,Chicks!$I:$I,"No"))</f>
        <v/>
      </c>
      <c r="J403" s="6" t="str">
        <f>IF($C403="","",IFERROR(AVERAGEIFS(Chicks!$M:$M,Chicks!$F:$F,$C403,Chicks!$G:$G,$D403),""))</f>
        <v/>
      </c>
      <c r="K403" s="6" t="str">
        <f>IF($C403="","",SUMIFS(Chicks!$N:$N,Chicks!$F:$F,$C403,Chicks!$G:$G,$D403))</f>
        <v/>
      </c>
      <c r="L403" s="6" t="str">
        <f>IF($C403="","",SUMIFS(Chicks!$O:$O,Chicks!$F:$F,$C403,Chicks!$G:$G,$D403))</f>
        <v/>
      </c>
      <c r="M403" s="6" t="str">
        <f>IF($C403="","",SUMIFS(Chicks!$P:$P,Chicks!$F:$F,$C403,Chicks!$G:$G,$D403))</f>
        <v/>
      </c>
      <c r="N403" s="6" t="str">
        <f t="shared" si="5"/>
        <v/>
      </c>
      <c r="O403" s="6" t="e">
        <f t="shared" ca="1" si="6"/>
        <v>#NAME?</v>
      </c>
      <c r="P403" s="6" t="str">
        <f t="shared" si="7"/>
        <v/>
      </c>
    </row>
    <row r="404" spans="1:16" ht="14.25" customHeight="1" x14ac:dyDescent="0.3">
      <c r="A404" s="4"/>
      <c r="B404" s="4"/>
      <c r="C404" s="4" t="str">
        <f t="shared" si="8"/>
        <v/>
      </c>
      <c r="D404" s="4" t="str">
        <f t="shared" si="9"/>
        <v/>
      </c>
      <c r="E404" s="4"/>
      <c r="F404" s="6" t="str">
        <f>IF($C404="","",COUNTIFS(Chicks!$F:$F,$C404,Chicks!$G:$G,$D404))</f>
        <v/>
      </c>
      <c r="G404" s="6" t="str">
        <f>IF($C404="","",COUNTIFS(Chicks!$F:$F,$C404,Chicks!$G:$G,$D404,Chicks!$I:$I,"Yes"))</f>
        <v/>
      </c>
      <c r="H404" s="6" t="str">
        <f>IF($C404="","",SUMIFS(Chicks!$J:$J,Chicks!$F:$F,$C404,Chicks!$G:$G,$D404))</f>
        <v/>
      </c>
      <c r="I404" s="6" t="str">
        <f>IF($C404="","",COUNTIFS(Chicks!$F:$F,$C404,Chicks!$G:$G,$D404,Chicks!$I:$I,"No"))</f>
        <v/>
      </c>
      <c r="J404" s="6" t="str">
        <f>IF($C404="","",IFERROR(AVERAGEIFS(Chicks!$M:$M,Chicks!$F:$F,$C404,Chicks!$G:$G,$D404),""))</f>
        <v/>
      </c>
      <c r="K404" s="6" t="str">
        <f>IF($C404="","",SUMIFS(Chicks!$N:$N,Chicks!$F:$F,$C404,Chicks!$G:$G,$D404))</f>
        <v/>
      </c>
      <c r="L404" s="6" t="str">
        <f>IF($C404="","",SUMIFS(Chicks!$O:$O,Chicks!$F:$F,$C404,Chicks!$G:$G,$D404))</f>
        <v/>
      </c>
      <c r="M404" s="6" t="str">
        <f>IF($C404="","",SUMIFS(Chicks!$P:$P,Chicks!$F:$F,$C404,Chicks!$G:$G,$D404))</f>
        <v/>
      </c>
      <c r="N404" s="6" t="str">
        <f t="shared" si="5"/>
        <v/>
      </c>
      <c r="O404" s="6" t="e">
        <f t="shared" ca="1" si="6"/>
        <v>#NAME?</v>
      </c>
      <c r="P404" s="6" t="str">
        <f t="shared" si="7"/>
        <v/>
      </c>
    </row>
    <row r="405" spans="1:16" ht="14.25" customHeight="1" x14ac:dyDescent="0.3">
      <c r="A405" s="4"/>
      <c r="B405" s="4"/>
      <c r="C405" s="4" t="str">
        <f t="shared" si="8"/>
        <v/>
      </c>
      <c r="D405" s="4" t="str">
        <f t="shared" si="9"/>
        <v/>
      </c>
      <c r="E405" s="4"/>
      <c r="F405" s="6" t="str">
        <f>IF($C405="","",COUNTIFS(Chicks!$F:$F,$C405,Chicks!$G:$G,$D405))</f>
        <v/>
      </c>
      <c r="G405" s="6" t="str">
        <f>IF($C405="","",COUNTIFS(Chicks!$F:$F,$C405,Chicks!$G:$G,$D405,Chicks!$I:$I,"Yes"))</f>
        <v/>
      </c>
      <c r="H405" s="6" t="str">
        <f>IF($C405="","",SUMIFS(Chicks!$J:$J,Chicks!$F:$F,$C405,Chicks!$G:$G,$D405))</f>
        <v/>
      </c>
      <c r="I405" s="6" t="str">
        <f>IF($C405="","",COUNTIFS(Chicks!$F:$F,$C405,Chicks!$G:$G,$D405,Chicks!$I:$I,"No"))</f>
        <v/>
      </c>
      <c r="J405" s="6" t="str">
        <f>IF($C405="","",IFERROR(AVERAGEIFS(Chicks!$M:$M,Chicks!$F:$F,$C405,Chicks!$G:$G,$D405),""))</f>
        <v/>
      </c>
      <c r="K405" s="6" t="str">
        <f>IF($C405="","",SUMIFS(Chicks!$N:$N,Chicks!$F:$F,$C405,Chicks!$G:$G,$D405))</f>
        <v/>
      </c>
      <c r="L405" s="6" t="str">
        <f>IF($C405="","",SUMIFS(Chicks!$O:$O,Chicks!$F:$F,$C405,Chicks!$G:$G,$D405))</f>
        <v/>
      </c>
      <c r="M405" s="6" t="str">
        <f>IF($C405="","",SUMIFS(Chicks!$P:$P,Chicks!$F:$F,$C405,Chicks!$G:$G,$D405))</f>
        <v/>
      </c>
      <c r="N405" s="6" t="str">
        <f t="shared" si="5"/>
        <v/>
      </c>
      <c r="O405" s="6" t="e">
        <f t="shared" ca="1" si="6"/>
        <v>#NAME?</v>
      </c>
      <c r="P405" s="6" t="str">
        <f t="shared" si="7"/>
        <v/>
      </c>
    </row>
    <row r="406" spans="1:16" ht="14.25" customHeight="1" x14ac:dyDescent="0.3">
      <c r="A406" s="4"/>
      <c r="B406" s="4"/>
      <c r="C406" s="4" t="str">
        <f t="shared" si="8"/>
        <v/>
      </c>
      <c r="D406" s="4" t="str">
        <f t="shared" si="9"/>
        <v/>
      </c>
      <c r="E406" s="4"/>
      <c r="F406" s="6" t="str">
        <f>IF($C406="","",COUNTIFS(Chicks!$F:$F,$C406,Chicks!$G:$G,$D406))</f>
        <v/>
      </c>
      <c r="G406" s="6" t="str">
        <f>IF($C406="","",COUNTIFS(Chicks!$F:$F,$C406,Chicks!$G:$G,$D406,Chicks!$I:$I,"Yes"))</f>
        <v/>
      </c>
      <c r="H406" s="6" t="str">
        <f>IF($C406="","",SUMIFS(Chicks!$J:$J,Chicks!$F:$F,$C406,Chicks!$G:$G,$D406))</f>
        <v/>
      </c>
      <c r="I406" s="6" t="str">
        <f>IF($C406="","",COUNTIFS(Chicks!$F:$F,$C406,Chicks!$G:$G,$D406,Chicks!$I:$I,"No"))</f>
        <v/>
      </c>
      <c r="J406" s="6" t="str">
        <f>IF($C406="","",IFERROR(AVERAGEIFS(Chicks!$M:$M,Chicks!$F:$F,$C406,Chicks!$G:$G,$D406),""))</f>
        <v/>
      </c>
      <c r="K406" s="6" t="str">
        <f>IF($C406="","",SUMIFS(Chicks!$N:$N,Chicks!$F:$F,$C406,Chicks!$G:$G,$D406))</f>
        <v/>
      </c>
      <c r="L406" s="6" t="str">
        <f>IF($C406="","",SUMIFS(Chicks!$O:$O,Chicks!$F:$F,$C406,Chicks!$G:$G,$D406))</f>
        <v/>
      </c>
      <c r="M406" s="6" t="str">
        <f>IF($C406="","",SUMIFS(Chicks!$P:$P,Chicks!$F:$F,$C406,Chicks!$G:$G,$D406))</f>
        <v/>
      </c>
      <c r="N406" s="6" t="str">
        <f t="shared" si="5"/>
        <v/>
      </c>
      <c r="O406" s="6" t="e">
        <f t="shared" ca="1" si="6"/>
        <v>#NAME?</v>
      </c>
      <c r="P406" s="6" t="str">
        <f t="shared" si="7"/>
        <v/>
      </c>
    </row>
    <row r="407" spans="1:16" ht="14.25" customHeight="1" x14ac:dyDescent="0.3">
      <c r="A407" s="4"/>
      <c r="B407" s="4"/>
      <c r="C407" s="4" t="str">
        <f t="shared" si="8"/>
        <v/>
      </c>
      <c r="D407" s="4" t="str">
        <f t="shared" si="9"/>
        <v/>
      </c>
      <c r="E407" s="4"/>
      <c r="F407" s="6" t="str">
        <f>IF($C407="","",COUNTIFS(Chicks!$F:$F,$C407,Chicks!$G:$G,$D407))</f>
        <v/>
      </c>
      <c r="G407" s="6" t="str">
        <f>IF($C407="","",COUNTIFS(Chicks!$F:$F,$C407,Chicks!$G:$G,$D407,Chicks!$I:$I,"Yes"))</f>
        <v/>
      </c>
      <c r="H407" s="6" t="str">
        <f>IF($C407="","",SUMIFS(Chicks!$J:$J,Chicks!$F:$F,$C407,Chicks!$G:$G,$D407))</f>
        <v/>
      </c>
      <c r="I407" s="6" t="str">
        <f>IF($C407="","",COUNTIFS(Chicks!$F:$F,$C407,Chicks!$G:$G,$D407,Chicks!$I:$I,"No"))</f>
        <v/>
      </c>
      <c r="J407" s="6" t="str">
        <f>IF($C407="","",IFERROR(AVERAGEIFS(Chicks!$M:$M,Chicks!$F:$F,$C407,Chicks!$G:$G,$D407),""))</f>
        <v/>
      </c>
      <c r="K407" s="6" t="str">
        <f>IF($C407="","",SUMIFS(Chicks!$N:$N,Chicks!$F:$F,$C407,Chicks!$G:$G,$D407))</f>
        <v/>
      </c>
      <c r="L407" s="6" t="str">
        <f>IF($C407="","",SUMIFS(Chicks!$O:$O,Chicks!$F:$F,$C407,Chicks!$G:$G,$D407))</f>
        <v/>
      </c>
      <c r="M407" s="6" t="str">
        <f>IF($C407="","",SUMIFS(Chicks!$P:$P,Chicks!$F:$F,$C407,Chicks!$G:$G,$D407))</f>
        <v/>
      </c>
      <c r="N407" s="6" t="str">
        <f t="shared" si="5"/>
        <v/>
      </c>
      <c r="O407" s="6" t="e">
        <f t="shared" ca="1" si="6"/>
        <v>#NAME?</v>
      </c>
      <c r="P407" s="6" t="str">
        <f t="shared" si="7"/>
        <v/>
      </c>
    </row>
    <row r="408" spans="1:16" ht="14.25" customHeight="1" x14ac:dyDescent="0.3">
      <c r="A408" s="4"/>
      <c r="B408" s="4"/>
      <c r="C408" s="4" t="str">
        <f t="shared" si="8"/>
        <v/>
      </c>
      <c r="D408" s="4" t="str">
        <f t="shared" si="9"/>
        <v/>
      </c>
      <c r="E408" s="4"/>
      <c r="F408" s="6" t="str">
        <f>IF($C408="","",COUNTIFS(Chicks!$F:$F,$C408,Chicks!$G:$G,$D408))</f>
        <v/>
      </c>
      <c r="G408" s="6" t="str">
        <f>IF($C408="","",COUNTIFS(Chicks!$F:$F,$C408,Chicks!$G:$G,$D408,Chicks!$I:$I,"Yes"))</f>
        <v/>
      </c>
      <c r="H408" s="6" t="str">
        <f>IF($C408="","",SUMIFS(Chicks!$J:$J,Chicks!$F:$F,$C408,Chicks!$G:$G,$D408))</f>
        <v/>
      </c>
      <c r="I408" s="6" t="str">
        <f>IF($C408="","",COUNTIFS(Chicks!$F:$F,$C408,Chicks!$G:$G,$D408,Chicks!$I:$I,"No"))</f>
        <v/>
      </c>
      <c r="J408" s="6" t="str">
        <f>IF($C408="","",IFERROR(AVERAGEIFS(Chicks!$M:$M,Chicks!$F:$F,$C408,Chicks!$G:$G,$D408),""))</f>
        <v/>
      </c>
      <c r="K408" s="6" t="str">
        <f>IF($C408="","",SUMIFS(Chicks!$N:$N,Chicks!$F:$F,$C408,Chicks!$G:$G,$D408))</f>
        <v/>
      </c>
      <c r="L408" s="6" t="str">
        <f>IF($C408="","",SUMIFS(Chicks!$O:$O,Chicks!$F:$F,$C408,Chicks!$G:$G,$D408))</f>
        <v/>
      </c>
      <c r="M408" s="6" t="str">
        <f>IF($C408="","",SUMIFS(Chicks!$P:$P,Chicks!$F:$F,$C408,Chicks!$G:$G,$D408))</f>
        <v/>
      </c>
      <c r="N408" s="6" t="str">
        <f t="shared" si="5"/>
        <v/>
      </c>
      <c r="O408" s="6" t="e">
        <f t="shared" ca="1" si="6"/>
        <v>#NAME?</v>
      </c>
      <c r="P408" s="6" t="str">
        <f t="shared" si="7"/>
        <v/>
      </c>
    </row>
    <row r="409" spans="1:16" ht="14.25" customHeight="1" x14ac:dyDescent="0.3">
      <c r="A409" s="4"/>
      <c r="B409" s="4"/>
      <c r="C409" s="4" t="str">
        <f t="shared" si="8"/>
        <v/>
      </c>
      <c r="D409" s="4" t="str">
        <f t="shared" si="9"/>
        <v/>
      </c>
      <c r="E409" s="4"/>
      <c r="F409" s="6" t="str">
        <f>IF($C409="","",COUNTIFS(Chicks!$F:$F,$C409,Chicks!$G:$G,$D409))</f>
        <v/>
      </c>
      <c r="G409" s="6" t="str">
        <f>IF($C409="","",COUNTIFS(Chicks!$F:$F,$C409,Chicks!$G:$G,$D409,Chicks!$I:$I,"Yes"))</f>
        <v/>
      </c>
      <c r="H409" s="6" t="str">
        <f>IF($C409="","",SUMIFS(Chicks!$J:$J,Chicks!$F:$F,$C409,Chicks!$G:$G,$D409))</f>
        <v/>
      </c>
      <c r="I409" s="6" t="str">
        <f>IF($C409="","",COUNTIFS(Chicks!$F:$F,$C409,Chicks!$G:$G,$D409,Chicks!$I:$I,"No"))</f>
        <v/>
      </c>
      <c r="J409" s="6" t="str">
        <f>IF($C409="","",IFERROR(AVERAGEIFS(Chicks!$M:$M,Chicks!$F:$F,$C409,Chicks!$G:$G,$D409),""))</f>
        <v/>
      </c>
      <c r="K409" s="6" t="str">
        <f>IF($C409="","",SUMIFS(Chicks!$N:$N,Chicks!$F:$F,$C409,Chicks!$G:$G,$D409))</f>
        <v/>
      </c>
      <c r="L409" s="6" t="str">
        <f>IF($C409="","",SUMIFS(Chicks!$O:$O,Chicks!$F:$F,$C409,Chicks!$G:$G,$D409))</f>
        <v/>
      </c>
      <c r="M409" s="6" t="str">
        <f>IF($C409="","",SUMIFS(Chicks!$P:$P,Chicks!$F:$F,$C409,Chicks!$G:$G,$D409))</f>
        <v/>
      </c>
      <c r="N409" s="6" t="str">
        <f t="shared" si="5"/>
        <v/>
      </c>
      <c r="O409" s="6" t="e">
        <f t="shared" ca="1" si="6"/>
        <v>#NAME?</v>
      </c>
      <c r="P409" s="6" t="str">
        <f t="shared" si="7"/>
        <v/>
      </c>
    </row>
    <row r="410" spans="1:16" ht="14.25" customHeight="1" x14ac:dyDescent="0.3">
      <c r="A410" s="4"/>
      <c r="B410" s="4"/>
      <c r="C410" s="4" t="str">
        <f t="shared" si="8"/>
        <v/>
      </c>
      <c r="D410" s="4" t="str">
        <f t="shared" si="9"/>
        <v/>
      </c>
      <c r="E410" s="4"/>
      <c r="F410" s="6" t="str">
        <f>IF($C410="","",COUNTIFS(Chicks!$F:$F,$C410,Chicks!$G:$G,$D410))</f>
        <v/>
      </c>
      <c r="G410" s="6" t="str">
        <f>IF($C410="","",COUNTIFS(Chicks!$F:$F,$C410,Chicks!$G:$G,$D410,Chicks!$I:$I,"Yes"))</f>
        <v/>
      </c>
      <c r="H410" s="6" t="str">
        <f>IF($C410="","",SUMIFS(Chicks!$J:$J,Chicks!$F:$F,$C410,Chicks!$G:$G,$D410))</f>
        <v/>
      </c>
      <c r="I410" s="6" t="str">
        <f>IF($C410="","",COUNTIFS(Chicks!$F:$F,$C410,Chicks!$G:$G,$D410,Chicks!$I:$I,"No"))</f>
        <v/>
      </c>
      <c r="J410" s="6" t="str">
        <f>IF($C410="","",IFERROR(AVERAGEIFS(Chicks!$M:$M,Chicks!$F:$F,$C410,Chicks!$G:$G,$D410),""))</f>
        <v/>
      </c>
      <c r="K410" s="6" t="str">
        <f>IF($C410="","",SUMIFS(Chicks!$N:$N,Chicks!$F:$F,$C410,Chicks!$G:$G,$D410))</f>
        <v/>
      </c>
      <c r="L410" s="6" t="str">
        <f>IF($C410="","",SUMIFS(Chicks!$O:$O,Chicks!$F:$F,$C410,Chicks!$G:$G,$D410))</f>
        <v/>
      </c>
      <c r="M410" s="6" t="str">
        <f>IF($C410="","",SUMIFS(Chicks!$P:$P,Chicks!$F:$F,$C410,Chicks!$G:$G,$D410))</f>
        <v/>
      </c>
      <c r="N410" s="6" t="str">
        <f t="shared" si="5"/>
        <v/>
      </c>
      <c r="O410" s="6" t="e">
        <f t="shared" ca="1" si="6"/>
        <v>#NAME?</v>
      </c>
      <c r="P410" s="6" t="str">
        <f t="shared" si="7"/>
        <v/>
      </c>
    </row>
    <row r="411" spans="1:16" ht="14.25" customHeight="1" x14ac:dyDescent="0.3">
      <c r="A411" s="4"/>
      <c r="B411" s="4"/>
      <c r="C411" s="4" t="str">
        <f t="shared" si="8"/>
        <v/>
      </c>
      <c r="D411" s="4" t="str">
        <f t="shared" si="9"/>
        <v/>
      </c>
      <c r="E411" s="4"/>
      <c r="F411" s="6" t="str">
        <f>IF($C411="","",COUNTIFS(Chicks!$F:$F,$C411,Chicks!$G:$G,$D411))</f>
        <v/>
      </c>
      <c r="G411" s="6" t="str">
        <f>IF($C411="","",COUNTIFS(Chicks!$F:$F,$C411,Chicks!$G:$G,$D411,Chicks!$I:$I,"Yes"))</f>
        <v/>
      </c>
      <c r="H411" s="6" t="str">
        <f>IF($C411="","",SUMIFS(Chicks!$J:$J,Chicks!$F:$F,$C411,Chicks!$G:$G,$D411))</f>
        <v/>
      </c>
      <c r="I411" s="6" t="str">
        <f>IF($C411="","",COUNTIFS(Chicks!$F:$F,$C411,Chicks!$G:$G,$D411,Chicks!$I:$I,"No"))</f>
        <v/>
      </c>
      <c r="J411" s="6" t="str">
        <f>IF($C411="","",IFERROR(AVERAGEIFS(Chicks!$M:$M,Chicks!$F:$F,$C411,Chicks!$G:$G,$D411),""))</f>
        <v/>
      </c>
      <c r="K411" s="6" t="str">
        <f>IF($C411="","",SUMIFS(Chicks!$N:$N,Chicks!$F:$F,$C411,Chicks!$G:$G,$D411))</f>
        <v/>
      </c>
      <c r="L411" s="6" t="str">
        <f>IF($C411="","",SUMIFS(Chicks!$O:$O,Chicks!$F:$F,$C411,Chicks!$G:$G,$D411))</f>
        <v/>
      </c>
      <c r="M411" s="6" t="str">
        <f>IF($C411="","",SUMIFS(Chicks!$P:$P,Chicks!$F:$F,$C411,Chicks!$G:$G,$D411))</f>
        <v/>
      </c>
      <c r="N411" s="6" t="str">
        <f t="shared" si="5"/>
        <v/>
      </c>
      <c r="O411" s="6" t="e">
        <f t="shared" ca="1" si="6"/>
        <v>#NAME?</v>
      </c>
      <c r="P411" s="6" t="str">
        <f t="shared" si="7"/>
        <v/>
      </c>
    </row>
    <row r="412" spans="1:16" ht="14.25" customHeight="1" x14ac:dyDescent="0.3">
      <c r="A412" s="4"/>
      <c r="B412" s="4"/>
      <c r="C412" s="4" t="str">
        <f t="shared" si="8"/>
        <v/>
      </c>
      <c r="D412" s="4" t="str">
        <f t="shared" si="9"/>
        <v/>
      </c>
      <c r="E412" s="4"/>
      <c r="F412" s="6" t="str">
        <f>IF($C412="","",COUNTIFS(Chicks!$F:$F,$C412,Chicks!$G:$G,$D412))</f>
        <v/>
      </c>
      <c r="G412" s="6" t="str">
        <f>IF($C412="","",COUNTIFS(Chicks!$F:$F,$C412,Chicks!$G:$G,$D412,Chicks!$I:$I,"Yes"))</f>
        <v/>
      </c>
      <c r="H412" s="6" t="str">
        <f>IF($C412="","",SUMIFS(Chicks!$J:$J,Chicks!$F:$F,$C412,Chicks!$G:$G,$D412))</f>
        <v/>
      </c>
      <c r="I412" s="6" t="str">
        <f>IF($C412="","",COUNTIFS(Chicks!$F:$F,$C412,Chicks!$G:$G,$D412,Chicks!$I:$I,"No"))</f>
        <v/>
      </c>
      <c r="J412" s="6" t="str">
        <f>IF($C412="","",IFERROR(AVERAGEIFS(Chicks!$M:$M,Chicks!$F:$F,$C412,Chicks!$G:$G,$D412),""))</f>
        <v/>
      </c>
      <c r="K412" s="6" t="str">
        <f>IF($C412="","",SUMIFS(Chicks!$N:$N,Chicks!$F:$F,$C412,Chicks!$G:$G,$D412))</f>
        <v/>
      </c>
      <c r="L412" s="6" t="str">
        <f>IF($C412="","",SUMIFS(Chicks!$O:$O,Chicks!$F:$F,$C412,Chicks!$G:$G,$D412))</f>
        <v/>
      </c>
      <c r="M412" s="6" t="str">
        <f>IF($C412="","",SUMIFS(Chicks!$P:$P,Chicks!$F:$F,$C412,Chicks!$G:$G,$D412))</f>
        <v/>
      </c>
      <c r="N412" s="6" t="str">
        <f t="shared" si="5"/>
        <v/>
      </c>
      <c r="O412" s="6" t="e">
        <f t="shared" ca="1" si="6"/>
        <v>#NAME?</v>
      </c>
      <c r="P412" s="6" t="str">
        <f t="shared" si="7"/>
        <v/>
      </c>
    </row>
    <row r="413" spans="1:16" ht="14.25" customHeight="1" x14ac:dyDescent="0.3">
      <c r="A413" s="4"/>
      <c r="B413" s="4"/>
      <c r="C413" s="4" t="str">
        <f t="shared" si="8"/>
        <v/>
      </c>
      <c r="D413" s="4" t="str">
        <f t="shared" si="9"/>
        <v/>
      </c>
      <c r="E413" s="4"/>
      <c r="F413" s="6" t="str">
        <f>IF($C413="","",COUNTIFS(Chicks!$F:$F,$C413,Chicks!$G:$G,$D413))</f>
        <v/>
      </c>
      <c r="G413" s="6" t="str">
        <f>IF($C413="","",COUNTIFS(Chicks!$F:$F,$C413,Chicks!$G:$G,$D413,Chicks!$I:$I,"Yes"))</f>
        <v/>
      </c>
      <c r="H413" s="6" t="str">
        <f>IF($C413="","",SUMIFS(Chicks!$J:$J,Chicks!$F:$F,$C413,Chicks!$G:$G,$D413))</f>
        <v/>
      </c>
      <c r="I413" s="6" t="str">
        <f>IF($C413="","",COUNTIFS(Chicks!$F:$F,$C413,Chicks!$G:$G,$D413,Chicks!$I:$I,"No"))</f>
        <v/>
      </c>
      <c r="J413" s="6" t="str">
        <f>IF($C413="","",IFERROR(AVERAGEIFS(Chicks!$M:$M,Chicks!$F:$F,$C413,Chicks!$G:$G,$D413),""))</f>
        <v/>
      </c>
      <c r="K413" s="6" t="str">
        <f>IF($C413="","",SUMIFS(Chicks!$N:$N,Chicks!$F:$F,$C413,Chicks!$G:$G,$D413))</f>
        <v/>
      </c>
      <c r="L413" s="6" t="str">
        <f>IF($C413="","",SUMIFS(Chicks!$O:$O,Chicks!$F:$F,$C413,Chicks!$G:$G,$D413))</f>
        <v/>
      </c>
      <c r="M413" s="6" t="str">
        <f>IF($C413="","",SUMIFS(Chicks!$P:$P,Chicks!$F:$F,$C413,Chicks!$G:$G,$D413))</f>
        <v/>
      </c>
      <c r="N413" s="6" t="str">
        <f t="shared" si="5"/>
        <v/>
      </c>
      <c r="O413" s="6" t="e">
        <f t="shared" ca="1" si="6"/>
        <v>#NAME?</v>
      </c>
      <c r="P413" s="6" t="str">
        <f t="shared" si="7"/>
        <v/>
      </c>
    </row>
    <row r="414" spans="1:16" ht="14.25" customHeight="1" x14ac:dyDescent="0.3">
      <c r="A414" s="4"/>
      <c r="B414" s="4"/>
      <c r="C414" s="4" t="str">
        <f t="shared" si="8"/>
        <v/>
      </c>
      <c r="D414" s="4" t="str">
        <f t="shared" si="9"/>
        <v/>
      </c>
      <c r="E414" s="4"/>
      <c r="F414" s="6" t="str">
        <f>IF($C414="","",COUNTIFS(Chicks!$F:$F,$C414,Chicks!$G:$G,$D414))</f>
        <v/>
      </c>
      <c r="G414" s="6" t="str">
        <f>IF($C414="","",COUNTIFS(Chicks!$F:$F,$C414,Chicks!$G:$G,$D414,Chicks!$I:$I,"Yes"))</f>
        <v/>
      </c>
      <c r="H414" s="6" t="str">
        <f>IF($C414="","",SUMIFS(Chicks!$J:$J,Chicks!$F:$F,$C414,Chicks!$G:$G,$D414))</f>
        <v/>
      </c>
      <c r="I414" s="6" t="str">
        <f>IF($C414="","",COUNTIFS(Chicks!$F:$F,$C414,Chicks!$G:$G,$D414,Chicks!$I:$I,"No"))</f>
        <v/>
      </c>
      <c r="J414" s="6" t="str">
        <f>IF($C414="","",IFERROR(AVERAGEIFS(Chicks!$M:$M,Chicks!$F:$F,$C414,Chicks!$G:$G,$D414),""))</f>
        <v/>
      </c>
      <c r="K414" s="6" t="str">
        <f>IF($C414="","",SUMIFS(Chicks!$N:$N,Chicks!$F:$F,$C414,Chicks!$G:$G,$D414))</f>
        <v/>
      </c>
      <c r="L414" s="6" t="str">
        <f>IF($C414="","",SUMIFS(Chicks!$O:$O,Chicks!$F:$F,$C414,Chicks!$G:$G,$D414))</f>
        <v/>
      </c>
      <c r="M414" s="6" t="str">
        <f>IF($C414="","",SUMIFS(Chicks!$P:$P,Chicks!$F:$F,$C414,Chicks!$G:$G,$D414))</f>
        <v/>
      </c>
      <c r="N414" s="6" t="str">
        <f t="shared" si="5"/>
        <v/>
      </c>
      <c r="O414" s="6" t="e">
        <f t="shared" ca="1" si="6"/>
        <v>#NAME?</v>
      </c>
      <c r="P414" s="6" t="str">
        <f t="shared" si="7"/>
        <v/>
      </c>
    </row>
    <row r="415" spans="1:16" ht="14.25" customHeight="1" x14ac:dyDescent="0.3">
      <c r="A415" s="4"/>
      <c r="B415" s="4"/>
      <c r="C415" s="4" t="str">
        <f t="shared" si="8"/>
        <v/>
      </c>
      <c r="D415" s="4" t="str">
        <f t="shared" si="9"/>
        <v/>
      </c>
      <c r="E415" s="4"/>
      <c r="F415" s="6" t="str">
        <f>IF($C415="","",COUNTIFS(Chicks!$F:$F,$C415,Chicks!$G:$G,$D415))</f>
        <v/>
      </c>
      <c r="G415" s="6" t="str">
        <f>IF($C415="","",COUNTIFS(Chicks!$F:$F,$C415,Chicks!$G:$G,$D415,Chicks!$I:$I,"Yes"))</f>
        <v/>
      </c>
      <c r="H415" s="6" t="str">
        <f>IF($C415="","",SUMIFS(Chicks!$J:$J,Chicks!$F:$F,$C415,Chicks!$G:$G,$D415))</f>
        <v/>
      </c>
      <c r="I415" s="6" t="str">
        <f>IF($C415="","",COUNTIFS(Chicks!$F:$F,$C415,Chicks!$G:$G,$D415,Chicks!$I:$I,"No"))</f>
        <v/>
      </c>
      <c r="J415" s="6" t="str">
        <f>IF($C415="","",IFERROR(AVERAGEIFS(Chicks!$M:$M,Chicks!$F:$F,$C415,Chicks!$G:$G,$D415),""))</f>
        <v/>
      </c>
      <c r="K415" s="6" t="str">
        <f>IF($C415="","",SUMIFS(Chicks!$N:$N,Chicks!$F:$F,$C415,Chicks!$G:$G,$D415))</f>
        <v/>
      </c>
      <c r="L415" s="6" t="str">
        <f>IF($C415="","",SUMIFS(Chicks!$O:$O,Chicks!$F:$F,$C415,Chicks!$G:$G,$D415))</f>
        <v/>
      </c>
      <c r="M415" s="6" t="str">
        <f>IF($C415="","",SUMIFS(Chicks!$P:$P,Chicks!$F:$F,$C415,Chicks!$G:$G,$D415))</f>
        <v/>
      </c>
      <c r="N415" s="6" t="str">
        <f t="shared" si="5"/>
        <v/>
      </c>
      <c r="O415" s="6" t="e">
        <f t="shared" ca="1" si="6"/>
        <v>#NAME?</v>
      </c>
      <c r="P415" s="6" t="str">
        <f t="shared" si="7"/>
        <v/>
      </c>
    </row>
    <row r="416" spans="1:16" ht="14.25" customHeight="1" x14ac:dyDescent="0.3">
      <c r="A416" s="4"/>
      <c r="B416" s="4"/>
      <c r="C416" s="4" t="str">
        <f t="shared" si="8"/>
        <v/>
      </c>
      <c r="D416" s="4" t="str">
        <f t="shared" si="9"/>
        <v/>
      </c>
      <c r="E416" s="4"/>
      <c r="F416" s="6" t="str">
        <f>IF($C416="","",COUNTIFS(Chicks!$F:$F,$C416,Chicks!$G:$G,$D416))</f>
        <v/>
      </c>
      <c r="G416" s="6" t="str">
        <f>IF($C416="","",COUNTIFS(Chicks!$F:$F,$C416,Chicks!$G:$G,$D416,Chicks!$I:$I,"Yes"))</f>
        <v/>
      </c>
      <c r="H416" s="6" t="str">
        <f>IF($C416="","",SUMIFS(Chicks!$J:$J,Chicks!$F:$F,$C416,Chicks!$G:$G,$D416))</f>
        <v/>
      </c>
      <c r="I416" s="6" t="str">
        <f>IF($C416="","",COUNTIFS(Chicks!$F:$F,$C416,Chicks!$G:$G,$D416,Chicks!$I:$I,"No"))</f>
        <v/>
      </c>
      <c r="J416" s="6" t="str">
        <f>IF($C416="","",IFERROR(AVERAGEIFS(Chicks!$M:$M,Chicks!$F:$F,$C416,Chicks!$G:$G,$D416),""))</f>
        <v/>
      </c>
      <c r="K416" s="6" t="str">
        <f>IF($C416="","",SUMIFS(Chicks!$N:$N,Chicks!$F:$F,$C416,Chicks!$G:$G,$D416))</f>
        <v/>
      </c>
      <c r="L416" s="6" t="str">
        <f>IF($C416="","",SUMIFS(Chicks!$O:$O,Chicks!$F:$F,$C416,Chicks!$G:$G,$D416))</f>
        <v/>
      </c>
      <c r="M416" s="6" t="str">
        <f>IF($C416="","",SUMIFS(Chicks!$P:$P,Chicks!$F:$F,$C416,Chicks!$G:$G,$D416))</f>
        <v/>
      </c>
      <c r="N416" s="6" t="str">
        <f t="shared" si="5"/>
        <v/>
      </c>
      <c r="O416" s="6" t="e">
        <f t="shared" ca="1" si="6"/>
        <v>#NAME?</v>
      </c>
      <c r="P416" s="6" t="str">
        <f t="shared" si="7"/>
        <v/>
      </c>
    </row>
    <row r="417" spans="1:16" ht="14.25" customHeight="1" x14ac:dyDescent="0.3">
      <c r="A417" s="4"/>
      <c r="B417" s="4"/>
      <c r="C417" s="4" t="str">
        <f t="shared" si="8"/>
        <v/>
      </c>
      <c r="D417" s="4" t="str">
        <f t="shared" si="9"/>
        <v/>
      </c>
      <c r="E417" s="4"/>
      <c r="F417" s="6" t="str">
        <f>IF($C417="","",COUNTIFS(Chicks!$F:$F,$C417,Chicks!$G:$G,$D417))</f>
        <v/>
      </c>
      <c r="G417" s="6" t="str">
        <f>IF($C417="","",COUNTIFS(Chicks!$F:$F,$C417,Chicks!$G:$G,$D417,Chicks!$I:$I,"Yes"))</f>
        <v/>
      </c>
      <c r="H417" s="6" t="str">
        <f>IF($C417="","",SUMIFS(Chicks!$J:$J,Chicks!$F:$F,$C417,Chicks!$G:$G,$D417))</f>
        <v/>
      </c>
      <c r="I417" s="6" t="str">
        <f>IF($C417="","",COUNTIFS(Chicks!$F:$F,$C417,Chicks!$G:$G,$D417,Chicks!$I:$I,"No"))</f>
        <v/>
      </c>
      <c r="J417" s="6" t="str">
        <f>IF($C417="","",IFERROR(AVERAGEIFS(Chicks!$M:$M,Chicks!$F:$F,$C417,Chicks!$G:$G,$D417),""))</f>
        <v/>
      </c>
      <c r="K417" s="6" t="str">
        <f>IF($C417="","",SUMIFS(Chicks!$N:$N,Chicks!$F:$F,$C417,Chicks!$G:$G,$D417))</f>
        <v/>
      </c>
      <c r="L417" s="6" t="str">
        <f>IF($C417="","",SUMIFS(Chicks!$O:$O,Chicks!$F:$F,$C417,Chicks!$G:$G,$D417))</f>
        <v/>
      </c>
      <c r="M417" s="6" t="str">
        <f>IF($C417="","",SUMIFS(Chicks!$P:$P,Chicks!$F:$F,$C417,Chicks!$G:$G,$D417))</f>
        <v/>
      </c>
      <c r="N417" s="6" t="str">
        <f t="shared" si="5"/>
        <v/>
      </c>
      <c r="O417" s="6" t="e">
        <f t="shared" ca="1" si="6"/>
        <v>#NAME?</v>
      </c>
      <c r="P417" s="6" t="str">
        <f t="shared" si="7"/>
        <v/>
      </c>
    </row>
    <row r="418" spans="1:16" ht="14.25" customHeight="1" x14ac:dyDescent="0.3">
      <c r="A418" s="4"/>
      <c r="B418" s="4"/>
      <c r="C418" s="4" t="str">
        <f t="shared" si="8"/>
        <v/>
      </c>
      <c r="D418" s="4" t="str">
        <f t="shared" si="9"/>
        <v/>
      </c>
      <c r="E418" s="4"/>
      <c r="F418" s="6" t="str">
        <f>IF($C418="","",COUNTIFS(Chicks!$F:$F,$C418,Chicks!$G:$G,$D418))</f>
        <v/>
      </c>
      <c r="G418" s="6" t="str">
        <f>IF($C418="","",COUNTIFS(Chicks!$F:$F,$C418,Chicks!$G:$G,$D418,Chicks!$I:$I,"Yes"))</f>
        <v/>
      </c>
      <c r="H418" s="6" t="str">
        <f>IF($C418="","",SUMIFS(Chicks!$J:$J,Chicks!$F:$F,$C418,Chicks!$G:$G,$D418))</f>
        <v/>
      </c>
      <c r="I418" s="6" t="str">
        <f>IF($C418="","",COUNTIFS(Chicks!$F:$F,$C418,Chicks!$G:$G,$D418,Chicks!$I:$I,"No"))</f>
        <v/>
      </c>
      <c r="J418" s="6" t="str">
        <f>IF($C418="","",IFERROR(AVERAGEIFS(Chicks!$M:$M,Chicks!$F:$F,$C418,Chicks!$G:$G,$D418),""))</f>
        <v/>
      </c>
      <c r="K418" s="6" t="str">
        <f>IF($C418="","",SUMIFS(Chicks!$N:$N,Chicks!$F:$F,$C418,Chicks!$G:$G,$D418))</f>
        <v/>
      </c>
      <c r="L418" s="6" t="str">
        <f>IF($C418="","",SUMIFS(Chicks!$O:$O,Chicks!$F:$F,$C418,Chicks!$G:$G,$D418))</f>
        <v/>
      </c>
      <c r="M418" s="6" t="str">
        <f>IF($C418="","",SUMIFS(Chicks!$P:$P,Chicks!$F:$F,$C418,Chicks!$G:$G,$D418))</f>
        <v/>
      </c>
      <c r="N418" s="6" t="str">
        <f t="shared" si="5"/>
        <v/>
      </c>
      <c r="O418" s="6" t="e">
        <f t="shared" ca="1" si="6"/>
        <v>#NAME?</v>
      </c>
      <c r="P418" s="6" t="str">
        <f t="shared" si="7"/>
        <v/>
      </c>
    </row>
    <row r="419" spans="1:16" ht="14.25" customHeight="1" x14ac:dyDescent="0.3">
      <c r="A419" s="4"/>
      <c r="B419" s="4"/>
      <c r="C419" s="4" t="str">
        <f t="shared" si="8"/>
        <v/>
      </c>
      <c r="D419" s="4" t="str">
        <f t="shared" si="9"/>
        <v/>
      </c>
      <c r="E419" s="4"/>
      <c r="F419" s="6" t="str">
        <f>IF($C419="","",COUNTIFS(Chicks!$F:$F,$C419,Chicks!$G:$G,$D419))</f>
        <v/>
      </c>
      <c r="G419" s="6" t="str">
        <f>IF($C419="","",COUNTIFS(Chicks!$F:$F,$C419,Chicks!$G:$G,$D419,Chicks!$I:$I,"Yes"))</f>
        <v/>
      </c>
      <c r="H419" s="6" t="str">
        <f>IF($C419="","",SUMIFS(Chicks!$J:$J,Chicks!$F:$F,$C419,Chicks!$G:$G,$D419))</f>
        <v/>
      </c>
      <c r="I419" s="6" t="str">
        <f>IF($C419="","",COUNTIFS(Chicks!$F:$F,$C419,Chicks!$G:$G,$D419,Chicks!$I:$I,"No"))</f>
        <v/>
      </c>
      <c r="J419" s="6" t="str">
        <f>IF($C419="","",IFERROR(AVERAGEIFS(Chicks!$M:$M,Chicks!$F:$F,$C419,Chicks!$G:$G,$D419),""))</f>
        <v/>
      </c>
      <c r="K419" s="6" t="str">
        <f>IF($C419="","",SUMIFS(Chicks!$N:$N,Chicks!$F:$F,$C419,Chicks!$G:$G,$D419))</f>
        <v/>
      </c>
      <c r="L419" s="6" t="str">
        <f>IF($C419="","",SUMIFS(Chicks!$O:$O,Chicks!$F:$F,$C419,Chicks!$G:$G,$D419))</f>
        <v/>
      </c>
      <c r="M419" s="6" t="str">
        <f>IF($C419="","",SUMIFS(Chicks!$P:$P,Chicks!$F:$F,$C419,Chicks!$G:$G,$D419))</f>
        <v/>
      </c>
      <c r="N419" s="6" t="str">
        <f t="shared" si="5"/>
        <v/>
      </c>
      <c r="O419" s="6" t="e">
        <f t="shared" ca="1" si="6"/>
        <v>#NAME?</v>
      </c>
      <c r="P419" s="6" t="str">
        <f t="shared" si="7"/>
        <v/>
      </c>
    </row>
    <row r="420" spans="1:16" ht="14.25" customHeight="1" x14ac:dyDescent="0.3">
      <c r="A420" s="4"/>
      <c r="B420" s="4"/>
      <c r="C420" s="4" t="str">
        <f t="shared" si="8"/>
        <v/>
      </c>
      <c r="D420" s="4" t="str">
        <f t="shared" si="9"/>
        <v/>
      </c>
      <c r="E420" s="4"/>
      <c r="F420" s="6" t="str">
        <f>IF($C420="","",COUNTIFS(Chicks!$F:$F,$C420,Chicks!$G:$G,$D420))</f>
        <v/>
      </c>
      <c r="G420" s="6" t="str">
        <f>IF($C420="","",COUNTIFS(Chicks!$F:$F,$C420,Chicks!$G:$G,$D420,Chicks!$I:$I,"Yes"))</f>
        <v/>
      </c>
      <c r="H420" s="6" t="str">
        <f>IF($C420="","",SUMIFS(Chicks!$J:$J,Chicks!$F:$F,$C420,Chicks!$G:$G,$D420))</f>
        <v/>
      </c>
      <c r="I420" s="6" t="str">
        <f>IF($C420="","",COUNTIFS(Chicks!$F:$F,$C420,Chicks!$G:$G,$D420,Chicks!$I:$I,"No"))</f>
        <v/>
      </c>
      <c r="J420" s="6" t="str">
        <f>IF($C420="","",IFERROR(AVERAGEIFS(Chicks!$M:$M,Chicks!$F:$F,$C420,Chicks!$G:$G,$D420),""))</f>
        <v/>
      </c>
      <c r="K420" s="6" t="str">
        <f>IF($C420="","",SUMIFS(Chicks!$N:$N,Chicks!$F:$F,$C420,Chicks!$G:$G,$D420))</f>
        <v/>
      </c>
      <c r="L420" s="6" t="str">
        <f>IF($C420="","",SUMIFS(Chicks!$O:$O,Chicks!$F:$F,$C420,Chicks!$G:$G,$D420))</f>
        <v/>
      </c>
      <c r="M420" s="6" t="str">
        <f>IF($C420="","",SUMIFS(Chicks!$P:$P,Chicks!$F:$F,$C420,Chicks!$G:$G,$D420))</f>
        <v/>
      </c>
      <c r="N420" s="6" t="str">
        <f t="shared" si="5"/>
        <v/>
      </c>
      <c r="O420" s="6" t="e">
        <f t="shared" ca="1" si="6"/>
        <v>#NAME?</v>
      </c>
      <c r="P420" s="6" t="str">
        <f t="shared" si="7"/>
        <v/>
      </c>
    </row>
    <row r="421" spans="1:16" ht="14.25" customHeight="1" x14ac:dyDescent="0.3">
      <c r="A421" s="4"/>
      <c r="B421" s="4"/>
      <c r="C421" s="4" t="str">
        <f t="shared" si="8"/>
        <v/>
      </c>
      <c r="D421" s="4" t="str">
        <f t="shared" si="9"/>
        <v/>
      </c>
      <c r="E421" s="4"/>
      <c r="F421" s="6" t="str">
        <f>IF($C421="","",COUNTIFS(Chicks!$F:$F,$C421,Chicks!$G:$G,$D421))</f>
        <v/>
      </c>
      <c r="G421" s="6" t="str">
        <f>IF($C421="","",COUNTIFS(Chicks!$F:$F,$C421,Chicks!$G:$G,$D421,Chicks!$I:$I,"Yes"))</f>
        <v/>
      </c>
      <c r="H421" s="6" t="str">
        <f>IF($C421="","",SUMIFS(Chicks!$J:$J,Chicks!$F:$F,$C421,Chicks!$G:$G,$D421))</f>
        <v/>
      </c>
      <c r="I421" s="6" t="str">
        <f>IF($C421="","",COUNTIFS(Chicks!$F:$F,$C421,Chicks!$G:$G,$D421,Chicks!$I:$I,"No"))</f>
        <v/>
      </c>
      <c r="J421" s="6" t="str">
        <f>IF($C421="","",IFERROR(AVERAGEIFS(Chicks!$M:$M,Chicks!$F:$F,$C421,Chicks!$G:$G,$D421),""))</f>
        <v/>
      </c>
      <c r="K421" s="6" t="str">
        <f>IF($C421="","",SUMIFS(Chicks!$N:$N,Chicks!$F:$F,$C421,Chicks!$G:$G,$D421))</f>
        <v/>
      </c>
      <c r="L421" s="6" t="str">
        <f>IF($C421="","",SUMIFS(Chicks!$O:$O,Chicks!$F:$F,$C421,Chicks!$G:$G,$D421))</f>
        <v/>
      </c>
      <c r="M421" s="6" t="str">
        <f>IF($C421="","",SUMIFS(Chicks!$P:$P,Chicks!$F:$F,$C421,Chicks!$G:$G,$D421))</f>
        <v/>
      </c>
      <c r="N421" s="6" t="str">
        <f t="shared" si="5"/>
        <v/>
      </c>
      <c r="O421" s="6" t="e">
        <f t="shared" ca="1" si="6"/>
        <v>#NAME?</v>
      </c>
      <c r="P421" s="6" t="str">
        <f t="shared" si="7"/>
        <v/>
      </c>
    </row>
    <row r="422" spans="1:16" ht="14.25" customHeight="1" x14ac:dyDescent="0.3">
      <c r="A422" s="4"/>
      <c r="B422" s="4"/>
      <c r="C422" s="4" t="str">
        <f t="shared" si="8"/>
        <v/>
      </c>
      <c r="D422" s="4" t="str">
        <f t="shared" si="9"/>
        <v/>
      </c>
      <c r="E422" s="4"/>
      <c r="F422" s="6" t="str">
        <f>IF($C422="","",COUNTIFS(Chicks!$F:$F,$C422,Chicks!$G:$G,$D422))</f>
        <v/>
      </c>
      <c r="G422" s="6" t="str">
        <f>IF($C422="","",COUNTIFS(Chicks!$F:$F,$C422,Chicks!$G:$G,$D422,Chicks!$I:$I,"Yes"))</f>
        <v/>
      </c>
      <c r="H422" s="6" t="str">
        <f>IF($C422="","",SUMIFS(Chicks!$J:$J,Chicks!$F:$F,$C422,Chicks!$G:$G,$D422))</f>
        <v/>
      </c>
      <c r="I422" s="6" t="str">
        <f>IF($C422="","",COUNTIFS(Chicks!$F:$F,$C422,Chicks!$G:$G,$D422,Chicks!$I:$I,"No"))</f>
        <v/>
      </c>
      <c r="J422" s="6" t="str">
        <f>IF($C422="","",IFERROR(AVERAGEIFS(Chicks!$M:$M,Chicks!$F:$F,$C422,Chicks!$G:$G,$D422),""))</f>
        <v/>
      </c>
      <c r="K422" s="6" t="str">
        <f>IF($C422="","",SUMIFS(Chicks!$N:$N,Chicks!$F:$F,$C422,Chicks!$G:$G,$D422))</f>
        <v/>
      </c>
      <c r="L422" s="6" t="str">
        <f>IF($C422="","",SUMIFS(Chicks!$O:$O,Chicks!$F:$F,$C422,Chicks!$G:$G,$D422))</f>
        <v/>
      </c>
      <c r="M422" s="6" t="str">
        <f>IF($C422="","",SUMIFS(Chicks!$P:$P,Chicks!$F:$F,$C422,Chicks!$G:$G,$D422))</f>
        <v/>
      </c>
      <c r="N422" s="6" t="str">
        <f t="shared" si="5"/>
        <v/>
      </c>
      <c r="O422" s="6" t="e">
        <f t="shared" ca="1" si="6"/>
        <v>#NAME?</v>
      </c>
      <c r="P422" s="6" t="str">
        <f t="shared" si="7"/>
        <v/>
      </c>
    </row>
    <row r="423" spans="1:16" ht="14.25" customHeight="1" x14ac:dyDescent="0.3">
      <c r="A423" s="4"/>
      <c r="B423" s="4"/>
      <c r="C423" s="4" t="str">
        <f t="shared" si="8"/>
        <v/>
      </c>
      <c r="D423" s="4" t="str">
        <f t="shared" si="9"/>
        <v/>
      </c>
      <c r="E423" s="4"/>
      <c r="F423" s="6" t="str">
        <f>IF($C423="","",COUNTIFS(Chicks!$F:$F,$C423,Chicks!$G:$G,$D423))</f>
        <v/>
      </c>
      <c r="G423" s="6" t="str">
        <f>IF($C423="","",COUNTIFS(Chicks!$F:$F,$C423,Chicks!$G:$G,$D423,Chicks!$I:$I,"Yes"))</f>
        <v/>
      </c>
      <c r="H423" s="6" t="str">
        <f>IF($C423="","",SUMIFS(Chicks!$J:$J,Chicks!$F:$F,$C423,Chicks!$G:$G,$D423))</f>
        <v/>
      </c>
      <c r="I423" s="6" t="str">
        <f>IF($C423="","",COUNTIFS(Chicks!$F:$F,$C423,Chicks!$G:$G,$D423,Chicks!$I:$I,"No"))</f>
        <v/>
      </c>
      <c r="J423" s="6" t="str">
        <f>IF($C423="","",IFERROR(AVERAGEIFS(Chicks!$M:$M,Chicks!$F:$F,$C423,Chicks!$G:$G,$D423),""))</f>
        <v/>
      </c>
      <c r="K423" s="6" t="str">
        <f>IF($C423="","",SUMIFS(Chicks!$N:$N,Chicks!$F:$F,$C423,Chicks!$G:$G,$D423))</f>
        <v/>
      </c>
      <c r="L423" s="6" t="str">
        <f>IF($C423="","",SUMIFS(Chicks!$O:$O,Chicks!$F:$F,$C423,Chicks!$G:$G,$D423))</f>
        <v/>
      </c>
      <c r="M423" s="6" t="str">
        <f>IF($C423="","",SUMIFS(Chicks!$P:$P,Chicks!$F:$F,$C423,Chicks!$G:$G,$D423))</f>
        <v/>
      </c>
      <c r="N423" s="6" t="str">
        <f t="shared" si="5"/>
        <v/>
      </c>
      <c r="O423" s="6" t="e">
        <f t="shared" ca="1" si="6"/>
        <v>#NAME?</v>
      </c>
      <c r="P423" s="6" t="str">
        <f t="shared" si="7"/>
        <v/>
      </c>
    </row>
    <row r="424" spans="1:16" ht="14.25" customHeight="1" x14ac:dyDescent="0.3">
      <c r="A424" s="4"/>
      <c r="B424" s="4"/>
      <c r="C424" s="4" t="str">
        <f t="shared" si="8"/>
        <v/>
      </c>
      <c r="D424" s="4" t="str">
        <f t="shared" si="9"/>
        <v/>
      </c>
      <c r="E424" s="4"/>
      <c r="F424" s="6" t="str">
        <f>IF($C424="","",COUNTIFS(Chicks!$F:$F,$C424,Chicks!$G:$G,$D424))</f>
        <v/>
      </c>
      <c r="G424" s="6" t="str">
        <f>IF($C424="","",COUNTIFS(Chicks!$F:$F,$C424,Chicks!$G:$G,$D424,Chicks!$I:$I,"Yes"))</f>
        <v/>
      </c>
      <c r="H424" s="6" t="str">
        <f>IF($C424="","",SUMIFS(Chicks!$J:$J,Chicks!$F:$F,$C424,Chicks!$G:$G,$D424))</f>
        <v/>
      </c>
      <c r="I424" s="6" t="str">
        <f>IF($C424="","",COUNTIFS(Chicks!$F:$F,$C424,Chicks!$G:$G,$D424,Chicks!$I:$I,"No"))</f>
        <v/>
      </c>
      <c r="J424" s="6" t="str">
        <f>IF($C424="","",IFERROR(AVERAGEIFS(Chicks!$M:$M,Chicks!$F:$F,$C424,Chicks!$G:$G,$D424),""))</f>
        <v/>
      </c>
      <c r="K424" s="6" t="str">
        <f>IF($C424="","",SUMIFS(Chicks!$N:$N,Chicks!$F:$F,$C424,Chicks!$G:$G,$D424))</f>
        <v/>
      </c>
      <c r="L424" s="6" t="str">
        <f>IF($C424="","",SUMIFS(Chicks!$O:$O,Chicks!$F:$F,$C424,Chicks!$G:$G,$D424))</f>
        <v/>
      </c>
      <c r="M424" s="6" t="str">
        <f>IF($C424="","",SUMIFS(Chicks!$P:$P,Chicks!$F:$F,$C424,Chicks!$G:$G,$D424))</f>
        <v/>
      </c>
      <c r="N424" s="6" t="str">
        <f t="shared" si="5"/>
        <v/>
      </c>
      <c r="O424" s="6" t="e">
        <f t="shared" ca="1" si="6"/>
        <v>#NAME?</v>
      </c>
      <c r="P424" s="6" t="str">
        <f t="shared" si="7"/>
        <v/>
      </c>
    </row>
    <row r="425" spans="1:16" ht="14.25" customHeight="1" x14ac:dyDescent="0.3">
      <c r="A425" s="4"/>
      <c r="B425" s="4"/>
      <c r="C425" s="4" t="str">
        <f t="shared" si="8"/>
        <v/>
      </c>
      <c r="D425" s="4" t="str">
        <f t="shared" si="9"/>
        <v/>
      </c>
      <c r="E425" s="4"/>
      <c r="F425" s="6" t="str">
        <f>IF($C425="","",COUNTIFS(Chicks!$F:$F,$C425,Chicks!$G:$G,$D425))</f>
        <v/>
      </c>
      <c r="G425" s="6" t="str">
        <f>IF($C425="","",COUNTIFS(Chicks!$F:$F,$C425,Chicks!$G:$G,$D425,Chicks!$I:$I,"Yes"))</f>
        <v/>
      </c>
      <c r="H425" s="6" t="str">
        <f>IF($C425="","",SUMIFS(Chicks!$J:$J,Chicks!$F:$F,$C425,Chicks!$G:$G,$D425))</f>
        <v/>
      </c>
      <c r="I425" s="6" t="str">
        <f>IF($C425="","",COUNTIFS(Chicks!$F:$F,$C425,Chicks!$G:$G,$D425,Chicks!$I:$I,"No"))</f>
        <v/>
      </c>
      <c r="J425" s="6" t="str">
        <f>IF($C425="","",IFERROR(AVERAGEIFS(Chicks!$M:$M,Chicks!$F:$F,$C425,Chicks!$G:$G,$D425),""))</f>
        <v/>
      </c>
      <c r="K425" s="6" t="str">
        <f>IF($C425="","",SUMIFS(Chicks!$N:$N,Chicks!$F:$F,$C425,Chicks!$G:$G,$D425))</f>
        <v/>
      </c>
      <c r="L425" s="6" t="str">
        <f>IF($C425="","",SUMIFS(Chicks!$O:$O,Chicks!$F:$F,$C425,Chicks!$G:$G,$D425))</f>
        <v/>
      </c>
      <c r="M425" s="6" t="str">
        <f>IF($C425="","",SUMIFS(Chicks!$P:$P,Chicks!$F:$F,$C425,Chicks!$G:$G,$D425))</f>
        <v/>
      </c>
      <c r="N425" s="6" t="str">
        <f t="shared" si="5"/>
        <v/>
      </c>
      <c r="O425" s="6" t="e">
        <f t="shared" ca="1" si="6"/>
        <v>#NAME?</v>
      </c>
      <c r="P425" s="6" t="str">
        <f t="shared" si="7"/>
        <v/>
      </c>
    </row>
    <row r="426" spans="1:16" ht="14.25" customHeight="1" x14ac:dyDescent="0.3">
      <c r="A426" s="4"/>
      <c r="B426" s="4"/>
      <c r="C426" s="4" t="str">
        <f t="shared" si="8"/>
        <v/>
      </c>
      <c r="D426" s="4" t="str">
        <f t="shared" si="9"/>
        <v/>
      </c>
      <c r="E426" s="4"/>
      <c r="F426" s="6" t="str">
        <f>IF($C426="","",COUNTIFS(Chicks!$F:$F,$C426,Chicks!$G:$G,$D426))</f>
        <v/>
      </c>
      <c r="G426" s="6" t="str">
        <f>IF($C426="","",COUNTIFS(Chicks!$F:$F,$C426,Chicks!$G:$G,$D426,Chicks!$I:$I,"Yes"))</f>
        <v/>
      </c>
      <c r="H426" s="6" t="str">
        <f>IF($C426="","",SUMIFS(Chicks!$J:$J,Chicks!$F:$F,$C426,Chicks!$G:$G,$D426))</f>
        <v/>
      </c>
      <c r="I426" s="6" t="str">
        <f>IF($C426="","",COUNTIFS(Chicks!$F:$F,$C426,Chicks!$G:$G,$D426,Chicks!$I:$I,"No"))</f>
        <v/>
      </c>
      <c r="J426" s="6" t="str">
        <f>IF($C426="","",IFERROR(AVERAGEIFS(Chicks!$M:$M,Chicks!$F:$F,$C426,Chicks!$G:$G,$D426),""))</f>
        <v/>
      </c>
      <c r="K426" s="6" t="str">
        <f>IF($C426="","",SUMIFS(Chicks!$N:$N,Chicks!$F:$F,$C426,Chicks!$G:$G,$D426))</f>
        <v/>
      </c>
      <c r="L426" s="6" t="str">
        <f>IF($C426="","",SUMIFS(Chicks!$O:$O,Chicks!$F:$F,$C426,Chicks!$G:$G,$D426))</f>
        <v/>
      </c>
      <c r="M426" s="6" t="str">
        <f>IF($C426="","",SUMIFS(Chicks!$P:$P,Chicks!$F:$F,$C426,Chicks!$G:$G,$D426))</f>
        <v/>
      </c>
      <c r="N426" s="6" t="str">
        <f t="shared" si="5"/>
        <v/>
      </c>
      <c r="O426" s="6" t="e">
        <f t="shared" ca="1" si="6"/>
        <v>#NAME?</v>
      </c>
      <c r="P426" s="6" t="str">
        <f t="shared" si="7"/>
        <v/>
      </c>
    </row>
    <row r="427" spans="1:16" ht="14.25" customHeight="1" x14ac:dyDescent="0.3">
      <c r="A427" s="4"/>
      <c r="B427" s="4"/>
      <c r="C427" s="4" t="str">
        <f t="shared" si="8"/>
        <v/>
      </c>
      <c r="D427" s="4" t="str">
        <f t="shared" si="9"/>
        <v/>
      </c>
      <c r="E427" s="4"/>
      <c r="F427" s="6" t="str">
        <f>IF($C427="","",COUNTIFS(Chicks!$F:$F,$C427,Chicks!$G:$G,$D427))</f>
        <v/>
      </c>
      <c r="G427" s="6" t="str">
        <f>IF($C427="","",COUNTIFS(Chicks!$F:$F,$C427,Chicks!$G:$G,$D427,Chicks!$I:$I,"Yes"))</f>
        <v/>
      </c>
      <c r="H427" s="6" t="str">
        <f>IF($C427="","",SUMIFS(Chicks!$J:$J,Chicks!$F:$F,$C427,Chicks!$G:$G,$D427))</f>
        <v/>
      </c>
      <c r="I427" s="6" t="str">
        <f>IF($C427="","",COUNTIFS(Chicks!$F:$F,$C427,Chicks!$G:$G,$D427,Chicks!$I:$I,"No"))</f>
        <v/>
      </c>
      <c r="J427" s="6" t="str">
        <f>IF($C427="","",IFERROR(AVERAGEIFS(Chicks!$M:$M,Chicks!$F:$F,$C427,Chicks!$G:$G,$D427),""))</f>
        <v/>
      </c>
      <c r="K427" s="6" t="str">
        <f>IF($C427="","",SUMIFS(Chicks!$N:$N,Chicks!$F:$F,$C427,Chicks!$G:$G,$D427))</f>
        <v/>
      </c>
      <c r="L427" s="6" t="str">
        <f>IF($C427="","",SUMIFS(Chicks!$O:$O,Chicks!$F:$F,$C427,Chicks!$G:$G,$D427))</f>
        <v/>
      </c>
      <c r="M427" s="6" t="str">
        <f>IF($C427="","",SUMIFS(Chicks!$P:$P,Chicks!$F:$F,$C427,Chicks!$G:$G,$D427))</f>
        <v/>
      </c>
      <c r="N427" s="6" t="str">
        <f t="shared" si="5"/>
        <v/>
      </c>
      <c r="O427" s="6" t="e">
        <f t="shared" ca="1" si="6"/>
        <v>#NAME?</v>
      </c>
      <c r="P427" s="6" t="str">
        <f t="shared" si="7"/>
        <v/>
      </c>
    </row>
    <row r="428" spans="1:16" ht="14.25" customHeight="1" x14ac:dyDescent="0.3">
      <c r="A428" s="4"/>
      <c r="B428" s="4"/>
      <c r="C428" s="4" t="str">
        <f t="shared" si="8"/>
        <v/>
      </c>
      <c r="D428" s="4" t="str">
        <f t="shared" si="9"/>
        <v/>
      </c>
      <c r="E428" s="4"/>
      <c r="F428" s="6" t="str">
        <f>IF($C428="","",COUNTIFS(Chicks!$F:$F,$C428,Chicks!$G:$G,$D428))</f>
        <v/>
      </c>
      <c r="G428" s="6" t="str">
        <f>IF($C428="","",COUNTIFS(Chicks!$F:$F,$C428,Chicks!$G:$G,$D428,Chicks!$I:$I,"Yes"))</f>
        <v/>
      </c>
      <c r="H428" s="6" t="str">
        <f>IF($C428="","",SUMIFS(Chicks!$J:$J,Chicks!$F:$F,$C428,Chicks!$G:$G,$D428))</f>
        <v/>
      </c>
      <c r="I428" s="6" t="str">
        <f>IF($C428="","",COUNTIFS(Chicks!$F:$F,$C428,Chicks!$G:$G,$D428,Chicks!$I:$I,"No"))</f>
        <v/>
      </c>
      <c r="J428" s="6" t="str">
        <f>IF($C428="","",IFERROR(AVERAGEIFS(Chicks!$M:$M,Chicks!$F:$F,$C428,Chicks!$G:$G,$D428),""))</f>
        <v/>
      </c>
      <c r="K428" s="6" t="str">
        <f>IF($C428="","",SUMIFS(Chicks!$N:$N,Chicks!$F:$F,$C428,Chicks!$G:$G,$D428))</f>
        <v/>
      </c>
      <c r="L428" s="6" t="str">
        <f>IF($C428="","",SUMIFS(Chicks!$O:$O,Chicks!$F:$F,$C428,Chicks!$G:$G,$D428))</f>
        <v/>
      </c>
      <c r="M428" s="6" t="str">
        <f>IF($C428="","",SUMIFS(Chicks!$P:$P,Chicks!$F:$F,$C428,Chicks!$G:$G,$D428))</f>
        <v/>
      </c>
      <c r="N428" s="6" t="str">
        <f t="shared" si="5"/>
        <v/>
      </c>
      <c r="O428" s="6" t="e">
        <f t="shared" ca="1" si="6"/>
        <v>#NAME?</v>
      </c>
      <c r="P428" s="6" t="str">
        <f t="shared" si="7"/>
        <v/>
      </c>
    </row>
    <row r="429" spans="1:16" ht="14.25" customHeight="1" x14ac:dyDescent="0.3">
      <c r="A429" s="4"/>
      <c r="B429" s="4"/>
      <c r="C429" s="4" t="str">
        <f t="shared" si="8"/>
        <v/>
      </c>
      <c r="D429" s="4" t="str">
        <f t="shared" si="9"/>
        <v/>
      </c>
      <c r="E429" s="4"/>
      <c r="F429" s="6" t="str">
        <f>IF($C429="","",COUNTIFS(Chicks!$F:$F,$C429,Chicks!$G:$G,$D429))</f>
        <v/>
      </c>
      <c r="G429" s="6" t="str">
        <f>IF($C429="","",COUNTIFS(Chicks!$F:$F,$C429,Chicks!$G:$G,$D429,Chicks!$I:$I,"Yes"))</f>
        <v/>
      </c>
      <c r="H429" s="6" t="str">
        <f>IF($C429="","",SUMIFS(Chicks!$J:$J,Chicks!$F:$F,$C429,Chicks!$G:$G,$D429))</f>
        <v/>
      </c>
      <c r="I429" s="6" t="str">
        <f>IF($C429="","",COUNTIFS(Chicks!$F:$F,$C429,Chicks!$G:$G,$D429,Chicks!$I:$I,"No"))</f>
        <v/>
      </c>
      <c r="J429" s="6" t="str">
        <f>IF($C429="","",IFERROR(AVERAGEIFS(Chicks!$M:$M,Chicks!$F:$F,$C429,Chicks!$G:$G,$D429),""))</f>
        <v/>
      </c>
      <c r="K429" s="6" t="str">
        <f>IF($C429="","",SUMIFS(Chicks!$N:$N,Chicks!$F:$F,$C429,Chicks!$G:$G,$D429))</f>
        <v/>
      </c>
      <c r="L429" s="6" t="str">
        <f>IF($C429="","",SUMIFS(Chicks!$O:$O,Chicks!$F:$F,$C429,Chicks!$G:$G,$D429))</f>
        <v/>
      </c>
      <c r="M429" s="6" t="str">
        <f>IF($C429="","",SUMIFS(Chicks!$P:$P,Chicks!$F:$F,$C429,Chicks!$G:$G,$D429))</f>
        <v/>
      </c>
      <c r="N429" s="6" t="str">
        <f t="shared" si="5"/>
        <v/>
      </c>
      <c r="O429" s="6" t="e">
        <f t="shared" ca="1" si="6"/>
        <v>#NAME?</v>
      </c>
      <c r="P429" s="6" t="str">
        <f t="shared" si="7"/>
        <v/>
      </c>
    </row>
    <row r="430" spans="1:16" ht="14.25" customHeight="1" x14ac:dyDescent="0.3">
      <c r="A430" s="4"/>
      <c r="B430" s="4"/>
      <c r="C430" s="4" t="str">
        <f t="shared" si="8"/>
        <v/>
      </c>
      <c r="D430" s="4" t="str">
        <f t="shared" si="9"/>
        <v/>
      </c>
      <c r="E430" s="4"/>
      <c r="F430" s="6" t="str">
        <f>IF($C430="","",COUNTIFS(Chicks!$F:$F,$C430,Chicks!$G:$G,$D430))</f>
        <v/>
      </c>
      <c r="G430" s="6" t="str">
        <f>IF($C430="","",COUNTIFS(Chicks!$F:$F,$C430,Chicks!$G:$G,$D430,Chicks!$I:$I,"Yes"))</f>
        <v/>
      </c>
      <c r="H430" s="6" t="str">
        <f>IF($C430="","",SUMIFS(Chicks!$J:$J,Chicks!$F:$F,$C430,Chicks!$G:$G,$D430))</f>
        <v/>
      </c>
      <c r="I430" s="6" t="str">
        <f>IF($C430="","",COUNTIFS(Chicks!$F:$F,$C430,Chicks!$G:$G,$D430,Chicks!$I:$I,"No"))</f>
        <v/>
      </c>
      <c r="J430" s="6" t="str">
        <f>IF($C430="","",IFERROR(AVERAGEIFS(Chicks!$M:$M,Chicks!$F:$F,$C430,Chicks!$G:$G,$D430),""))</f>
        <v/>
      </c>
      <c r="K430" s="6" t="str">
        <f>IF($C430="","",SUMIFS(Chicks!$N:$N,Chicks!$F:$F,$C430,Chicks!$G:$G,$D430))</f>
        <v/>
      </c>
      <c r="L430" s="6" t="str">
        <f>IF($C430="","",SUMIFS(Chicks!$O:$O,Chicks!$F:$F,$C430,Chicks!$G:$G,$D430))</f>
        <v/>
      </c>
      <c r="M430" s="6" t="str">
        <f>IF($C430="","",SUMIFS(Chicks!$P:$P,Chicks!$F:$F,$C430,Chicks!$G:$G,$D430))</f>
        <v/>
      </c>
      <c r="N430" s="6" t="str">
        <f t="shared" si="5"/>
        <v/>
      </c>
      <c r="O430" s="6" t="e">
        <f t="shared" ca="1" si="6"/>
        <v>#NAME?</v>
      </c>
      <c r="P430" s="6" t="str">
        <f t="shared" si="7"/>
        <v/>
      </c>
    </row>
    <row r="431" spans="1:16" ht="14.25" customHeight="1" x14ac:dyDescent="0.3">
      <c r="A431" s="4"/>
      <c r="B431" s="4"/>
      <c r="C431" s="4" t="str">
        <f t="shared" si="8"/>
        <v/>
      </c>
      <c r="D431" s="4" t="str">
        <f t="shared" si="9"/>
        <v/>
      </c>
      <c r="E431" s="4"/>
      <c r="F431" s="6" t="str">
        <f>IF($C431="","",COUNTIFS(Chicks!$F:$F,$C431,Chicks!$G:$G,$D431))</f>
        <v/>
      </c>
      <c r="G431" s="6" t="str">
        <f>IF($C431="","",COUNTIFS(Chicks!$F:$F,$C431,Chicks!$G:$G,$D431,Chicks!$I:$I,"Yes"))</f>
        <v/>
      </c>
      <c r="H431" s="6" t="str">
        <f>IF($C431="","",SUMIFS(Chicks!$J:$J,Chicks!$F:$F,$C431,Chicks!$G:$G,$D431))</f>
        <v/>
      </c>
      <c r="I431" s="6" t="str">
        <f>IF($C431="","",COUNTIFS(Chicks!$F:$F,$C431,Chicks!$G:$G,$D431,Chicks!$I:$I,"No"))</f>
        <v/>
      </c>
      <c r="J431" s="6" t="str">
        <f>IF($C431="","",IFERROR(AVERAGEIFS(Chicks!$M:$M,Chicks!$F:$F,$C431,Chicks!$G:$G,$D431),""))</f>
        <v/>
      </c>
      <c r="K431" s="6" t="str">
        <f>IF($C431="","",SUMIFS(Chicks!$N:$N,Chicks!$F:$F,$C431,Chicks!$G:$G,$D431))</f>
        <v/>
      </c>
      <c r="L431" s="6" t="str">
        <f>IF($C431="","",SUMIFS(Chicks!$O:$O,Chicks!$F:$F,$C431,Chicks!$G:$G,$D431))</f>
        <v/>
      </c>
      <c r="M431" s="6" t="str">
        <f>IF($C431="","",SUMIFS(Chicks!$P:$P,Chicks!$F:$F,$C431,Chicks!$G:$G,$D431))</f>
        <v/>
      </c>
      <c r="N431" s="6" t="str">
        <f t="shared" si="5"/>
        <v/>
      </c>
      <c r="O431" s="6" t="e">
        <f t="shared" ca="1" si="6"/>
        <v>#NAME?</v>
      </c>
      <c r="P431" s="6" t="str">
        <f t="shared" si="7"/>
        <v/>
      </c>
    </row>
    <row r="432" spans="1:16" ht="14.25" customHeight="1" x14ac:dyDescent="0.3">
      <c r="A432" s="4"/>
      <c r="B432" s="4"/>
      <c r="C432" s="4" t="str">
        <f t="shared" si="8"/>
        <v/>
      </c>
      <c r="D432" s="4" t="str">
        <f t="shared" si="9"/>
        <v/>
      </c>
      <c r="E432" s="4"/>
      <c r="F432" s="6" t="str">
        <f>IF($C432="","",COUNTIFS(Chicks!$F:$F,$C432,Chicks!$G:$G,$D432))</f>
        <v/>
      </c>
      <c r="G432" s="6" t="str">
        <f>IF($C432="","",COUNTIFS(Chicks!$F:$F,$C432,Chicks!$G:$G,$D432,Chicks!$I:$I,"Yes"))</f>
        <v/>
      </c>
      <c r="H432" s="6" t="str">
        <f>IF($C432="","",SUMIFS(Chicks!$J:$J,Chicks!$F:$F,$C432,Chicks!$G:$G,$D432))</f>
        <v/>
      </c>
      <c r="I432" s="6" t="str">
        <f>IF($C432="","",COUNTIFS(Chicks!$F:$F,$C432,Chicks!$G:$G,$D432,Chicks!$I:$I,"No"))</f>
        <v/>
      </c>
      <c r="J432" s="6" t="str">
        <f>IF($C432="","",IFERROR(AVERAGEIFS(Chicks!$M:$M,Chicks!$F:$F,$C432,Chicks!$G:$G,$D432),""))</f>
        <v/>
      </c>
      <c r="K432" s="6" t="str">
        <f>IF($C432="","",SUMIFS(Chicks!$N:$N,Chicks!$F:$F,$C432,Chicks!$G:$G,$D432))</f>
        <v/>
      </c>
      <c r="L432" s="6" t="str">
        <f>IF($C432="","",SUMIFS(Chicks!$O:$O,Chicks!$F:$F,$C432,Chicks!$G:$G,$D432))</f>
        <v/>
      </c>
      <c r="M432" s="6" t="str">
        <f>IF($C432="","",SUMIFS(Chicks!$P:$P,Chicks!$F:$F,$C432,Chicks!$G:$G,$D432))</f>
        <v/>
      </c>
      <c r="N432" s="6" t="str">
        <f t="shared" si="5"/>
        <v/>
      </c>
      <c r="O432" s="6" t="e">
        <f t="shared" ca="1" si="6"/>
        <v>#NAME?</v>
      </c>
      <c r="P432" s="6" t="str">
        <f t="shared" si="7"/>
        <v/>
      </c>
    </row>
    <row r="433" spans="1:16" ht="14.25" customHeight="1" x14ac:dyDescent="0.3">
      <c r="A433" s="4"/>
      <c r="B433" s="4"/>
      <c r="C433" s="4" t="str">
        <f t="shared" si="8"/>
        <v/>
      </c>
      <c r="D433" s="4" t="str">
        <f t="shared" si="9"/>
        <v/>
      </c>
      <c r="E433" s="4"/>
      <c r="F433" s="6" t="str">
        <f>IF($C433="","",COUNTIFS(Chicks!$F:$F,$C433,Chicks!$G:$G,$D433))</f>
        <v/>
      </c>
      <c r="G433" s="6" t="str">
        <f>IF($C433="","",COUNTIFS(Chicks!$F:$F,$C433,Chicks!$G:$G,$D433,Chicks!$I:$I,"Yes"))</f>
        <v/>
      </c>
      <c r="H433" s="6" t="str">
        <f>IF($C433="","",SUMIFS(Chicks!$J:$J,Chicks!$F:$F,$C433,Chicks!$G:$G,$D433))</f>
        <v/>
      </c>
      <c r="I433" s="6" t="str">
        <f>IF($C433="","",COUNTIFS(Chicks!$F:$F,$C433,Chicks!$G:$G,$D433,Chicks!$I:$I,"No"))</f>
        <v/>
      </c>
      <c r="J433" s="6" t="str">
        <f>IF($C433="","",IFERROR(AVERAGEIFS(Chicks!$M:$M,Chicks!$F:$F,$C433,Chicks!$G:$G,$D433),""))</f>
        <v/>
      </c>
      <c r="K433" s="6" t="str">
        <f>IF($C433="","",SUMIFS(Chicks!$N:$N,Chicks!$F:$F,$C433,Chicks!$G:$G,$D433))</f>
        <v/>
      </c>
      <c r="L433" s="6" t="str">
        <f>IF($C433="","",SUMIFS(Chicks!$O:$O,Chicks!$F:$F,$C433,Chicks!$G:$G,$D433))</f>
        <v/>
      </c>
      <c r="M433" s="6" t="str">
        <f>IF($C433="","",SUMIFS(Chicks!$P:$P,Chicks!$F:$F,$C433,Chicks!$G:$G,$D433))</f>
        <v/>
      </c>
      <c r="N433" s="6" t="str">
        <f t="shared" si="5"/>
        <v/>
      </c>
      <c r="O433" s="6" t="e">
        <f t="shared" ca="1" si="6"/>
        <v>#NAME?</v>
      </c>
      <c r="P433" s="6" t="str">
        <f t="shared" si="7"/>
        <v/>
      </c>
    </row>
    <row r="434" spans="1:16" ht="14.25" customHeight="1" x14ac:dyDescent="0.3">
      <c r="A434" s="4"/>
      <c r="B434" s="4"/>
      <c r="C434" s="4" t="str">
        <f t="shared" si="8"/>
        <v/>
      </c>
      <c r="D434" s="4" t="str">
        <f t="shared" si="9"/>
        <v/>
      </c>
      <c r="E434" s="4"/>
      <c r="F434" s="6" t="str">
        <f>IF($C434="","",COUNTIFS(Chicks!$F:$F,$C434,Chicks!$G:$G,$D434))</f>
        <v/>
      </c>
      <c r="G434" s="6" t="str">
        <f>IF($C434="","",COUNTIFS(Chicks!$F:$F,$C434,Chicks!$G:$G,$D434,Chicks!$I:$I,"Yes"))</f>
        <v/>
      </c>
      <c r="H434" s="6" t="str">
        <f>IF($C434="","",SUMIFS(Chicks!$J:$J,Chicks!$F:$F,$C434,Chicks!$G:$G,$D434))</f>
        <v/>
      </c>
      <c r="I434" s="6" t="str">
        <f>IF($C434="","",COUNTIFS(Chicks!$F:$F,$C434,Chicks!$G:$G,$D434,Chicks!$I:$I,"No"))</f>
        <v/>
      </c>
      <c r="J434" s="6" t="str">
        <f>IF($C434="","",IFERROR(AVERAGEIFS(Chicks!$M:$M,Chicks!$F:$F,$C434,Chicks!$G:$G,$D434),""))</f>
        <v/>
      </c>
      <c r="K434" s="6" t="str">
        <f>IF($C434="","",SUMIFS(Chicks!$N:$N,Chicks!$F:$F,$C434,Chicks!$G:$G,$D434))</f>
        <v/>
      </c>
      <c r="L434" s="6" t="str">
        <f>IF($C434="","",SUMIFS(Chicks!$O:$O,Chicks!$F:$F,$C434,Chicks!$G:$G,$D434))</f>
        <v/>
      </c>
      <c r="M434" s="6" t="str">
        <f>IF($C434="","",SUMIFS(Chicks!$P:$P,Chicks!$F:$F,$C434,Chicks!$G:$G,$D434))</f>
        <v/>
      </c>
      <c r="N434" s="6" t="str">
        <f t="shared" si="5"/>
        <v/>
      </c>
      <c r="O434" s="6" t="e">
        <f t="shared" ca="1" si="6"/>
        <v>#NAME?</v>
      </c>
      <c r="P434" s="6" t="str">
        <f t="shared" si="7"/>
        <v/>
      </c>
    </row>
    <row r="435" spans="1:16" ht="14.25" customHeight="1" x14ac:dyDescent="0.3">
      <c r="A435" s="4"/>
      <c r="B435" s="4"/>
      <c r="C435" s="4" t="str">
        <f t="shared" si="8"/>
        <v/>
      </c>
      <c r="D435" s="4" t="str">
        <f t="shared" si="9"/>
        <v/>
      </c>
      <c r="E435" s="4"/>
      <c r="F435" s="6" t="str">
        <f>IF($C435="","",COUNTIFS(Chicks!$F:$F,$C435,Chicks!$G:$G,$D435))</f>
        <v/>
      </c>
      <c r="G435" s="6" t="str">
        <f>IF($C435="","",COUNTIFS(Chicks!$F:$F,$C435,Chicks!$G:$G,$D435,Chicks!$I:$I,"Yes"))</f>
        <v/>
      </c>
      <c r="H435" s="6" t="str">
        <f>IF($C435="","",SUMIFS(Chicks!$J:$J,Chicks!$F:$F,$C435,Chicks!$G:$G,$D435))</f>
        <v/>
      </c>
      <c r="I435" s="6" t="str">
        <f>IF($C435="","",COUNTIFS(Chicks!$F:$F,$C435,Chicks!$G:$G,$D435,Chicks!$I:$I,"No"))</f>
        <v/>
      </c>
      <c r="J435" s="6" t="str">
        <f>IF($C435="","",IFERROR(AVERAGEIFS(Chicks!$M:$M,Chicks!$F:$F,$C435,Chicks!$G:$G,$D435),""))</f>
        <v/>
      </c>
      <c r="K435" s="6" t="str">
        <f>IF($C435="","",SUMIFS(Chicks!$N:$N,Chicks!$F:$F,$C435,Chicks!$G:$G,$D435))</f>
        <v/>
      </c>
      <c r="L435" s="6" t="str">
        <f>IF($C435="","",SUMIFS(Chicks!$O:$O,Chicks!$F:$F,$C435,Chicks!$G:$G,$D435))</f>
        <v/>
      </c>
      <c r="M435" s="6" t="str">
        <f>IF($C435="","",SUMIFS(Chicks!$P:$P,Chicks!$F:$F,$C435,Chicks!$G:$G,$D435))</f>
        <v/>
      </c>
      <c r="N435" s="6" t="str">
        <f t="shared" si="5"/>
        <v/>
      </c>
      <c r="O435" s="6" t="e">
        <f t="shared" ca="1" si="6"/>
        <v>#NAME?</v>
      </c>
      <c r="P435" s="6" t="str">
        <f t="shared" si="7"/>
        <v/>
      </c>
    </row>
    <row r="436" spans="1:16" ht="14.25" customHeight="1" x14ac:dyDescent="0.3">
      <c r="A436" s="4"/>
      <c r="B436" s="4"/>
      <c r="C436" s="4" t="str">
        <f t="shared" si="8"/>
        <v/>
      </c>
      <c r="D436" s="4" t="str">
        <f t="shared" si="9"/>
        <v/>
      </c>
      <c r="E436" s="4"/>
      <c r="F436" s="6" t="str">
        <f>IF($C436="","",COUNTIFS(Chicks!$F:$F,$C436,Chicks!$G:$G,$D436))</f>
        <v/>
      </c>
      <c r="G436" s="6" t="str">
        <f>IF($C436="","",COUNTIFS(Chicks!$F:$F,$C436,Chicks!$G:$G,$D436,Chicks!$I:$I,"Yes"))</f>
        <v/>
      </c>
      <c r="H436" s="6" t="str">
        <f>IF($C436="","",SUMIFS(Chicks!$J:$J,Chicks!$F:$F,$C436,Chicks!$G:$G,$D436))</f>
        <v/>
      </c>
      <c r="I436" s="6" t="str">
        <f>IF($C436="","",COUNTIFS(Chicks!$F:$F,$C436,Chicks!$G:$G,$D436,Chicks!$I:$I,"No"))</f>
        <v/>
      </c>
      <c r="J436" s="6" t="str">
        <f>IF($C436="","",IFERROR(AVERAGEIFS(Chicks!$M:$M,Chicks!$F:$F,$C436,Chicks!$G:$G,$D436),""))</f>
        <v/>
      </c>
      <c r="K436" s="6" t="str">
        <f>IF($C436="","",SUMIFS(Chicks!$N:$N,Chicks!$F:$F,$C436,Chicks!$G:$G,$D436))</f>
        <v/>
      </c>
      <c r="L436" s="6" t="str">
        <f>IF($C436="","",SUMIFS(Chicks!$O:$O,Chicks!$F:$F,$C436,Chicks!$G:$G,$D436))</f>
        <v/>
      </c>
      <c r="M436" s="6" t="str">
        <f>IF($C436="","",SUMIFS(Chicks!$P:$P,Chicks!$F:$F,$C436,Chicks!$G:$G,$D436))</f>
        <v/>
      </c>
      <c r="N436" s="6" t="str">
        <f t="shared" si="5"/>
        <v/>
      </c>
      <c r="O436" s="6" t="e">
        <f t="shared" ca="1" si="6"/>
        <v>#NAME?</v>
      </c>
      <c r="P436" s="6" t="str">
        <f t="shared" si="7"/>
        <v/>
      </c>
    </row>
    <row r="437" spans="1:16" ht="14.25" customHeight="1" x14ac:dyDescent="0.3">
      <c r="A437" s="4"/>
      <c r="B437" s="4"/>
      <c r="C437" s="4" t="str">
        <f t="shared" si="8"/>
        <v/>
      </c>
      <c r="D437" s="4" t="str">
        <f t="shared" si="9"/>
        <v/>
      </c>
      <c r="E437" s="4"/>
      <c r="F437" s="6" t="str">
        <f>IF($C437="","",COUNTIFS(Chicks!$F:$F,$C437,Chicks!$G:$G,$D437))</f>
        <v/>
      </c>
      <c r="G437" s="6" t="str">
        <f>IF($C437="","",COUNTIFS(Chicks!$F:$F,$C437,Chicks!$G:$G,$D437,Chicks!$I:$I,"Yes"))</f>
        <v/>
      </c>
      <c r="H437" s="6" t="str">
        <f>IF($C437="","",SUMIFS(Chicks!$J:$J,Chicks!$F:$F,$C437,Chicks!$G:$G,$D437))</f>
        <v/>
      </c>
      <c r="I437" s="6" t="str">
        <f>IF($C437="","",COUNTIFS(Chicks!$F:$F,$C437,Chicks!$G:$G,$D437,Chicks!$I:$I,"No"))</f>
        <v/>
      </c>
      <c r="J437" s="6" t="str">
        <f>IF($C437="","",IFERROR(AVERAGEIFS(Chicks!$M:$M,Chicks!$F:$F,$C437,Chicks!$G:$G,$D437),""))</f>
        <v/>
      </c>
      <c r="K437" s="6" t="str">
        <f>IF($C437="","",SUMIFS(Chicks!$N:$N,Chicks!$F:$F,$C437,Chicks!$G:$G,$D437))</f>
        <v/>
      </c>
      <c r="L437" s="6" t="str">
        <f>IF($C437="","",SUMIFS(Chicks!$O:$O,Chicks!$F:$F,$C437,Chicks!$G:$G,$D437))</f>
        <v/>
      </c>
      <c r="M437" s="6" t="str">
        <f>IF($C437="","",SUMIFS(Chicks!$P:$P,Chicks!$F:$F,$C437,Chicks!$G:$G,$D437))</f>
        <v/>
      </c>
      <c r="N437" s="6" t="str">
        <f t="shared" si="5"/>
        <v/>
      </c>
      <c r="O437" s="6" t="e">
        <f t="shared" ca="1" si="6"/>
        <v>#NAME?</v>
      </c>
      <c r="P437" s="6" t="str">
        <f t="shared" si="7"/>
        <v/>
      </c>
    </row>
    <row r="438" spans="1:16" ht="14.25" customHeight="1" x14ac:dyDescent="0.3">
      <c r="A438" s="4"/>
      <c r="B438" s="4"/>
      <c r="C438" s="4" t="str">
        <f t="shared" si="8"/>
        <v/>
      </c>
      <c r="D438" s="4" t="str">
        <f t="shared" si="9"/>
        <v/>
      </c>
      <c r="E438" s="4"/>
      <c r="F438" s="6" t="str">
        <f>IF($C438="","",COUNTIFS(Chicks!$F:$F,$C438,Chicks!$G:$G,$D438))</f>
        <v/>
      </c>
      <c r="G438" s="6" t="str">
        <f>IF($C438="","",COUNTIFS(Chicks!$F:$F,$C438,Chicks!$G:$G,$D438,Chicks!$I:$I,"Yes"))</f>
        <v/>
      </c>
      <c r="H438" s="6" t="str">
        <f>IF($C438="","",SUMIFS(Chicks!$J:$J,Chicks!$F:$F,$C438,Chicks!$G:$G,$D438))</f>
        <v/>
      </c>
      <c r="I438" s="6" t="str">
        <f>IF($C438="","",COUNTIFS(Chicks!$F:$F,$C438,Chicks!$G:$G,$D438,Chicks!$I:$I,"No"))</f>
        <v/>
      </c>
      <c r="J438" s="6" t="str">
        <f>IF($C438="","",IFERROR(AVERAGEIFS(Chicks!$M:$M,Chicks!$F:$F,$C438,Chicks!$G:$G,$D438),""))</f>
        <v/>
      </c>
      <c r="K438" s="6" t="str">
        <f>IF($C438="","",SUMIFS(Chicks!$N:$N,Chicks!$F:$F,$C438,Chicks!$G:$G,$D438))</f>
        <v/>
      </c>
      <c r="L438" s="6" t="str">
        <f>IF($C438="","",SUMIFS(Chicks!$O:$O,Chicks!$F:$F,$C438,Chicks!$G:$G,$D438))</f>
        <v/>
      </c>
      <c r="M438" s="6" t="str">
        <f>IF($C438="","",SUMIFS(Chicks!$P:$P,Chicks!$F:$F,$C438,Chicks!$G:$G,$D438))</f>
        <v/>
      </c>
      <c r="N438" s="6" t="str">
        <f t="shared" si="5"/>
        <v/>
      </c>
      <c r="O438" s="6" t="e">
        <f t="shared" ca="1" si="6"/>
        <v>#NAME?</v>
      </c>
      <c r="P438" s="6" t="str">
        <f t="shared" si="7"/>
        <v/>
      </c>
    </row>
    <row r="439" spans="1:16" ht="14.25" customHeight="1" x14ac:dyDescent="0.3">
      <c r="A439" s="4"/>
      <c r="B439" s="4"/>
      <c r="C439" s="4" t="str">
        <f t="shared" si="8"/>
        <v/>
      </c>
      <c r="D439" s="4" t="str">
        <f t="shared" si="9"/>
        <v/>
      </c>
      <c r="E439" s="4"/>
      <c r="F439" s="6" t="str">
        <f>IF($C439="","",COUNTIFS(Chicks!$F:$F,$C439,Chicks!$G:$G,$D439))</f>
        <v/>
      </c>
      <c r="G439" s="6" t="str">
        <f>IF($C439="","",COUNTIFS(Chicks!$F:$F,$C439,Chicks!$G:$G,$D439,Chicks!$I:$I,"Yes"))</f>
        <v/>
      </c>
      <c r="H439" s="6" t="str">
        <f>IF($C439="","",SUMIFS(Chicks!$J:$J,Chicks!$F:$F,$C439,Chicks!$G:$G,$D439))</f>
        <v/>
      </c>
      <c r="I439" s="6" t="str">
        <f>IF($C439="","",COUNTIFS(Chicks!$F:$F,$C439,Chicks!$G:$G,$D439,Chicks!$I:$I,"No"))</f>
        <v/>
      </c>
      <c r="J439" s="6" t="str">
        <f>IF($C439="","",IFERROR(AVERAGEIFS(Chicks!$M:$M,Chicks!$F:$F,$C439,Chicks!$G:$G,$D439),""))</f>
        <v/>
      </c>
      <c r="K439" s="6" t="str">
        <f>IF($C439="","",SUMIFS(Chicks!$N:$N,Chicks!$F:$F,$C439,Chicks!$G:$G,$D439))</f>
        <v/>
      </c>
      <c r="L439" s="6" t="str">
        <f>IF($C439="","",SUMIFS(Chicks!$O:$O,Chicks!$F:$F,$C439,Chicks!$G:$G,$D439))</f>
        <v/>
      </c>
      <c r="M439" s="6" t="str">
        <f>IF($C439="","",SUMIFS(Chicks!$P:$P,Chicks!$F:$F,$C439,Chicks!$G:$G,$D439))</f>
        <v/>
      </c>
      <c r="N439" s="6" t="str">
        <f t="shared" si="5"/>
        <v/>
      </c>
      <c r="O439" s="6" t="e">
        <f t="shared" ca="1" si="6"/>
        <v>#NAME?</v>
      </c>
      <c r="P439" s="6" t="str">
        <f t="shared" si="7"/>
        <v/>
      </c>
    </row>
    <row r="440" spans="1:16" ht="14.25" customHeight="1" x14ac:dyDescent="0.3">
      <c r="A440" s="4"/>
      <c r="B440" s="4"/>
      <c r="C440" s="4" t="str">
        <f t="shared" si="8"/>
        <v/>
      </c>
      <c r="D440" s="4" t="str">
        <f t="shared" si="9"/>
        <v/>
      </c>
      <c r="E440" s="4"/>
      <c r="F440" s="6" t="str">
        <f>IF($C440="","",COUNTIFS(Chicks!$F:$F,$C440,Chicks!$G:$G,$D440))</f>
        <v/>
      </c>
      <c r="G440" s="6" t="str">
        <f>IF($C440="","",COUNTIFS(Chicks!$F:$F,$C440,Chicks!$G:$G,$D440,Chicks!$I:$I,"Yes"))</f>
        <v/>
      </c>
      <c r="H440" s="6" t="str">
        <f>IF($C440="","",SUMIFS(Chicks!$J:$J,Chicks!$F:$F,$C440,Chicks!$G:$G,$D440))</f>
        <v/>
      </c>
      <c r="I440" s="6" t="str">
        <f>IF($C440="","",COUNTIFS(Chicks!$F:$F,$C440,Chicks!$G:$G,$D440,Chicks!$I:$I,"No"))</f>
        <v/>
      </c>
      <c r="J440" s="6" t="str">
        <f>IF($C440="","",IFERROR(AVERAGEIFS(Chicks!$M:$M,Chicks!$F:$F,$C440,Chicks!$G:$G,$D440),""))</f>
        <v/>
      </c>
      <c r="K440" s="6" t="str">
        <f>IF($C440="","",SUMIFS(Chicks!$N:$N,Chicks!$F:$F,$C440,Chicks!$G:$G,$D440))</f>
        <v/>
      </c>
      <c r="L440" s="6" t="str">
        <f>IF($C440="","",SUMIFS(Chicks!$O:$O,Chicks!$F:$F,$C440,Chicks!$G:$G,$D440))</f>
        <v/>
      </c>
      <c r="M440" s="6" t="str">
        <f>IF($C440="","",SUMIFS(Chicks!$P:$P,Chicks!$F:$F,$C440,Chicks!$G:$G,$D440))</f>
        <v/>
      </c>
      <c r="N440" s="6" t="str">
        <f t="shared" si="5"/>
        <v/>
      </c>
      <c r="O440" s="6" t="e">
        <f t="shared" ca="1" si="6"/>
        <v>#NAME?</v>
      </c>
      <c r="P440" s="6" t="str">
        <f t="shared" si="7"/>
        <v/>
      </c>
    </row>
    <row r="441" spans="1:16" ht="14.25" customHeight="1" x14ac:dyDescent="0.3">
      <c r="A441" s="4"/>
      <c r="B441" s="4"/>
      <c r="C441" s="4" t="str">
        <f t="shared" si="8"/>
        <v/>
      </c>
      <c r="D441" s="4" t="str">
        <f t="shared" si="9"/>
        <v/>
      </c>
      <c r="E441" s="4"/>
      <c r="F441" s="6" t="str">
        <f>IF($C441="","",COUNTIFS(Chicks!$F:$F,$C441,Chicks!$G:$G,$D441))</f>
        <v/>
      </c>
      <c r="G441" s="6" t="str">
        <f>IF($C441="","",COUNTIFS(Chicks!$F:$F,$C441,Chicks!$G:$G,$D441,Chicks!$I:$I,"Yes"))</f>
        <v/>
      </c>
      <c r="H441" s="6" t="str">
        <f>IF($C441="","",SUMIFS(Chicks!$J:$J,Chicks!$F:$F,$C441,Chicks!$G:$G,$D441))</f>
        <v/>
      </c>
      <c r="I441" s="6" t="str">
        <f>IF($C441="","",COUNTIFS(Chicks!$F:$F,$C441,Chicks!$G:$G,$D441,Chicks!$I:$I,"No"))</f>
        <v/>
      </c>
      <c r="J441" s="6" t="str">
        <f>IF($C441="","",IFERROR(AVERAGEIFS(Chicks!$M:$M,Chicks!$F:$F,$C441,Chicks!$G:$G,$D441),""))</f>
        <v/>
      </c>
      <c r="K441" s="6" t="str">
        <f>IF($C441="","",SUMIFS(Chicks!$N:$N,Chicks!$F:$F,$C441,Chicks!$G:$G,$D441))</f>
        <v/>
      </c>
      <c r="L441" s="6" t="str">
        <f>IF($C441="","",SUMIFS(Chicks!$O:$O,Chicks!$F:$F,$C441,Chicks!$G:$G,$D441))</f>
        <v/>
      </c>
      <c r="M441" s="6" t="str">
        <f>IF($C441="","",SUMIFS(Chicks!$P:$P,Chicks!$F:$F,$C441,Chicks!$G:$G,$D441))</f>
        <v/>
      </c>
      <c r="N441" s="6" t="str">
        <f t="shared" si="5"/>
        <v/>
      </c>
      <c r="O441" s="6" t="e">
        <f t="shared" ca="1" si="6"/>
        <v>#NAME?</v>
      </c>
      <c r="P441" s="6" t="str">
        <f t="shared" si="7"/>
        <v/>
      </c>
    </row>
    <row r="442" spans="1:16" ht="14.25" customHeight="1" x14ac:dyDescent="0.3">
      <c r="A442" s="4"/>
      <c r="B442" s="4"/>
      <c r="C442" s="4" t="str">
        <f t="shared" si="8"/>
        <v/>
      </c>
      <c r="D442" s="4" t="str">
        <f t="shared" si="9"/>
        <v/>
      </c>
      <c r="E442" s="4"/>
      <c r="F442" s="6" t="str">
        <f>IF($C442="","",COUNTIFS(Chicks!$F:$F,$C442,Chicks!$G:$G,$D442))</f>
        <v/>
      </c>
      <c r="G442" s="6" t="str">
        <f>IF($C442="","",COUNTIFS(Chicks!$F:$F,$C442,Chicks!$G:$G,$D442,Chicks!$I:$I,"Yes"))</f>
        <v/>
      </c>
      <c r="H442" s="6" t="str">
        <f>IF($C442="","",SUMIFS(Chicks!$J:$J,Chicks!$F:$F,$C442,Chicks!$G:$G,$D442))</f>
        <v/>
      </c>
      <c r="I442" s="6" t="str">
        <f>IF($C442="","",COUNTIFS(Chicks!$F:$F,$C442,Chicks!$G:$G,$D442,Chicks!$I:$I,"No"))</f>
        <v/>
      </c>
      <c r="J442" s="6" t="str">
        <f>IF($C442="","",IFERROR(AVERAGEIFS(Chicks!$M:$M,Chicks!$F:$F,$C442,Chicks!$G:$G,$D442),""))</f>
        <v/>
      </c>
      <c r="K442" s="6" t="str">
        <f>IF($C442="","",SUMIFS(Chicks!$N:$N,Chicks!$F:$F,$C442,Chicks!$G:$G,$D442))</f>
        <v/>
      </c>
      <c r="L442" s="6" t="str">
        <f>IF($C442="","",SUMIFS(Chicks!$O:$O,Chicks!$F:$F,$C442,Chicks!$G:$G,$D442))</f>
        <v/>
      </c>
      <c r="M442" s="6" t="str">
        <f>IF($C442="","",SUMIFS(Chicks!$P:$P,Chicks!$F:$F,$C442,Chicks!$G:$G,$D442))</f>
        <v/>
      </c>
      <c r="N442" s="6" t="str">
        <f t="shared" si="5"/>
        <v/>
      </c>
      <c r="O442" s="6" t="e">
        <f t="shared" ca="1" si="6"/>
        <v>#NAME?</v>
      </c>
      <c r="P442" s="6" t="str">
        <f t="shared" si="7"/>
        <v/>
      </c>
    </row>
    <row r="443" spans="1:16" ht="14.25" customHeight="1" x14ac:dyDescent="0.3">
      <c r="A443" s="4"/>
      <c r="B443" s="4"/>
      <c r="C443" s="4" t="str">
        <f t="shared" si="8"/>
        <v/>
      </c>
      <c r="D443" s="4" t="str">
        <f t="shared" si="9"/>
        <v/>
      </c>
      <c r="E443" s="4"/>
      <c r="F443" s="6" t="str">
        <f>IF($C443="","",COUNTIFS(Chicks!$F:$F,$C443,Chicks!$G:$G,$D443))</f>
        <v/>
      </c>
      <c r="G443" s="6" t="str">
        <f>IF($C443="","",COUNTIFS(Chicks!$F:$F,$C443,Chicks!$G:$G,$D443,Chicks!$I:$I,"Yes"))</f>
        <v/>
      </c>
      <c r="H443" s="6" t="str">
        <f>IF($C443="","",SUMIFS(Chicks!$J:$J,Chicks!$F:$F,$C443,Chicks!$G:$G,$D443))</f>
        <v/>
      </c>
      <c r="I443" s="6" t="str">
        <f>IF($C443="","",COUNTIFS(Chicks!$F:$F,$C443,Chicks!$G:$G,$D443,Chicks!$I:$I,"No"))</f>
        <v/>
      </c>
      <c r="J443" s="6" t="str">
        <f>IF($C443="","",IFERROR(AVERAGEIFS(Chicks!$M:$M,Chicks!$F:$F,$C443,Chicks!$G:$G,$D443),""))</f>
        <v/>
      </c>
      <c r="K443" s="6" t="str">
        <f>IF($C443="","",SUMIFS(Chicks!$N:$N,Chicks!$F:$F,$C443,Chicks!$G:$G,$D443))</f>
        <v/>
      </c>
      <c r="L443" s="6" t="str">
        <f>IF($C443="","",SUMIFS(Chicks!$O:$O,Chicks!$F:$F,$C443,Chicks!$G:$G,$D443))</f>
        <v/>
      </c>
      <c r="M443" s="6" t="str">
        <f>IF($C443="","",SUMIFS(Chicks!$P:$P,Chicks!$F:$F,$C443,Chicks!$G:$G,$D443))</f>
        <v/>
      </c>
      <c r="N443" s="6" t="str">
        <f t="shared" si="5"/>
        <v/>
      </c>
      <c r="O443" s="6" t="e">
        <f t="shared" ca="1" si="6"/>
        <v>#NAME?</v>
      </c>
      <c r="P443" s="6" t="str">
        <f t="shared" si="7"/>
        <v/>
      </c>
    </row>
    <row r="444" spans="1:16" ht="14.25" customHeight="1" x14ac:dyDescent="0.3">
      <c r="A444" s="4"/>
      <c r="B444" s="4"/>
      <c r="C444" s="4" t="str">
        <f t="shared" si="8"/>
        <v/>
      </c>
      <c r="D444" s="4" t="str">
        <f t="shared" si="9"/>
        <v/>
      </c>
      <c r="E444" s="4"/>
      <c r="F444" s="6" t="str">
        <f>IF($C444="","",COUNTIFS(Chicks!$F:$F,$C444,Chicks!$G:$G,$D444))</f>
        <v/>
      </c>
      <c r="G444" s="6" t="str">
        <f>IF($C444="","",COUNTIFS(Chicks!$F:$F,$C444,Chicks!$G:$G,$D444,Chicks!$I:$I,"Yes"))</f>
        <v/>
      </c>
      <c r="H444" s="6" t="str">
        <f>IF($C444="","",SUMIFS(Chicks!$J:$J,Chicks!$F:$F,$C444,Chicks!$G:$G,$D444))</f>
        <v/>
      </c>
      <c r="I444" s="6" t="str">
        <f>IF($C444="","",COUNTIFS(Chicks!$F:$F,$C444,Chicks!$G:$G,$D444,Chicks!$I:$I,"No"))</f>
        <v/>
      </c>
      <c r="J444" s="6" t="str">
        <f>IF($C444="","",IFERROR(AVERAGEIFS(Chicks!$M:$M,Chicks!$F:$F,$C444,Chicks!$G:$G,$D444),""))</f>
        <v/>
      </c>
      <c r="K444" s="6" t="str">
        <f>IF($C444="","",SUMIFS(Chicks!$N:$N,Chicks!$F:$F,$C444,Chicks!$G:$G,$D444))</f>
        <v/>
      </c>
      <c r="L444" s="6" t="str">
        <f>IF($C444="","",SUMIFS(Chicks!$O:$O,Chicks!$F:$F,$C444,Chicks!$G:$G,$D444))</f>
        <v/>
      </c>
      <c r="M444" s="6" t="str">
        <f>IF($C444="","",SUMIFS(Chicks!$P:$P,Chicks!$F:$F,$C444,Chicks!$G:$G,$D444))</f>
        <v/>
      </c>
      <c r="N444" s="6" t="str">
        <f t="shared" si="5"/>
        <v/>
      </c>
      <c r="O444" s="6" t="e">
        <f t="shared" ca="1" si="6"/>
        <v>#NAME?</v>
      </c>
      <c r="P444" s="6" t="str">
        <f t="shared" si="7"/>
        <v/>
      </c>
    </row>
    <row r="445" spans="1:16" ht="14.25" customHeight="1" x14ac:dyDescent="0.3">
      <c r="A445" s="4"/>
      <c r="B445" s="4"/>
      <c r="C445" s="4" t="str">
        <f t="shared" si="8"/>
        <v/>
      </c>
      <c r="D445" s="4" t="str">
        <f t="shared" si="9"/>
        <v/>
      </c>
      <c r="E445" s="4"/>
      <c r="F445" s="6" t="str">
        <f>IF($C445="","",COUNTIFS(Chicks!$F:$F,$C445,Chicks!$G:$G,$D445))</f>
        <v/>
      </c>
      <c r="G445" s="6" t="str">
        <f>IF($C445="","",COUNTIFS(Chicks!$F:$F,$C445,Chicks!$G:$G,$D445,Chicks!$I:$I,"Yes"))</f>
        <v/>
      </c>
      <c r="H445" s="6" t="str">
        <f>IF($C445="","",SUMIFS(Chicks!$J:$J,Chicks!$F:$F,$C445,Chicks!$G:$G,$D445))</f>
        <v/>
      </c>
      <c r="I445" s="6" t="str">
        <f>IF($C445="","",COUNTIFS(Chicks!$F:$F,$C445,Chicks!$G:$G,$D445,Chicks!$I:$I,"No"))</f>
        <v/>
      </c>
      <c r="J445" s="6" t="str">
        <f>IF($C445="","",IFERROR(AVERAGEIFS(Chicks!$M:$M,Chicks!$F:$F,$C445,Chicks!$G:$G,$D445),""))</f>
        <v/>
      </c>
      <c r="K445" s="6" t="str">
        <f>IF($C445="","",SUMIFS(Chicks!$N:$N,Chicks!$F:$F,$C445,Chicks!$G:$G,$D445))</f>
        <v/>
      </c>
      <c r="L445" s="6" t="str">
        <f>IF($C445="","",SUMIFS(Chicks!$O:$O,Chicks!$F:$F,$C445,Chicks!$G:$G,$D445))</f>
        <v/>
      </c>
      <c r="M445" s="6" t="str">
        <f>IF($C445="","",SUMIFS(Chicks!$P:$P,Chicks!$F:$F,$C445,Chicks!$G:$G,$D445))</f>
        <v/>
      </c>
      <c r="N445" s="6" t="str">
        <f t="shared" si="5"/>
        <v/>
      </c>
      <c r="O445" s="6" t="e">
        <f t="shared" ca="1" si="6"/>
        <v>#NAME?</v>
      </c>
      <c r="P445" s="6" t="str">
        <f t="shared" si="7"/>
        <v/>
      </c>
    </row>
    <row r="446" spans="1:16" ht="14.25" customHeight="1" x14ac:dyDescent="0.3">
      <c r="A446" s="4"/>
      <c r="B446" s="4"/>
      <c r="C446" s="4" t="str">
        <f t="shared" si="8"/>
        <v/>
      </c>
      <c r="D446" s="4" t="str">
        <f t="shared" si="9"/>
        <v/>
      </c>
      <c r="E446" s="4"/>
      <c r="F446" s="6" t="str">
        <f>IF($C446="","",COUNTIFS(Chicks!$F:$F,$C446,Chicks!$G:$G,$D446))</f>
        <v/>
      </c>
      <c r="G446" s="6" t="str">
        <f>IF($C446="","",COUNTIFS(Chicks!$F:$F,$C446,Chicks!$G:$G,$D446,Chicks!$I:$I,"Yes"))</f>
        <v/>
      </c>
      <c r="H446" s="6" t="str">
        <f>IF($C446="","",SUMIFS(Chicks!$J:$J,Chicks!$F:$F,$C446,Chicks!$G:$G,$D446))</f>
        <v/>
      </c>
      <c r="I446" s="6" t="str">
        <f>IF($C446="","",COUNTIFS(Chicks!$F:$F,$C446,Chicks!$G:$G,$D446,Chicks!$I:$I,"No"))</f>
        <v/>
      </c>
      <c r="J446" s="6" t="str">
        <f>IF($C446="","",IFERROR(AVERAGEIFS(Chicks!$M:$M,Chicks!$F:$F,$C446,Chicks!$G:$G,$D446),""))</f>
        <v/>
      </c>
      <c r="K446" s="6" t="str">
        <f>IF($C446="","",SUMIFS(Chicks!$N:$N,Chicks!$F:$F,$C446,Chicks!$G:$G,$D446))</f>
        <v/>
      </c>
      <c r="L446" s="6" t="str">
        <f>IF($C446="","",SUMIFS(Chicks!$O:$O,Chicks!$F:$F,$C446,Chicks!$G:$G,$D446))</f>
        <v/>
      </c>
      <c r="M446" s="6" t="str">
        <f>IF($C446="","",SUMIFS(Chicks!$P:$P,Chicks!$F:$F,$C446,Chicks!$G:$G,$D446))</f>
        <v/>
      </c>
      <c r="N446" s="6" t="str">
        <f t="shared" si="5"/>
        <v/>
      </c>
      <c r="O446" s="6" t="e">
        <f t="shared" ca="1" si="6"/>
        <v>#NAME?</v>
      </c>
      <c r="P446" s="6" t="str">
        <f t="shared" si="7"/>
        <v/>
      </c>
    </row>
    <row r="447" spans="1:16" ht="14.25" customHeight="1" x14ac:dyDescent="0.3">
      <c r="A447" s="4"/>
      <c r="B447" s="4"/>
      <c r="C447" s="4" t="str">
        <f t="shared" si="8"/>
        <v/>
      </c>
      <c r="D447" s="4" t="str">
        <f t="shared" si="9"/>
        <v/>
      </c>
      <c r="E447" s="4"/>
      <c r="F447" s="6" t="str">
        <f>IF($C447="","",COUNTIFS(Chicks!$F:$F,$C447,Chicks!$G:$G,$D447))</f>
        <v/>
      </c>
      <c r="G447" s="6" t="str">
        <f>IF($C447="","",COUNTIFS(Chicks!$F:$F,$C447,Chicks!$G:$G,$D447,Chicks!$I:$I,"Yes"))</f>
        <v/>
      </c>
      <c r="H447" s="6" t="str">
        <f>IF($C447="","",SUMIFS(Chicks!$J:$J,Chicks!$F:$F,$C447,Chicks!$G:$G,$D447))</f>
        <v/>
      </c>
      <c r="I447" s="6" t="str">
        <f>IF($C447="","",COUNTIFS(Chicks!$F:$F,$C447,Chicks!$G:$G,$D447,Chicks!$I:$I,"No"))</f>
        <v/>
      </c>
      <c r="J447" s="6" t="str">
        <f>IF($C447="","",IFERROR(AVERAGEIFS(Chicks!$M:$M,Chicks!$F:$F,$C447,Chicks!$G:$G,$D447),""))</f>
        <v/>
      </c>
      <c r="K447" s="6" t="str">
        <f>IF($C447="","",SUMIFS(Chicks!$N:$N,Chicks!$F:$F,$C447,Chicks!$G:$G,$D447))</f>
        <v/>
      </c>
      <c r="L447" s="6" t="str">
        <f>IF($C447="","",SUMIFS(Chicks!$O:$O,Chicks!$F:$F,$C447,Chicks!$G:$G,$D447))</f>
        <v/>
      </c>
      <c r="M447" s="6" t="str">
        <f>IF($C447="","",SUMIFS(Chicks!$P:$P,Chicks!$F:$F,$C447,Chicks!$G:$G,$D447))</f>
        <v/>
      </c>
      <c r="N447" s="6" t="str">
        <f t="shared" si="5"/>
        <v/>
      </c>
      <c r="O447" s="6" t="e">
        <f t="shared" ca="1" si="6"/>
        <v>#NAME?</v>
      </c>
      <c r="P447" s="6" t="str">
        <f t="shared" si="7"/>
        <v/>
      </c>
    </row>
    <row r="448" spans="1:16" ht="14.25" customHeight="1" x14ac:dyDescent="0.3">
      <c r="A448" s="4"/>
      <c r="B448" s="4"/>
      <c r="C448" s="4" t="str">
        <f t="shared" si="8"/>
        <v/>
      </c>
      <c r="D448" s="4" t="str">
        <f t="shared" si="9"/>
        <v/>
      </c>
      <c r="E448" s="4"/>
      <c r="F448" s="6" t="str">
        <f>IF($C448="","",COUNTIFS(Chicks!$F:$F,$C448,Chicks!$G:$G,$D448))</f>
        <v/>
      </c>
      <c r="G448" s="6" t="str">
        <f>IF($C448="","",COUNTIFS(Chicks!$F:$F,$C448,Chicks!$G:$G,$D448,Chicks!$I:$I,"Yes"))</f>
        <v/>
      </c>
      <c r="H448" s="6" t="str">
        <f>IF($C448="","",SUMIFS(Chicks!$J:$J,Chicks!$F:$F,$C448,Chicks!$G:$G,$D448))</f>
        <v/>
      </c>
      <c r="I448" s="6" t="str">
        <f>IF($C448="","",COUNTIFS(Chicks!$F:$F,$C448,Chicks!$G:$G,$D448,Chicks!$I:$I,"No"))</f>
        <v/>
      </c>
      <c r="J448" s="6" t="str">
        <f>IF($C448="","",IFERROR(AVERAGEIFS(Chicks!$M:$M,Chicks!$F:$F,$C448,Chicks!$G:$G,$D448),""))</f>
        <v/>
      </c>
      <c r="K448" s="6" t="str">
        <f>IF($C448="","",SUMIFS(Chicks!$N:$N,Chicks!$F:$F,$C448,Chicks!$G:$G,$D448))</f>
        <v/>
      </c>
      <c r="L448" s="6" t="str">
        <f>IF($C448="","",SUMIFS(Chicks!$O:$O,Chicks!$F:$F,$C448,Chicks!$G:$G,$D448))</f>
        <v/>
      </c>
      <c r="M448" s="6" t="str">
        <f>IF($C448="","",SUMIFS(Chicks!$P:$P,Chicks!$F:$F,$C448,Chicks!$G:$G,$D448))</f>
        <v/>
      </c>
      <c r="N448" s="6" t="str">
        <f t="shared" si="5"/>
        <v/>
      </c>
      <c r="O448" s="6" t="e">
        <f t="shared" ca="1" si="6"/>
        <v>#NAME?</v>
      </c>
      <c r="P448" s="6" t="str">
        <f t="shared" si="7"/>
        <v/>
      </c>
    </row>
    <row r="449" spans="1:16" ht="14.25" customHeight="1" x14ac:dyDescent="0.3">
      <c r="A449" s="4"/>
      <c r="B449" s="4"/>
      <c r="C449" s="4" t="str">
        <f t="shared" si="8"/>
        <v/>
      </c>
      <c r="D449" s="4" t="str">
        <f t="shared" si="9"/>
        <v/>
      </c>
      <c r="E449" s="4"/>
      <c r="F449" s="6" t="str">
        <f>IF($C449="","",COUNTIFS(Chicks!$F:$F,$C449,Chicks!$G:$G,$D449))</f>
        <v/>
      </c>
      <c r="G449" s="6" t="str">
        <f>IF($C449="","",COUNTIFS(Chicks!$F:$F,$C449,Chicks!$G:$G,$D449,Chicks!$I:$I,"Yes"))</f>
        <v/>
      </c>
      <c r="H449" s="6" t="str">
        <f>IF($C449="","",SUMIFS(Chicks!$J:$J,Chicks!$F:$F,$C449,Chicks!$G:$G,$D449))</f>
        <v/>
      </c>
      <c r="I449" s="6" t="str">
        <f>IF($C449="","",COUNTIFS(Chicks!$F:$F,$C449,Chicks!$G:$G,$D449,Chicks!$I:$I,"No"))</f>
        <v/>
      </c>
      <c r="J449" s="6" t="str">
        <f>IF($C449="","",IFERROR(AVERAGEIFS(Chicks!$M:$M,Chicks!$F:$F,$C449,Chicks!$G:$G,$D449),""))</f>
        <v/>
      </c>
      <c r="K449" s="6" t="str">
        <f>IF($C449="","",SUMIFS(Chicks!$N:$N,Chicks!$F:$F,$C449,Chicks!$G:$G,$D449))</f>
        <v/>
      </c>
      <c r="L449" s="6" t="str">
        <f>IF($C449="","",SUMIFS(Chicks!$O:$O,Chicks!$F:$F,$C449,Chicks!$G:$G,$D449))</f>
        <v/>
      </c>
      <c r="M449" s="6" t="str">
        <f>IF($C449="","",SUMIFS(Chicks!$P:$P,Chicks!$F:$F,$C449,Chicks!$G:$G,$D449))</f>
        <v/>
      </c>
      <c r="N449" s="6" t="str">
        <f t="shared" si="5"/>
        <v/>
      </c>
      <c r="O449" s="6" t="e">
        <f t="shared" ca="1" si="6"/>
        <v>#NAME?</v>
      </c>
      <c r="P449" s="6" t="str">
        <f t="shared" si="7"/>
        <v/>
      </c>
    </row>
    <row r="450" spans="1:16" ht="14.25" customHeight="1" x14ac:dyDescent="0.3">
      <c r="A450" s="4"/>
      <c r="B450" s="4"/>
      <c r="C450" s="4" t="str">
        <f t="shared" si="8"/>
        <v/>
      </c>
      <c r="D450" s="4" t="str">
        <f t="shared" si="9"/>
        <v/>
      </c>
      <c r="E450" s="4"/>
      <c r="F450" s="6" t="str">
        <f>IF($C450="","",COUNTIFS(Chicks!$F:$F,$C450,Chicks!$G:$G,$D450))</f>
        <v/>
      </c>
      <c r="G450" s="6" t="str">
        <f>IF($C450="","",COUNTIFS(Chicks!$F:$F,$C450,Chicks!$G:$G,$D450,Chicks!$I:$I,"Yes"))</f>
        <v/>
      </c>
      <c r="H450" s="6" t="str">
        <f>IF($C450="","",SUMIFS(Chicks!$J:$J,Chicks!$F:$F,$C450,Chicks!$G:$G,$D450))</f>
        <v/>
      </c>
      <c r="I450" s="6" t="str">
        <f>IF($C450="","",COUNTIFS(Chicks!$F:$F,$C450,Chicks!$G:$G,$D450,Chicks!$I:$I,"No"))</f>
        <v/>
      </c>
      <c r="J450" s="6" t="str">
        <f>IF($C450="","",IFERROR(AVERAGEIFS(Chicks!$M:$M,Chicks!$F:$F,$C450,Chicks!$G:$G,$D450),""))</f>
        <v/>
      </c>
      <c r="K450" s="6" t="str">
        <f>IF($C450="","",SUMIFS(Chicks!$N:$N,Chicks!$F:$F,$C450,Chicks!$G:$G,$D450))</f>
        <v/>
      </c>
      <c r="L450" s="6" t="str">
        <f>IF($C450="","",SUMIFS(Chicks!$O:$O,Chicks!$F:$F,$C450,Chicks!$G:$G,$D450))</f>
        <v/>
      </c>
      <c r="M450" s="6" t="str">
        <f>IF($C450="","",SUMIFS(Chicks!$P:$P,Chicks!$F:$F,$C450,Chicks!$G:$G,$D450))</f>
        <v/>
      </c>
      <c r="N450" s="6" t="str">
        <f t="shared" si="5"/>
        <v/>
      </c>
      <c r="O450" s="6" t="e">
        <f t="shared" ca="1" si="6"/>
        <v>#NAME?</v>
      </c>
      <c r="P450" s="6" t="str">
        <f t="shared" si="7"/>
        <v/>
      </c>
    </row>
    <row r="451" spans="1:16" ht="14.25" customHeight="1" x14ac:dyDescent="0.3">
      <c r="A451" s="4"/>
      <c r="B451" s="4"/>
      <c r="C451" s="4" t="str">
        <f t="shared" si="8"/>
        <v/>
      </c>
      <c r="D451" s="4" t="str">
        <f t="shared" si="9"/>
        <v/>
      </c>
      <c r="E451" s="4"/>
      <c r="F451" s="6" t="str">
        <f>IF($C451="","",COUNTIFS(Chicks!$F:$F,$C451,Chicks!$G:$G,$D451))</f>
        <v/>
      </c>
      <c r="G451" s="6" t="str">
        <f>IF($C451="","",COUNTIFS(Chicks!$F:$F,$C451,Chicks!$G:$G,$D451,Chicks!$I:$I,"Yes"))</f>
        <v/>
      </c>
      <c r="H451" s="6" t="str">
        <f>IF($C451="","",SUMIFS(Chicks!$J:$J,Chicks!$F:$F,$C451,Chicks!$G:$G,$D451))</f>
        <v/>
      </c>
      <c r="I451" s="6" t="str">
        <f>IF($C451="","",COUNTIFS(Chicks!$F:$F,$C451,Chicks!$G:$G,$D451,Chicks!$I:$I,"No"))</f>
        <v/>
      </c>
      <c r="J451" s="6" t="str">
        <f>IF($C451="","",IFERROR(AVERAGEIFS(Chicks!$M:$M,Chicks!$F:$F,$C451,Chicks!$G:$G,$D451),""))</f>
        <v/>
      </c>
      <c r="K451" s="6" t="str">
        <f>IF($C451="","",SUMIFS(Chicks!$N:$N,Chicks!$F:$F,$C451,Chicks!$G:$G,$D451))</f>
        <v/>
      </c>
      <c r="L451" s="6" t="str">
        <f>IF($C451="","",SUMIFS(Chicks!$O:$O,Chicks!$F:$F,$C451,Chicks!$G:$G,$D451))</f>
        <v/>
      </c>
      <c r="M451" s="6" t="str">
        <f>IF($C451="","",SUMIFS(Chicks!$P:$P,Chicks!$F:$F,$C451,Chicks!$G:$G,$D451))</f>
        <v/>
      </c>
      <c r="N451" s="6" t="str">
        <f t="shared" si="5"/>
        <v/>
      </c>
      <c r="O451" s="6" t="e">
        <f t="shared" ca="1" si="6"/>
        <v>#NAME?</v>
      </c>
      <c r="P451" s="6" t="str">
        <f t="shared" si="7"/>
        <v/>
      </c>
    </row>
    <row r="452" spans="1:16" ht="14.25" customHeight="1" x14ac:dyDescent="0.3">
      <c r="A452" s="4"/>
      <c r="B452" s="4"/>
      <c r="C452" s="4" t="str">
        <f t="shared" si="8"/>
        <v/>
      </c>
      <c r="D452" s="4" t="str">
        <f t="shared" si="9"/>
        <v/>
      </c>
      <c r="E452" s="4"/>
      <c r="F452" s="6" t="str">
        <f>IF($C452="","",COUNTIFS(Chicks!$F:$F,$C452,Chicks!$G:$G,$D452))</f>
        <v/>
      </c>
      <c r="G452" s="6" t="str">
        <f>IF($C452="","",COUNTIFS(Chicks!$F:$F,$C452,Chicks!$G:$G,$D452,Chicks!$I:$I,"Yes"))</f>
        <v/>
      </c>
      <c r="H452" s="6" t="str">
        <f>IF($C452="","",SUMIFS(Chicks!$J:$J,Chicks!$F:$F,$C452,Chicks!$G:$G,$D452))</f>
        <v/>
      </c>
      <c r="I452" s="6" t="str">
        <f>IF($C452="","",COUNTIFS(Chicks!$F:$F,$C452,Chicks!$G:$G,$D452,Chicks!$I:$I,"No"))</f>
        <v/>
      </c>
      <c r="J452" s="6" t="str">
        <f>IF($C452="","",IFERROR(AVERAGEIFS(Chicks!$M:$M,Chicks!$F:$F,$C452,Chicks!$G:$G,$D452),""))</f>
        <v/>
      </c>
      <c r="K452" s="6" t="str">
        <f>IF($C452="","",SUMIFS(Chicks!$N:$N,Chicks!$F:$F,$C452,Chicks!$G:$G,$D452))</f>
        <v/>
      </c>
      <c r="L452" s="6" t="str">
        <f>IF($C452="","",SUMIFS(Chicks!$O:$O,Chicks!$F:$F,$C452,Chicks!$G:$G,$D452))</f>
        <v/>
      </c>
      <c r="M452" s="6" t="str">
        <f>IF($C452="","",SUMIFS(Chicks!$P:$P,Chicks!$F:$F,$C452,Chicks!$G:$G,$D452))</f>
        <v/>
      </c>
      <c r="N452" s="6" t="str">
        <f t="shared" si="5"/>
        <v/>
      </c>
      <c r="O452" s="6" t="e">
        <f t="shared" ca="1" si="6"/>
        <v>#NAME?</v>
      </c>
      <c r="P452" s="6" t="str">
        <f t="shared" si="7"/>
        <v/>
      </c>
    </row>
    <row r="453" spans="1:16" ht="14.25" customHeight="1" x14ac:dyDescent="0.3">
      <c r="A453" s="4"/>
      <c r="B453" s="4"/>
      <c r="C453" s="4" t="str">
        <f t="shared" si="8"/>
        <v/>
      </c>
      <c r="D453" s="4" t="str">
        <f t="shared" si="9"/>
        <v/>
      </c>
      <c r="E453" s="4"/>
      <c r="F453" s="6" t="str">
        <f>IF($C453="","",COUNTIFS(Chicks!$F:$F,$C453,Chicks!$G:$G,$D453))</f>
        <v/>
      </c>
      <c r="G453" s="6" t="str">
        <f>IF($C453="","",COUNTIFS(Chicks!$F:$F,$C453,Chicks!$G:$G,$D453,Chicks!$I:$I,"Yes"))</f>
        <v/>
      </c>
      <c r="H453" s="6" t="str">
        <f>IF($C453="","",SUMIFS(Chicks!$J:$J,Chicks!$F:$F,$C453,Chicks!$G:$G,$D453))</f>
        <v/>
      </c>
      <c r="I453" s="6" t="str">
        <f>IF($C453="","",COUNTIFS(Chicks!$F:$F,$C453,Chicks!$G:$G,$D453,Chicks!$I:$I,"No"))</f>
        <v/>
      </c>
      <c r="J453" s="6" t="str">
        <f>IF($C453="","",IFERROR(AVERAGEIFS(Chicks!$M:$M,Chicks!$F:$F,$C453,Chicks!$G:$G,$D453),""))</f>
        <v/>
      </c>
      <c r="K453" s="6" t="str">
        <f>IF($C453="","",SUMIFS(Chicks!$N:$N,Chicks!$F:$F,$C453,Chicks!$G:$G,$D453))</f>
        <v/>
      </c>
      <c r="L453" s="6" t="str">
        <f>IF($C453="","",SUMIFS(Chicks!$O:$O,Chicks!$F:$F,$C453,Chicks!$G:$G,$D453))</f>
        <v/>
      </c>
      <c r="M453" s="6" t="str">
        <f>IF($C453="","",SUMIFS(Chicks!$P:$P,Chicks!$F:$F,$C453,Chicks!$G:$G,$D453))</f>
        <v/>
      </c>
      <c r="N453" s="6" t="str">
        <f t="shared" si="5"/>
        <v/>
      </c>
      <c r="O453" s="6" t="e">
        <f t="shared" ca="1" si="6"/>
        <v>#NAME?</v>
      </c>
      <c r="P453" s="6" t="str">
        <f t="shared" si="7"/>
        <v/>
      </c>
    </row>
    <row r="454" spans="1:16" ht="14.25" customHeight="1" x14ac:dyDescent="0.3">
      <c r="A454" s="4"/>
      <c r="B454" s="4"/>
      <c r="C454" s="4" t="str">
        <f t="shared" si="8"/>
        <v/>
      </c>
      <c r="D454" s="4" t="str">
        <f t="shared" si="9"/>
        <v/>
      </c>
      <c r="E454" s="4"/>
      <c r="F454" s="6" t="str">
        <f>IF($C454="","",COUNTIFS(Chicks!$F:$F,$C454,Chicks!$G:$G,$D454))</f>
        <v/>
      </c>
      <c r="G454" s="6" t="str">
        <f>IF($C454="","",COUNTIFS(Chicks!$F:$F,$C454,Chicks!$G:$G,$D454,Chicks!$I:$I,"Yes"))</f>
        <v/>
      </c>
      <c r="H454" s="6" t="str">
        <f>IF($C454="","",SUMIFS(Chicks!$J:$J,Chicks!$F:$F,$C454,Chicks!$G:$G,$D454))</f>
        <v/>
      </c>
      <c r="I454" s="6" t="str">
        <f>IF($C454="","",COUNTIFS(Chicks!$F:$F,$C454,Chicks!$G:$G,$D454,Chicks!$I:$I,"No"))</f>
        <v/>
      </c>
      <c r="J454" s="6" t="str">
        <f>IF($C454="","",IFERROR(AVERAGEIFS(Chicks!$M:$M,Chicks!$F:$F,$C454,Chicks!$G:$G,$D454),""))</f>
        <v/>
      </c>
      <c r="K454" s="6" t="str">
        <f>IF($C454="","",SUMIFS(Chicks!$N:$N,Chicks!$F:$F,$C454,Chicks!$G:$G,$D454))</f>
        <v/>
      </c>
      <c r="L454" s="6" t="str">
        <f>IF($C454="","",SUMIFS(Chicks!$O:$O,Chicks!$F:$F,$C454,Chicks!$G:$G,$D454))</f>
        <v/>
      </c>
      <c r="M454" s="6" t="str">
        <f>IF($C454="","",SUMIFS(Chicks!$P:$P,Chicks!$F:$F,$C454,Chicks!$G:$G,$D454))</f>
        <v/>
      </c>
      <c r="N454" s="6" t="str">
        <f t="shared" si="5"/>
        <v/>
      </c>
      <c r="O454" s="6" t="e">
        <f t="shared" ca="1" si="6"/>
        <v>#NAME?</v>
      </c>
      <c r="P454" s="6" t="str">
        <f t="shared" si="7"/>
        <v/>
      </c>
    </row>
    <row r="455" spans="1:16" ht="14.25" customHeight="1" x14ac:dyDescent="0.3">
      <c r="A455" s="4"/>
      <c r="B455" s="4"/>
      <c r="C455" s="4" t="str">
        <f t="shared" si="8"/>
        <v/>
      </c>
      <c r="D455" s="4" t="str">
        <f t="shared" si="9"/>
        <v/>
      </c>
      <c r="E455" s="4"/>
      <c r="F455" s="6" t="str">
        <f>IF($C455="","",COUNTIFS(Chicks!$F:$F,$C455,Chicks!$G:$G,$D455))</f>
        <v/>
      </c>
      <c r="G455" s="6" t="str">
        <f>IF($C455="","",COUNTIFS(Chicks!$F:$F,$C455,Chicks!$G:$G,$D455,Chicks!$I:$I,"Yes"))</f>
        <v/>
      </c>
      <c r="H455" s="6" t="str">
        <f>IF($C455="","",SUMIFS(Chicks!$J:$J,Chicks!$F:$F,$C455,Chicks!$G:$G,$D455))</f>
        <v/>
      </c>
      <c r="I455" s="6" t="str">
        <f>IF($C455="","",COUNTIFS(Chicks!$F:$F,$C455,Chicks!$G:$G,$D455,Chicks!$I:$I,"No"))</f>
        <v/>
      </c>
      <c r="J455" s="6" t="str">
        <f>IF($C455="","",IFERROR(AVERAGEIFS(Chicks!$M:$M,Chicks!$F:$F,$C455,Chicks!$G:$G,$D455),""))</f>
        <v/>
      </c>
      <c r="K455" s="6" t="str">
        <f>IF($C455="","",SUMIFS(Chicks!$N:$N,Chicks!$F:$F,$C455,Chicks!$G:$G,$D455))</f>
        <v/>
      </c>
      <c r="L455" s="6" t="str">
        <f>IF($C455="","",SUMIFS(Chicks!$O:$O,Chicks!$F:$F,$C455,Chicks!$G:$G,$D455))</f>
        <v/>
      </c>
      <c r="M455" s="6" t="str">
        <f>IF($C455="","",SUMIFS(Chicks!$P:$P,Chicks!$F:$F,$C455,Chicks!$G:$G,$D455))</f>
        <v/>
      </c>
      <c r="N455" s="6" t="str">
        <f t="shared" si="5"/>
        <v/>
      </c>
      <c r="O455" s="6" t="e">
        <f t="shared" ca="1" si="6"/>
        <v>#NAME?</v>
      </c>
      <c r="P455" s="6" t="str">
        <f t="shared" si="7"/>
        <v/>
      </c>
    </row>
    <row r="456" spans="1:16" ht="14.25" customHeight="1" x14ac:dyDescent="0.3">
      <c r="A456" s="4"/>
      <c r="B456" s="4"/>
      <c r="C456" s="4" t="str">
        <f t="shared" si="8"/>
        <v/>
      </c>
      <c r="D456" s="4" t="str">
        <f t="shared" si="9"/>
        <v/>
      </c>
      <c r="E456" s="4"/>
      <c r="F456" s="6" t="str">
        <f>IF($C456="","",COUNTIFS(Chicks!$F:$F,$C456,Chicks!$G:$G,$D456))</f>
        <v/>
      </c>
      <c r="G456" s="6" t="str">
        <f>IF($C456="","",COUNTIFS(Chicks!$F:$F,$C456,Chicks!$G:$G,$D456,Chicks!$I:$I,"Yes"))</f>
        <v/>
      </c>
      <c r="H456" s="6" t="str">
        <f>IF($C456="","",SUMIFS(Chicks!$J:$J,Chicks!$F:$F,$C456,Chicks!$G:$G,$D456))</f>
        <v/>
      </c>
      <c r="I456" s="6" t="str">
        <f>IF($C456="","",COUNTIFS(Chicks!$F:$F,$C456,Chicks!$G:$G,$D456,Chicks!$I:$I,"No"))</f>
        <v/>
      </c>
      <c r="J456" s="6" t="str">
        <f>IF($C456="","",IFERROR(AVERAGEIFS(Chicks!$M:$M,Chicks!$F:$F,$C456,Chicks!$G:$G,$D456),""))</f>
        <v/>
      </c>
      <c r="K456" s="6" t="str">
        <f>IF($C456="","",SUMIFS(Chicks!$N:$N,Chicks!$F:$F,$C456,Chicks!$G:$G,$D456))</f>
        <v/>
      </c>
      <c r="L456" s="6" t="str">
        <f>IF($C456="","",SUMIFS(Chicks!$O:$O,Chicks!$F:$F,$C456,Chicks!$G:$G,$D456))</f>
        <v/>
      </c>
      <c r="M456" s="6" t="str">
        <f>IF($C456="","",SUMIFS(Chicks!$P:$P,Chicks!$F:$F,$C456,Chicks!$G:$G,$D456))</f>
        <v/>
      </c>
      <c r="N456" s="6" t="str">
        <f t="shared" si="5"/>
        <v/>
      </c>
      <c r="O456" s="6" t="e">
        <f t="shared" ca="1" si="6"/>
        <v>#NAME?</v>
      </c>
      <c r="P456" s="6" t="str">
        <f t="shared" si="7"/>
        <v/>
      </c>
    </row>
    <row r="457" spans="1:16" ht="14.25" customHeight="1" x14ac:dyDescent="0.3">
      <c r="A457" s="4"/>
      <c r="B457" s="4"/>
      <c r="C457" s="4" t="str">
        <f t="shared" si="8"/>
        <v/>
      </c>
      <c r="D457" s="4" t="str">
        <f t="shared" si="9"/>
        <v/>
      </c>
      <c r="E457" s="4"/>
      <c r="F457" s="6" t="str">
        <f>IF($C457="","",COUNTIFS(Chicks!$F:$F,$C457,Chicks!$G:$G,$D457))</f>
        <v/>
      </c>
      <c r="G457" s="6" t="str">
        <f>IF($C457="","",COUNTIFS(Chicks!$F:$F,$C457,Chicks!$G:$G,$D457,Chicks!$I:$I,"Yes"))</f>
        <v/>
      </c>
      <c r="H457" s="6" t="str">
        <f>IF($C457="","",SUMIFS(Chicks!$J:$J,Chicks!$F:$F,$C457,Chicks!$G:$G,$D457))</f>
        <v/>
      </c>
      <c r="I457" s="6" t="str">
        <f>IF($C457="","",COUNTIFS(Chicks!$F:$F,$C457,Chicks!$G:$G,$D457,Chicks!$I:$I,"No"))</f>
        <v/>
      </c>
      <c r="J457" s="6" t="str">
        <f>IF($C457="","",IFERROR(AVERAGEIFS(Chicks!$M:$M,Chicks!$F:$F,$C457,Chicks!$G:$G,$D457),""))</f>
        <v/>
      </c>
      <c r="K457" s="6" t="str">
        <f>IF($C457="","",SUMIFS(Chicks!$N:$N,Chicks!$F:$F,$C457,Chicks!$G:$G,$D457))</f>
        <v/>
      </c>
      <c r="L457" s="6" t="str">
        <f>IF($C457="","",SUMIFS(Chicks!$O:$O,Chicks!$F:$F,$C457,Chicks!$G:$G,$D457))</f>
        <v/>
      </c>
      <c r="M457" s="6" t="str">
        <f>IF($C457="","",SUMIFS(Chicks!$P:$P,Chicks!$F:$F,$C457,Chicks!$G:$G,$D457))</f>
        <v/>
      </c>
      <c r="N457" s="6" t="str">
        <f t="shared" si="5"/>
        <v/>
      </c>
      <c r="O457" s="6" t="e">
        <f t="shared" ca="1" si="6"/>
        <v>#NAME?</v>
      </c>
      <c r="P457" s="6" t="str">
        <f t="shared" si="7"/>
        <v/>
      </c>
    </row>
    <row r="458" spans="1:16" ht="14.25" customHeight="1" x14ac:dyDescent="0.3">
      <c r="A458" s="4"/>
      <c r="B458" s="4"/>
      <c r="C458" s="4" t="str">
        <f t="shared" si="8"/>
        <v/>
      </c>
      <c r="D458" s="4" t="str">
        <f t="shared" si="9"/>
        <v/>
      </c>
      <c r="E458" s="4"/>
      <c r="F458" s="6" t="str">
        <f>IF($C458="","",COUNTIFS(Chicks!$F:$F,$C458,Chicks!$G:$G,$D458))</f>
        <v/>
      </c>
      <c r="G458" s="6" t="str">
        <f>IF($C458="","",COUNTIFS(Chicks!$F:$F,$C458,Chicks!$G:$G,$D458,Chicks!$I:$I,"Yes"))</f>
        <v/>
      </c>
      <c r="H458" s="6" t="str">
        <f>IF($C458="","",SUMIFS(Chicks!$J:$J,Chicks!$F:$F,$C458,Chicks!$G:$G,$D458))</f>
        <v/>
      </c>
      <c r="I458" s="6" t="str">
        <f>IF($C458="","",COUNTIFS(Chicks!$F:$F,$C458,Chicks!$G:$G,$D458,Chicks!$I:$I,"No"))</f>
        <v/>
      </c>
      <c r="J458" s="6" t="str">
        <f>IF($C458="","",IFERROR(AVERAGEIFS(Chicks!$M:$M,Chicks!$F:$F,$C458,Chicks!$G:$G,$D458),""))</f>
        <v/>
      </c>
      <c r="K458" s="6" t="str">
        <f>IF($C458="","",SUMIFS(Chicks!$N:$N,Chicks!$F:$F,$C458,Chicks!$G:$G,$D458))</f>
        <v/>
      </c>
      <c r="L458" s="6" t="str">
        <f>IF($C458="","",SUMIFS(Chicks!$O:$O,Chicks!$F:$F,$C458,Chicks!$G:$G,$D458))</f>
        <v/>
      </c>
      <c r="M458" s="6" t="str">
        <f>IF($C458="","",SUMIFS(Chicks!$P:$P,Chicks!$F:$F,$C458,Chicks!$G:$G,$D458))</f>
        <v/>
      </c>
      <c r="N458" s="6" t="str">
        <f t="shared" si="5"/>
        <v/>
      </c>
      <c r="O458" s="6" t="e">
        <f t="shared" ca="1" si="6"/>
        <v>#NAME?</v>
      </c>
      <c r="P458" s="6" t="str">
        <f t="shared" si="7"/>
        <v/>
      </c>
    </row>
    <row r="459" spans="1:16" ht="14.25" customHeight="1" x14ac:dyDescent="0.3">
      <c r="A459" s="4"/>
      <c r="B459" s="4"/>
      <c r="C459" s="4" t="str">
        <f t="shared" si="8"/>
        <v/>
      </c>
      <c r="D459" s="4" t="str">
        <f t="shared" si="9"/>
        <v/>
      </c>
      <c r="E459" s="4"/>
      <c r="F459" s="6" t="str">
        <f>IF($C459="","",COUNTIFS(Chicks!$F:$F,$C459,Chicks!$G:$G,$D459))</f>
        <v/>
      </c>
      <c r="G459" s="6" t="str">
        <f>IF($C459="","",COUNTIFS(Chicks!$F:$F,$C459,Chicks!$G:$G,$D459,Chicks!$I:$I,"Yes"))</f>
        <v/>
      </c>
      <c r="H459" s="6" t="str">
        <f>IF($C459="","",SUMIFS(Chicks!$J:$J,Chicks!$F:$F,$C459,Chicks!$G:$G,$D459))</f>
        <v/>
      </c>
      <c r="I459" s="6" t="str">
        <f>IF($C459="","",COUNTIFS(Chicks!$F:$F,$C459,Chicks!$G:$G,$D459,Chicks!$I:$I,"No"))</f>
        <v/>
      </c>
      <c r="J459" s="6" t="str">
        <f>IF($C459="","",IFERROR(AVERAGEIFS(Chicks!$M:$M,Chicks!$F:$F,$C459,Chicks!$G:$G,$D459),""))</f>
        <v/>
      </c>
      <c r="K459" s="6" t="str">
        <f>IF($C459="","",SUMIFS(Chicks!$N:$N,Chicks!$F:$F,$C459,Chicks!$G:$G,$D459))</f>
        <v/>
      </c>
      <c r="L459" s="6" t="str">
        <f>IF($C459="","",SUMIFS(Chicks!$O:$O,Chicks!$F:$F,$C459,Chicks!$G:$G,$D459))</f>
        <v/>
      </c>
      <c r="M459" s="6" t="str">
        <f>IF($C459="","",SUMIFS(Chicks!$P:$P,Chicks!$F:$F,$C459,Chicks!$G:$G,$D459))</f>
        <v/>
      </c>
      <c r="N459" s="6" t="str">
        <f t="shared" si="5"/>
        <v/>
      </c>
      <c r="O459" s="6" t="e">
        <f t="shared" ca="1" si="6"/>
        <v>#NAME?</v>
      </c>
      <c r="P459" s="6" t="str">
        <f t="shared" si="7"/>
        <v/>
      </c>
    </row>
    <row r="460" spans="1:16" ht="14.25" customHeight="1" x14ac:dyDescent="0.3">
      <c r="A460" s="4"/>
      <c r="B460" s="4"/>
      <c r="C460" s="4" t="str">
        <f t="shared" si="8"/>
        <v/>
      </c>
      <c r="D460" s="4" t="str">
        <f t="shared" si="9"/>
        <v/>
      </c>
      <c r="E460" s="4"/>
      <c r="F460" s="6" t="str">
        <f>IF($C460="","",COUNTIFS(Chicks!$F:$F,$C460,Chicks!$G:$G,$D460))</f>
        <v/>
      </c>
      <c r="G460" s="6" t="str">
        <f>IF($C460="","",COUNTIFS(Chicks!$F:$F,$C460,Chicks!$G:$G,$D460,Chicks!$I:$I,"Yes"))</f>
        <v/>
      </c>
      <c r="H460" s="6" t="str">
        <f>IF($C460="","",SUMIFS(Chicks!$J:$J,Chicks!$F:$F,$C460,Chicks!$G:$G,$D460))</f>
        <v/>
      </c>
      <c r="I460" s="6" t="str">
        <f>IF($C460="","",COUNTIFS(Chicks!$F:$F,$C460,Chicks!$G:$G,$D460,Chicks!$I:$I,"No"))</f>
        <v/>
      </c>
      <c r="J460" s="6" t="str">
        <f>IF($C460="","",IFERROR(AVERAGEIFS(Chicks!$M:$M,Chicks!$F:$F,$C460,Chicks!$G:$G,$D460),""))</f>
        <v/>
      </c>
      <c r="K460" s="6" t="str">
        <f>IF($C460="","",SUMIFS(Chicks!$N:$N,Chicks!$F:$F,$C460,Chicks!$G:$G,$D460))</f>
        <v/>
      </c>
      <c r="L460" s="6" t="str">
        <f>IF($C460="","",SUMIFS(Chicks!$O:$O,Chicks!$F:$F,$C460,Chicks!$G:$G,$D460))</f>
        <v/>
      </c>
      <c r="M460" s="6" t="str">
        <f>IF($C460="","",SUMIFS(Chicks!$P:$P,Chicks!$F:$F,$C460,Chicks!$G:$G,$D460))</f>
        <v/>
      </c>
      <c r="N460" s="6" t="str">
        <f t="shared" si="5"/>
        <v/>
      </c>
      <c r="O460" s="6" t="e">
        <f t="shared" ca="1" si="6"/>
        <v>#NAME?</v>
      </c>
      <c r="P460" s="6" t="str">
        <f t="shared" si="7"/>
        <v/>
      </c>
    </row>
    <row r="461" spans="1:16" ht="14.25" customHeight="1" x14ac:dyDescent="0.3">
      <c r="A461" s="4"/>
      <c r="B461" s="4"/>
      <c r="C461" s="4" t="str">
        <f t="shared" si="8"/>
        <v/>
      </c>
      <c r="D461" s="4" t="str">
        <f t="shared" si="9"/>
        <v/>
      </c>
      <c r="E461" s="4"/>
      <c r="F461" s="6" t="str">
        <f>IF($C461="","",COUNTIFS(Chicks!$F:$F,$C461,Chicks!$G:$G,$D461))</f>
        <v/>
      </c>
      <c r="G461" s="6" t="str">
        <f>IF($C461="","",COUNTIFS(Chicks!$F:$F,$C461,Chicks!$G:$G,$D461,Chicks!$I:$I,"Yes"))</f>
        <v/>
      </c>
      <c r="H461" s="6" t="str">
        <f>IF($C461="","",SUMIFS(Chicks!$J:$J,Chicks!$F:$F,$C461,Chicks!$G:$G,$D461))</f>
        <v/>
      </c>
      <c r="I461" s="6" t="str">
        <f>IF($C461="","",COUNTIFS(Chicks!$F:$F,$C461,Chicks!$G:$G,$D461,Chicks!$I:$I,"No"))</f>
        <v/>
      </c>
      <c r="J461" s="6" t="str">
        <f>IF($C461="","",IFERROR(AVERAGEIFS(Chicks!$M:$M,Chicks!$F:$F,$C461,Chicks!$G:$G,$D461),""))</f>
        <v/>
      </c>
      <c r="K461" s="6" t="str">
        <f>IF($C461="","",SUMIFS(Chicks!$N:$N,Chicks!$F:$F,$C461,Chicks!$G:$G,$D461))</f>
        <v/>
      </c>
      <c r="L461" s="6" t="str">
        <f>IF($C461="","",SUMIFS(Chicks!$O:$O,Chicks!$F:$F,$C461,Chicks!$G:$G,$D461))</f>
        <v/>
      </c>
      <c r="M461" s="6" t="str">
        <f>IF($C461="","",SUMIFS(Chicks!$P:$P,Chicks!$F:$F,$C461,Chicks!$G:$G,$D461))</f>
        <v/>
      </c>
      <c r="N461" s="6" t="str">
        <f t="shared" si="5"/>
        <v/>
      </c>
      <c r="O461" s="6" t="e">
        <f t="shared" ca="1" si="6"/>
        <v>#NAME?</v>
      </c>
      <c r="P461" s="6" t="str">
        <f t="shared" si="7"/>
        <v/>
      </c>
    </row>
    <row r="462" spans="1:16" ht="14.25" customHeight="1" x14ac:dyDescent="0.3">
      <c r="A462" s="4"/>
      <c r="B462" s="4"/>
      <c r="C462" s="4" t="str">
        <f t="shared" si="8"/>
        <v/>
      </c>
      <c r="D462" s="4" t="str">
        <f t="shared" si="9"/>
        <v/>
      </c>
      <c r="E462" s="4"/>
      <c r="F462" s="6" t="str">
        <f>IF($C462="","",COUNTIFS(Chicks!$F:$F,$C462,Chicks!$G:$G,$D462))</f>
        <v/>
      </c>
      <c r="G462" s="6" t="str">
        <f>IF($C462="","",COUNTIFS(Chicks!$F:$F,$C462,Chicks!$G:$G,$D462,Chicks!$I:$I,"Yes"))</f>
        <v/>
      </c>
      <c r="H462" s="6" t="str">
        <f>IF($C462="","",SUMIFS(Chicks!$J:$J,Chicks!$F:$F,$C462,Chicks!$G:$G,$D462))</f>
        <v/>
      </c>
      <c r="I462" s="6" t="str">
        <f>IF($C462="","",COUNTIFS(Chicks!$F:$F,$C462,Chicks!$G:$G,$D462,Chicks!$I:$I,"No"))</f>
        <v/>
      </c>
      <c r="J462" s="6" t="str">
        <f>IF($C462="","",IFERROR(AVERAGEIFS(Chicks!$M:$M,Chicks!$F:$F,$C462,Chicks!$G:$G,$D462),""))</f>
        <v/>
      </c>
      <c r="K462" s="6" t="str">
        <f>IF($C462="","",SUMIFS(Chicks!$N:$N,Chicks!$F:$F,$C462,Chicks!$G:$G,$D462))</f>
        <v/>
      </c>
      <c r="L462" s="6" t="str">
        <f>IF($C462="","",SUMIFS(Chicks!$O:$O,Chicks!$F:$F,$C462,Chicks!$G:$G,$D462))</f>
        <v/>
      </c>
      <c r="M462" s="6" t="str">
        <f>IF($C462="","",SUMIFS(Chicks!$P:$P,Chicks!$F:$F,$C462,Chicks!$G:$G,$D462))</f>
        <v/>
      </c>
      <c r="N462" s="6" t="str">
        <f t="shared" si="5"/>
        <v/>
      </c>
      <c r="O462" s="6" t="e">
        <f t="shared" ca="1" si="6"/>
        <v>#NAME?</v>
      </c>
      <c r="P462" s="6" t="str">
        <f t="shared" si="7"/>
        <v/>
      </c>
    </row>
    <row r="463" spans="1:16" ht="14.25" customHeight="1" x14ac:dyDescent="0.3">
      <c r="A463" s="4"/>
      <c r="B463" s="4"/>
      <c r="C463" s="4" t="str">
        <f t="shared" si="8"/>
        <v/>
      </c>
      <c r="D463" s="4" t="str">
        <f t="shared" si="9"/>
        <v/>
      </c>
      <c r="E463" s="4"/>
      <c r="F463" s="6" t="str">
        <f>IF($C463="","",COUNTIFS(Chicks!$F:$F,$C463,Chicks!$G:$G,$D463))</f>
        <v/>
      </c>
      <c r="G463" s="6" t="str">
        <f>IF($C463="","",COUNTIFS(Chicks!$F:$F,$C463,Chicks!$G:$G,$D463,Chicks!$I:$I,"Yes"))</f>
        <v/>
      </c>
      <c r="H463" s="6" t="str">
        <f>IF($C463="","",SUMIFS(Chicks!$J:$J,Chicks!$F:$F,$C463,Chicks!$G:$G,$D463))</f>
        <v/>
      </c>
      <c r="I463" s="6" t="str">
        <f>IF($C463="","",COUNTIFS(Chicks!$F:$F,$C463,Chicks!$G:$G,$D463,Chicks!$I:$I,"No"))</f>
        <v/>
      </c>
      <c r="J463" s="6" t="str">
        <f>IF($C463="","",IFERROR(AVERAGEIFS(Chicks!$M:$M,Chicks!$F:$F,$C463,Chicks!$G:$G,$D463),""))</f>
        <v/>
      </c>
      <c r="K463" s="6" t="str">
        <f>IF($C463="","",SUMIFS(Chicks!$N:$N,Chicks!$F:$F,$C463,Chicks!$G:$G,$D463))</f>
        <v/>
      </c>
      <c r="L463" s="6" t="str">
        <f>IF($C463="","",SUMIFS(Chicks!$O:$O,Chicks!$F:$F,$C463,Chicks!$G:$G,$D463))</f>
        <v/>
      </c>
      <c r="M463" s="6" t="str">
        <f>IF($C463="","",SUMIFS(Chicks!$P:$P,Chicks!$F:$F,$C463,Chicks!$G:$G,$D463))</f>
        <v/>
      </c>
      <c r="N463" s="6" t="str">
        <f t="shared" si="5"/>
        <v/>
      </c>
      <c r="O463" s="6" t="e">
        <f t="shared" ca="1" si="6"/>
        <v>#NAME?</v>
      </c>
      <c r="P463" s="6" t="str">
        <f t="shared" si="7"/>
        <v/>
      </c>
    </row>
    <row r="464" spans="1:16" ht="14.25" customHeight="1" x14ac:dyDescent="0.3">
      <c r="A464" s="4"/>
      <c r="B464" s="4"/>
      <c r="C464" s="4" t="str">
        <f t="shared" si="8"/>
        <v/>
      </c>
      <c r="D464" s="4" t="str">
        <f t="shared" si="9"/>
        <v/>
      </c>
      <c r="E464" s="4"/>
      <c r="F464" s="6" t="str">
        <f>IF($C464="","",COUNTIFS(Chicks!$F:$F,$C464,Chicks!$G:$G,$D464))</f>
        <v/>
      </c>
      <c r="G464" s="6" t="str">
        <f>IF($C464="","",COUNTIFS(Chicks!$F:$F,$C464,Chicks!$G:$G,$D464,Chicks!$I:$I,"Yes"))</f>
        <v/>
      </c>
      <c r="H464" s="6" t="str">
        <f>IF($C464="","",SUMIFS(Chicks!$J:$J,Chicks!$F:$F,$C464,Chicks!$G:$G,$D464))</f>
        <v/>
      </c>
      <c r="I464" s="6" t="str">
        <f>IF($C464="","",COUNTIFS(Chicks!$F:$F,$C464,Chicks!$G:$G,$D464,Chicks!$I:$I,"No"))</f>
        <v/>
      </c>
      <c r="J464" s="6" t="str">
        <f>IF($C464="","",IFERROR(AVERAGEIFS(Chicks!$M:$M,Chicks!$F:$F,$C464,Chicks!$G:$G,$D464),""))</f>
        <v/>
      </c>
      <c r="K464" s="6" t="str">
        <f>IF($C464="","",SUMIFS(Chicks!$N:$N,Chicks!$F:$F,$C464,Chicks!$G:$G,$D464))</f>
        <v/>
      </c>
      <c r="L464" s="6" t="str">
        <f>IF($C464="","",SUMIFS(Chicks!$O:$O,Chicks!$F:$F,$C464,Chicks!$G:$G,$D464))</f>
        <v/>
      </c>
      <c r="M464" s="6" t="str">
        <f>IF($C464="","",SUMIFS(Chicks!$P:$P,Chicks!$F:$F,$C464,Chicks!$G:$G,$D464))</f>
        <v/>
      </c>
      <c r="N464" s="6" t="str">
        <f t="shared" si="5"/>
        <v/>
      </c>
      <c r="O464" s="6" t="e">
        <f t="shared" ca="1" si="6"/>
        <v>#NAME?</v>
      </c>
      <c r="P464" s="6" t="str">
        <f t="shared" si="7"/>
        <v/>
      </c>
    </row>
    <row r="465" spans="1:16" ht="14.25" customHeight="1" x14ac:dyDescent="0.3">
      <c r="A465" s="4"/>
      <c r="B465" s="4"/>
      <c r="C465" s="4" t="str">
        <f t="shared" si="8"/>
        <v/>
      </c>
      <c r="D465" s="4" t="str">
        <f t="shared" si="9"/>
        <v/>
      </c>
      <c r="E465" s="4"/>
      <c r="F465" s="6" t="str">
        <f>IF($C465="","",COUNTIFS(Chicks!$F:$F,$C465,Chicks!$G:$G,$D465))</f>
        <v/>
      </c>
      <c r="G465" s="6" t="str">
        <f>IF($C465="","",COUNTIFS(Chicks!$F:$F,$C465,Chicks!$G:$G,$D465,Chicks!$I:$I,"Yes"))</f>
        <v/>
      </c>
      <c r="H465" s="6" t="str">
        <f>IF($C465="","",SUMIFS(Chicks!$J:$J,Chicks!$F:$F,$C465,Chicks!$G:$G,$D465))</f>
        <v/>
      </c>
      <c r="I465" s="6" t="str">
        <f>IF($C465="","",COUNTIFS(Chicks!$F:$F,$C465,Chicks!$G:$G,$D465,Chicks!$I:$I,"No"))</f>
        <v/>
      </c>
      <c r="J465" s="6" t="str">
        <f>IF($C465="","",IFERROR(AVERAGEIFS(Chicks!$M:$M,Chicks!$F:$F,$C465,Chicks!$G:$G,$D465),""))</f>
        <v/>
      </c>
      <c r="K465" s="6" t="str">
        <f>IF($C465="","",SUMIFS(Chicks!$N:$N,Chicks!$F:$F,$C465,Chicks!$G:$G,$D465))</f>
        <v/>
      </c>
      <c r="L465" s="6" t="str">
        <f>IF($C465="","",SUMIFS(Chicks!$O:$O,Chicks!$F:$F,$C465,Chicks!$G:$G,$D465))</f>
        <v/>
      </c>
      <c r="M465" s="6" t="str">
        <f>IF($C465="","",SUMIFS(Chicks!$P:$P,Chicks!$F:$F,$C465,Chicks!$G:$G,$D465))</f>
        <v/>
      </c>
      <c r="N465" s="6" t="str">
        <f t="shared" si="5"/>
        <v/>
      </c>
      <c r="O465" s="6" t="e">
        <f t="shared" ca="1" si="6"/>
        <v>#NAME?</v>
      </c>
      <c r="P465" s="6" t="str">
        <f t="shared" si="7"/>
        <v/>
      </c>
    </row>
    <row r="466" spans="1:16" ht="14.25" customHeight="1" x14ac:dyDescent="0.3">
      <c r="A466" s="4"/>
      <c r="B466" s="4"/>
      <c r="C466" s="4" t="str">
        <f t="shared" si="8"/>
        <v/>
      </c>
      <c r="D466" s="4" t="str">
        <f t="shared" si="9"/>
        <v/>
      </c>
      <c r="E466" s="4"/>
      <c r="F466" s="6" t="str">
        <f>IF($C466="","",COUNTIFS(Chicks!$F:$F,$C466,Chicks!$G:$G,$D466))</f>
        <v/>
      </c>
      <c r="G466" s="6" t="str">
        <f>IF($C466="","",COUNTIFS(Chicks!$F:$F,$C466,Chicks!$G:$G,$D466,Chicks!$I:$I,"Yes"))</f>
        <v/>
      </c>
      <c r="H466" s="6" t="str">
        <f>IF($C466="","",SUMIFS(Chicks!$J:$J,Chicks!$F:$F,$C466,Chicks!$G:$G,$D466))</f>
        <v/>
      </c>
      <c r="I466" s="6" t="str">
        <f>IF($C466="","",COUNTIFS(Chicks!$F:$F,$C466,Chicks!$G:$G,$D466,Chicks!$I:$I,"No"))</f>
        <v/>
      </c>
      <c r="J466" s="6" t="str">
        <f>IF($C466="","",IFERROR(AVERAGEIFS(Chicks!$M:$M,Chicks!$F:$F,$C466,Chicks!$G:$G,$D466),""))</f>
        <v/>
      </c>
      <c r="K466" s="6" t="str">
        <f>IF($C466="","",SUMIFS(Chicks!$N:$N,Chicks!$F:$F,$C466,Chicks!$G:$G,$D466))</f>
        <v/>
      </c>
      <c r="L466" s="6" t="str">
        <f>IF($C466="","",SUMIFS(Chicks!$O:$O,Chicks!$F:$F,$C466,Chicks!$G:$G,$D466))</f>
        <v/>
      </c>
      <c r="M466" s="6" t="str">
        <f>IF($C466="","",SUMIFS(Chicks!$P:$P,Chicks!$F:$F,$C466,Chicks!$G:$G,$D466))</f>
        <v/>
      </c>
      <c r="N466" s="6" t="str">
        <f t="shared" si="5"/>
        <v/>
      </c>
      <c r="O466" s="6" t="e">
        <f t="shared" ca="1" si="6"/>
        <v>#NAME?</v>
      </c>
      <c r="P466" s="6" t="str">
        <f t="shared" si="7"/>
        <v/>
      </c>
    </row>
    <row r="467" spans="1:16" ht="14.25" customHeight="1" x14ac:dyDescent="0.3">
      <c r="A467" s="4"/>
      <c r="B467" s="4"/>
      <c r="C467" s="4" t="str">
        <f t="shared" si="8"/>
        <v/>
      </c>
      <c r="D467" s="4" t="str">
        <f t="shared" si="9"/>
        <v/>
      </c>
      <c r="E467" s="4"/>
      <c r="F467" s="6" t="str">
        <f>IF($C467="","",COUNTIFS(Chicks!$F:$F,$C467,Chicks!$G:$G,$D467))</f>
        <v/>
      </c>
      <c r="G467" s="6" t="str">
        <f>IF($C467="","",COUNTIFS(Chicks!$F:$F,$C467,Chicks!$G:$G,$D467,Chicks!$I:$I,"Yes"))</f>
        <v/>
      </c>
      <c r="H467" s="6" t="str">
        <f>IF($C467="","",SUMIFS(Chicks!$J:$J,Chicks!$F:$F,$C467,Chicks!$G:$G,$D467))</f>
        <v/>
      </c>
      <c r="I467" s="6" t="str">
        <f>IF($C467="","",COUNTIFS(Chicks!$F:$F,$C467,Chicks!$G:$G,$D467,Chicks!$I:$I,"No"))</f>
        <v/>
      </c>
      <c r="J467" s="6" t="str">
        <f>IF($C467="","",IFERROR(AVERAGEIFS(Chicks!$M:$M,Chicks!$F:$F,$C467,Chicks!$G:$G,$D467),""))</f>
        <v/>
      </c>
      <c r="K467" s="6" t="str">
        <f>IF($C467="","",SUMIFS(Chicks!$N:$N,Chicks!$F:$F,$C467,Chicks!$G:$G,$D467))</f>
        <v/>
      </c>
      <c r="L467" s="6" t="str">
        <f>IF($C467="","",SUMIFS(Chicks!$O:$O,Chicks!$F:$F,$C467,Chicks!$G:$G,$D467))</f>
        <v/>
      </c>
      <c r="M467" s="6" t="str">
        <f>IF($C467="","",SUMIFS(Chicks!$P:$P,Chicks!$F:$F,$C467,Chicks!$G:$G,$D467))</f>
        <v/>
      </c>
      <c r="N467" s="6" t="str">
        <f t="shared" si="5"/>
        <v/>
      </c>
      <c r="O467" s="6" t="e">
        <f t="shared" ca="1" si="6"/>
        <v>#NAME?</v>
      </c>
      <c r="P467" s="6" t="str">
        <f t="shared" si="7"/>
        <v/>
      </c>
    </row>
    <row r="468" spans="1:16" ht="14.25" customHeight="1" x14ac:dyDescent="0.3">
      <c r="A468" s="4"/>
      <c r="B468" s="4"/>
      <c r="C468" s="4" t="str">
        <f t="shared" si="8"/>
        <v/>
      </c>
      <c r="D468" s="4" t="str">
        <f t="shared" si="9"/>
        <v/>
      </c>
      <c r="E468" s="4"/>
      <c r="F468" s="6" t="str">
        <f>IF($C468="","",COUNTIFS(Chicks!$F:$F,$C468,Chicks!$G:$G,$D468))</f>
        <v/>
      </c>
      <c r="G468" s="6" t="str">
        <f>IF($C468="","",COUNTIFS(Chicks!$F:$F,$C468,Chicks!$G:$G,$D468,Chicks!$I:$I,"Yes"))</f>
        <v/>
      </c>
      <c r="H468" s="6" t="str">
        <f>IF($C468="","",SUMIFS(Chicks!$J:$J,Chicks!$F:$F,$C468,Chicks!$G:$G,$D468))</f>
        <v/>
      </c>
      <c r="I468" s="6" t="str">
        <f>IF($C468="","",COUNTIFS(Chicks!$F:$F,$C468,Chicks!$G:$G,$D468,Chicks!$I:$I,"No"))</f>
        <v/>
      </c>
      <c r="J468" s="6" t="str">
        <f>IF($C468="","",IFERROR(AVERAGEIFS(Chicks!$M:$M,Chicks!$F:$F,$C468,Chicks!$G:$G,$D468),""))</f>
        <v/>
      </c>
      <c r="K468" s="6" t="str">
        <f>IF($C468="","",SUMIFS(Chicks!$N:$N,Chicks!$F:$F,$C468,Chicks!$G:$G,$D468))</f>
        <v/>
      </c>
      <c r="L468" s="6" t="str">
        <f>IF($C468="","",SUMIFS(Chicks!$O:$O,Chicks!$F:$F,$C468,Chicks!$G:$G,$D468))</f>
        <v/>
      </c>
      <c r="M468" s="6" t="str">
        <f>IF($C468="","",SUMIFS(Chicks!$P:$P,Chicks!$F:$F,$C468,Chicks!$G:$G,$D468))</f>
        <v/>
      </c>
      <c r="N468" s="6" t="str">
        <f t="shared" si="5"/>
        <v/>
      </c>
      <c r="O468" s="6" t="e">
        <f t="shared" ca="1" si="6"/>
        <v>#NAME?</v>
      </c>
      <c r="P468" s="6" t="str">
        <f t="shared" si="7"/>
        <v/>
      </c>
    </row>
    <row r="469" spans="1:16" ht="14.25" customHeight="1" x14ac:dyDescent="0.3">
      <c r="A469" s="4"/>
      <c r="B469" s="4"/>
      <c r="C469" s="4" t="str">
        <f t="shared" si="8"/>
        <v/>
      </c>
      <c r="D469" s="4" t="str">
        <f t="shared" si="9"/>
        <v/>
      </c>
      <c r="E469" s="4"/>
      <c r="F469" s="6" t="str">
        <f>IF($C469="","",COUNTIFS(Chicks!$F:$F,$C469,Chicks!$G:$G,$D469))</f>
        <v/>
      </c>
      <c r="G469" s="6" t="str">
        <f>IF($C469="","",COUNTIFS(Chicks!$F:$F,$C469,Chicks!$G:$G,$D469,Chicks!$I:$I,"Yes"))</f>
        <v/>
      </c>
      <c r="H469" s="6" t="str">
        <f>IF($C469="","",SUMIFS(Chicks!$J:$J,Chicks!$F:$F,$C469,Chicks!$G:$G,$D469))</f>
        <v/>
      </c>
      <c r="I469" s="6" t="str">
        <f>IF($C469="","",COUNTIFS(Chicks!$F:$F,$C469,Chicks!$G:$G,$D469,Chicks!$I:$I,"No"))</f>
        <v/>
      </c>
      <c r="J469" s="6" t="str">
        <f>IF($C469="","",IFERROR(AVERAGEIFS(Chicks!$M:$M,Chicks!$F:$F,$C469,Chicks!$G:$G,$D469),""))</f>
        <v/>
      </c>
      <c r="K469" s="6" t="str">
        <f>IF($C469="","",SUMIFS(Chicks!$N:$N,Chicks!$F:$F,$C469,Chicks!$G:$G,$D469))</f>
        <v/>
      </c>
      <c r="L469" s="6" t="str">
        <f>IF($C469="","",SUMIFS(Chicks!$O:$O,Chicks!$F:$F,$C469,Chicks!$G:$G,$D469))</f>
        <v/>
      </c>
      <c r="M469" s="6" t="str">
        <f>IF($C469="","",SUMIFS(Chicks!$P:$P,Chicks!$F:$F,$C469,Chicks!$G:$G,$D469))</f>
        <v/>
      </c>
      <c r="N469" s="6" t="str">
        <f t="shared" si="5"/>
        <v/>
      </c>
      <c r="O469" s="6" t="e">
        <f t="shared" ca="1" si="6"/>
        <v>#NAME?</v>
      </c>
      <c r="P469" s="6" t="str">
        <f t="shared" si="7"/>
        <v/>
      </c>
    </row>
    <row r="470" spans="1:16" ht="14.25" customHeight="1" x14ac:dyDescent="0.3">
      <c r="A470" s="4"/>
      <c r="B470" s="4"/>
      <c r="C470" s="4" t="str">
        <f t="shared" si="8"/>
        <v/>
      </c>
      <c r="D470" s="4" t="str">
        <f t="shared" si="9"/>
        <v/>
      </c>
      <c r="E470" s="4"/>
      <c r="F470" s="6" t="str">
        <f>IF($C470="","",COUNTIFS(Chicks!$F:$F,$C470,Chicks!$G:$G,$D470))</f>
        <v/>
      </c>
      <c r="G470" s="6" t="str">
        <f>IF($C470="","",COUNTIFS(Chicks!$F:$F,$C470,Chicks!$G:$G,$D470,Chicks!$I:$I,"Yes"))</f>
        <v/>
      </c>
      <c r="H470" s="6" t="str">
        <f>IF($C470="","",SUMIFS(Chicks!$J:$J,Chicks!$F:$F,$C470,Chicks!$G:$G,$D470))</f>
        <v/>
      </c>
      <c r="I470" s="6" t="str">
        <f>IF($C470="","",COUNTIFS(Chicks!$F:$F,$C470,Chicks!$G:$G,$D470,Chicks!$I:$I,"No"))</f>
        <v/>
      </c>
      <c r="J470" s="6" t="str">
        <f>IF($C470="","",IFERROR(AVERAGEIFS(Chicks!$M:$M,Chicks!$F:$F,$C470,Chicks!$G:$G,$D470),""))</f>
        <v/>
      </c>
      <c r="K470" s="6" t="str">
        <f>IF($C470="","",SUMIFS(Chicks!$N:$N,Chicks!$F:$F,$C470,Chicks!$G:$G,$D470))</f>
        <v/>
      </c>
      <c r="L470" s="6" t="str">
        <f>IF($C470="","",SUMIFS(Chicks!$O:$O,Chicks!$F:$F,$C470,Chicks!$G:$G,$D470))</f>
        <v/>
      </c>
      <c r="M470" s="6" t="str">
        <f>IF($C470="","",SUMIFS(Chicks!$P:$P,Chicks!$F:$F,$C470,Chicks!$G:$G,$D470))</f>
        <v/>
      </c>
      <c r="N470" s="6" t="str">
        <f t="shared" si="5"/>
        <v/>
      </c>
      <c r="O470" s="6" t="e">
        <f t="shared" ca="1" si="6"/>
        <v>#NAME?</v>
      </c>
      <c r="P470" s="6" t="str">
        <f t="shared" si="7"/>
        <v/>
      </c>
    </row>
    <row r="471" spans="1:16" ht="14.25" customHeight="1" x14ac:dyDescent="0.3">
      <c r="A471" s="4"/>
      <c r="B471" s="4"/>
      <c r="C471" s="4" t="str">
        <f t="shared" si="8"/>
        <v/>
      </c>
      <c r="D471" s="4" t="str">
        <f t="shared" si="9"/>
        <v/>
      </c>
      <c r="E471" s="4"/>
      <c r="F471" s="6" t="str">
        <f>IF($C471="","",COUNTIFS(Chicks!$F:$F,$C471,Chicks!$G:$G,$D471))</f>
        <v/>
      </c>
      <c r="G471" s="6" t="str">
        <f>IF($C471="","",COUNTIFS(Chicks!$F:$F,$C471,Chicks!$G:$G,$D471,Chicks!$I:$I,"Yes"))</f>
        <v/>
      </c>
      <c r="H471" s="6" t="str">
        <f>IF($C471="","",SUMIFS(Chicks!$J:$J,Chicks!$F:$F,$C471,Chicks!$G:$G,$D471))</f>
        <v/>
      </c>
      <c r="I471" s="6" t="str">
        <f>IF($C471="","",COUNTIFS(Chicks!$F:$F,$C471,Chicks!$G:$G,$D471,Chicks!$I:$I,"No"))</f>
        <v/>
      </c>
      <c r="J471" s="6" t="str">
        <f>IF($C471="","",IFERROR(AVERAGEIFS(Chicks!$M:$M,Chicks!$F:$F,$C471,Chicks!$G:$G,$D471),""))</f>
        <v/>
      </c>
      <c r="K471" s="6" t="str">
        <f>IF($C471="","",SUMIFS(Chicks!$N:$N,Chicks!$F:$F,$C471,Chicks!$G:$G,$D471))</f>
        <v/>
      </c>
      <c r="L471" s="6" t="str">
        <f>IF($C471="","",SUMIFS(Chicks!$O:$O,Chicks!$F:$F,$C471,Chicks!$G:$G,$D471))</f>
        <v/>
      </c>
      <c r="M471" s="6" t="str">
        <f>IF($C471="","",SUMIFS(Chicks!$P:$P,Chicks!$F:$F,$C471,Chicks!$G:$G,$D471))</f>
        <v/>
      </c>
      <c r="N471" s="6" t="str">
        <f t="shared" si="5"/>
        <v/>
      </c>
      <c r="O471" s="6" t="e">
        <f t="shared" ca="1" si="6"/>
        <v>#NAME?</v>
      </c>
      <c r="P471" s="6" t="str">
        <f t="shared" si="7"/>
        <v/>
      </c>
    </row>
    <row r="472" spans="1:16" ht="14.25" customHeight="1" x14ac:dyDescent="0.3">
      <c r="A472" s="4"/>
      <c r="B472" s="4"/>
      <c r="C472" s="4" t="str">
        <f t="shared" si="8"/>
        <v/>
      </c>
      <c r="D472" s="4" t="str">
        <f t="shared" si="9"/>
        <v/>
      </c>
      <c r="E472" s="4"/>
      <c r="F472" s="6" t="str">
        <f>IF($C472="","",COUNTIFS(Chicks!$F:$F,$C472,Chicks!$G:$G,$D472))</f>
        <v/>
      </c>
      <c r="G472" s="6" t="str">
        <f>IF($C472="","",COUNTIFS(Chicks!$F:$F,$C472,Chicks!$G:$G,$D472,Chicks!$I:$I,"Yes"))</f>
        <v/>
      </c>
      <c r="H472" s="6" t="str">
        <f>IF($C472="","",SUMIFS(Chicks!$J:$J,Chicks!$F:$F,$C472,Chicks!$G:$G,$D472))</f>
        <v/>
      </c>
      <c r="I472" s="6" t="str">
        <f>IF($C472="","",COUNTIFS(Chicks!$F:$F,$C472,Chicks!$G:$G,$D472,Chicks!$I:$I,"No"))</f>
        <v/>
      </c>
      <c r="J472" s="6" t="str">
        <f>IF($C472="","",IFERROR(AVERAGEIFS(Chicks!$M:$M,Chicks!$F:$F,$C472,Chicks!$G:$G,$D472),""))</f>
        <v/>
      </c>
      <c r="K472" s="6" t="str">
        <f>IF($C472="","",SUMIFS(Chicks!$N:$N,Chicks!$F:$F,$C472,Chicks!$G:$G,$D472))</f>
        <v/>
      </c>
      <c r="L472" s="6" t="str">
        <f>IF($C472="","",SUMIFS(Chicks!$O:$O,Chicks!$F:$F,$C472,Chicks!$G:$G,$D472))</f>
        <v/>
      </c>
      <c r="M472" s="6" t="str">
        <f>IF($C472="","",SUMIFS(Chicks!$P:$P,Chicks!$F:$F,$C472,Chicks!$G:$G,$D472))</f>
        <v/>
      </c>
      <c r="N472" s="6" t="str">
        <f t="shared" si="5"/>
        <v/>
      </c>
      <c r="O472" s="6" t="e">
        <f t="shared" ca="1" si="6"/>
        <v>#NAME?</v>
      </c>
      <c r="P472" s="6" t="str">
        <f t="shared" si="7"/>
        <v/>
      </c>
    </row>
    <row r="473" spans="1:16" ht="14.25" customHeight="1" x14ac:dyDescent="0.3">
      <c r="A473" s="4"/>
      <c r="B473" s="4"/>
      <c r="C473" s="4" t="str">
        <f t="shared" si="8"/>
        <v/>
      </c>
      <c r="D473" s="4" t="str">
        <f t="shared" si="9"/>
        <v/>
      </c>
      <c r="E473" s="4"/>
      <c r="F473" s="6" t="str">
        <f>IF($C473="","",COUNTIFS(Chicks!$F:$F,$C473,Chicks!$G:$G,$D473))</f>
        <v/>
      </c>
      <c r="G473" s="6" t="str">
        <f>IF($C473="","",COUNTIFS(Chicks!$F:$F,$C473,Chicks!$G:$G,$D473,Chicks!$I:$I,"Yes"))</f>
        <v/>
      </c>
      <c r="H473" s="6" t="str">
        <f>IF($C473="","",SUMIFS(Chicks!$J:$J,Chicks!$F:$F,$C473,Chicks!$G:$G,$D473))</f>
        <v/>
      </c>
      <c r="I473" s="6" t="str">
        <f>IF($C473="","",COUNTIFS(Chicks!$F:$F,$C473,Chicks!$G:$G,$D473,Chicks!$I:$I,"No"))</f>
        <v/>
      </c>
      <c r="J473" s="6" t="str">
        <f>IF($C473="","",IFERROR(AVERAGEIFS(Chicks!$M:$M,Chicks!$F:$F,$C473,Chicks!$G:$G,$D473),""))</f>
        <v/>
      </c>
      <c r="K473" s="6" t="str">
        <f>IF($C473="","",SUMIFS(Chicks!$N:$N,Chicks!$F:$F,$C473,Chicks!$G:$G,$D473))</f>
        <v/>
      </c>
      <c r="L473" s="6" t="str">
        <f>IF($C473="","",SUMIFS(Chicks!$O:$O,Chicks!$F:$F,$C473,Chicks!$G:$G,$D473))</f>
        <v/>
      </c>
      <c r="M473" s="6" t="str">
        <f>IF($C473="","",SUMIFS(Chicks!$P:$P,Chicks!$F:$F,$C473,Chicks!$G:$G,$D473))</f>
        <v/>
      </c>
      <c r="N473" s="6" t="str">
        <f t="shared" si="5"/>
        <v/>
      </c>
      <c r="O473" s="6" t="e">
        <f t="shared" ca="1" si="6"/>
        <v>#NAME?</v>
      </c>
      <c r="P473" s="6" t="str">
        <f t="shared" si="7"/>
        <v/>
      </c>
    </row>
    <row r="474" spans="1:16" ht="14.25" customHeight="1" x14ac:dyDescent="0.3">
      <c r="A474" s="4"/>
      <c r="B474" s="4"/>
      <c r="C474" s="4" t="str">
        <f t="shared" si="8"/>
        <v/>
      </c>
      <c r="D474" s="4" t="str">
        <f t="shared" si="9"/>
        <v/>
      </c>
      <c r="E474" s="4"/>
      <c r="F474" s="6" t="str">
        <f>IF($C474="","",COUNTIFS(Chicks!$F:$F,$C474,Chicks!$G:$G,$D474))</f>
        <v/>
      </c>
      <c r="G474" s="6" t="str">
        <f>IF($C474="","",COUNTIFS(Chicks!$F:$F,$C474,Chicks!$G:$G,$D474,Chicks!$I:$I,"Yes"))</f>
        <v/>
      </c>
      <c r="H474" s="6" t="str">
        <f>IF($C474="","",SUMIFS(Chicks!$J:$J,Chicks!$F:$F,$C474,Chicks!$G:$G,$D474))</f>
        <v/>
      </c>
      <c r="I474" s="6" t="str">
        <f>IF($C474="","",COUNTIFS(Chicks!$F:$F,$C474,Chicks!$G:$G,$D474,Chicks!$I:$I,"No"))</f>
        <v/>
      </c>
      <c r="J474" s="6" t="str">
        <f>IF($C474="","",IFERROR(AVERAGEIFS(Chicks!$M:$M,Chicks!$F:$F,$C474,Chicks!$G:$G,$D474),""))</f>
        <v/>
      </c>
      <c r="K474" s="6" t="str">
        <f>IF($C474="","",SUMIFS(Chicks!$N:$N,Chicks!$F:$F,$C474,Chicks!$G:$G,$D474))</f>
        <v/>
      </c>
      <c r="L474" s="6" t="str">
        <f>IF($C474="","",SUMIFS(Chicks!$O:$O,Chicks!$F:$F,$C474,Chicks!$G:$G,$D474))</f>
        <v/>
      </c>
      <c r="M474" s="6" t="str">
        <f>IF($C474="","",SUMIFS(Chicks!$P:$P,Chicks!$F:$F,$C474,Chicks!$G:$G,$D474))</f>
        <v/>
      </c>
      <c r="N474" s="6" t="str">
        <f t="shared" si="5"/>
        <v/>
      </c>
      <c r="O474" s="6" t="e">
        <f t="shared" ca="1" si="6"/>
        <v>#NAME?</v>
      </c>
      <c r="P474" s="6" t="str">
        <f t="shared" si="7"/>
        <v/>
      </c>
    </row>
    <row r="475" spans="1:16" ht="14.25" customHeight="1" x14ac:dyDescent="0.3">
      <c r="A475" s="4"/>
      <c r="B475" s="4"/>
      <c r="C475" s="4" t="str">
        <f t="shared" si="8"/>
        <v/>
      </c>
      <c r="D475" s="4" t="str">
        <f t="shared" si="9"/>
        <v/>
      </c>
      <c r="E475" s="4"/>
      <c r="F475" s="6" t="str">
        <f>IF($C475="","",COUNTIFS(Chicks!$F:$F,$C475,Chicks!$G:$G,$D475))</f>
        <v/>
      </c>
      <c r="G475" s="6" t="str">
        <f>IF($C475="","",COUNTIFS(Chicks!$F:$F,$C475,Chicks!$G:$G,$D475,Chicks!$I:$I,"Yes"))</f>
        <v/>
      </c>
      <c r="H475" s="6" t="str">
        <f>IF($C475="","",SUMIFS(Chicks!$J:$J,Chicks!$F:$F,$C475,Chicks!$G:$G,$D475))</f>
        <v/>
      </c>
      <c r="I475" s="6" t="str">
        <f>IF($C475="","",COUNTIFS(Chicks!$F:$F,$C475,Chicks!$G:$G,$D475,Chicks!$I:$I,"No"))</f>
        <v/>
      </c>
      <c r="J475" s="6" t="str">
        <f>IF($C475="","",IFERROR(AVERAGEIFS(Chicks!$M:$M,Chicks!$F:$F,$C475,Chicks!$G:$G,$D475),""))</f>
        <v/>
      </c>
      <c r="K475" s="6" t="str">
        <f>IF($C475="","",SUMIFS(Chicks!$N:$N,Chicks!$F:$F,$C475,Chicks!$G:$G,$D475))</f>
        <v/>
      </c>
      <c r="L475" s="6" t="str">
        <f>IF($C475="","",SUMIFS(Chicks!$O:$O,Chicks!$F:$F,$C475,Chicks!$G:$G,$D475))</f>
        <v/>
      </c>
      <c r="M475" s="6" t="str">
        <f>IF($C475="","",SUMIFS(Chicks!$P:$P,Chicks!$F:$F,$C475,Chicks!$G:$G,$D475))</f>
        <v/>
      </c>
      <c r="N475" s="6" t="str">
        <f t="shared" si="5"/>
        <v/>
      </c>
      <c r="O475" s="6" t="e">
        <f t="shared" ca="1" si="6"/>
        <v>#NAME?</v>
      </c>
      <c r="P475" s="6" t="str">
        <f t="shared" si="7"/>
        <v/>
      </c>
    </row>
    <row r="476" spans="1:16" ht="14.25" customHeight="1" x14ac:dyDescent="0.3">
      <c r="A476" s="4"/>
      <c r="B476" s="4"/>
      <c r="C476" s="4" t="str">
        <f t="shared" si="8"/>
        <v/>
      </c>
      <c r="D476" s="4" t="str">
        <f t="shared" si="9"/>
        <v/>
      </c>
      <c r="E476" s="4"/>
      <c r="F476" s="6" t="str">
        <f>IF($C476="","",COUNTIFS(Chicks!$F:$F,$C476,Chicks!$G:$G,$D476))</f>
        <v/>
      </c>
      <c r="G476" s="6" t="str">
        <f>IF($C476="","",COUNTIFS(Chicks!$F:$F,$C476,Chicks!$G:$G,$D476,Chicks!$I:$I,"Yes"))</f>
        <v/>
      </c>
      <c r="H476" s="6" t="str">
        <f>IF($C476="","",SUMIFS(Chicks!$J:$J,Chicks!$F:$F,$C476,Chicks!$G:$G,$D476))</f>
        <v/>
      </c>
      <c r="I476" s="6" t="str">
        <f>IF($C476="","",COUNTIFS(Chicks!$F:$F,$C476,Chicks!$G:$G,$D476,Chicks!$I:$I,"No"))</f>
        <v/>
      </c>
      <c r="J476" s="6" t="str">
        <f>IF($C476="","",IFERROR(AVERAGEIFS(Chicks!$M:$M,Chicks!$F:$F,$C476,Chicks!$G:$G,$D476),""))</f>
        <v/>
      </c>
      <c r="K476" s="6" t="str">
        <f>IF($C476="","",SUMIFS(Chicks!$N:$N,Chicks!$F:$F,$C476,Chicks!$G:$G,$D476))</f>
        <v/>
      </c>
      <c r="L476" s="6" t="str">
        <f>IF($C476="","",SUMIFS(Chicks!$O:$O,Chicks!$F:$F,$C476,Chicks!$G:$G,$D476))</f>
        <v/>
      </c>
      <c r="M476" s="6" t="str">
        <f>IF($C476="","",SUMIFS(Chicks!$P:$P,Chicks!$F:$F,$C476,Chicks!$G:$G,$D476))</f>
        <v/>
      </c>
      <c r="N476" s="6" t="str">
        <f t="shared" si="5"/>
        <v/>
      </c>
      <c r="O476" s="6" t="e">
        <f t="shared" ca="1" si="6"/>
        <v>#NAME?</v>
      </c>
      <c r="P476" s="6" t="str">
        <f t="shared" si="7"/>
        <v/>
      </c>
    </row>
    <row r="477" spans="1:16" ht="14.25" customHeight="1" x14ac:dyDescent="0.3">
      <c r="A477" s="4"/>
      <c r="B477" s="4"/>
      <c r="C477" s="4" t="str">
        <f t="shared" si="8"/>
        <v/>
      </c>
      <c r="D477" s="4" t="str">
        <f t="shared" si="9"/>
        <v/>
      </c>
      <c r="E477" s="4"/>
      <c r="F477" s="6" t="str">
        <f>IF($C477="","",COUNTIFS(Chicks!$F:$F,$C477,Chicks!$G:$G,$D477))</f>
        <v/>
      </c>
      <c r="G477" s="6" t="str">
        <f>IF($C477="","",COUNTIFS(Chicks!$F:$F,$C477,Chicks!$G:$G,$D477,Chicks!$I:$I,"Yes"))</f>
        <v/>
      </c>
      <c r="H477" s="6" t="str">
        <f>IF($C477="","",SUMIFS(Chicks!$J:$J,Chicks!$F:$F,$C477,Chicks!$G:$G,$D477))</f>
        <v/>
      </c>
      <c r="I477" s="6" t="str">
        <f>IF($C477="","",COUNTIFS(Chicks!$F:$F,$C477,Chicks!$G:$G,$D477,Chicks!$I:$I,"No"))</f>
        <v/>
      </c>
      <c r="J477" s="6" t="str">
        <f>IF($C477="","",IFERROR(AVERAGEIFS(Chicks!$M:$M,Chicks!$F:$F,$C477,Chicks!$G:$G,$D477),""))</f>
        <v/>
      </c>
      <c r="K477" s="6" t="str">
        <f>IF($C477="","",SUMIFS(Chicks!$N:$N,Chicks!$F:$F,$C477,Chicks!$G:$G,$D477))</f>
        <v/>
      </c>
      <c r="L477" s="6" t="str">
        <f>IF($C477="","",SUMIFS(Chicks!$O:$O,Chicks!$F:$F,$C477,Chicks!$G:$G,$D477))</f>
        <v/>
      </c>
      <c r="M477" s="6" t="str">
        <f>IF($C477="","",SUMIFS(Chicks!$P:$P,Chicks!$F:$F,$C477,Chicks!$G:$G,$D477))</f>
        <v/>
      </c>
      <c r="N477" s="6" t="str">
        <f t="shared" si="5"/>
        <v/>
      </c>
      <c r="O477" s="6" t="e">
        <f t="shared" ca="1" si="6"/>
        <v>#NAME?</v>
      </c>
      <c r="P477" s="6" t="str">
        <f t="shared" si="7"/>
        <v/>
      </c>
    </row>
    <row r="478" spans="1:16" ht="14.25" customHeight="1" x14ac:dyDescent="0.3">
      <c r="A478" s="4"/>
      <c r="B478" s="4"/>
      <c r="C478" s="4" t="str">
        <f t="shared" si="8"/>
        <v/>
      </c>
      <c r="D478" s="4" t="str">
        <f t="shared" si="9"/>
        <v/>
      </c>
      <c r="E478" s="4"/>
      <c r="F478" s="6" t="str">
        <f>IF($C478="","",COUNTIFS(Chicks!$F:$F,$C478,Chicks!$G:$G,$D478))</f>
        <v/>
      </c>
      <c r="G478" s="6" t="str">
        <f>IF($C478="","",COUNTIFS(Chicks!$F:$F,$C478,Chicks!$G:$G,$D478,Chicks!$I:$I,"Yes"))</f>
        <v/>
      </c>
      <c r="H478" s="6" t="str">
        <f>IF($C478="","",SUMIFS(Chicks!$J:$J,Chicks!$F:$F,$C478,Chicks!$G:$G,$D478))</f>
        <v/>
      </c>
      <c r="I478" s="6" t="str">
        <f>IF($C478="","",COUNTIFS(Chicks!$F:$F,$C478,Chicks!$G:$G,$D478,Chicks!$I:$I,"No"))</f>
        <v/>
      </c>
      <c r="J478" s="6" t="str">
        <f>IF($C478="","",IFERROR(AVERAGEIFS(Chicks!$M:$M,Chicks!$F:$F,$C478,Chicks!$G:$G,$D478),""))</f>
        <v/>
      </c>
      <c r="K478" s="6" t="str">
        <f>IF($C478="","",SUMIFS(Chicks!$N:$N,Chicks!$F:$F,$C478,Chicks!$G:$G,$D478))</f>
        <v/>
      </c>
      <c r="L478" s="6" t="str">
        <f>IF($C478="","",SUMIFS(Chicks!$O:$O,Chicks!$F:$F,$C478,Chicks!$G:$G,$D478))</f>
        <v/>
      </c>
      <c r="M478" s="6" t="str">
        <f>IF($C478="","",SUMIFS(Chicks!$P:$P,Chicks!$F:$F,$C478,Chicks!$G:$G,$D478))</f>
        <v/>
      </c>
      <c r="N478" s="6" t="str">
        <f t="shared" si="5"/>
        <v/>
      </c>
      <c r="O478" s="6" t="e">
        <f t="shared" ca="1" si="6"/>
        <v>#NAME?</v>
      </c>
      <c r="P478" s="6" t="str">
        <f t="shared" si="7"/>
        <v/>
      </c>
    </row>
    <row r="479" spans="1:16" ht="14.25" customHeight="1" x14ac:dyDescent="0.3">
      <c r="A479" s="4"/>
      <c r="B479" s="4"/>
      <c r="C479" s="4" t="str">
        <f t="shared" si="8"/>
        <v/>
      </c>
      <c r="D479" s="4" t="str">
        <f t="shared" si="9"/>
        <v/>
      </c>
      <c r="E479" s="4"/>
      <c r="F479" s="6" t="str">
        <f>IF($C479="","",COUNTIFS(Chicks!$F:$F,$C479,Chicks!$G:$G,$D479))</f>
        <v/>
      </c>
      <c r="G479" s="6" t="str">
        <f>IF($C479="","",COUNTIFS(Chicks!$F:$F,$C479,Chicks!$G:$G,$D479,Chicks!$I:$I,"Yes"))</f>
        <v/>
      </c>
      <c r="H479" s="6" t="str">
        <f>IF($C479="","",SUMIFS(Chicks!$J:$J,Chicks!$F:$F,$C479,Chicks!$G:$G,$D479))</f>
        <v/>
      </c>
      <c r="I479" s="6" t="str">
        <f>IF($C479="","",COUNTIFS(Chicks!$F:$F,$C479,Chicks!$G:$G,$D479,Chicks!$I:$I,"No"))</f>
        <v/>
      </c>
      <c r="J479" s="6" t="str">
        <f>IF($C479="","",IFERROR(AVERAGEIFS(Chicks!$M:$M,Chicks!$F:$F,$C479,Chicks!$G:$G,$D479),""))</f>
        <v/>
      </c>
      <c r="K479" s="6" t="str">
        <f>IF($C479="","",SUMIFS(Chicks!$N:$N,Chicks!$F:$F,$C479,Chicks!$G:$G,$D479))</f>
        <v/>
      </c>
      <c r="L479" s="6" t="str">
        <f>IF($C479="","",SUMIFS(Chicks!$O:$O,Chicks!$F:$F,$C479,Chicks!$G:$G,$D479))</f>
        <v/>
      </c>
      <c r="M479" s="6" t="str">
        <f>IF($C479="","",SUMIFS(Chicks!$P:$P,Chicks!$F:$F,$C479,Chicks!$G:$G,$D479))</f>
        <v/>
      </c>
      <c r="N479" s="6" t="str">
        <f t="shared" si="5"/>
        <v/>
      </c>
      <c r="O479" s="6" t="e">
        <f t="shared" ca="1" si="6"/>
        <v>#NAME?</v>
      </c>
      <c r="P479" s="6" t="str">
        <f t="shared" si="7"/>
        <v/>
      </c>
    </row>
    <row r="480" spans="1:16" ht="14.25" customHeight="1" x14ac:dyDescent="0.3">
      <c r="A480" s="4"/>
      <c r="B480" s="4"/>
      <c r="C480" s="4" t="str">
        <f t="shared" si="8"/>
        <v/>
      </c>
      <c r="D480" s="4" t="str">
        <f t="shared" si="9"/>
        <v/>
      </c>
      <c r="E480" s="4"/>
      <c r="F480" s="6" t="str">
        <f>IF($C480="","",COUNTIFS(Chicks!$F:$F,$C480,Chicks!$G:$G,$D480))</f>
        <v/>
      </c>
      <c r="G480" s="6" t="str">
        <f>IF($C480="","",COUNTIFS(Chicks!$F:$F,$C480,Chicks!$G:$G,$D480,Chicks!$I:$I,"Yes"))</f>
        <v/>
      </c>
      <c r="H480" s="6" t="str">
        <f>IF($C480="","",SUMIFS(Chicks!$J:$J,Chicks!$F:$F,$C480,Chicks!$G:$G,$D480))</f>
        <v/>
      </c>
      <c r="I480" s="6" t="str">
        <f>IF($C480="","",COUNTIFS(Chicks!$F:$F,$C480,Chicks!$G:$G,$D480,Chicks!$I:$I,"No"))</f>
        <v/>
      </c>
      <c r="J480" s="6" t="str">
        <f>IF($C480="","",IFERROR(AVERAGEIFS(Chicks!$M:$M,Chicks!$F:$F,$C480,Chicks!$G:$G,$D480),""))</f>
        <v/>
      </c>
      <c r="K480" s="6" t="str">
        <f>IF($C480="","",SUMIFS(Chicks!$N:$N,Chicks!$F:$F,$C480,Chicks!$G:$G,$D480))</f>
        <v/>
      </c>
      <c r="L480" s="6" t="str">
        <f>IF($C480="","",SUMIFS(Chicks!$O:$O,Chicks!$F:$F,$C480,Chicks!$G:$G,$D480))</f>
        <v/>
      </c>
      <c r="M480" s="6" t="str">
        <f>IF($C480="","",SUMIFS(Chicks!$P:$P,Chicks!$F:$F,$C480,Chicks!$G:$G,$D480))</f>
        <v/>
      </c>
      <c r="N480" s="6" t="str">
        <f t="shared" si="5"/>
        <v/>
      </c>
      <c r="O480" s="6" t="e">
        <f t="shared" ca="1" si="6"/>
        <v>#NAME?</v>
      </c>
      <c r="P480" s="6" t="str">
        <f t="shared" si="7"/>
        <v/>
      </c>
    </row>
    <row r="481" spans="1:16" ht="14.25" customHeight="1" x14ac:dyDescent="0.3">
      <c r="A481" s="4"/>
      <c r="B481" s="4"/>
      <c r="C481" s="4" t="str">
        <f t="shared" si="8"/>
        <v/>
      </c>
      <c r="D481" s="4" t="str">
        <f t="shared" si="9"/>
        <v/>
      </c>
      <c r="E481" s="4"/>
      <c r="F481" s="6" t="str">
        <f>IF($C481="","",COUNTIFS(Chicks!$F:$F,$C481,Chicks!$G:$G,$D481))</f>
        <v/>
      </c>
      <c r="G481" s="6" t="str">
        <f>IF($C481="","",COUNTIFS(Chicks!$F:$F,$C481,Chicks!$G:$G,$D481,Chicks!$I:$I,"Yes"))</f>
        <v/>
      </c>
      <c r="H481" s="6" t="str">
        <f>IF($C481="","",SUMIFS(Chicks!$J:$J,Chicks!$F:$F,$C481,Chicks!$G:$G,$D481))</f>
        <v/>
      </c>
      <c r="I481" s="6" t="str">
        <f>IF($C481="","",COUNTIFS(Chicks!$F:$F,$C481,Chicks!$G:$G,$D481,Chicks!$I:$I,"No"))</f>
        <v/>
      </c>
      <c r="J481" s="6" t="str">
        <f>IF($C481="","",IFERROR(AVERAGEIFS(Chicks!$M:$M,Chicks!$F:$F,$C481,Chicks!$G:$G,$D481),""))</f>
        <v/>
      </c>
      <c r="K481" s="6" t="str">
        <f>IF($C481="","",SUMIFS(Chicks!$N:$N,Chicks!$F:$F,$C481,Chicks!$G:$G,$D481))</f>
        <v/>
      </c>
      <c r="L481" s="6" t="str">
        <f>IF($C481="","",SUMIFS(Chicks!$O:$O,Chicks!$F:$F,$C481,Chicks!$G:$G,$D481))</f>
        <v/>
      </c>
      <c r="M481" s="6" t="str">
        <f>IF($C481="","",SUMIFS(Chicks!$P:$P,Chicks!$F:$F,$C481,Chicks!$G:$G,$D481))</f>
        <v/>
      </c>
      <c r="N481" s="6" t="str">
        <f t="shared" si="5"/>
        <v/>
      </c>
      <c r="O481" s="6" t="e">
        <f t="shared" ca="1" si="6"/>
        <v>#NAME?</v>
      </c>
      <c r="P481" s="6" t="str">
        <f t="shared" si="7"/>
        <v/>
      </c>
    </row>
    <row r="482" spans="1:16" ht="14.25" customHeight="1" x14ac:dyDescent="0.3">
      <c r="A482" s="4"/>
      <c r="B482" s="4"/>
      <c r="C482" s="4" t="str">
        <f t="shared" si="8"/>
        <v/>
      </c>
      <c r="D482" s="4" t="str">
        <f t="shared" si="9"/>
        <v/>
      </c>
      <c r="E482" s="4"/>
      <c r="F482" s="6" t="str">
        <f>IF($C482="","",COUNTIFS(Chicks!$F:$F,$C482,Chicks!$G:$G,$D482))</f>
        <v/>
      </c>
      <c r="G482" s="6" t="str">
        <f>IF($C482="","",COUNTIFS(Chicks!$F:$F,$C482,Chicks!$G:$G,$D482,Chicks!$I:$I,"Yes"))</f>
        <v/>
      </c>
      <c r="H482" s="6" t="str">
        <f>IF($C482="","",SUMIFS(Chicks!$J:$J,Chicks!$F:$F,$C482,Chicks!$G:$G,$D482))</f>
        <v/>
      </c>
      <c r="I482" s="6" t="str">
        <f>IF($C482="","",COUNTIFS(Chicks!$F:$F,$C482,Chicks!$G:$G,$D482,Chicks!$I:$I,"No"))</f>
        <v/>
      </c>
      <c r="J482" s="6" t="str">
        <f>IF($C482="","",IFERROR(AVERAGEIFS(Chicks!$M:$M,Chicks!$F:$F,$C482,Chicks!$G:$G,$D482),""))</f>
        <v/>
      </c>
      <c r="K482" s="6" t="str">
        <f>IF($C482="","",SUMIFS(Chicks!$N:$N,Chicks!$F:$F,$C482,Chicks!$G:$G,$D482))</f>
        <v/>
      </c>
      <c r="L482" s="6" t="str">
        <f>IF($C482="","",SUMIFS(Chicks!$O:$O,Chicks!$F:$F,$C482,Chicks!$G:$G,$D482))</f>
        <v/>
      </c>
      <c r="M482" s="6" t="str">
        <f>IF($C482="","",SUMIFS(Chicks!$P:$P,Chicks!$F:$F,$C482,Chicks!$G:$G,$D482))</f>
        <v/>
      </c>
      <c r="N482" s="6" t="str">
        <f t="shared" si="5"/>
        <v/>
      </c>
      <c r="O482" s="6" t="e">
        <f t="shared" ca="1" si="6"/>
        <v>#NAME?</v>
      </c>
      <c r="P482" s="6" t="str">
        <f t="shared" si="7"/>
        <v/>
      </c>
    </row>
    <row r="483" spans="1:16" ht="14.25" customHeight="1" x14ac:dyDescent="0.3">
      <c r="A483" s="4"/>
      <c r="B483" s="4"/>
      <c r="C483" s="4" t="str">
        <f t="shared" si="8"/>
        <v/>
      </c>
      <c r="D483" s="4" t="str">
        <f t="shared" si="9"/>
        <v/>
      </c>
      <c r="E483" s="4"/>
      <c r="F483" s="6" t="str">
        <f>IF($C483="","",COUNTIFS(Chicks!$F:$F,$C483,Chicks!$G:$G,$D483))</f>
        <v/>
      </c>
      <c r="G483" s="6" t="str">
        <f>IF($C483="","",COUNTIFS(Chicks!$F:$F,$C483,Chicks!$G:$G,$D483,Chicks!$I:$I,"Yes"))</f>
        <v/>
      </c>
      <c r="H483" s="6" t="str">
        <f>IF($C483="","",SUMIFS(Chicks!$J:$J,Chicks!$F:$F,$C483,Chicks!$G:$G,$D483))</f>
        <v/>
      </c>
      <c r="I483" s="6" t="str">
        <f>IF($C483="","",COUNTIFS(Chicks!$F:$F,$C483,Chicks!$G:$G,$D483,Chicks!$I:$I,"No"))</f>
        <v/>
      </c>
      <c r="J483" s="6" t="str">
        <f>IF($C483="","",IFERROR(AVERAGEIFS(Chicks!$M:$M,Chicks!$F:$F,$C483,Chicks!$G:$G,$D483),""))</f>
        <v/>
      </c>
      <c r="K483" s="6" t="str">
        <f>IF($C483="","",SUMIFS(Chicks!$N:$N,Chicks!$F:$F,$C483,Chicks!$G:$G,$D483))</f>
        <v/>
      </c>
      <c r="L483" s="6" t="str">
        <f>IF($C483="","",SUMIFS(Chicks!$O:$O,Chicks!$F:$F,$C483,Chicks!$G:$G,$D483))</f>
        <v/>
      </c>
      <c r="M483" s="6" t="str">
        <f>IF($C483="","",SUMIFS(Chicks!$P:$P,Chicks!$F:$F,$C483,Chicks!$G:$G,$D483))</f>
        <v/>
      </c>
      <c r="N483" s="6" t="str">
        <f t="shared" si="5"/>
        <v/>
      </c>
      <c r="O483" s="6" t="e">
        <f t="shared" ca="1" si="6"/>
        <v>#NAME?</v>
      </c>
      <c r="P483" s="6" t="str">
        <f t="shared" si="7"/>
        <v/>
      </c>
    </row>
    <row r="484" spans="1:16" ht="14.25" customHeight="1" x14ac:dyDescent="0.3">
      <c r="A484" s="4"/>
      <c r="B484" s="4"/>
      <c r="C484" s="4" t="str">
        <f t="shared" si="8"/>
        <v/>
      </c>
      <c r="D484" s="4" t="str">
        <f t="shared" si="9"/>
        <v/>
      </c>
      <c r="E484" s="4"/>
      <c r="F484" s="6" t="str">
        <f>IF($C484="","",COUNTIFS(Chicks!$F:$F,$C484,Chicks!$G:$G,$D484))</f>
        <v/>
      </c>
      <c r="G484" s="6" t="str">
        <f>IF($C484="","",COUNTIFS(Chicks!$F:$F,$C484,Chicks!$G:$G,$D484,Chicks!$I:$I,"Yes"))</f>
        <v/>
      </c>
      <c r="H484" s="6" t="str">
        <f>IF($C484="","",SUMIFS(Chicks!$J:$J,Chicks!$F:$F,$C484,Chicks!$G:$G,$D484))</f>
        <v/>
      </c>
      <c r="I484" s="6" t="str">
        <f>IF($C484="","",COUNTIFS(Chicks!$F:$F,$C484,Chicks!$G:$G,$D484,Chicks!$I:$I,"No"))</f>
        <v/>
      </c>
      <c r="J484" s="6" t="str">
        <f>IF($C484="","",IFERROR(AVERAGEIFS(Chicks!$M:$M,Chicks!$F:$F,$C484,Chicks!$G:$G,$D484),""))</f>
        <v/>
      </c>
      <c r="K484" s="6" t="str">
        <f>IF($C484="","",SUMIFS(Chicks!$N:$N,Chicks!$F:$F,$C484,Chicks!$G:$G,$D484))</f>
        <v/>
      </c>
      <c r="L484" s="6" t="str">
        <f>IF($C484="","",SUMIFS(Chicks!$O:$O,Chicks!$F:$F,$C484,Chicks!$G:$G,$D484))</f>
        <v/>
      </c>
      <c r="M484" s="6" t="str">
        <f>IF($C484="","",SUMIFS(Chicks!$P:$P,Chicks!$F:$F,$C484,Chicks!$G:$G,$D484))</f>
        <v/>
      </c>
      <c r="N484" s="6" t="str">
        <f t="shared" si="5"/>
        <v/>
      </c>
      <c r="O484" s="6" t="e">
        <f t="shared" ca="1" si="6"/>
        <v>#NAME?</v>
      </c>
      <c r="P484" s="6" t="str">
        <f t="shared" si="7"/>
        <v/>
      </c>
    </row>
    <row r="485" spans="1:16" ht="14.25" customHeight="1" x14ac:dyDescent="0.3">
      <c r="A485" s="4"/>
      <c r="B485" s="4"/>
      <c r="C485" s="4" t="str">
        <f t="shared" si="8"/>
        <v/>
      </c>
      <c r="D485" s="4" t="str">
        <f t="shared" si="9"/>
        <v/>
      </c>
      <c r="E485" s="4"/>
      <c r="F485" s="6" t="str">
        <f>IF($C485="","",COUNTIFS(Chicks!$F:$F,$C485,Chicks!$G:$G,$D485))</f>
        <v/>
      </c>
      <c r="G485" s="6" t="str">
        <f>IF($C485="","",COUNTIFS(Chicks!$F:$F,$C485,Chicks!$G:$G,$D485,Chicks!$I:$I,"Yes"))</f>
        <v/>
      </c>
      <c r="H485" s="6" t="str">
        <f>IF($C485="","",SUMIFS(Chicks!$J:$J,Chicks!$F:$F,$C485,Chicks!$G:$G,$D485))</f>
        <v/>
      </c>
      <c r="I485" s="6" t="str">
        <f>IF($C485="","",COUNTIFS(Chicks!$F:$F,$C485,Chicks!$G:$G,$D485,Chicks!$I:$I,"No"))</f>
        <v/>
      </c>
      <c r="J485" s="6" t="str">
        <f>IF($C485="","",IFERROR(AVERAGEIFS(Chicks!$M:$M,Chicks!$F:$F,$C485,Chicks!$G:$G,$D485),""))</f>
        <v/>
      </c>
      <c r="K485" s="6" t="str">
        <f>IF($C485="","",SUMIFS(Chicks!$N:$N,Chicks!$F:$F,$C485,Chicks!$G:$G,$D485))</f>
        <v/>
      </c>
      <c r="L485" s="6" t="str">
        <f>IF($C485="","",SUMIFS(Chicks!$O:$O,Chicks!$F:$F,$C485,Chicks!$G:$G,$D485))</f>
        <v/>
      </c>
      <c r="M485" s="6" t="str">
        <f>IF($C485="","",SUMIFS(Chicks!$P:$P,Chicks!$F:$F,$C485,Chicks!$G:$G,$D485))</f>
        <v/>
      </c>
      <c r="N485" s="6" t="str">
        <f t="shared" si="5"/>
        <v/>
      </c>
      <c r="O485" s="6" t="e">
        <f t="shared" ca="1" si="6"/>
        <v>#NAME?</v>
      </c>
      <c r="P485" s="6" t="str">
        <f t="shared" si="7"/>
        <v/>
      </c>
    </row>
    <row r="486" spans="1:16" ht="14.25" customHeight="1" x14ac:dyDescent="0.3">
      <c r="A486" s="4"/>
      <c r="B486" s="4"/>
      <c r="C486" s="4" t="str">
        <f t="shared" si="8"/>
        <v/>
      </c>
      <c r="D486" s="4" t="str">
        <f t="shared" si="9"/>
        <v/>
      </c>
      <c r="E486" s="4"/>
      <c r="F486" s="6" t="str">
        <f>IF($C486="","",COUNTIFS(Chicks!$F:$F,$C486,Chicks!$G:$G,$D486))</f>
        <v/>
      </c>
      <c r="G486" s="6" t="str">
        <f>IF($C486="","",COUNTIFS(Chicks!$F:$F,$C486,Chicks!$G:$G,$D486,Chicks!$I:$I,"Yes"))</f>
        <v/>
      </c>
      <c r="H486" s="6" t="str">
        <f>IF($C486="","",SUMIFS(Chicks!$J:$J,Chicks!$F:$F,$C486,Chicks!$G:$G,$D486))</f>
        <v/>
      </c>
      <c r="I486" s="6" t="str">
        <f>IF($C486="","",COUNTIFS(Chicks!$F:$F,$C486,Chicks!$G:$G,$D486,Chicks!$I:$I,"No"))</f>
        <v/>
      </c>
      <c r="J486" s="6" t="str">
        <f>IF($C486="","",IFERROR(AVERAGEIFS(Chicks!$M:$M,Chicks!$F:$F,$C486,Chicks!$G:$G,$D486),""))</f>
        <v/>
      </c>
      <c r="K486" s="6" t="str">
        <f>IF($C486="","",SUMIFS(Chicks!$N:$N,Chicks!$F:$F,$C486,Chicks!$G:$G,$D486))</f>
        <v/>
      </c>
      <c r="L486" s="6" t="str">
        <f>IF($C486="","",SUMIFS(Chicks!$O:$O,Chicks!$F:$F,$C486,Chicks!$G:$G,$D486))</f>
        <v/>
      </c>
      <c r="M486" s="6" t="str">
        <f>IF($C486="","",SUMIFS(Chicks!$P:$P,Chicks!$F:$F,$C486,Chicks!$G:$G,$D486))</f>
        <v/>
      </c>
      <c r="N486" s="6" t="str">
        <f t="shared" si="5"/>
        <v/>
      </c>
      <c r="O486" s="6" t="e">
        <f t="shared" ca="1" si="6"/>
        <v>#NAME?</v>
      </c>
      <c r="P486" s="6" t="str">
        <f t="shared" si="7"/>
        <v/>
      </c>
    </row>
    <row r="487" spans="1:16" ht="14.25" customHeight="1" x14ac:dyDescent="0.3">
      <c r="A487" s="4"/>
      <c r="B487" s="4"/>
      <c r="C487" s="4" t="str">
        <f t="shared" si="8"/>
        <v/>
      </c>
      <c r="D487" s="4" t="str">
        <f t="shared" si="9"/>
        <v/>
      </c>
      <c r="E487" s="4"/>
      <c r="F487" s="6" t="str">
        <f>IF($C487="","",COUNTIFS(Chicks!$F:$F,$C487,Chicks!$G:$G,$D487))</f>
        <v/>
      </c>
      <c r="G487" s="6" t="str">
        <f>IF($C487="","",COUNTIFS(Chicks!$F:$F,$C487,Chicks!$G:$G,$D487,Chicks!$I:$I,"Yes"))</f>
        <v/>
      </c>
      <c r="H487" s="6" t="str">
        <f>IF($C487="","",SUMIFS(Chicks!$J:$J,Chicks!$F:$F,$C487,Chicks!$G:$G,$D487))</f>
        <v/>
      </c>
      <c r="I487" s="6" t="str">
        <f>IF($C487="","",COUNTIFS(Chicks!$F:$F,$C487,Chicks!$G:$G,$D487,Chicks!$I:$I,"No"))</f>
        <v/>
      </c>
      <c r="J487" s="6" t="str">
        <f>IF($C487="","",IFERROR(AVERAGEIFS(Chicks!$M:$M,Chicks!$F:$F,$C487,Chicks!$G:$G,$D487),""))</f>
        <v/>
      </c>
      <c r="K487" s="6" t="str">
        <f>IF($C487="","",SUMIFS(Chicks!$N:$N,Chicks!$F:$F,$C487,Chicks!$G:$G,$D487))</f>
        <v/>
      </c>
      <c r="L487" s="6" t="str">
        <f>IF($C487="","",SUMIFS(Chicks!$O:$O,Chicks!$F:$F,$C487,Chicks!$G:$G,$D487))</f>
        <v/>
      </c>
      <c r="M487" s="6" t="str">
        <f>IF($C487="","",SUMIFS(Chicks!$P:$P,Chicks!$F:$F,$C487,Chicks!$G:$G,$D487))</f>
        <v/>
      </c>
      <c r="N487" s="6" t="str">
        <f t="shared" si="5"/>
        <v/>
      </c>
      <c r="O487" s="6" t="e">
        <f t="shared" ca="1" si="6"/>
        <v>#NAME?</v>
      </c>
      <c r="P487" s="6" t="str">
        <f t="shared" si="7"/>
        <v/>
      </c>
    </row>
    <row r="488" spans="1:16" ht="14.25" customHeight="1" x14ac:dyDescent="0.3">
      <c r="A488" s="4"/>
      <c r="B488" s="4"/>
      <c r="C488" s="4" t="str">
        <f t="shared" si="8"/>
        <v/>
      </c>
      <c r="D488" s="4" t="str">
        <f t="shared" si="9"/>
        <v/>
      </c>
      <c r="E488" s="4"/>
      <c r="F488" s="6" t="str">
        <f>IF($C488="","",COUNTIFS(Chicks!$F:$F,$C488,Chicks!$G:$G,$D488))</f>
        <v/>
      </c>
      <c r="G488" s="6" t="str">
        <f>IF($C488="","",COUNTIFS(Chicks!$F:$F,$C488,Chicks!$G:$G,$D488,Chicks!$I:$I,"Yes"))</f>
        <v/>
      </c>
      <c r="H488" s="6" t="str">
        <f>IF($C488="","",SUMIFS(Chicks!$J:$J,Chicks!$F:$F,$C488,Chicks!$G:$G,$D488))</f>
        <v/>
      </c>
      <c r="I488" s="6" t="str">
        <f>IF($C488="","",COUNTIFS(Chicks!$F:$F,$C488,Chicks!$G:$G,$D488,Chicks!$I:$I,"No"))</f>
        <v/>
      </c>
      <c r="J488" s="6" t="str">
        <f>IF($C488="","",IFERROR(AVERAGEIFS(Chicks!$M:$M,Chicks!$F:$F,$C488,Chicks!$G:$G,$D488),""))</f>
        <v/>
      </c>
      <c r="K488" s="6" t="str">
        <f>IF($C488="","",SUMIFS(Chicks!$N:$N,Chicks!$F:$F,$C488,Chicks!$G:$G,$D488))</f>
        <v/>
      </c>
      <c r="L488" s="6" t="str">
        <f>IF($C488="","",SUMIFS(Chicks!$O:$O,Chicks!$F:$F,$C488,Chicks!$G:$G,$D488))</f>
        <v/>
      </c>
      <c r="M488" s="6" t="str">
        <f>IF($C488="","",SUMIFS(Chicks!$P:$P,Chicks!$F:$F,$C488,Chicks!$G:$G,$D488))</f>
        <v/>
      </c>
      <c r="N488" s="6" t="str">
        <f t="shared" si="5"/>
        <v/>
      </c>
      <c r="O488" s="6" t="e">
        <f t="shared" ca="1" si="6"/>
        <v>#NAME?</v>
      </c>
      <c r="P488" s="6" t="str">
        <f t="shared" si="7"/>
        <v/>
      </c>
    </row>
    <row r="489" spans="1:16" ht="14.25" customHeight="1" x14ac:dyDescent="0.3">
      <c r="A489" s="4"/>
      <c r="B489" s="4"/>
      <c r="C489" s="4" t="str">
        <f t="shared" si="8"/>
        <v/>
      </c>
      <c r="D489" s="4" t="str">
        <f t="shared" si="9"/>
        <v/>
      </c>
      <c r="E489" s="4"/>
      <c r="F489" s="6" t="str">
        <f>IF($C489="","",COUNTIFS(Chicks!$F:$F,$C489,Chicks!$G:$G,$D489))</f>
        <v/>
      </c>
      <c r="G489" s="6" t="str">
        <f>IF($C489="","",COUNTIFS(Chicks!$F:$F,$C489,Chicks!$G:$G,$D489,Chicks!$I:$I,"Yes"))</f>
        <v/>
      </c>
      <c r="H489" s="6" t="str">
        <f>IF($C489="","",SUMIFS(Chicks!$J:$J,Chicks!$F:$F,$C489,Chicks!$G:$G,$D489))</f>
        <v/>
      </c>
      <c r="I489" s="6" t="str">
        <f>IF($C489="","",COUNTIFS(Chicks!$F:$F,$C489,Chicks!$G:$G,$D489,Chicks!$I:$I,"No"))</f>
        <v/>
      </c>
      <c r="J489" s="6" t="str">
        <f>IF($C489="","",IFERROR(AVERAGEIFS(Chicks!$M:$M,Chicks!$F:$F,$C489,Chicks!$G:$G,$D489),""))</f>
        <v/>
      </c>
      <c r="K489" s="6" t="str">
        <f>IF($C489="","",SUMIFS(Chicks!$N:$N,Chicks!$F:$F,$C489,Chicks!$G:$G,$D489))</f>
        <v/>
      </c>
      <c r="L489" s="6" t="str">
        <f>IF($C489="","",SUMIFS(Chicks!$O:$O,Chicks!$F:$F,$C489,Chicks!$G:$G,$D489))</f>
        <v/>
      </c>
      <c r="M489" s="6" t="str">
        <f>IF($C489="","",SUMIFS(Chicks!$P:$P,Chicks!$F:$F,$C489,Chicks!$G:$G,$D489))</f>
        <v/>
      </c>
      <c r="N489" s="6" t="str">
        <f t="shared" si="5"/>
        <v/>
      </c>
      <c r="O489" s="6" t="e">
        <f t="shared" ca="1" si="6"/>
        <v>#NAME?</v>
      </c>
      <c r="P489" s="6" t="str">
        <f t="shared" si="7"/>
        <v/>
      </c>
    </row>
    <row r="490" spans="1:16" ht="14.25" customHeight="1" x14ac:dyDescent="0.3">
      <c r="A490" s="4"/>
      <c r="B490" s="4"/>
      <c r="C490" s="4" t="str">
        <f t="shared" si="8"/>
        <v/>
      </c>
      <c r="D490" s="4" t="str">
        <f t="shared" si="9"/>
        <v/>
      </c>
      <c r="E490" s="4"/>
      <c r="F490" s="6" t="str">
        <f>IF($C490="","",COUNTIFS(Chicks!$F:$F,$C490,Chicks!$G:$G,$D490))</f>
        <v/>
      </c>
      <c r="G490" s="6" t="str">
        <f>IF($C490="","",COUNTIFS(Chicks!$F:$F,$C490,Chicks!$G:$G,$D490,Chicks!$I:$I,"Yes"))</f>
        <v/>
      </c>
      <c r="H490" s="6" t="str">
        <f>IF($C490="","",SUMIFS(Chicks!$J:$J,Chicks!$F:$F,$C490,Chicks!$G:$G,$D490))</f>
        <v/>
      </c>
      <c r="I490" s="6" t="str">
        <f>IF($C490="","",COUNTIFS(Chicks!$F:$F,$C490,Chicks!$G:$G,$D490,Chicks!$I:$I,"No"))</f>
        <v/>
      </c>
      <c r="J490" s="6" t="str">
        <f>IF($C490="","",IFERROR(AVERAGEIFS(Chicks!$M:$M,Chicks!$F:$F,$C490,Chicks!$G:$G,$D490),""))</f>
        <v/>
      </c>
      <c r="K490" s="6" t="str">
        <f>IF($C490="","",SUMIFS(Chicks!$N:$N,Chicks!$F:$F,$C490,Chicks!$G:$G,$D490))</f>
        <v/>
      </c>
      <c r="L490" s="6" t="str">
        <f>IF($C490="","",SUMIFS(Chicks!$O:$O,Chicks!$F:$F,$C490,Chicks!$G:$G,$D490))</f>
        <v/>
      </c>
      <c r="M490" s="6" t="str">
        <f>IF($C490="","",SUMIFS(Chicks!$P:$P,Chicks!$F:$F,$C490,Chicks!$G:$G,$D490))</f>
        <v/>
      </c>
      <c r="N490" s="6" t="str">
        <f t="shared" si="5"/>
        <v/>
      </c>
      <c r="O490" s="6" t="e">
        <f t="shared" ca="1" si="6"/>
        <v>#NAME?</v>
      </c>
      <c r="P490" s="6" t="str">
        <f t="shared" si="7"/>
        <v/>
      </c>
    </row>
    <row r="491" spans="1:16" ht="14.25" customHeight="1" x14ac:dyDescent="0.3">
      <c r="A491" s="4"/>
      <c r="B491" s="4"/>
      <c r="C491" s="4" t="str">
        <f t="shared" si="8"/>
        <v/>
      </c>
      <c r="D491" s="4" t="str">
        <f t="shared" si="9"/>
        <v/>
      </c>
      <c r="E491" s="4"/>
      <c r="F491" s="6" t="str">
        <f>IF($C491="","",COUNTIFS(Chicks!$F:$F,$C491,Chicks!$G:$G,$D491))</f>
        <v/>
      </c>
      <c r="G491" s="6" t="str">
        <f>IF($C491="","",COUNTIFS(Chicks!$F:$F,$C491,Chicks!$G:$G,$D491,Chicks!$I:$I,"Yes"))</f>
        <v/>
      </c>
      <c r="H491" s="6" t="str">
        <f>IF($C491="","",SUMIFS(Chicks!$J:$J,Chicks!$F:$F,$C491,Chicks!$G:$G,$D491))</f>
        <v/>
      </c>
      <c r="I491" s="6" t="str">
        <f>IF($C491="","",COUNTIFS(Chicks!$F:$F,$C491,Chicks!$G:$G,$D491,Chicks!$I:$I,"No"))</f>
        <v/>
      </c>
      <c r="J491" s="6" t="str">
        <f>IF($C491="","",IFERROR(AVERAGEIFS(Chicks!$M:$M,Chicks!$F:$F,$C491,Chicks!$G:$G,$D491),""))</f>
        <v/>
      </c>
      <c r="K491" s="6" t="str">
        <f>IF($C491="","",SUMIFS(Chicks!$N:$N,Chicks!$F:$F,$C491,Chicks!$G:$G,$D491))</f>
        <v/>
      </c>
      <c r="L491" s="6" t="str">
        <f>IF($C491="","",SUMIFS(Chicks!$O:$O,Chicks!$F:$F,$C491,Chicks!$G:$G,$D491))</f>
        <v/>
      </c>
      <c r="M491" s="6" t="str">
        <f>IF($C491="","",SUMIFS(Chicks!$P:$P,Chicks!$F:$F,$C491,Chicks!$G:$G,$D491))</f>
        <v/>
      </c>
      <c r="N491" s="6" t="str">
        <f t="shared" si="5"/>
        <v/>
      </c>
      <c r="O491" s="6" t="e">
        <f t="shared" ca="1" si="6"/>
        <v>#NAME?</v>
      </c>
      <c r="P491" s="6" t="str">
        <f t="shared" si="7"/>
        <v/>
      </c>
    </row>
    <row r="492" spans="1:16" ht="14.25" customHeight="1" x14ac:dyDescent="0.3">
      <c r="A492" s="4"/>
      <c r="B492" s="4"/>
      <c r="C492" s="4" t="str">
        <f t="shared" si="8"/>
        <v/>
      </c>
      <c r="D492" s="4" t="str">
        <f t="shared" si="9"/>
        <v/>
      </c>
      <c r="E492" s="4"/>
      <c r="F492" s="6" t="str">
        <f>IF($C492="","",COUNTIFS(Chicks!$F:$F,$C492,Chicks!$G:$G,$D492))</f>
        <v/>
      </c>
      <c r="G492" s="6" t="str">
        <f>IF($C492="","",COUNTIFS(Chicks!$F:$F,$C492,Chicks!$G:$G,$D492,Chicks!$I:$I,"Yes"))</f>
        <v/>
      </c>
      <c r="H492" s="6" t="str">
        <f>IF($C492="","",SUMIFS(Chicks!$J:$J,Chicks!$F:$F,$C492,Chicks!$G:$G,$D492))</f>
        <v/>
      </c>
      <c r="I492" s="6" t="str">
        <f>IF($C492="","",COUNTIFS(Chicks!$F:$F,$C492,Chicks!$G:$G,$D492,Chicks!$I:$I,"No"))</f>
        <v/>
      </c>
      <c r="J492" s="6" t="str">
        <f>IF($C492="","",IFERROR(AVERAGEIFS(Chicks!$M:$M,Chicks!$F:$F,$C492,Chicks!$G:$G,$D492),""))</f>
        <v/>
      </c>
      <c r="K492" s="6" t="str">
        <f>IF($C492="","",SUMIFS(Chicks!$N:$N,Chicks!$F:$F,$C492,Chicks!$G:$G,$D492))</f>
        <v/>
      </c>
      <c r="L492" s="6" t="str">
        <f>IF($C492="","",SUMIFS(Chicks!$O:$O,Chicks!$F:$F,$C492,Chicks!$G:$G,$D492))</f>
        <v/>
      </c>
      <c r="M492" s="6" t="str">
        <f>IF($C492="","",SUMIFS(Chicks!$P:$P,Chicks!$F:$F,$C492,Chicks!$G:$G,$D492))</f>
        <v/>
      </c>
      <c r="N492" s="6" t="str">
        <f t="shared" si="5"/>
        <v/>
      </c>
      <c r="O492" s="6" t="e">
        <f t="shared" ca="1" si="6"/>
        <v>#NAME?</v>
      </c>
      <c r="P492" s="6" t="str">
        <f t="shared" si="7"/>
        <v/>
      </c>
    </row>
    <row r="493" spans="1:16" ht="14.25" customHeight="1" x14ac:dyDescent="0.3">
      <c r="A493" s="4"/>
      <c r="B493" s="4"/>
      <c r="C493" s="4" t="str">
        <f t="shared" si="8"/>
        <v/>
      </c>
      <c r="D493" s="4" t="str">
        <f t="shared" si="9"/>
        <v/>
      </c>
      <c r="E493" s="4"/>
      <c r="F493" s="6" t="str">
        <f>IF($C493="","",COUNTIFS(Chicks!$F:$F,$C493,Chicks!$G:$G,$D493))</f>
        <v/>
      </c>
      <c r="G493" s="6" t="str">
        <f>IF($C493="","",COUNTIFS(Chicks!$F:$F,$C493,Chicks!$G:$G,$D493,Chicks!$I:$I,"Yes"))</f>
        <v/>
      </c>
      <c r="H493" s="6" t="str">
        <f>IF($C493="","",SUMIFS(Chicks!$J:$J,Chicks!$F:$F,$C493,Chicks!$G:$G,$D493))</f>
        <v/>
      </c>
      <c r="I493" s="6" t="str">
        <f>IF($C493="","",COUNTIFS(Chicks!$F:$F,$C493,Chicks!$G:$G,$D493,Chicks!$I:$I,"No"))</f>
        <v/>
      </c>
      <c r="J493" s="6" t="str">
        <f>IF($C493="","",IFERROR(AVERAGEIFS(Chicks!$M:$M,Chicks!$F:$F,$C493,Chicks!$G:$G,$D493),""))</f>
        <v/>
      </c>
      <c r="K493" s="6" t="str">
        <f>IF($C493="","",SUMIFS(Chicks!$N:$N,Chicks!$F:$F,$C493,Chicks!$G:$G,$D493))</f>
        <v/>
      </c>
      <c r="L493" s="6" t="str">
        <f>IF($C493="","",SUMIFS(Chicks!$O:$O,Chicks!$F:$F,$C493,Chicks!$G:$G,$D493))</f>
        <v/>
      </c>
      <c r="M493" s="6" t="str">
        <f>IF($C493="","",SUMIFS(Chicks!$P:$P,Chicks!$F:$F,$C493,Chicks!$G:$G,$D493))</f>
        <v/>
      </c>
      <c r="N493" s="6" t="str">
        <f t="shared" si="5"/>
        <v/>
      </c>
      <c r="O493" s="6" t="e">
        <f t="shared" ca="1" si="6"/>
        <v>#NAME?</v>
      </c>
      <c r="P493" s="6" t="str">
        <f t="shared" si="7"/>
        <v/>
      </c>
    </row>
    <row r="494" spans="1:16" ht="14.25" customHeight="1" x14ac:dyDescent="0.3">
      <c r="A494" s="4"/>
      <c r="B494" s="4"/>
      <c r="C494" s="4" t="str">
        <f t="shared" si="8"/>
        <v/>
      </c>
      <c r="D494" s="4" t="str">
        <f t="shared" si="9"/>
        <v/>
      </c>
      <c r="E494" s="4"/>
      <c r="F494" s="6" t="str">
        <f>IF($C494="","",COUNTIFS(Chicks!$F:$F,$C494,Chicks!$G:$G,$D494))</f>
        <v/>
      </c>
      <c r="G494" s="6" t="str">
        <f>IF($C494="","",COUNTIFS(Chicks!$F:$F,$C494,Chicks!$G:$G,$D494,Chicks!$I:$I,"Yes"))</f>
        <v/>
      </c>
      <c r="H494" s="6" t="str">
        <f>IF($C494="","",SUMIFS(Chicks!$J:$J,Chicks!$F:$F,$C494,Chicks!$G:$G,$D494))</f>
        <v/>
      </c>
      <c r="I494" s="6" t="str">
        <f>IF($C494="","",COUNTIFS(Chicks!$F:$F,$C494,Chicks!$G:$G,$D494,Chicks!$I:$I,"No"))</f>
        <v/>
      </c>
      <c r="J494" s="6" t="str">
        <f>IF($C494="","",IFERROR(AVERAGEIFS(Chicks!$M:$M,Chicks!$F:$F,$C494,Chicks!$G:$G,$D494),""))</f>
        <v/>
      </c>
      <c r="K494" s="6" t="str">
        <f>IF($C494="","",SUMIFS(Chicks!$N:$N,Chicks!$F:$F,$C494,Chicks!$G:$G,$D494))</f>
        <v/>
      </c>
      <c r="L494" s="6" t="str">
        <f>IF($C494="","",SUMIFS(Chicks!$O:$O,Chicks!$F:$F,$C494,Chicks!$G:$G,$D494))</f>
        <v/>
      </c>
      <c r="M494" s="6" t="str">
        <f>IF($C494="","",SUMIFS(Chicks!$P:$P,Chicks!$F:$F,$C494,Chicks!$G:$G,$D494))</f>
        <v/>
      </c>
      <c r="N494" s="6" t="str">
        <f t="shared" si="5"/>
        <v/>
      </c>
      <c r="O494" s="6" t="e">
        <f t="shared" ca="1" si="6"/>
        <v>#NAME?</v>
      </c>
      <c r="P494" s="6" t="str">
        <f t="shared" si="7"/>
        <v/>
      </c>
    </row>
    <row r="495" spans="1:16" ht="14.25" customHeight="1" x14ac:dyDescent="0.3">
      <c r="A495" s="4"/>
      <c r="B495" s="4"/>
      <c r="C495" s="4" t="str">
        <f t="shared" si="8"/>
        <v/>
      </c>
      <c r="D495" s="4" t="str">
        <f t="shared" si="9"/>
        <v/>
      </c>
      <c r="E495" s="4"/>
      <c r="F495" s="6" t="str">
        <f>IF($C495="","",COUNTIFS(Chicks!$F:$F,$C495,Chicks!$G:$G,$D495))</f>
        <v/>
      </c>
      <c r="G495" s="6" t="str">
        <f>IF($C495="","",COUNTIFS(Chicks!$F:$F,$C495,Chicks!$G:$G,$D495,Chicks!$I:$I,"Yes"))</f>
        <v/>
      </c>
      <c r="H495" s="6" t="str">
        <f>IF($C495="","",SUMIFS(Chicks!$J:$J,Chicks!$F:$F,$C495,Chicks!$G:$G,$D495))</f>
        <v/>
      </c>
      <c r="I495" s="6" t="str">
        <f>IF($C495="","",COUNTIFS(Chicks!$F:$F,$C495,Chicks!$G:$G,$D495,Chicks!$I:$I,"No"))</f>
        <v/>
      </c>
      <c r="J495" s="6" t="str">
        <f>IF($C495="","",IFERROR(AVERAGEIFS(Chicks!$M:$M,Chicks!$F:$F,$C495,Chicks!$G:$G,$D495),""))</f>
        <v/>
      </c>
      <c r="K495" s="6" t="str">
        <f>IF($C495="","",SUMIFS(Chicks!$N:$N,Chicks!$F:$F,$C495,Chicks!$G:$G,$D495))</f>
        <v/>
      </c>
      <c r="L495" s="6" t="str">
        <f>IF($C495="","",SUMIFS(Chicks!$O:$O,Chicks!$F:$F,$C495,Chicks!$G:$G,$D495))</f>
        <v/>
      </c>
      <c r="M495" s="6" t="str">
        <f>IF($C495="","",SUMIFS(Chicks!$P:$P,Chicks!$F:$F,$C495,Chicks!$G:$G,$D495))</f>
        <v/>
      </c>
      <c r="N495" s="6" t="str">
        <f t="shared" si="5"/>
        <v/>
      </c>
      <c r="O495" s="6" t="e">
        <f t="shared" ca="1" si="6"/>
        <v>#NAME?</v>
      </c>
      <c r="P495" s="6" t="str">
        <f t="shared" si="7"/>
        <v/>
      </c>
    </row>
    <row r="496" spans="1:16" ht="14.25" customHeight="1" x14ac:dyDescent="0.3">
      <c r="A496" s="4"/>
      <c r="B496" s="4"/>
      <c r="C496" s="4" t="str">
        <f t="shared" si="8"/>
        <v/>
      </c>
      <c r="D496" s="4" t="str">
        <f t="shared" si="9"/>
        <v/>
      </c>
      <c r="E496" s="4"/>
      <c r="F496" s="6" t="str">
        <f>IF($C496="","",COUNTIFS(Chicks!$F:$F,$C496,Chicks!$G:$G,$D496))</f>
        <v/>
      </c>
      <c r="G496" s="6" t="str">
        <f>IF($C496="","",COUNTIFS(Chicks!$F:$F,$C496,Chicks!$G:$G,$D496,Chicks!$I:$I,"Yes"))</f>
        <v/>
      </c>
      <c r="H496" s="6" t="str">
        <f>IF($C496="","",SUMIFS(Chicks!$J:$J,Chicks!$F:$F,$C496,Chicks!$G:$G,$D496))</f>
        <v/>
      </c>
      <c r="I496" s="6" t="str">
        <f>IF($C496="","",COUNTIFS(Chicks!$F:$F,$C496,Chicks!$G:$G,$D496,Chicks!$I:$I,"No"))</f>
        <v/>
      </c>
      <c r="J496" s="6" t="str">
        <f>IF($C496="","",IFERROR(AVERAGEIFS(Chicks!$M:$M,Chicks!$F:$F,$C496,Chicks!$G:$G,$D496),""))</f>
        <v/>
      </c>
      <c r="K496" s="6" t="str">
        <f>IF($C496="","",SUMIFS(Chicks!$N:$N,Chicks!$F:$F,$C496,Chicks!$G:$G,$D496))</f>
        <v/>
      </c>
      <c r="L496" s="6" t="str">
        <f>IF($C496="","",SUMIFS(Chicks!$O:$O,Chicks!$F:$F,$C496,Chicks!$G:$G,$D496))</f>
        <v/>
      </c>
      <c r="M496" s="6" t="str">
        <f>IF($C496="","",SUMIFS(Chicks!$P:$P,Chicks!$F:$F,$C496,Chicks!$G:$G,$D496))</f>
        <v/>
      </c>
      <c r="N496" s="6" t="str">
        <f t="shared" si="5"/>
        <v/>
      </c>
      <c r="O496" s="6" t="e">
        <f t="shared" ca="1" si="6"/>
        <v>#NAME?</v>
      </c>
      <c r="P496" s="6" t="str">
        <f t="shared" si="7"/>
        <v/>
      </c>
    </row>
    <row r="497" spans="1:16" ht="14.25" customHeight="1" x14ac:dyDescent="0.3">
      <c r="A497" s="4"/>
      <c r="B497" s="4"/>
      <c r="C497" s="4" t="str">
        <f t="shared" si="8"/>
        <v/>
      </c>
      <c r="D497" s="4" t="str">
        <f t="shared" si="9"/>
        <v/>
      </c>
      <c r="E497" s="4"/>
      <c r="F497" s="6" t="str">
        <f>IF($C497="","",COUNTIFS(Chicks!$F:$F,$C497,Chicks!$G:$G,$D497))</f>
        <v/>
      </c>
      <c r="G497" s="6" t="str">
        <f>IF($C497="","",COUNTIFS(Chicks!$F:$F,$C497,Chicks!$G:$G,$D497,Chicks!$I:$I,"Yes"))</f>
        <v/>
      </c>
      <c r="H497" s="6" t="str">
        <f>IF($C497="","",SUMIFS(Chicks!$J:$J,Chicks!$F:$F,$C497,Chicks!$G:$G,$D497))</f>
        <v/>
      </c>
      <c r="I497" s="6" t="str">
        <f>IF($C497="","",COUNTIFS(Chicks!$F:$F,$C497,Chicks!$G:$G,$D497,Chicks!$I:$I,"No"))</f>
        <v/>
      </c>
      <c r="J497" s="6" t="str">
        <f>IF($C497="","",IFERROR(AVERAGEIFS(Chicks!$M:$M,Chicks!$F:$F,$C497,Chicks!$G:$G,$D497),""))</f>
        <v/>
      </c>
      <c r="K497" s="6" t="str">
        <f>IF($C497="","",SUMIFS(Chicks!$N:$N,Chicks!$F:$F,$C497,Chicks!$G:$G,$D497))</f>
        <v/>
      </c>
      <c r="L497" s="6" t="str">
        <f>IF($C497="","",SUMIFS(Chicks!$O:$O,Chicks!$F:$F,$C497,Chicks!$G:$G,$D497))</f>
        <v/>
      </c>
      <c r="M497" s="6" t="str">
        <f>IF($C497="","",SUMIFS(Chicks!$P:$P,Chicks!$F:$F,$C497,Chicks!$G:$G,$D497))</f>
        <v/>
      </c>
      <c r="N497" s="6" t="str">
        <f t="shared" si="5"/>
        <v/>
      </c>
      <c r="O497" s="6" t="e">
        <f t="shared" ca="1" si="6"/>
        <v>#NAME?</v>
      </c>
      <c r="P497" s="6" t="str">
        <f t="shared" si="7"/>
        <v/>
      </c>
    </row>
    <row r="498" spans="1:16" ht="14.25" customHeight="1" x14ac:dyDescent="0.3">
      <c r="A498" s="4"/>
      <c r="B498" s="4"/>
      <c r="C498" s="4" t="str">
        <f t="shared" si="8"/>
        <v/>
      </c>
      <c r="D498" s="4" t="str">
        <f t="shared" si="9"/>
        <v/>
      </c>
      <c r="E498" s="4"/>
      <c r="F498" s="6" t="str">
        <f>IF($C498="","",COUNTIFS(Chicks!$F:$F,$C498,Chicks!$G:$G,$D498))</f>
        <v/>
      </c>
      <c r="G498" s="6" t="str">
        <f>IF($C498="","",COUNTIFS(Chicks!$F:$F,$C498,Chicks!$G:$G,$D498,Chicks!$I:$I,"Yes"))</f>
        <v/>
      </c>
      <c r="H498" s="6" t="str">
        <f>IF($C498="","",SUMIFS(Chicks!$J:$J,Chicks!$F:$F,$C498,Chicks!$G:$G,$D498))</f>
        <v/>
      </c>
      <c r="I498" s="6" t="str">
        <f>IF($C498="","",COUNTIFS(Chicks!$F:$F,$C498,Chicks!$G:$G,$D498,Chicks!$I:$I,"No"))</f>
        <v/>
      </c>
      <c r="J498" s="6" t="str">
        <f>IF($C498="","",IFERROR(AVERAGEIFS(Chicks!$M:$M,Chicks!$F:$F,$C498,Chicks!$G:$G,$D498),""))</f>
        <v/>
      </c>
      <c r="K498" s="6" t="str">
        <f>IF($C498="","",SUMIFS(Chicks!$N:$N,Chicks!$F:$F,$C498,Chicks!$G:$G,$D498))</f>
        <v/>
      </c>
      <c r="L498" s="6" t="str">
        <f>IF($C498="","",SUMIFS(Chicks!$O:$O,Chicks!$F:$F,$C498,Chicks!$G:$G,$D498))</f>
        <v/>
      </c>
      <c r="M498" s="6" t="str">
        <f>IF($C498="","",SUMIFS(Chicks!$P:$P,Chicks!$F:$F,$C498,Chicks!$G:$G,$D498))</f>
        <v/>
      </c>
      <c r="N498" s="6" t="str">
        <f t="shared" si="5"/>
        <v/>
      </c>
      <c r="O498" s="6" t="e">
        <f t="shared" ca="1" si="6"/>
        <v>#NAME?</v>
      </c>
      <c r="P498" s="6" t="str">
        <f t="shared" si="7"/>
        <v/>
      </c>
    </row>
    <row r="499" spans="1:16" ht="14.25" customHeight="1" x14ac:dyDescent="0.3">
      <c r="A499" s="4"/>
      <c r="B499" s="4"/>
      <c r="C499" s="4" t="str">
        <f t="shared" si="8"/>
        <v/>
      </c>
      <c r="D499" s="4" t="str">
        <f t="shared" si="9"/>
        <v/>
      </c>
      <c r="E499" s="4"/>
      <c r="F499" s="6" t="str">
        <f>IF($C499="","",COUNTIFS(Chicks!$F:$F,$C499,Chicks!$G:$G,$D499))</f>
        <v/>
      </c>
      <c r="G499" s="6" t="str">
        <f>IF($C499="","",COUNTIFS(Chicks!$F:$F,$C499,Chicks!$G:$G,$D499,Chicks!$I:$I,"Yes"))</f>
        <v/>
      </c>
      <c r="H499" s="6" t="str">
        <f>IF($C499="","",SUMIFS(Chicks!$J:$J,Chicks!$F:$F,$C499,Chicks!$G:$G,$D499))</f>
        <v/>
      </c>
      <c r="I499" s="6" t="str">
        <f>IF($C499="","",COUNTIFS(Chicks!$F:$F,$C499,Chicks!$G:$G,$D499,Chicks!$I:$I,"No"))</f>
        <v/>
      </c>
      <c r="J499" s="6" t="str">
        <f>IF($C499="","",IFERROR(AVERAGEIFS(Chicks!$M:$M,Chicks!$F:$F,$C499,Chicks!$G:$G,$D499),""))</f>
        <v/>
      </c>
      <c r="K499" s="6" t="str">
        <f>IF($C499="","",SUMIFS(Chicks!$N:$N,Chicks!$F:$F,$C499,Chicks!$G:$G,$D499))</f>
        <v/>
      </c>
      <c r="L499" s="6" t="str">
        <f>IF($C499="","",SUMIFS(Chicks!$O:$O,Chicks!$F:$F,$C499,Chicks!$G:$G,$D499))</f>
        <v/>
      </c>
      <c r="M499" s="6" t="str">
        <f>IF($C499="","",SUMIFS(Chicks!$P:$P,Chicks!$F:$F,$C499,Chicks!$G:$G,$D499))</f>
        <v/>
      </c>
      <c r="N499" s="6" t="str">
        <f t="shared" si="5"/>
        <v/>
      </c>
      <c r="O499" s="6" t="e">
        <f t="shared" ca="1" si="6"/>
        <v>#NAME?</v>
      </c>
      <c r="P499" s="6" t="str">
        <f t="shared" si="7"/>
        <v/>
      </c>
    </row>
    <row r="500" spans="1:16" ht="14.25" customHeight="1" x14ac:dyDescent="0.3">
      <c r="A500" s="4"/>
      <c r="B500" s="4"/>
      <c r="C500" s="4" t="str">
        <f t="shared" si="8"/>
        <v/>
      </c>
      <c r="D500" s="4" t="str">
        <f t="shared" si="9"/>
        <v/>
      </c>
      <c r="E500" s="4"/>
      <c r="F500" s="6" t="str">
        <f>IF($C500="","",COUNTIFS(Chicks!$F:$F,$C500,Chicks!$G:$G,$D500))</f>
        <v/>
      </c>
      <c r="G500" s="6" t="str">
        <f>IF($C500="","",COUNTIFS(Chicks!$F:$F,$C500,Chicks!$G:$G,$D500,Chicks!$I:$I,"Yes"))</f>
        <v/>
      </c>
      <c r="H500" s="6" t="str">
        <f>IF($C500="","",SUMIFS(Chicks!$J:$J,Chicks!$F:$F,$C500,Chicks!$G:$G,$D500))</f>
        <v/>
      </c>
      <c r="I500" s="6" t="str">
        <f>IF($C500="","",COUNTIFS(Chicks!$F:$F,$C500,Chicks!$G:$G,$D500,Chicks!$I:$I,"No"))</f>
        <v/>
      </c>
      <c r="J500" s="6" t="str">
        <f>IF($C500="","",IFERROR(AVERAGEIFS(Chicks!$M:$M,Chicks!$F:$F,$C500,Chicks!$G:$G,$D500),""))</f>
        <v/>
      </c>
      <c r="K500" s="6" t="str">
        <f>IF($C500="","",SUMIFS(Chicks!$N:$N,Chicks!$F:$F,$C500,Chicks!$G:$G,$D500))</f>
        <v/>
      </c>
      <c r="L500" s="6" t="str">
        <f>IF($C500="","",SUMIFS(Chicks!$O:$O,Chicks!$F:$F,$C500,Chicks!$G:$G,$D500))</f>
        <v/>
      </c>
      <c r="M500" s="6" t="str">
        <f>IF($C500="","",SUMIFS(Chicks!$P:$P,Chicks!$F:$F,$C500,Chicks!$G:$G,$D500))</f>
        <v/>
      </c>
      <c r="N500" s="6" t="str">
        <f t="shared" si="5"/>
        <v/>
      </c>
      <c r="O500" s="6" t="e">
        <f t="shared" ca="1" si="6"/>
        <v>#NAME?</v>
      </c>
      <c r="P500" s="6" t="str">
        <f t="shared" si="7"/>
        <v/>
      </c>
    </row>
    <row r="501" spans="1:16" ht="14.25" customHeight="1" x14ac:dyDescent="0.3">
      <c r="C501" s="6" t="str">
        <f t="shared" si="8"/>
        <v/>
      </c>
      <c r="D501" s="6" t="str">
        <f t="shared" si="9"/>
        <v/>
      </c>
      <c r="F501" s="6" t="str">
        <f>IF($C501="","",COUNTIFS(Chicks!$F:$F,$C501,Chicks!$G:$G,$D501))</f>
        <v/>
      </c>
      <c r="G501" s="6" t="str">
        <f>IF($C501="","",COUNTIFS(Chicks!$F:$F,$C501,Chicks!$G:$G,$D501,Chicks!$I:$I,"Yes"))</f>
        <v/>
      </c>
      <c r="H501" s="6" t="str">
        <f>IF($C501="","",SUMIFS(Chicks!$J:$J,Chicks!$F:$F,$C501,Chicks!$G:$G,$D501))</f>
        <v/>
      </c>
      <c r="I501" s="6" t="str">
        <f>IF($C501="","",COUNTIFS(Chicks!$F:$F,$C501,Chicks!$G:$G,$D501,Chicks!$I:$I,"No"))</f>
        <v/>
      </c>
      <c r="J501" s="6" t="str">
        <f>IF($C501="","",IFERROR(AVERAGEIFS(Chicks!$M:$M,Chicks!$F:$F,$C501,Chicks!$G:$G,$D501),""))</f>
        <v/>
      </c>
      <c r="K501" s="6" t="str">
        <f>IF($C501="","",SUMIFS(Chicks!$N:$N,Chicks!$F:$F,$C501,Chicks!$G:$G,$D501))</f>
        <v/>
      </c>
      <c r="L501" s="6" t="str">
        <f>IF($C501="","",SUMIFS(Chicks!$O:$O,Chicks!$F:$F,$C501,Chicks!$G:$G,$D501))</f>
        <v/>
      </c>
      <c r="M501" s="6" t="str">
        <f>IF($C501="","",SUMIFS(Chicks!$P:$P,Chicks!$F:$F,$C501,Chicks!$G:$G,$D501))</f>
        <v/>
      </c>
      <c r="N501" s="6" t="str">
        <f t="shared" si="5"/>
        <v/>
      </c>
      <c r="O501" s="6" t="e">
        <f t="shared" ca="1" si="6"/>
        <v>#NAME?</v>
      </c>
      <c r="P501" s="6" t="str">
        <f t="shared" si="7"/>
        <v/>
      </c>
    </row>
    <row r="502" spans="1:16" ht="14.25" customHeight="1" x14ac:dyDescent="0.3">
      <c r="C502" s="6" t="str">
        <f t="shared" si="8"/>
        <v/>
      </c>
      <c r="D502" s="6" t="str">
        <f t="shared" si="9"/>
        <v/>
      </c>
      <c r="F502" s="6" t="str">
        <f>IF($C502="","",COUNTIFS(Chicks!$F:$F,$C502,Chicks!$G:$G,$D502))</f>
        <v/>
      </c>
      <c r="G502" s="6" t="str">
        <f>IF($C502="","",COUNTIFS(Chicks!$F:$F,$C502,Chicks!$G:$G,$D502,Chicks!$I:$I,"Yes"))</f>
        <v/>
      </c>
      <c r="H502" s="6" t="str">
        <f>IF($C502="","",SUMIFS(Chicks!$J:$J,Chicks!$F:$F,$C502,Chicks!$G:$G,$D502))</f>
        <v/>
      </c>
      <c r="I502" s="6" t="str">
        <f>IF($C502="","",COUNTIFS(Chicks!$F:$F,$C502,Chicks!$G:$G,$D502,Chicks!$I:$I,"No"))</f>
        <v/>
      </c>
      <c r="J502" s="6" t="str">
        <f>IF($C502="","",IFERROR(AVERAGEIFS(Chicks!$M:$M,Chicks!$F:$F,$C502,Chicks!$G:$G,$D502),""))</f>
        <v/>
      </c>
      <c r="K502" s="6" t="str">
        <f>IF($C502="","",SUMIFS(Chicks!$N:$N,Chicks!$F:$F,$C502,Chicks!$G:$G,$D502))</f>
        <v/>
      </c>
      <c r="L502" s="6" t="str">
        <f>IF($C502="","",SUMIFS(Chicks!$O:$O,Chicks!$F:$F,$C502,Chicks!$G:$G,$D502))</f>
        <v/>
      </c>
      <c r="M502" s="6" t="str">
        <f>IF($C502="","",SUMIFS(Chicks!$P:$P,Chicks!$F:$F,$C502,Chicks!$G:$G,$D502))</f>
        <v/>
      </c>
      <c r="N502" s="6" t="str">
        <f t="shared" si="5"/>
        <v/>
      </c>
      <c r="O502" s="6" t="e">
        <f t="shared" ca="1" si="6"/>
        <v>#NAME?</v>
      </c>
      <c r="P502" s="6" t="str">
        <f t="shared" si="7"/>
        <v/>
      </c>
    </row>
    <row r="503" spans="1:16" ht="14.25" customHeight="1" x14ac:dyDescent="0.3">
      <c r="C503" s="6" t="str">
        <f t="shared" si="8"/>
        <v/>
      </c>
      <c r="D503" s="6" t="str">
        <f t="shared" si="9"/>
        <v/>
      </c>
      <c r="F503" s="6" t="str">
        <f>IF($C503="","",COUNTIFS(Chicks!$F:$F,$C503,Chicks!$G:$G,$D503))</f>
        <v/>
      </c>
      <c r="G503" s="6" t="str">
        <f>IF($C503="","",COUNTIFS(Chicks!$F:$F,$C503,Chicks!$G:$G,$D503,Chicks!$I:$I,"Yes"))</f>
        <v/>
      </c>
      <c r="H503" s="6" t="str">
        <f>IF($C503="","",SUMIFS(Chicks!$J:$J,Chicks!$F:$F,$C503,Chicks!$G:$G,$D503))</f>
        <v/>
      </c>
      <c r="I503" s="6" t="str">
        <f>IF($C503="","",COUNTIFS(Chicks!$F:$F,$C503,Chicks!$G:$G,$D503,Chicks!$I:$I,"No"))</f>
        <v/>
      </c>
      <c r="J503" s="6" t="str">
        <f>IF($C503="","",IFERROR(AVERAGEIFS(Chicks!$M:$M,Chicks!$F:$F,$C503,Chicks!$G:$G,$D503),""))</f>
        <v/>
      </c>
      <c r="K503" s="6" t="str">
        <f>IF($C503="","",SUMIFS(Chicks!$N:$N,Chicks!$F:$F,$C503,Chicks!$G:$G,$D503))</f>
        <v/>
      </c>
      <c r="L503" s="6" t="str">
        <f>IF($C503="","",SUMIFS(Chicks!$O:$O,Chicks!$F:$F,$C503,Chicks!$G:$G,$D503))</f>
        <v/>
      </c>
      <c r="M503" s="6" t="str">
        <f>IF($C503="","",SUMIFS(Chicks!$P:$P,Chicks!$F:$F,$C503,Chicks!$G:$G,$D503))</f>
        <v/>
      </c>
      <c r="N503" s="6" t="str">
        <f t="shared" si="5"/>
        <v/>
      </c>
      <c r="O503" s="6" t="e">
        <f t="shared" ca="1" si="6"/>
        <v>#NAME?</v>
      </c>
      <c r="P503" s="6" t="str">
        <f t="shared" si="7"/>
        <v/>
      </c>
    </row>
    <row r="504" spans="1:16" ht="14.25" customHeight="1" x14ac:dyDescent="0.3">
      <c r="C504" s="6" t="str">
        <f t="shared" si="8"/>
        <v/>
      </c>
      <c r="D504" s="6" t="str">
        <f t="shared" si="9"/>
        <v/>
      </c>
      <c r="F504" s="6" t="str">
        <f>IF($C504="","",COUNTIFS(Chicks!$F:$F,$C504,Chicks!$G:$G,$D504))</f>
        <v/>
      </c>
      <c r="G504" s="6" t="str">
        <f>IF($C504="","",COUNTIFS(Chicks!$F:$F,$C504,Chicks!$G:$G,$D504,Chicks!$I:$I,"Yes"))</f>
        <v/>
      </c>
      <c r="H504" s="6" t="str">
        <f>IF($C504="","",SUMIFS(Chicks!$J:$J,Chicks!$F:$F,$C504,Chicks!$G:$G,$D504))</f>
        <v/>
      </c>
      <c r="I504" s="6" t="str">
        <f>IF($C504="","",COUNTIFS(Chicks!$F:$F,$C504,Chicks!$G:$G,$D504,Chicks!$I:$I,"No"))</f>
        <v/>
      </c>
      <c r="J504" s="6" t="str">
        <f>IF($C504="","",IFERROR(AVERAGEIFS(Chicks!$M:$M,Chicks!$F:$F,$C504,Chicks!$G:$G,$D504),""))</f>
        <v/>
      </c>
      <c r="K504" s="6" t="str">
        <f>IF($C504="","",SUMIFS(Chicks!$N:$N,Chicks!$F:$F,$C504,Chicks!$G:$G,$D504))</f>
        <v/>
      </c>
      <c r="L504" s="6" t="str">
        <f>IF($C504="","",SUMIFS(Chicks!$O:$O,Chicks!$F:$F,$C504,Chicks!$G:$G,$D504))</f>
        <v/>
      </c>
      <c r="M504" s="6" t="str">
        <f>IF($C504="","",SUMIFS(Chicks!$P:$P,Chicks!$F:$F,$C504,Chicks!$G:$G,$D504))</f>
        <v/>
      </c>
      <c r="N504" s="6" t="str">
        <f t="shared" si="5"/>
        <v/>
      </c>
      <c r="O504" s="6" t="e">
        <f t="shared" ca="1" si="6"/>
        <v>#NAME?</v>
      </c>
      <c r="P504" s="6" t="str">
        <f t="shared" si="7"/>
        <v/>
      </c>
    </row>
    <row r="505" spans="1:16" ht="14.25" customHeight="1" x14ac:dyDescent="0.3">
      <c r="C505" s="6" t="str">
        <f t="shared" si="8"/>
        <v/>
      </c>
      <c r="D505" s="6" t="str">
        <f t="shared" si="9"/>
        <v/>
      </c>
      <c r="F505" s="6" t="str">
        <f>IF($C505="","",COUNTIFS(Chicks!$F:$F,$C505,Chicks!$G:$G,$D505))</f>
        <v/>
      </c>
      <c r="G505" s="6" t="str">
        <f>IF($C505="","",COUNTIFS(Chicks!$F:$F,$C505,Chicks!$G:$G,$D505,Chicks!$I:$I,"Yes"))</f>
        <v/>
      </c>
      <c r="H505" s="6" t="str">
        <f>IF($C505="","",SUMIFS(Chicks!$J:$J,Chicks!$F:$F,$C505,Chicks!$G:$G,$D505))</f>
        <v/>
      </c>
      <c r="I505" s="6" t="str">
        <f>IF($C505="","",COUNTIFS(Chicks!$F:$F,$C505,Chicks!$G:$G,$D505,Chicks!$I:$I,"No"))</f>
        <v/>
      </c>
      <c r="J505" s="6" t="str">
        <f>IF($C505="","",IFERROR(AVERAGEIFS(Chicks!$M:$M,Chicks!$F:$F,$C505,Chicks!$G:$G,$D505),""))</f>
        <v/>
      </c>
      <c r="K505" s="6" t="str">
        <f>IF($C505="","",SUMIFS(Chicks!$N:$N,Chicks!$F:$F,$C505,Chicks!$G:$G,$D505))</f>
        <v/>
      </c>
      <c r="L505" s="6" t="str">
        <f>IF($C505="","",SUMIFS(Chicks!$O:$O,Chicks!$F:$F,$C505,Chicks!$G:$G,$D505))</f>
        <v/>
      </c>
      <c r="M505" s="6" t="str">
        <f>IF($C505="","",SUMIFS(Chicks!$P:$P,Chicks!$F:$F,$C505,Chicks!$G:$G,$D505))</f>
        <v/>
      </c>
      <c r="N505" s="6" t="str">
        <f t="shared" si="5"/>
        <v/>
      </c>
      <c r="O505" s="6" t="e">
        <f t="shared" ca="1" si="6"/>
        <v>#NAME?</v>
      </c>
      <c r="P505" s="6" t="str">
        <f t="shared" si="7"/>
        <v/>
      </c>
    </row>
    <row r="506" spans="1:16" ht="14.25" customHeight="1" x14ac:dyDescent="0.3">
      <c r="C506" s="6" t="str">
        <f t="shared" si="8"/>
        <v/>
      </c>
      <c r="D506" s="6" t="str">
        <f t="shared" si="9"/>
        <v/>
      </c>
      <c r="F506" s="6" t="str">
        <f>IF($C506="","",COUNTIFS(Chicks!$F:$F,$C506,Chicks!$G:$G,$D506))</f>
        <v/>
      </c>
      <c r="G506" s="6" t="str">
        <f>IF($C506="","",COUNTIFS(Chicks!$F:$F,$C506,Chicks!$G:$G,$D506,Chicks!$I:$I,"Yes"))</f>
        <v/>
      </c>
      <c r="H506" s="6" t="str">
        <f>IF($C506="","",SUMIFS(Chicks!$J:$J,Chicks!$F:$F,$C506,Chicks!$G:$G,$D506))</f>
        <v/>
      </c>
      <c r="I506" s="6" t="str">
        <f>IF($C506="","",COUNTIFS(Chicks!$F:$F,$C506,Chicks!$G:$G,$D506,Chicks!$I:$I,"No"))</f>
        <v/>
      </c>
      <c r="J506" s="6" t="str">
        <f>IF($C506="","",IFERROR(AVERAGEIFS(Chicks!$M:$M,Chicks!$F:$F,$C506,Chicks!$G:$G,$D506),""))</f>
        <v/>
      </c>
      <c r="K506" s="6" t="str">
        <f>IF($C506="","",SUMIFS(Chicks!$N:$N,Chicks!$F:$F,$C506,Chicks!$G:$G,$D506))</f>
        <v/>
      </c>
      <c r="L506" s="6" t="str">
        <f>IF($C506="","",SUMIFS(Chicks!$O:$O,Chicks!$F:$F,$C506,Chicks!$G:$G,$D506))</f>
        <v/>
      </c>
      <c r="M506" s="6" t="str">
        <f>IF($C506="","",SUMIFS(Chicks!$P:$P,Chicks!$F:$F,$C506,Chicks!$G:$G,$D506))</f>
        <v/>
      </c>
      <c r="N506" s="6" t="str">
        <f t="shared" si="5"/>
        <v/>
      </c>
      <c r="O506" s="6" t="e">
        <f t="shared" ca="1" si="6"/>
        <v>#NAME?</v>
      </c>
      <c r="P506" s="6" t="str">
        <f t="shared" si="7"/>
        <v/>
      </c>
    </row>
    <row r="507" spans="1:16" ht="14.25" customHeight="1" x14ac:dyDescent="0.3">
      <c r="C507" s="6" t="str">
        <f t="shared" si="8"/>
        <v/>
      </c>
      <c r="D507" s="6" t="str">
        <f t="shared" si="9"/>
        <v/>
      </c>
      <c r="F507" s="6" t="str">
        <f>IF($C507="","",COUNTIFS(Chicks!$F:$F,$C507,Chicks!$G:$G,$D507))</f>
        <v/>
      </c>
      <c r="G507" s="6" t="str">
        <f>IF($C507="","",COUNTIFS(Chicks!$F:$F,$C507,Chicks!$G:$G,$D507,Chicks!$I:$I,"Yes"))</f>
        <v/>
      </c>
      <c r="H507" s="6" t="str">
        <f>IF($C507="","",SUMIFS(Chicks!$J:$J,Chicks!$F:$F,$C507,Chicks!$G:$G,$D507))</f>
        <v/>
      </c>
      <c r="I507" s="6" t="str">
        <f>IF($C507="","",COUNTIFS(Chicks!$F:$F,$C507,Chicks!$G:$G,$D507,Chicks!$I:$I,"No"))</f>
        <v/>
      </c>
      <c r="J507" s="6" t="str">
        <f>IF($C507="","",IFERROR(AVERAGEIFS(Chicks!$M:$M,Chicks!$F:$F,$C507,Chicks!$G:$G,$D507),""))</f>
        <v/>
      </c>
      <c r="K507" s="6" t="str">
        <f>IF($C507="","",SUMIFS(Chicks!$N:$N,Chicks!$F:$F,$C507,Chicks!$G:$G,$D507))</f>
        <v/>
      </c>
      <c r="L507" s="6" t="str">
        <f>IF($C507="","",SUMIFS(Chicks!$O:$O,Chicks!$F:$F,$C507,Chicks!$G:$G,$D507))</f>
        <v/>
      </c>
      <c r="M507" s="6" t="str">
        <f>IF($C507="","",SUMIFS(Chicks!$P:$P,Chicks!$F:$F,$C507,Chicks!$G:$G,$D507))</f>
        <v/>
      </c>
      <c r="N507" s="6" t="str">
        <f t="shared" si="5"/>
        <v/>
      </c>
      <c r="O507" s="6" t="e">
        <f t="shared" ca="1" si="6"/>
        <v>#NAME?</v>
      </c>
      <c r="P507" s="6" t="str">
        <f t="shared" si="7"/>
        <v/>
      </c>
    </row>
    <row r="508" spans="1:16" ht="14.25" customHeight="1" x14ac:dyDescent="0.3">
      <c r="C508" s="6" t="str">
        <f t="shared" si="8"/>
        <v/>
      </c>
      <c r="D508" s="6" t="str">
        <f t="shared" si="9"/>
        <v/>
      </c>
      <c r="F508" s="6" t="str">
        <f>IF($C508="","",COUNTIFS(Chicks!$F:$F,$C508,Chicks!$G:$G,$D508))</f>
        <v/>
      </c>
      <c r="G508" s="6" t="str">
        <f>IF($C508="","",COUNTIFS(Chicks!$F:$F,$C508,Chicks!$G:$G,$D508,Chicks!$I:$I,"Yes"))</f>
        <v/>
      </c>
      <c r="H508" s="6" t="str">
        <f>IF($C508="","",SUMIFS(Chicks!$J:$J,Chicks!$F:$F,$C508,Chicks!$G:$G,$D508))</f>
        <v/>
      </c>
      <c r="I508" s="6" t="str">
        <f>IF($C508="","",COUNTIFS(Chicks!$F:$F,$C508,Chicks!$G:$G,$D508,Chicks!$I:$I,"No"))</f>
        <v/>
      </c>
      <c r="J508" s="6" t="str">
        <f>IF($C508="","",IFERROR(AVERAGEIFS(Chicks!$M:$M,Chicks!$F:$F,$C508,Chicks!$G:$G,$D508),""))</f>
        <v/>
      </c>
      <c r="K508" s="6" t="str">
        <f>IF($C508="","",SUMIFS(Chicks!$N:$N,Chicks!$F:$F,$C508,Chicks!$G:$G,$D508))</f>
        <v/>
      </c>
      <c r="L508" s="6" t="str">
        <f>IF($C508="","",SUMIFS(Chicks!$O:$O,Chicks!$F:$F,$C508,Chicks!$G:$G,$D508))</f>
        <v/>
      </c>
      <c r="M508" s="6" t="str">
        <f>IF($C508="","",SUMIFS(Chicks!$P:$P,Chicks!$F:$F,$C508,Chicks!$G:$G,$D508))</f>
        <v/>
      </c>
      <c r="N508" s="6" t="str">
        <f t="shared" si="5"/>
        <v/>
      </c>
      <c r="O508" s="6" t="e">
        <f t="shared" ca="1" si="6"/>
        <v>#NAME?</v>
      </c>
      <c r="P508" s="6" t="str">
        <f t="shared" si="7"/>
        <v/>
      </c>
    </row>
    <row r="509" spans="1:16" ht="14.25" customHeight="1" x14ac:dyDescent="0.3">
      <c r="C509" s="6" t="str">
        <f t="shared" si="8"/>
        <v/>
      </c>
      <c r="D509" s="6" t="str">
        <f t="shared" si="9"/>
        <v/>
      </c>
      <c r="F509" s="6" t="str">
        <f>IF($C509="","",COUNTIFS(Chicks!$F:$F,$C509,Chicks!$G:$G,$D509))</f>
        <v/>
      </c>
      <c r="G509" s="6" t="str">
        <f>IF($C509="","",COUNTIFS(Chicks!$F:$F,$C509,Chicks!$G:$G,$D509,Chicks!$I:$I,"Yes"))</f>
        <v/>
      </c>
      <c r="H509" s="6" t="str">
        <f>IF($C509="","",SUMIFS(Chicks!$J:$J,Chicks!$F:$F,$C509,Chicks!$G:$G,$D509))</f>
        <v/>
      </c>
      <c r="I509" s="6" t="str">
        <f>IF($C509="","",COUNTIFS(Chicks!$F:$F,$C509,Chicks!$G:$G,$D509,Chicks!$I:$I,"No"))</f>
        <v/>
      </c>
      <c r="J509" s="6" t="str">
        <f>IF($C509="","",IFERROR(AVERAGEIFS(Chicks!$M:$M,Chicks!$F:$F,$C509,Chicks!$G:$G,$D509),""))</f>
        <v/>
      </c>
      <c r="K509" s="6" t="str">
        <f>IF($C509="","",SUMIFS(Chicks!$N:$N,Chicks!$F:$F,$C509,Chicks!$G:$G,$D509))</f>
        <v/>
      </c>
      <c r="L509" s="6" t="str">
        <f>IF($C509="","",SUMIFS(Chicks!$O:$O,Chicks!$F:$F,$C509,Chicks!$G:$G,$D509))</f>
        <v/>
      </c>
      <c r="M509" s="6" t="str">
        <f>IF($C509="","",SUMIFS(Chicks!$P:$P,Chicks!$F:$F,$C509,Chicks!$G:$G,$D509))</f>
        <v/>
      </c>
      <c r="N509" s="6" t="str">
        <f t="shared" si="5"/>
        <v/>
      </c>
      <c r="O509" s="6" t="e">
        <f t="shared" ca="1" si="6"/>
        <v>#NAME?</v>
      </c>
      <c r="P509" s="6" t="str">
        <f t="shared" si="7"/>
        <v/>
      </c>
    </row>
    <row r="510" spans="1:16" ht="14.25" customHeight="1" x14ac:dyDescent="0.3">
      <c r="C510" s="6" t="str">
        <f t="shared" si="8"/>
        <v/>
      </c>
      <c r="D510" s="6" t="str">
        <f t="shared" si="9"/>
        <v/>
      </c>
      <c r="F510" s="6" t="str">
        <f>IF($C510="","",COUNTIFS(Chicks!$F:$F,$C510,Chicks!$G:$G,$D510))</f>
        <v/>
      </c>
      <c r="G510" s="6" t="str">
        <f>IF($C510="","",COUNTIFS(Chicks!$F:$F,$C510,Chicks!$G:$G,$D510,Chicks!$I:$I,"Yes"))</f>
        <v/>
      </c>
      <c r="H510" s="6" t="str">
        <f>IF($C510="","",SUMIFS(Chicks!$J:$J,Chicks!$F:$F,$C510,Chicks!$G:$G,$D510))</f>
        <v/>
      </c>
      <c r="I510" s="6" t="str">
        <f>IF($C510="","",COUNTIFS(Chicks!$F:$F,$C510,Chicks!$G:$G,$D510,Chicks!$I:$I,"No"))</f>
        <v/>
      </c>
      <c r="J510" s="6" t="str">
        <f>IF($C510="","",IFERROR(AVERAGEIFS(Chicks!$M:$M,Chicks!$F:$F,$C510,Chicks!$G:$G,$D510),""))</f>
        <v/>
      </c>
      <c r="K510" s="6" t="str">
        <f>IF($C510="","",SUMIFS(Chicks!$N:$N,Chicks!$F:$F,$C510,Chicks!$G:$G,$D510))</f>
        <v/>
      </c>
      <c r="L510" s="6" t="str">
        <f>IF($C510="","",SUMIFS(Chicks!$O:$O,Chicks!$F:$F,$C510,Chicks!$G:$G,$D510))</f>
        <v/>
      </c>
      <c r="M510" s="6" t="str">
        <f>IF($C510="","",SUMIFS(Chicks!$P:$P,Chicks!$F:$F,$C510,Chicks!$G:$G,$D510))</f>
        <v/>
      </c>
      <c r="N510" s="6" t="str">
        <f t="shared" si="5"/>
        <v/>
      </c>
      <c r="O510" s="6" t="e">
        <f t="shared" ca="1" si="6"/>
        <v>#NAME?</v>
      </c>
      <c r="P510" s="6" t="str">
        <f t="shared" si="7"/>
        <v/>
      </c>
    </row>
    <row r="511" spans="1:16" ht="14.25" customHeight="1" x14ac:dyDescent="0.3">
      <c r="C511" s="6" t="str">
        <f t="shared" si="8"/>
        <v/>
      </c>
      <c r="D511" s="6" t="str">
        <f t="shared" si="9"/>
        <v/>
      </c>
      <c r="F511" s="6" t="str">
        <f>IF($C511="","",COUNTIFS(Chicks!$F:$F,$C511,Chicks!$G:$G,$D511))</f>
        <v/>
      </c>
      <c r="G511" s="6" t="str">
        <f>IF($C511="","",COUNTIFS(Chicks!$F:$F,$C511,Chicks!$G:$G,$D511,Chicks!$I:$I,"Yes"))</f>
        <v/>
      </c>
      <c r="H511" s="6" t="str">
        <f>IF($C511="","",SUMIFS(Chicks!$J:$J,Chicks!$F:$F,$C511,Chicks!$G:$G,$D511))</f>
        <v/>
      </c>
      <c r="I511" s="6" t="str">
        <f>IF($C511="","",COUNTIFS(Chicks!$F:$F,$C511,Chicks!$G:$G,$D511,Chicks!$I:$I,"No"))</f>
        <v/>
      </c>
      <c r="J511" s="6" t="str">
        <f>IF($C511="","",IFERROR(AVERAGEIFS(Chicks!$M:$M,Chicks!$F:$F,$C511,Chicks!$G:$G,$D511),""))</f>
        <v/>
      </c>
      <c r="K511" s="6" t="str">
        <f>IF($C511="","",SUMIFS(Chicks!$N:$N,Chicks!$F:$F,$C511,Chicks!$G:$G,$D511))</f>
        <v/>
      </c>
      <c r="L511" s="6" t="str">
        <f>IF($C511="","",SUMIFS(Chicks!$O:$O,Chicks!$F:$F,$C511,Chicks!$G:$G,$D511))</f>
        <v/>
      </c>
      <c r="M511" s="6" t="str">
        <f>IF($C511="","",SUMIFS(Chicks!$P:$P,Chicks!$F:$F,$C511,Chicks!$G:$G,$D511))</f>
        <v/>
      </c>
      <c r="N511" s="6" t="str">
        <f t="shared" si="5"/>
        <v/>
      </c>
      <c r="O511" s="6" t="e">
        <f t="shared" ca="1" si="6"/>
        <v>#NAME?</v>
      </c>
      <c r="P511" s="6" t="str">
        <f t="shared" si="7"/>
        <v/>
      </c>
    </row>
    <row r="512" spans="1:16" ht="14.25" customHeight="1" x14ac:dyDescent="0.3">
      <c r="C512" s="6" t="str">
        <f t="shared" si="8"/>
        <v/>
      </c>
      <c r="D512" s="6" t="str">
        <f t="shared" si="9"/>
        <v/>
      </c>
      <c r="F512" s="6" t="str">
        <f>IF($C512="","",COUNTIFS(Chicks!$F:$F,$C512,Chicks!$G:$G,$D512))</f>
        <v/>
      </c>
      <c r="G512" s="6" t="str">
        <f>IF($C512="","",COUNTIFS(Chicks!$F:$F,$C512,Chicks!$G:$G,$D512,Chicks!$I:$I,"Yes"))</f>
        <v/>
      </c>
      <c r="H512" s="6" t="str">
        <f>IF($C512="","",SUMIFS(Chicks!$J:$J,Chicks!$F:$F,$C512,Chicks!$G:$G,$D512))</f>
        <v/>
      </c>
      <c r="I512" s="6" t="str">
        <f>IF($C512="","",COUNTIFS(Chicks!$F:$F,$C512,Chicks!$G:$G,$D512,Chicks!$I:$I,"No"))</f>
        <v/>
      </c>
      <c r="J512" s="6" t="str">
        <f>IF($C512="","",IFERROR(AVERAGEIFS(Chicks!$M:$M,Chicks!$F:$F,$C512,Chicks!$G:$G,$D512),""))</f>
        <v/>
      </c>
      <c r="K512" s="6" t="str">
        <f>IF($C512="","",SUMIFS(Chicks!$N:$N,Chicks!$F:$F,$C512,Chicks!$G:$G,$D512))</f>
        <v/>
      </c>
      <c r="L512" s="6" t="str">
        <f>IF($C512="","",SUMIFS(Chicks!$O:$O,Chicks!$F:$F,$C512,Chicks!$G:$G,$D512))</f>
        <v/>
      </c>
      <c r="M512" s="6" t="str">
        <f>IF($C512="","",SUMIFS(Chicks!$P:$P,Chicks!$F:$F,$C512,Chicks!$G:$G,$D512))</f>
        <v/>
      </c>
      <c r="N512" s="6" t="str">
        <f t="shared" ref="N512:N766" si="10">IF($J512="","",RANK($J512,$J$2:$J$1000,0))</f>
        <v/>
      </c>
      <c r="O512" s="6" t="e">
        <f t="shared" ref="O512:O766" ca="1" si="11">IF($F512=0,"",_xludf.IFS($G512/$F512&lt;0.5,"0★",$G512/$F512&lt;=0.6,"★",$G512/$F512&lt;=0.7,"★★",$G512/$F512&lt;=0.8,"★★★",$G512/$F512&lt;=0.9,"★★★★",$G512/$F512&lt;=1,"★★★★★"))</f>
        <v>#NAME?</v>
      </c>
      <c r="P512" s="6" t="str">
        <f t="shared" ref="P512:P766" si="12">IF($J512="","",_xludf.IFS($J512&lt;0.5,"0★",$J512&lt;=0.6,"★",$J512&lt;=0.7,"★★",$J512&lt;=0.8,"★★★",$J512&lt;=0.9,"★★★★",$J512&lt;=1,"★★★★★"))</f>
        <v/>
      </c>
    </row>
    <row r="513" spans="3:16" ht="14.25" customHeight="1" x14ac:dyDescent="0.3">
      <c r="C513" s="6" t="str">
        <f t="shared" si="8"/>
        <v/>
      </c>
      <c r="D513" s="6" t="str">
        <f t="shared" si="9"/>
        <v/>
      </c>
      <c r="F513" s="6" t="str">
        <f>IF($C513="","",COUNTIFS(Chicks!$F:$F,$C513,Chicks!$G:$G,$D513))</f>
        <v/>
      </c>
      <c r="G513" s="6" t="str">
        <f>IF($C513="","",COUNTIFS(Chicks!$F:$F,$C513,Chicks!$G:$G,$D513,Chicks!$I:$I,"Yes"))</f>
        <v/>
      </c>
      <c r="H513" s="6" t="str">
        <f>IF($C513="","",SUMIFS(Chicks!$J:$J,Chicks!$F:$F,$C513,Chicks!$G:$G,$D513))</f>
        <v/>
      </c>
      <c r="I513" s="6" t="str">
        <f>IF($C513="","",COUNTIFS(Chicks!$F:$F,$C513,Chicks!$G:$G,$D513,Chicks!$I:$I,"No"))</f>
        <v/>
      </c>
      <c r="J513" s="6" t="str">
        <f>IF($C513="","",IFERROR(AVERAGEIFS(Chicks!$M:$M,Chicks!$F:$F,$C513,Chicks!$G:$G,$D513),""))</f>
        <v/>
      </c>
      <c r="K513" s="6" t="str">
        <f>IF($C513="","",SUMIFS(Chicks!$N:$N,Chicks!$F:$F,$C513,Chicks!$G:$G,$D513))</f>
        <v/>
      </c>
      <c r="L513" s="6" t="str">
        <f>IF($C513="","",SUMIFS(Chicks!$O:$O,Chicks!$F:$F,$C513,Chicks!$G:$G,$D513))</f>
        <v/>
      </c>
      <c r="M513" s="6" t="str">
        <f>IF($C513="","",SUMIFS(Chicks!$P:$P,Chicks!$F:$F,$C513,Chicks!$G:$G,$D513))</f>
        <v/>
      </c>
      <c r="N513" s="6" t="str">
        <f t="shared" si="10"/>
        <v/>
      </c>
      <c r="O513" s="6" t="e">
        <f t="shared" ca="1" si="11"/>
        <v>#NAME?</v>
      </c>
      <c r="P513" s="6" t="str">
        <f t="shared" si="12"/>
        <v/>
      </c>
    </row>
    <row r="514" spans="3:16" ht="14.25" customHeight="1" x14ac:dyDescent="0.3">
      <c r="C514" s="6" t="str">
        <f t="shared" si="8"/>
        <v/>
      </c>
      <c r="D514" s="6" t="str">
        <f t="shared" si="9"/>
        <v/>
      </c>
      <c r="F514" s="6" t="str">
        <f>IF($C514="","",COUNTIFS(Chicks!$F:$F,$C514,Chicks!$G:$G,$D514))</f>
        <v/>
      </c>
      <c r="G514" s="6" t="str">
        <f>IF($C514="","",COUNTIFS(Chicks!$F:$F,$C514,Chicks!$G:$G,$D514,Chicks!$I:$I,"Yes"))</f>
        <v/>
      </c>
      <c r="H514" s="6" t="str">
        <f>IF($C514="","",SUMIFS(Chicks!$J:$J,Chicks!$F:$F,$C514,Chicks!$G:$G,$D514))</f>
        <v/>
      </c>
      <c r="I514" s="6" t="str">
        <f>IF($C514="","",COUNTIFS(Chicks!$F:$F,$C514,Chicks!$G:$G,$D514,Chicks!$I:$I,"No"))</f>
        <v/>
      </c>
      <c r="J514" s="6" t="str">
        <f>IF($C514="","",IFERROR(AVERAGEIFS(Chicks!$M:$M,Chicks!$F:$F,$C514,Chicks!$G:$G,$D514),""))</f>
        <v/>
      </c>
      <c r="K514" s="6" t="str">
        <f>IF($C514="","",SUMIFS(Chicks!$N:$N,Chicks!$F:$F,$C514,Chicks!$G:$G,$D514))</f>
        <v/>
      </c>
      <c r="L514" s="6" t="str">
        <f>IF($C514="","",SUMIFS(Chicks!$O:$O,Chicks!$F:$F,$C514,Chicks!$G:$G,$D514))</f>
        <v/>
      </c>
      <c r="M514" s="6" t="str">
        <f>IF($C514="","",SUMIFS(Chicks!$P:$P,Chicks!$F:$F,$C514,Chicks!$G:$G,$D514))</f>
        <v/>
      </c>
      <c r="N514" s="6" t="str">
        <f t="shared" si="10"/>
        <v/>
      </c>
      <c r="O514" s="6" t="e">
        <f t="shared" ca="1" si="11"/>
        <v>#NAME?</v>
      </c>
      <c r="P514" s="6" t="str">
        <f t="shared" si="12"/>
        <v/>
      </c>
    </row>
    <row r="515" spans="3:16" ht="14.25" customHeight="1" x14ac:dyDescent="0.3">
      <c r="C515" s="6" t="str">
        <f t="shared" si="8"/>
        <v/>
      </c>
      <c r="D515" s="6" t="str">
        <f t="shared" si="9"/>
        <v/>
      </c>
      <c r="F515" s="6" t="str">
        <f>IF($C515="","",COUNTIFS(Chicks!$F:$F,$C515,Chicks!$G:$G,$D515))</f>
        <v/>
      </c>
      <c r="G515" s="6" t="str">
        <f>IF($C515="","",COUNTIFS(Chicks!$F:$F,$C515,Chicks!$G:$G,$D515,Chicks!$I:$I,"Yes"))</f>
        <v/>
      </c>
      <c r="H515" s="6" t="str">
        <f>IF($C515="","",SUMIFS(Chicks!$J:$J,Chicks!$F:$F,$C515,Chicks!$G:$G,$D515))</f>
        <v/>
      </c>
      <c r="I515" s="6" t="str">
        <f>IF($C515="","",COUNTIFS(Chicks!$F:$F,$C515,Chicks!$G:$G,$D515,Chicks!$I:$I,"No"))</f>
        <v/>
      </c>
      <c r="J515" s="6" t="str">
        <f>IF($C515="","",IFERROR(AVERAGEIFS(Chicks!$M:$M,Chicks!$F:$F,$C515,Chicks!$G:$G,$D515),""))</f>
        <v/>
      </c>
      <c r="K515" s="6" t="str">
        <f>IF($C515="","",SUMIFS(Chicks!$N:$N,Chicks!$F:$F,$C515,Chicks!$G:$G,$D515))</f>
        <v/>
      </c>
      <c r="L515" s="6" t="str">
        <f>IF($C515="","",SUMIFS(Chicks!$O:$O,Chicks!$F:$F,$C515,Chicks!$G:$G,$D515))</f>
        <v/>
      </c>
      <c r="M515" s="6" t="str">
        <f>IF($C515="","",SUMIFS(Chicks!$P:$P,Chicks!$F:$F,$C515,Chicks!$G:$G,$D515))</f>
        <v/>
      </c>
      <c r="N515" s="6" t="str">
        <f t="shared" si="10"/>
        <v/>
      </c>
      <c r="O515" s="6" t="e">
        <f t="shared" ca="1" si="11"/>
        <v>#NAME?</v>
      </c>
      <c r="P515" s="6" t="str">
        <f t="shared" si="12"/>
        <v/>
      </c>
    </row>
    <row r="516" spans="3:16" ht="14.25" customHeight="1" x14ac:dyDescent="0.3">
      <c r="C516" s="6" t="str">
        <f t="shared" si="8"/>
        <v/>
      </c>
      <c r="D516" s="6" t="str">
        <f t="shared" si="9"/>
        <v/>
      </c>
      <c r="F516" s="6" t="str">
        <f>IF($C516="","",COUNTIFS(Chicks!$F:$F,$C516,Chicks!$G:$G,$D516))</f>
        <v/>
      </c>
      <c r="G516" s="6" t="str">
        <f>IF($C516="","",COUNTIFS(Chicks!$F:$F,$C516,Chicks!$G:$G,$D516,Chicks!$I:$I,"Yes"))</f>
        <v/>
      </c>
      <c r="H516" s="6" t="str">
        <f>IF($C516="","",SUMIFS(Chicks!$J:$J,Chicks!$F:$F,$C516,Chicks!$G:$G,$D516))</f>
        <v/>
      </c>
      <c r="I516" s="6" t="str">
        <f>IF($C516="","",COUNTIFS(Chicks!$F:$F,$C516,Chicks!$G:$G,$D516,Chicks!$I:$I,"No"))</f>
        <v/>
      </c>
      <c r="J516" s="6" t="str">
        <f>IF($C516="","",IFERROR(AVERAGEIFS(Chicks!$M:$M,Chicks!$F:$F,$C516,Chicks!$G:$G,$D516),""))</f>
        <v/>
      </c>
      <c r="K516" s="6" t="str">
        <f>IF($C516="","",SUMIFS(Chicks!$N:$N,Chicks!$F:$F,$C516,Chicks!$G:$G,$D516))</f>
        <v/>
      </c>
      <c r="L516" s="6" t="str">
        <f>IF($C516="","",SUMIFS(Chicks!$O:$O,Chicks!$F:$F,$C516,Chicks!$G:$G,$D516))</f>
        <v/>
      </c>
      <c r="M516" s="6" t="str">
        <f>IF($C516="","",SUMIFS(Chicks!$P:$P,Chicks!$F:$F,$C516,Chicks!$G:$G,$D516))</f>
        <v/>
      </c>
      <c r="N516" s="6" t="str">
        <f t="shared" si="10"/>
        <v/>
      </c>
      <c r="O516" s="6" t="e">
        <f t="shared" ca="1" si="11"/>
        <v>#NAME?</v>
      </c>
      <c r="P516" s="6" t="str">
        <f t="shared" si="12"/>
        <v/>
      </c>
    </row>
    <row r="517" spans="3:16" ht="14.25" customHeight="1" x14ac:dyDescent="0.3">
      <c r="C517" s="6" t="str">
        <f t="shared" si="8"/>
        <v/>
      </c>
      <c r="D517" s="6" t="str">
        <f t="shared" si="9"/>
        <v/>
      </c>
      <c r="F517" s="6" t="str">
        <f>IF($C517="","",COUNTIFS(Chicks!$F:$F,$C517,Chicks!$G:$G,$D517))</f>
        <v/>
      </c>
      <c r="G517" s="6" t="str">
        <f>IF($C517="","",COUNTIFS(Chicks!$F:$F,$C517,Chicks!$G:$G,$D517,Chicks!$I:$I,"Yes"))</f>
        <v/>
      </c>
      <c r="H517" s="6" t="str">
        <f>IF($C517="","",SUMIFS(Chicks!$J:$J,Chicks!$F:$F,$C517,Chicks!$G:$G,$D517))</f>
        <v/>
      </c>
      <c r="I517" s="6" t="str">
        <f>IF($C517="","",COUNTIFS(Chicks!$F:$F,$C517,Chicks!$G:$G,$D517,Chicks!$I:$I,"No"))</f>
        <v/>
      </c>
      <c r="J517" s="6" t="str">
        <f>IF($C517="","",IFERROR(AVERAGEIFS(Chicks!$M:$M,Chicks!$F:$F,$C517,Chicks!$G:$G,$D517),""))</f>
        <v/>
      </c>
      <c r="K517" s="6" t="str">
        <f>IF($C517="","",SUMIFS(Chicks!$N:$N,Chicks!$F:$F,$C517,Chicks!$G:$G,$D517))</f>
        <v/>
      </c>
      <c r="L517" s="6" t="str">
        <f>IF($C517="","",SUMIFS(Chicks!$O:$O,Chicks!$F:$F,$C517,Chicks!$G:$G,$D517))</f>
        <v/>
      </c>
      <c r="M517" s="6" t="str">
        <f>IF($C517="","",SUMIFS(Chicks!$P:$P,Chicks!$F:$F,$C517,Chicks!$G:$G,$D517))</f>
        <v/>
      </c>
      <c r="N517" s="6" t="str">
        <f t="shared" si="10"/>
        <v/>
      </c>
      <c r="O517" s="6" t="e">
        <f t="shared" ca="1" si="11"/>
        <v>#NAME?</v>
      </c>
      <c r="P517" s="6" t="str">
        <f t="shared" si="12"/>
        <v/>
      </c>
    </row>
    <row r="518" spans="3:16" ht="14.25" customHeight="1" x14ac:dyDescent="0.3">
      <c r="C518" s="6" t="str">
        <f t="shared" si="8"/>
        <v/>
      </c>
      <c r="D518" s="6" t="str">
        <f t="shared" si="9"/>
        <v/>
      </c>
      <c r="F518" s="6" t="str">
        <f>IF($C518="","",COUNTIFS(Chicks!$F:$F,$C518,Chicks!$G:$G,$D518))</f>
        <v/>
      </c>
      <c r="G518" s="6" t="str">
        <f>IF($C518="","",COUNTIFS(Chicks!$F:$F,$C518,Chicks!$G:$G,$D518,Chicks!$I:$I,"Yes"))</f>
        <v/>
      </c>
      <c r="H518" s="6" t="str">
        <f>IF($C518="","",SUMIFS(Chicks!$J:$J,Chicks!$F:$F,$C518,Chicks!$G:$G,$D518))</f>
        <v/>
      </c>
      <c r="I518" s="6" t="str">
        <f>IF($C518="","",COUNTIFS(Chicks!$F:$F,$C518,Chicks!$G:$G,$D518,Chicks!$I:$I,"No"))</f>
        <v/>
      </c>
      <c r="J518" s="6" t="str">
        <f>IF($C518="","",IFERROR(AVERAGEIFS(Chicks!$M:$M,Chicks!$F:$F,$C518,Chicks!$G:$G,$D518),""))</f>
        <v/>
      </c>
      <c r="K518" s="6" t="str">
        <f>IF($C518="","",SUMIFS(Chicks!$N:$N,Chicks!$F:$F,$C518,Chicks!$G:$G,$D518))</f>
        <v/>
      </c>
      <c r="L518" s="6" t="str">
        <f>IF($C518="","",SUMIFS(Chicks!$O:$O,Chicks!$F:$F,$C518,Chicks!$G:$G,$D518))</f>
        <v/>
      </c>
      <c r="M518" s="6" t="str">
        <f>IF($C518="","",SUMIFS(Chicks!$P:$P,Chicks!$F:$F,$C518,Chicks!$G:$G,$D518))</f>
        <v/>
      </c>
      <c r="N518" s="6" t="str">
        <f t="shared" si="10"/>
        <v/>
      </c>
      <c r="O518" s="6" t="e">
        <f t="shared" ca="1" si="11"/>
        <v>#NAME?</v>
      </c>
      <c r="P518" s="6" t="str">
        <f t="shared" si="12"/>
        <v/>
      </c>
    </row>
    <row r="519" spans="3:16" ht="14.25" customHeight="1" x14ac:dyDescent="0.3">
      <c r="C519" s="6" t="str">
        <f t="shared" si="8"/>
        <v/>
      </c>
      <c r="D519" s="6" t="str">
        <f t="shared" si="9"/>
        <v/>
      </c>
      <c r="F519" s="6" t="str">
        <f>IF($C519="","",COUNTIFS(Chicks!$F:$F,$C519,Chicks!$G:$G,$D519))</f>
        <v/>
      </c>
      <c r="G519" s="6" t="str">
        <f>IF($C519="","",COUNTIFS(Chicks!$F:$F,$C519,Chicks!$G:$G,$D519,Chicks!$I:$I,"Yes"))</f>
        <v/>
      </c>
      <c r="H519" s="6" t="str">
        <f>IF($C519="","",SUMIFS(Chicks!$J:$J,Chicks!$F:$F,$C519,Chicks!$G:$G,$D519))</f>
        <v/>
      </c>
      <c r="I519" s="6" t="str">
        <f>IF($C519="","",COUNTIFS(Chicks!$F:$F,$C519,Chicks!$G:$G,$D519,Chicks!$I:$I,"No"))</f>
        <v/>
      </c>
      <c r="J519" s="6" t="str">
        <f>IF($C519="","",IFERROR(AVERAGEIFS(Chicks!$M:$M,Chicks!$F:$F,$C519,Chicks!$G:$G,$D519),""))</f>
        <v/>
      </c>
      <c r="K519" s="6" t="str">
        <f>IF($C519="","",SUMIFS(Chicks!$N:$N,Chicks!$F:$F,$C519,Chicks!$G:$G,$D519))</f>
        <v/>
      </c>
      <c r="L519" s="6" t="str">
        <f>IF($C519="","",SUMIFS(Chicks!$O:$O,Chicks!$F:$F,$C519,Chicks!$G:$G,$D519))</f>
        <v/>
      </c>
      <c r="M519" s="6" t="str">
        <f>IF($C519="","",SUMIFS(Chicks!$P:$P,Chicks!$F:$F,$C519,Chicks!$G:$G,$D519))</f>
        <v/>
      </c>
      <c r="N519" s="6" t="str">
        <f t="shared" si="10"/>
        <v/>
      </c>
      <c r="O519" s="6" t="e">
        <f t="shared" ca="1" si="11"/>
        <v>#NAME?</v>
      </c>
      <c r="P519" s="6" t="str">
        <f t="shared" si="12"/>
        <v/>
      </c>
    </row>
    <row r="520" spans="3:16" ht="14.25" customHeight="1" x14ac:dyDescent="0.3">
      <c r="C520" s="6" t="str">
        <f t="shared" si="8"/>
        <v/>
      </c>
      <c r="D520" s="6" t="str">
        <f t="shared" si="9"/>
        <v/>
      </c>
      <c r="F520" s="6" t="str">
        <f>IF($C520="","",COUNTIFS(Chicks!$F:$F,$C520,Chicks!$G:$G,$D520))</f>
        <v/>
      </c>
      <c r="G520" s="6" t="str">
        <f>IF($C520="","",COUNTIFS(Chicks!$F:$F,$C520,Chicks!$G:$G,$D520,Chicks!$I:$I,"Yes"))</f>
        <v/>
      </c>
      <c r="H520" s="6" t="str">
        <f>IF($C520="","",SUMIFS(Chicks!$J:$J,Chicks!$F:$F,$C520,Chicks!$G:$G,$D520))</f>
        <v/>
      </c>
      <c r="I520" s="6" t="str">
        <f>IF($C520="","",COUNTIFS(Chicks!$F:$F,$C520,Chicks!$G:$G,$D520,Chicks!$I:$I,"No"))</f>
        <v/>
      </c>
      <c r="J520" s="6" t="str">
        <f>IF($C520="","",IFERROR(AVERAGEIFS(Chicks!$M:$M,Chicks!$F:$F,$C520,Chicks!$G:$G,$D520),""))</f>
        <v/>
      </c>
      <c r="K520" s="6" t="str">
        <f>IF($C520="","",SUMIFS(Chicks!$N:$N,Chicks!$F:$F,$C520,Chicks!$G:$G,$D520))</f>
        <v/>
      </c>
      <c r="L520" s="6" t="str">
        <f>IF($C520="","",SUMIFS(Chicks!$O:$O,Chicks!$F:$F,$C520,Chicks!$G:$G,$D520))</f>
        <v/>
      </c>
      <c r="M520" s="6" t="str">
        <f>IF($C520="","",SUMIFS(Chicks!$P:$P,Chicks!$F:$F,$C520,Chicks!$G:$G,$D520))</f>
        <v/>
      </c>
      <c r="N520" s="6" t="str">
        <f t="shared" si="10"/>
        <v/>
      </c>
      <c r="O520" s="6" t="e">
        <f t="shared" ca="1" si="11"/>
        <v>#NAME?</v>
      </c>
      <c r="P520" s="6" t="str">
        <f t="shared" si="12"/>
        <v/>
      </c>
    </row>
    <row r="521" spans="3:16" ht="14.25" customHeight="1" x14ac:dyDescent="0.3">
      <c r="C521" s="6" t="str">
        <f t="shared" si="8"/>
        <v/>
      </c>
      <c r="D521" s="6" t="str">
        <f t="shared" si="9"/>
        <v/>
      </c>
      <c r="F521" s="6" t="str">
        <f>IF($C521="","",COUNTIFS(Chicks!$F:$F,$C521,Chicks!$G:$G,$D521))</f>
        <v/>
      </c>
      <c r="G521" s="6" t="str">
        <f>IF($C521="","",COUNTIFS(Chicks!$F:$F,$C521,Chicks!$G:$G,$D521,Chicks!$I:$I,"Yes"))</f>
        <v/>
      </c>
      <c r="H521" s="6" t="str">
        <f>IF($C521="","",SUMIFS(Chicks!$J:$J,Chicks!$F:$F,$C521,Chicks!$G:$G,$D521))</f>
        <v/>
      </c>
      <c r="I521" s="6" t="str">
        <f>IF($C521="","",COUNTIFS(Chicks!$F:$F,$C521,Chicks!$G:$G,$D521,Chicks!$I:$I,"No"))</f>
        <v/>
      </c>
      <c r="J521" s="6" t="str">
        <f>IF($C521="","",IFERROR(AVERAGEIFS(Chicks!$M:$M,Chicks!$F:$F,$C521,Chicks!$G:$G,$D521),""))</f>
        <v/>
      </c>
      <c r="K521" s="6" t="str">
        <f>IF($C521="","",SUMIFS(Chicks!$N:$N,Chicks!$F:$F,$C521,Chicks!$G:$G,$D521))</f>
        <v/>
      </c>
      <c r="L521" s="6" t="str">
        <f>IF($C521="","",SUMIFS(Chicks!$O:$O,Chicks!$F:$F,$C521,Chicks!$G:$G,$D521))</f>
        <v/>
      </c>
      <c r="M521" s="6" t="str">
        <f>IF($C521="","",SUMIFS(Chicks!$P:$P,Chicks!$F:$F,$C521,Chicks!$G:$G,$D521))</f>
        <v/>
      </c>
      <c r="N521" s="6" t="str">
        <f t="shared" si="10"/>
        <v/>
      </c>
      <c r="O521" s="6" t="e">
        <f t="shared" ca="1" si="11"/>
        <v>#NAME?</v>
      </c>
      <c r="P521" s="6" t="str">
        <f t="shared" si="12"/>
        <v/>
      </c>
    </row>
    <row r="522" spans="3:16" ht="14.25" customHeight="1" x14ac:dyDescent="0.3">
      <c r="C522" s="6" t="str">
        <f t="shared" si="8"/>
        <v/>
      </c>
      <c r="D522" s="6" t="str">
        <f t="shared" si="9"/>
        <v/>
      </c>
      <c r="F522" s="6" t="str">
        <f>IF($C522="","",COUNTIFS(Chicks!$F:$F,$C522,Chicks!$G:$G,$D522))</f>
        <v/>
      </c>
      <c r="G522" s="6" t="str">
        <f>IF($C522="","",COUNTIFS(Chicks!$F:$F,$C522,Chicks!$G:$G,$D522,Chicks!$I:$I,"Yes"))</f>
        <v/>
      </c>
      <c r="H522" s="6" t="str">
        <f>IF($C522="","",SUMIFS(Chicks!$J:$J,Chicks!$F:$F,$C522,Chicks!$G:$G,$D522))</f>
        <v/>
      </c>
      <c r="I522" s="6" t="str">
        <f>IF($C522="","",COUNTIFS(Chicks!$F:$F,$C522,Chicks!$G:$G,$D522,Chicks!$I:$I,"No"))</f>
        <v/>
      </c>
      <c r="J522" s="6" t="str">
        <f>IF($C522="","",IFERROR(AVERAGEIFS(Chicks!$M:$M,Chicks!$F:$F,$C522,Chicks!$G:$G,$D522),""))</f>
        <v/>
      </c>
      <c r="K522" s="6" t="str">
        <f>IF($C522="","",SUMIFS(Chicks!$N:$N,Chicks!$F:$F,$C522,Chicks!$G:$G,$D522))</f>
        <v/>
      </c>
      <c r="L522" s="6" t="str">
        <f>IF($C522="","",SUMIFS(Chicks!$O:$O,Chicks!$F:$F,$C522,Chicks!$G:$G,$D522))</f>
        <v/>
      </c>
      <c r="M522" s="6" t="str">
        <f>IF($C522="","",SUMIFS(Chicks!$P:$P,Chicks!$F:$F,$C522,Chicks!$G:$G,$D522))</f>
        <v/>
      </c>
      <c r="N522" s="6" t="str">
        <f t="shared" si="10"/>
        <v/>
      </c>
      <c r="O522" s="6" t="e">
        <f t="shared" ca="1" si="11"/>
        <v>#NAME?</v>
      </c>
      <c r="P522" s="6" t="str">
        <f t="shared" si="12"/>
        <v/>
      </c>
    </row>
    <row r="523" spans="3:16" ht="14.25" customHeight="1" x14ac:dyDescent="0.3">
      <c r="C523" s="6" t="str">
        <f t="shared" si="8"/>
        <v/>
      </c>
      <c r="D523" s="6" t="str">
        <f t="shared" si="9"/>
        <v/>
      </c>
      <c r="F523" s="6" t="str">
        <f>IF($C523="","",COUNTIFS(Chicks!$F:$F,$C523,Chicks!$G:$G,$D523))</f>
        <v/>
      </c>
      <c r="G523" s="6" t="str">
        <f>IF($C523="","",COUNTIFS(Chicks!$F:$F,$C523,Chicks!$G:$G,$D523,Chicks!$I:$I,"Yes"))</f>
        <v/>
      </c>
      <c r="H523" s="6" t="str">
        <f>IF($C523="","",SUMIFS(Chicks!$J:$J,Chicks!$F:$F,$C523,Chicks!$G:$G,$D523))</f>
        <v/>
      </c>
      <c r="I523" s="6" t="str">
        <f>IF($C523="","",COUNTIFS(Chicks!$F:$F,$C523,Chicks!$G:$G,$D523,Chicks!$I:$I,"No"))</f>
        <v/>
      </c>
      <c r="J523" s="6" t="str">
        <f>IF($C523="","",IFERROR(AVERAGEIFS(Chicks!$M:$M,Chicks!$F:$F,$C523,Chicks!$G:$G,$D523),""))</f>
        <v/>
      </c>
      <c r="K523" s="6" t="str">
        <f>IF($C523="","",SUMIFS(Chicks!$N:$N,Chicks!$F:$F,$C523,Chicks!$G:$G,$D523))</f>
        <v/>
      </c>
      <c r="L523" s="6" t="str">
        <f>IF($C523="","",SUMIFS(Chicks!$O:$O,Chicks!$F:$F,$C523,Chicks!$G:$G,$D523))</f>
        <v/>
      </c>
      <c r="M523" s="6" t="str">
        <f>IF($C523="","",SUMIFS(Chicks!$P:$P,Chicks!$F:$F,$C523,Chicks!$G:$G,$D523))</f>
        <v/>
      </c>
      <c r="N523" s="6" t="str">
        <f t="shared" si="10"/>
        <v/>
      </c>
      <c r="O523" s="6" t="e">
        <f t="shared" ca="1" si="11"/>
        <v>#NAME?</v>
      </c>
      <c r="P523" s="6" t="str">
        <f t="shared" si="12"/>
        <v/>
      </c>
    </row>
    <row r="524" spans="3:16" ht="14.25" customHeight="1" x14ac:dyDescent="0.3">
      <c r="C524" s="6" t="str">
        <f t="shared" ref="C524:C778" si="13">IFERROR(VALUE(LEFT($A524,FIND("-",$A524)-1)),"")</f>
        <v/>
      </c>
      <c r="D524" s="6" t="str">
        <f t="shared" ref="D524:D778" si="14">IFERROR(VALUE(MID($A524,FIND("-",$A524)+1,99)),"")</f>
        <v/>
      </c>
      <c r="F524" s="6" t="str">
        <f>IF($C524="","",COUNTIFS(Chicks!$F:$F,$C524,Chicks!$G:$G,$D524))</f>
        <v/>
      </c>
      <c r="G524" s="6" t="str">
        <f>IF($C524="","",COUNTIFS(Chicks!$F:$F,$C524,Chicks!$G:$G,$D524,Chicks!$I:$I,"Yes"))</f>
        <v/>
      </c>
      <c r="H524" s="6" t="str">
        <f>IF($C524="","",SUMIFS(Chicks!$J:$J,Chicks!$F:$F,$C524,Chicks!$G:$G,$D524))</f>
        <v/>
      </c>
      <c r="I524" s="6" t="str">
        <f>IF($C524="","",COUNTIFS(Chicks!$F:$F,$C524,Chicks!$G:$G,$D524,Chicks!$I:$I,"No"))</f>
        <v/>
      </c>
      <c r="J524" s="6" t="str">
        <f>IF($C524="","",IFERROR(AVERAGEIFS(Chicks!$M:$M,Chicks!$F:$F,$C524,Chicks!$G:$G,$D524),""))</f>
        <v/>
      </c>
      <c r="K524" s="6" t="str">
        <f>IF($C524="","",SUMIFS(Chicks!$N:$N,Chicks!$F:$F,$C524,Chicks!$G:$G,$D524))</f>
        <v/>
      </c>
      <c r="L524" s="6" t="str">
        <f>IF($C524="","",SUMIFS(Chicks!$O:$O,Chicks!$F:$F,$C524,Chicks!$G:$G,$D524))</f>
        <v/>
      </c>
      <c r="M524" s="6" t="str">
        <f>IF($C524="","",SUMIFS(Chicks!$P:$P,Chicks!$F:$F,$C524,Chicks!$G:$G,$D524))</f>
        <v/>
      </c>
      <c r="N524" s="6" t="str">
        <f t="shared" si="10"/>
        <v/>
      </c>
      <c r="O524" s="6" t="e">
        <f t="shared" ca="1" si="11"/>
        <v>#NAME?</v>
      </c>
      <c r="P524" s="6" t="str">
        <f t="shared" si="12"/>
        <v/>
      </c>
    </row>
    <row r="525" spans="3:16" ht="14.25" customHeight="1" x14ac:dyDescent="0.3">
      <c r="C525" s="6" t="str">
        <f t="shared" si="13"/>
        <v/>
      </c>
      <c r="D525" s="6" t="str">
        <f t="shared" si="14"/>
        <v/>
      </c>
      <c r="F525" s="6" t="str">
        <f>IF($C525="","",COUNTIFS(Chicks!$F:$F,$C525,Chicks!$G:$G,$D525))</f>
        <v/>
      </c>
      <c r="G525" s="6" t="str">
        <f>IF($C525="","",COUNTIFS(Chicks!$F:$F,$C525,Chicks!$G:$G,$D525,Chicks!$I:$I,"Yes"))</f>
        <v/>
      </c>
      <c r="H525" s="6" t="str">
        <f>IF($C525="","",SUMIFS(Chicks!$J:$J,Chicks!$F:$F,$C525,Chicks!$G:$G,$D525))</f>
        <v/>
      </c>
      <c r="I525" s="6" t="str">
        <f>IF($C525="","",COUNTIFS(Chicks!$F:$F,$C525,Chicks!$G:$G,$D525,Chicks!$I:$I,"No"))</f>
        <v/>
      </c>
      <c r="J525" s="6" t="str">
        <f>IF($C525="","",IFERROR(AVERAGEIFS(Chicks!$M:$M,Chicks!$F:$F,$C525,Chicks!$G:$G,$D525),""))</f>
        <v/>
      </c>
      <c r="K525" s="6" t="str">
        <f>IF($C525="","",SUMIFS(Chicks!$N:$N,Chicks!$F:$F,$C525,Chicks!$G:$G,$D525))</f>
        <v/>
      </c>
      <c r="L525" s="6" t="str">
        <f>IF($C525="","",SUMIFS(Chicks!$O:$O,Chicks!$F:$F,$C525,Chicks!$G:$G,$D525))</f>
        <v/>
      </c>
      <c r="M525" s="6" t="str">
        <f>IF($C525="","",SUMIFS(Chicks!$P:$P,Chicks!$F:$F,$C525,Chicks!$G:$G,$D525))</f>
        <v/>
      </c>
      <c r="N525" s="6" t="str">
        <f t="shared" si="10"/>
        <v/>
      </c>
      <c r="O525" s="6" t="e">
        <f t="shared" ca="1" si="11"/>
        <v>#NAME?</v>
      </c>
      <c r="P525" s="6" t="str">
        <f t="shared" si="12"/>
        <v/>
      </c>
    </row>
    <row r="526" spans="3:16" ht="14.25" customHeight="1" x14ac:dyDescent="0.3">
      <c r="C526" s="6" t="str">
        <f t="shared" si="13"/>
        <v/>
      </c>
      <c r="D526" s="6" t="str">
        <f t="shared" si="14"/>
        <v/>
      </c>
      <c r="F526" s="6" t="str">
        <f>IF($C526="","",COUNTIFS(Chicks!$F:$F,$C526,Chicks!$G:$G,$D526))</f>
        <v/>
      </c>
      <c r="G526" s="6" t="str">
        <f>IF($C526="","",COUNTIFS(Chicks!$F:$F,$C526,Chicks!$G:$G,$D526,Chicks!$I:$I,"Yes"))</f>
        <v/>
      </c>
      <c r="H526" s="6" t="str">
        <f>IF($C526="","",SUMIFS(Chicks!$J:$J,Chicks!$F:$F,$C526,Chicks!$G:$G,$D526))</f>
        <v/>
      </c>
      <c r="I526" s="6" t="str">
        <f>IF($C526="","",COUNTIFS(Chicks!$F:$F,$C526,Chicks!$G:$G,$D526,Chicks!$I:$I,"No"))</f>
        <v/>
      </c>
      <c r="J526" s="6" t="str">
        <f>IF($C526="","",IFERROR(AVERAGEIFS(Chicks!$M:$M,Chicks!$F:$F,$C526,Chicks!$G:$G,$D526),""))</f>
        <v/>
      </c>
      <c r="K526" s="6" t="str">
        <f>IF($C526="","",SUMIFS(Chicks!$N:$N,Chicks!$F:$F,$C526,Chicks!$G:$G,$D526))</f>
        <v/>
      </c>
      <c r="L526" s="6" t="str">
        <f>IF($C526="","",SUMIFS(Chicks!$O:$O,Chicks!$F:$F,$C526,Chicks!$G:$G,$D526))</f>
        <v/>
      </c>
      <c r="M526" s="6" t="str">
        <f>IF($C526="","",SUMIFS(Chicks!$P:$P,Chicks!$F:$F,$C526,Chicks!$G:$G,$D526))</f>
        <v/>
      </c>
      <c r="N526" s="6" t="str">
        <f t="shared" si="10"/>
        <v/>
      </c>
      <c r="O526" s="6" t="e">
        <f t="shared" ca="1" si="11"/>
        <v>#NAME?</v>
      </c>
      <c r="P526" s="6" t="str">
        <f t="shared" si="12"/>
        <v/>
      </c>
    </row>
    <row r="527" spans="3:16" ht="14.25" customHeight="1" x14ac:dyDescent="0.3">
      <c r="C527" s="6" t="str">
        <f t="shared" si="13"/>
        <v/>
      </c>
      <c r="D527" s="6" t="str">
        <f t="shared" si="14"/>
        <v/>
      </c>
      <c r="F527" s="6" t="str">
        <f>IF($C527="","",COUNTIFS(Chicks!$F:$F,$C527,Chicks!$G:$G,$D527))</f>
        <v/>
      </c>
      <c r="G527" s="6" t="str">
        <f>IF($C527="","",COUNTIFS(Chicks!$F:$F,$C527,Chicks!$G:$G,$D527,Chicks!$I:$I,"Yes"))</f>
        <v/>
      </c>
      <c r="H527" s="6" t="str">
        <f>IF($C527="","",SUMIFS(Chicks!$J:$J,Chicks!$F:$F,$C527,Chicks!$G:$G,$D527))</f>
        <v/>
      </c>
      <c r="I527" s="6" t="str">
        <f>IF($C527="","",COUNTIFS(Chicks!$F:$F,$C527,Chicks!$G:$G,$D527,Chicks!$I:$I,"No"))</f>
        <v/>
      </c>
      <c r="J527" s="6" t="str">
        <f>IF($C527="","",IFERROR(AVERAGEIFS(Chicks!$M:$M,Chicks!$F:$F,$C527,Chicks!$G:$G,$D527),""))</f>
        <v/>
      </c>
      <c r="K527" s="6" t="str">
        <f>IF($C527="","",SUMIFS(Chicks!$N:$N,Chicks!$F:$F,$C527,Chicks!$G:$G,$D527))</f>
        <v/>
      </c>
      <c r="L527" s="6" t="str">
        <f>IF($C527="","",SUMIFS(Chicks!$O:$O,Chicks!$F:$F,$C527,Chicks!$G:$G,$D527))</f>
        <v/>
      </c>
      <c r="M527" s="6" t="str">
        <f>IF($C527="","",SUMIFS(Chicks!$P:$P,Chicks!$F:$F,$C527,Chicks!$G:$G,$D527))</f>
        <v/>
      </c>
      <c r="N527" s="6" t="str">
        <f t="shared" si="10"/>
        <v/>
      </c>
      <c r="O527" s="6" t="e">
        <f t="shared" ca="1" si="11"/>
        <v>#NAME?</v>
      </c>
      <c r="P527" s="6" t="str">
        <f t="shared" si="12"/>
        <v/>
      </c>
    </row>
    <row r="528" spans="3:16" ht="14.25" customHeight="1" x14ac:dyDescent="0.3">
      <c r="C528" s="6" t="str">
        <f t="shared" si="13"/>
        <v/>
      </c>
      <c r="D528" s="6" t="str">
        <f t="shared" si="14"/>
        <v/>
      </c>
      <c r="F528" s="6" t="str">
        <f>IF($C528="","",COUNTIFS(Chicks!$F:$F,$C528,Chicks!$G:$G,$D528))</f>
        <v/>
      </c>
      <c r="G528" s="6" t="str">
        <f>IF($C528="","",COUNTIFS(Chicks!$F:$F,$C528,Chicks!$G:$G,$D528,Chicks!$I:$I,"Yes"))</f>
        <v/>
      </c>
      <c r="H528" s="6" t="str">
        <f>IF($C528="","",SUMIFS(Chicks!$J:$J,Chicks!$F:$F,$C528,Chicks!$G:$G,$D528))</f>
        <v/>
      </c>
      <c r="I528" s="6" t="str">
        <f>IF($C528="","",COUNTIFS(Chicks!$F:$F,$C528,Chicks!$G:$G,$D528,Chicks!$I:$I,"No"))</f>
        <v/>
      </c>
      <c r="J528" s="6" t="str">
        <f>IF($C528="","",IFERROR(AVERAGEIFS(Chicks!$M:$M,Chicks!$F:$F,$C528,Chicks!$G:$G,$D528),""))</f>
        <v/>
      </c>
      <c r="K528" s="6" t="str">
        <f>IF($C528="","",SUMIFS(Chicks!$N:$N,Chicks!$F:$F,$C528,Chicks!$G:$G,$D528))</f>
        <v/>
      </c>
      <c r="L528" s="6" t="str">
        <f>IF($C528="","",SUMIFS(Chicks!$O:$O,Chicks!$F:$F,$C528,Chicks!$G:$G,$D528))</f>
        <v/>
      </c>
      <c r="M528" s="6" t="str">
        <f>IF($C528="","",SUMIFS(Chicks!$P:$P,Chicks!$F:$F,$C528,Chicks!$G:$G,$D528))</f>
        <v/>
      </c>
      <c r="N528" s="6" t="str">
        <f t="shared" si="10"/>
        <v/>
      </c>
      <c r="O528" s="6" t="e">
        <f t="shared" ca="1" si="11"/>
        <v>#NAME?</v>
      </c>
      <c r="P528" s="6" t="str">
        <f t="shared" si="12"/>
        <v/>
      </c>
    </row>
    <row r="529" spans="3:16" ht="14.25" customHeight="1" x14ac:dyDescent="0.3">
      <c r="C529" s="6" t="str">
        <f t="shared" si="13"/>
        <v/>
      </c>
      <c r="D529" s="6" t="str">
        <f t="shared" si="14"/>
        <v/>
      </c>
      <c r="F529" s="6" t="str">
        <f>IF($C529="","",COUNTIFS(Chicks!$F:$F,$C529,Chicks!$G:$G,$D529))</f>
        <v/>
      </c>
      <c r="G529" s="6" t="str">
        <f>IF($C529="","",COUNTIFS(Chicks!$F:$F,$C529,Chicks!$G:$G,$D529,Chicks!$I:$I,"Yes"))</f>
        <v/>
      </c>
      <c r="H529" s="6" t="str">
        <f>IF($C529="","",SUMIFS(Chicks!$J:$J,Chicks!$F:$F,$C529,Chicks!$G:$G,$D529))</f>
        <v/>
      </c>
      <c r="I529" s="6" t="str">
        <f>IF($C529="","",COUNTIFS(Chicks!$F:$F,$C529,Chicks!$G:$G,$D529,Chicks!$I:$I,"No"))</f>
        <v/>
      </c>
      <c r="J529" s="6" t="str">
        <f>IF($C529="","",IFERROR(AVERAGEIFS(Chicks!$M:$M,Chicks!$F:$F,$C529,Chicks!$G:$G,$D529),""))</f>
        <v/>
      </c>
      <c r="K529" s="6" t="str">
        <f>IF($C529="","",SUMIFS(Chicks!$N:$N,Chicks!$F:$F,$C529,Chicks!$G:$G,$D529))</f>
        <v/>
      </c>
      <c r="L529" s="6" t="str">
        <f>IF($C529="","",SUMIFS(Chicks!$O:$O,Chicks!$F:$F,$C529,Chicks!$G:$G,$D529))</f>
        <v/>
      </c>
      <c r="M529" s="6" t="str">
        <f>IF($C529="","",SUMIFS(Chicks!$P:$P,Chicks!$F:$F,$C529,Chicks!$G:$G,$D529))</f>
        <v/>
      </c>
      <c r="N529" s="6" t="str">
        <f t="shared" si="10"/>
        <v/>
      </c>
      <c r="O529" s="6" t="e">
        <f t="shared" ca="1" si="11"/>
        <v>#NAME?</v>
      </c>
      <c r="P529" s="6" t="str">
        <f t="shared" si="12"/>
        <v/>
      </c>
    </row>
    <row r="530" spans="3:16" ht="14.25" customHeight="1" x14ac:dyDescent="0.3">
      <c r="C530" s="6" t="str">
        <f t="shared" si="13"/>
        <v/>
      </c>
      <c r="D530" s="6" t="str">
        <f t="shared" si="14"/>
        <v/>
      </c>
      <c r="F530" s="6" t="str">
        <f>IF($C530="","",COUNTIFS(Chicks!$F:$F,$C530,Chicks!$G:$G,$D530))</f>
        <v/>
      </c>
      <c r="G530" s="6" t="str">
        <f>IF($C530="","",COUNTIFS(Chicks!$F:$F,$C530,Chicks!$G:$G,$D530,Chicks!$I:$I,"Yes"))</f>
        <v/>
      </c>
      <c r="H530" s="6" t="str">
        <f>IF($C530="","",SUMIFS(Chicks!$J:$J,Chicks!$F:$F,$C530,Chicks!$G:$G,$D530))</f>
        <v/>
      </c>
      <c r="I530" s="6" t="str">
        <f>IF($C530="","",COUNTIFS(Chicks!$F:$F,$C530,Chicks!$G:$G,$D530,Chicks!$I:$I,"No"))</f>
        <v/>
      </c>
      <c r="J530" s="6" t="str">
        <f>IF($C530="","",IFERROR(AVERAGEIFS(Chicks!$M:$M,Chicks!$F:$F,$C530,Chicks!$G:$G,$D530),""))</f>
        <v/>
      </c>
      <c r="K530" s="6" t="str">
        <f>IF($C530="","",SUMIFS(Chicks!$N:$N,Chicks!$F:$F,$C530,Chicks!$G:$G,$D530))</f>
        <v/>
      </c>
      <c r="L530" s="6" t="str">
        <f>IF($C530="","",SUMIFS(Chicks!$O:$O,Chicks!$F:$F,$C530,Chicks!$G:$G,$D530))</f>
        <v/>
      </c>
      <c r="M530" s="6" t="str">
        <f>IF($C530="","",SUMIFS(Chicks!$P:$P,Chicks!$F:$F,$C530,Chicks!$G:$G,$D530))</f>
        <v/>
      </c>
      <c r="N530" s="6" t="str">
        <f t="shared" si="10"/>
        <v/>
      </c>
      <c r="O530" s="6" t="e">
        <f t="shared" ca="1" si="11"/>
        <v>#NAME?</v>
      </c>
      <c r="P530" s="6" t="str">
        <f t="shared" si="12"/>
        <v/>
      </c>
    </row>
    <row r="531" spans="3:16" ht="14.25" customHeight="1" x14ac:dyDescent="0.3">
      <c r="C531" s="6" t="str">
        <f t="shared" si="13"/>
        <v/>
      </c>
      <c r="D531" s="6" t="str">
        <f t="shared" si="14"/>
        <v/>
      </c>
      <c r="F531" s="6" t="str">
        <f>IF($C531="","",COUNTIFS(Chicks!$F:$F,$C531,Chicks!$G:$G,$D531))</f>
        <v/>
      </c>
      <c r="G531" s="6" t="str">
        <f>IF($C531="","",COUNTIFS(Chicks!$F:$F,$C531,Chicks!$G:$G,$D531,Chicks!$I:$I,"Yes"))</f>
        <v/>
      </c>
      <c r="H531" s="6" t="str">
        <f>IF($C531="","",SUMIFS(Chicks!$J:$J,Chicks!$F:$F,$C531,Chicks!$G:$G,$D531))</f>
        <v/>
      </c>
      <c r="I531" s="6" t="str">
        <f>IF($C531="","",COUNTIFS(Chicks!$F:$F,$C531,Chicks!$G:$G,$D531,Chicks!$I:$I,"No"))</f>
        <v/>
      </c>
      <c r="J531" s="6" t="str">
        <f>IF($C531="","",IFERROR(AVERAGEIFS(Chicks!$M:$M,Chicks!$F:$F,$C531,Chicks!$G:$G,$D531),""))</f>
        <v/>
      </c>
      <c r="K531" s="6" t="str">
        <f>IF($C531="","",SUMIFS(Chicks!$N:$N,Chicks!$F:$F,$C531,Chicks!$G:$G,$D531))</f>
        <v/>
      </c>
      <c r="L531" s="6" t="str">
        <f>IF($C531="","",SUMIFS(Chicks!$O:$O,Chicks!$F:$F,$C531,Chicks!$G:$G,$D531))</f>
        <v/>
      </c>
      <c r="M531" s="6" t="str">
        <f>IF($C531="","",SUMIFS(Chicks!$P:$P,Chicks!$F:$F,$C531,Chicks!$G:$G,$D531))</f>
        <v/>
      </c>
      <c r="N531" s="6" t="str">
        <f t="shared" si="10"/>
        <v/>
      </c>
      <c r="O531" s="6" t="e">
        <f t="shared" ca="1" si="11"/>
        <v>#NAME?</v>
      </c>
      <c r="P531" s="6" t="str">
        <f t="shared" si="12"/>
        <v/>
      </c>
    </row>
    <row r="532" spans="3:16" ht="14.25" customHeight="1" x14ac:dyDescent="0.3">
      <c r="C532" s="6" t="str">
        <f t="shared" si="13"/>
        <v/>
      </c>
      <c r="D532" s="6" t="str">
        <f t="shared" si="14"/>
        <v/>
      </c>
      <c r="F532" s="6" t="str">
        <f>IF($C532="","",COUNTIFS(Chicks!$F:$F,$C532,Chicks!$G:$G,$D532))</f>
        <v/>
      </c>
      <c r="G532" s="6" t="str">
        <f>IF($C532="","",COUNTIFS(Chicks!$F:$F,$C532,Chicks!$G:$G,$D532,Chicks!$I:$I,"Yes"))</f>
        <v/>
      </c>
      <c r="H532" s="6" t="str">
        <f>IF($C532="","",SUMIFS(Chicks!$J:$J,Chicks!$F:$F,$C532,Chicks!$G:$G,$D532))</f>
        <v/>
      </c>
      <c r="I532" s="6" t="str">
        <f>IF($C532="","",COUNTIFS(Chicks!$F:$F,$C532,Chicks!$G:$G,$D532,Chicks!$I:$I,"No"))</f>
        <v/>
      </c>
      <c r="J532" s="6" t="str">
        <f>IF($C532="","",IFERROR(AVERAGEIFS(Chicks!$M:$M,Chicks!$F:$F,$C532,Chicks!$G:$G,$D532),""))</f>
        <v/>
      </c>
      <c r="K532" s="6" t="str">
        <f>IF($C532="","",SUMIFS(Chicks!$N:$N,Chicks!$F:$F,$C532,Chicks!$G:$G,$D532))</f>
        <v/>
      </c>
      <c r="L532" s="6" t="str">
        <f>IF($C532="","",SUMIFS(Chicks!$O:$O,Chicks!$F:$F,$C532,Chicks!$G:$G,$D532))</f>
        <v/>
      </c>
      <c r="M532" s="6" t="str">
        <f>IF($C532="","",SUMIFS(Chicks!$P:$P,Chicks!$F:$F,$C532,Chicks!$G:$G,$D532))</f>
        <v/>
      </c>
      <c r="N532" s="6" t="str">
        <f t="shared" si="10"/>
        <v/>
      </c>
      <c r="O532" s="6" t="e">
        <f t="shared" ca="1" si="11"/>
        <v>#NAME?</v>
      </c>
      <c r="P532" s="6" t="str">
        <f t="shared" si="12"/>
        <v/>
      </c>
    </row>
    <row r="533" spans="3:16" ht="14.25" customHeight="1" x14ac:dyDescent="0.3">
      <c r="C533" s="6" t="str">
        <f t="shared" si="13"/>
        <v/>
      </c>
      <c r="D533" s="6" t="str">
        <f t="shared" si="14"/>
        <v/>
      </c>
      <c r="F533" s="6" t="str">
        <f>IF($C533="","",COUNTIFS(Chicks!$F:$F,$C533,Chicks!$G:$G,$D533))</f>
        <v/>
      </c>
      <c r="G533" s="6" t="str">
        <f>IF($C533="","",COUNTIFS(Chicks!$F:$F,$C533,Chicks!$G:$G,$D533,Chicks!$I:$I,"Yes"))</f>
        <v/>
      </c>
      <c r="H533" s="6" t="str">
        <f>IF($C533="","",SUMIFS(Chicks!$J:$J,Chicks!$F:$F,$C533,Chicks!$G:$G,$D533))</f>
        <v/>
      </c>
      <c r="I533" s="6" t="str">
        <f>IF($C533="","",COUNTIFS(Chicks!$F:$F,$C533,Chicks!$G:$G,$D533,Chicks!$I:$I,"No"))</f>
        <v/>
      </c>
      <c r="J533" s="6" t="str">
        <f>IF($C533="","",IFERROR(AVERAGEIFS(Chicks!$M:$M,Chicks!$F:$F,$C533,Chicks!$G:$G,$D533),""))</f>
        <v/>
      </c>
      <c r="K533" s="6" t="str">
        <f>IF($C533="","",SUMIFS(Chicks!$N:$N,Chicks!$F:$F,$C533,Chicks!$G:$G,$D533))</f>
        <v/>
      </c>
      <c r="L533" s="6" t="str">
        <f>IF($C533="","",SUMIFS(Chicks!$O:$O,Chicks!$F:$F,$C533,Chicks!$G:$G,$D533))</f>
        <v/>
      </c>
      <c r="M533" s="6" t="str">
        <f>IF($C533="","",SUMIFS(Chicks!$P:$P,Chicks!$F:$F,$C533,Chicks!$G:$G,$D533))</f>
        <v/>
      </c>
      <c r="N533" s="6" t="str">
        <f t="shared" si="10"/>
        <v/>
      </c>
      <c r="O533" s="6" t="e">
        <f t="shared" ca="1" si="11"/>
        <v>#NAME?</v>
      </c>
      <c r="P533" s="6" t="str">
        <f t="shared" si="12"/>
        <v/>
      </c>
    </row>
    <row r="534" spans="3:16" ht="14.25" customHeight="1" x14ac:dyDescent="0.3">
      <c r="C534" s="6" t="str">
        <f t="shared" si="13"/>
        <v/>
      </c>
      <c r="D534" s="6" t="str">
        <f t="shared" si="14"/>
        <v/>
      </c>
      <c r="F534" s="6" t="str">
        <f>IF($C534="","",COUNTIFS(Chicks!$F:$F,$C534,Chicks!$G:$G,$D534))</f>
        <v/>
      </c>
      <c r="G534" s="6" t="str">
        <f>IF($C534="","",COUNTIFS(Chicks!$F:$F,$C534,Chicks!$G:$G,$D534,Chicks!$I:$I,"Yes"))</f>
        <v/>
      </c>
      <c r="H534" s="6" t="str">
        <f>IF($C534="","",SUMIFS(Chicks!$J:$J,Chicks!$F:$F,$C534,Chicks!$G:$G,$D534))</f>
        <v/>
      </c>
      <c r="I534" s="6" t="str">
        <f>IF($C534="","",COUNTIFS(Chicks!$F:$F,$C534,Chicks!$G:$G,$D534,Chicks!$I:$I,"No"))</f>
        <v/>
      </c>
      <c r="J534" s="6" t="str">
        <f>IF($C534="","",IFERROR(AVERAGEIFS(Chicks!$M:$M,Chicks!$F:$F,$C534,Chicks!$G:$G,$D534),""))</f>
        <v/>
      </c>
      <c r="K534" s="6" t="str">
        <f>IF($C534="","",SUMIFS(Chicks!$N:$N,Chicks!$F:$F,$C534,Chicks!$G:$G,$D534))</f>
        <v/>
      </c>
      <c r="L534" s="6" t="str">
        <f>IF($C534="","",SUMIFS(Chicks!$O:$O,Chicks!$F:$F,$C534,Chicks!$G:$G,$D534))</f>
        <v/>
      </c>
      <c r="M534" s="6" t="str">
        <f>IF($C534="","",SUMIFS(Chicks!$P:$P,Chicks!$F:$F,$C534,Chicks!$G:$G,$D534))</f>
        <v/>
      </c>
      <c r="N534" s="6" t="str">
        <f t="shared" si="10"/>
        <v/>
      </c>
      <c r="O534" s="6" t="e">
        <f t="shared" ca="1" si="11"/>
        <v>#NAME?</v>
      </c>
      <c r="P534" s="6" t="str">
        <f t="shared" si="12"/>
        <v/>
      </c>
    </row>
    <row r="535" spans="3:16" ht="14.25" customHeight="1" x14ac:dyDescent="0.3">
      <c r="C535" s="6" t="str">
        <f t="shared" si="13"/>
        <v/>
      </c>
      <c r="D535" s="6" t="str">
        <f t="shared" si="14"/>
        <v/>
      </c>
      <c r="F535" s="6" t="str">
        <f>IF($C535="","",COUNTIFS(Chicks!$F:$F,$C535,Chicks!$G:$G,$D535))</f>
        <v/>
      </c>
      <c r="G535" s="6" t="str">
        <f>IF($C535="","",COUNTIFS(Chicks!$F:$F,$C535,Chicks!$G:$G,$D535,Chicks!$I:$I,"Yes"))</f>
        <v/>
      </c>
      <c r="H535" s="6" t="str">
        <f>IF($C535="","",SUMIFS(Chicks!$J:$J,Chicks!$F:$F,$C535,Chicks!$G:$G,$D535))</f>
        <v/>
      </c>
      <c r="I535" s="6" t="str">
        <f>IF($C535="","",COUNTIFS(Chicks!$F:$F,$C535,Chicks!$G:$G,$D535,Chicks!$I:$I,"No"))</f>
        <v/>
      </c>
      <c r="J535" s="6" t="str">
        <f>IF($C535="","",IFERROR(AVERAGEIFS(Chicks!$M:$M,Chicks!$F:$F,$C535,Chicks!$G:$G,$D535),""))</f>
        <v/>
      </c>
      <c r="K535" s="6" t="str">
        <f>IF($C535="","",SUMIFS(Chicks!$N:$N,Chicks!$F:$F,$C535,Chicks!$G:$G,$D535))</f>
        <v/>
      </c>
      <c r="L535" s="6" t="str">
        <f>IF($C535="","",SUMIFS(Chicks!$O:$O,Chicks!$F:$F,$C535,Chicks!$G:$G,$D535))</f>
        <v/>
      </c>
      <c r="M535" s="6" t="str">
        <f>IF($C535="","",SUMIFS(Chicks!$P:$P,Chicks!$F:$F,$C535,Chicks!$G:$G,$D535))</f>
        <v/>
      </c>
      <c r="N535" s="6" t="str">
        <f t="shared" si="10"/>
        <v/>
      </c>
      <c r="O535" s="6" t="e">
        <f t="shared" ca="1" si="11"/>
        <v>#NAME?</v>
      </c>
      <c r="P535" s="6" t="str">
        <f t="shared" si="12"/>
        <v/>
      </c>
    </row>
    <row r="536" spans="3:16" ht="14.25" customHeight="1" x14ac:dyDescent="0.3">
      <c r="C536" s="6" t="str">
        <f t="shared" si="13"/>
        <v/>
      </c>
      <c r="D536" s="6" t="str">
        <f t="shared" si="14"/>
        <v/>
      </c>
      <c r="F536" s="6" t="str">
        <f>IF($C536="","",COUNTIFS(Chicks!$F:$F,$C536,Chicks!$G:$G,$D536))</f>
        <v/>
      </c>
      <c r="G536" s="6" t="str">
        <f>IF($C536="","",COUNTIFS(Chicks!$F:$F,$C536,Chicks!$G:$G,$D536,Chicks!$I:$I,"Yes"))</f>
        <v/>
      </c>
      <c r="H536" s="6" t="str">
        <f>IF($C536="","",SUMIFS(Chicks!$J:$J,Chicks!$F:$F,$C536,Chicks!$G:$G,$D536))</f>
        <v/>
      </c>
      <c r="I536" s="6" t="str">
        <f>IF($C536="","",COUNTIFS(Chicks!$F:$F,$C536,Chicks!$G:$G,$D536,Chicks!$I:$I,"No"))</f>
        <v/>
      </c>
      <c r="J536" s="6" t="str">
        <f>IF($C536="","",IFERROR(AVERAGEIFS(Chicks!$M:$M,Chicks!$F:$F,$C536,Chicks!$G:$G,$D536),""))</f>
        <v/>
      </c>
      <c r="K536" s="6" t="str">
        <f>IF($C536="","",SUMIFS(Chicks!$N:$N,Chicks!$F:$F,$C536,Chicks!$G:$G,$D536))</f>
        <v/>
      </c>
      <c r="L536" s="6" t="str">
        <f>IF($C536="","",SUMIFS(Chicks!$O:$O,Chicks!$F:$F,$C536,Chicks!$G:$G,$D536))</f>
        <v/>
      </c>
      <c r="M536" s="6" t="str">
        <f>IF($C536="","",SUMIFS(Chicks!$P:$P,Chicks!$F:$F,$C536,Chicks!$G:$G,$D536))</f>
        <v/>
      </c>
      <c r="N536" s="6" t="str">
        <f t="shared" si="10"/>
        <v/>
      </c>
      <c r="O536" s="6" t="e">
        <f t="shared" ca="1" si="11"/>
        <v>#NAME?</v>
      </c>
      <c r="P536" s="6" t="str">
        <f t="shared" si="12"/>
        <v/>
      </c>
    </row>
    <row r="537" spans="3:16" ht="14.25" customHeight="1" x14ac:dyDescent="0.3">
      <c r="C537" s="6" t="str">
        <f t="shared" si="13"/>
        <v/>
      </c>
      <c r="D537" s="6" t="str">
        <f t="shared" si="14"/>
        <v/>
      </c>
      <c r="F537" s="6" t="str">
        <f>IF($C537="","",COUNTIFS(Chicks!$F:$F,$C537,Chicks!$G:$G,$D537))</f>
        <v/>
      </c>
      <c r="G537" s="6" t="str">
        <f>IF($C537="","",COUNTIFS(Chicks!$F:$F,$C537,Chicks!$G:$G,$D537,Chicks!$I:$I,"Yes"))</f>
        <v/>
      </c>
      <c r="H537" s="6" t="str">
        <f>IF($C537="","",SUMIFS(Chicks!$J:$J,Chicks!$F:$F,$C537,Chicks!$G:$G,$D537))</f>
        <v/>
      </c>
      <c r="I537" s="6" t="str">
        <f>IF($C537="","",COUNTIFS(Chicks!$F:$F,$C537,Chicks!$G:$G,$D537,Chicks!$I:$I,"No"))</f>
        <v/>
      </c>
      <c r="J537" s="6" t="str">
        <f>IF($C537="","",IFERROR(AVERAGEIFS(Chicks!$M:$M,Chicks!$F:$F,$C537,Chicks!$G:$G,$D537),""))</f>
        <v/>
      </c>
      <c r="K537" s="6" t="str">
        <f>IF($C537="","",SUMIFS(Chicks!$N:$N,Chicks!$F:$F,$C537,Chicks!$G:$G,$D537))</f>
        <v/>
      </c>
      <c r="L537" s="6" t="str">
        <f>IF($C537="","",SUMIFS(Chicks!$O:$O,Chicks!$F:$F,$C537,Chicks!$G:$G,$D537))</f>
        <v/>
      </c>
      <c r="M537" s="6" t="str">
        <f>IF($C537="","",SUMIFS(Chicks!$P:$P,Chicks!$F:$F,$C537,Chicks!$G:$G,$D537))</f>
        <v/>
      </c>
      <c r="N537" s="6" t="str">
        <f t="shared" si="10"/>
        <v/>
      </c>
      <c r="O537" s="6" t="e">
        <f t="shared" ca="1" si="11"/>
        <v>#NAME?</v>
      </c>
      <c r="P537" s="6" t="str">
        <f t="shared" si="12"/>
        <v/>
      </c>
    </row>
    <row r="538" spans="3:16" ht="14.25" customHeight="1" x14ac:dyDescent="0.3">
      <c r="C538" s="6" t="str">
        <f t="shared" si="13"/>
        <v/>
      </c>
      <c r="D538" s="6" t="str">
        <f t="shared" si="14"/>
        <v/>
      </c>
      <c r="F538" s="6" t="str">
        <f>IF($C538="","",COUNTIFS(Chicks!$F:$F,$C538,Chicks!$G:$G,$D538))</f>
        <v/>
      </c>
      <c r="G538" s="6" t="str">
        <f>IF($C538="","",COUNTIFS(Chicks!$F:$F,$C538,Chicks!$G:$G,$D538,Chicks!$I:$I,"Yes"))</f>
        <v/>
      </c>
      <c r="H538" s="6" t="str">
        <f>IF($C538="","",SUMIFS(Chicks!$J:$J,Chicks!$F:$F,$C538,Chicks!$G:$G,$D538))</f>
        <v/>
      </c>
      <c r="I538" s="6" t="str">
        <f>IF($C538="","",COUNTIFS(Chicks!$F:$F,$C538,Chicks!$G:$G,$D538,Chicks!$I:$I,"No"))</f>
        <v/>
      </c>
      <c r="J538" s="6" t="str">
        <f>IF($C538="","",IFERROR(AVERAGEIFS(Chicks!$M:$M,Chicks!$F:$F,$C538,Chicks!$G:$G,$D538),""))</f>
        <v/>
      </c>
      <c r="K538" s="6" t="str">
        <f>IF($C538="","",SUMIFS(Chicks!$N:$N,Chicks!$F:$F,$C538,Chicks!$G:$G,$D538))</f>
        <v/>
      </c>
      <c r="L538" s="6" t="str">
        <f>IF($C538="","",SUMIFS(Chicks!$O:$O,Chicks!$F:$F,$C538,Chicks!$G:$G,$D538))</f>
        <v/>
      </c>
      <c r="M538" s="6" t="str">
        <f>IF($C538="","",SUMIFS(Chicks!$P:$P,Chicks!$F:$F,$C538,Chicks!$G:$G,$D538))</f>
        <v/>
      </c>
      <c r="N538" s="6" t="str">
        <f t="shared" si="10"/>
        <v/>
      </c>
      <c r="O538" s="6" t="e">
        <f t="shared" ca="1" si="11"/>
        <v>#NAME?</v>
      </c>
      <c r="P538" s="6" t="str">
        <f t="shared" si="12"/>
        <v/>
      </c>
    </row>
    <row r="539" spans="3:16" ht="14.25" customHeight="1" x14ac:dyDescent="0.3">
      <c r="C539" s="6" t="str">
        <f t="shared" si="13"/>
        <v/>
      </c>
      <c r="D539" s="6" t="str">
        <f t="shared" si="14"/>
        <v/>
      </c>
      <c r="F539" s="6" t="str">
        <f>IF($C539="","",COUNTIFS(Chicks!$F:$F,$C539,Chicks!$G:$G,$D539))</f>
        <v/>
      </c>
      <c r="G539" s="6" t="str">
        <f>IF($C539="","",COUNTIFS(Chicks!$F:$F,$C539,Chicks!$G:$G,$D539,Chicks!$I:$I,"Yes"))</f>
        <v/>
      </c>
      <c r="H539" s="6" t="str">
        <f>IF($C539="","",SUMIFS(Chicks!$J:$J,Chicks!$F:$F,$C539,Chicks!$G:$G,$D539))</f>
        <v/>
      </c>
      <c r="I539" s="6" t="str">
        <f>IF($C539="","",COUNTIFS(Chicks!$F:$F,$C539,Chicks!$G:$G,$D539,Chicks!$I:$I,"No"))</f>
        <v/>
      </c>
      <c r="J539" s="6" t="str">
        <f>IF($C539="","",IFERROR(AVERAGEIFS(Chicks!$M:$M,Chicks!$F:$F,$C539,Chicks!$G:$G,$D539),""))</f>
        <v/>
      </c>
      <c r="K539" s="6" t="str">
        <f>IF($C539="","",SUMIFS(Chicks!$N:$N,Chicks!$F:$F,$C539,Chicks!$G:$G,$D539))</f>
        <v/>
      </c>
      <c r="L539" s="6" t="str">
        <f>IF($C539="","",SUMIFS(Chicks!$O:$O,Chicks!$F:$F,$C539,Chicks!$G:$G,$D539))</f>
        <v/>
      </c>
      <c r="M539" s="6" t="str">
        <f>IF($C539="","",SUMIFS(Chicks!$P:$P,Chicks!$F:$F,$C539,Chicks!$G:$G,$D539))</f>
        <v/>
      </c>
      <c r="N539" s="6" t="str">
        <f t="shared" si="10"/>
        <v/>
      </c>
      <c r="O539" s="6" t="e">
        <f t="shared" ca="1" si="11"/>
        <v>#NAME?</v>
      </c>
      <c r="P539" s="6" t="str">
        <f t="shared" si="12"/>
        <v/>
      </c>
    </row>
    <row r="540" spans="3:16" ht="14.25" customHeight="1" x14ac:dyDescent="0.3">
      <c r="C540" s="6" t="str">
        <f t="shared" si="13"/>
        <v/>
      </c>
      <c r="D540" s="6" t="str">
        <f t="shared" si="14"/>
        <v/>
      </c>
      <c r="F540" s="6" t="str">
        <f>IF($C540="","",COUNTIFS(Chicks!$F:$F,$C540,Chicks!$G:$G,$D540))</f>
        <v/>
      </c>
      <c r="G540" s="6" t="str">
        <f>IF($C540="","",COUNTIFS(Chicks!$F:$F,$C540,Chicks!$G:$G,$D540,Chicks!$I:$I,"Yes"))</f>
        <v/>
      </c>
      <c r="H540" s="6" t="str">
        <f>IF($C540="","",SUMIFS(Chicks!$J:$J,Chicks!$F:$F,$C540,Chicks!$G:$G,$D540))</f>
        <v/>
      </c>
      <c r="I540" s="6" t="str">
        <f>IF($C540="","",COUNTIFS(Chicks!$F:$F,$C540,Chicks!$G:$G,$D540,Chicks!$I:$I,"No"))</f>
        <v/>
      </c>
      <c r="J540" s="6" t="str">
        <f>IF($C540="","",IFERROR(AVERAGEIFS(Chicks!$M:$M,Chicks!$F:$F,$C540,Chicks!$G:$G,$D540),""))</f>
        <v/>
      </c>
      <c r="K540" s="6" t="str">
        <f>IF($C540="","",SUMIFS(Chicks!$N:$N,Chicks!$F:$F,$C540,Chicks!$G:$G,$D540))</f>
        <v/>
      </c>
      <c r="L540" s="6" t="str">
        <f>IF($C540="","",SUMIFS(Chicks!$O:$O,Chicks!$F:$F,$C540,Chicks!$G:$G,$D540))</f>
        <v/>
      </c>
      <c r="M540" s="6" t="str">
        <f>IF($C540="","",SUMIFS(Chicks!$P:$P,Chicks!$F:$F,$C540,Chicks!$G:$G,$D540))</f>
        <v/>
      </c>
      <c r="N540" s="6" t="str">
        <f t="shared" si="10"/>
        <v/>
      </c>
      <c r="O540" s="6" t="e">
        <f t="shared" ca="1" si="11"/>
        <v>#NAME?</v>
      </c>
      <c r="P540" s="6" t="str">
        <f t="shared" si="12"/>
        <v/>
      </c>
    </row>
    <row r="541" spans="3:16" ht="14.25" customHeight="1" x14ac:dyDescent="0.3">
      <c r="C541" s="6" t="str">
        <f t="shared" si="13"/>
        <v/>
      </c>
      <c r="D541" s="6" t="str">
        <f t="shared" si="14"/>
        <v/>
      </c>
      <c r="F541" s="6" t="str">
        <f>IF($C541="","",COUNTIFS(Chicks!$F:$F,$C541,Chicks!$G:$G,$D541))</f>
        <v/>
      </c>
      <c r="G541" s="6" t="str">
        <f>IF($C541="","",COUNTIFS(Chicks!$F:$F,$C541,Chicks!$G:$G,$D541,Chicks!$I:$I,"Yes"))</f>
        <v/>
      </c>
      <c r="H541" s="6" t="str">
        <f>IF($C541="","",SUMIFS(Chicks!$J:$J,Chicks!$F:$F,$C541,Chicks!$G:$G,$D541))</f>
        <v/>
      </c>
      <c r="I541" s="6" t="str">
        <f>IF($C541="","",COUNTIFS(Chicks!$F:$F,$C541,Chicks!$G:$G,$D541,Chicks!$I:$I,"No"))</f>
        <v/>
      </c>
      <c r="J541" s="6" t="str">
        <f>IF($C541="","",IFERROR(AVERAGEIFS(Chicks!$M:$M,Chicks!$F:$F,$C541,Chicks!$G:$G,$D541),""))</f>
        <v/>
      </c>
      <c r="K541" s="6" t="str">
        <f>IF($C541="","",SUMIFS(Chicks!$N:$N,Chicks!$F:$F,$C541,Chicks!$G:$G,$D541))</f>
        <v/>
      </c>
      <c r="L541" s="6" t="str">
        <f>IF($C541="","",SUMIFS(Chicks!$O:$O,Chicks!$F:$F,$C541,Chicks!$G:$G,$D541))</f>
        <v/>
      </c>
      <c r="M541" s="6" t="str">
        <f>IF($C541="","",SUMIFS(Chicks!$P:$P,Chicks!$F:$F,$C541,Chicks!$G:$G,$D541))</f>
        <v/>
      </c>
      <c r="N541" s="6" t="str">
        <f t="shared" si="10"/>
        <v/>
      </c>
      <c r="O541" s="6" t="e">
        <f t="shared" ca="1" si="11"/>
        <v>#NAME?</v>
      </c>
      <c r="P541" s="6" t="str">
        <f t="shared" si="12"/>
        <v/>
      </c>
    </row>
    <row r="542" spans="3:16" ht="14.25" customHeight="1" x14ac:dyDescent="0.3">
      <c r="C542" s="6" t="str">
        <f t="shared" si="13"/>
        <v/>
      </c>
      <c r="D542" s="6" t="str">
        <f t="shared" si="14"/>
        <v/>
      </c>
      <c r="F542" s="6" t="str">
        <f>IF($C542="","",COUNTIFS(Chicks!$F:$F,$C542,Chicks!$G:$G,$D542))</f>
        <v/>
      </c>
      <c r="G542" s="6" t="str">
        <f>IF($C542="","",COUNTIFS(Chicks!$F:$F,$C542,Chicks!$G:$G,$D542,Chicks!$I:$I,"Yes"))</f>
        <v/>
      </c>
      <c r="H542" s="6" t="str">
        <f>IF($C542="","",SUMIFS(Chicks!$J:$J,Chicks!$F:$F,$C542,Chicks!$G:$G,$D542))</f>
        <v/>
      </c>
      <c r="I542" s="6" t="str">
        <f>IF($C542="","",COUNTIFS(Chicks!$F:$F,$C542,Chicks!$G:$G,$D542,Chicks!$I:$I,"No"))</f>
        <v/>
      </c>
      <c r="J542" s="6" t="str">
        <f>IF($C542="","",IFERROR(AVERAGEIFS(Chicks!$M:$M,Chicks!$F:$F,$C542,Chicks!$G:$G,$D542),""))</f>
        <v/>
      </c>
      <c r="K542" s="6" t="str">
        <f>IF($C542="","",SUMIFS(Chicks!$N:$N,Chicks!$F:$F,$C542,Chicks!$G:$G,$D542))</f>
        <v/>
      </c>
      <c r="L542" s="6" t="str">
        <f>IF($C542="","",SUMIFS(Chicks!$O:$O,Chicks!$F:$F,$C542,Chicks!$G:$G,$D542))</f>
        <v/>
      </c>
      <c r="M542" s="6" t="str">
        <f>IF($C542="","",SUMIFS(Chicks!$P:$P,Chicks!$F:$F,$C542,Chicks!$G:$G,$D542))</f>
        <v/>
      </c>
      <c r="N542" s="6" t="str">
        <f t="shared" si="10"/>
        <v/>
      </c>
      <c r="O542" s="6" t="e">
        <f t="shared" ca="1" si="11"/>
        <v>#NAME?</v>
      </c>
      <c r="P542" s="6" t="str">
        <f t="shared" si="12"/>
        <v/>
      </c>
    </row>
    <row r="543" spans="3:16" ht="14.25" customHeight="1" x14ac:dyDescent="0.3">
      <c r="C543" s="6" t="str">
        <f t="shared" si="13"/>
        <v/>
      </c>
      <c r="D543" s="6" t="str">
        <f t="shared" si="14"/>
        <v/>
      </c>
      <c r="F543" s="6" t="str">
        <f>IF($C543="","",COUNTIFS(Chicks!$F:$F,$C543,Chicks!$G:$G,$D543))</f>
        <v/>
      </c>
      <c r="G543" s="6" t="str">
        <f>IF($C543="","",COUNTIFS(Chicks!$F:$F,$C543,Chicks!$G:$G,$D543,Chicks!$I:$I,"Yes"))</f>
        <v/>
      </c>
      <c r="H543" s="6" t="str">
        <f>IF($C543="","",SUMIFS(Chicks!$J:$J,Chicks!$F:$F,$C543,Chicks!$G:$G,$D543))</f>
        <v/>
      </c>
      <c r="I543" s="6" t="str">
        <f>IF($C543="","",COUNTIFS(Chicks!$F:$F,$C543,Chicks!$G:$G,$D543,Chicks!$I:$I,"No"))</f>
        <v/>
      </c>
      <c r="J543" s="6" t="str">
        <f>IF($C543="","",IFERROR(AVERAGEIFS(Chicks!$M:$M,Chicks!$F:$F,$C543,Chicks!$G:$G,$D543),""))</f>
        <v/>
      </c>
      <c r="K543" s="6" t="str">
        <f>IF($C543="","",SUMIFS(Chicks!$N:$N,Chicks!$F:$F,$C543,Chicks!$G:$G,$D543))</f>
        <v/>
      </c>
      <c r="L543" s="6" t="str">
        <f>IF($C543="","",SUMIFS(Chicks!$O:$O,Chicks!$F:$F,$C543,Chicks!$G:$G,$D543))</f>
        <v/>
      </c>
      <c r="M543" s="6" t="str">
        <f>IF($C543="","",SUMIFS(Chicks!$P:$P,Chicks!$F:$F,$C543,Chicks!$G:$G,$D543))</f>
        <v/>
      </c>
      <c r="N543" s="6" t="str">
        <f t="shared" si="10"/>
        <v/>
      </c>
      <c r="O543" s="6" t="e">
        <f t="shared" ca="1" si="11"/>
        <v>#NAME?</v>
      </c>
      <c r="P543" s="6" t="str">
        <f t="shared" si="12"/>
        <v/>
      </c>
    </row>
    <row r="544" spans="3:16" ht="14.25" customHeight="1" x14ac:dyDescent="0.3">
      <c r="C544" s="6" t="str">
        <f t="shared" si="13"/>
        <v/>
      </c>
      <c r="D544" s="6" t="str">
        <f t="shared" si="14"/>
        <v/>
      </c>
      <c r="F544" s="6" t="str">
        <f>IF($C544="","",COUNTIFS(Chicks!$F:$F,$C544,Chicks!$G:$G,$D544))</f>
        <v/>
      </c>
      <c r="G544" s="6" t="str">
        <f>IF($C544="","",COUNTIFS(Chicks!$F:$F,$C544,Chicks!$G:$G,$D544,Chicks!$I:$I,"Yes"))</f>
        <v/>
      </c>
      <c r="H544" s="6" t="str">
        <f>IF($C544="","",SUMIFS(Chicks!$J:$J,Chicks!$F:$F,$C544,Chicks!$G:$G,$D544))</f>
        <v/>
      </c>
      <c r="I544" s="6" t="str">
        <f>IF($C544="","",COUNTIFS(Chicks!$F:$F,$C544,Chicks!$G:$G,$D544,Chicks!$I:$I,"No"))</f>
        <v/>
      </c>
      <c r="J544" s="6" t="str">
        <f>IF($C544="","",IFERROR(AVERAGEIFS(Chicks!$M:$M,Chicks!$F:$F,$C544,Chicks!$G:$G,$D544),""))</f>
        <v/>
      </c>
      <c r="K544" s="6" t="str">
        <f>IF($C544="","",SUMIFS(Chicks!$N:$N,Chicks!$F:$F,$C544,Chicks!$G:$G,$D544))</f>
        <v/>
      </c>
      <c r="L544" s="6" t="str">
        <f>IF($C544="","",SUMIFS(Chicks!$O:$O,Chicks!$F:$F,$C544,Chicks!$G:$G,$D544))</f>
        <v/>
      </c>
      <c r="M544" s="6" t="str">
        <f>IF($C544="","",SUMIFS(Chicks!$P:$P,Chicks!$F:$F,$C544,Chicks!$G:$G,$D544))</f>
        <v/>
      </c>
      <c r="N544" s="6" t="str">
        <f t="shared" si="10"/>
        <v/>
      </c>
      <c r="O544" s="6" t="e">
        <f t="shared" ca="1" si="11"/>
        <v>#NAME?</v>
      </c>
      <c r="P544" s="6" t="str">
        <f t="shared" si="12"/>
        <v/>
      </c>
    </row>
    <row r="545" spans="3:16" ht="14.25" customHeight="1" x14ac:dyDescent="0.3">
      <c r="C545" s="6" t="str">
        <f t="shared" si="13"/>
        <v/>
      </c>
      <c r="D545" s="6" t="str">
        <f t="shared" si="14"/>
        <v/>
      </c>
      <c r="F545" s="6" t="str">
        <f>IF($C545="","",COUNTIFS(Chicks!$F:$F,$C545,Chicks!$G:$G,$D545))</f>
        <v/>
      </c>
      <c r="G545" s="6" t="str">
        <f>IF($C545="","",COUNTIFS(Chicks!$F:$F,$C545,Chicks!$G:$G,$D545,Chicks!$I:$I,"Yes"))</f>
        <v/>
      </c>
      <c r="H545" s="6" t="str">
        <f>IF($C545="","",SUMIFS(Chicks!$J:$J,Chicks!$F:$F,$C545,Chicks!$G:$G,$D545))</f>
        <v/>
      </c>
      <c r="I545" s="6" t="str">
        <f>IF($C545="","",COUNTIFS(Chicks!$F:$F,$C545,Chicks!$G:$G,$D545,Chicks!$I:$I,"No"))</f>
        <v/>
      </c>
      <c r="J545" s="6" t="str">
        <f>IF($C545="","",IFERROR(AVERAGEIFS(Chicks!$M:$M,Chicks!$F:$F,$C545,Chicks!$G:$G,$D545),""))</f>
        <v/>
      </c>
      <c r="K545" s="6" t="str">
        <f>IF($C545="","",SUMIFS(Chicks!$N:$N,Chicks!$F:$F,$C545,Chicks!$G:$G,$D545))</f>
        <v/>
      </c>
      <c r="L545" s="6" t="str">
        <f>IF($C545="","",SUMIFS(Chicks!$O:$O,Chicks!$F:$F,$C545,Chicks!$G:$G,$D545))</f>
        <v/>
      </c>
      <c r="M545" s="6" t="str">
        <f>IF($C545="","",SUMIFS(Chicks!$P:$P,Chicks!$F:$F,$C545,Chicks!$G:$G,$D545))</f>
        <v/>
      </c>
      <c r="N545" s="6" t="str">
        <f t="shared" si="10"/>
        <v/>
      </c>
      <c r="O545" s="6" t="e">
        <f t="shared" ca="1" si="11"/>
        <v>#NAME?</v>
      </c>
      <c r="P545" s="6" t="str">
        <f t="shared" si="12"/>
        <v/>
      </c>
    </row>
    <row r="546" spans="3:16" ht="14.25" customHeight="1" x14ac:dyDescent="0.3">
      <c r="C546" s="6" t="str">
        <f t="shared" si="13"/>
        <v/>
      </c>
      <c r="D546" s="6" t="str">
        <f t="shared" si="14"/>
        <v/>
      </c>
      <c r="F546" s="6" t="str">
        <f>IF($C546="","",COUNTIFS(Chicks!$F:$F,$C546,Chicks!$G:$G,$D546))</f>
        <v/>
      </c>
      <c r="G546" s="6" t="str">
        <f>IF($C546="","",COUNTIFS(Chicks!$F:$F,$C546,Chicks!$G:$G,$D546,Chicks!$I:$I,"Yes"))</f>
        <v/>
      </c>
      <c r="H546" s="6" t="str">
        <f>IF($C546="","",SUMIFS(Chicks!$J:$J,Chicks!$F:$F,$C546,Chicks!$G:$G,$D546))</f>
        <v/>
      </c>
      <c r="I546" s="6" t="str">
        <f>IF($C546="","",COUNTIFS(Chicks!$F:$F,$C546,Chicks!$G:$G,$D546,Chicks!$I:$I,"No"))</f>
        <v/>
      </c>
      <c r="J546" s="6" t="str">
        <f>IF($C546="","",IFERROR(AVERAGEIFS(Chicks!$M:$M,Chicks!$F:$F,$C546,Chicks!$G:$G,$D546),""))</f>
        <v/>
      </c>
      <c r="K546" s="6" t="str">
        <f>IF($C546="","",SUMIFS(Chicks!$N:$N,Chicks!$F:$F,$C546,Chicks!$G:$G,$D546))</f>
        <v/>
      </c>
      <c r="L546" s="6" t="str">
        <f>IF($C546="","",SUMIFS(Chicks!$O:$O,Chicks!$F:$F,$C546,Chicks!$G:$G,$D546))</f>
        <v/>
      </c>
      <c r="M546" s="6" t="str">
        <f>IF($C546="","",SUMIFS(Chicks!$P:$P,Chicks!$F:$F,$C546,Chicks!$G:$G,$D546))</f>
        <v/>
      </c>
      <c r="N546" s="6" t="str">
        <f t="shared" si="10"/>
        <v/>
      </c>
      <c r="O546" s="6" t="e">
        <f t="shared" ca="1" si="11"/>
        <v>#NAME?</v>
      </c>
      <c r="P546" s="6" t="str">
        <f t="shared" si="12"/>
        <v/>
      </c>
    </row>
    <row r="547" spans="3:16" ht="14.25" customHeight="1" x14ac:dyDescent="0.3">
      <c r="C547" s="6" t="str">
        <f t="shared" si="13"/>
        <v/>
      </c>
      <c r="D547" s="6" t="str">
        <f t="shared" si="14"/>
        <v/>
      </c>
      <c r="F547" s="6" t="str">
        <f>IF($C547="","",COUNTIFS(Chicks!$F:$F,$C547,Chicks!$G:$G,$D547))</f>
        <v/>
      </c>
      <c r="G547" s="6" t="str">
        <f>IF($C547="","",COUNTIFS(Chicks!$F:$F,$C547,Chicks!$G:$G,$D547,Chicks!$I:$I,"Yes"))</f>
        <v/>
      </c>
      <c r="H547" s="6" t="str">
        <f>IF($C547="","",SUMIFS(Chicks!$J:$J,Chicks!$F:$F,$C547,Chicks!$G:$G,$D547))</f>
        <v/>
      </c>
      <c r="I547" s="6" t="str">
        <f>IF($C547="","",COUNTIFS(Chicks!$F:$F,$C547,Chicks!$G:$G,$D547,Chicks!$I:$I,"No"))</f>
        <v/>
      </c>
      <c r="J547" s="6" t="str">
        <f>IF($C547="","",IFERROR(AVERAGEIFS(Chicks!$M:$M,Chicks!$F:$F,$C547,Chicks!$G:$G,$D547),""))</f>
        <v/>
      </c>
      <c r="K547" s="6" t="str">
        <f>IF($C547="","",SUMIFS(Chicks!$N:$N,Chicks!$F:$F,$C547,Chicks!$G:$G,$D547))</f>
        <v/>
      </c>
      <c r="L547" s="6" t="str">
        <f>IF($C547="","",SUMIFS(Chicks!$O:$O,Chicks!$F:$F,$C547,Chicks!$G:$G,$D547))</f>
        <v/>
      </c>
      <c r="M547" s="6" t="str">
        <f>IF($C547="","",SUMIFS(Chicks!$P:$P,Chicks!$F:$F,$C547,Chicks!$G:$G,$D547))</f>
        <v/>
      </c>
      <c r="N547" s="6" t="str">
        <f t="shared" si="10"/>
        <v/>
      </c>
      <c r="O547" s="6" t="e">
        <f t="shared" ca="1" si="11"/>
        <v>#NAME?</v>
      </c>
      <c r="P547" s="6" t="str">
        <f t="shared" si="12"/>
        <v/>
      </c>
    </row>
    <row r="548" spans="3:16" ht="14.25" customHeight="1" x14ac:dyDescent="0.3">
      <c r="C548" s="6" t="str">
        <f t="shared" si="13"/>
        <v/>
      </c>
      <c r="D548" s="6" t="str">
        <f t="shared" si="14"/>
        <v/>
      </c>
      <c r="F548" s="6" t="str">
        <f>IF($C548="","",COUNTIFS(Chicks!$F:$F,$C548,Chicks!$G:$G,$D548))</f>
        <v/>
      </c>
      <c r="G548" s="6" t="str">
        <f>IF($C548="","",COUNTIFS(Chicks!$F:$F,$C548,Chicks!$G:$G,$D548,Chicks!$I:$I,"Yes"))</f>
        <v/>
      </c>
      <c r="H548" s="6" t="str">
        <f>IF($C548="","",SUMIFS(Chicks!$J:$J,Chicks!$F:$F,$C548,Chicks!$G:$G,$D548))</f>
        <v/>
      </c>
      <c r="I548" s="6" t="str">
        <f>IF($C548="","",COUNTIFS(Chicks!$F:$F,$C548,Chicks!$G:$G,$D548,Chicks!$I:$I,"No"))</f>
        <v/>
      </c>
      <c r="J548" s="6" t="str">
        <f>IF($C548="","",IFERROR(AVERAGEIFS(Chicks!$M:$M,Chicks!$F:$F,$C548,Chicks!$G:$G,$D548),""))</f>
        <v/>
      </c>
      <c r="K548" s="6" t="str">
        <f>IF($C548="","",SUMIFS(Chicks!$N:$N,Chicks!$F:$F,$C548,Chicks!$G:$G,$D548))</f>
        <v/>
      </c>
      <c r="L548" s="6" t="str">
        <f>IF($C548="","",SUMIFS(Chicks!$O:$O,Chicks!$F:$F,$C548,Chicks!$G:$G,$D548))</f>
        <v/>
      </c>
      <c r="M548" s="6" t="str">
        <f>IF($C548="","",SUMIFS(Chicks!$P:$P,Chicks!$F:$F,$C548,Chicks!$G:$G,$D548))</f>
        <v/>
      </c>
      <c r="N548" s="6" t="str">
        <f t="shared" si="10"/>
        <v/>
      </c>
      <c r="O548" s="6" t="e">
        <f t="shared" ca="1" si="11"/>
        <v>#NAME?</v>
      </c>
      <c r="P548" s="6" t="str">
        <f t="shared" si="12"/>
        <v/>
      </c>
    </row>
    <row r="549" spans="3:16" ht="14.25" customHeight="1" x14ac:dyDescent="0.3">
      <c r="C549" s="6" t="str">
        <f t="shared" si="13"/>
        <v/>
      </c>
      <c r="D549" s="6" t="str">
        <f t="shared" si="14"/>
        <v/>
      </c>
      <c r="F549" s="6" t="str">
        <f>IF($C549="","",COUNTIFS(Chicks!$F:$F,$C549,Chicks!$G:$G,$D549))</f>
        <v/>
      </c>
      <c r="G549" s="6" t="str">
        <f>IF($C549="","",COUNTIFS(Chicks!$F:$F,$C549,Chicks!$G:$G,$D549,Chicks!$I:$I,"Yes"))</f>
        <v/>
      </c>
      <c r="H549" s="6" t="str">
        <f>IF($C549="","",SUMIFS(Chicks!$J:$J,Chicks!$F:$F,$C549,Chicks!$G:$G,$D549))</f>
        <v/>
      </c>
      <c r="I549" s="6" t="str">
        <f>IF($C549="","",COUNTIFS(Chicks!$F:$F,$C549,Chicks!$G:$G,$D549,Chicks!$I:$I,"No"))</f>
        <v/>
      </c>
      <c r="J549" s="6" t="str">
        <f>IF($C549="","",IFERROR(AVERAGEIFS(Chicks!$M:$M,Chicks!$F:$F,$C549,Chicks!$G:$G,$D549),""))</f>
        <v/>
      </c>
      <c r="K549" s="6" t="str">
        <f>IF($C549="","",SUMIFS(Chicks!$N:$N,Chicks!$F:$F,$C549,Chicks!$G:$G,$D549))</f>
        <v/>
      </c>
      <c r="L549" s="6" t="str">
        <f>IF($C549="","",SUMIFS(Chicks!$O:$O,Chicks!$F:$F,$C549,Chicks!$G:$G,$D549))</f>
        <v/>
      </c>
      <c r="M549" s="6" t="str">
        <f>IF($C549="","",SUMIFS(Chicks!$P:$P,Chicks!$F:$F,$C549,Chicks!$G:$G,$D549))</f>
        <v/>
      </c>
      <c r="N549" s="6" t="str">
        <f t="shared" si="10"/>
        <v/>
      </c>
      <c r="O549" s="6" t="e">
        <f t="shared" ca="1" si="11"/>
        <v>#NAME?</v>
      </c>
      <c r="P549" s="6" t="str">
        <f t="shared" si="12"/>
        <v/>
      </c>
    </row>
    <row r="550" spans="3:16" ht="14.25" customHeight="1" x14ac:dyDescent="0.3">
      <c r="C550" s="6" t="str">
        <f t="shared" si="13"/>
        <v/>
      </c>
      <c r="D550" s="6" t="str">
        <f t="shared" si="14"/>
        <v/>
      </c>
      <c r="F550" s="6" t="str">
        <f>IF($C550="","",COUNTIFS(Chicks!$F:$F,$C550,Chicks!$G:$G,$D550))</f>
        <v/>
      </c>
      <c r="G550" s="6" t="str">
        <f>IF($C550="","",COUNTIFS(Chicks!$F:$F,$C550,Chicks!$G:$G,$D550,Chicks!$I:$I,"Yes"))</f>
        <v/>
      </c>
      <c r="H550" s="6" t="str">
        <f>IF($C550="","",SUMIFS(Chicks!$J:$J,Chicks!$F:$F,$C550,Chicks!$G:$G,$D550))</f>
        <v/>
      </c>
      <c r="I550" s="6" t="str">
        <f>IF($C550="","",COUNTIFS(Chicks!$F:$F,$C550,Chicks!$G:$G,$D550,Chicks!$I:$I,"No"))</f>
        <v/>
      </c>
      <c r="J550" s="6" t="str">
        <f>IF($C550="","",IFERROR(AVERAGEIFS(Chicks!$M:$M,Chicks!$F:$F,$C550,Chicks!$G:$G,$D550),""))</f>
        <v/>
      </c>
      <c r="K550" s="6" t="str">
        <f>IF($C550="","",SUMIFS(Chicks!$N:$N,Chicks!$F:$F,$C550,Chicks!$G:$G,$D550))</f>
        <v/>
      </c>
      <c r="L550" s="6" t="str">
        <f>IF($C550="","",SUMIFS(Chicks!$O:$O,Chicks!$F:$F,$C550,Chicks!$G:$G,$D550))</f>
        <v/>
      </c>
      <c r="M550" s="6" t="str">
        <f>IF($C550="","",SUMIFS(Chicks!$P:$P,Chicks!$F:$F,$C550,Chicks!$G:$G,$D550))</f>
        <v/>
      </c>
      <c r="N550" s="6" t="str">
        <f t="shared" si="10"/>
        <v/>
      </c>
      <c r="O550" s="6" t="e">
        <f t="shared" ca="1" si="11"/>
        <v>#NAME?</v>
      </c>
      <c r="P550" s="6" t="str">
        <f t="shared" si="12"/>
        <v/>
      </c>
    </row>
    <row r="551" spans="3:16" ht="14.25" customHeight="1" x14ac:dyDescent="0.3">
      <c r="C551" s="6" t="str">
        <f t="shared" si="13"/>
        <v/>
      </c>
      <c r="D551" s="6" t="str">
        <f t="shared" si="14"/>
        <v/>
      </c>
      <c r="F551" s="6" t="str">
        <f>IF($C551="","",COUNTIFS(Chicks!$F:$F,$C551,Chicks!$G:$G,$D551))</f>
        <v/>
      </c>
      <c r="G551" s="6" t="str">
        <f>IF($C551="","",COUNTIFS(Chicks!$F:$F,$C551,Chicks!$G:$G,$D551,Chicks!$I:$I,"Yes"))</f>
        <v/>
      </c>
      <c r="H551" s="6" t="str">
        <f>IF($C551="","",SUMIFS(Chicks!$J:$J,Chicks!$F:$F,$C551,Chicks!$G:$G,$D551))</f>
        <v/>
      </c>
      <c r="I551" s="6" t="str">
        <f>IF($C551="","",COUNTIFS(Chicks!$F:$F,$C551,Chicks!$G:$G,$D551,Chicks!$I:$I,"No"))</f>
        <v/>
      </c>
      <c r="J551" s="6" t="str">
        <f>IF($C551="","",IFERROR(AVERAGEIFS(Chicks!$M:$M,Chicks!$F:$F,$C551,Chicks!$G:$G,$D551),""))</f>
        <v/>
      </c>
      <c r="K551" s="6" t="str">
        <f>IF($C551="","",SUMIFS(Chicks!$N:$N,Chicks!$F:$F,$C551,Chicks!$G:$G,$D551))</f>
        <v/>
      </c>
      <c r="L551" s="6" t="str">
        <f>IF($C551="","",SUMIFS(Chicks!$O:$O,Chicks!$F:$F,$C551,Chicks!$G:$G,$D551))</f>
        <v/>
      </c>
      <c r="M551" s="6" t="str">
        <f>IF($C551="","",SUMIFS(Chicks!$P:$P,Chicks!$F:$F,$C551,Chicks!$G:$G,$D551))</f>
        <v/>
      </c>
      <c r="N551" s="6" t="str">
        <f t="shared" si="10"/>
        <v/>
      </c>
      <c r="O551" s="6" t="e">
        <f t="shared" ca="1" si="11"/>
        <v>#NAME?</v>
      </c>
      <c r="P551" s="6" t="str">
        <f t="shared" si="12"/>
        <v/>
      </c>
    </row>
    <row r="552" spans="3:16" ht="14.25" customHeight="1" x14ac:dyDescent="0.3">
      <c r="C552" s="6" t="str">
        <f t="shared" si="13"/>
        <v/>
      </c>
      <c r="D552" s="6" t="str">
        <f t="shared" si="14"/>
        <v/>
      </c>
      <c r="F552" s="6" t="str">
        <f>IF($C552="","",COUNTIFS(Chicks!$F:$F,$C552,Chicks!$G:$G,$D552))</f>
        <v/>
      </c>
      <c r="G552" s="6" t="str">
        <f>IF($C552="","",COUNTIFS(Chicks!$F:$F,$C552,Chicks!$G:$G,$D552,Chicks!$I:$I,"Yes"))</f>
        <v/>
      </c>
      <c r="H552" s="6" t="str">
        <f>IF($C552="","",SUMIFS(Chicks!$J:$J,Chicks!$F:$F,$C552,Chicks!$G:$G,$D552))</f>
        <v/>
      </c>
      <c r="I552" s="6" t="str">
        <f>IF($C552="","",COUNTIFS(Chicks!$F:$F,$C552,Chicks!$G:$G,$D552,Chicks!$I:$I,"No"))</f>
        <v/>
      </c>
      <c r="J552" s="6" t="str">
        <f>IF($C552="","",IFERROR(AVERAGEIFS(Chicks!$M:$M,Chicks!$F:$F,$C552,Chicks!$G:$G,$D552),""))</f>
        <v/>
      </c>
      <c r="K552" s="6" t="str">
        <f>IF($C552="","",SUMIFS(Chicks!$N:$N,Chicks!$F:$F,$C552,Chicks!$G:$G,$D552))</f>
        <v/>
      </c>
      <c r="L552" s="6" t="str">
        <f>IF($C552="","",SUMIFS(Chicks!$O:$O,Chicks!$F:$F,$C552,Chicks!$G:$G,$D552))</f>
        <v/>
      </c>
      <c r="M552" s="6" t="str">
        <f>IF($C552="","",SUMIFS(Chicks!$P:$P,Chicks!$F:$F,$C552,Chicks!$G:$G,$D552))</f>
        <v/>
      </c>
      <c r="N552" s="6" t="str">
        <f t="shared" si="10"/>
        <v/>
      </c>
      <c r="O552" s="6" t="e">
        <f t="shared" ca="1" si="11"/>
        <v>#NAME?</v>
      </c>
      <c r="P552" s="6" t="str">
        <f t="shared" si="12"/>
        <v/>
      </c>
    </row>
    <row r="553" spans="3:16" ht="14.25" customHeight="1" x14ac:dyDescent="0.3">
      <c r="C553" s="6" t="str">
        <f t="shared" si="13"/>
        <v/>
      </c>
      <c r="D553" s="6" t="str">
        <f t="shared" si="14"/>
        <v/>
      </c>
      <c r="F553" s="6" t="str">
        <f>IF($C553="","",COUNTIFS(Chicks!$F:$F,$C553,Chicks!$G:$G,$D553))</f>
        <v/>
      </c>
      <c r="G553" s="6" t="str">
        <f>IF($C553="","",COUNTIFS(Chicks!$F:$F,$C553,Chicks!$G:$G,$D553,Chicks!$I:$I,"Yes"))</f>
        <v/>
      </c>
      <c r="H553" s="6" t="str">
        <f>IF($C553="","",SUMIFS(Chicks!$J:$J,Chicks!$F:$F,$C553,Chicks!$G:$G,$D553))</f>
        <v/>
      </c>
      <c r="I553" s="6" t="str">
        <f>IF($C553="","",COUNTIFS(Chicks!$F:$F,$C553,Chicks!$G:$G,$D553,Chicks!$I:$I,"No"))</f>
        <v/>
      </c>
      <c r="J553" s="6" t="str">
        <f>IF($C553="","",IFERROR(AVERAGEIFS(Chicks!$M:$M,Chicks!$F:$F,$C553,Chicks!$G:$G,$D553),""))</f>
        <v/>
      </c>
      <c r="K553" s="6" t="str">
        <f>IF($C553="","",SUMIFS(Chicks!$N:$N,Chicks!$F:$F,$C553,Chicks!$G:$G,$D553))</f>
        <v/>
      </c>
      <c r="L553" s="6" t="str">
        <f>IF($C553="","",SUMIFS(Chicks!$O:$O,Chicks!$F:$F,$C553,Chicks!$G:$G,$D553))</f>
        <v/>
      </c>
      <c r="M553" s="6" t="str">
        <f>IF($C553="","",SUMIFS(Chicks!$P:$P,Chicks!$F:$F,$C553,Chicks!$G:$G,$D553))</f>
        <v/>
      </c>
      <c r="N553" s="6" t="str">
        <f t="shared" si="10"/>
        <v/>
      </c>
      <c r="O553" s="6" t="e">
        <f t="shared" ca="1" si="11"/>
        <v>#NAME?</v>
      </c>
      <c r="P553" s="6" t="str">
        <f t="shared" si="12"/>
        <v/>
      </c>
    </row>
    <row r="554" spans="3:16" ht="14.25" customHeight="1" x14ac:dyDescent="0.3">
      <c r="C554" s="6" t="str">
        <f t="shared" si="13"/>
        <v/>
      </c>
      <c r="D554" s="6" t="str">
        <f t="shared" si="14"/>
        <v/>
      </c>
      <c r="F554" s="6" t="str">
        <f>IF($C554="","",COUNTIFS(Chicks!$F:$F,$C554,Chicks!$G:$G,$D554))</f>
        <v/>
      </c>
      <c r="G554" s="6" t="str">
        <f>IF($C554="","",COUNTIFS(Chicks!$F:$F,$C554,Chicks!$G:$G,$D554,Chicks!$I:$I,"Yes"))</f>
        <v/>
      </c>
      <c r="H554" s="6" t="str">
        <f>IF($C554="","",SUMIFS(Chicks!$J:$J,Chicks!$F:$F,$C554,Chicks!$G:$G,$D554))</f>
        <v/>
      </c>
      <c r="I554" s="6" t="str">
        <f>IF($C554="","",COUNTIFS(Chicks!$F:$F,$C554,Chicks!$G:$G,$D554,Chicks!$I:$I,"No"))</f>
        <v/>
      </c>
      <c r="J554" s="6" t="str">
        <f>IF($C554="","",IFERROR(AVERAGEIFS(Chicks!$M:$M,Chicks!$F:$F,$C554,Chicks!$G:$G,$D554),""))</f>
        <v/>
      </c>
      <c r="K554" s="6" t="str">
        <f>IF($C554="","",SUMIFS(Chicks!$N:$N,Chicks!$F:$F,$C554,Chicks!$G:$G,$D554))</f>
        <v/>
      </c>
      <c r="L554" s="6" t="str">
        <f>IF($C554="","",SUMIFS(Chicks!$O:$O,Chicks!$F:$F,$C554,Chicks!$G:$G,$D554))</f>
        <v/>
      </c>
      <c r="M554" s="6" t="str">
        <f>IF($C554="","",SUMIFS(Chicks!$P:$P,Chicks!$F:$F,$C554,Chicks!$G:$G,$D554))</f>
        <v/>
      </c>
      <c r="N554" s="6" t="str">
        <f t="shared" si="10"/>
        <v/>
      </c>
      <c r="O554" s="6" t="e">
        <f t="shared" ca="1" si="11"/>
        <v>#NAME?</v>
      </c>
      <c r="P554" s="6" t="str">
        <f t="shared" si="12"/>
        <v/>
      </c>
    </row>
    <row r="555" spans="3:16" ht="14.25" customHeight="1" x14ac:dyDescent="0.3">
      <c r="C555" s="6" t="str">
        <f t="shared" si="13"/>
        <v/>
      </c>
      <c r="D555" s="6" t="str">
        <f t="shared" si="14"/>
        <v/>
      </c>
      <c r="F555" s="6" t="str">
        <f>IF($C555="","",COUNTIFS(Chicks!$F:$F,$C555,Chicks!$G:$G,$D555))</f>
        <v/>
      </c>
      <c r="G555" s="6" t="str">
        <f>IF($C555="","",COUNTIFS(Chicks!$F:$F,$C555,Chicks!$G:$G,$D555,Chicks!$I:$I,"Yes"))</f>
        <v/>
      </c>
      <c r="H555" s="6" t="str">
        <f>IF($C555="","",SUMIFS(Chicks!$J:$J,Chicks!$F:$F,$C555,Chicks!$G:$G,$D555))</f>
        <v/>
      </c>
      <c r="I555" s="6" t="str">
        <f>IF($C555="","",COUNTIFS(Chicks!$F:$F,$C555,Chicks!$G:$G,$D555,Chicks!$I:$I,"No"))</f>
        <v/>
      </c>
      <c r="J555" s="6" t="str">
        <f>IF($C555="","",IFERROR(AVERAGEIFS(Chicks!$M:$M,Chicks!$F:$F,$C555,Chicks!$G:$G,$D555),""))</f>
        <v/>
      </c>
      <c r="K555" s="6" t="str">
        <f>IF($C555="","",SUMIFS(Chicks!$N:$N,Chicks!$F:$F,$C555,Chicks!$G:$G,$D555))</f>
        <v/>
      </c>
      <c r="L555" s="6" t="str">
        <f>IF($C555="","",SUMIFS(Chicks!$O:$O,Chicks!$F:$F,$C555,Chicks!$G:$G,$D555))</f>
        <v/>
      </c>
      <c r="M555" s="6" t="str">
        <f>IF($C555="","",SUMIFS(Chicks!$P:$P,Chicks!$F:$F,$C555,Chicks!$G:$G,$D555))</f>
        <v/>
      </c>
      <c r="N555" s="6" t="str">
        <f t="shared" si="10"/>
        <v/>
      </c>
      <c r="O555" s="6" t="e">
        <f t="shared" ca="1" si="11"/>
        <v>#NAME?</v>
      </c>
      <c r="P555" s="6" t="str">
        <f t="shared" si="12"/>
        <v/>
      </c>
    </row>
    <row r="556" spans="3:16" ht="14.25" customHeight="1" x14ac:dyDescent="0.3">
      <c r="C556" s="6" t="str">
        <f t="shared" si="13"/>
        <v/>
      </c>
      <c r="D556" s="6" t="str">
        <f t="shared" si="14"/>
        <v/>
      </c>
      <c r="F556" s="6" t="str">
        <f>IF($C556="","",COUNTIFS(Chicks!$F:$F,$C556,Chicks!$G:$G,$D556))</f>
        <v/>
      </c>
      <c r="G556" s="6" t="str">
        <f>IF($C556="","",COUNTIFS(Chicks!$F:$F,$C556,Chicks!$G:$G,$D556,Chicks!$I:$I,"Yes"))</f>
        <v/>
      </c>
      <c r="H556" s="6" t="str">
        <f>IF($C556="","",SUMIFS(Chicks!$J:$J,Chicks!$F:$F,$C556,Chicks!$G:$G,$D556))</f>
        <v/>
      </c>
      <c r="I556" s="6" t="str">
        <f>IF($C556="","",COUNTIFS(Chicks!$F:$F,$C556,Chicks!$G:$G,$D556,Chicks!$I:$I,"No"))</f>
        <v/>
      </c>
      <c r="J556" s="6" t="str">
        <f>IF($C556="","",IFERROR(AVERAGEIFS(Chicks!$M:$M,Chicks!$F:$F,$C556,Chicks!$G:$G,$D556),""))</f>
        <v/>
      </c>
      <c r="K556" s="6" t="str">
        <f>IF($C556="","",SUMIFS(Chicks!$N:$N,Chicks!$F:$F,$C556,Chicks!$G:$G,$D556))</f>
        <v/>
      </c>
      <c r="L556" s="6" t="str">
        <f>IF($C556="","",SUMIFS(Chicks!$O:$O,Chicks!$F:$F,$C556,Chicks!$G:$G,$D556))</f>
        <v/>
      </c>
      <c r="M556" s="6" t="str">
        <f>IF($C556="","",SUMIFS(Chicks!$P:$P,Chicks!$F:$F,$C556,Chicks!$G:$G,$D556))</f>
        <v/>
      </c>
      <c r="N556" s="6" t="str">
        <f t="shared" si="10"/>
        <v/>
      </c>
      <c r="O556" s="6" t="e">
        <f t="shared" ca="1" si="11"/>
        <v>#NAME?</v>
      </c>
      <c r="P556" s="6" t="str">
        <f t="shared" si="12"/>
        <v/>
      </c>
    </row>
    <row r="557" spans="3:16" ht="14.25" customHeight="1" x14ac:dyDescent="0.3">
      <c r="C557" s="6" t="str">
        <f t="shared" si="13"/>
        <v/>
      </c>
      <c r="D557" s="6" t="str">
        <f t="shared" si="14"/>
        <v/>
      </c>
      <c r="F557" s="6" t="str">
        <f>IF($C557="","",COUNTIFS(Chicks!$F:$F,$C557,Chicks!$G:$G,$D557))</f>
        <v/>
      </c>
      <c r="G557" s="6" t="str">
        <f>IF($C557="","",COUNTIFS(Chicks!$F:$F,$C557,Chicks!$G:$G,$D557,Chicks!$I:$I,"Yes"))</f>
        <v/>
      </c>
      <c r="H557" s="6" t="str">
        <f>IF($C557="","",SUMIFS(Chicks!$J:$J,Chicks!$F:$F,$C557,Chicks!$G:$G,$D557))</f>
        <v/>
      </c>
      <c r="I557" s="6" t="str">
        <f>IF($C557="","",COUNTIFS(Chicks!$F:$F,$C557,Chicks!$G:$G,$D557,Chicks!$I:$I,"No"))</f>
        <v/>
      </c>
      <c r="J557" s="6" t="str">
        <f>IF($C557="","",IFERROR(AVERAGEIFS(Chicks!$M:$M,Chicks!$F:$F,$C557,Chicks!$G:$G,$D557),""))</f>
        <v/>
      </c>
      <c r="K557" s="6" t="str">
        <f>IF($C557="","",SUMIFS(Chicks!$N:$N,Chicks!$F:$F,$C557,Chicks!$G:$G,$D557))</f>
        <v/>
      </c>
      <c r="L557" s="6" t="str">
        <f>IF($C557="","",SUMIFS(Chicks!$O:$O,Chicks!$F:$F,$C557,Chicks!$G:$G,$D557))</f>
        <v/>
      </c>
      <c r="M557" s="6" t="str">
        <f>IF($C557="","",SUMIFS(Chicks!$P:$P,Chicks!$F:$F,$C557,Chicks!$G:$G,$D557))</f>
        <v/>
      </c>
      <c r="N557" s="6" t="str">
        <f t="shared" si="10"/>
        <v/>
      </c>
      <c r="O557" s="6" t="e">
        <f t="shared" ca="1" si="11"/>
        <v>#NAME?</v>
      </c>
      <c r="P557" s="6" t="str">
        <f t="shared" si="12"/>
        <v/>
      </c>
    </row>
    <row r="558" spans="3:16" ht="14.25" customHeight="1" x14ac:dyDescent="0.3">
      <c r="C558" s="6" t="str">
        <f t="shared" si="13"/>
        <v/>
      </c>
      <c r="D558" s="6" t="str">
        <f t="shared" si="14"/>
        <v/>
      </c>
      <c r="F558" s="6" t="str">
        <f>IF($C558="","",COUNTIFS(Chicks!$F:$F,$C558,Chicks!$G:$G,$D558))</f>
        <v/>
      </c>
      <c r="G558" s="6" t="str">
        <f>IF($C558="","",COUNTIFS(Chicks!$F:$F,$C558,Chicks!$G:$G,$D558,Chicks!$I:$I,"Yes"))</f>
        <v/>
      </c>
      <c r="H558" s="6" t="str">
        <f>IF($C558="","",SUMIFS(Chicks!$J:$J,Chicks!$F:$F,$C558,Chicks!$G:$G,$D558))</f>
        <v/>
      </c>
      <c r="I558" s="6" t="str">
        <f>IF($C558="","",COUNTIFS(Chicks!$F:$F,$C558,Chicks!$G:$G,$D558,Chicks!$I:$I,"No"))</f>
        <v/>
      </c>
      <c r="J558" s="6" t="str">
        <f>IF($C558="","",IFERROR(AVERAGEIFS(Chicks!$M:$M,Chicks!$F:$F,$C558,Chicks!$G:$G,$D558),""))</f>
        <v/>
      </c>
      <c r="K558" s="6" t="str">
        <f>IF($C558="","",SUMIFS(Chicks!$N:$N,Chicks!$F:$F,$C558,Chicks!$G:$G,$D558))</f>
        <v/>
      </c>
      <c r="L558" s="6" t="str">
        <f>IF($C558="","",SUMIFS(Chicks!$O:$O,Chicks!$F:$F,$C558,Chicks!$G:$G,$D558))</f>
        <v/>
      </c>
      <c r="M558" s="6" t="str">
        <f>IF($C558="","",SUMIFS(Chicks!$P:$P,Chicks!$F:$F,$C558,Chicks!$G:$G,$D558))</f>
        <v/>
      </c>
      <c r="N558" s="6" t="str">
        <f t="shared" si="10"/>
        <v/>
      </c>
      <c r="O558" s="6" t="e">
        <f t="shared" ca="1" si="11"/>
        <v>#NAME?</v>
      </c>
      <c r="P558" s="6" t="str">
        <f t="shared" si="12"/>
        <v/>
      </c>
    </row>
    <row r="559" spans="3:16" ht="14.25" customHeight="1" x14ac:dyDescent="0.3">
      <c r="C559" s="6" t="str">
        <f t="shared" si="13"/>
        <v/>
      </c>
      <c r="D559" s="6" t="str">
        <f t="shared" si="14"/>
        <v/>
      </c>
      <c r="F559" s="6" t="str">
        <f>IF($C559="","",COUNTIFS(Chicks!$F:$F,$C559,Chicks!$G:$G,$D559))</f>
        <v/>
      </c>
      <c r="G559" s="6" t="str">
        <f>IF($C559="","",COUNTIFS(Chicks!$F:$F,$C559,Chicks!$G:$G,$D559,Chicks!$I:$I,"Yes"))</f>
        <v/>
      </c>
      <c r="H559" s="6" t="str">
        <f>IF($C559="","",SUMIFS(Chicks!$J:$J,Chicks!$F:$F,$C559,Chicks!$G:$G,$D559))</f>
        <v/>
      </c>
      <c r="I559" s="6" t="str">
        <f>IF($C559="","",COUNTIFS(Chicks!$F:$F,$C559,Chicks!$G:$G,$D559,Chicks!$I:$I,"No"))</f>
        <v/>
      </c>
      <c r="J559" s="6" t="str">
        <f>IF($C559="","",IFERROR(AVERAGEIFS(Chicks!$M:$M,Chicks!$F:$F,$C559,Chicks!$G:$G,$D559),""))</f>
        <v/>
      </c>
      <c r="K559" s="6" t="str">
        <f>IF($C559="","",SUMIFS(Chicks!$N:$N,Chicks!$F:$F,$C559,Chicks!$G:$G,$D559))</f>
        <v/>
      </c>
      <c r="L559" s="6" t="str">
        <f>IF($C559="","",SUMIFS(Chicks!$O:$O,Chicks!$F:$F,$C559,Chicks!$G:$G,$D559))</f>
        <v/>
      </c>
      <c r="M559" s="6" t="str">
        <f>IF($C559="","",SUMIFS(Chicks!$P:$P,Chicks!$F:$F,$C559,Chicks!$G:$G,$D559))</f>
        <v/>
      </c>
      <c r="N559" s="6" t="str">
        <f t="shared" si="10"/>
        <v/>
      </c>
      <c r="O559" s="6" t="e">
        <f t="shared" ca="1" si="11"/>
        <v>#NAME?</v>
      </c>
      <c r="P559" s="6" t="str">
        <f t="shared" si="12"/>
        <v/>
      </c>
    </row>
    <row r="560" spans="3:16" ht="14.25" customHeight="1" x14ac:dyDescent="0.3">
      <c r="C560" s="6" t="str">
        <f t="shared" si="13"/>
        <v/>
      </c>
      <c r="D560" s="6" t="str">
        <f t="shared" si="14"/>
        <v/>
      </c>
      <c r="F560" s="6" t="str">
        <f>IF($C560="","",COUNTIFS(Chicks!$F:$F,$C560,Chicks!$G:$G,$D560))</f>
        <v/>
      </c>
      <c r="G560" s="6" t="str">
        <f>IF($C560="","",COUNTIFS(Chicks!$F:$F,$C560,Chicks!$G:$G,$D560,Chicks!$I:$I,"Yes"))</f>
        <v/>
      </c>
      <c r="H560" s="6" t="str">
        <f>IF($C560="","",SUMIFS(Chicks!$J:$J,Chicks!$F:$F,$C560,Chicks!$G:$G,$D560))</f>
        <v/>
      </c>
      <c r="I560" s="6" t="str">
        <f>IF($C560="","",COUNTIFS(Chicks!$F:$F,$C560,Chicks!$G:$G,$D560,Chicks!$I:$I,"No"))</f>
        <v/>
      </c>
      <c r="J560" s="6" t="str">
        <f>IF($C560="","",IFERROR(AVERAGEIFS(Chicks!$M:$M,Chicks!$F:$F,$C560,Chicks!$G:$G,$D560),""))</f>
        <v/>
      </c>
      <c r="K560" s="6" t="str">
        <f>IF($C560="","",SUMIFS(Chicks!$N:$N,Chicks!$F:$F,$C560,Chicks!$G:$G,$D560))</f>
        <v/>
      </c>
      <c r="L560" s="6" t="str">
        <f>IF($C560="","",SUMIFS(Chicks!$O:$O,Chicks!$F:$F,$C560,Chicks!$G:$G,$D560))</f>
        <v/>
      </c>
      <c r="M560" s="6" t="str">
        <f>IF($C560="","",SUMIFS(Chicks!$P:$P,Chicks!$F:$F,$C560,Chicks!$G:$G,$D560))</f>
        <v/>
      </c>
      <c r="N560" s="6" t="str">
        <f t="shared" si="10"/>
        <v/>
      </c>
      <c r="O560" s="6" t="e">
        <f t="shared" ca="1" si="11"/>
        <v>#NAME?</v>
      </c>
      <c r="P560" s="6" t="str">
        <f t="shared" si="12"/>
        <v/>
      </c>
    </row>
    <row r="561" spans="3:16" ht="14.25" customHeight="1" x14ac:dyDescent="0.3">
      <c r="C561" s="6" t="str">
        <f t="shared" si="13"/>
        <v/>
      </c>
      <c r="D561" s="6" t="str">
        <f t="shared" si="14"/>
        <v/>
      </c>
      <c r="F561" s="6" t="str">
        <f>IF($C561="","",COUNTIFS(Chicks!$F:$F,$C561,Chicks!$G:$G,$D561))</f>
        <v/>
      </c>
      <c r="G561" s="6" t="str">
        <f>IF($C561="","",COUNTIFS(Chicks!$F:$F,$C561,Chicks!$G:$G,$D561,Chicks!$I:$I,"Yes"))</f>
        <v/>
      </c>
      <c r="H561" s="6" t="str">
        <f>IF($C561="","",SUMIFS(Chicks!$J:$J,Chicks!$F:$F,$C561,Chicks!$G:$G,$D561))</f>
        <v/>
      </c>
      <c r="I561" s="6" t="str">
        <f>IF($C561="","",COUNTIFS(Chicks!$F:$F,$C561,Chicks!$G:$G,$D561,Chicks!$I:$I,"No"))</f>
        <v/>
      </c>
      <c r="J561" s="6" t="str">
        <f>IF($C561="","",IFERROR(AVERAGEIFS(Chicks!$M:$M,Chicks!$F:$F,$C561,Chicks!$G:$G,$D561),""))</f>
        <v/>
      </c>
      <c r="K561" s="6" t="str">
        <f>IF($C561="","",SUMIFS(Chicks!$N:$N,Chicks!$F:$F,$C561,Chicks!$G:$G,$D561))</f>
        <v/>
      </c>
      <c r="L561" s="6" t="str">
        <f>IF($C561="","",SUMIFS(Chicks!$O:$O,Chicks!$F:$F,$C561,Chicks!$G:$G,$D561))</f>
        <v/>
      </c>
      <c r="M561" s="6" t="str">
        <f>IF($C561="","",SUMIFS(Chicks!$P:$P,Chicks!$F:$F,$C561,Chicks!$G:$G,$D561))</f>
        <v/>
      </c>
      <c r="N561" s="6" t="str">
        <f t="shared" si="10"/>
        <v/>
      </c>
      <c r="O561" s="6" t="e">
        <f t="shared" ca="1" si="11"/>
        <v>#NAME?</v>
      </c>
      <c r="P561" s="6" t="str">
        <f t="shared" si="12"/>
        <v/>
      </c>
    </row>
    <row r="562" spans="3:16" ht="14.25" customHeight="1" x14ac:dyDescent="0.3">
      <c r="C562" s="6" t="str">
        <f t="shared" si="13"/>
        <v/>
      </c>
      <c r="D562" s="6" t="str">
        <f t="shared" si="14"/>
        <v/>
      </c>
      <c r="F562" s="6" t="str">
        <f>IF($C562="","",COUNTIFS(Chicks!$F:$F,$C562,Chicks!$G:$G,$D562))</f>
        <v/>
      </c>
      <c r="G562" s="6" t="str">
        <f>IF($C562="","",COUNTIFS(Chicks!$F:$F,$C562,Chicks!$G:$G,$D562,Chicks!$I:$I,"Yes"))</f>
        <v/>
      </c>
      <c r="H562" s="6" t="str">
        <f>IF($C562="","",SUMIFS(Chicks!$J:$J,Chicks!$F:$F,$C562,Chicks!$G:$G,$D562))</f>
        <v/>
      </c>
      <c r="I562" s="6" t="str">
        <f>IF($C562="","",COUNTIFS(Chicks!$F:$F,$C562,Chicks!$G:$G,$D562,Chicks!$I:$I,"No"))</f>
        <v/>
      </c>
      <c r="J562" s="6" t="str">
        <f>IF($C562="","",IFERROR(AVERAGEIFS(Chicks!$M:$M,Chicks!$F:$F,$C562,Chicks!$G:$G,$D562),""))</f>
        <v/>
      </c>
      <c r="K562" s="6" t="str">
        <f>IF($C562="","",SUMIFS(Chicks!$N:$N,Chicks!$F:$F,$C562,Chicks!$G:$G,$D562))</f>
        <v/>
      </c>
      <c r="L562" s="6" t="str">
        <f>IF($C562="","",SUMIFS(Chicks!$O:$O,Chicks!$F:$F,$C562,Chicks!$G:$G,$D562))</f>
        <v/>
      </c>
      <c r="M562" s="6" t="str">
        <f>IF($C562="","",SUMIFS(Chicks!$P:$P,Chicks!$F:$F,$C562,Chicks!$G:$G,$D562))</f>
        <v/>
      </c>
      <c r="N562" s="6" t="str">
        <f t="shared" si="10"/>
        <v/>
      </c>
      <c r="O562" s="6" t="e">
        <f t="shared" ca="1" si="11"/>
        <v>#NAME?</v>
      </c>
      <c r="P562" s="6" t="str">
        <f t="shared" si="12"/>
        <v/>
      </c>
    </row>
    <row r="563" spans="3:16" ht="14.25" customHeight="1" x14ac:dyDescent="0.3">
      <c r="C563" s="6" t="str">
        <f t="shared" si="13"/>
        <v/>
      </c>
      <c r="D563" s="6" t="str">
        <f t="shared" si="14"/>
        <v/>
      </c>
      <c r="F563" s="6" t="str">
        <f>IF($C563="","",COUNTIFS(Chicks!$F:$F,$C563,Chicks!$G:$G,$D563))</f>
        <v/>
      </c>
      <c r="G563" s="6" t="str">
        <f>IF($C563="","",COUNTIFS(Chicks!$F:$F,$C563,Chicks!$G:$G,$D563,Chicks!$I:$I,"Yes"))</f>
        <v/>
      </c>
      <c r="H563" s="6" t="str">
        <f>IF($C563="","",SUMIFS(Chicks!$J:$J,Chicks!$F:$F,$C563,Chicks!$G:$G,$D563))</f>
        <v/>
      </c>
      <c r="I563" s="6" t="str">
        <f>IF($C563="","",COUNTIFS(Chicks!$F:$F,$C563,Chicks!$G:$G,$D563,Chicks!$I:$I,"No"))</f>
        <v/>
      </c>
      <c r="J563" s="6" t="str">
        <f>IF($C563="","",IFERROR(AVERAGEIFS(Chicks!$M:$M,Chicks!$F:$F,$C563,Chicks!$G:$G,$D563),""))</f>
        <v/>
      </c>
      <c r="K563" s="6" t="str">
        <f>IF($C563="","",SUMIFS(Chicks!$N:$N,Chicks!$F:$F,$C563,Chicks!$G:$G,$D563))</f>
        <v/>
      </c>
      <c r="L563" s="6" t="str">
        <f>IF($C563="","",SUMIFS(Chicks!$O:$O,Chicks!$F:$F,$C563,Chicks!$G:$G,$D563))</f>
        <v/>
      </c>
      <c r="M563" s="6" t="str">
        <f>IF($C563="","",SUMIFS(Chicks!$P:$P,Chicks!$F:$F,$C563,Chicks!$G:$G,$D563))</f>
        <v/>
      </c>
      <c r="N563" s="6" t="str">
        <f t="shared" si="10"/>
        <v/>
      </c>
      <c r="O563" s="6" t="e">
        <f t="shared" ca="1" si="11"/>
        <v>#NAME?</v>
      </c>
      <c r="P563" s="6" t="str">
        <f t="shared" si="12"/>
        <v/>
      </c>
    </row>
    <row r="564" spans="3:16" ht="14.25" customHeight="1" x14ac:dyDescent="0.3">
      <c r="C564" s="6" t="str">
        <f t="shared" si="13"/>
        <v/>
      </c>
      <c r="D564" s="6" t="str">
        <f t="shared" si="14"/>
        <v/>
      </c>
      <c r="F564" s="6" t="str">
        <f>IF($C564="","",COUNTIFS(Chicks!$F:$F,$C564,Chicks!$G:$G,$D564))</f>
        <v/>
      </c>
      <c r="G564" s="6" t="str">
        <f>IF($C564="","",COUNTIFS(Chicks!$F:$F,$C564,Chicks!$G:$G,$D564,Chicks!$I:$I,"Yes"))</f>
        <v/>
      </c>
      <c r="H564" s="6" t="str">
        <f>IF($C564="","",SUMIFS(Chicks!$J:$J,Chicks!$F:$F,$C564,Chicks!$G:$G,$D564))</f>
        <v/>
      </c>
      <c r="I564" s="6" t="str">
        <f>IF($C564="","",COUNTIFS(Chicks!$F:$F,$C564,Chicks!$G:$G,$D564,Chicks!$I:$I,"No"))</f>
        <v/>
      </c>
      <c r="J564" s="6" t="str">
        <f>IF($C564="","",IFERROR(AVERAGEIFS(Chicks!$M:$M,Chicks!$F:$F,$C564,Chicks!$G:$G,$D564),""))</f>
        <v/>
      </c>
      <c r="K564" s="6" t="str">
        <f>IF($C564="","",SUMIFS(Chicks!$N:$N,Chicks!$F:$F,$C564,Chicks!$G:$G,$D564))</f>
        <v/>
      </c>
      <c r="L564" s="6" t="str">
        <f>IF($C564="","",SUMIFS(Chicks!$O:$O,Chicks!$F:$F,$C564,Chicks!$G:$G,$D564))</f>
        <v/>
      </c>
      <c r="M564" s="6" t="str">
        <f>IF($C564="","",SUMIFS(Chicks!$P:$P,Chicks!$F:$F,$C564,Chicks!$G:$G,$D564))</f>
        <v/>
      </c>
      <c r="N564" s="6" t="str">
        <f t="shared" si="10"/>
        <v/>
      </c>
      <c r="O564" s="6" t="e">
        <f t="shared" ca="1" si="11"/>
        <v>#NAME?</v>
      </c>
      <c r="P564" s="6" t="str">
        <f t="shared" si="12"/>
        <v/>
      </c>
    </row>
    <row r="565" spans="3:16" ht="14.25" customHeight="1" x14ac:dyDescent="0.3">
      <c r="C565" s="6" t="str">
        <f t="shared" si="13"/>
        <v/>
      </c>
      <c r="D565" s="6" t="str">
        <f t="shared" si="14"/>
        <v/>
      </c>
      <c r="F565" s="6" t="str">
        <f>IF($C565="","",COUNTIFS(Chicks!$F:$F,$C565,Chicks!$G:$G,$D565))</f>
        <v/>
      </c>
      <c r="G565" s="6" t="str">
        <f>IF($C565="","",COUNTIFS(Chicks!$F:$F,$C565,Chicks!$G:$G,$D565,Chicks!$I:$I,"Yes"))</f>
        <v/>
      </c>
      <c r="H565" s="6" t="str">
        <f>IF($C565="","",SUMIFS(Chicks!$J:$J,Chicks!$F:$F,$C565,Chicks!$G:$G,$D565))</f>
        <v/>
      </c>
      <c r="I565" s="6" t="str">
        <f>IF($C565="","",COUNTIFS(Chicks!$F:$F,$C565,Chicks!$G:$G,$D565,Chicks!$I:$I,"No"))</f>
        <v/>
      </c>
      <c r="J565" s="6" t="str">
        <f>IF($C565="","",IFERROR(AVERAGEIFS(Chicks!$M:$M,Chicks!$F:$F,$C565,Chicks!$G:$G,$D565),""))</f>
        <v/>
      </c>
      <c r="K565" s="6" t="str">
        <f>IF($C565="","",SUMIFS(Chicks!$N:$N,Chicks!$F:$F,$C565,Chicks!$G:$G,$D565))</f>
        <v/>
      </c>
      <c r="L565" s="6" t="str">
        <f>IF($C565="","",SUMIFS(Chicks!$O:$O,Chicks!$F:$F,$C565,Chicks!$G:$G,$D565))</f>
        <v/>
      </c>
      <c r="M565" s="6" t="str">
        <f>IF($C565="","",SUMIFS(Chicks!$P:$P,Chicks!$F:$F,$C565,Chicks!$G:$G,$D565))</f>
        <v/>
      </c>
      <c r="N565" s="6" t="str">
        <f t="shared" si="10"/>
        <v/>
      </c>
      <c r="O565" s="6" t="e">
        <f t="shared" ca="1" si="11"/>
        <v>#NAME?</v>
      </c>
      <c r="P565" s="6" t="str">
        <f t="shared" si="12"/>
        <v/>
      </c>
    </row>
    <row r="566" spans="3:16" ht="14.25" customHeight="1" x14ac:dyDescent="0.3">
      <c r="C566" s="6" t="str">
        <f t="shared" si="13"/>
        <v/>
      </c>
      <c r="D566" s="6" t="str">
        <f t="shared" si="14"/>
        <v/>
      </c>
      <c r="F566" s="6" t="str">
        <f>IF($C566="","",COUNTIFS(Chicks!$F:$F,$C566,Chicks!$G:$G,$D566))</f>
        <v/>
      </c>
      <c r="G566" s="6" t="str">
        <f>IF($C566="","",COUNTIFS(Chicks!$F:$F,$C566,Chicks!$G:$G,$D566,Chicks!$I:$I,"Yes"))</f>
        <v/>
      </c>
      <c r="H566" s="6" t="str">
        <f>IF($C566="","",SUMIFS(Chicks!$J:$J,Chicks!$F:$F,$C566,Chicks!$G:$G,$D566))</f>
        <v/>
      </c>
      <c r="I566" s="6" t="str">
        <f>IF($C566="","",COUNTIFS(Chicks!$F:$F,$C566,Chicks!$G:$G,$D566,Chicks!$I:$I,"No"))</f>
        <v/>
      </c>
      <c r="J566" s="6" t="str">
        <f>IF($C566="","",IFERROR(AVERAGEIFS(Chicks!$M:$M,Chicks!$F:$F,$C566,Chicks!$G:$G,$D566),""))</f>
        <v/>
      </c>
      <c r="K566" s="6" t="str">
        <f>IF($C566="","",SUMIFS(Chicks!$N:$N,Chicks!$F:$F,$C566,Chicks!$G:$G,$D566))</f>
        <v/>
      </c>
      <c r="L566" s="6" t="str">
        <f>IF($C566="","",SUMIFS(Chicks!$O:$O,Chicks!$F:$F,$C566,Chicks!$G:$G,$D566))</f>
        <v/>
      </c>
      <c r="M566" s="6" t="str">
        <f>IF($C566="","",SUMIFS(Chicks!$P:$P,Chicks!$F:$F,$C566,Chicks!$G:$G,$D566))</f>
        <v/>
      </c>
      <c r="N566" s="6" t="str">
        <f t="shared" si="10"/>
        <v/>
      </c>
      <c r="O566" s="6" t="e">
        <f t="shared" ca="1" si="11"/>
        <v>#NAME?</v>
      </c>
      <c r="P566" s="6" t="str">
        <f t="shared" si="12"/>
        <v/>
      </c>
    </row>
    <row r="567" spans="3:16" ht="14.25" customHeight="1" x14ac:dyDescent="0.3">
      <c r="C567" s="6" t="str">
        <f t="shared" si="13"/>
        <v/>
      </c>
      <c r="D567" s="6" t="str">
        <f t="shared" si="14"/>
        <v/>
      </c>
      <c r="F567" s="6" t="str">
        <f>IF($C567="","",COUNTIFS(Chicks!$F:$F,$C567,Chicks!$G:$G,$D567))</f>
        <v/>
      </c>
      <c r="G567" s="6" t="str">
        <f>IF($C567="","",COUNTIFS(Chicks!$F:$F,$C567,Chicks!$G:$G,$D567,Chicks!$I:$I,"Yes"))</f>
        <v/>
      </c>
      <c r="H567" s="6" t="str">
        <f>IF($C567="","",SUMIFS(Chicks!$J:$J,Chicks!$F:$F,$C567,Chicks!$G:$G,$D567))</f>
        <v/>
      </c>
      <c r="I567" s="6" t="str">
        <f>IF($C567="","",COUNTIFS(Chicks!$F:$F,$C567,Chicks!$G:$G,$D567,Chicks!$I:$I,"No"))</f>
        <v/>
      </c>
      <c r="J567" s="6" t="str">
        <f>IF($C567="","",IFERROR(AVERAGEIFS(Chicks!$M:$M,Chicks!$F:$F,$C567,Chicks!$G:$G,$D567),""))</f>
        <v/>
      </c>
      <c r="K567" s="6" t="str">
        <f>IF($C567="","",SUMIFS(Chicks!$N:$N,Chicks!$F:$F,$C567,Chicks!$G:$G,$D567))</f>
        <v/>
      </c>
      <c r="L567" s="6" t="str">
        <f>IF($C567="","",SUMIFS(Chicks!$O:$O,Chicks!$F:$F,$C567,Chicks!$G:$G,$D567))</f>
        <v/>
      </c>
      <c r="M567" s="6" t="str">
        <f>IF($C567="","",SUMIFS(Chicks!$P:$P,Chicks!$F:$F,$C567,Chicks!$G:$G,$D567))</f>
        <v/>
      </c>
      <c r="N567" s="6" t="str">
        <f t="shared" si="10"/>
        <v/>
      </c>
      <c r="O567" s="6" t="e">
        <f t="shared" ca="1" si="11"/>
        <v>#NAME?</v>
      </c>
      <c r="P567" s="6" t="str">
        <f t="shared" si="12"/>
        <v/>
      </c>
    </row>
    <row r="568" spans="3:16" ht="14.25" customHeight="1" x14ac:dyDescent="0.3">
      <c r="C568" s="6" t="str">
        <f t="shared" si="13"/>
        <v/>
      </c>
      <c r="D568" s="6" t="str">
        <f t="shared" si="14"/>
        <v/>
      </c>
      <c r="F568" s="6" t="str">
        <f>IF($C568="","",COUNTIFS(Chicks!$F:$F,$C568,Chicks!$G:$G,$D568))</f>
        <v/>
      </c>
      <c r="G568" s="6" t="str">
        <f>IF($C568="","",COUNTIFS(Chicks!$F:$F,$C568,Chicks!$G:$G,$D568,Chicks!$I:$I,"Yes"))</f>
        <v/>
      </c>
      <c r="H568" s="6" t="str">
        <f>IF($C568="","",SUMIFS(Chicks!$J:$J,Chicks!$F:$F,$C568,Chicks!$G:$G,$D568))</f>
        <v/>
      </c>
      <c r="I568" s="6" t="str">
        <f>IF($C568="","",COUNTIFS(Chicks!$F:$F,$C568,Chicks!$G:$G,$D568,Chicks!$I:$I,"No"))</f>
        <v/>
      </c>
      <c r="J568" s="6" t="str">
        <f>IF($C568="","",IFERROR(AVERAGEIFS(Chicks!$M:$M,Chicks!$F:$F,$C568,Chicks!$G:$G,$D568),""))</f>
        <v/>
      </c>
      <c r="K568" s="6" t="str">
        <f>IF($C568="","",SUMIFS(Chicks!$N:$N,Chicks!$F:$F,$C568,Chicks!$G:$G,$D568))</f>
        <v/>
      </c>
      <c r="L568" s="6" t="str">
        <f>IF($C568="","",SUMIFS(Chicks!$O:$O,Chicks!$F:$F,$C568,Chicks!$G:$G,$D568))</f>
        <v/>
      </c>
      <c r="M568" s="6" t="str">
        <f>IF($C568="","",SUMIFS(Chicks!$P:$P,Chicks!$F:$F,$C568,Chicks!$G:$G,$D568))</f>
        <v/>
      </c>
      <c r="N568" s="6" t="str">
        <f t="shared" si="10"/>
        <v/>
      </c>
      <c r="O568" s="6" t="e">
        <f t="shared" ca="1" si="11"/>
        <v>#NAME?</v>
      </c>
      <c r="P568" s="6" t="str">
        <f t="shared" si="12"/>
        <v/>
      </c>
    </row>
    <row r="569" spans="3:16" ht="14.25" customHeight="1" x14ac:dyDescent="0.3">
      <c r="C569" s="6" t="str">
        <f t="shared" si="13"/>
        <v/>
      </c>
      <c r="D569" s="6" t="str">
        <f t="shared" si="14"/>
        <v/>
      </c>
      <c r="F569" s="6" t="str">
        <f>IF($C569="","",COUNTIFS(Chicks!$F:$F,$C569,Chicks!$G:$G,$D569))</f>
        <v/>
      </c>
      <c r="G569" s="6" t="str">
        <f>IF($C569="","",COUNTIFS(Chicks!$F:$F,$C569,Chicks!$G:$G,$D569,Chicks!$I:$I,"Yes"))</f>
        <v/>
      </c>
      <c r="H569" s="6" t="str">
        <f>IF($C569="","",SUMIFS(Chicks!$J:$J,Chicks!$F:$F,$C569,Chicks!$G:$G,$D569))</f>
        <v/>
      </c>
      <c r="I569" s="6" t="str">
        <f>IF($C569="","",COUNTIFS(Chicks!$F:$F,$C569,Chicks!$G:$G,$D569,Chicks!$I:$I,"No"))</f>
        <v/>
      </c>
      <c r="J569" s="6" t="str">
        <f>IF($C569="","",IFERROR(AVERAGEIFS(Chicks!$M:$M,Chicks!$F:$F,$C569,Chicks!$G:$G,$D569),""))</f>
        <v/>
      </c>
      <c r="K569" s="6" t="str">
        <f>IF($C569="","",SUMIFS(Chicks!$N:$N,Chicks!$F:$F,$C569,Chicks!$G:$G,$D569))</f>
        <v/>
      </c>
      <c r="L569" s="6" t="str">
        <f>IF($C569="","",SUMIFS(Chicks!$O:$O,Chicks!$F:$F,$C569,Chicks!$G:$G,$D569))</f>
        <v/>
      </c>
      <c r="M569" s="6" t="str">
        <f>IF($C569="","",SUMIFS(Chicks!$P:$P,Chicks!$F:$F,$C569,Chicks!$G:$G,$D569))</f>
        <v/>
      </c>
      <c r="N569" s="6" t="str">
        <f t="shared" si="10"/>
        <v/>
      </c>
      <c r="O569" s="6" t="e">
        <f t="shared" ca="1" si="11"/>
        <v>#NAME?</v>
      </c>
      <c r="P569" s="6" t="str">
        <f t="shared" si="12"/>
        <v/>
      </c>
    </row>
    <row r="570" spans="3:16" ht="14.25" customHeight="1" x14ac:dyDescent="0.3">
      <c r="C570" s="6" t="str">
        <f t="shared" si="13"/>
        <v/>
      </c>
      <c r="D570" s="6" t="str">
        <f t="shared" si="14"/>
        <v/>
      </c>
      <c r="F570" s="6" t="str">
        <f>IF($C570="","",COUNTIFS(Chicks!$F:$F,$C570,Chicks!$G:$G,$D570))</f>
        <v/>
      </c>
      <c r="G570" s="6" t="str">
        <f>IF($C570="","",COUNTIFS(Chicks!$F:$F,$C570,Chicks!$G:$G,$D570,Chicks!$I:$I,"Yes"))</f>
        <v/>
      </c>
      <c r="H570" s="6" t="str">
        <f>IF($C570="","",SUMIFS(Chicks!$J:$J,Chicks!$F:$F,$C570,Chicks!$G:$G,$D570))</f>
        <v/>
      </c>
      <c r="I570" s="6" t="str">
        <f>IF($C570="","",COUNTIFS(Chicks!$F:$F,$C570,Chicks!$G:$G,$D570,Chicks!$I:$I,"No"))</f>
        <v/>
      </c>
      <c r="J570" s="6" t="str">
        <f>IF($C570="","",IFERROR(AVERAGEIFS(Chicks!$M:$M,Chicks!$F:$F,$C570,Chicks!$G:$G,$D570),""))</f>
        <v/>
      </c>
      <c r="K570" s="6" t="str">
        <f>IF($C570="","",SUMIFS(Chicks!$N:$N,Chicks!$F:$F,$C570,Chicks!$G:$G,$D570))</f>
        <v/>
      </c>
      <c r="L570" s="6" t="str">
        <f>IF($C570="","",SUMIFS(Chicks!$O:$O,Chicks!$F:$F,$C570,Chicks!$G:$G,$D570))</f>
        <v/>
      </c>
      <c r="M570" s="6" t="str">
        <f>IF($C570="","",SUMIFS(Chicks!$P:$P,Chicks!$F:$F,$C570,Chicks!$G:$G,$D570))</f>
        <v/>
      </c>
      <c r="N570" s="6" t="str">
        <f t="shared" si="10"/>
        <v/>
      </c>
      <c r="O570" s="6" t="e">
        <f t="shared" ca="1" si="11"/>
        <v>#NAME?</v>
      </c>
      <c r="P570" s="6" t="str">
        <f t="shared" si="12"/>
        <v/>
      </c>
    </row>
    <row r="571" spans="3:16" ht="14.25" customHeight="1" x14ac:dyDescent="0.3">
      <c r="C571" s="6" t="str">
        <f t="shared" si="13"/>
        <v/>
      </c>
      <c r="D571" s="6" t="str">
        <f t="shared" si="14"/>
        <v/>
      </c>
      <c r="F571" s="6" t="str">
        <f>IF($C571="","",COUNTIFS(Chicks!$F:$F,$C571,Chicks!$G:$G,$D571))</f>
        <v/>
      </c>
      <c r="G571" s="6" t="str">
        <f>IF($C571="","",COUNTIFS(Chicks!$F:$F,$C571,Chicks!$G:$G,$D571,Chicks!$I:$I,"Yes"))</f>
        <v/>
      </c>
      <c r="H571" s="6" t="str">
        <f>IF($C571="","",SUMIFS(Chicks!$J:$J,Chicks!$F:$F,$C571,Chicks!$G:$G,$D571))</f>
        <v/>
      </c>
      <c r="I571" s="6" t="str">
        <f>IF($C571="","",COUNTIFS(Chicks!$F:$F,$C571,Chicks!$G:$G,$D571,Chicks!$I:$I,"No"))</f>
        <v/>
      </c>
      <c r="J571" s="6" t="str">
        <f>IF($C571="","",IFERROR(AVERAGEIFS(Chicks!$M:$M,Chicks!$F:$F,$C571,Chicks!$G:$G,$D571),""))</f>
        <v/>
      </c>
      <c r="K571" s="6" t="str">
        <f>IF($C571="","",SUMIFS(Chicks!$N:$N,Chicks!$F:$F,$C571,Chicks!$G:$G,$D571))</f>
        <v/>
      </c>
      <c r="L571" s="6" t="str">
        <f>IF($C571="","",SUMIFS(Chicks!$O:$O,Chicks!$F:$F,$C571,Chicks!$G:$G,$D571))</f>
        <v/>
      </c>
      <c r="M571" s="6" t="str">
        <f>IF($C571="","",SUMIFS(Chicks!$P:$P,Chicks!$F:$F,$C571,Chicks!$G:$G,$D571))</f>
        <v/>
      </c>
      <c r="N571" s="6" t="str">
        <f t="shared" si="10"/>
        <v/>
      </c>
      <c r="O571" s="6" t="e">
        <f t="shared" ca="1" si="11"/>
        <v>#NAME?</v>
      </c>
      <c r="P571" s="6" t="str">
        <f t="shared" si="12"/>
        <v/>
      </c>
    </row>
    <row r="572" spans="3:16" ht="14.25" customHeight="1" x14ac:dyDescent="0.3">
      <c r="C572" s="6" t="str">
        <f t="shared" si="13"/>
        <v/>
      </c>
      <c r="D572" s="6" t="str">
        <f t="shared" si="14"/>
        <v/>
      </c>
      <c r="F572" s="6" t="str">
        <f>IF($C572="","",COUNTIFS(Chicks!$F:$F,$C572,Chicks!$G:$G,$D572))</f>
        <v/>
      </c>
      <c r="G572" s="6" t="str">
        <f>IF($C572="","",COUNTIFS(Chicks!$F:$F,$C572,Chicks!$G:$G,$D572,Chicks!$I:$I,"Yes"))</f>
        <v/>
      </c>
      <c r="H572" s="6" t="str">
        <f>IF($C572="","",SUMIFS(Chicks!$J:$J,Chicks!$F:$F,$C572,Chicks!$G:$G,$D572))</f>
        <v/>
      </c>
      <c r="I572" s="6" t="str">
        <f>IF($C572="","",COUNTIFS(Chicks!$F:$F,$C572,Chicks!$G:$G,$D572,Chicks!$I:$I,"No"))</f>
        <v/>
      </c>
      <c r="J572" s="6" t="str">
        <f>IF($C572="","",IFERROR(AVERAGEIFS(Chicks!$M:$M,Chicks!$F:$F,$C572,Chicks!$G:$G,$D572),""))</f>
        <v/>
      </c>
      <c r="K572" s="6" t="str">
        <f>IF($C572="","",SUMIFS(Chicks!$N:$N,Chicks!$F:$F,$C572,Chicks!$G:$G,$D572))</f>
        <v/>
      </c>
      <c r="L572" s="6" t="str">
        <f>IF($C572="","",SUMIFS(Chicks!$O:$O,Chicks!$F:$F,$C572,Chicks!$G:$G,$D572))</f>
        <v/>
      </c>
      <c r="M572" s="6" t="str">
        <f>IF($C572="","",SUMIFS(Chicks!$P:$P,Chicks!$F:$F,$C572,Chicks!$G:$G,$D572))</f>
        <v/>
      </c>
      <c r="N572" s="6" t="str">
        <f t="shared" si="10"/>
        <v/>
      </c>
      <c r="O572" s="6" t="e">
        <f t="shared" ca="1" si="11"/>
        <v>#NAME?</v>
      </c>
      <c r="P572" s="6" t="str">
        <f t="shared" si="12"/>
        <v/>
      </c>
    </row>
    <row r="573" spans="3:16" ht="14.25" customHeight="1" x14ac:dyDescent="0.3">
      <c r="C573" s="6" t="str">
        <f t="shared" si="13"/>
        <v/>
      </c>
      <c r="D573" s="6" t="str">
        <f t="shared" si="14"/>
        <v/>
      </c>
      <c r="F573" s="6" t="str">
        <f>IF($C573="","",COUNTIFS(Chicks!$F:$F,$C573,Chicks!$G:$G,$D573))</f>
        <v/>
      </c>
      <c r="G573" s="6" t="str">
        <f>IF($C573="","",COUNTIFS(Chicks!$F:$F,$C573,Chicks!$G:$G,$D573,Chicks!$I:$I,"Yes"))</f>
        <v/>
      </c>
      <c r="H573" s="6" t="str">
        <f>IF($C573="","",SUMIFS(Chicks!$J:$J,Chicks!$F:$F,$C573,Chicks!$G:$G,$D573))</f>
        <v/>
      </c>
      <c r="I573" s="6" t="str">
        <f>IF($C573="","",COUNTIFS(Chicks!$F:$F,$C573,Chicks!$G:$G,$D573,Chicks!$I:$I,"No"))</f>
        <v/>
      </c>
      <c r="J573" s="6" t="str">
        <f>IF($C573="","",IFERROR(AVERAGEIFS(Chicks!$M:$M,Chicks!$F:$F,$C573,Chicks!$G:$G,$D573),""))</f>
        <v/>
      </c>
      <c r="K573" s="6" t="str">
        <f>IF($C573="","",SUMIFS(Chicks!$N:$N,Chicks!$F:$F,$C573,Chicks!$G:$G,$D573))</f>
        <v/>
      </c>
      <c r="L573" s="6" t="str">
        <f>IF($C573="","",SUMIFS(Chicks!$O:$O,Chicks!$F:$F,$C573,Chicks!$G:$G,$D573))</f>
        <v/>
      </c>
      <c r="M573" s="6" t="str">
        <f>IF($C573="","",SUMIFS(Chicks!$P:$P,Chicks!$F:$F,$C573,Chicks!$G:$G,$D573))</f>
        <v/>
      </c>
      <c r="N573" s="6" t="str">
        <f t="shared" si="10"/>
        <v/>
      </c>
      <c r="O573" s="6" t="e">
        <f t="shared" ca="1" si="11"/>
        <v>#NAME?</v>
      </c>
      <c r="P573" s="6" t="str">
        <f t="shared" si="12"/>
        <v/>
      </c>
    </row>
    <row r="574" spans="3:16" ht="14.25" customHeight="1" x14ac:dyDescent="0.3">
      <c r="C574" s="6" t="str">
        <f t="shared" si="13"/>
        <v/>
      </c>
      <c r="D574" s="6" t="str">
        <f t="shared" si="14"/>
        <v/>
      </c>
      <c r="F574" s="6" t="str">
        <f>IF($C574="","",COUNTIFS(Chicks!$F:$F,$C574,Chicks!$G:$G,$D574))</f>
        <v/>
      </c>
      <c r="G574" s="6" t="str">
        <f>IF($C574="","",COUNTIFS(Chicks!$F:$F,$C574,Chicks!$G:$G,$D574,Chicks!$I:$I,"Yes"))</f>
        <v/>
      </c>
      <c r="H574" s="6" t="str">
        <f>IF($C574="","",SUMIFS(Chicks!$J:$J,Chicks!$F:$F,$C574,Chicks!$G:$G,$D574))</f>
        <v/>
      </c>
      <c r="I574" s="6" t="str">
        <f>IF($C574="","",COUNTIFS(Chicks!$F:$F,$C574,Chicks!$G:$G,$D574,Chicks!$I:$I,"No"))</f>
        <v/>
      </c>
      <c r="J574" s="6" t="str">
        <f>IF($C574="","",IFERROR(AVERAGEIFS(Chicks!$M:$M,Chicks!$F:$F,$C574,Chicks!$G:$G,$D574),""))</f>
        <v/>
      </c>
      <c r="K574" s="6" t="str">
        <f>IF($C574="","",SUMIFS(Chicks!$N:$N,Chicks!$F:$F,$C574,Chicks!$G:$G,$D574))</f>
        <v/>
      </c>
      <c r="L574" s="6" t="str">
        <f>IF($C574="","",SUMIFS(Chicks!$O:$O,Chicks!$F:$F,$C574,Chicks!$G:$G,$D574))</f>
        <v/>
      </c>
      <c r="M574" s="6" t="str">
        <f>IF($C574="","",SUMIFS(Chicks!$P:$P,Chicks!$F:$F,$C574,Chicks!$G:$G,$D574))</f>
        <v/>
      </c>
      <c r="N574" s="6" t="str">
        <f t="shared" si="10"/>
        <v/>
      </c>
      <c r="O574" s="6" t="e">
        <f t="shared" ca="1" si="11"/>
        <v>#NAME?</v>
      </c>
      <c r="P574" s="6" t="str">
        <f t="shared" si="12"/>
        <v/>
      </c>
    </row>
    <row r="575" spans="3:16" ht="14.25" customHeight="1" x14ac:dyDescent="0.3">
      <c r="C575" s="6" t="str">
        <f t="shared" si="13"/>
        <v/>
      </c>
      <c r="D575" s="6" t="str">
        <f t="shared" si="14"/>
        <v/>
      </c>
      <c r="F575" s="6" t="str">
        <f>IF($C575="","",COUNTIFS(Chicks!$F:$F,$C575,Chicks!$G:$G,$D575))</f>
        <v/>
      </c>
      <c r="G575" s="6" t="str">
        <f>IF($C575="","",COUNTIFS(Chicks!$F:$F,$C575,Chicks!$G:$G,$D575,Chicks!$I:$I,"Yes"))</f>
        <v/>
      </c>
      <c r="H575" s="6" t="str">
        <f>IF($C575="","",SUMIFS(Chicks!$J:$J,Chicks!$F:$F,$C575,Chicks!$G:$G,$D575))</f>
        <v/>
      </c>
      <c r="I575" s="6" t="str">
        <f>IF($C575="","",COUNTIFS(Chicks!$F:$F,$C575,Chicks!$G:$G,$D575,Chicks!$I:$I,"No"))</f>
        <v/>
      </c>
      <c r="J575" s="6" t="str">
        <f>IF($C575="","",IFERROR(AVERAGEIFS(Chicks!$M:$M,Chicks!$F:$F,$C575,Chicks!$G:$G,$D575),""))</f>
        <v/>
      </c>
      <c r="K575" s="6" t="str">
        <f>IF($C575="","",SUMIFS(Chicks!$N:$N,Chicks!$F:$F,$C575,Chicks!$G:$G,$D575))</f>
        <v/>
      </c>
      <c r="L575" s="6" t="str">
        <f>IF($C575="","",SUMIFS(Chicks!$O:$O,Chicks!$F:$F,$C575,Chicks!$G:$G,$D575))</f>
        <v/>
      </c>
      <c r="M575" s="6" t="str">
        <f>IF($C575="","",SUMIFS(Chicks!$P:$P,Chicks!$F:$F,$C575,Chicks!$G:$G,$D575))</f>
        <v/>
      </c>
      <c r="N575" s="6" t="str">
        <f t="shared" si="10"/>
        <v/>
      </c>
      <c r="O575" s="6" t="e">
        <f t="shared" ca="1" si="11"/>
        <v>#NAME?</v>
      </c>
      <c r="P575" s="6" t="str">
        <f t="shared" si="12"/>
        <v/>
      </c>
    </row>
    <row r="576" spans="3:16" ht="14.25" customHeight="1" x14ac:dyDescent="0.3">
      <c r="C576" s="6" t="str">
        <f t="shared" si="13"/>
        <v/>
      </c>
      <c r="D576" s="6" t="str">
        <f t="shared" si="14"/>
        <v/>
      </c>
      <c r="F576" s="6" t="str">
        <f>IF($C576="","",COUNTIFS(Chicks!$F:$F,$C576,Chicks!$G:$G,$D576))</f>
        <v/>
      </c>
      <c r="G576" s="6" t="str">
        <f>IF($C576="","",COUNTIFS(Chicks!$F:$F,$C576,Chicks!$G:$G,$D576,Chicks!$I:$I,"Yes"))</f>
        <v/>
      </c>
      <c r="H576" s="6" t="str">
        <f>IF($C576="","",SUMIFS(Chicks!$J:$J,Chicks!$F:$F,$C576,Chicks!$G:$G,$D576))</f>
        <v/>
      </c>
      <c r="I576" s="6" t="str">
        <f>IF($C576="","",COUNTIFS(Chicks!$F:$F,$C576,Chicks!$G:$G,$D576,Chicks!$I:$I,"No"))</f>
        <v/>
      </c>
      <c r="J576" s="6" t="str">
        <f>IF($C576="","",IFERROR(AVERAGEIFS(Chicks!$M:$M,Chicks!$F:$F,$C576,Chicks!$G:$G,$D576),""))</f>
        <v/>
      </c>
      <c r="K576" s="6" t="str">
        <f>IF($C576="","",SUMIFS(Chicks!$N:$N,Chicks!$F:$F,$C576,Chicks!$G:$G,$D576))</f>
        <v/>
      </c>
      <c r="L576" s="6" t="str">
        <f>IF($C576="","",SUMIFS(Chicks!$O:$O,Chicks!$F:$F,$C576,Chicks!$G:$G,$D576))</f>
        <v/>
      </c>
      <c r="M576" s="6" t="str">
        <f>IF($C576="","",SUMIFS(Chicks!$P:$P,Chicks!$F:$F,$C576,Chicks!$G:$G,$D576))</f>
        <v/>
      </c>
      <c r="N576" s="6" t="str">
        <f t="shared" si="10"/>
        <v/>
      </c>
      <c r="O576" s="6" t="e">
        <f t="shared" ca="1" si="11"/>
        <v>#NAME?</v>
      </c>
      <c r="P576" s="6" t="str">
        <f t="shared" si="12"/>
        <v/>
      </c>
    </row>
    <row r="577" spans="3:16" ht="14.25" customHeight="1" x14ac:dyDescent="0.3">
      <c r="C577" s="6" t="str">
        <f t="shared" si="13"/>
        <v/>
      </c>
      <c r="D577" s="6" t="str">
        <f t="shared" si="14"/>
        <v/>
      </c>
      <c r="F577" s="6" t="str">
        <f>IF($C577="","",COUNTIFS(Chicks!$F:$F,$C577,Chicks!$G:$G,$D577))</f>
        <v/>
      </c>
      <c r="G577" s="6" t="str">
        <f>IF($C577="","",COUNTIFS(Chicks!$F:$F,$C577,Chicks!$G:$G,$D577,Chicks!$I:$I,"Yes"))</f>
        <v/>
      </c>
      <c r="H577" s="6" t="str">
        <f>IF($C577="","",SUMIFS(Chicks!$J:$J,Chicks!$F:$F,$C577,Chicks!$G:$G,$D577))</f>
        <v/>
      </c>
      <c r="I577" s="6" t="str">
        <f>IF($C577="","",COUNTIFS(Chicks!$F:$F,$C577,Chicks!$G:$G,$D577,Chicks!$I:$I,"No"))</f>
        <v/>
      </c>
      <c r="J577" s="6" t="str">
        <f>IF($C577="","",IFERROR(AVERAGEIFS(Chicks!$M:$M,Chicks!$F:$F,$C577,Chicks!$G:$G,$D577),""))</f>
        <v/>
      </c>
      <c r="K577" s="6" t="str">
        <f>IF($C577="","",SUMIFS(Chicks!$N:$N,Chicks!$F:$F,$C577,Chicks!$G:$G,$D577))</f>
        <v/>
      </c>
      <c r="L577" s="6" t="str">
        <f>IF($C577="","",SUMIFS(Chicks!$O:$O,Chicks!$F:$F,$C577,Chicks!$G:$G,$D577))</f>
        <v/>
      </c>
      <c r="M577" s="6" t="str">
        <f>IF($C577="","",SUMIFS(Chicks!$P:$P,Chicks!$F:$F,$C577,Chicks!$G:$G,$D577))</f>
        <v/>
      </c>
      <c r="N577" s="6" t="str">
        <f t="shared" si="10"/>
        <v/>
      </c>
      <c r="O577" s="6" t="e">
        <f t="shared" ca="1" si="11"/>
        <v>#NAME?</v>
      </c>
      <c r="P577" s="6" t="str">
        <f t="shared" si="12"/>
        <v/>
      </c>
    </row>
    <row r="578" spans="3:16" ht="14.25" customHeight="1" x14ac:dyDescent="0.3">
      <c r="C578" s="6" t="str">
        <f t="shared" si="13"/>
        <v/>
      </c>
      <c r="D578" s="6" t="str">
        <f t="shared" si="14"/>
        <v/>
      </c>
      <c r="F578" s="6" t="str">
        <f>IF($C578="","",COUNTIFS(Chicks!$F:$F,$C578,Chicks!$G:$G,$D578))</f>
        <v/>
      </c>
      <c r="G578" s="6" t="str">
        <f>IF($C578="","",COUNTIFS(Chicks!$F:$F,$C578,Chicks!$G:$G,$D578,Chicks!$I:$I,"Yes"))</f>
        <v/>
      </c>
      <c r="H578" s="6" t="str">
        <f>IF($C578="","",SUMIFS(Chicks!$J:$J,Chicks!$F:$F,$C578,Chicks!$G:$G,$D578))</f>
        <v/>
      </c>
      <c r="I578" s="6" t="str">
        <f>IF($C578="","",COUNTIFS(Chicks!$F:$F,$C578,Chicks!$G:$G,$D578,Chicks!$I:$I,"No"))</f>
        <v/>
      </c>
      <c r="J578" s="6" t="str">
        <f>IF($C578="","",IFERROR(AVERAGEIFS(Chicks!$M:$M,Chicks!$F:$F,$C578,Chicks!$G:$G,$D578),""))</f>
        <v/>
      </c>
      <c r="K578" s="6" t="str">
        <f>IF($C578="","",SUMIFS(Chicks!$N:$N,Chicks!$F:$F,$C578,Chicks!$G:$G,$D578))</f>
        <v/>
      </c>
      <c r="L578" s="6" t="str">
        <f>IF($C578="","",SUMIFS(Chicks!$O:$O,Chicks!$F:$F,$C578,Chicks!$G:$G,$D578))</f>
        <v/>
      </c>
      <c r="M578" s="6" t="str">
        <f>IF($C578="","",SUMIFS(Chicks!$P:$P,Chicks!$F:$F,$C578,Chicks!$G:$G,$D578))</f>
        <v/>
      </c>
      <c r="N578" s="6" t="str">
        <f t="shared" si="10"/>
        <v/>
      </c>
      <c r="O578" s="6" t="e">
        <f t="shared" ca="1" si="11"/>
        <v>#NAME?</v>
      </c>
      <c r="P578" s="6" t="str">
        <f t="shared" si="12"/>
        <v/>
      </c>
    </row>
    <row r="579" spans="3:16" ht="14.25" customHeight="1" x14ac:dyDescent="0.3">
      <c r="C579" s="6" t="str">
        <f t="shared" si="13"/>
        <v/>
      </c>
      <c r="D579" s="6" t="str">
        <f t="shared" si="14"/>
        <v/>
      </c>
      <c r="F579" s="6" t="str">
        <f>IF($C579="","",COUNTIFS(Chicks!$F:$F,$C579,Chicks!$G:$G,$D579))</f>
        <v/>
      </c>
      <c r="G579" s="6" t="str">
        <f>IF($C579="","",COUNTIFS(Chicks!$F:$F,$C579,Chicks!$G:$G,$D579,Chicks!$I:$I,"Yes"))</f>
        <v/>
      </c>
      <c r="H579" s="6" t="str">
        <f>IF($C579="","",SUMIFS(Chicks!$J:$J,Chicks!$F:$F,$C579,Chicks!$G:$G,$D579))</f>
        <v/>
      </c>
      <c r="I579" s="6" t="str">
        <f>IF($C579="","",COUNTIFS(Chicks!$F:$F,$C579,Chicks!$G:$G,$D579,Chicks!$I:$I,"No"))</f>
        <v/>
      </c>
      <c r="J579" s="6" t="str">
        <f>IF($C579="","",IFERROR(AVERAGEIFS(Chicks!$M:$M,Chicks!$F:$F,$C579,Chicks!$G:$G,$D579),""))</f>
        <v/>
      </c>
      <c r="K579" s="6" t="str">
        <f>IF($C579="","",SUMIFS(Chicks!$N:$N,Chicks!$F:$F,$C579,Chicks!$G:$G,$D579))</f>
        <v/>
      </c>
      <c r="L579" s="6" t="str">
        <f>IF($C579="","",SUMIFS(Chicks!$O:$O,Chicks!$F:$F,$C579,Chicks!$G:$G,$D579))</f>
        <v/>
      </c>
      <c r="M579" s="6" t="str">
        <f>IF($C579="","",SUMIFS(Chicks!$P:$P,Chicks!$F:$F,$C579,Chicks!$G:$G,$D579))</f>
        <v/>
      </c>
      <c r="N579" s="6" t="str">
        <f t="shared" si="10"/>
        <v/>
      </c>
      <c r="O579" s="6" t="e">
        <f t="shared" ca="1" si="11"/>
        <v>#NAME?</v>
      </c>
      <c r="P579" s="6" t="str">
        <f t="shared" si="12"/>
        <v/>
      </c>
    </row>
    <row r="580" spans="3:16" ht="14.25" customHeight="1" x14ac:dyDescent="0.3">
      <c r="C580" s="6" t="str">
        <f t="shared" si="13"/>
        <v/>
      </c>
      <c r="D580" s="6" t="str">
        <f t="shared" si="14"/>
        <v/>
      </c>
      <c r="F580" s="6" t="str">
        <f>IF($C580="","",COUNTIFS(Chicks!$F:$F,$C580,Chicks!$G:$G,$D580))</f>
        <v/>
      </c>
      <c r="G580" s="6" t="str">
        <f>IF($C580="","",COUNTIFS(Chicks!$F:$F,$C580,Chicks!$G:$G,$D580,Chicks!$I:$I,"Yes"))</f>
        <v/>
      </c>
      <c r="H580" s="6" t="str">
        <f>IF($C580="","",SUMIFS(Chicks!$J:$J,Chicks!$F:$F,$C580,Chicks!$G:$G,$D580))</f>
        <v/>
      </c>
      <c r="I580" s="6" t="str">
        <f>IF($C580="","",COUNTIFS(Chicks!$F:$F,$C580,Chicks!$G:$G,$D580,Chicks!$I:$I,"No"))</f>
        <v/>
      </c>
      <c r="J580" s="6" t="str">
        <f>IF($C580="","",IFERROR(AVERAGEIFS(Chicks!$M:$M,Chicks!$F:$F,$C580,Chicks!$G:$G,$D580),""))</f>
        <v/>
      </c>
      <c r="K580" s="6" t="str">
        <f>IF($C580="","",SUMIFS(Chicks!$N:$N,Chicks!$F:$F,$C580,Chicks!$G:$G,$D580))</f>
        <v/>
      </c>
      <c r="L580" s="6" t="str">
        <f>IF($C580="","",SUMIFS(Chicks!$O:$O,Chicks!$F:$F,$C580,Chicks!$G:$G,$D580))</f>
        <v/>
      </c>
      <c r="M580" s="6" t="str">
        <f>IF($C580="","",SUMIFS(Chicks!$P:$P,Chicks!$F:$F,$C580,Chicks!$G:$G,$D580))</f>
        <v/>
      </c>
      <c r="N580" s="6" t="str">
        <f t="shared" si="10"/>
        <v/>
      </c>
      <c r="O580" s="6" t="e">
        <f t="shared" ca="1" si="11"/>
        <v>#NAME?</v>
      </c>
      <c r="P580" s="6" t="str">
        <f t="shared" si="12"/>
        <v/>
      </c>
    </row>
    <row r="581" spans="3:16" ht="14.25" customHeight="1" x14ac:dyDescent="0.3">
      <c r="C581" s="6" t="str">
        <f t="shared" si="13"/>
        <v/>
      </c>
      <c r="D581" s="6" t="str">
        <f t="shared" si="14"/>
        <v/>
      </c>
      <c r="F581" s="6" t="str">
        <f>IF($C581="","",COUNTIFS(Chicks!$F:$F,$C581,Chicks!$G:$G,$D581))</f>
        <v/>
      </c>
      <c r="G581" s="6" t="str">
        <f>IF($C581="","",COUNTIFS(Chicks!$F:$F,$C581,Chicks!$G:$G,$D581,Chicks!$I:$I,"Yes"))</f>
        <v/>
      </c>
      <c r="H581" s="6" t="str">
        <f>IF($C581="","",SUMIFS(Chicks!$J:$J,Chicks!$F:$F,$C581,Chicks!$G:$G,$D581))</f>
        <v/>
      </c>
      <c r="I581" s="6" t="str">
        <f>IF($C581="","",COUNTIFS(Chicks!$F:$F,$C581,Chicks!$G:$G,$D581,Chicks!$I:$I,"No"))</f>
        <v/>
      </c>
      <c r="J581" s="6" t="str">
        <f>IF($C581="","",IFERROR(AVERAGEIFS(Chicks!$M:$M,Chicks!$F:$F,$C581,Chicks!$G:$G,$D581),""))</f>
        <v/>
      </c>
      <c r="K581" s="6" t="str">
        <f>IF($C581="","",SUMIFS(Chicks!$N:$N,Chicks!$F:$F,$C581,Chicks!$G:$G,$D581))</f>
        <v/>
      </c>
      <c r="L581" s="6" t="str">
        <f>IF($C581="","",SUMIFS(Chicks!$O:$O,Chicks!$F:$F,$C581,Chicks!$G:$G,$D581))</f>
        <v/>
      </c>
      <c r="M581" s="6" t="str">
        <f>IF($C581="","",SUMIFS(Chicks!$P:$P,Chicks!$F:$F,$C581,Chicks!$G:$G,$D581))</f>
        <v/>
      </c>
      <c r="N581" s="6" t="str">
        <f t="shared" si="10"/>
        <v/>
      </c>
      <c r="O581" s="6" t="e">
        <f t="shared" ca="1" si="11"/>
        <v>#NAME?</v>
      </c>
      <c r="P581" s="6" t="str">
        <f t="shared" si="12"/>
        <v/>
      </c>
    </row>
    <row r="582" spans="3:16" ht="14.25" customHeight="1" x14ac:dyDescent="0.3">
      <c r="C582" s="6" t="str">
        <f t="shared" si="13"/>
        <v/>
      </c>
      <c r="D582" s="6" t="str">
        <f t="shared" si="14"/>
        <v/>
      </c>
      <c r="F582" s="6" t="str">
        <f>IF($C582="","",COUNTIFS(Chicks!$F:$F,$C582,Chicks!$G:$G,$D582))</f>
        <v/>
      </c>
      <c r="G582" s="6" t="str">
        <f>IF($C582="","",COUNTIFS(Chicks!$F:$F,$C582,Chicks!$G:$G,$D582,Chicks!$I:$I,"Yes"))</f>
        <v/>
      </c>
      <c r="H582" s="6" t="str">
        <f>IF($C582="","",SUMIFS(Chicks!$J:$J,Chicks!$F:$F,$C582,Chicks!$G:$G,$D582))</f>
        <v/>
      </c>
      <c r="I582" s="6" t="str">
        <f>IF($C582="","",COUNTIFS(Chicks!$F:$F,$C582,Chicks!$G:$G,$D582,Chicks!$I:$I,"No"))</f>
        <v/>
      </c>
      <c r="J582" s="6" t="str">
        <f>IF($C582="","",IFERROR(AVERAGEIFS(Chicks!$M:$M,Chicks!$F:$F,$C582,Chicks!$G:$G,$D582),""))</f>
        <v/>
      </c>
      <c r="K582" s="6" t="str">
        <f>IF($C582="","",SUMIFS(Chicks!$N:$N,Chicks!$F:$F,$C582,Chicks!$G:$G,$D582))</f>
        <v/>
      </c>
      <c r="L582" s="6" t="str">
        <f>IF($C582="","",SUMIFS(Chicks!$O:$O,Chicks!$F:$F,$C582,Chicks!$G:$G,$D582))</f>
        <v/>
      </c>
      <c r="M582" s="6" t="str">
        <f>IF($C582="","",SUMIFS(Chicks!$P:$P,Chicks!$F:$F,$C582,Chicks!$G:$G,$D582))</f>
        <v/>
      </c>
      <c r="N582" s="6" t="str">
        <f t="shared" si="10"/>
        <v/>
      </c>
      <c r="O582" s="6" t="e">
        <f t="shared" ca="1" si="11"/>
        <v>#NAME?</v>
      </c>
      <c r="P582" s="6" t="str">
        <f t="shared" si="12"/>
        <v/>
      </c>
    </row>
    <row r="583" spans="3:16" ht="14.25" customHeight="1" x14ac:dyDescent="0.3">
      <c r="C583" s="6" t="str">
        <f t="shared" si="13"/>
        <v/>
      </c>
      <c r="D583" s="6" t="str">
        <f t="shared" si="14"/>
        <v/>
      </c>
      <c r="F583" s="6" t="str">
        <f>IF($C583="","",COUNTIFS(Chicks!$F:$F,$C583,Chicks!$G:$G,$D583))</f>
        <v/>
      </c>
      <c r="G583" s="6" t="str">
        <f>IF($C583="","",COUNTIFS(Chicks!$F:$F,$C583,Chicks!$G:$G,$D583,Chicks!$I:$I,"Yes"))</f>
        <v/>
      </c>
      <c r="H583" s="6" t="str">
        <f>IF($C583="","",SUMIFS(Chicks!$J:$J,Chicks!$F:$F,$C583,Chicks!$G:$G,$D583))</f>
        <v/>
      </c>
      <c r="I583" s="6" t="str">
        <f>IF($C583="","",COUNTIFS(Chicks!$F:$F,$C583,Chicks!$G:$G,$D583,Chicks!$I:$I,"No"))</f>
        <v/>
      </c>
      <c r="J583" s="6" t="str">
        <f>IF($C583="","",IFERROR(AVERAGEIFS(Chicks!$M:$M,Chicks!$F:$F,$C583,Chicks!$G:$G,$D583),""))</f>
        <v/>
      </c>
      <c r="K583" s="6" t="str">
        <f>IF($C583="","",SUMIFS(Chicks!$N:$N,Chicks!$F:$F,$C583,Chicks!$G:$G,$D583))</f>
        <v/>
      </c>
      <c r="L583" s="6" t="str">
        <f>IF($C583="","",SUMIFS(Chicks!$O:$O,Chicks!$F:$F,$C583,Chicks!$G:$G,$D583))</f>
        <v/>
      </c>
      <c r="M583" s="6" t="str">
        <f>IF($C583="","",SUMIFS(Chicks!$P:$P,Chicks!$F:$F,$C583,Chicks!$G:$G,$D583))</f>
        <v/>
      </c>
      <c r="N583" s="6" t="str">
        <f t="shared" si="10"/>
        <v/>
      </c>
      <c r="O583" s="6" t="e">
        <f t="shared" ca="1" si="11"/>
        <v>#NAME?</v>
      </c>
      <c r="P583" s="6" t="str">
        <f t="shared" si="12"/>
        <v/>
      </c>
    </row>
    <row r="584" spans="3:16" ht="14.25" customHeight="1" x14ac:dyDescent="0.3">
      <c r="C584" s="6" t="str">
        <f t="shared" si="13"/>
        <v/>
      </c>
      <c r="D584" s="6" t="str">
        <f t="shared" si="14"/>
        <v/>
      </c>
      <c r="F584" s="6" t="str">
        <f>IF($C584="","",COUNTIFS(Chicks!$F:$F,$C584,Chicks!$G:$G,$D584))</f>
        <v/>
      </c>
      <c r="G584" s="6" t="str">
        <f>IF($C584="","",COUNTIFS(Chicks!$F:$F,$C584,Chicks!$G:$G,$D584,Chicks!$I:$I,"Yes"))</f>
        <v/>
      </c>
      <c r="H584" s="6" t="str">
        <f>IF($C584="","",SUMIFS(Chicks!$J:$J,Chicks!$F:$F,$C584,Chicks!$G:$G,$D584))</f>
        <v/>
      </c>
      <c r="I584" s="6" t="str">
        <f>IF($C584="","",COUNTIFS(Chicks!$F:$F,$C584,Chicks!$G:$G,$D584,Chicks!$I:$I,"No"))</f>
        <v/>
      </c>
      <c r="J584" s="6" t="str">
        <f>IF($C584="","",IFERROR(AVERAGEIFS(Chicks!$M:$M,Chicks!$F:$F,$C584,Chicks!$G:$G,$D584),""))</f>
        <v/>
      </c>
      <c r="K584" s="6" t="str">
        <f>IF($C584="","",SUMIFS(Chicks!$N:$N,Chicks!$F:$F,$C584,Chicks!$G:$G,$D584))</f>
        <v/>
      </c>
      <c r="L584" s="6" t="str">
        <f>IF($C584="","",SUMIFS(Chicks!$O:$O,Chicks!$F:$F,$C584,Chicks!$G:$G,$D584))</f>
        <v/>
      </c>
      <c r="M584" s="6" t="str">
        <f>IF($C584="","",SUMIFS(Chicks!$P:$P,Chicks!$F:$F,$C584,Chicks!$G:$G,$D584))</f>
        <v/>
      </c>
      <c r="N584" s="6" t="str">
        <f t="shared" si="10"/>
        <v/>
      </c>
      <c r="O584" s="6" t="e">
        <f t="shared" ca="1" si="11"/>
        <v>#NAME?</v>
      </c>
      <c r="P584" s="6" t="str">
        <f t="shared" si="12"/>
        <v/>
      </c>
    </row>
    <row r="585" spans="3:16" ht="14.25" customHeight="1" x14ac:dyDescent="0.3">
      <c r="C585" s="6" t="str">
        <f t="shared" si="13"/>
        <v/>
      </c>
      <c r="D585" s="6" t="str">
        <f t="shared" si="14"/>
        <v/>
      </c>
      <c r="F585" s="6" t="str">
        <f>IF($C585="","",COUNTIFS(Chicks!$F:$F,$C585,Chicks!$G:$G,$D585))</f>
        <v/>
      </c>
      <c r="G585" s="6" t="str">
        <f>IF($C585="","",COUNTIFS(Chicks!$F:$F,$C585,Chicks!$G:$G,$D585,Chicks!$I:$I,"Yes"))</f>
        <v/>
      </c>
      <c r="H585" s="6" t="str">
        <f>IF($C585="","",SUMIFS(Chicks!$J:$J,Chicks!$F:$F,$C585,Chicks!$G:$G,$D585))</f>
        <v/>
      </c>
      <c r="I585" s="6" t="str">
        <f>IF($C585="","",COUNTIFS(Chicks!$F:$F,$C585,Chicks!$G:$G,$D585,Chicks!$I:$I,"No"))</f>
        <v/>
      </c>
      <c r="J585" s="6" t="str">
        <f>IF($C585="","",IFERROR(AVERAGEIFS(Chicks!$M:$M,Chicks!$F:$F,$C585,Chicks!$G:$G,$D585),""))</f>
        <v/>
      </c>
      <c r="K585" s="6" t="str">
        <f>IF($C585="","",SUMIFS(Chicks!$N:$N,Chicks!$F:$F,$C585,Chicks!$G:$G,$D585))</f>
        <v/>
      </c>
      <c r="L585" s="6" t="str">
        <f>IF($C585="","",SUMIFS(Chicks!$O:$O,Chicks!$F:$F,$C585,Chicks!$G:$G,$D585))</f>
        <v/>
      </c>
      <c r="M585" s="6" t="str">
        <f>IF($C585="","",SUMIFS(Chicks!$P:$P,Chicks!$F:$F,$C585,Chicks!$G:$G,$D585))</f>
        <v/>
      </c>
      <c r="N585" s="6" t="str">
        <f t="shared" si="10"/>
        <v/>
      </c>
      <c r="O585" s="6" t="e">
        <f t="shared" ca="1" si="11"/>
        <v>#NAME?</v>
      </c>
      <c r="P585" s="6" t="str">
        <f t="shared" si="12"/>
        <v/>
      </c>
    </row>
    <row r="586" spans="3:16" ht="14.25" customHeight="1" x14ac:dyDescent="0.3">
      <c r="C586" s="6" t="str">
        <f t="shared" si="13"/>
        <v/>
      </c>
      <c r="D586" s="6" t="str">
        <f t="shared" si="14"/>
        <v/>
      </c>
      <c r="F586" s="6" t="str">
        <f>IF($C586="","",COUNTIFS(Chicks!$F:$F,$C586,Chicks!$G:$G,$D586))</f>
        <v/>
      </c>
      <c r="G586" s="6" t="str">
        <f>IF($C586="","",COUNTIFS(Chicks!$F:$F,$C586,Chicks!$G:$G,$D586,Chicks!$I:$I,"Yes"))</f>
        <v/>
      </c>
      <c r="H586" s="6" t="str">
        <f>IF($C586="","",SUMIFS(Chicks!$J:$J,Chicks!$F:$F,$C586,Chicks!$G:$G,$D586))</f>
        <v/>
      </c>
      <c r="I586" s="6" t="str">
        <f>IF($C586="","",COUNTIFS(Chicks!$F:$F,$C586,Chicks!$G:$G,$D586,Chicks!$I:$I,"No"))</f>
        <v/>
      </c>
      <c r="J586" s="6" t="str">
        <f>IF($C586="","",IFERROR(AVERAGEIFS(Chicks!$M:$M,Chicks!$F:$F,$C586,Chicks!$G:$G,$D586),""))</f>
        <v/>
      </c>
      <c r="K586" s="6" t="str">
        <f>IF($C586="","",SUMIFS(Chicks!$N:$N,Chicks!$F:$F,$C586,Chicks!$G:$G,$D586))</f>
        <v/>
      </c>
      <c r="L586" s="6" t="str">
        <f>IF($C586="","",SUMIFS(Chicks!$O:$O,Chicks!$F:$F,$C586,Chicks!$G:$G,$D586))</f>
        <v/>
      </c>
      <c r="M586" s="6" t="str">
        <f>IF($C586="","",SUMIFS(Chicks!$P:$P,Chicks!$F:$F,$C586,Chicks!$G:$G,$D586))</f>
        <v/>
      </c>
      <c r="N586" s="6" t="str">
        <f t="shared" si="10"/>
        <v/>
      </c>
      <c r="O586" s="6" t="e">
        <f t="shared" ca="1" si="11"/>
        <v>#NAME?</v>
      </c>
      <c r="P586" s="6" t="str">
        <f t="shared" si="12"/>
        <v/>
      </c>
    </row>
    <row r="587" spans="3:16" ht="14.25" customHeight="1" x14ac:dyDescent="0.3">
      <c r="C587" s="6" t="str">
        <f t="shared" si="13"/>
        <v/>
      </c>
      <c r="D587" s="6" t="str">
        <f t="shared" si="14"/>
        <v/>
      </c>
      <c r="F587" s="6" t="str">
        <f>IF($C587="","",COUNTIFS(Chicks!$F:$F,$C587,Chicks!$G:$G,$D587))</f>
        <v/>
      </c>
      <c r="G587" s="6" t="str">
        <f>IF($C587="","",COUNTIFS(Chicks!$F:$F,$C587,Chicks!$G:$G,$D587,Chicks!$I:$I,"Yes"))</f>
        <v/>
      </c>
      <c r="H587" s="6" t="str">
        <f>IF($C587="","",SUMIFS(Chicks!$J:$J,Chicks!$F:$F,$C587,Chicks!$G:$G,$D587))</f>
        <v/>
      </c>
      <c r="I587" s="6" t="str">
        <f>IF($C587="","",COUNTIFS(Chicks!$F:$F,$C587,Chicks!$G:$G,$D587,Chicks!$I:$I,"No"))</f>
        <v/>
      </c>
      <c r="J587" s="6" t="str">
        <f>IF($C587="","",IFERROR(AVERAGEIFS(Chicks!$M:$M,Chicks!$F:$F,$C587,Chicks!$G:$G,$D587),""))</f>
        <v/>
      </c>
      <c r="K587" s="6" t="str">
        <f>IF($C587="","",SUMIFS(Chicks!$N:$N,Chicks!$F:$F,$C587,Chicks!$G:$G,$D587))</f>
        <v/>
      </c>
      <c r="L587" s="6" t="str">
        <f>IF($C587="","",SUMIFS(Chicks!$O:$O,Chicks!$F:$F,$C587,Chicks!$G:$G,$D587))</f>
        <v/>
      </c>
      <c r="M587" s="6" t="str">
        <f>IF($C587="","",SUMIFS(Chicks!$P:$P,Chicks!$F:$F,$C587,Chicks!$G:$G,$D587))</f>
        <v/>
      </c>
      <c r="N587" s="6" t="str">
        <f t="shared" si="10"/>
        <v/>
      </c>
      <c r="O587" s="6" t="e">
        <f t="shared" ca="1" si="11"/>
        <v>#NAME?</v>
      </c>
      <c r="P587" s="6" t="str">
        <f t="shared" si="12"/>
        <v/>
      </c>
    </row>
    <row r="588" spans="3:16" ht="14.25" customHeight="1" x14ac:dyDescent="0.3">
      <c r="C588" s="6" t="str">
        <f t="shared" si="13"/>
        <v/>
      </c>
      <c r="D588" s="6" t="str">
        <f t="shared" si="14"/>
        <v/>
      </c>
      <c r="F588" s="6" t="str">
        <f>IF($C588="","",COUNTIFS(Chicks!$F:$F,$C588,Chicks!$G:$G,$D588))</f>
        <v/>
      </c>
      <c r="G588" s="6" t="str">
        <f>IF($C588="","",COUNTIFS(Chicks!$F:$F,$C588,Chicks!$G:$G,$D588,Chicks!$I:$I,"Yes"))</f>
        <v/>
      </c>
      <c r="H588" s="6" t="str">
        <f>IF($C588="","",SUMIFS(Chicks!$J:$J,Chicks!$F:$F,$C588,Chicks!$G:$G,$D588))</f>
        <v/>
      </c>
      <c r="I588" s="6" t="str">
        <f>IF($C588="","",COUNTIFS(Chicks!$F:$F,$C588,Chicks!$G:$G,$D588,Chicks!$I:$I,"No"))</f>
        <v/>
      </c>
      <c r="J588" s="6" t="str">
        <f>IF($C588="","",IFERROR(AVERAGEIFS(Chicks!$M:$M,Chicks!$F:$F,$C588,Chicks!$G:$G,$D588),""))</f>
        <v/>
      </c>
      <c r="K588" s="6" t="str">
        <f>IF($C588="","",SUMIFS(Chicks!$N:$N,Chicks!$F:$F,$C588,Chicks!$G:$G,$D588))</f>
        <v/>
      </c>
      <c r="L588" s="6" t="str">
        <f>IF($C588="","",SUMIFS(Chicks!$O:$O,Chicks!$F:$F,$C588,Chicks!$G:$G,$D588))</f>
        <v/>
      </c>
      <c r="M588" s="6" t="str">
        <f>IF($C588="","",SUMIFS(Chicks!$P:$P,Chicks!$F:$F,$C588,Chicks!$G:$G,$D588))</f>
        <v/>
      </c>
      <c r="N588" s="6" t="str">
        <f t="shared" si="10"/>
        <v/>
      </c>
      <c r="O588" s="6" t="e">
        <f t="shared" ca="1" si="11"/>
        <v>#NAME?</v>
      </c>
      <c r="P588" s="6" t="str">
        <f t="shared" si="12"/>
        <v/>
      </c>
    </row>
    <row r="589" spans="3:16" ht="14.25" customHeight="1" x14ac:dyDescent="0.3">
      <c r="C589" s="6" t="str">
        <f t="shared" si="13"/>
        <v/>
      </c>
      <c r="D589" s="6" t="str">
        <f t="shared" si="14"/>
        <v/>
      </c>
      <c r="F589" s="6" t="str">
        <f>IF($C589="","",COUNTIFS(Chicks!$F:$F,$C589,Chicks!$G:$G,$D589))</f>
        <v/>
      </c>
      <c r="G589" s="6" t="str">
        <f>IF($C589="","",COUNTIFS(Chicks!$F:$F,$C589,Chicks!$G:$G,$D589,Chicks!$I:$I,"Yes"))</f>
        <v/>
      </c>
      <c r="H589" s="6" t="str">
        <f>IF($C589="","",SUMIFS(Chicks!$J:$J,Chicks!$F:$F,$C589,Chicks!$G:$G,$D589))</f>
        <v/>
      </c>
      <c r="I589" s="6" t="str">
        <f>IF($C589="","",COUNTIFS(Chicks!$F:$F,$C589,Chicks!$G:$G,$D589,Chicks!$I:$I,"No"))</f>
        <v/>
      </c>
      <c r="J589" s="6" t="str">
        <f>IF($C589="","",IFERROR(AVERAGEIFS(Chicks!$M:$M,Chicks!$F:$F,$C589,Chicks!$G:$G,$D589),""))</f>
        <v/>
      </c>
      <c r="K589" s="6" t="str">
        <f>IF($C589="","",SUMIFS(Chicks!$N:$N,Chicks!$F:$F,$C589,Chicks!$G:$G,$D589))</f>
        <v/>
      </c>
      <c r="L589" s="6" t="str">
        <f>IF($C589="","",SUMIFS(Chicks!$O:$O,Chicks!$F:$F,$C589,Chicks!$G:$G,$D589))</f>
        <v/>
      </c>
      <c r="M589" s="6" t="str">
        <f>IF($C589="","",SUMIFS(Chicks!$P:$P,Chicks!$F:$F,$C589,Chicks!$G:$G,$D589))</f>
        <v/>
      </c>
      <c r="N589" s="6" t="str">
        <f t="shared" si="10"/>
        <v/>
      </c>
      <c r="O589" s="6" t="e">
        <f t="shared" ca="1" si="11"/>
        <v>#NAME?</v>
      </c>
      <c r="P589" s="6" t="str">
        <f t="shared" si="12"/>
        <v/>
      </c>
    </row>
    <row r="590" spans="3:16" ht="14.25" customHeight="1" x14ac:dyDescent="0.3">
      <c r="C590" s="6" t="str">
        <f t="shared" si="13"/>
        <v/>
      </c>
      <c r="D590" s="6" t="str">
        <f t="shared" si="14"/>
        <v/>
      </c>
      <c r="F590" s="6" t="str">
        <f>IF($C590="","",COUNTIFS(Chicks!$F:$F,$C590,Chicks!$G:$G,$D590))</f>
        <v/>
      </c>
      <c r="G590" s="6" t="str">
        <f>IF($C590="","",COUNTIFS(Chicks!$F:$F,$C590,Chicks!$G:$G,$D590,Chicks!$I:$I,"Yes"))</f>
        <v/>
      </c>
      <c r="H590" s="6" t="str">
        <f>IF($C590="","",SUMIFS(Chicks!$J:$J,Chicks!$F:$F,$C590,Chicks!$G:$G,$D590))</f>
        <v/>
      </c>
      <c r="I590" s="6" t="str">
        <f>IF($C590="","",COUNTIFS(Chicks!$F:$F,$C590,Chicks!$G:$G,$D590,Chicks!$I:$I,"No"))</f>
        <v/>
      </c>
      <c r="J590" s="6" t="str">
        <f>IF($C590="","",IFERROR(AVERAGEIFS(Chicks!$M:$M,Chicks!$F:$F,$C590,Chicks!$G:$G,$D590),""))</f>
        <v/>
      </c>
      <c r="K590" s="6" t="str">
        <f>IF($C590="","",SUMIFS(Chicks!$N:$N,Chicks!$F:$F,$C590,Chicks!$G:$G,$D590))</f>
        <v/>
      </c>
      <c r="L590" s="6" t="str">
        <f>IF($C590="","",SUMIFS(Chicks!$O:$O,Chicks!$F:$F,$C590,Chicks!$G:$G,$D590))</f>
        <v/>
      </c>
      <c r="M590" s="6" t="str">
        <f>IF($C590="","",SUMIFS(Chicks!$P:$P,Chicks!$F:$F,$C590,Chicks!$G:$G,$D590))</f>
        <v/>
      </c>
      <c r="N590" s="6" t="str">
        <f t="shared" si="10"/>
        <v/>
      </c>
      <c r="O590" s="6" t="e">
        <f t="shared" ca="1" si="11"/>
        <v>#NAME?</v>
      </c>
      <c r="P590" s="6" t="str">
        <f t="shared" si="12"/>
        <v/>
      </c>
    </row>
    <row r="591" spans="3:16" ht="14.25" customHeight="1" x14ac:dyDescent="0.3">
      <c r="C591" s="6" t="str">
        <f t="shared" si="13"/>
        <v/>
      </c>
      <c r="D591" s="6" t="str">
        <f t="shared" si="14"/>
        <v/>
      </c>
      <c r="F591" s="6" t="str">
        <f>IF($C591="","",COUNTIFS(Chicks!$F:$F,$C591,Chicks!$G:$G,$D591))</f>
        <v/>
      </c>
      <c r="G591" s="6" t="str">
        <f>IF($C591="","",COUNTIFS(Chicks!$F:$F,$C591,Chicks!$G:$G,$D591,Chicks!$I:$I,"Yes"))</f>
        <v/>
      </c>
      <c r="H591" s="6" t="str">
        <f>IF($C591="","",SUMIFS(Chicks!$J:$J,Chicks!$F:$F,$C591,Chicks!$G:$G,$D591))</f>
        <v/>
      </c>
      <c r="I591" s="6" t="str">
        <f>IF($C591="","",COUNTIFS(Chicks!$F:$F,$C591,Chicks!$G:$G,$D591,Chicks!$I:$I,"No"))</f>
        <v/>
      </c>
      <c r="J591" s="6" t="str">
        <f>IF($C591="","",IFERROR(AVERAGEIFS(Chicks!$M:$M,Chicks!$F:$F,$C591,Chicks!$G:$G,$D591),""))</f>
        <v/>
      </c>
      <c r="K591" s="6" t="str">
        <f>IF($C591="","",SUMIFS(Chicks!$N:$N,Chicks!$F:$F,$C591,Chicks!$G:$G,$D591))</f>
        <v/>
      </c>
      <c r="L591" s="6" t="str">
        <f>IF($C591="","",SUMIFS(Chicks!$O:$O,Chicks!$F:$F,$C591,Chicks!$G:$G,$D591))</f>
        <v/>
      </c>
      <c r="M591" s="6" t="str">
        <f>IF($C591="","",SUMIFS(Chicks!$P:$P,Chicks!$F:$F,$C591,Chicks!$G:$G,$D591))</f>
        <v/>
      </c>
      <c r="N591" s="6" t="str">
        <f t="shared" si="10"/>
        <v/>
      </c>
      <c r="O591" s="6" t="e">
        <f t="shared" ca="1" si="11"/>
        <v>#NAME?</v>
      </c>
      <c r="P591" s="6" t="str">
        <f t="shared" si="12"/>
        <v/>
      </c>
    </row>
    <row r="592" spans="3:16" ht="14.25" customHeight="1" x14ac:dyDescent="0.3">
      <c r="C592" s="6" t="str">
        <f t="shared" si="13"/>
        <v/>
      </c>
      <c r="D592" s="6" t="str">
        <f t="shared" si="14"/>
        <v/>
      </c>
      <c r="F592" s="6" t="str">
        <f>IF($C592="","",COUNTIFS(Chicks!$F:$F,$C592,Chicks!$G:$G,$D592))</f>
        <v/>
      </c>
      <c r="G592" s="6" t="str">
        <f>IF($C592="","",COUNTIFS(Chicks!$F:$F,$C592,Chicks!$G:$G,$D592,Chicks!$I:$I,"Yes"))</f>
        <v/>
      </c>
      <c r="H592" s="6" t="str">
        <f>IF($C592="","",SUMIFS(Chicks!$J:$J,Chicks!$F:$F,$C592,Chicks!$G:$G,$D592))</f>
        <v/>
      </c>
      <c r="I592" s="6" t="str">
        <f>IF($C592="","",COUNTIFS(Chicks!$F:$F,$C592,Chicks!$G:$G,$D592,Chicks!$I:$I,"No"))</f>
        <v/>
      </c>
      <c r="J592" s="6" t="str">
        <f>IF($C592="","",IFERROR(AVERAGEIFS(Chicks!$M:$M,Chicks!$F:$F,$C592,Chicks!$G:$G,$D592),""))</f>
        <v/>
      </c>
      <c r="K592" s="6" t="str">
        <f>IF($C592="","",SUMIFS(Chicks!$N:$N,Chicks!$F:$F,$C592,Chicks!$G:$G,$D592))</f>
        <v/>
      </c>
      <c r="L592" s="6" t="str">
        <f>IF($C592="","",SUMIFS(Chicks!$O:$O,Chicks!$F:$F,$C592,Chicks!$G:$G,$D592))</f>
        <v/>
      </c>
      <c r="M592" s="6" t="str">
        <f>IF($C592="","",SUMIFS(Chicks!$P:$P,Chicks!$F:$F,$C592,Chicks!$G:$G,$D592))</f>
        <v/>
      </c>
      <c r="N592" s="6" t="str">
        <f t="shared" si="10"/>
        <v/>
      </c>
      <c r="O592" s="6" t="e">
        <f t="shared" ca="1" si="11"/>
        <v>#NAME?</v>
      </c>
      <c r="P592" s="6" t="str">
        <f t="shared" si="12"/>
        <v/>
      </c>
    </row>
    <row r="593" spans="3:16" ht="14.25" customHeight="1" x14ac:dyDescent="0.3">
      <c r="C593" s="6" t="str">
        <f t="shared" si="13"/>
        <v/>
      </c>
      <c r="D593" s="6" t="str">
        <f t="shared" si="14"/>
        <v/>
      </c>
      <c r="F593" s="6" t="str">
        <f>IF($C593="","",COUNTIFS(Chicks!$F:$F,$C593,Chicks!$G:$G,$D593))</f>
        <v/>
      </c>
      <c r="G593" s="6" t="str">
        <f>IF($C593="","",COUNTIFS(Chicks!$F:$F,$C593,Chicks!$G:$G,$D593,Chicks!$I:$I,"Yes"))</f>
        <v/>
      </c>
      <c r="H593" s="6" t="str">
        <f>IF($C593="","",SUMIFS(Chicks!$J:$J,Chicks!$F:$F,$C593,Chicks!$G:$G,$D593))</f>
        <v/>
      </c>
      <c r="I593" s="6" t="str">
        <f>IF($C593="","",COUNTIFS(Chicks!$F:$F,$C593,Chicks!$G:$G,$D593,Chicks!$I:$I,"No"))</f>
        <v/>
      </c>
      <c r="J593" s="6" t="str">
        <f>IF($C593="","",IFERROR(AVERAGEIFS(Chicks!$M:$M,Chicks!$F:$F,$C593,Chicks!$G:$G,$D593),""))</f>
        <v/>
      </c>
      <c r="K593" s="6" t="str">
        <f>IF($C593="","",SUMIFS(Chicks!$N:$N,Chicks!$F:$F,$C593,Chicks!$G:$G,$D593))</f>
        <v/>
      </c>
      <c r="L593" s="6" t="str">
        <f>IF($C593="","",SUMIFS(Chicks!$O:$O,Chicks!$F:$F,$C593,Chicks!$G:$G,$D593))</f>
        <v/>
      </c>
      <c r="M593" s="6" t="str">
        <f>IF($C593="","",SUMIFS(Chicks!$P:$P,Chicks!$F:$F,$C593,Chicks!$G:$G,$D593))</f>
        <v/>
      </c>
      <c r="N593" s="6" t="str">
        <f t="shared" si="10"/>
        <v/>
      </c>
      <c r="O593" s="6" t="e">
        <f t="shared" ca="1" si="11"/>
        <v>#NAME?</v>
      </c>
      <c r="P593" s="6" t="str">
        <f t="shared" si="12"/>
        <v/>
      </c>
    </row>
    <row r="594" spans="3:16" ht="14.25" customHeight="1" x14ac:dyDescent="0.3">
      <c r="C594" s="6" t="str">
        <f t="shared" si="13"/>
        <v/>
      </c>
      <c r="D594" s="6" t="str">
        <f t="shared" si="14"/>
        <v/>
      </c>
      <c r="F594" s="6" t="str">
        <f>IF($C594="","",COUNTIFS(Chicks!$F:$F,$C594,Chicks!$G:$G,$D594))</f>
        <v/>
      </c>
      <c r="G594" s="6" t="str">
        <f>IF($C594="","",COUNTIFS(Chicks!$F:$F,$C594,Chicks!$G:$G,$D594,Chicks!$I:$I,"Yes"))</f>
        <v/>
      </c>
      <c r="H594" s="6" t="str">
        <f>IF($C594="","",SUMIFS(Chicks!$J:$J,Chicks!$F:$F,$C594,Chicks!$G:$G,$D594))</f>
        <v/>
      </c>
      <c r="I594" s="6" t="str">
        <f>IF($C594="","",COUNTIFS(Chicks!$F:$F,$C594,Chicks!$G:$G,$D594,Chicks!$I:$I,"No"))</f>
        <v/>
      </c>
      <c r="J594" s="6" t="str">
        <f>IF($C594="","",IFERROR(AVERAGEIFS(Chicks!$M:$M,Chicks!$F:$F,$C594,Chicks!$G:$G,$D594),""))</f>
        <v/>
      </c>
      <c r="K594" s="6" t="str">
        <f>IF($C594="","",SUMIFS(Chicks!$N:$N,Chicks!$F:$F,$C594,Chicks!$G:$G,$D594))</f>
        <v/>
      </c>
      <c r="L594" s="6" t="str">
        <f>IF($C594="","",SUMIFS(Chicks!$O:$O,Chicks!$F:$F,$C594,Chicks!$G:$G,$D594))</f>
        <v/>
      </c>
      <c r="M594" s="6" t="str">
        <f>IF($C594="","",SUMIFS(Chicks!$P:$P,Chicks!$F:$F,$C594,Chicks!$G:$G,$D594))</f>
        <v/>
      </c>
      <c r="N594" s="6" t="str">
        <f t="shared" si="10"/>
        <v/>
      </c>
      <c r="O594" s="6" t="e">
        <f t="shared" ca="1" si="11"/>
        <v>#NAME?</v>
      </c>
      <c r="P594" s="6" t="str">
        <f t="shared" si="12"/>
        <v/>
      </c>
    </row>
    <row r="595" spans="3:16" ht="14.25" customHeight="1" x14ac:dyDescent="0.3">
      <c r="C595" s="6" t="str">
        <f t="shared" si="13"/>
        <v/>
      </c>
      <c r="D595" s="6" t="str">
        <f t="shared" si="14"/>
        <v/>
      </c>
      <c r="F595" s="6" t="str">
        <f>IF($C595="","",COUNTIFS(Chicks!$F:$F,$C595,Chicks!$G:$G,$D595))</f>
        <v/>
      </c>
      <c r="G595" s="6" t="str">
        <f>IF($C595="","",COUNTIFS(Chicks!$F:$F,$C595,Chicks!$G:$G,$D595,Chicks!$I:$I,"Yes"))</f>
        <v/>
      </c>
      <c r="H595" s="6" t="str">
        <f>IF($C595="","",SUMIFS(Chicks!$J:$J,Chicks!$F:$F,$C595,Chicks!$G:$G,$D595))</f>
        <v/>
      </c>
      <c r="I595" s="6" t="str">
        <f>IF($C595="","",COUNTIFS(Chicks!$F:$F,$C595,Chicks!$G:$G,$D595,Chicks!$I:$I,"No"))</f>
        <v/>
      </c>
      <c r="J595" s="6" t="str">
        <f>IF($C595="","",IFERROR(AVERAGEIFS(Chicks!$M:$M,Chicks!$F:$F,$C595,Chicks!$G:$G,$D595),""))</f>
        <v/>
      </c>
      <c r="K595" s="6" t="str">
        <f>IF($C595="","",SUMIFS(Chicks!$N:$N,Chicks!$F:$F,$C595,Chicks!$G:$G,$D595))</f>
        <v/>
      </c>
      <c r="L595" s="6" t="str">
        <f>IF($C595="","",SUMIFS(Chicks!$O:$O,Chicks!$F:$F,$C595,Chicks!$G:$G,$D595))</f>
        <v/>
      </c>
      <c r="M595" s="6" t="str">
        <f>IF($C595="","",SUMIFS(Chicks!$P:$P,Chicks!$F:$F,$C595,Chicks!$G:$G,$D595))</f>
        <v/>
      </c>
      <c r="N595" s="6" t="str">
        <f t="shared" si="10"/>
        <v/>
      </c>
      <c r="O595" s="6" t="e">
        <f t="shared" ca="1" si="11"/>
        <v>#NAME?</v>
      </c>
      <c r="P595" s="6" t="str">
        <f t="shared" si="12"/>
        <v/>
      </c>
    </row>
    <row r="596" spans="3:16" ht="14.25" customHeight="1" x14ac:dyDescent="0.3">
      <c r="C596" s="6" t="str">
        <f t="shared" si="13"/>
        <v/>
      </c>
      <c r="D596" s="6" t="str">
        <f t="shared" si="14"/>
        <v/>
      </c>
      <c r="F596" s="6" t="str">
        <f>IF($C596="","",COUNTIFS(Chicks!$F:$F,$C596,Chicks!$G:$G,$D596))</f>
        <v/>
      </c>
      <c r="G596" s="6" t="str">
        <f>IF($C596="","",COUNTIFS(Chicks!$F:$F,$C596,Chicks!$G:$G,$D596,Chicks!$I:$I,"Yes"))</f>
        <v/>
      </c>
      <c r="H596" s="6" t="str">
        <f>IF($C596="","",SUMIFS(Chicks!$J:$J,Chicks!$F:$F,$C596,Chicks!$G:$G,$D596))</f>
        <v/>
      </c>
      <c r="I596" s="6" t="str">
        <f>IF($C596="","",COUNTIFS(Chicks!$F:$F,$C596,Chicks!$G:$G,$D596,Chicks!$I:$I,"No"))</f>
        <v/>
      </c>
      <c r="J596" s="6" t="str">
        <f>IF($C596="","",IFERROR(AVERAGEIFS(Chicks!$M:$M,Chicks!$F:$F,$C596,Chicks!$G:$G,$D596),""))</f>
        <v/>
      </c>
      <c r="K596" s="6" t="str">
        <f>IF($C596="","",SUMIFS(Chicks!$N:$N,Chicks!$F:$F,$C596,Chicks!$G:$G,$D596))</f>
        <v/>
      </c>
      <c r="L596" s="6" t="str">
        <f>IF($C596="","",SUMIFS(Chicks!$O:$O,Chicks!$F:$F,$C596,Chicks!$G:$G,$D596))</f>
        <v/>
      </c>
      <c r="M596" s="6" t="str">
        <f>IF($C596="","",SUMIFS(Chicks!$P:$P,Chicks!$F:$F,$C596,Chicks!$G:$G,$D596))</f>
        <v/>
      </c>
      <c r="N596" s="6" t="str">
        <f t="shared" si="10"/>
        <v/>
      </c>
      <c r="O596" s="6" t="e">
        <f t="shared" ca="1" si="11"/>
        <v>#NAME?</v>
      </c>
      <c r="P596" s="6" t="str">
        <f t="shared" si="12"/>
        <v/>
      </c>
    </row>
    <row r="597" spans="3:16" ht="14.25" customHeight="1" x14ac:dyDescent="0.3">
      <c r="C597" s="6" t="str">
        <f t="shared" si="13"/>
        <v/>
      </c>
      <c r="D597" s="6" t="str">
        <f t="shared" si="14"/>
        <v/>
      </c>
      <c r="F597" s="6" t="str">
        <f>IF($C597="","",COUNTIFS(Chicks!$F:$F,$C597,Chicks!$G:$G,$D597))</f>
        <v/>
      </c>
      <c r="G597" s="6" t="str">
        <f>IF($C597="","",COUNTIFS(Chicks!$F:$F,$C597,Chicks!$G:$G,$D597,Chicks!$I:$I,"Yes"))</f>
        <v/>
      </c>
      <c r="H597" s="6" t="str">
        <f>IF($C597="","",SUMIFS(Chicks!$J:$J,Chicks!$F:$F,$C597,Chicks!$G:$G,$D597))</f>
        <v/>
      </c>
      <c r="I597" s="6" t="str">
        <f>IF($C597="","",COUNTIFS(Chicks!$F:$F,$C597,Chicks!$G:$G,$D597,Chicks!$I:$I,"No"))</f>
        <v/>
      </c>
      <c r="J597" s="6" t="str">
        <f>IF($C597="","",IFERROR(AVERAGEIFS(Chicks!$M:$M,Chicks!$F:$F,$C597,Chicks!$G:$G,$D597),""))</f>
        <v/>
      </c>
      <c r="K597" s="6" t="str">
        <f>IF($C597="","",SUMIFS(Chicks!$N:$N,Chicks!$F:$F,$C597,Chicks!$G:$G,$D597))</f>
        <v/>
      </c>
      <c r="L597" s="6" t="str">
        <f>IF($C597="","",SUMIFS(Chicks!$O:$O,Chicks!$F:$F,$C597,Chicks!$G:$G,$D597))</f>
        <v/>
      </c>
      <c r="M597" s="6" t="str">
        <f>IF($C597="","",SUMIFS(Chicks!$P:$P,Chicks!$F:$F,$C597,Chicks!$G:$G,$D597))</f>
        <v/>
      </c>
      <c r="N597" s="6" t="str">
        <f t="shared" si="10"/>
        <v/>
      </c>
      <c r="O597" s="6" t="e">
        <f t="shared" ca="1" si="11"/>
        <v>#NAME?</v>
      </c>
      <c r="P597" s="6" t="str">
        <f t="shared" si="12"/>
        <v/>
      </c>
    </row>
    <row r="598" spans="3:16" ht="14.25" customHeight="1" x14ac:dyDescent="0.3">
      <c r="C598" s="6" t="str">
        <f t="shared" si="13"/>
        <v/>
      </c>
      <c r="D598" s="6" t="str">
        <f t="shared" si="14"/>
        <v/>
      </c>
      <c r="F598" s="6" t="str">
        <f>IF($C598="","",COUNTIFS(Chicks!$F:$F,$C598,Chicks!$G:$G,$D598))</f>
        <v/>
      </c>
      <c r="G598" s="6" t="str">
        <f>IF($C598="","",COUNTIFS(Chicks!$F:$F,$C598,Chicks!$G:$G,$D598,Chicks!$I:$I,"Yes"))</f>
        <v/>
      </c>
      <c r="H598" s="6" t="str">
        <f>IF($C598="","",SUMIFS(Chicks!$J:$J,Chicks!$F:$F,$C598,Chicks!$G:$G,$D598))</f>
        <v/>
      </c>
      <c r="I598" s="6" t="str">
        <f>IF($C598="","",COUNTIFS(Chicks!$F:$F,$C598,Chicks!$G:$G,$D598,Chicks!$I:$I,"No"))</f>
        <v/>
      </c>
      <c r="J598" s="6" t="str">
        <f>IF($C598="","",IFERROR(AVERAGEIFS(Chicks!$M:$M,Chicks!$F:$F,$C598,Chicks!$G:$G,$D598),""))</f>
        <v/>
      </c>
      <c r="K598" s="6" t="str">
        <f>IF($C598="","",SUMIFS(Chicks!$N:$N,Chicks!$F:$F,$C598,Chicks!$G:$G,$D598))</f>
        <v/>
      </c>
      <c r="L598" s="6" t="str">
        <f>IF($C598="","",SUMIFS(Chicks!$O:$O,Chicks!$F:$F,$C598,Chicks!$G:$G,$D598))</f>
        <v/>
      </c>
      <c r="M598" s="6" t="str">
        <f>IF($C598="","",SUMIFS(Chicks!$P:$P,Chicks!$F:$F,$C598,Chicks!$G:$G,$D598))</f>
        <v/>
      </c>
      <c r="N598" s="6" t="str">
        <f t="shared" si="10"/>
        <v/>
      </c>
      <c r="O598" s="6" t="e">
        <f t="shared" ca="1" si="11"/>
        <v>#NAME?</v>
      </c>
      <c r="P598" s="6" t="str">
        <f t="shared" si="12"/>
        <v/>
      </c>
    </row>
    <row r="599" spans="3:16" ht="14.25" customHeight="1" x14ac:dyDescent="0.3">
      <c r="C599" s="6" t="str">
        <f t="shared" si="13"/>
        <v/>
      </c>
      <c r="D599" s="6" t="str">
        <f t="shared" si="14"/>
        <v/>
      </c>
      <c r="F599" s="6" t="str">
        <f>IF($C599="","",COUNTIFS(Chicks!$F:$F,$C599,Chicks!$G:$G,$D599))</f>
        <v/>
      </c>
      <c r="G599" s="6" t="str">
        <f>IF($C599="","",COUNTIFS(Chicks!$F:$F,$C599,Chicks!$G:$G,$D599,Chicks!$I:$I,"Yes"))</f>
        <v/>
      </c>
      <c r="H599" s="6" t="str">
        <f>IF($C599="","",SUMIFS(Chicks!$J:$J,Chicks!$F:$F,$C599,Chicks!$G:$G,$D599))</f>
        <v/>
      </c>
      <c r="I599" s="6" t="str">
        <f>IF($C599="","",COUNTIFS(Chicks!$F:$F,$C599,Chicks!$G:$G,$D599,Chicks!$I:$I,"No"))</f>
        <v/>
      </c>
      <c r="J599" s="6" t="str">
        <f>IF($C599="","",IFERROR(AVERAGEIFS(Chicks!$M:$M,Chicks!$F:$F,$C599,Chicks!$G:$G,$D599),""))</f>
        <v/>
      </c>
      <c r="K599" s="6" t="str">
        <f>IF($C599="","",SUMIFS(Chicks!$N:$N,Chicks!$F:$F,$C599,Chicks!$G:$G,$D599))</f>
        <v/>
      </c>
      <c r="L599" s="6" t="str">
        <f>IF($C599="","",SUMIFS(Chicks!$O:$O,Chicks!$F:$F,$C599,Chicks!$G:$G,$D599))</f>
        <v/>
      </c>
      <c r="M599" s="6" t="str">
        <f>IF($C599="","",SUMIFS(Chicks!$P:$P,Chicks!$F:$F,$C599,Chicks!$G:$G,$D599))</f>
        <v/>
      </c>
      <c r="N599" s="6" t="str">
        <f t="shared" si="10"/>
        <v/>
      </c>
      <c r="O599" s="6" t="e">
        <f t="shared" ca="1" si="11"/>
        <v>#NAME?</v>
      </c>
      <c r="P599" s="6" t="str">
        <f t="shared" si="12"/>
        <v/>
      </c>
    </row>
    <row r="600" spans="3:16" ht="14.25" customHeight="1" x14ac:dyDescent="0.3">
      <c r="C600" s="6" t="str">
        <f t="shared" si="13"/>
        <v/>
      </c>
      <c r="D600" s="6" t="str">
        <f t="shared" si="14"/>
        <v/>
      </c>
      <c r="F600" s="6" t="str">
        <f>IF($C600="","",COUNTIFS(Chicks!$F:$F,$C600,Chicks!$G:$G,$D600))</f>
        <v/>
      </c>
      <c r="G600" s="6" t="str">
        <f>IF($C600="","",COUNTIFS(Chicks!$F:$F,$C600,Chicks!$G:$G,$D600,Chicks!$I:$I,"Yes"))</f>
        <v/>
      </c>
      <c r="H600" s="6" t="str">
        <f>IF($C600="","",SUMIFS(Chicks!$J:$J,Chicks!$F:$F,$C600,Chicks!$G:$G,$D600))</f>
        <v/>
      </c>
      <c r="I600" s="6" t="str">
        <f>IF($C600="","",COUNTIFS(Chicks!$F:$F,$C600,Chicks!$G:$G,$D600,Chicks!$I:$I,"No"))</f>
        <v/>
      </c>
      <c r="J600" s="6" t="str">
        <f>IF($C600="","",IFERROR(AVERAGEIFS(Chicks!$M:$M,Chicks!$F:$F,$C600,Chicks!$G:$G,$D600),""))</f>
        <v/>
      </c>
      <c r="K600" s="6" t="str">
        <f>IF($C600="","",SUMIFS(Chicks!$N:$N,Chicks!$F:$F,$C600,Chicks!$G:$G,$D600))</f>
        <v/>
      </c>
      <c r="L600" s="6" t="str">
        <f>IF($C600="","",SUMIFS(Chicks!$O:$O,Chicks!$F:$F,$C600,Chicks!$G:$G,$D600))</f>
        <v/>
      </c>
      <c r="M600" s="6" t="str">
        <f>IF($C600="","",SUMIFS(Chicks!$P:$P,Chicks!$F:$F,$C600,Chicks!$G:$G,$D600))</f>
        <v/>
      </c>
      <c r="N600" s="6" t="str">
        <f t="shared" si="10"/>
        <v/>
      </c>
      <c r="O600" s="6" t="e">
        <f t="shared" ca="1" si="11"/>
        <v>#NAME?</v>
      </c>
      <c r="P600" s="6" t="str">
        <f t="shared" si="12"/>
        <v/>
      </c>
    </row>
    <row r="601" spans="3:16" ht="14.25" customHeight="1" x14ac:dyDescent="0.3">
      <c r="C601" s="6" t="str">
        <f t="shared" si="13"/>
        <v/>
      </c>
      <c r="D601" s="6" t="str">
        <f t="shared" si="14"/>
        <v/>
      </c>
      <c r="F601" s="6" t="str">
        <f>IF($C601="","",COUNTIFS(Chicks!$F:$F,$C601,Chicks!$G:$G,$D601))</f>
        <v/>
      </c>
      <c r="G601" s="6" t="str">
        <f>IF($C601="","",COUNTIFS(Chicks!$F:$F,$C601,Chicks!$G:$G,$D601,Chicks!$I:$I,"Yes"))</f>
        <v/>
      </c>
      <c r="H601" s="6" t="str">
        <f>IF($C601="","",SUMIFS(Chicks!$J:$J,Chicks!$F:$F,$C601,Chicks!$G:$G,$D601))</f>
        <v/>
      </c>
      <c r="I601" s="6" t="str">
        <f>IF($C601="","",COUNTIFS(Chicks!$F:$F,$C601,Chicks!$G:$G,$D601,Chicks!$I:$I,"No"))</f>
        <v/>
      </c>
      <c r="J601" s="6" t="str">
        <f>IF($C601="","",IFERROR(AVERAGEIFS(Chicks!$M:$M,Chicks!$F:$F,$C601,Chicks!$G:$G,$D601),""))</f>
        <v/>
      </c>
      <c r="K601" s="6" t="str">
        <f>IF($C601="","",SUMIFS(Chicks!$N:$N,Chicks!$F:$F,$C601,Chicks!$G:$G,$D601))</f>
        <v/>
      </c>
      <c r="L601" s="6" t="str">
        <f>IF($C601="","",SUMIFS(Chicks!$O:$O,Chicks!$F:$F,$C601,Chicks!$G:$G,$D601))</f>
        <v/>
      </c>
      <c r="M601" s="6" t="str">
        <f>IF($C601="","",SUMIFS(Chicks!$P:$P,Chicks!$F:$F,$C601,Chicks!$G:$G,$D601))</f>
        <v/>
      </c>
      <c r="N601" s="6" t="str">
        <f t="shared" si="10"/>
        <v/>
      </c>
      <c r="O601" s="6" t="e">
        <f t="shared" ca="1" si="11"/>
        <v>#NAME?</v>
      </c>
      <c r="P601" s="6" t="str">
        <f t="shared" si="12"/>
        <v/>
      </c>
    </row>
    <row r="602" spans="3:16" ht="14.25" customHeight="1" x14ac:dyDescent="0.3">
      <c r="C602" s="6" t="str">
        <f t="shared" si="13"/>
        <v/>
      </c>
      <c r="D602" s="6" t="str">
        <f t="shared" si="14"/>
        <v/>
      </c>
      <c r="F602" s="6" t="str">
        <f>IF($C602="","",COUNTIFS(Chicks!$F:$F,$C602,Chicks!$G:$G,$D602))</f>
        <v/>
      </c>
      <c r="G602" s="6" t="str">
        <f>IF($C602="","",COUNTIFS(Chicks!$F:$F,$C602,Chicks!$G:$G,$D602,Chicks!$I:$I,"Yes"))</f>
        <v/>
      </c>
      <c r="H602" s="6" t="str">
        <f>IF($C602="","",SUMIFS(Chicks!$J:$J,Chicks!$F:$F,$C602,Chicks!$G:$G,$D602))</f>
        <v/>
      </c>
      <c r="I602" s="6" t="str">
        <f>IF($C602="","",COUNTIFS(Chicks!$F:$F,$C602,Chicks!$G:$G,$D602,Chicks!$I:$I,"No"))</f>
        <v/>
      </c>
      <c r="J602" s="6" t="str">
        <f>IF($C602="","",IFERROR(AVERAGEIFS(Chicks!$M:$M,Chicks!$F:$F,$C602,Chicks!$G:$G,$D602),""))</f>
        <v/>
      </c>
      <c r="K602" s="6" t="str">
        <f>IF($C602="","",SUMIFS(Chicks!$N:$N,Chicks!$F:$F,$C602,Chicks!$G:$G,$D602))</f>
        <v/>
      </c>
      <c r="L602" s="6" t="str">
        <f>IF($C602="","",SUMIFS(Chicks!$O:$O,Chicks!$F:$F,$C602,Chicks!$G:$G,$D602))</f>
        <v/>
      </c>
      <c r="M602" s="6" t="str">
        <f>IF($C602="","",SUMIFS(Chicks!$P:$P,Chicks!$F:$F,$C602,Chicks!$G:$G,$D602))</f>
        <v/>
      </c>
      <c r="N602" s="6" t="str">
        <f t="shared" si="10"/>
        <v/>
      </c>
      <c r="O602" s="6" t="e">
        <f t="shared" ca="1" si="11"/>
        <v>#NAME?</v>
      </c>
      <c r="P602" s="6" t="str">
        <f t="shared" si="12"/>
        <v/>
      </c>
    </row>
    <row r="603" spans="3:16" ht="14.25" customHeight="1" x14ac:dyDescent="0.3">
      <c r="C603" s="6" t="str">
        <f t="shared" si="13"/>
        <v/>
      </c>
      <c r="D603" s="6" t="str">
        <f t="shared" si="14"/>
        <v/>
      </c>
      <c r="F603" s="6" t="str">
        <f>IF($C603="","",COUNTIFS(Chicks!$F:$F,$C603,Chicks!$G:$G,$D603))</f>
        <v/>
      </c>
      <c r="G603" s="6" t="str">
        <f>IF($C603="","",COUNTIFS(Chicks!$F:$F,$C603,Chicks!$G:$G,$D603,Chicks!$I:$I,"Yes"))</f>
        <v/>
      </c>
      <c r="H603" s="6" t="str">
        <f>IF($C603="","",SUMIFS(Chicks!$J:$J,Chicks!$F:$F,$C603,Chicks!$G:$G,$D603))</f>
        <v/>
      </c>
      <c r="I603" s="6" t="str">
        <f>IF($C603="","",COUNTIFS(Chicks!$F:$F,$C603,Chicks!$G:$G,$D603,Chicks!$I:$I,"No"))</f>
        <v/>
      </c>
      <c r="J603" s="6" t="str">
        <f>IF($C603="","",IFERROR(AVERAGEIFS(Chicks!$M:$M,Chicks!$F:$F,$C603,Chicks!$G:$G,$D603),""))</f>
        <v/>
      </c>
      <c r="K603" s="6" t="str">
        <f>IF($C603="","",SUMIFS(Chicks!$N:$N,Chicks!$F:$F,$C603,Chicks!$G:$G,$D603))</f>
        <v/>
      </c>
      <c r="L603" s="6" t="str">
        <f>IF($C603="","",SUMIFS(Chicks!$O:$O,Chicks!$F:$F,$C603,Chicks!$G:$G,$D603))</f>
        <v/>
      </c>
      <c r="M603" s="6" t="str">
        <f>IF($C603="","",SUMIFS(Chicks!$P:$P,Chicks!$F:$F,$C603,Chicks!$G:$G,$D603))</f>
        <v/>
      </c>
      <c r="N603" s="6" t="str">
        <f t="shared" si="10"/>
        <v/>
      </c>
      <c r="O603" s="6" t="e">
        <f t="shared" ca="1" si="11"/>
        <v>#NAME?</v>
      </c>
      <c r="P603" s="6" t="str">
        <f t="shared" si="12"/>
        <v/>
      </c>
    </row>
    <row r="604" spans="3:16" ht="14.25" customHeight="1" x14ac:dyDescent="0.3">
      <c r="C604" s="6" t="str">
        <f t="shared" si="13"/>
        <v/>
      </c>
      <c r="D604" s="6" t="str">
        <f t="shared" si="14"/>
        <v/>
      </c>
      <c r="F604" s="6" t="str">
        <f>IF($C604="","",COUNTIFS(Chicks!$F:$F,$C604,Chicks!$G:$G,$D604))</f>
        <v/>
      </c>
      <c r="G604" s="6" t="str">
        <f>IF($C604="","",COUNTIFS(Chicks!$F:$F,$C604,Chicks!$G:$G,$D604,Chicks!$I:$I,"Yes"))</f>
        <v/>
      </c>
      <c r="H604" s="6" t="str">
        <f>IF($C604="","",SUMIFS(Chicks!$J:$J,Chicks!$F:$F,$C604,Chicks!$G:$G,$D604))</f>
        <v/>
      </c>
      <c r="I604" s="6" t="str">
        <f>IF($C604="","",COUNTIFS(Chicks!$F:$F,$C604,Chicks!$G:$G,$D604,Chicks!$I:$I,"No"))</f>
        <v/>
      </c>
      <c r="J604" s="6" t="str">
        <f>IF($C604="","",IFERROR(AVERAGEIFS(Chicks!$M:$M,Chicks!$F:$F,$C604,Chicks!$G:$G,$D604),""))</f>
        <v/>
      </c>
      <c r="K604" s="6" t="str">
        <f>IF($C604="","",SUMIFS(Chicks!$N:$N,Chicks!$F:$F,$C604,Chicks!$G:$G,$D604))</f>
        <v/>
      </c>
      <c r="L604" s="6" t="str">
        <f>IF($C604="","",SUMIFS(Chicks!$O:$O,Chicks!$F:$F,$C604,Chicks!$G:$G,$D604))</f>
        <v/>
      </c>
      <c r="M604" s="6" t="str">
        <f>IF($C604="","",SUMIFS(Chicks!$P:$P,Chicks!$F:$F,$C604,Chicks!$G:$G,$D604))</f>
        <v/>
      </c>
      <c r="N604" s="6" t="str">
        <f t="shared" si="10"/>
        <v/>
      </c>
      <c r="O604" s="6" t="e">
        <f t="shared" ca="1" si="11"/>
        <v>#NAME?</v>
      </c>
      <c r="P604" s="6" t="str">
        <f t="shared" si="12"/>
        <v/>
      </c>
    </row>
    <row r="605" spans="3:16" ht="14.25" customHeight="1" x14ac:dyDescent="0.3">
      <c r="C605" s="6" t="str">
        <f t="shared" si="13"/>
        <v/>
      </c>
      <c r="D605" s="6" t="str">
        <f t="shared" si="14"/>
        <v/>
      </c>
      <c r="F605" s="6" t="str">
        <f>IF($C605="","",COUNTIFS(Chicks!$F:$F,$C605,Chicks!$G:$G,$D605))</f>
        <v/>
      </c>
      <c r="G605" s="6" t="str">
        <f>IF($C605="","",COUNTIFS(Chicks!$F:$F,$C605,Chicks!$G:$G,$D605,Chicks!$I:$I,"Yes"))</f>
        <v/>
      </c>
      <c r="H605" s="6" t="str">
        <f>IF($C605="","",SUMIFS(Chicks!$J:$J,Chicks!$F:$F,$C605,Chicks!$G:$G,$D605))</f>
        <v/>
      </c>
      <c r="I605" s="6" t="str">
        <f>IF($C605="","",COUNTIFS(Chicks!$F:$F,$C605,Chicks!$G:$G,$D605,Chicks!$I:$I,"No"))</f>
        <v/>
      </c>
      <c r="J605" s="6" t="str">
        <f>IF($C605="","",IFERROR(AVERAGEIFS(Chicks!$M:$M,Chicks!$F:$F,$C605,Chicks!$G:$G,$D605),""))</f>
        <v/>
      </c>
      <c r="K605" s="6" t="str">
        <f>IF($C605="","",SUMIFS(Chicks!$N:$N,Chicks!$F:$F,$C605,Chicks!$G:$G,$D605))</f>
        <v/>
      </c>
      <c r="L605" s="6" t="str">
        <f>IF($C605="","",SUMIFS(Chicks!$O:$O,Chicks!$F:$F,$C605,Chicks!$G:$G,$D605))</f>
        <v/>
      </c>
      <c r="M605" s="6" t="str">
        <f>IF($C605="","",SUMIFS(Chicks!$P:$P,Chicks!$F:$F,$C605,Chicks!$G:$G,$D605))</f>
        <v/>
      </c>
      <c r="N605" s="6" t="str">
        <f t="shared" si="10"/>
        <v/>
      </c>
      <c r="O605" s="6" t="e">
        <f t="shared" ca="1" si="11"/>
        <v>#NAME?</v>
      </c>
      <c r="P605" s="6" t="str">
        <f t="shared" si="12"/>
        <v/>
      </c>
    </row>
    <row r="606" spans="3:16" ht="14.25" customHeight="1" x14ac:dyDescent="0.3">
      <c r="C606" s="6" t="str">
        <f t="shared" si="13"/>
        <v/>
      </c>
      <c r="D606" s="6" t="str">
        <f t="shared" si="14"/>
        <v/>
      </c>
      <c r="F606" s="6" t="str">
        <f>IF($C606="","",COUNTIFS(Chicks!$F:$F,$C606,Chicks!$G:$G,$D606))</f>
        <v/>
      </c>
      <c r="G606" s="6" t="str">
        <f>IF($C606="","",COUNTIFS(Chicks!$F:$F,$C606,Chicks!$G:$G,$D606,Chicks!$I:$I,"Yes"))</f>
        <v/>
      </c>
      <c r="H606" s="6" t="str">
        <f>IF($C606="","",SUMIFS(Chicks!$J:$J,Chicks!$F:$F,$C606,Chicks!$G:$G,$D606))</f>
        <v/>
      </c>
      <c r="I606" s="6" t="str">
        <f>IF($C606="","",COUNTIFS(Chicks!$F:$F,$C606,Chicks!$G:$G,$D606,Chicks!$I:$I,"No"))</f>
        <v/>
      </c>
      <c r="J606" s="6" t="str">
        <f>IF($C606="","",IFERROR(AVERAGEIFS(Chicks!$M:$M,Chicks!$F:$F,$C606,Chicks!$G:$G,$D606),""))</f>
        <v/>
      </c>
      <c r="K606" s="6" t="str">
        <f>IF($C606="","",SUMIFS(Chicks!$N:$N,Chicks!$F:$F,$C606,Chicks!$G:$G,$D606))</f>
        <v/>
      </c>
      <c r="L606" s="6" t="str">
        <f>IF($C606="","",SUMIFS(Chicks!$O:$O,Chicks!$F:$F,$C606,Chicks!$G:$G,$D606))</f>
        <v/>
      </c>
      <c r="M606" s="6" t="str">
        <f>IF($C606="","",SUMIFS(Chicks!$P:$P,Chicks!$F:$F,$C606,Chicks!$G:$G,$D606))</f>
        <v/>
      </c>
      <c r="N606" s="6" t="str">
        <f t="shared" si="10"/>
        <v/>
      </c>
      <c r="O606" s="6" t="e">
        <f t="shared" ca="1" si="11"/>
        <v>#NAME?</v>
      </c>
      <c r="P606" s="6" t="str">
        <f t="shared" si="12"/>
        <v/>
      </c>
    </row>
    <row r="607" spans="3:16" ht="14.25" customHeight="1" x14ac:dyDescent="0.3">
      <c r="C607" s="6" t="str">
        <f t="shared" si="13"/>
        <v/>
      </c>
      <c r="D607" s="6" t="str">
        <f t="shared" si="14"/>
        <v/>
      </c>
      <c r="F607" s="6" t="str">
        <f>IF($C607="","",COUNTIFS(Chicks!$F:$F,$C607,Chicks!$G:$G,$D607))</f>
        <v/>
      </c>
      <c r="G607" s="6" t="str">
        <f>IF($C607="","",COUNTIFS(Chicks!$F:$F,$C607,Chicks!$G:$G,$D607,Chicks!$I:$I,"Yes"))</f>
        <v/>
      </c>
      <c r="H607" s="6" t="str">
        <f>IF($C607="","",SUMIFS(Chicks!$J:$J,Chicks!$F:$F,$C607,Chicks!$G:$G,$D607))</f>
        <v/>
      </c>
      <c r="I607" s="6" t="str">
        <f>IF($C607="","",COUNTIFS(Chicks!$F:$F,$C607,Chicks!$G:$G,$D607,Chicks!$I:$I,"No"))</f>
        <v/>
      </c>
      <c r="J607" s="6" t="str">
        <f>IF($C607="","",IFERROR(AVERAGEIFS(Chicks!$M:$M,Chicks!$F:$F,$C607,Chicks!$G:$G,$D607),""))</f>
        <v/>
      </c>
      <c r="K607" s="6" t="str">
        <f>IF($C607="","",SUMIFS(Chicks!$N:$N,Chicks!$F:$F,$C607,Chicks!$G:$G,$D607))</f>
        <v/>
      </c>
      <c r="L607" s="6" t="str">
        <f>IF($C607="","",SUMIFS(Chicks!$O:$O,Chicks!$F:$F,$C607,Chicks!$G:$G,$D607))</f>
        <v/>
      </c>
      <c r="M607" s="6" t="str">
        <f>IF($C607="","",SUMIFS(Chicks!$P:$P,Chicks!$F:$F,$C607,Chicks!$G:$G,$D607))</f>
        <v/>
      </c>
      <c r="N607" s="6" t="str">
        <f t="shared" si="10"/>
        <v/>
      </c>
      <c r="O607" s="6" t="e">
        <f t="shared" ca="1" si="11"/>
        <v>#NAME?</v>
      </c>
      <c r="P607" s="6" t="str">
        <f t="shared" si="12"/>
        <v/>
      </c>
    </row>
    <row r="608" spans="3:16" ht="14.25" customHeight="1" x14ac:dyDescent="0.3">
      <c r="C608" s="6" t="str">
        <f t="shared" si="13"/>
        <v/>
      </c>
      <c r="D608" s="6" t="str">
        <f t="shared" si="14"/>
        <v/>
      </c>
      <c r="F608" s="6" t="str">
        <f>IF($C608="","",COUNTIFS(Chicks!$F:$F,$C608,Chicks!$G:$G,$D608))</f>
        <v/>
      </c>
      <c r="G608" s="6" t="str">
        <f>IF($C608="","",COUNTIFS(Chicks!$F:$F,$C608,Chicks!$G:$G,$D608,Chicks!$I:$I,"Yes"))</f>
        <v/>
      </c>
      <c r="H608" s="6" t="str">
        <f>IF($C608="","",SUMIFS(Chicks!$J:$J,Chicks!$F:$F,$C608,Chicks!$G:$G,$D608))</f>
        <v/>
      </c>
      <c r="I608" s="6" t="str">
        <f>IF($C608="","",COUNTIFS(Chicks!$F:$F,$C608,Chicks!$G:$G,$D608,Chicks!$I:$I,"No"))</f>
        <v/>
      </c>
      <c r="J608" s="6" t="str">
        <f>IF($C608="","",IFERROR(AVERAGEIFS(Chicks!$M:$M,Chicks!$F:$F,$C608,Chicks!$G:$G,$D608),""))</f>
        <v/>
      </c>
      <c r="K608" s="6" t="str">
        <f>IF($C608="","",SUMIFS(Chicks!$N:$N,Chicks!$F:$F,$C608,Chicks!$G:$G,$D608))</f>
        <v/>
      </c>
      <c r="L608" s="6" t="str">
        <f>IF($C608="","",SUMIFS(Chicks!$O:$O,Chicks!$F:$F,$C608,Chicks!$G:$G,$D608))</f>
        <v/>
      </c>
      <c r="M608" s="6" t="str">
        <f>IF($C608="","",SUMIFS(Chicks!$P:$P,Chicks!$F:$F,$C608,Chicks!$G:$G,$D608))</f>
        <v/>
      </c>
      <c r="N608" s="6" t="str">
        <f t="shared" si="10"/>
        <v/>
      </c>
      <c r="O608" s="6" t="e">
        <f t="shared" ca="1" si="11"/>
        <v>#NAME?</v>
      </c>
      <c r="P608" s="6" t="str">
        <f t="shared" si="12"/>
        <v/>
      </c>
    </row>
    <row r="609" spans="3:16" ht="14.25" customHeight="1" x14ac:dyDescent="0.3">
      <c r="C609" s="6" t="str">
        <f t="shared" si="13"/>
        <v/>
      </c>
      <c r="D609" s="6" t="str">
        <f t="shared" si="14"/>
        <v/>
      </c>
      <c r="F609" s="6" t="str">
        <f>IF($C609="","",COUNTIFS(Chicks!$F:$F,$C609,Chicks!$G:$G,$D609))</f>
        <v/>
      </c>
      <c r="G609" s="6" t="str">
        <f>IF($C609="","",COUNTIFS(Chicks!$F:$F,$C609,Chicks!$G:$G,$D609,Chicks!$I:$I,"Yes"))</f>
        <v/>
      </c>
      <c r="H609" s="6" t="str">
        <f>IF($C609="","",SUMIFS(Chicks!$J:$J,Chicks!$F:$F,$C609,Chicks!$G:$G,$D609))</f>
        <v/>
      </c>
      <c r="I609" s="6" t="str">
        <f>IF($C609="","",COUNTIFS(Chicks!$F:$F,$C609,Chicks!$G:$G,$D609,Chicks!$I:$I,"No"))</f>
        <v/>
      </c>
      <c r="J609" s="6" t="str">
        <f>IF($C609="","",IFERROR(AVERAGEIFS(Chicks!$M:$M,Chicks!$F:$F,$C609,Chicks!$G:$G,$D609),""))</f>
        <v/>
      </c>
      <c r="K609" s="6" t="str">
        <f>IF($C609="","",SUMIFS(Chicks!$N:$N,Chicks!$F:$F,$C609,Chicks!$G:$G,$D609))</f>
        <v/>
      </c>
      <c r="L609" s="6" t="str">
        <f>IF($C609="","",SUMIFS(Chicks!$O:$O,Chicks!$F:$F,$C609,Chicks!$G:$G,$D609))</f>
        <v/>
      </c>
      <c r="M609" s="6" t="str">
        <f>IF($C609="","",SUMIFS(Chicks!$P:$P,Chicks!$F:$F,$C609,Chicks!$G:$G,$D609))</f>
        <v/>
      </c>
      <c r="N609" s="6" t="str">
        <f t="shared" si="10"/>
        <v/>
      </c>
      <c r="O609" s="6" t="e">
        <f t="shared" ca="1" si="11"/>
        <v>#NAME?</v>
      </c>
      <c r="P609" s="6" t="str">
        <f t="shared" si="12"/>
        <v/>
      </c>
    </row>
    <row r="610" spans="3:16" ht="14.25" customHeight="1" x14ac:dyDescent="0.3">
      <c r="C610" s="6" t="str">
        <f t="shared" si="13"/>
        <v/>
      </c>
      <c r="D610" s="6" t="str">
        <f t="shared" si="14"/>
        <v/>
      </c>
      <c r="F610" s="6" t="str">
        <f>IF($C610="","",COUNTIFS(Chicks!$F:$F,$C610,Chicks!$G:$G,$D610))</f>
        <v/>
      </c>
      <c r="G610" s="6" t="str">
        <f>IF($C610="","",COUNTIFS(Chicks!$F:$F,$C610,Chicks!$G:$G,$D610,Chicks!$I:$I,"Yes"))</f>
        <v/>
      </c>
      <c r="H610" s="6" t="str">
        <f>IF($C610="","",SUMIFS(Chicks!$J:$J,Chicks!$F:$F,$C610,Chicks!$G:$G,$D610))</f>
        <v/>
      </c>
      <c r="I610" s="6" t="str">
        <f>IF($C610="","",COUNTIFS(Chicks!$F:$F,$C610,Chicks!$G:$G,$D610,Chicks!$I:$I,"No"))</f>
        <v/>
      </c>
      <c r="J610" s="6" t="str">
        <f>IF($C610="","",IFERROR(AVERAGEIFS(Chicks!$M:$M,Chicks!$F:$F,$C610,Chicks!$G:$G,$D610),""))</f>
        <v/>
      </c>
      <c r="K610" s="6" t="str">
        <f>IF($C610="","",SUMIFS(Chicks!$N:$N,Chicks!$F:$F,$C610,Chicks!$G:$G,$D610))</f>
        <v/>
      </c>
      <c r="L610" s="6" t="str">
        <f>IF($C610="","",SUMIFS(Chicks!$O:$O,Chicks!$F:$F,$C610,Chicks!$G:$G,$D610))</f>
        <v/>
      </c>
      <c r="M610" s="6" t="str">
        <f>IF($C610="","",SUMIFS(Chicks!$P:$P,Chicks!$F:$F,$C610,Chicks!$G:$G,$D610))</f>
        <v/>
      </c>
      <c r="N610" s="6" t="str">
        <f t="shared" si="10"/>
        <v/>
      </c>
      <c r="O610" s="6" t="e">
        <f t="shared" ca="1" si="11"/>
        <v>#NAME?</v>
      </c>
      <c r="P610" s="6" t="str">
        <f t="shared" si="12"/>
        <v/>
      </c>
    </row>
    <row r="611" spans="3:16" ht="14.25" customHeight="1" x14ac:dyDescent="0.3">
      <c r="C611" s="6" t="str">
        <f t="shared" si="13"/>
        <v/>
      </c>
      <c r="D611" s="6" t="str">
        <f t="shared" si="14"/>
        <v/>
      </c>
      <c r="F611" s="6" t="str">
        <f>IF($C611="","",COUNTIFS(Chicks!$F:$F,$C611,Chicks!$G:$G,$D611))</f>
        <v/>
      </c>
      <c r="G611" s="6" t="str">
        <f>IF($C611="","",COUNTIFS(Chicks!$F:$F,$C611,Chicks!$G:$G,$D611,Chicks!$I:$I,"Yes"))</f>
        <v/>
      </c>
      <c r="H611" s="6" t="str">
        <f>IF($C611="","",SUMIFS(Chicks!$J:$J,Chicks!$F:$F,$C611,Chicks!$G:$G,$D611))</f>
        <v/>
      </c>
      <c r="I611" s="6" t="str">
        <f>IF($C611="","",COUNTIFS(Chicks!$F:$F,$C611,Chicks!$G:$G,$D611,Chicks!$I:$I,"No"))</f>
        <v/>
      </c>
      <c r="J611" s="6" t="str">
        <f>IF($C611="","",IFERROR(AVERAGEIFS(Chicks!$M:$M,Chicks!$F:$F,$C611,Chicks!$G:$G,$D611),""))</f>
        <v/>
      </c>
      <c r="K611" s="6" t="str">
        <f>IF($C611="","",SUMIFS(Chicks!$N:$N,Chicks!$F:$F,$C611,Chicks!$G:$G,$D611))</f>
        <v/>
      </c>
      <c r="L611" s="6" t="str">
        <f>IF($C611="","",SUMIFS(Chicks!$O:$O,Chicks!$F:$F,$C611,Chicks!$G:$G,$D611))</f>
        <v/>
      </c>
      <c r="M611" s="6" t="str">
        <f>IF($C611="","",SUMIFS(Chicks!$P:$P,Chicks!$F:$F,$C611,Chicks!$G:$G,$D611))</f>
        <v/>
      </c>
      <c r="N611" s="6" t="str">
        <f t="shared" si="10"/>
        <v/>
      </c>
      <c r="O611" s="6" t="e">
        <f t="shared" ca="1" si="11"/>
        <v>#NAME?</v>
      </c>
      <c r="P611" s="6" t="str">
        <f t="shared" si="12"/>
        <v/>
      </c>
    </row>
    <row r="612" spans="3:16" ht="14.25" customHeight="1" x14ac:dyDescent="0.3">
      <c r="C612" s="6" t="str">
        <f t="shared" si="13"/>
        <v/>
      </c>
      <c r="D612" s="6" t="str">
        <f t="shared" si="14"/>
        <v/>
      </c>
      <c r="F612" s="6" t="str">
        <f>IF($C612="","",COUNTIFS(Chicks!$F:$F,$C612,Chicks!$G:$G,$D612))</f>
        <v/>
      </c>
      <c r="G612" s="6" t="str">
        <f>IF($C612="","",COUNTIFS(Chicks!$F:$F,$C612,Chicks!$G:$G,$D612,Chicks!$I:$I,"Yes"))</f>
        <v/>
      </c>
      <c r="H612" s="6" t="str">
        <f>IF($C612="","",SUMIFS(Chicks!$J:$J,Chicks!$F:$F,$C612,Chicks!$G:$G,$D612))</f>
        <v/>
      </c>
      <c r="I612" s="6" t="str">
        <f>IF($C612="","",COUNTIFS(Chicks!$F:$F,$C612,Chicks!$G:$G,$D612,Chicks!$I:$I,"No"))</f>
        <v/>
      </c>
      <c r="J612" s="6" t="str">
        <f>IF($C612="","",IFERROR(AVERAGEIFS(Chicks!$M:$M,Chicks!$F:$F,$C612,Chicks!$G:$G,$D612),""))</f>
        <v/>
      </c>
      <c r="K612" s="6" t="str">
        <f>IF($C612="","",SUMIFS(Chicks!$N:$N,Chicks!$F:$F,$C612,Chicks!$G:$G,$D612))</f>
        <v/>
      </c>
      <c r="L612" s="6" t="str">
        <f>IF($C612="","",SUMIFS(Chicks!$O:$O,Chicks!$F:$F,$C612,Chicks!$G:$G,$D612))</f>
        <v/>
      </c>
      <c r="M612" s="6" t="str">
        <f>IF($C612="","",SUMIFS(Chicks!$P:$P,Chicks!$F:$F,$C612,Chicks!$G:$G,$D612))</f>
        <v/>
      </c>
      <c r="N612" s="6" t="str">
        <f t="shared" si="10"/>
        <v/>
      </c>
      <c r="O612" s="6" t="e">
        <f t="shared" ca="1" si="11"/>
        <v>#NAME?</v>
      </c>
      <c r="P612" s="6" t="str">
        <f t="shared" si="12"/>
        <v/>
      </c>
    </row>
    <row r="613" spans="3:16" ht="14.25" customHeight="1" x14ac:dyDescent="0.3">
      <c r="C613" s="6" t="str">
        <f t="shared" si="13"/>
        <v/>
      </c>
      <c r="D613" s="6" t="str">
        <f t="shared" si="14"/>
        <v/>
      </c>
      <c r="F613" s="6" t="str">
        <f>IF($C613="","",COUNTIFS(Chicks!$F:$F,$C613,Chicks!$G:$G,$D613))</f>
        <v/>
      </c>
      <c r="G613" s="6" t="str">
        <f>IF($C613="","",COUNTIFS(Chicks!$F:$F,$C613,Chicks!$G:$G,$D613,Chicks!$I:$I,"Yes"))</f>
        <v/>
      </c>
      <c r="H613" s="6" t="str">
        <f>IF($C613="","",SUMIFS(Chicks!$J:$J,Chicks!$F:$F,$C613,Chicks!$G:$G,$D613))</f>
        <v/>
      </c>
      <c r="I613" s="6" t="str">
        <f>IF($C613="","",COUNTIFS(Chicks!$F:$F,$C613,Chicks!$G:$G,$D613,Chicks!$I:$I,"No"))</f>
        <v/>
      </c>
      <c r="J613" s="6" t="str">
        <f>IF($C613="","",IFERROR(AVERAGEIFS(Chicks!$M:$M,Chicks!$F:$F,$C613,Chicks!$G:$G,$D613),""))</f>
        <v/>
      </c>
      <c r="K613" s="6" t="str">
        <f>IF($C613="","",SUMIFS(Chicks!$N:$N,Chicks!$F:$F,$C613,Chicks!$G:$G,$D613))</f>
        <v/>
      </c>
      <c r="L613" s="6" t="str">
        <f>IF($C613="","",SUMIFS(Chicks!$O:$O,Chicks!$F:$F,$C613,Chicks!$G:$G,$D613))</f>
        <v/>
      </c>
      <c r="M613" s="6" t="str">
        <f>IF($C613="","",SUMIFS(Chicks!$P:$P,Chicks!$F:$F,$C613,Chicks!$G:$G,$D613))</f>
        <v/>
      </c>
      <c r="N613" s="6" t="str">
        <f t="shared" si="10"/>
        <v/>
      </c>
      <c r="O613" s="6" t="e">
        <f t="shared" ca="1" si="11"/>
        <v>#NAME?</v>
      </c>
      <c r="P613" s="6" t="str">
        <f t="shared" si="12"/>
        <v/>
      </c>
    </row>
    <row r="614" spans="3:16" ht="14.25" customHeight="1" x14ac:dyDescent="0.3">
      <c r="C614" s="6" t="str">
        <f t="shared" si="13"/>
        <v/>
      </c>
      <c r="D614" s="6" t="str">
        <f t="shared" si="14"/>
        <v/>
      </c>
      <c r="F614" s="6" t="str">
        <f>IF($C614="","",COUNTIFS(Chicks!$F:$F,$C614,Chicks!$G:$G,$D614))</f>
        <v/>
      </c>
      <c r="G614" s="6" t="str">
        <f>IF($C614="","",COUNTIFS(Chicks!$F:$F,$C614,Chicks!$G:$G,$D614,Chicks!$I:$I,"Yes"))</f>
        <v/>
      </c>
      <c r="H614" s="6" t="str">
        <f>IF($C614="","",SUMIFS(Chicks!$J:$J,Chicks!$F:$F,$C614,Chicks!$G:$G,$D614))</f>
        <v/>
      </c>
      <c r="I614" s="6" t="str">
        <f>IF($C614="","",COUNTIFS(Chicks!$F:$F,$C614,Chicks!$G:$G,$D614,Chicks!$I:$I,"No"))</f>
        <v/>
      </c>
      <c r="J614" s="6" t="str">
        <f>IF($C614="","",IFERROR(AVERAGEIFS(Chicks!$M:$M,Chicks!$F:$F,$C614,Chicks!$G:$G,$D614),""))</f>
        <v/>
      </c>
      <c r="K614" s="6" t="str">
        <f>IF($C614="","",SUMIFS(Chicks!$N:$N,Chicks!$F:$F,$C614,Chicks!$G:$G,$D614))</f>
        <v/>
      </c>
      <c r="L614" s="6" t="str">
        <f>IF($C614="","",SUMIFS(Chicks!$O:$O,Chicks!$F:$F,$C614,Chicks!$G:$G,$D614))</f>
        <v/>
      </c>
      <c r="M614" s="6" t="str">
        <f>IF($C614="","",SUMIFS(Chicks!$P:$P,Chicks!$F:$F,$C614,Chicks!$G:$G,$D614))</f>
        <v/>
      </c>
      <c r="N614" s="6" t="str">
        <f t="shared" si="10"/>
        <v/>
      </c>
      <c r="O614" s="6" t="e">
        <f t="shared" ca="1" si="11"/>
        <v>#NAME?</v>
      </c>
      <c r="P614" s="6" t="str">
        <f t="shared" si="12"/>
        <v/>
      </c>
    </row>
    <row r="615" spans="3:16" ht="14.25" customHeight="1" x14ac:dyDescent="0.3">
      <c r="C615" s="6" t="str">
        <f t="shared" si="13"/>
        <v/>
      </c>
      <c r="D615" s="6" t="str">
        <f t="shared" si="14"/>
        <v/>
      </c>
      <c r="F615" s="6" t="str">
        <f>IF($C615="","",COUNTIFS(Chicks!$F:$F,$C615,Chicks!$G:$G,$D615))</f>
        <v/>
      </c>
      <c r="G615" s="6" t="str">
        <f>IF($C615="","",COUNTIFS(Chicks!$F:$F,$C615,Chicks!$G:$G,$D615,Chicks!$I:$I,"Yes"))</f>
        <v/>
      </c>
      <c r="H615" s="6" t="str">
        <f>IF($C615="","",SUMIFS(Chicks!$J:$J,Chicks!$F:$F,$C615,Chicks!$G:$G,$D615))</f>
        <v/>
      </c>
      <c r="I615" s="6" t="str">
        <f>IF($C615="","",COUNTIFS(Chicks!$F:$F,$C615,Chicks!$G:$G,$D615,Chicks!$I:$I,"No"))</f>
        <v/>
      </c>
      <c r="J615" s="6" t="str">
        <f>IF($C615="","",IFERROR(AVERAGEIFS(Chicks!$M:$M,Chicks!$F:$F,$C615,Chicks!$G:$G,$D615),""))</f>
        <v/>
      </c>
      <c r="K615" s="6" t="str">
        <f>IF($C615="","",SUMIFS(Chicks!$N:$N,Chicks!$F:$F,$C615,Chicks!$G:$G,$D615))</f>
        <v/>
      </c>
      <c r="L615" s="6" t="str">
        <f>IF($C615="","",SUMIFS(Chicks!$O:$O,Chicks!$F:$F,$C615,Chicks!$G:$G,$D615))</f>
        <v/>
      </c>
      <c r="M615" s="6" t="str">
        <f>IF($C615="","",SUMIFS(Chicks!$P:$P,Chicks!$F:$F,$C615,Chicks!$G:$G,$D615))</f>
        <v/>
      </c>
      <c r="N615" s="6" t="str">
        <f t="shared" si="10"/>
        <v/>
      </c>
      <c r="O615" s="6" t="e">
        <f t="shared" ca="1" si="11"/>
        <v>#NAME?</v>
      </c>
      <c r="P615" s="6" t="str">
        <f t="shared" si="12"/>
        <v/>
      </c>
    </row>
    <row r="616" spans="3:16" ht="14.25" customHeight="1" x14ac:dyDescent="0.3">
      <c r="C616" s="6" t="str">
        <f t="shared" si="13"/>
        <v/>
      </c>
      <c r="D616" s="6" t="str">
        <f t="shared" si="14"/>
        <v/>
      </c>
      <c r="F616" s="6" t="str">
        <f>IF($C616="","",COUNTIFS(Chicks!$F:$F,$C616,Chicks!$G:$G,$D616))</f>
        <v/>
      </c>
      <c r="G616" s="6" t="str">
        <f>IF($C616="","",COUNTIFS(Chicks!$F:$F,$C616,Chicks!$G:$G,$D616,Chicks!$I:$I,"Yes"))</f>
        <v/>
      </c>
      <c r="H616" s="6" t="str">
        <f>IF($C616="","",SUMIFS(Chicks!$J:$J,Chicks!$F:$F,$C616,Chicks!$G:$G,$D616))</f>
        <v/>
      </c>
      <c r="I616" s="6" t="str">
        <f>IF($C616="","",COUNTIFS(Chicks!$F:$F,$C616,Chicks!$G:$G,$D616,Chicks!$I:$I,"No"))</f>
        <v/>
      </c>
      <c r="J616" s="6" t="str">
        <f>IF($C616="","",IFERROR(AVERAGEIFS(Chicks!$M:$M,Chicks!$F:$F,$C616,Chicks!$G:$G,$D616),""))</f>
        <v/>
      </c>
      <c r="K616" s="6" t="str">
        <f>IF($C616="","",SUMIFS(Chicks!$N:$N,Chicks!$F:$F,$C616,Chicks!$G:$G,$D616))</f>
        <v/>
      </c>
      <c r="L616" s="6" t="str">
        <f>IF($C616="","",SUMIFS(Chicks!$O:$O,Chicks!$F:$F,$C616,Chicks!$G:$G,$D616))</f>
        <v/>
      </c>
      <c r="M616" s="6" t="str">
        <f>IF($C616="","",SUMIFS(Chicks!$P:$P,Chicks!$F:$F,$C616,Chicks!$G:$G,$D616))</f>
        <v/>
      </c>
      <c r="N616" s="6" t="str">
        <f t="shared" si="10"/>
        <v/>
      </c>
      <c r="O616" s="6" t="e">
        <f t="shared" ca="1" si="11"/>
        <v>#NAME?</v>
      </c>
      <c r="P616" s="6" t="str">
        <f t="shared" si="12"/>
        <v/>
      </c>
    </row>
    <row r="617" spans="3:16" ht="14.25" customHeight="1" x14ac:dyDescent="0.3">
      <c r="C617" s="6" t="str">
        <f t="shared" si="13"/>
        <v/>
      </c>
      <c r="D617" s="6" t="str">
        <f t="shared" si="14"/>
        <v/>
      </c>
      <c r="F617" s="6" t="str">
        <f>IF($C617="","",COUNTIFS(Chicks!$F:$F,$C617,Chicks!$G:$G,$D617))</f>
        <v/>
      </c>
      <c r="G617" s="6" t="str">
        <f>IF($C617="","",COUNTIFS(Chicks!$F:$F,$C617,Chicks!$G:$G,$D617,Chicks!$I:$I,"Yes"))</f>
        <v/>
      </c>
      <c r="H617" s="6" t="str">
        <f>IF($C617="","",SUMIFS(Chicks!$J:$J,Chicks!$F:$F,$C617,Chicks!$G:$G,$D617))</f>
        <v/>
      </c>
      <c r="I617" s="6" t="str">
        <f>IF($C617="","",COUNTIFS(Chicks!$F:$F,$C617,Chicks!$G:$G,$D617,Chicks!$I:$I,"No"))</f>
        <v/>
      </c>
      <c r="J617" s="6" t="str">
        <f>IF($C617="","",IFERROR(AVERAGEIFS(Chicks!$M:$M,Chicks!$F:$F,$C617,Chicks!$G:$G,$D617),""))</f>
        <v/>
      </c>
      <c r="K617" s="6" t="str">
        <f>IF($C617="","",SUMIFS(Chicks!$N:$N,Chicks!$F:$F,$C617,Chicks!$G:$G,$D617))</f>
        <v/>
      </c>
      <c r="L617" s="6" t="str">
        <f>IF($C617="","",SUMIFS(Chicks!$O:$O,Chicks!$F:$F,$C617,Chicks!$G:$G,$D617))</f>
        <v/>
      </c>
      <c r="M617" s="6" t="str">
        <f>IF($C617="","",SUMIFS(Chicks!$P:$P,Chicks!$F:$F,$C617,Chicks!$G:$G,$D617))</f>
        <v/>
      </c>
      <c r="N617" s="6" t="str">
        <f t="shared" si="10"/>
        <v/>
      </c>
      <c r="O617" s="6" t="e">
        <f t="shared" ca="1" si="11"/>
        <v>#NAME?</v>
      </c>
      <c r="P617" s="6" t="str">
        <f t="shared" si="12"/>
        <v/>
      </c>
    </row>
    <row r="618" spans="3:16" ht="14.25" customHeight="1" x14ac:dyDescent="0.3">
      <c r="C618" s="6" t="str">
        <f t="shared" si="13"/>
        <v/>
      </c>
      <c r="D618" s="6" t="str">
        <f t="shared" si="14"/>
        <v/>
      </c>
      <c r="F618" s="6" t="str">
        <f>IF($C618="","",COUNTIFS(Chicks!$F:$F,$C618,Chicks!$G:$G,$D618))</f>
        <v/>
      </c>
      <c r="G618" s="6" t="str">
        <f>IF($C618="","",COUNTIFS(Chicks!$F:$F,$C618,Chicks!$G:$G,$D618,Chicks!$I:$I,"Yes"))</f>
        <v/>
      </c>
      <c r="H618" s="6" t="str">
        <f>IF($C618="","",SUMIFS(Chicks!$J:$J,Chicks!$F:$F,$C618,Chicks!$G:$G,$D618))</f>
        <v/>
      </c>
      <c r="I618" s="6" t="str">
        <f>IF($C618="","",COUNTIFS(Chicks!$F:$F,$C618,Chicks!$G:$G,$D618,Chicks!$I:$I,"No"))</f>
        <v/>
      </c>
      <c r="J618" s="6" t="str">
        <f>IF($C618="","",IFERROR(AVERAGEIFS(Chicks!$M:$M,Chicks!$F:$F,$C618,Chicks!$G:$G,$D618),""))</f>
        <v/>
      </c>
      <c r="K618" s="6" t="str">
        <f>IF($C618="","",SUMIFS(Chicks!$N:$N,Chicks!$F:$F,$C618,Chicks!$G:$G,$D618))</f>
        <v/>
      </c>
      <c r="L618" s="6" t="str">
        <f>IF($C618="","",SUMIFS(Chicks!$O:$O,Chicks!$F:$F,$C618,Chicks!$G:$G,$D618))</f>
        <v/>
      </c>
      <c r="M618" s="6" t="str">
        <f>IF($C618="","",SUMIFS(Chicks!$P:$P,Chicks!$F:$F,$C618,Chicks!$G:$G,$D618))</f>
        <v/>
      </c>
      <c r="N618" s="6" t="str">
        <f t="shared" si="10"/>
        <v/>
      </c>
      <c r="O618" s="6" t="e">
        <f t="shared" ca="1" si="11"/>
        <v>#NAME?</v>
      </c>
      <c r="P618" s="6" t="str">
        <f t="shared" si="12"/>
        <v/>
      </c>
    </row>
    <row r="619" spans="3:16" ht="14.25" customHeight="1" x14ac:dyDescent="0.3">
      <c r="C619" s="6" t="str">
        <f t="shared" si="13"/>
        <v/>
      </c>
      <c r="D619" s="6" t="str">
        <f t="shared" si="14"/>
        <v/>
      </c>
      <c r="F619" s="6" t="str">
        <f>IF($C619="","",COUNTIFS(Chicks!$F:$F,$C619,Chicks!$G:$G,$D619))</f>
        <v/>
      </c>
      <c r="G619" s="6" t="str">
        <f>IF($C619="","",COUNTIFS(Chicks!$F:$F,$C619,Chicks!$G:$G,$D619,Chicks!$I:$I,"Yes"))</f>
        <v/>
      </c>
      <c r="H619" s="6" t="str">
        <f>IF($C619="","",SUMIFS(Chicks!$J:$J,Chicks!$F:$F,$C619,Chicks!$G:$G,$D619))</f>
        <v/>
      </c>
      <c r="I619" s="6" t="str">
        <f>IF($C619="","",COUNTIFS(Chicks!$F:$F,$C619,Chicks!$G:$G,$D619,Chicks!$I:$I,"No"))</f>
        <v/>
      </c>
      <c r="J619" s="6" t="str">
        <f>IF($C619="","",IFERROR(AVERAGEIFS(Chicks!$M:$M,Chicks!$F:$F,$C619,Chicks!$G:$G,$D619),""))</f>
        <v/>
      </c>
      <c r="K619" s="6" t="str">
        <f>IF($C619="","",SUMIFS(Chicks!$N:$N,Chicks!$F:$F,$C619,Chicks!$G:$G,$D619))</f>
        <v/>
      </c>
      <c r="L619" s="6" t="str">
        <f>IF($C619="","",SUMIFS(Chicks!$O:$O,Chicks!$F:$F,$C619,Chicks!$G:$G,$D619))</f>
        <v/>
      </c>
      <c r="M619" s="6" t="str">
        <f>IF($C619="","",SUMIFS(Chicks!$P:$P,Chicks!$F:$F,$C619,Chicks!$G:$G,$D619))</f>
        <v/>
      </c>
      <c r="N619" s="6" t="str">
        <f t="shared" si="10"/>
        <v/>
      </c>
      <c r="O619" s="6" t="e">
        <f t="shared" ca="1" si="11"/>
        <v>#NAME?</v>
      </c>
      <c r="P619" s="6" t="str">
        <f t="shared" si="12"/>
        <v/>
      </c>
    </row>
    <row r="620" spans="3:16" ht="14.25" customHeight="1" x14ac:dyDescent="0.3">
      <c r="C620" s="6" t="str">
        <f t="shared" si="13"/>
        <v/>
      </c>
      <c r="D620" s="6" t="str">
        <f t="shared" si="14"/>
        <v/>
      </c>
      <c r="F620" s="6" t="str">
        <f>IF($C620="","",COUNTIFS(Chicks!$F:$F,$C620,Chicks!$G:$G,$D620))</f>
        <v/>
      </c>
      <c r="G620" s="6" t="str">
        <f>IF($C620="","",COUNTIFS(Chicks!$F:$F,$C620,Chicks!$G:$G,$D620,Chicks!$I:$I,"Yes"))</f>
        <v/>
      </c>
      <c r="H620" s="6" t="str">
        <f>IF($C620="","",SUMIFS(Chicks!$J:$J,Chicks!$F:$F,$C620,Chicks!$G:$G,$D620))</f>
        <v/>
      </c>
      <c r="I620" s="6" t="str">
        <f>IF($C620="","",COUNTIFS(Chicks!$F:$F,$C620,Chicks!$G:$G,$D620,Chicks!$I:$I,"No"))</f>
        <v/>
      </c>
      <c r="J620" s="6" t="str">
        <f>IF($C620="","",IFERROR(AVERAGEIFS(Chicks!$M:$M,Chicks!$F:$F,$C620,Chicks!$G:$G,$D620),""))</f>
        <v/>
      </c>
      <c r="K620" s="6" t="str">
        <f>IF($C620="","",SUMIFS(Chicks!$N:$N,Chicks!$F:$F,$C620,Chicks!$G:$G,$D620))</f>
        <v/>
      </c>
      <c r="L620" s="6" t="str">
        <f>IF($C620="","",SUMIFS(Chicks!$O:$O,Chicks!$F:$F,$C620,Chicks!$G:$G,$D620))</f>
        <v/>
      </c>
      <c r="M620" s="6" t="str">
        <f>IF($C620="","",SUMIFS(Chicks!$P:$P,Chicks!$F:$F,$C620,Chicks!$G:$G,$D620))</f>
        <v/>
      </c>
      <c r="N620" s="6" t="str">
        <f t="shared" si="10"/>
        <v/>
      </c>
      <c r="O620" s="6" t="e">
        <f t="shared" ca="1" si="11"/>
        <v>#NAME?</v>
      </c>
      <c r="P620" s="6" t="str">
        <f t="shared" si="12"/>
        <v/>
      </c>
    </row>
    <row r="621" spans="3:16" ht="14.25" customHeight="1" x14ac:dyDescent="0.3">
      <c r="C621" s="6" t="str">
        <f t="shared" si="13"/>
        <v/>
      </c>
      <c r="D621" s="6" t="str">
        <f t="shared" si="14"/>
        <v/>
      </c>
      <c r="F621" s="6" t="str">
        <f>IF($C621="","",COUNTIFS(Chicks!$F:$F,$C621,Chicks!$G:$G,$D621))</f>
        <v/>
      </c>
      <c r="G621" s="6" t="str">
        <f>IF($C621="","",COUNTIFS(Chicks!$F:$F,$C621,Chicks!$G:$G,$D621,Chicks!$I:$I,"Yes"))</f>
        <v/>
      </c>
      <c r="H621" s="6" t="str">
        <f>IF($C621="","",SUMIFS(Chicks!$J:$J,Chicks!$F:$F,$C621,Chicks!$G:$G,$D621))</f>
        <v/>
      </c>
      <c r="I621" s="6" t="str">
        <f>IF($C621="","",COUNTIFS(Chicks!$F:$F,$C621,Chicks!$G:$G,$D621,Chicks!$I:$I,"No"))</f>
        <v/>
      </c>
      <c r="J621" s="6" t="str">
        <f>IF($C621="","",IFERROR(AVERAGEIFS(Chicks!$M:$M,Chicks!$F:$F,$C621,Chicks!$G:$G,$D621),""))</f>
        <v/>
      </c>
      <c r="K621" s="6" t="str">
        <f>IF($C621="","",SUMIFS(Chicks!$N:$N,Chicks!$F:$F,$C621,Chicks!$G:$G,$D621))</f>
        <v/>
      </c>
      <c r="L621" s="6" t="str">
        <f>IF($C621="","",SUMIFS(Chicks!$O:$O,Chicks!$F:$F,$C621,Chicks!$G:$G,$D621))</f>
        <v/>
      </c>
      <c r="M621" s="6" t="str">
        <f>IF($C621="","",SUMIFS(Chicks!$P:$P,Chicks!$F:$F,$C621,Chicks!$G:$G,$D621))</f>
        <v/>
      </c>
      <c r="N621" s="6" t="str">
        <f t="shared" si="10"/>
        <v/>
      </c>
      <c r="O621" s="6" t="e">
        <f t="shared" ca="1" si="11"/>
        <v>#NAME?</v>
      </c>
      <c r="P621" s="6" t="str">
        <f t="shared" si="12"/>
        <v/>
      </c>
    </row>
    <row r="622" spans="3:16" ht="14.25" customHeight="1" x14ac:dyDescent="0.3">
      <c r="C622" s="6" t="str">
        <f t="shared" si="13"/>
        <v/>
      </c>
      <c r="D622" s="6" t="str">
        <f t="shared" si="14"/>
        <v/>
      </c>
      <c r="F622" s="6" t="str">
        <f>IF($C622="","",COUNTIFS(Chicks!$F:$F,$C622,Chicks!$G:$G,$D622))</f>
        <v/>
      </c>
      <c r="G622" s="6" t="str">
        <f>IF($C622="","",COUNTIFS(Chicks!$F:$F,$C622,Chicks!$G:$G,$D622,Chicks!$I:$I,"Yes"))</f>
        <v/>
      </c>
      <c r="H622" s="6" t="str">
        <f>IF($C622="","",SUMIFS(Chicks!$J:$J,Chicks!$F:$F,$C622,Chicks!$G:$G,$D622))</f>
        <v/>
      </c>
      <c r="I622" s="6" t="str">
        <f>IF($C622="","",COUNTIFS(Chicks!$F:$F,$C622,Chicks!$G:$G,$D622,Chicks!$I:$I,"No"))</f>
        <v/>
      </c>
      <c r="J622" s="6" t="str">
        <f>IF($C622="","",IFERROR(AVERAGEIFS(Chicks!$M:$M,Chicks!$F:$F,$C622,Chicks!$G:$G,$D622),""))</f>
        <v/>
      </c>
      <c r="K622" s="6" t="str">
        <f>IF($C622="","",SUMIFS(Chicks!$N:$N,Chicks!$F:$F,$C622,Chicks!$G:$G,$D622))</f>
        <v/>
      </c>
      <c r="L622" s="6" t="str">
        <f>IF($C622="","",SUMIFS(Chicks!$O:$O,Chicks!$F:$F,$C622,Chicks!$G:$G,$D622))</f>
        <v/>
      </c>
      <c r="M622" s="6" t="str">
        <f>IF($C622="","",SUMIFS(Chicks!$P:$P,Chicks!$F:$F,$C622,Chicks!$G:$G,$D622))</f>
        <v/>
      </c>
      <c r="N622" s="6" t="str">
        <f t="shared" si="10"/>
        <v/>
      </c>
      <c r="O622" s="6" t="e">
        <f t="shared" ca="1" si="11"/>
        <v>#NAME?</v>
      </c>
      <c r="P622" s="6" t="str">
        <f t="shared" si="12"/>
        <v/>
      </c>
    </row>
    <row r="623" spans="3:16" ht="14.25" customHeight="1" x14ac:dyDescent="0.3">
      <c r="C623" s="6" t="str">
        <f t="shared" si="13"/>
        <v/>
      </c>
      <c r="D623" s="6" t="str">
        <f t="shared" si="14"/>
        <v/>
      </c>
      <c r="F623" s="6" t="str">
        <f>IF($C623="","",COUNTIFS(Chicks!$F:$F,$C623,Chicks!$G:$G,$D623))</f>
        <v/>
      </c>
      <c r="G623" s="6" t="str">
        <f>IF($C623="","",COUNTIFS(Chicks!$F:$F,$C623,Chicks!$G:$G,$D623,Chicks!$I:$I,"Yes"))</f>
        <v/>
      </c>
      <c r="H623" s="6" t="str">
        <f>IF($C623="","",SUMIFS(Chicks!$J:$J,Chicks!$F:$F,$C623,Chicks!$G:$G,$D623))</f>
        <v/>
      </c>
      <c r="I623" s="6" t="str">
        <f>IF($C623="","",COUNTIFS(Chicks!$F:$F,$C623,Chicks!$G:$G,$D623,Chicks!$I:$I,"No"))</f>
        <v/>
      </c>
      <c r="J623" s="6" t="str">
        <f>IF($C623="","",IFERROR(AVERAGEIFS(Chicks!$M:$M,Chicks!$F:$F,$C623,Chicks!$G:$G,$D623),""))</f>
        <v/>
      </c>
      <c r="K623" s="6" t="str">
        <f>IF($C623="","",SUMIFS(Chicks!$N:$N,Chicks!$F:$F,$C623,Chicks!$G:$G,$D623))</f>
        <v/>
      </c>
      <c r="L623" s="6" t="str">
        <f>IF($C623="","",SUMIFS(Chicks!$O:$O,Chicks!$F:$F,$C623,Chicks!$G:$G,$D623))</f>
        <v/>
      </c>
      <c r="M623" s="6" t="str">
        <f>IF($C623="","",SUMIFS(Chicks!$P:$P,Chicks!$F:$F,$C623,Chicks!$G:$G,$D623))</f>
        <v/>
      </c>
      <c r="N623" s="6" t="str">
        <f t="shared" si="10"/>
        <v/>
      </c>
      <c r="O623" s="6" t="e">
        <f t="shared" ca="1" si="11"/>
        <v>#NAME?</v>
      </c>
      <c r="P623" s="6" t="str">
        <f t="shared" si="12"/>
        <v/>
      </c>
    </row>
    <row r="624" spans="3:16" ht="14.25" customHeight="1" x14ac:dyDescent="0.3">
      <c r="C624" s="6" t="str">
        <f t="shared" si="13"/>
        <v/>
      </c>
      <c r="D624" s="6" t="str">
        <f t="shared" si="14"/>
        <v/>
      </c>
      <c r="F624" s="6" t="str">
        <f>IF($C624="","",COUNTIFS(Chicks!$F:$F,$C624,Chicks!$G:$G,$D624))</f>
        <v/>
      </c>
      <c r="G624" s="6" t="str">
        <f>IF($C624="","",COUNTIFS(Chicks!$F:$F,$C624,Chicks!$G:$G,$D624,Chicks!$I:$I,"Yes"))</f>
        <v/>
      </c>
      <c r="H624" s="6" t="str">
        <f>IF($C624="","",SUMIFS(Chicks!$J:$J,Chicks!$F:$F,$C624,Chicks!$G:$G,$D624))</f>
        <v/>
      </c>
      <c r="I624" s="6" t="str">
        <f>IF($C624="","",COUNTIFS(Chicks!$F:$F,$C624,Chicks!$G:$G,$D624,Chicks!$I:$I,"No"))</f>
        <v/>
      </c>
      <c r="J624" s="6" t="str">
        <f>IF($C624="","",IFERROR(AVERAGEIFS(Chicks!$M:$M,Chicks!$F:$F,$C624,Chicks!$G:$G,$D624),""))</f>
        <v/>
      </c>
      <c r="K624" s="6" t="str">
        <f>IF($C624="","",SUMIFS(Chicks!$N:$N,Chicks!$F:$F,$C624,Chicks!$G:$G,$D624))</f>
        <v/>
      </c>
      <c r="L624" s="6" t="str">
        <f>IF($C624="","",SUMIFS(Chicks!$O:$O,Chicks!$F:$F,$C624,Chicks!$G:$G,$D624))</f>
        <v/>
      </c>
      <c r="M624" s="6" t="str">
        <f>IF($C624="","",SUMIFS(Chicks!$P:$P,Chicks!$F:$F,$C624,Chicks!$G:$G,$D624))</f>
        <v/>
      </c>
      <c r="N624" s="6" t="str">
        <f t="shared" si="10"/>
        <v/>
      </c>
      <c r="O624" s="6" t="e">
        <f t="shared" ca="1" si="11"/>
        <v>#NAME?</v>
      </c>
      <c r="P624" s="6" t="str">
        <f t="shared" si="12"/>
        <v/>
      </c>
    </row>
    <row r="625" spans="3:16" ht="14.25" customHeight="1" x14ac:dyDescent="0.3">
      <c r="C625" s="6" t="str">
        <f t="shared" si="13"/>
        <v/>
      </c>
      <c r="D625" s="6" t="str">
        <f t="shared" si="14"/>
        <v/>
      </c>
      <c r="F625" s="6" t="str">
        <f>IF($C625="","",COUNTIFS(Chicks!$F:$F,$C625,Chicks!$G:$G,$D625))</f>
        <v/>
      </c>
      <c r="G625" s="6" t="str">
        <f>IF($C625="","",COUNTIFS(Chicks!$F:$F,$C625,Chicks!$G:$G,$D625,Chicks!$I:$I,"Yes"))</f>
        <v/>
      </c>
      <c r="H625" s="6" t="str">
        <f>IF($C625="","",SUMIFS(Chicks!$J:$J,Chicks!$F:$F,$C625,Chicks!$G:$G,$D625))</f>
        <v/>
      </c>
      <c r="I625" s="6" t="str">
        <f>IF($C625="","",COUNTIFS(Chicks!$F:$F,$C625,Chicks!$G:$G,$D625,Chicks!$I:$I,"No"))</f>
        <v/>
      </c>
      <c r="J625" s="6" t="str">
        <f>IF($C625="","",IFERROR(AVERAGEIFS(Chicks!$M:$M,Chicks!$F:$F,$C625,Chicks!$G:$G,$D625),""))</f>
        <v/>
      </c>
      <c r="K625" s="6" t="str">
        <f>IF($C625="","",SUMIFS(Chicks!$N:$N,Chicks!$F:$F,$C625,Chicks!$G:$G,$D625))</f>
        <v/>
      </c>
      <c r="L625" s="6" t="str">
        <f>IF($C625="","",SUMIFS(Chicks!$O:$O,Chicks!$F:$F,$C625,Chicks!$G:$G,$D625))</f>
        <v/>
      </c>
      <c r="M625" s="6" t="str">
        <f>IF($C625="","",SUMIFS(Chicks!$P:$P,Chicks!$F:$F,$C625,Chicks!$G:$G,$D625))</f>
        <v/>
      </c>
      <c r="N625" s="6" t="str">
        <f t="shared" si="10"/>
        <v/>
      </c>
      <c r="O625" s="6" t="e">
        <f t="shared" ca="1" si="11"/>
        <v>#NAME?</v>
      </c>
      <c r="P625" s="6" t="str">
        <f t="shared" si="12"/>
        <v/>
      </c>
    </row>
    <row r="626" spans="3:16" ht="14.25" customHeight="1" x14ac:dyDescent="0.3">
      <c r="C626" s="6" t="str">
        <f t="shared" si="13"/>
        <v/>
      </c>
      <c r="D626" s="6" t="str">
        <f t="shared" si="14"/>
        <v/>
      </c>
      <c r="F626" s="6" t="str">
        <f>IF($C626="","",COUNTIFS(Chicks!$F:$F,$C626,Chicks!$G:$G,$D626))</f>
        <v/>
      </c>
      <c r="G626" s="6" t="str">
        <f>IF($C626="","",COUNTIFS(Chicks!$F:$F,$C626,Chicks!$G:$G,$D626,Chicks!$I:$I,"Yes"))</f>
        <v/>
      </c>
      <c r="H626" s="6" t="str">
        <f>IF($C626="","",SUMIFS(Chicks!$J:$J,Chicks!$F:$F,$C626,Chicks!$G:$G,$D626))</f>
        <v/>
      </c>
      <c r="I626" s="6" t="str">
        <f>IF($C626="","",COUNTIFS(Chicks!$F:$F,$C626,Chicks!$G:$G,$D626,Chicks!$I:$I,"No"))</f>
        <v/>
      </c>
      <c r="J626" s="6" t="str">
        <f>IF($C626="","",IFERROR(AVERAGEIFS(Chicks!$M:$M,Chicks!$F:$F,$C626,Chicks!$G:$G,$D626),""))</f>
        <v/>
      </c>
      <c r="K626" s="6" t="str">
        <f>IF($C626="","",SUMIFS(Chicks!$N:$N,Chicks!$F:$F,$C626,Chicks!$G:$G,$D626))</f>
        <v/>
      </c>
      <c r="L626" s="6" t="str">
        <f>IF($C626="","",SUMIFS(Chicks!$O:$O,Chicks!$F:$F,$C626,Chicks!$G:$G,$D626))</f>
        <v/>
      </c>
      <c r="M626" s="6" t="str">
        <f>IF($C626="","",SUMIFS(Chicks!$P:$P,Chicks!$F:$F,$C626,Chicks!$G:$G,$D626))</f>
        <v/>
      </c>
      <c r="N626" s="6" t="str">
        <f t="shared" si="10"/>
        <v/>
      </c>
      <c r="O626" s="6" t="e">
        <f t="shared" ca="1" si="11"/>
        <v>#NAME?</v>
      </c>
      <c r="P626" s="6" t="str">
        <f t="shared" si="12"/>
        <v/>
      </c>
    </row>
    <row r="627" spans="3:16" ht="14.25" customHeight="1" x14ac:dyDescent="0.3">
      <c r="C627" s="6" t="str">
        <f t="shared" si="13"/>
        <v/>
      </c>
      <c r="D627" s="6" t="str">
        <f t="shared" si="14"/>
        <v/>
      </c>
      <c r="F627" s="6" t="str">
        <f>IF($C627="","",COUNTIFS(Chicks!$F:$F,$C627,Chicks!$G:$G,$D627))</f>
        <v/>
      </c>
      <c r="G627" s="6" t="str">
        <f>IF($C627="","",COUNTIFS(Chicks!$F:$F,$C627,Chicks!$G:$G,$D627,Chicks!$I:$I,"Yes"))</f>
        <v/>
      </c>
      <c r="H627" s="6" t="str">
        <f>IF($C627="","",SUMIFS(Chicks!$J:$J,Chicks!$F:$F,$C627,Chicks!$G:$G,$D627))</f>
        <v/>
      </c>
      <c r="I627" s="6" t="str">
        <f>IF($C627="","",COUNTIFS(Chicks!$F:$F,$C627,Chicks!$G:$G,$D627,Chicks!$I:$I,"No"))</f>
        <v/>
      </c>
      <c r="J627" s="6" t="str">
        <f>IF($C627="","",IFERROR(AVERAGEIFS(Chicks!$M:$M,Chicks!$F:$F,$C627,Chicks!$G:$G,$D627),""))</f>
        <v/>
      </c>
      <c r="K627" s="6" t="str">
        <f>IF($C627="","",SUMIFS(Chicks!$N:$N,Chicks!$F:$F,$C627,Chicks!$G:$G,$D627))</f>
        <v/>
      </c>
      <c r="L627" s="6" t="str">
        <f>IF($C627="","",SUMIFS(Chicks!$O:$O,Chicks!$F:$F,$C627,Chicks!$G:$G,$D627))</f>
        <v/>
      </c>
      <c r="M627" s="6" t="str">
        <f>IF($C627="","",SUMIFS(Chicks!$P:$P,Chicks!$F:$F,$C627,Chicks!$G:$G,$D627))</f>
        <v/>
      </c>
      <c r="N627" s="6" t="str">
        <f t="shared" si="10"/>
        <v/>
      </c>
      <c r="O627" s="6" t="e">
        <f t="shared" ca="1" si="11"/>
        <v>#NAME?</v>
      </c>
      <c r="P627" s="6" t="str">
        <f t="shared" si="12"/>
        <v/>
      </c>
    </row>
    <row r="628" spans="3:16" ht="14.25" customHeight="1" x14ac:dyDescent="0.3">
      <c r="C628" s="6" t="str">
        <f t="shared" si="13"/>
        <v/>
      </c>
      <c r="D628" s="6" t="str">
        <f t="shared" si="14"/>
        <v/>
      </c>
      <c r="F628" s="6" t="str">
        <f>IF($C628="","",COUNTIFS(Chicks!$F:$F,$C628,Chicks!$G:$G,$D628))</f>
        <v/>
      </c>
      <c r="G628" s="6" t="str">
        <f>IF($C628="","",COUNTIFS(Chicks!$F:$F,$C628,Chicks!$G:$G,$D628,Chicks!$I:$I,"Yes"))</f>
        <v/>
      </c>
      <c r="H628" s="6" t="str">
        <f>IF($C628="","",SUMIFS(Chicks!$J:$J,Chicks!$F:$F,$C628,Chicks!$G:$G,$D628))</f>
        <v/>
      </c>
      <c r="I628" s="6" t="str">
        <f>IF($C628="","",COUNTIFS(Chicks!$F:$F,$C628,Chicks!$G:$G,$D628,Chicks!$I:$I,"No"))</f>
        <v/>
      </c>
      <c r="J628" s="6" t="str">
        <f>IF($C628="","",IFERROR(AVERAGEIFS(Chicks!$M:$M,Chicks!$F:$F,$C628,Chicks!$G:$G,$D628),""))</f>
        <v/>
      </c>
      <c r="K628" s="6" t="str">
        <f>IF($C628="","",SUMIFS(Chicks!$N:$N,Chicks!$F:$F,$C628,Chicks!$G:$G,$D628))</f>
        <v/>
      </c>
      <c r="L628" s="6" t="str">
        <f>IF($C628="","",SUMIFS(Chicks!$O:$O,Chicks!$F:$F,$C628,Chicks!$G:$G,$D628))</f>
        <v/>
      </c>
      <c r="M628" s="6" t="str">
        <f>IF($C628="","",SUMIFS(Chicks!$P:$P,Chicks!$F:$F,$C628,Chicks!$G:$G,$D628))</f>
        <v/>
      </c>
      <c r="N628" s="6" t="str">
        <f t="shared" si="10"/>
        <v/>
      </c>
      <c r="O628" s="6" t="e">
        <f t="shared" ca="1" si="11"/>
        <v>#NAME?</v>
      </c>
      <c r="P628" s="6" t="str">
        <f t="shared" si="12"/>
        <v/>
      </c>
    </row>
    <row r="629" spans="3:16" ht="14.25" customHeight="1" x14ac:dyDescent="0.3">
      <c r="C629" s="6" t="str">
        <f t="shared" si="13"/>
        <v/>
      </c>
      <c r="D629" s="6" t="str">
        <f t="shared" si="14"/>
        <v/>
      </c>
      <c r="F629" s="6" t="str">
        <f>IF($C629="","",COUNTIFS(Chicks!$F:$F,$C629,Chicks!$G:$G,$D629))</f>
        <v/>
      </c>
      <c r="G629" s="6" t="str">
        <f>IF($C629="","",COUNTIFS(Chicks!$F:$F,$C629,Chicks!$G:$G,$D629,Chicks!$I:$I,"Yes"))</f>
        <v/>
      </c>
      <c r="H629" s="6" t="str">
        <f>IF($C629="","",SUMIFS(Chicks!$J:$J,Chicks!$F:$F,$C629,Chicks!$G:$G,$D629))</f>
        <v/>
      </c>
      <c r="I629" s="6" t="str">
        <f>IF($C629="","",COUNTIFS(Chicks!$F:$F,$C629,Chicks!$G:$G,$D629,Chicks!$I:$I,"No"))</f>
        <v/>
      </c>
      <c r="J629" s="6" t="str">
        <f>IF($C629="","",IFERROR(AVERAGEIFS(Chicks!$M:$M,Chicks!$F:$F,$C629,Chicks!$G:$G,$D629),""))</f>
        <v/>
      </c>
      <c r="K629" s="6" t="str">
        <f>IF($C629="","",SUMIFS(Chicks!$N:$N,Chicks!$F:$F,$C629,Chicks!$G:$G,$D629))</f>
        <v/>
      </c>
      <c r="L629" s="6" t="str">
        <f>IF($C629="","",SUMIFS(Chicks!$O:$O,Chicks!$F:$F,$C629,Chicks!$G:$G,$D629))</f>
        <v/>
      </c>
      <c r="M629" s="6" t="str">
        <f>IF($C629="","",SUMIFS(Chicks!$P:$P,Chicks!$F:$F,$C629,Chicks!$G:$G,$D629))</f>
        <v/>
      </c>
      <c r="N629" s="6" t="str">
        <f t="shared" si="10"/>
        <v/>
      </c>
      <c r="O629" s="6" t="e">
        <f t="shared" ca="1" si="11"/>
        <v>#NAME?</v>
      </c>
      <c r="P629" s="6" t="str">
        <f t="shared" si="12"/>
        <v/>
      </c>
    </row>
    <row r="630" spans="3:16" ht="14.25" customHeight="1" x14ac:dyDescent="0.3">
      <c r="C630" s="6" t="str">
        <f t="shared" si="13"/>
        <v/>
      </c>
      <c r="D630" s="6" t="str">
        <f t="shared" si="14"/>
        <v/>
      </c>
      <c r="F630" s="6" t="str">
        <f>IF($C630="","",COUNTIFS(Chicks!$F:$F,$C630,Chicks!$G:$G,$D630))</f>
        <v/>
      </c>
      <c r="G630" s="6" t="str">
        <f>IF($C630="","",COUNTIFS(Chicks!$F:$F,$C630,Chicks!$G:$G,$D630,Chicks!$I:$I,"Yes"))</f>
        <v/>
      </c>
      <c r="H630" s="6" t="str">
        <f>IF($C630="","",SUMIFS(Chicks!$J:$J,Chicks!$F:$F,$C630,Chicks!$G:$G,$D630))</f>
        <v/>
      </c>
      <c r="I630" s="6" t="str">
        <f>IF($C630="","",COUNTIFS(Chicks!$F:$F,$C630,Chicks!$G:$G,$D630,Chicks!$I:$I,"No"))</f>
        <v/>
      </c>
      <c r="J630" s="6" t="str">
        <f>IF($C630="","",IFERROR(AVERAGEIFS(Chicks!$M:$M,Chicks!$F:$F,$C630,Chicks!$G:$G,$D630),""))</f>
        <v/>
      </c>
      <c r="K630" s="6" t="str">
        <f>IF($C630="","",SUMIFS(Chicks!$N:$N,Chicks!$F:$F,$C630,Chicks!$G:$G,$D630))</f>
        <v/>
      </c>
      <c r="L630" s="6" t="str">
        <f>IF($C630="","",SUMIFS(Chicks!$O:$O,Chicks!$F:$F,$C630,Chicks!$G:$G,$D630))</f>
        <v/>
      </c>
      <c r="M630" s="6" t="str">
        <f>IF($C630="","",SUMIFS(Chicks!$P:$P,Chicks!$F:$F,$C630,Chicks!$G:$G,$D630))</f>
        <v/>
      </c>
      <c r="N630" s="6" t="str">
        <f t="shared" si="10"/>
        <v/>
      </c>
      <c r="O630" s="6" t="e">
        <f t="shared" ca="1" si="11"/>
        <v>#NAME?</v>
      </c>
      <c r="P630" s="6" t="str">
        <f t="shared" si="12"/>
        <v/>
      </c>
    </row>
    <row r="631" spans="3:16" ht="14.25" customHeight="1" x14ac:dyDescent="0.3">
      <c r="C631" s="6" t="str">
        <f t="shared" si="13"/>
        <v/>
      </c>
      <c r="D631" s="6" t="str">
        <f t="shared" si="14"/>
        <v/>
      </c>
      <c r="F631" s="6" t="str">
        <f>IF($C631="","",COUNTIFS(Chicks!$F:$F,$C631,Chicks!$G:$G,$D631))</f>
        <v/>
      </c>
      <c r="G631" s="6" t="str">
        <f>IF($C631="","",COUNTIFS(Chicks!$F:$F,$C631,Chicks!$G:$G,$D631,Chicks!$I:$I,"Yes"))</f>
        <v/>
      </c>
      <c r="H631" s="6" t="str">
        <f>IF($C631="","",SUMIFS(Chicks!$J:$J,Chicks!$F:$F,$C631,Chicks!$G:$G,$D631))</f>
        <v/>
      </c>
      <c r="I631" s="6" t="str">
        <f>IF($C631="","",COUNTIFS(Chicks!$F:$F,$C631,Chicks!$G:$G,$D631,Chicks!$I:$I,"No"))</f>
        <v/>
      </c>
      <c r="J631" s="6" t="str">
        <f>IF($C631="","",IFERROR(AVERAGEIFS(Chicks!$M:$M,Chicks!$F:$F,$C631,Chicks!$G:$G,$D631),""))</f>
        <v/>
      </c>
      <c r="K631" s="6" t="str">
        <f>IF($C631="","",SUMIFS(Chicks!$N:$N,Chicks!$F:$F,$C631,Chicks!$G:$G,$D631))</f>
        <v/>
      </c>
      <c r="L631" s="6" t="str">
        <f>IF($C631="","",SUMIFS(Chicks!$O:$O,Chicks!$F:$F,$C631,Chicks!$G:$G,$D631))</f>
        <v/>
      </c>
      <c r="M631" s="6" t="str">
        <f>IF($C631="","",SUMIFS(Chicks!$P:$P,Chicks!$F:$F,$C631,Chicks!$G:$G,$D631))</f>
        <v/>
      </c>
      <c r="N631" s="6" t="str">
        <f t="shared" si="10"/>
        <v/>
      </c>
      <c r="O631" s="6" t="e">
        <f t="shared" ca="1" si="11"/>
        <v>#NAME?</v>
      </c>
      <c r="P631" s="6" t="str">
        <f t="shared" si="12"/>
        <v/>
      </c>
    </row>
    <row r="632" spans="3:16" ht="14.25" customHeight="1" x14ac:dyDescent="0.3">
      <c r="C632" s="6" t="str">
        <f t="shared" si="13"/>
        <v/>
      </c>
      <c r="D632" s="6" t="str">
        <f t="shared" si="14"/>
        <v/>
      </c>
      <c r="F632" s="6" t="str">
        <f>IF($C632="","",COUNTIFS(Chicks!$F:$F,$C632,Chicks!$G:$G,$D632))</f>
        <v/>
      </c>
      <c r="G632" s="6" t="str">
        <f>IF($C632="","",COUNTIFS(Chicks!$F:$F,$C632,Chicks!$G:$G,$D632,Chicks!$I:$I,"Yes"))</f>
        <v/>
      </c>
      <c r="H632" s="6" t="str">
        <f>IF($C632="","",SUMIFS(Chicks!$J:$J,Chicks!$F:$F,$C632,Chicks!$G:$G,$D632))</f>
        <v/>
      </c>
      <c r="I632" s="6" t="str">
        <f>IF($C632="","",COUNTIFS(Chicks!$F:$F,$C632,Chicks!$G:$G,$D632,Chicks!$I:$I,"No"))</f>
        <v/>
      </c>
      <c r="J632" s="6" t="str">
        <f>IF($C632="","",IFERROR(AVERAGEIFS(Chicks!$M:$M,Chicks!$F:$F,$C632,Chicks!$G:$G,$D632),""))</f>
        <v/>
      </c>
      <c r="K632" s="6" t="str">
        <f>IF($C632="","",SUMIFS(Chicks!$N:$N,Chicks!$F:$F,$C632,Chicks!$G:$G,$D632))</f>
        <v/>
      </c>
      <c r="L632" s="6" t="str">
        <f>IF($C632="","",SUMIFS(Chicks!$O:$O,Chicks!$F:$F,$C632,Chicks!$G:$G,$D632))</f>
        <v/>
      </c>
      <c r="M632" s="6" t="str">
        <f>IF($C632="","",SUMIFS(Chicks!$P:$P,Chicks!$F:$F,$C632,Chicks!$G:$G,$D632))</f>
        <v/>
      </c>
      <c r="N632" s="6" t="str">
        <f t="shared" si="10"/>
        <v/>
      </c>
      <c r="O632" s="6" t="e">
        <f t="shared" ca="1" si="11"/>
        <v>#NAME?</v>
      </c>
      <c r="P632" s="6" t="str">
        <f t="shared" si="12"/>
        <v/>
      </c>
    </row>
    <row r="633" spans="3:16" ht="14.25" customHeight="1" x14ac:dyDescent="0.3">
      <c r="C633" s="6" t="str">
        <f t="shared" si="13"/>
        <v/>
      </c>
      <c r="D633" s="6" t="str">
        <f t="shared" si="14"/>
        <v/>
      </c>
      <c r="F633" s="6" t="str">
        <f>IF($C633="","",COUNTIFS(Chicks!$F:$F,$C633,Chicks!$G:$G,$D633))</f>
        <v/>
      </c>
      <c r="G633" s="6" t="str">
        <f>IF($C633="","",COUNTIFS(Chicks!$F:$F,$C633,Chicks!$G:$G,$D633,Chicks!$I:$I,"Yes"))</f>
        <v/>
      </c>
      <c r="H633" s="6" t="str">
        <f>IF($C633="","",SUMIFS(Chicks!$J:$J,Chicks!$F:$F,$C633,Chicks!$G:$G,$D633))</f>
        <v/>
      </c>
      <c r="I633" s="6" t="str">
        <f>IF($C633="","",COUNTIFS(Chicks!$F:$F,$C633,Chicks!$G:$G,$D633,Chicks!$I:$I,"No"))</f>
        <v/>
      </c>
      <c r="J633" s="6" t="str">
        <f>IF($C633="","",IFERROR(AVERAGEIFS(Chicks!$M:$M,Chicks!$F:$F,$C633,Chicks!$G:$G,$D633),""))</f>
        <v/>
      </c>
      <c r="K633" s="6" t="str">
        <f>IF($C633="","",SUMIFS(Chicks!$N:$N,Chicks!$F:$F,$C633,Chicks!$G:$G,$D633))</f>
        <v/>
      </c>
      <c r="L633" s="6" t="str">
        <f>IF($C633="","",SUMIFS(Chicks!$O:$O,Chicks!$F:$F,$C633,Chicks!$G:$G,$D633))</f>
        <v/>
      </c>
      <c r="M633" s="6" t="str">
        <f>IF($C633="","",SUMIFS(Chicks!$P:$P,Chicks!$F:$F,$C633,Chicks!$G:$G,$D633))</f>
        <v/>
      </c>
      <c r="N633" s="6" t="str">
        <f t="shared" si="10"/>
        <v/>
      </c>
      <c r="O633" s="6" t="e">
        <f t="shared" ca="1" si="11"/>
        <v>#NAME?</v>
      </c>
      <c r="P633" s="6" t="str">
        <f t="shared" si="12"/>
        <v/>
      </c>
    </row>
    <row r="634" spans="3:16" ht="14.25" customHeight="1" x14ac:dyDescent="0.3">
      <c r="C634" s="6" t="str">
        <f t="shared" si="13"/>
        <v/>
      </c>
      <c r="D634" s="6" t="str">
        <f t="shared" si="14"/>
        <v/>
      </c>
      <c r="F634" s="6" t="str">
        <f>IF($C634="","",COUNTIFS(Chicks!$F:$F,$C634,Chicks!$G:$G,$D634))</f>
        <v/>
      </c>
      <c r="G634" s="6" t="str">
        <f>IF($C634="","",COUNTIFS(Chicks!$F:$F,$C634,Chicks!$G:$G,$D634,Chicks!$I:$I,"Yes"))</f>
        <v/>
      </c>
      <c r="H634" s="6" t="str">
        <f>IF($C634="","",SUMIFS(Chicks!$J:$J,Chicks!$F:$F,$C634,Chicks!$G:$G,$D634))</f>
        <v/>
      </c>
      <c r="I634" s="6" t="str">
        <f>IF($C634="","",COUNTIFS(Chicks!$F:$F,$C634,Chicks!$G:$G,$D634,Chicks!$I:$I,"No"))</f>
        <v/>
      </c>
      <c r="J634" s="6" t="str">
        <f>IF($C634="","",IFERROR(AVERAGEIFS(Chicks!$M:$M,Chicks!$F:$F,$C634,Chicks!$G:$G,$D634),""))</f>
        <v/>
      </c>
      <c r="K634" s="6" t="str">
        <f>IF($C634="","",SUMIFS(Chicks!$N:$N,Chicks!$F:$F,$C634,Chicks!$G:$G,$D634))</f>
        <v/>
      </c>
      <c r="L634" s="6" t="str">
        <f>IF($C634="","",SUMIFS(Chicks!$O:$O,Chicks!$F:$F,$C634,Chicks!$G:$G,$D634))</f>
        <v/>
      </c>
      <c r="M634" s="6" t="str">
        <f>IF($C634="","",SUMIFS(Chicks!$P:$P,Chicks!$F:$F,$C634,Chicks!$G:$G,$D634))</f>
        <v/>
      </c>
      <c r="N634" s="6" t="str">
        <f t="shared" si="10"/>
        <v/>
      </c>
      <c r="O634" s="6" t="e">
        <f t="shared" ca="1" si="11"/>
        <v>#NAME?</v>
      </c>
      <c r="P634" s="6" t="str">
        <f t="shared" si="12"/>
        <v/>
      </c>
    </row>
    <row r="635" spans="3:16" ht="14.25" customHeight="1" x14ac:dyDescent="0.3">
      <c r="C635" s="6" t="str">
        <f t="shared" si="13"/>
        <v/>
      </c>
      <c r="D635" s="6" t="str">
        <f t="shared" si="14"/>
        <v/>
      </c>
      <c r="F635" s="6" t="str">
        <f>IF($C635="","",COUNTIFS(Chicks!$F:$F,$C635,Chicks!$G:$G,$D635))</f>
        <v/>
      </c>
      <c r="G635" s="6" t="str">
        <f>IF($C635="","",COUNTIFS(Chicks!$F:$F,$C635,Chicks!$G:$G,$D635,Chicks!$I:$I,"Yes"))</f>
        <v/>
      </c>
      <c r="H635" s="6" t="str">
        <f>IF($C635="","",SUMIFS(Chicks!$J:$J,Chicks!$F:$F,$C635,Chicks!$G:$G,$D635))</f>
        <v/>
      </c>
      <c r="I635" s="6" t="str">
        <f>IF($C635="","",COUNTIFS(Chicks!$F:$F,$C635,Chicks!$G:$G,$D635,Chicks!$I:$I,"No"))</f>
        <v/>
      </c>
      <c r="J635" s="6" t="str">
        <f>IF($C635="","",IFERROR(AVERAGEIFS(Chicks!$M:$M,Chicks!$F:$F,$C635,Chicks!$G:$G,$D635),""))</f>
        <v/>
      </c>
      <c r="K635" s="6" t="str">
        <f>IF($C635="","",SUMIFS(Chicks!$N:$N,Chicks!$F:$F,$C635,Chicks!$G:$G,$D635))</f>
        <v/>
      </c>
      <c r="L635" s="6" t="str">
        <f>IF($C635="","",SUMIFS(Chicks!$O:$O,Chicks!$F:$F,$C635,Chicks!$G:$G,$D635))</f>
        <v/>
      </c>
      <c r="M635" s="6" t="str">
        <f>IF($C635="","",SUMIFS(Chicks!$P:$P,Chicks!$F:$F,$C635,Chicks!$G:$G,$D635))</f>
        <v/>
      </c>
      <c r="N635" s="6" t="str">
        <f t="shared" si="10"/>
        <v/>
      </c>
      <c r="O635" s="6" t="e">
        <f t="shared" ca="1" si="11"/>
        <v>#NAME?</v>
      </c>
      <c r="P635" s="6" t="str">
        <f t="shared" si="12"/>
        <v/>
      </c>
    </row>
    <row r="636" spans="3:16" ht="14.25" customHeight="1" x14ac:dyDescent="0.3">
      <c r="C636" s="6" t="str">
        <f t="shared" si="13"/>
        <v/>
      </c>
      <c r="D636" s="6" t="str">
        <f t="shared" si="14"/>
        <v/>
      </c>
      <c r="F636" s="6" t="str">
        <f>IF($C636="","",COUNTIFS(Chicks!$F:$F,$C636,Chicks!$G:$G,$D636))</f>
        <v/>
      </c>
      <c r="G636" s="6" t="str">
        <f>IF($C636="","",COUNTIFS(Chicks!$F:$F,$C636,Chicks!$G:$G,$D636,Chicks!$I:$I,"Yes"))</f>
        <v/>
      </c>
      <c r="H636" s="6" t="str">
        <f>IF($C636="","",SUMIFS(Chicks!$J:$J,Chicks!$F:$F,$C636,Chicks!$G:$G,$D636))</f>
        <v/>
      </c>
      <c r="I636" s="6" t="str">
        <f>IF($C636="","",COUNTIFS(Chicks!$F:$F,$C636,Chicks!$G:$G,$D636,Chicks!$I:$I,"No"))</f>
        <v/>
      </c>
      <c r="J636" s="6" t="str">
        <f>IF($C636="","",IFERROR(AVERAGEIFS(Chicks!$M:$M,Chicks!$F:$F,$C636,Chicks!$G:$G,$D636),""))</f>
        <v/>
      </c>
      <c r="K636" s="6" t="str">
        <f>IF($C636="","",SUMIFS(Chicks!$N:$N,Chicks!$F:$F,$C636,Chicks!$G:$G,$D636))</f>
        <v/>
      </c>
      <c r="L636" s="6" t="str">
        <f>IF($C636="","",SUMIFS(Chicks!$O:$O,Chicks!$F:$F,$C636,Chicks!$G:$G,$D636))</f>
        <v/>
      </c>
      <c r="M636" s="6" t="str">
        <f>IF($C636="","",SUMIFS(Chicks!$P:$P,Chicks!$F:$F,$C636,Chicks!$G:$G,$D636))</f>
        <v/>
      </c>
      <c r="N636" s="6" t="str">
        <f t="shared" si="10"/>
        <v/>
      </c>
      <c r="O636" s="6" t="e">
        <f t="shared" ca="1" si="11"/>
        <v>#NAME?</v>
      </c>
      <c r="P636" s="6" t="str">
        <f t="shared" si="12"/>
        <v/>
      </c>
    </row>
    <row r="637" spans="3:16" ht="14.25" customHeight="1" x14ac:dyDescent="0.3">
      <c r="C637" s="6" t="str">
        <f t="shared" si="13"/>
        <v/>
      </c>
      <c r="D637" s="6" t="str">
        <f t="shared" si="14"/>
        <v/>
      </c>
      <c r="F637" s="6" t="str">
        <f>IF($C637="","",COUNTIFS(Chicks!$F:$F,$C637,Chicks!$G:$G,$D637))</f>
        <v/>
      </c>
      <c r="G637" s="6" t="str">
        <f>IF($C637="","",COUNTIFS(Chicks!$F:$F,$C637,Chicks!$G:$G,$D637,Chicks!$I:$I,"Yes"))</f>
        <v/>
      </c>
      <c r="H637" s="6" t="str">
        <f>IF($C637="","",SUMIFS(Chicks!$J:$J,Chicks!$F:$F,$C637,Chicks!$G:$G,$D637))</f>
        <v/>
      </c>
      <c r="I637" s="6" t="str">
        <f>IF($C637="","",COUNTIFS(Chicks!$F:$F,$C637,Chicks!$G:$G,$D637,Chicks!$I:$I,"No"))</f>
        <v/>
      </c>
      <c r="J637" s="6" t="str">
        <f>IF($C637="","",IFERROR(AVERAGEIFS(Chicks!$M:$M,Chicks!$F:$F,$C637,Chicks!$G:$G,$D637),""))</f>
        <v/>
      </c>
      <c r="K637" s="6" t="str">
        <f>IF($C637="","",SUMIFS(Chicks!$N:$N,Chicks!$F:$F,$C637,Chicks!$G:$G,$D637))</f>
        <v/>
      </c>
      <c r="L637" s="6" t="str">
        <f>IF($C637="","",SUMIFS(Chicks!$O:$O,Chicks!$F:$F,$C637,Chicks!$G:$G,$D637))</f>
        <v/>
      </c>
      <c r="M637" s="6" t="str">
        <f>IF($C637="","",SUMIFS(Chicks!$P:$P,Chicks!$F:$F,$C637,Chicks!$G:$G,$D637))</f>
        <v/>
      </c>
      <c r="N637" s="6" t="str">
        <f t="shared" si="10"/>
        <v/>
      </c>
      <c r="O637" s="6" t="e">
        <f t="shared" ca="1" si="11"/>
        <v>#NAME?</v>
      </c>
      <c r="P637" s="6" t="str">
        <f t="shared" si="12"/>
        <v/>
      </c>
    </row>
    <row r="638" spans="3:16" ht="14.25" customHeight="1" x14ac:dyDescent="0.3">
      <c r="C638" s="6" t="str">
        <f t="shared" si="13"/>
        <v/>
      </c>
      <c r="D638" s="6" t="str">
        <f t="shared" si="14"/>
        <v/>
      </c>
      <c r="F638" s="6" t="str">
        <f>IF($C638="","",COUNTIFS(Chicks!$F:$F,$C638,Chicks!$G:$G,$D638))</f>
        <v/>
      </c>
      <c r="G638" s="6" t="str">
        <f>IF($C638="","",COUNTIFS(Chicks!$F:$F,$C638,Chicks!$G:$G,$D638,Chicks!$I:$I,"Yes"))</f>
        <v/>
      </c>
      <c r="H638" s="6" t="str">
        <f>IF($C638="","",SUMIFS(Chicks!$J:$J,Chicks!$F:$F,$C638,Chicks!$G:$G,$D638))</f>
        <v/>
      </c>
      <c r="I638" s="6" t="str">
        <f>IF($C638="","",COUNTIFS(Chicks!$F:$F,$C638,Chicks!$G:$G,$D638,Chicks!$I:$I,"No"))</f>
        <v/>
      </c>
      <c r="J638" s="6" t="str">
        <f>IF($C638="","",IFERROR(AVERAGEIFS(Chicks!$M:$M,Chicks!$F:$F,$C638,Chicks!$G:$G,$D638),""))</f>
        <v/>
      </c>
      <c r="K638" s="6" t="str">
        <f>IF($C638="","",SUMIFS(Chicks!$N:$N,Chicks!$F:$F,$C638,Chicks!$G:$G,$D638))</f>
        <v/>
      </c>
      <c r="L638" s="6" t="str">
        <f>IF($C638="","",SUMIFS(Chicks!$O:$O,Chicks!$F:$F,$C638,Chicks!$G:$G,$D638))</f>
        <v/>
      </c>
      <c r="M638" s="6" t="str">
        <f>IF($C638="","",SUMIFS(Chicks!$P:$P,Chicks!$F:$F,$C638,Chicks!$G:$G,$D638))</f>
        <v/>
      </c>
      <c r="N638" s="6" t="str">
        <f t="shared" si="10"/>
        <v/>
      </c>
      <c r="O638" s="6" t="e">
        <f t="shared" ca="1" si="11"/>
        <v>#NAME?</v>
      </c>
      <c r="P638" s="6" t="str">
        <f t="shared" si="12"/>
        <v/>
      </c>
    </row>
    <row r="639" spans="3:16" ht="14.25" customHeight="1" x14ac:dyDescent="0.3">
      <c r="C639" s="6" t="str">
        <f t="shared" si="13"/>
        <v/>
      </c>
      <c r="D639" s="6" t="str">
        <f t="shared" si="14"/>
        <v/>
      </c>
      <c r="F639" s="6" t="str">
        <f>IF($C639="","",COUNTIFS(Chicks!$F:$F,$C639,Chicks!$G:$G,$D639))</f>
        <v/>
      </c>
      <c r="G639" s="6" t="str">
        <f>IF($C639="","",COUNTIFS(Chicks!$F:$F,$C639,Chicks!$G:$G,$D639,Chicks!$I:$I,"Yes"))</f>
        <v/>
      </c>
      <c r="H639" s="6" t="str">
        <f>IF($C639="","",SUMIFS(Chicks!$J:$J,Chicks!$F:$F,$C639,Chicks!$G:$G,$D639))</f>
        <v/>
      </c>
      <c r="I639" s="6" t="str">
        <f>IF($C639="","",COUNTIFS(Chicks!$F:$F,$C639,Chicks!$G:$G,$D639,Chicks!$I:$I,"No"))</f>
        <v/>
      </c>
      <c r="J639" s="6" t="str">
        <f>IF($C639="","",IFERROR(AVERAGEIFS(Chicks!$M:$M,Chicks!$F:$F,$C639,Chicks!$G:$G,$D639),""))</f>
        <v/>
      </c>
      <c r="K639" s="6" t="str">
        <f>IF($C639="","",SUMIFS(Chicks!$N:$N,Chicks!$F:$F,$C639,Chicks!$G:$G,$D639))</f>
        <v/>
      </c>
      <c r="L639" s="6" t="str">
        <f>IF($C639="","",SUMIFS(Chicks!$O:$O,Chicks!$F:$F,$C639,Chicks!$G:$G,$D639))</f>
        <v/>
      </c>
      <c r="M639" s="6" t="str">
        <f>IF($C639="","",SUMIFS(Chicks!$P:$P,Chicks!$F:$F,$C639,Chicks!$G:$G,$D639))</f>
        <v/>
      </c>
      <c r="N639" s="6" t="str">
        <f t="shared" si="10"/>
        <v/>
      </c>
      <c r="O639" s="6" t="e">
        <f t="shared" ca="1" si="11"/>
        <v>#NAME?</v>
      </c>
      <c r="P639" s="6" t="str">
        <f t="shared" si="12"/>
        <v/>
      </c>
    </row>
    <row r="640" spans="3:16" ht="14.25" customHeight="1" x14ac:dyDescent="0.3">
      <c r="C640" s="6" t="str">
        <f t="shared" si="13"/>
        <v/>
      </c>
      <c r="D640" s="6" t="str">
        <f t="shared" si="14"/>
        <v/>
      </c>
      <c r="F640" s="6" t="str">
        <f>IF($C640="","",COUNTIFS(Chicks!$F:$F,$C640,Chicks!$G:$G,$D640))</f>
        <v/>
      </c>
      <c r="G640" s="6" t="str">
        <f>IF($C640="","",COUNTIFS(Chicks!$F:$F,$C640,Chicks!$G:$G,$D640,Chicks!$I:$I,"Yes"))</f>
        <v/>
      </c>
      <c r="H640" s="6" t="str">
        <f>IF($C640="","",SUMIFS(Chicks!$J:$J,Chicks!$F:$F,$C640,Chicks!$G:$G,$D640))</f>
        <v/>
      </c>
      <c r="I640" s="6" t="str">
        <f>IF($C640="","",COUNTIFS(Chicks!$F:$F,$C640,Chicks!$G:$G,$D640,Chicks!$I:$I,"No"))</f>
        <v/>
      </c>
      <c r="J640" s="6" t="str">
        <f>IF($C640="","",IFERROR(AVERAGEIFS(Chicks!$M:$M,Chicks!$F:$F,$C640,Chicks!$G:$G,$D640),""))</f>
        <v/>
      </c>
      <c r="K640" s="6" t="str">
        <f>IF($C640="","",SUMIFS(Chicks!$N:$N,Chicks!$F:$F,$C640,Chicks!$G:$G,$D640))</f>
        <v/>
      </c>
      <c r="L640" s="6" t="str">
        <f>IF($C640="","",SUMIFS(Chicks!$O:$O,Chicks!$F:$F,$C640,Chicks!$G:$G,$D640))</f>
        <v/>
      </c>
      <c r="M640" s="6" t="str">
        <f>IF($C640="","",SUMIFS(Chicks!$P:$P,Chicks!$F:$F,$C640,Chicks!$G:$G,$D640))</f>
        <v/>
      </c>
      <c r="N640" s="6" t="str">
        <f t="shared" si="10"/>
        <v/>
      </c>
      <c r="O640" s="6" t="e">
        <f t="shared" ca="1" si="11"/>
        <v>#NAME?</v>
      </c>
      <c r="P640" s="6" t="str">
        <f t="shared" si="12"/>
        <v/>
      </c>
    </row>
    <row r="641" spans="3:16" ht="14.25" customHeight="1" x14ac:dyDescent="0.3">
      <c r="C641" s="6" t="str">
        <f t="shared" si="13"/>
        <v/>
      </c>
      <c r="D641" s="6" t="str">
        <f t="shared" si="14"/>
        <v/>
      </c>
      <c r="F641" s="6" t="str">
        <f>IF($C641="","",COUNTIFS(Chicks!$F:$F,$C641,Chicks!$G:$G,$D641))</f>
        <v/>
      </c>
      <c r="G641" s="6" t="str">
        <f>IF($C641="","",COUNTIFS(Chicks!$F:$F,$C641,Chicks!$G:$G,$D641,Chicks!$I:$I,"Yes"))</f>
        <v/>
      </c>
      <c r="H641" s="6" t="str">
        <f>IF($C641="","",SUMIFS(Chicks!$J:$J,Chicks!$F:$F,$C641,Chicks!$G:$G,$D641))</f>
        <v/>
      </c>
      <c r="I641" s="6" t="str">
        <f>IF($C641="","",COUNTIFS(Chicks!$F:$F,$C641,Chicks!$G:$G,$D641,Chicks!$I:$I,"No"))</f>
        <v/>
      </c>
      <c r="J641" s="6" t="str">
        <f>IF($C641="","",IFERROR(AVERAGEIFS(Chicks!$M:$M,Chicks!$F:$F,$C641,Chicks!$G:$G,$D641),""))</f>
        <v/>
      </c>
      <c r="K641" s="6" t="str">
        <f>IF($C641="","",SUMIFS(Chicks!$N:$N,Chicks!$F:$F,$C641,Chicks!$G:$G,$D641))</f>
        <v/>
      </c>
      <c r="L641" s="6" t="str">
        <f>IF($C641="","",SUMIFS(Chicks!$O:$O,Chicks!$F:$F,$C641,Chicks!$G:$G,$D641))</f>
        <v/>
      </c>
      <c r="M641" s="6" t="str">
        <f>IF($C641="","",SUMIFS(Chicks!$P:$P,Chicks!$F:$F,$C641,Chicks!$G:$G,$D641))</f>
        <v/>
      </c>
      <c r="N641" s="6" t="str">
        <f t="shared" si="10"/>
        <v/>
      </c>
      <c r="O641" s="6" t="e">
        <f t="shared" ca="1" si="11"/>
        <v>#NAME?</v>
      </c>
      <c r="P641" s="6" t="str">
        <f t="shared" si="12"/>
        <v/>
      </c>
    </row>
    <row r="642" spans="3:16" ht="14.25" customHeight="1" x14ac:dyDescent="0.3">
      <c r="C642" s="6" t="str">
        <f t="shared" si="13"/>
        <v/>
      </c>
      <c r="D642" s="6" t="str">
        <f t="shared" si="14"/>
        <v/>
      </c>
      <c r="F642" s="6" t="str">
        <f>IF($C642="","",COUNTIFS(Chicks!$F:$F,$C642,Chicks!$G:$G,$D642))</f>
        <v/>
      </c>
      <c r="G642" s="6" t="str">
        <f>IF($C642="","",COUNTIFS(Chicks!$F:$F,$C642,Chicks!$G:$G,$D642,Chicks!$I:$I,"Yes"))</f>
        <v/>
      </c>
      <c r="H642" s="6" t="str">
        <f>IF($C642="","",SUMIFS(Chicks!$J:$J,Chicks!$F:$F,$C642,Chicks!$G:$G,$D642))</f>
        <v/>
      </c>
      <c r="I642" s="6" t="str">
        <f>IF($C642="","",COUNTIFS(Chicks!$F:$F,$C642,Chicks!$G:$G,$D642,Chicks!$I:$I,"No"))</f>
        <v/>
      </c>
      <c r="J642" s="6" t="str">
        <f>IF($C642="","",IFERROR(AVERAGEIFS(Chicks!$M:$M,Chicks!$F:$F,$C642,Chicks!$G:$G,$D642),""))</f>
        <v/>
      </c>
      <c r="K642" s="6" t="str">
        <f>IF($C642="","",SUMIFS(Chicks!$N:$N,Chicks!$F:$F,$C642,Chicks!$G:$G,$D642))</f>
        <v/>
      </c>
      <c r="L642" s="6" t="str">
        <f>IF($C642="","",SUMIFS(Chicks!$O:$O,Chicks!$F:$F,$C642,Chicks!$G:$G,$D642))</f>
        <v/>
      </c>
      <c r="M642" s="6" t="str">
        <f>IF($C642="","",SUMIFS(Chicks!$P:$P,Chicks!$F:$F,$C642,Chicks!$G:$G,$D642))</f>
        <v/>
      </c>
      <c r="N642" s="6" t="str">
        <f t="shared" si="10"/>
        <v/>
      </c>
      <c r="O642" s="6" t="e">
        <f t="shared" ca="1" si="11"/>
        <v>#NAME?</v>
      </c>
      <c r="P642" s="6" t="str">
        <f t="shared" si="12"/>
        <v/>
      </c>
    </row>
    <row r="643" spans="3:16" ht="14.25" customHeight="1" x14ac:dyDescent="0.3">
      <c r="C643" s="6" t="str">
        <f t="shared" si="13"/>
        <v/>
      </c>
      <c r="D643" s="6" t="str">
        <f t="shared" si="14"/>
        <v/>
      </c>
      <c r="F643" s="6" t="str">
        <f>IF($C643="","",COUNTIFS(Chicks!$F:$F,$C643,Chicks!$G:$G,$D643))</f>
        <v/>
      </c>
      <c r="G643" s="6" t="str">
        <f>IF($C643="","",COUNTIFS(Chicks!$F:$F,$C643,Chicks!$G:$G,$D643,Chicks!$I:$I,"Yes"))</f>
        <v/>
      </c>
      <c r="H643" s="6" t="str">
        <f>IF($C643="","",SUMIFS(Chicks!$J:$J,Chicks!$F:$F,$C643,Chicks!$G:$G,$D643))</f>
        <v/>
      </c>
      <c r="I643" s="6" t="str">
        <f>IF($C643="","",COUNTIFS(Chicks!$F:$F,$C643,Chicks!$G:$G,$D643,Chicks!$I:$I,"No"))</f>
        <v/>
      </c>
      <c r="J643" s="6" t="str">
        <f>IF($C643="","",IFERROR(AVERAGEIFS(Chicks!$M:$M,Chicks!$F:$F,$C643,Chicks!$G:$G,$D643),""))</f>
        <v/>
      </c>
      <c r="K643" s="6" t="str">
        <f>IF($C643="","",SUMIFS(Chicks!$N:$N,Chicks!$F:$F,$C643,Chicks!$G:$G,$D643))</f>
        <v/>
      </c>
      <c r="L643" s="6" t="str">
        <f>IF($C643="","",SUMIFS(Chicks!$O:$O,Chicks!$F:$F,$C643,Chicks!$G:$G,$D643))</f>
        <v/>
      </c>
      <c r="M643" s="6" t="str">
        <f>IF($C643="","",SUMIFS(Chicks!$P:$P,Chicks!$F:$F,$C643,Chicks!$G:$G,$D643))</f>
        <v/>
      </c>
      <c r="N643" s="6" t="str">
        <f t="shared" si="10"/>
        <v/>
      </c>
      <c r="O643" s="6" t="e">
        <f t="shared" ca="1" si="11"/>
        <v>#NAME?</v>
      </c>
      <c r="P643" s="6" t="str">
        <f t="shared" si="12"/>
        <v/>
      </c>
    </row>
    <row r="644" spans="3:16" ht="14.25" customHeight="1" x14ac:dyDescent="0.3">
      <c r="C644" s="6" t="str">
        <f t="shared" si="13"/>
        <v/>
      </c>
      <c r="D644" s="6" t="str">
        <f t="shared" si="14"/>
        <v/>
      </c>
      <c r="F644" s="6" t="str">
        <f>IF($C644="","",COUNTIFS(Chicks!$F:$F,$C644,Chicks!$G:$G,$D644))</f>
        <v/>
      </c>
      <c r="G644" s="6" t="str">
        <f>IF($C644="","",COUNTIFS(Chicks!$F:$F,$C644,Chicks!$G:$G,$D644,Chicks!$I:$I,"Yes"))</f>
        <v/>
      </c>
      <c r="H644" s="6" t="str">
        <f>IF($C644="","",SUMIFS(Chicks!$J:$J,Chicks!$F:$F,$C644,Chicks!$G:$G,$D644))</f>
        <v/>
      </c>
      <c r="I644" s="6" t="str">
        <f>IF($C644="","",COUNTIFS(Chicks!$F:$F,$C644,Chicks!$G:$G,$D644,Chicks!$I:$I,"No"))</f>
        <v/>
      </c>
      <c r="J644" s="6" t="str">
        <f>IF($C644="","",IFERROR(AVERAGEIFS(Chicks!$M:$M,Chicks!$F:$F,$C644,Chicks!$G:$G,$D644),""))</f>
        <v/>
      </c>
      <c r="K644" s="6" t="str">
        <f>IF($C644="","",SUMIFS(Chicks!$N:$N,Chicks!$F:$F,$C644,Chicks!$G:$G,$D644))</f>
        <v/>
      </c>
      <c r="L644" s="6" t="str">
        <f>IF($C644="","",SUMIFS(Chicks!$O:$O,Chicks!$F:$F,$C644,Chicks!$G:$G,$D644))</f>
        <v/>
      </c>
      <c r="M644" s="6" t="str">
        <f>IF($C644="","",SUMIFS(Chicks!$P:$P,Chicks!$F:$F,$C644,Chicks!$G:$G,$D644))</f>
        <v/>
      </c>
      <c r="N644" s="6" t="str">
        <f t="shared" si="10"/>
        <v/>
      </c>
      <c r="O644" s="6" t="e">
        <f t="shared" ca="1" si="11"/>
        <v>#NAME?</v>
      </c>
      <c r="P644" s="6" t="str">
        <f t="shared" si="12"/>
        <v/>
      </c>
    </row>
    <row r="645" spans="3:16" ht="14.25" customHeight="1" x14ac:dyDescent="0.3">
      <c r="C645" s="6" t="str">
        <f t="shared" si="13"/>
        <v/>
      </c>
      <c r="D645" s="6" t="str">
        <f t="shared" si="14"/>
        <v/>
      </c>
      <c r="F645" s="6" t="str">
        <f>IF($C645="","",COUNTIFS(Chicks!$F:$F,$C645,Chicks!$G:$G,$D645))</f>
        <v/>
      </c>
      <c r="G645" s="6" t="str">
        <f>IF($C645="","",COUNTIFS(Chicks!$F:$F,$C645,Chicks!$G:$G,$D645,Chicks!$I:$I,"Yes"))</f>
        <v/>
      </c>
      <c r="H645" s="6" t="str">
        <f>IF($C645="","",SUMIFS(Chicks!$J:$J,Chicks!$F:$F,$C645,Chicks!$G:$G,$D645))</f>
        <v/>
      </c>
      <c r="I645" s="6" t="str">
        <f>IF($C645="","",COUNTIFS(Chicks!$F:$F,$C645,Chicks!$G:$G,$D645,Chicks!$I:$I,"No"))</f>
        <v/>
      </c>
      <c r="J645" s="6" t="str">
        <f>IF($C645="","",IFERROR(AVERAGEIFS(Chicks!$M:$M,Chicks!$F:$F,$C645,Chicks!$G:$G,$D645),""))</f>
        <v/>
      </c>
      <c r="K645" s="6" t="str">
        <f>IF($C645="","",SUMIFS(Chicks!$N:$N,Chicks!$F:$F,$C645,Chicks!$G:$G,$D645))</f>
        <v/>
      </c>
      <c r="L645" s="6" t="str">
        <f>IF($C645="","",SUMIFS(Chicks!$O:$O,Chicks!$F:$F,$C645,Chicks!$G:$G,$D645))</f>
        <v/>
      </c>
      <c r="M645" s="6" t="str">
        <f>IF($C645="","",SUMIFS(Chicks!$P:$P,Chicks!$F:$F,$C645,Chicks!$G:$G,$D645))</f>
        <v/>
      </c>
      <c r="N645" s="6" t="str">
        <f t="shared" si="10"/>
        <v/>
      </c>
      <c r="O645" s="6" t="e">
        <f t="shared" ca="1" si="11"/>
        <v>#NAME?</v>
      </c>
      <c r="P645" s="6" t="str">
        <f t="shared" si="12"/>
        <v/>
      </c>
    </row>
    <row r="646" spans="3:16" ht="14.25" customHeight="1" x14ac:dyDescent="0.3">
      <c r="C646" s="6" t="str">
        <f t="shared" si="13"/>
        <v/>
      </c>
      <c r="D646" s="6" t="str">
        <f t="shared" si="14"/>
        <v/>
      </c>
      <c r="F646" s="6" t="str">
        <f>IF($C646="","",COUNTIFS(Chicks!$F:$F,$C646,Chicks!$G:$G,$D646))</f>
        <v/>
      </c>
      <c r="G646" s="6" t="str">
        <f>IF($C646="","",COUNTIFS(Chicks!$F:$F,$C646,Chicks!$G:$G,$D646,Chicks!$I:$I,"Yes"))</f>
        <v/>
      </c>
      <c r="H646" s="6" t="str">
        <f>IF($C646="","",SUMIFS(Chicks!$J:$J,Chicks!$F:$F,$C646,Chicks!$G:$G,$D646))</f>
        <v/>
      </c>
      <c r="I646" s="6" t="str">
        <f>IF($C646="","",COUNTIFS(Chicks!$F:$F,$C646,Chicks!$G:$G,$D646,Chicks!$I:$I,"No"))</f>
        <v/>
      </c>
      <c r="J646" s="6" t="str">
        <f>IF($C646="","",IFERROR(AVERAGEIFS(Chicks!$M:$M,Chicks!$F:$F,$C646,Chicks!$G:$G,$D646),""))</f>
        <v/>
      </c>
      <c r="K646" s="6" t="str">
        <f>IF($C646="","",SUMIFS(Chicks!$N:$N,Chicks!$F:$F,$C646,Chicks!$G:$G,$D646))</f>
        <v/>
      </c>
      <c r="L646" s="6" t="str">
        <f>IF($C646="","",SUMIFS(Chicks!$O:$O,Chicks!$F:$F,$C646,Chicks!$G:$G,$D646))</f>
        <v/>
      </c>
      <c r="M646" s="6" t="str">
        <f>IF($C646="","",SUMIFS(Chicks!$P:$P,Chicks!$F:$F,$C646,Chicks!$G:$G,$D646))</f>
        <v/>
      </c>
      <c r="N646" s="6" t="str">
        <f t="shared" si="10"/>
        <v/>
      </c>
      <c r="O646" s="6" t="e">
        <f t="shared" ca="1" si="11"/>
        <v>#NAME?</v>
      </c>
      <c r="P646" s="6" t="str">
        <f t="shared" si="12"/>
        <v/>
      </c>
    </row>
    <row r="647" spans="3:16" ht="14.25" customHeight="1" x14ac:dyDescent="0.3">
      <c r="C647" s="6" t="str">
        <f t="shared" si="13"/>
        <v/>
      </c>
      <c r="D647" s="6" t="str">
        <f t="shared" si="14"/>
        <v/>
      </c>
      <c r="F647" s="6" t="str">
        <f>IF($C647="","",COUNTIFS(Chicks!$F:$F,$C647,Chicks!$G:$G,$D647))</f>
        <v/>
      </c>
      <c r="G647" s="6" t="str">
        <f>IF($C647="","",COUNTIFS(Chicks!$F:$F,$C647,Chicks!$G:$G,$D647,Chicks!$I:$I,"Yes"))</f>
        <v/>
      </c>
      <c r="H647" s="6" t="str">
        <f>IF($C647="","",SUMIFS(Chicks!$J:$J,Chicks!$F:$F,$C647,Chicks!$G:$G,$D647))</f>
        <v/>
      </c>
      <c r="I647" s="6" t="str">
        <f>IF($C647="","",COUNTIFS(Chicks!$F:$F,$C647,Chicks!$G:$G,$D647,Chicks!$I:$I,"No"))</f>
        <v/>
      </c>
      <c r="J647" s="6" t="str">
        <f>IF($C647="","",IFERROR(AVERAGEIFS(Chicks!$M:$M,Chicks!$F:$F,$C647,Chicks!$G:$G,$D647),""))</f>
        <v/>
      </c>
      <c r="K647" s="6" t="str">
        <f>IF($C647="","",SUMIFS(Chicks!$N:$N,Chicks!$F:$F,$C647,Chicks!$G:$G,$D647))</f>
        <v/>
      </c>
      <c r="L647" s="6" t="str">
        <f>IF($C647="","",SUMIFS(Chicks!$O:$O,Chicks!$F:$F,$C647,Chicks!$G:$G,$D647))</f>
        <v/>
      </c>
      <c r="M647" s="6" t="str">
        <f>IF($C647="","",SUMIFS(Chicks!$P:$P,Chicks!$F:$F,$C647,Chicks!$G:$G,$D647))</f>
        <v/>
      </c>
      <c r="N647" s="6" t="str">
        <f t="shared" si="10"/>
        <v/>
      </c>
      <c r="O647" s="6" t="e">
        <f t="shared" ca="1" si="11"/>
        <v>#NAME?</v>
      </c>
      <c r="P647" s="6" t="str">
        <f t="shared" si="12"/>
        <v/>
      </c>
    </row>
    <row r="648" spans="3:16" ht="14.25" customHeight="1" x14ac:dyDescent="0.3">
      <c r="C648" s="6" t="str">
        <f t="shared" si="13"/>
        <v/>
      </c>
      <c r="D648" s="6" t="str">
        <f t="shared" si="14"/>
        <v/>
      </c>
      <c r="F648" s="6" t="str">
        <f>IF($C648="","",COUNTIFS(Chicks!$F:$F,$C648,Chicks!$G:$G,$D648))</f>
        <v/>
      </c>
      <c r="G648" s="6" t="str">
        <f>IF($C648="","",COUNTIFS(Chicks!$F:$F,$C648,Chicks!$G:$G,$D648,Chicks!$I:$I,"Yes"))</f>
        <v/>
      </c>
      <c r="H648" s="6" t="str">
        <f>IF($C648="","",SUMIFS(Chicks!$J:$J,Chicks!$F:$F,$C648,Chicks!$G:$G,$D648))</f>
        <v/>
      </c>
      <c r="I648" s="6" t="str">
        <f>IF($C648="","",COUNTIFS(Chicks!$F:$F,$C648,Chicks!$G:$G,$D648,Chicks!$I:$I,"No"))</f>
        <v/>
      </c>
      <c r="J648" s="6" t="str">
        <f>IF($C648="","",IFERROR(AVERAGEIFS(Chicks!$M:$M,Chicks!$F:$F,$C648,Chicks!$G:$G,$D648),""))</f>
        <v/>
      </c>
      <c r="K648" s="6" t="str">
        <f>IF($C648="","",SUMIFS(Chicks!$N:$N,Chicks!$F:$F,$C648,Chicks!$G:$G,$D648))</f>
        <v/>
      </c>
      <c r="L648" s="6" t="str">
        <f>IF($C648="","",SUMIFS(Chicks!$O:$O,Chicks!$F:$F,$C648,Chicks!$G:$G,$D648))</f>
        <v/>
      </c>
      <c r="M648" s="6" t="str">
        <f>IF($C648="","",SUMIFS(Chicks!$P:$P,Chicks!$F:$F,$C648,Chicks!$G:$G,$D648))</f>
        <v/>
      </c>
      <c r="N648" s="6" t="str">
        <f t="shared" si="10"/>
        <v/>
      </c>
      <c r="O648" s="6" t="e">
        <f t="shared" ca="1" si="11"/>
        <v>#NAME?</v>
      </c>
      <c r="P648" s="6" t="str">
        <f t="shared" si="12"/>
        <v/>
      </c>
    </row>
    <row r="649" spans="3:16" ht="14.25" customHeight="1" x14ac:dyDescent="0.3">
      <c r="C649" s="6" t="str">
        <f t="shared" si="13"/>
        <v/>
      </c>
      <c r="D649" s="6" t="str">
        <f t="shared" si="14"/>
        <v/>
      </c>
      <c r="F649" s="6" t="str">
        <f>IF($C649="","",COUNTIFS(Chicks!$F:$F,$C649,Chicks!$G:$G,$D649))</f>
        <v/>
      </c>
      <c r="G649" s="6" t="str">
        <f>IF($C649="","",COUNTIFS(Chicks!$F:$F,$C649,Chicks!$G:$G,$D649,Chicks!$I:$I,"Yes"))</f>
        <v/>
      </c>
      <c r="H649" s="6" t="str">
        <f>IF($C649="","",SUMIFS(Chicks!$J:$J,Chicks!$F:$F,$C649,Chicks!$G:$G,$D649))</f>
        <v/>
      </c>
      <c r="I649" s="6" t="str">
        <f>IF($C649="","",COUNTIFS(Chicks!$F:$F,$C649,Chicks!$G:$G,$D649,Chicks!$I:$I,"No"))</f>
        <v/>
      </c>
      <c r="J649" s="6" t="str">
        <f>IF($C649="","",IFERROR(AVERAGEIFS(Chicks!$M:$M,Chicks!$F:$F,$C649,Chicks!$G:$G,$D649),""))</f>
        <v/>
      </c>
      <c r="K649" s="6" t="str">
        <f>IF($C649="","",SUMIFS(Chicks!$N:$N,Chicks!$F:$F,$C649,Chicks!$G:$G,$D649))</f>
        <v/>
      </c>
      <c r="L649" s="6" t="str">
        <f>IF($C649="","",SUMIFS(Chicks!$O:$O,Chicks!$F:$F,$C649,Chicks!$G:$G,$D649))</f>
        <v/>
      </c>
      <c r="M649" s="6" t="str">
        <f>IF($C649="","",SUMIFS(Chicks!$P:$P,Chicks!$F:$F,$C649,Chicks!$G:$G,$D649))</f>
        <v/>
      </c>
      <c r="N649" s="6" t="str">
        <f t="shared" si="10"/>
        <v/>
      </c>
      <c r="O649" s="6" t="e">
        <f t="shared" ca="1" si="11"/>
        <v>#NAME?</v>
      </c>
      <c r="P649" s="6" t="str">
        <f t="shared" si="12"/>
        <v/>
      </c>
    </row>
    <row r="650" spans="3:16" ht="14.25" customHeight="1" x14ac:dyDescent="0.3">
      <c r="C650" s="6" t="str">
        <f t="shared" si="13"/>
        <v/>
      </c>
      <c r="D650" s="6" t="str">
        <f t="shared" si="14"/>
        <v/>
      </c>
      <c r="F650" s="6" t="str">
        <f>IF($C650="","",COUNTIFS(Chicks!$F:$F,$C650,Chicks!$G:$G,$D650))</f>
        <v/>
      </c>
      <c r="G650" s="6" t="str">
        <f>IF($C650="","",COUNTIFS(Chicks!$F:$F,$C650,Chicks!$G:$G,$D650,Chicks!$I:$I,"Yes"))</f>
        <v/>
      </c>
      <c r="H650" s="6" t="str">
        <f>IF($C650="","",SUMIFS(Chicks!$J:$J,Chicks!$F:$F,$C650,Chicks!$G:$G,$D650))</f>
        <v/>
      </c>
      <c r="I650" s="6" t="str">
        <f>IF($C650="","",COUNTIFS(Chicks!$F:$F,$C650,Chicks!$G:$G,$D650,Chicks!$I:$I,"No"))</f>
        <v/>
      </c>
      <c r="J650" s="6" t="str">
        <f>IF($C650="","",IFERROR(AVERAGEIFS(Chicks!$M:$M,Chicks!$F:$F,$C650,Chicks!$G:$G,$D650),""))</f>
        <v/>
      </c>
      <c r="K650" s="6" t="str">
        <f>IF($C650="","",SUMIFS(Chicks!$N:$N,Chicks!$F:$F,$C650,Chicks!$G:$G,$D650))</f>
        <v/>
      </c>
      <c r="L650" s="6" t="str">
        <f>IF($C650="","",SUMIFS(Chicks!$O:$O,Chicks!$F:$F,$C650,Chicks!$G:$G,$D650))</f>
        <v/>
      </c>
      <c r="M650" s="6" t="str">
        <f>IF($C650="","",SUMIFS(Chicks!$P:$P,Chicks!$F:$F,$C650,Chicks!$G:$G,$D650))</f>
        <v/>
      </c>
      <c r="N650" s="6" t="str">
        <f t="shared" si="10"/>
        <v/>
      </c>
      <c r="O650" s="6" t="e">
        <f t="shared" ca="1" si="11"/>
        <v>#NAME?</v>
      </c>
      <c r="P650" s="6" t="str">
        <f t="shared" si="12"/>
        <v/>
      </c>
    </row>
    <row r="651" spans="3:16" ht="14.25" customHeight="1" x14ac:dyDescent="0.3">
      <c r="C651" s="6" t="str">
        <f t="shared" si="13"/>
        <v/>
      </c>
      <c r="D651" s="6" t="str">
        <f t="shared" si="14"/>
        <v/>
      </c>
      <c r="F651" s="6" t="str">
        <f>IF($C651="","",COUNTIFS(Chicks!$F:$F,$C651,Chicks!$G:$G,$D651))</f>
        <v/>
      </c>
      <c r="G651" s="6" t="str">
        <f>IF($C651="","",COUNTIFS(Chicks!$F:$F,$C651,Chicks!$G:$G,$D651,Chicks!$I:$I,"Yes"))</f>
        <v/>
      </c>
      <c r="H651" s="6" t="str">
        <f>IF($C651="","",SUMIFS(Chicks!$J:$J,Chicks!$F:$F,$C651,Chicks!$G:$G,$D651))</f>
        <v/>
      </c>
      <c r="I651" s="6" t="str">
        <f>IF($C651="","",COUNTIFS(Chicks!$F:$F,$C651,Chicks!$G:$G,$D651,Chicks!$I:$I,"No"))</f>
        <v/>
      </c>
      <c r="J651" s="6" t="str">
        <f>IF($C651="","",IFERROR(AVERAGEIFS(Chicks!$M:$M,Chicks!$F:$F,$C651,Chicks!$G:$G,$D651),""))</f>
        <v/>
      </c>
      <c r="K651" s="6" t="str">
        <f>IF($C651="","",SUMIFS(Chicks!$N:$N,Chicks!$F:$F,$C651,Chicks!$G:$G,$D651))</f>
        <v/>
      </c>
      <c r="L651" s="6" t="str">
        <f>IF($C651="","",SUMIFS(Chicks!$O:$O,Chicks!$F:$F,$C651,Chicks!$G:$G,$D651))</f>
        <v/>
      </c>
      <c r="M651" s="6" t="str">
        <f>IF($C651="","",SUMIFS(Chicks!$P:$P,Chicks!$F:$F,$C651,Chicks!$G:$G,$D651))</f>
        <v/>
      </c>
      <c r="N651" s="6" t="str">
        <f t="shared" si="10"/>
        <v/>
      </c>
      <c r="O651" s="6" t="e">
        <f t="shared" ca="1" si="11"/>
        <v>#NAME?</v>
      </c>
      <c r="P651" s="6" t="str">
        <f t="shared" si="12"/>
        <v/>
      </c>
    </row>
    <row r="652" spans="3:16" ht="14.25" customHeight="1" x14ac:dyDescent="0.3">
      <c r="C652" s="6" t="str">
        <f t="shared" si="13"/>
        <v/>
      </c>
      <c r="D652" s="6" t="str">
        <f t="shared" si="14"/>
        <v/>
      </c>
      <c r="F652" s="6" t="str">
        <f>IF($C652="","",COUNTIFS(Chicks!$F:$F,$C652,Chicks!$G:$G,$D652))</f>
        <v/>
      </c>
      <c r="G652" s="6" t="str">
        <f>IF($C652="","",COUNTIFS(Chicks!$F:$F,$C652,Chicks!$G:$G,$D652,Chicks!$I:$I,"Yes"))</f>
        <v/>
      </c>
      <c r="H652" s="6" t="str">
        <f>IF($C652="","",SUMIFS(Chicks!$J:$J,Chicks!$F:$F,$C652,Chicks!$G:$G,$D652))</f>
        <v/>
      </c>
      <c r="I652" s="6" t="str">
        <f>IF($C652="","",COUNTIFS(Chicks!$F:$F,$C652,Chicks!$G:$G,$D652,Chicks!$I:$I,"No"))</f>
        <v/>
      </c>
      <c r="J652" s="6" t="str">
        <f>IF($C652="","",IFERROR(AVERAGEIFS(Chicks!$M:$M,Chicks!$F:$F,$C652,Chicks!$G:$G,$D652),""))</f>
        <v/>
      </c>
      <c r="K652" s="6" t="str">
        <f>IF($C652="","",SUMIFS(Chicks!$N:$N,Chicks!$F:$F,$C652,Chicks!$G:$G,$D652))</f>
        <v/>
      </c>
      <c r="L652" s="6" t="str">
        <f>IF($C652="","",SUMIFS(Chicks!$O:$O,Chicks!$F:$F,$C652,Chicks!$G:$G,$D652))</f>
        <v/>
      </c>
      <c r="M652" s="6" t="str">
        <f>IF($C652="","",SUMIFS(Chicks!$P:$P,Chicks!$F:$F,$C652,Chicks!$G:$G,$D652))</f>
        <v/>
      </c>
      <c r="N652" s="6" t="str">
        <f t="shared" si="10"/>
        <v/>
      </c>
      <c r="O652" s="6" t="e">
        <f t="shared" ca="1" si="11"/>
        <v>#NAME?</v>
      </c>
      <c r="P652" s="6" t="str">
        <f t="shared" si="12"/>
        <v/>
      </c>
    </row>
    <row r="653" spans="3:16" ht="14.25" customHeight="1" x14ac:dyDescent="0.3">
      <c r="C653" s="6" t="str">
        <f t="shared" si="13"/>
        <v/>
      </c>
      <c r="D653" s="6" t="str">
        <f t="shared" si="14"/>
        <v/>
      </c>
      <c r="F653" s="6" t="str">
        <f>IF($C653="","",COUNTIFS(Chicks!$F:$F,$C653,Chicks!$G:$G,$D653))</f>
        <v/>
      </c>
      <c r="G653" s="6" t="str">
        <f>IF($C653="","",COUNTIFS(Chicks!$F:$F,$C653,Chicks!$G:$G,$D653,Chicks!$I:$I,"Yes"))</f>
        <v/>
      </c>
      <c r="H653" s="6" t="str">
        <f>IF($C653="","",SUMIFS(Chicks!$J:$J,Chicks!$F:$F,$C653,Chicks!$G:$G,$D653))</f>
        <v/>
      </c>
      <c r="I653" s="6" t="str">
        <f>IF($C653="","",COUNTIFS(Chicks!$F:$F,$C653,Chicks!$G:$G,$D653,Chicks!$I:$I,"No"))</f>
        <v/>
      </c>
      <c r="J653" s="6" t="str">
        <f>IF($C653="","",IFERROR(AVERAGEIFS(Chicks!$M:$M,Chicks!$F:$F,$C653,Chicks!$G:$G,$D653),""))</f>
        <v/>
      </c>
      <c r="K653" s="6" t="str">
        <f>IF($C653="","",SUMIFS(Chicks!$N:$N,Chicks!$F:$F,$C653,Chicks!$G:$G,$D653))</f>
        <v/>
      </c>
      <c r="L653" s="6" t="str">
        <f>IF($C653="","",SUMIFS(Chicks!$O:$O,Chicks!$F:$F,$C653,Chicks!$G:$G,$D653))</f>
        <v/>
      </c>
      <c r="M653" s="6" t="str">
        <f>IF($C653="","",SUMIFS(Chicks!$P:$P,Chicks!$F:$F,$C653,Chicks!$G:$G,$D653))</f>
        <v/>
      </c>
      <c r="N653" s="6" t="str">
        <f t="shared" si="10"/>
        <v/>
      </c>
      <c r="O653" s="6" t="e">
        <f t="shared" ca="1" si="11"/>
        <v>#NAME?</v>
      </c>
      <c r="P653" s="6" t="str">
        <f t="shared" si="12"/>
        <v/>
      </c>
    </row>
    <row r="654" spans="3:16" ht="14.25" customHeight="1" x14ac:dyDescent="0.3">
      <c r="C654" s="6" t="str">
        <f t="shared" si="13"/>
        <v/>
      </c>
      <c r="D654" s="6" t="str">
        <f t="shared" si="14"/>
        <v/>
      </c>
      <c r="F654" s="6" t="str">
        <f>IF($C654="","",COUNTIFS(Chicks!$F:$F,$C654,Chicks!$G:$G,$D654))</f>
        <v/>
      </c>
      <c r="G654" s="6" t="str">
        <f>IF($C654="","",COUNTIFS(Chicks!$F:$F,$C654,Chicks!$G:$G,$D654,Chicks!$I:$I,"Yes"))</f>
        <v/>
      </c>
      <c r="H654" s="6" t="str">
        <f>IF($C654="","",SUMIFS(Chicks!$J:$J,Chicks!$F:$F,$C654,Chicks!$G:$G,$D654))</f>
        <v/>
      </c>
      <c r="I654" s="6" t="str">
        <f>IF($C654="","",COUNTIFS(Chicks!$F:$F,$C654,Chicks!$G:$G,$D654,Chicks!$I:$I,"No"))</f>
        <v/>
      </c>
      <c r="J654" s="6" t="str">
        <f>IF($C654="","",IFERROR(AVERAGEIFS(Chicks!$M:$M,Chicks!$F:$F,$C654,Chicks!$G:$G,$D654),""))</f>
        <v/>
      </c>
      <c r="K654" s="6" t="str">
        <f>IF($C654="","",SUMIFS(Chicks!$N:$N,Chicks!$F:$F,$C654,Chicks!$G:$G,$D654))</f>
        <v/>
      </c>
      <c r="L654" s="6" t="str">
        <f>IF($C654="","",SUMIFS(Chicks!$O:$O,Chicks!$F:$F,$C654,Chicks!$G:$G,$D654))</f>
        <v/>
      </c>
      <c r="M654" s="6" t="str">
        <f>IF($C654="","",SUMIFS(Chicks!$P:$P,Chicks!$F:$F,$C654,Chicks!$G:$G,$D654))</f>
        <v/>
      </c>
      <c r="N654" s="6" t="str">
        <f t="shared" si="10"/>
        <v/>
      </c>
      <c r="O654" s="6" t="e">
        <f t="shared" ca="1" si="11"/>
        <v>#NAME?</v>
      </c>
      <c r="P654" s="6" t="str">
        <f t="shared" si="12"/>
        <v/>
      </c>
    </row>
    <row r="655" spans="3:16" ht="14.25" customHeight="1" x14ac:dyDescent="0.3">
      <c r="C655" s="6" t="str">
        <f t="shared" si="13"/>
        <v/>
      </c>
      <c r="D655" s="6" t="str">
        <f t="shared" si="14"/>
        <v/>
      </c>
      <c r="F655" s="6" t="str">
        <f>IF($C655="","",COUNTIFS(Chicks!$F:$F,$C655,Chicks!$G:$G,$D655))</f>
        <v/>
      </c>
      <c r="G655" s="6" t="str">
        <f>IF($C655="","",COUNTIFS(Chicks!$F:$F,$C655,Chicks!$G:$G,$D655,Chicks!$I:$I,"Yes"))</f>
        <v/>
      </c>
      <c r="H655" s="6" t="str">
        <f>IF($C655="","",SUMIFS(Chicks!$J:$J,Chicks!$F:$F,$C655,Chicks!$G:$G,$D655))</f>
        <v/>
      </c>
      <c r="I655" s="6" t="str">
        <f>IF($C655="","",COUNTIFS(Chicks!$F:$F,$C655,Chicks!$G:$G,$D655,Chicks!$I:$I,"No"))</f>
        <v/>
      </c>
      <c r="J655" s="6" t="str">
        <f>IF($C655="","",IFERROR(AVERAGEIFS(Chicks!$M:$M,Chicks!$F:$F,$C655,Chicks!$G:$G,$D655),""))</f>
        <v/>
      </c>
      <c r="K655" s="6" t="str">
        <f>IF($C655="","",SUMIFS(Chicks!$N:$N,Chicks!$F:$F,$C655,Chicks!$G:$G,$D655))</f>
        <v/>
      </c>
      <c r="L655" s="6" t="str">
        <f>IF($C655="","",SUMIFS(Chicks!$O:$O,Chicks!$F:$F,$C655,Chicks!$G:$G,$D655))</f>
        <v/>
      </c>
      <c r="M655" s="6" t="str">
        <f>IF($C655="","",SUMIFS(Chicks!$P:$P,Chicks!$F:$F,$C655,Chicks!$G:$G,$D655))</f>
        <v/>
      </c>
      <c r="N655" s="6" t="str">
        <f t="shared" si="10"/>
        <v/>
      </c>
      <c r="O655" s="6" t="e">
        <f t="shared" ca="1" si="11"/>
        <v>#NAME?</v>
      </c>
      <c r="P655" s="6" t="str">
        <f t="shared" si="12"/>
        <v/>
      </c>
    </row>
    <row r="656" spans="3:16" ht="14.25" customHeight="1" x14ac:dyDescent="0.3">
      <c r="C656" s="6" t="str">
        <f t="shared" si="13"/>
        <v/>
      </c>
      <c r="D656" s="6" t="str">
        <f t="shared" si="14"/>
        <v/>
      </c>
      <c r="F656" s="6" t="str">
        <f>IF($C656="","",COUNTIFS(Chicks!$F:$F,$C656,Chicks!$G:$G,$D656))</f>
        <v/>
      </c>
      <c r="G656" s="6" t="str">
        <f>IF($C656="","",COUNTIFS(Chicks!$F:$F,$C656,Chicks!$G:$G,$D656,Chicks!$I:$I,"Yes"))</f>
        <v/>
      </c>
      <c r="H656" s="6" t="str">
        <f>IF($C656="","",SUMIFS(Chicks!$J:$J,Chicks!$F:$F,$C656,Chicks!$G:$G,$D656))</f>
        <v/>
      </c>
      <c r="I656" s="6" t="str">
        <f>IF($C656="","",COUNTIFS(Chicks!$F:$F,$C656,Chicks!$G:$G,$D656,Chicks!$I:$I,"No"))</f>
        <v/>
      </c>
      <c r="J656" s="6" t="str">
        <f>IF($C656="","",IFERROR(AVERAGEIFS(Chicks!$M:$M,Chicks!$F:$F,$C656,Chicks!$G:$G,$D656),""))</f>
        <v/>
      </c>
      <c r="K656" s="6" t="str">
        <f>IF($C656="","",SUMIFS(Chicks!$N:$N,Chicks!$F:$F,$C656,Chicks!$G:$G,$D656))</f>
        <v/>
      </c>
      <c r="L656" s="6" t="str">
        <f>IF($C656="","",SUMIFS(Chicks!$O:$O,Chicks!$F:$F,$C656,Chicks!$G:$G,$D656))</f>
        <v/>
      </c>
      <c r="M656" s="6" t="str">
        <f>IF($C656="","",SUMIFS(Chicks!$P:$P,Chicks!$F:$F,$C656,Chicks!$G:$G,$D656))</f>
        <v/>
      </c>
      <c r="N656" s="6" t="str">
        <f t="shared" si="10"/>
        <v/>
      </c>
      <c r="O656" s="6" t="e">
        <f t="shared" ca="1" si="11"/>
        <v>#NAME?</v>
      </c>
      <c r="P656" s="6" t="str">
        <f t="shared" si="12"/>
        <v/>
      </c>
    </row>
    <row r="657" spans="3:16" ht="14.25" customHeight="1" x14ac:dyDescent="0.3">
      <c r="C657" s="6" t="str">
        <f t="shared" si="13"/>
        <v/>
      </c>
      <c r="D657" s="6" t="str">
        <f t="shared" si="14"/>
        <v/>
      </c>
      <c r="F657" s="6" t="str">
        <f>IF($C657="","",COUNTIFS(Chicks!$F:$F,$C657,Chicks!$G:$G,$D657))</f>
        <v/>
      </c>
      <c r="G657" s="6" t="str">
        <f>IF($C657="","",COUNTIFS(Chicks!$F:$F,$C657,Chicks!$G:$G,$D657,Chicks!$I:$I,"Yes"))</f>
        <v/>
      </c>
      <c r="H657" s="6" t="str">
        <f>IF($C657="","",SUMIFS(Chicks!$J:$J,Chicks!$F:$F,$C657,Chicks!$G:$G,$D657))</f>
        <v/>
      </c>
      <c r="I657" s="6" t="str">
        <f>IF($C657="","",COUNTIFS(Chicks!$F:$F,$C657,Chicks!$G:$G,$D657,Chicks!$I:$I,"No"))</f>
        <v/>
      </c>
      <c r="J657" s="6" t="str">
        <f>IF($C657="","",IFERROR(AVERAGEIFS(Chicks!$M:$M,Chicks!$F:$F,$C657,Chicks!$G:$G,$D657),""))</f>
        <v/>
      </c>
      <c r="K657" s="6" t="str">
        <f>IF($C657="","",SUMIFS(Chicks!$N:$N,Chicks!$F:$F,$C657,Chicks!$G:$G,$D657))</f>
        <v/>
      </c>
      <c r="L657" s="6" t="str">
        <f>IF($C657="","",SUMIFS(Chicks!$O:$O,Chicks!$F:$F,$C657,Chicks!$G:$G,$D657))</f>
        <v/>
      </c>
      <c r="M657" s="6" t="str">
        <f>IF($C657="","",SUMIFS(Chicks!$P:$P,Chicks!$F:$F,$C657,Chicks!$G:$G,$D657))</f>
        <v/>
      </c>
      <c r="N657" s="6" t="str">
        <f t="shared" si="10"/>
        <v/>
      </c>
      <c r="O657" s="6" t="e">
        <f t="shared" ca="1" si="11"/>
        <v>#NAME?</v>
      </c>
      <c r="P657" s="6" t="str">
        <f t="shared" si="12"/>
        <v/>
      </c>
    </row>
    <row r="658" spans="3:16" ht="14.25" customHeight="1" x14ac:dyDescent="0.3">
      <c r="C658" s="6" t="str">
        <f t="shared" si="13"/>
        <v/>
      </c>
      <c r="D658" s="6" t="str">
        <f t="shared" si="14"/>
        <v/>
      </c>
      <c r="F658" s="6" t="str">
        <f>IF($C658="","",COUNTIFS(Chicks!$F:$F,$C658,Chicks!$G:$G,$D658))</f>
        <v/>
      </c>
      <c r="G658" s="6" t="str">
        <f>IF($C658="","",COUNTIFS(Chicks!$F:$F,$C658,Chicks!$G:$G,$D658,Chicks!$I:$I,"Yes"))</f>
        <v/>
      </c>
      <c r="H658" s="6" t="str">
        <f>IF($C658="","",SUMIFS(Chicks!$J:$J,Chicks!$F:$F,$C658,Chicks!$G:$G,$D658))</f>
        <v/>
      </c>
      <c r="I658" s="6" t="str">
        <f>IF($C658="","",COUNTIFS(Chicks!$F:$F,$C658,Chicks!$G:$G,$D658,Chicks!$I:$I,"No"))</f>
        <v/>
      </c>
      <c r="J658" s="6" t="str">
        <f>IF($C658="","",IFERROR(AVERAGEIFS(Chicks!$M:$M,Chicks!$F:$F,$C658,Chicks!$G:$G,$D658),""))</f>
        <v/>
      </c>
      <c r="K658" s="6" t="str">
        <f>IF($C658="","",SUMIFS(Chicks!$N:$N,Chicks!$F:$F,$C658,Chicks!$G:$G,$D658))</f>
        <v/>
      </c>
      <c r="L658" s="6" t="str">
        <f>IF($C658="","",SUMIFS(Chicks!$O:$O,Chicks!$F:$F,$C658,Chicks!$G:$G,$D658))</f>
        <v/>
      </c>
      <c r="M658" s="6" t="str">
        <f>IF($C658="","",SUMIFS(Chicks!$P:$P,Chicks!$F:$F,$C658,Chicks!$G:$G,$D658))</f>
        <v/>
      </c>
      <c r="N658" s="6" t="str">
        <f t="shared" si="10"/>
        <v/>
      </c>
      <c r="O658" s="6" t="e">
        <f t="shared" ca="1" si="11"/>
        <v>#NAME?</v>
      </c>
      <c r="P658" s="6" t="str">
        <f t="shared" si="12"/>
        <v/>
      </c>
    </row>
    <row r="659" spans="3:16" ht="14.25" customHeight="1" x14ac:dyDescent="0.3">
      <c r="C659" s="6" t="str">
        <f t="shared" si="13"/>
        <v/>
      </c>
      <c r="D659" s="6" t="str">
        <f t="shared" si="14"/>
        <v/>
      </c>
      <c r="F659" s="6" t="str">
        <f>IF($C659="","",COUNTIFS(Chicks!$F:$F,$C659,Chicks!$G:$G,$D659))</f>
        <v/>
      </c>
      <c r="G659" s="6" t="str">
        <f>IF($C659="","",COUNTIFS(Chicks!$F:$F,$C659,Chicks!$G:$G,$D659,Chicks!$I:$I,"Yes"))</f>
        <v/>
      </c>
      <c r="H659" s="6" t="str">
        <f>IF($C659="","",SUMIFS(Chicks!$J:$J,Chicks!$F:$F,$C659,Chicks!$G:$G,$D659))</f>
        <v/>
      </c>
      <c r="I659" s="6" t="str">
        <f>IF($C659="","",COUNTIFS(Chicks!$F:$F,$C659,Chicks!$G:$G,$D659,Chicks!$I:$I,"No"))</f>
        <v/>
      </c>
      <c r="J659" s="6" t="str">
        <f>IF($C659="","",IFERROR(AVERAGEIFS(Chicks!$M:$M,Chicks!$F:$F,$C659,Chicks!$G:$G,$D659),""))</f>
        <v/>
      </c>
      <c r="K659" s="6" t="str">
        <f>IF($C659="","",SUMIFS(Chicks!$N:$N,Chicks!$F:$F,$C659,Chicks!$G:$G,$D659))</f>
        <v/>
      </c>
      <c r="L659" s="6" t="str">
        <f>IF($C659="","",SUMIFS(Chicks!$O:$O,Chicks!$F:$F,$C659,Chicks!$G:$G,$D659))</f>
        <v/>
      </c>
      <c r="M659" s="6" t="str">
        <f>IF($C659="","",SUMIFS(Chicks!$P:$P,Chicks!$F:$F,$C659,Chicks!$G:$G,$D659))</f>
        <v/>
      </c>
      <c r="N659" s="6" t="str">
        <f t="shared" si="10"/>
        <v/>
      </c>
      <c r="O659" s="6" t="e">
        <f t="shared" ca="1" si="11"/>
        <v>#NAME?</v>
      </c>
      <c r="P659" s="6" t="str">
        <f t="shared" si="12"/>
        <v/>
      </c>
    </row>
    <row r="660" spans="3:16" ht="14.25" customHeight="1" x14ac:dyDescent="0.3">
      <c r="C660" s="6" t="str">
        <f t="shared" si="13"/>
        <v/>
      </c>
      <c r="D660" s="6" t="str">
        <f t="shared" si="14"/>
        <v/>
      </c>
      <c r="F660" s="6" t="str">
        <f>IF($C660="","",COUNTIFS(Chicks!$F:$F,$C660,Chicks!$G:$G,$D660))</f>
        <v/>
      </c>
      <c r="G660" s="6" t="str">
        <f>IF($C660="","",COUNTIFS(Chicks!$F:$F,$C660,Chicks!$G:$G,$D660,Chicks!$I:$I,"Yes"))</f>
        <v/>
      </c>
      <c r="H660" s="6" t="str">
        <f>IF($C660="","",SUMIFS(Chicks!$J:$J,Chicks!$F:$F,$C660,Chicks!$G:$G,$D660))</f>
        <v/>
      </c>
      <c r="I660" s="6" t="str">
        <f>IF($C660="","",COUNTIFS(Chicks!$F:$F,$C660,Chicks!$G:$G,$D660,Chicks!$I:$I,"No"))</f>
        <v/>
      </c>
      <c r="J660" s="6" t="str">
        <f>IF($C660="","",IFERROR(AVERAGEIFS(Chicks!$M:$M,Chicks!$F:$F,$C660,Chicks!$G:$G,$D660),""))</f>
        <v/>
      </c>
      <c r="K660" s="6" t="str">
        <f>IF($C660="","",SUMIFS(Chicks!$N:$N,Chicks!$F:$F,$C660,Chicks!$G:$G,$D660))</f>
        <v/>
      </c>
      <c r="L660" s="6" t="str">
        <f>IF($C660="","",SUMIFS(Chicks!$O:$O,Chicks!$F:$F,$C660,Chicks!$G:$G,$D660))</f>
        <v/>
      </c>
      <c r="M660" s="6" t="str">
        <f>IF($C660="","",SUMIFS(Chicks!$P:$P,Chicks!$F:$F,$C660,Chicks!$G:$G,$D660))</f>
        <v/>
      </c>
      <c r="N660" s="6" t="str">
        <f t="shared" si="10"/>
        <v/>
      </c>
      <c r="O660" s="6" t="e">
        <f t="shared" ca="1" si="11"/>
        <v>#NAME?</v>
      </c>
      <c r="P660" s="6" t="str">
        <f t="shared" si="12"/>
        <v/>
      </c>
    </row>
    <row r="661" spans="3:16" ht="14.25" customHeight="1" x14ac:dyDescent="0.3">
      <c r="C661" s="6" t="str">
        <f t="shared" si="13"/>
        <v/>
      </c>
      <c r="D661" s="6" t="str">
        <f t="shared" si="14"/>
        <v/>
      </c>
      <c r="F661" s="6" t="str">
        <f>IF($C661="","",COUNTIFS(Chicks!$F:$F,$C661,Chicks!$G:$G,$D661))</f>
        <v/>
      </c>
      <c r="G661" s="6" t="str">
        <f>IF($C661="","",COUNTIFS(Chicks!$F:$F,$C661,Chicks!$G:$G,$D661,Chicks!$I:$I,"Yes"))</f>
        <v/>
      </c>
      <c r="H661" s="6" t="str">
        <f>IF($C661="","",SUMIFS(Chicks!$J:$J,Chicks!$F:$F,$C661,Chicks!$G:$G,$D661))</f>
        <v/>
      </c>
      <c r="I661" s="6" t="str">
        <f>IF($C661="","",COUNTIFS(Chicks!$F:$F,$C661,Chicks!$G:$G,$D661,Chicks!$I:$I,"No"))</f>
        <v/>
      </c>
      <c r="J661" s="6" t="str">
        <f>IF($C661="","",IFERROR(AVERAGEIFS(Chicks!$M:$M,Chicks!$F:$F,$C661,Chicks!$G:$G,$D661),""))</f>
        <v/>
      </c>
      <c r="K661" s="6" t="str">
        <f>IF($C661="","",SUMIFS(Chicks!$N:$N,Chicks!$F:$F,$C661,Chicks!$G:$G,$D661))</f>
        <v/>
      </c>
      <c r="L661" s="6" t="str">
        <f>IF($C661="","",SUMIFS(Chicks!$O:$O,Chicks!$F:$F,$C661,Chicks!$G:$G,$D661))</f>
        <v/>
      </c>
      <c r="M661" s="6" t="str">
        <f>IF($C661="","",SUMIFS(Chicks!$P:$P,Chicks!$F:$F,$C661,Chicks!$G:$G,$D661))</f>
        <v/>
      </c>
      <c r="N661" s="6" t="str">
        <f t="shared" si="10"/>
        <v/>
      </c>
      <c r="O661" s="6" t="e">
        <f t="shared" ca="1" si="11"/>
        <v>#NAME?</v>
      </c>
      <c r="P661" s="6" t="str">
        <f t="shared" si="12"/>
        <v/>
      </c>
    </row>
    <row r="662" spans="3:16" ht="14.25" customHeight="1" x14ac:dyDescent="0.3">
      <c r="C662" s="6" t="str">
        <f t="shared" si="13"/>
        <v/>
      </c>
      <c r="D662" s="6" t="str">
        <f t="shared" si="14"/>
        <v/>
      </c>
      <c r="F662" s="6" t="str">
        <f>IF($C662="","",COUNTIFS(Chicks!$F:$F,$C662,Chicks!$G:$G,$D662))</f>
        <v/>
      </c>
      <c r="G662" s="6" t="str">
        <f>IF($C662="","",COUNTIFS(Chicks!$F:$F,$C662,Chicks!$G:$G,$D662,Chicks!$I:$I,"Yes"))</f>
        <v/>
      </c>
      <c r="H662" s="6" t="str">
        <f>IF($C662="","",SUMIFS(Chicks!$J:$J,Chicks!$F:$F,$C662,Chicks!$G:$G,$D662))</f>
        <v/>
      </c>
      <c r="I662" s="6" t="str">
        <f>IF($C662="","",COUNTIFS(Chicks!$F:$F,$C662,Chicks!$G:$G,$D662,Chicks!$I:$I,"No"))</f>
        <v/>
      </c>
      <c r="J662" s="6" t="str">
        <f>IF($C662="","",IFERROR(AVERAGEIFS(Chicks!$M:$M,Chicks!$F:$F,$C662,Chicks!$G:$G,$D662),""))</f>
        <v/>
      </c>
      <c r="K662" s="6" t="str">
        <f>IF($C662="","",SUMIFS(Chicks!$N:$N,Chicks!$F:$F,$C662,Chicks!$G:$G,$D662))</f>
        <v/>
      </c>
      <c r="L662" s="6" t="str">
        <f>IF($C662="","",SUMIFS(Chicks!$O:$O,Chicks!$F:$F,$C662,Chicks!$G:$G,$D662))</f>
        <v/>
      </c>
      <c r="M662" s="6" t="str">
        <f>IF($C662="","",SUMIFS(Chicks!$P:$P,Chicks!$F:$F,$C662,Chicks!$G:$G,$D662))</f>
        <v/>
      </c>
      <c r="N662" s="6" t="str">
        <f t="shared" si="10"/>
        <v/>
      </c>
      <c r="O662" s="6" t="e">
        <f t="shared" ca="1" si="11"/>
        <v>#NAME?</v>
      </c>
      <c r="P662" s="6" t="str">
        <f t="shared" si="12"/>
        <v/>
      </c>
    </row>
    <row r="663" spans="3:16" ht="14.25" customHeight="1" x14ac:dyDescent="0.3">
      <c r="C663" s="6" t="str">
        <f t="shared" si="13"/>
        <v/>
      </c>
      <c r="D663" s="6" t="str">
        <f t="shared" si="14"/>
        <v/>
      </c>
      <c r="F663" s="6" t="str">
        <f>IF($C663="","",COUNTIFS(Chicks!$F:$F,$C663,Chicks!$G:$G,$D663))</f>
        <v/>
      </c>
      <c r="G663" s="6" t="str">
        <f>IF($C663="","",COUNTIFS(Chicks!$F:$F,$C663,Chicks!$G:$G,$D663,Chicks!$I:$I,"Yes"))</f>
        <v/>
      </c>
      <c r="H663" s="6" t="str">
        <f>IF($C663="","",SUMIFS(Chicks!$J:$J,Chicks!$F:$F,$C663,Chicks!$G:$G,$D663))</f>
        <v/>
      </c>
      <c r="I663" s="6" t="str">
        <f>IF($C663="","",COUNTIFS(Chicks!$F:$F,$C663,Chicks!$G:$G,$D663,Chicks!$I:$I,"No"))</f>
        <v/>
      </c>
      <c r="J663" s="6" t="str">
        <f>IF($C663="","",IFERROR(AVERAGEIFS(Chicks!$M:$M,Chicks!$F:$F,$C663,Chicks!$G:$G,$D663),""))</f>
        <v/>
      </c>
      <c r="K663" s="6" t="str">
        <f>IF($C663="","",SUMIFS(Chicks!$N:$N,Chicks!$F:$F,$C663,Chicks!$G:$G,$D663))</f>
        <v/>
      </c>
      <c r="L663" s="6" t="str">
        <f>IF($C663="","",SUMIFS(Chicks!$O:$O,Chicks!$F:$F,$C663,Chicks!$G:$G,$D663))</f>
        <v/>
      </c>
      <c r="M663" s="6" t="str">
        <f>IF($C663="","",SUMIFS(Chicks!$P:$P,Chicks!$F:$F,$C663,Chicks!$G:$G,$D663))</f>
        <v/>
      </c>
      <c r="N663" s="6" t="str">
        <f t="shared" si="10"/>
        <v/>
      </c>
      <c r="O663" s="6" t="e">
        <f t="shared" ca="1" si="11"/>
        <v>#NAME?</v>
      </c>
      <c r="P663" s="6" t="str">
        <f t="shared" si="12"/>
        <v/>
      </c>
    </row>
    <row r="664" spans="3:16" ht="14.25" customHeight="1" x14ac:dyDescent="0.3">
      <c r="C664" s="6" t="str">
        <f t="shared" si="13"/>
        <v/>
      </c>
      <c r="D664" s="6" t="str">
        <f t="shared" si="14"/>
        <v/>
      </c>
      <c r="F664" s="6" t="str">
        <f>IF($C664="","",COUNTIFS(Chicks!$F:$F,$C664,Chicks!$G:$G,$D664))</f>
        <v/>
      </c>
      <c r="G664" s="6" t="str">
        <f>IF($C664="","",COUNTIFS(Chicks!$F:$F,$C664,Chicks!$G:$G,$D664,Chicks!$I:$I,"Yes"))</f>
        <v/>
      </c>
      <c r="H664" s="6" t="str">
        <f>IF($C664="","",SUMIFS(Chicks!$J:$J,Chicks!$F:$F,$C664,Chicks!$G:$G,$D664))</f>
        <v/>
      </c>
      <c r="I664" s="6" t="str">
        <f>IF($C664="","",COUNTIFS(Chicks!$F:$F,$C664,Chicks!$G:$G,$D664,Chicks!$I:$I,"No"))</f>
        <v/>
      </c>
      <c r="J664" s="6" t="str">
        <f>IF($C664="","",IFERROR(AVERAGEIFS(Chicks!$M:$M,Chicks!$F:$F,$C664,Chicks!$G:$G,$D664),""))</f>
        <v/>
      </c>
      <c r="K664" s="6" t="str">
        <f>IF($C664="","",SUMIFS(Chicks!$N:$N,Chicks!$F:$F,$C664,Chicks!$G:$G,$D664))</f>
        <v/>
      </c>
      <c r="L664" s="6" t="str">
        <f>IF($C664="","",SUMIFS(Chicks!$O:$O,Chicks!$F:$F,$C664,Chicks!$G:$G,$D664))</f>
        <v/>
      </c>
      <c r="M664" s="6" t="str">
        <f>IF($C664="","",SUMIFS(Chicks!$P:$P,Chicks!$F:$F,$C664,Chicks!$G:$G,$D664))</f>
        <v/>
      </c>
      <c r="N664" s="6" t="str">
        <f t="shared" si="10"/>
        <v/>
      </c>
      <c r="O664" s="6" t="e">
        <f t="shared" ca="1" si="11"/>
        <v>#NAME?</v>
      </c>
      <c r="P664" s="6" t="str">
        <f t="shared" si="12"/>
        <v/>
      </c>
    </row>
    <row r="665" spans="3:16" ht="14.25" customHeight="1" x14ac:dyDescent="0.3">
      <c r="C665" s="6" t="str">
        <f t="shared" si="13"/>
        <v/>
      </c>
      <c r="D665" s="6" t="str">
        <f t="shared" si="14"/>
        <v/>
      </c>
      <c r="F665" s="6" t="str">
        <f>IF($C665="","",COUNTIFS(Chicks!$F:$F,$C665,Chicks!$G:$G,$D665))</f>
        <v/>
      </c>
      <c r="G665" s="6" t="str">
        <f>IF($C665="","",COUNTIFS(Chicks!$F:$F,$C665,Chicks!$G:$G,$D665,Chicks!$I:$I,"Yes"))</f>
        <v/>
      </c>
      <c r="H665" s="6" t="str">
        <f>IF($C665="","",SUMIFS(Chicks!$J:$J,Chicks!$F:$F,$C665,Chicks!$G:$G,$D665))</f>
        <v/>
      </c>
      <c r="I665" s="6" t="str">
        <f>IF($C665="","",COUNTIFS(Chicks!$F:$F,$C665,Chicks!$G:$G,$D665,Chicks!$I:$I,"No"))</f>
        <v/>
      </c>
      <c r="J665" s="6" t="str">
        <f>IF($C665="","",IFERROR(AVERAGEIFS(Chicks!$M:$M,Chicks!$F:$F,$C665,Chicks!$G:$G,$D665),""))</f>
        <v/>
      </c>
      <c r="K665" s="6" t="str">
        <f>IF($C665="","",SUMIFS(Chicks!$N:$N,Chicks!$F:$F,$C665,Chicks!$G:$G,$D665))</f>
        <v/>
      </c>
      <c r="L665" s="6" t="str">
        <f>IF($C665="","",SUMIFS(Chicks!$O:$O,Chicks!$F:$F,$C665,Chicks!$G:$G,$D665))</f>
        <v/>
      </c>
      <c r="M665" s="6" t="str">
        <f>IF($C665="","",SUMIFS(Chicks!$P:$P,Chicks!$F:$F,$C665,Chicks!$G:$G,$D665))</f>
        <v/>
      </c>
      <c r="N665" s="6" t="str">
        <f t="shared" si="10"/>
        <v/>
      </c>
      <c r="O665" s="6" t="e">
        <f t="shared" ca="1" si="11"/>
        <v>#NAME?</v>
      </c>
      <c r="P665" s="6" t="str">
        <f t="shared" si="12"/>
        <v/>
      </c>
    </row>
    <row r="666" spans="3:16" ht="14.25" customHeight="1" x14ac:dyDescent="0.3">
      <c r="C666" s="6" t="str">
        <f t="shared" si="13"/>
        <v/>
      </c>
      <c r="D666" s="6" t="str">
        <f t="shared" si="14"/>
        <v/>
      </c>
      <c r="F666" s="6" t="str">
        <f>IF($C666="","",COUNTIFS(Chicks!$F:$F,$C666,Chicks!$G:$G,$D666))</f>
        <v/>
      </c>
      <c r="G666" s="6" t="str">
        <f>IF($C666="","",COUNTIFS(Chicks!$F:$F,$C666,Chicks!$G:$G,$D666,Chicks!$I:$I,"Yes"))</f>
        <v/>
      </c>
      <c r="H666" s="6" t="str">
        <f>IF($C666="","",SUMIFS(Chicks!$J:$J,Chicks!$F:$F,$C666,Chicks!$G:$G,$D666))</f>
        <v/>
      </c>
      <c r="I666" s="6" t="str">
        <f>IF($C666="","",COUNTIFS(Chicks!$F:$F,$C666,Chicks!$G:$G,$D666,Chicks!$I:$I,"No"))</f>
        <v/>
      </c>
      <c r="J666" s="6" t="str">
        <f>IF($C666="","",IFERROR(AVERAGEIFS(Chicks!$M:$M,Chicks!$F:$F,$C666,Chicks!$G:$G,$D666),""))</f>
        <v/>
      </c>
      <c r="K666" s="6" t="str">
        <f>IF($C666="","",SUMIFS(Chicks!$N:$N,Chicks!$F:$F,$C666,Chicks!$G:$G,$D666))</f>
        <v/>
      </c>
      <c r="L666" s="6" t="str">
        <f>IF($C666="","",SUMIFS(Chicks!$O:$O,Chicks!$F:$F,$C666,Chicks!$G:$G,$D666))</f>
        <v/>
      </c>
      <c r="M666" s="6" t="str">
        <f>IF($C666="","",SUMIFS(Chicks!$P:$P,Chicks!$F:$F,$C666,Chicks!$G:$G,$D666))</f>
        <v/>
      </c>
      <c r="N666" s="6" t="str">
        <f t="shared" si="10"/>
        <v/>
      </c>
      <c r="O666" s="6" t="e">
        <f t="shared" ca="1" si="11"/>
        <v>#NAME?</v>
      </c>
      <c r="P666" s="6" t="str">
        <f t="shared" si="12"/>
        <v/>
      </c>
    </row>
    <row r="667" spans="3:16" ht="14.25" customHeight="1" x14ac:dyDescent="0.3">
      <c r="C667" s="6" t="str">
        <f t="shared" si="13"/>
        <v/>
      </c>
      <c r="D667" s="6" t="str">
        <f t="shared" si="14"/>
        <v/>
      </c>
      <c r="F667" s="6" t="str">
        <f>IF($C667="","",COUNTIFS(Chicks!$F:$F,$C667,Chicks!$G:$G,$D667))</f>
        <v/>
      </c>
      <c r="G667" s="6" t="str">
        <f>IF($C667="","",COUNTIFS(Chicks!$F:$F,$C667,Chicks!$G:$G,$D667,Chicks!$I:$I,"Yes"))</f>
        <v/>
      </c>
      <c r="H667" s="6" t="str">
        <f>IF($C667="","",SUMIFS(Chicks!$J:$J,Chicks!$F:$F,$C667,Chicks!$G:$G,$D667))</f>
        <v/>
      </c>
      <c r="I667" s="6" t="str">
        <f>IF($C667="","",COUNTIFS(Chicks!$F:$F,$C667,Chicks!$G:$G,$D667,Chicks!$I:$I,"No"))</f>
        <v/>
      </c>
      <c r="J667" s="6" t="str">
        <f>IF($C667="","",IFERROR(AVERAGEIFS(Chicks!$M:$M,Chicks!$F:$F,$C667,Chicks!$G:$G,$D667),""))</f>
        <v/>
      </c>
      <c r="K667" s="6" t="str">
        <f>IF($C667="","",SUMIFS(Chicks!$N:$N,Chicks!$F:$F,$C667,Chicks!$G:$G,$D667))</f>
        <v/>
      </c>
      <c r="L667" s="6" t="str">
        <f>IF($C667="","",SUMIFS(Chicks!$O:$O,Chicks!$F:$F,$C667,Chicks!$G:$G,$D667))</f>
        <v/>
      </c>
      <c r="M667" s="6" t="str">
        <f>IF($C667="","",SUMIFS(Chicks!$P:$P,Chicks!$F:$F,$C667,Chicks!$G:$G,$D667))</f>
        <v/>
      </c>
      <c r="N667" s="6" t="str">
        <f t="shared" si="10"/>
        <v/>
      </c>
      <c r="O667" s="6" t="e">
        <f t="shared" ca="1" si="11"/>
        <v>#NAME?</v>
      </c>
      <c r="P667" s="6" t="str">
        <f t="shared" si="12"/>
        <v/>
      </c>
    </row>
    <row r="668" spans="3:16" ht="14.25" customHeight="1" x14ac:dyDescent="0.3">
      <c r="C668" s="6" t="str">
        <f t="shared" si="13"/>
        <v/>
      </c>
      <c r="D668" s="6" t="str">
        <f t="shared" si="14"/>
        <v/>
      </c>
      <c r="F668" s="6" t="str">
        <f>IF($C668="","",COUNTIFS(Chicks!$F:$F,$C668,Chicks!$G:$G,$D668))</f>
        <v/>
      </c>
      <c r="G668" s="6" t="str">
        <f>IF($C668="","",COUNTIFS(Chicks!$F:$F,$C668,Chicks!$G:$G,$D668,Chicks!$I:$I,"Yes"))</f>
        <v/>
      </c>
      <c r="H668" s="6" t="str">
        <f>IF($C668="","",SUMIFS(Chicks!$J:$J,Chicks!$F:$F,$C668,Chicks!$G:$G,$D668))</f>
        <v/>
      </c>
      <c r="I668" s="6" t="str">
        <f>IF($C668="","",COUNTIFS(Chicks!$F:$F,$C668,Chicks!$G:$G,$D668,Chicks!$I:$I,"No"))</f>
        <v/>
      </c>
      <c r="J668" s="6" t="str">
        <f>IF($C668="","",IFERROR(AVERAGEIFS(Chicks!$M:$M,Chicks!$F:$F,$C668,Chicks!$G:$G,$D668),""))</f>
        <v/>
      </c>
      <c r="K668" s="6" t="str">
        <f>IF($C668="","",SUMIFS(Chicks!$N:$N,Chicks!$F:$F,$C668,Chicks!$G:$G,$D668))</f>
        <v/>
      </c>
      <c r="L668" s="6" t="str">
        <f>IF($C668="","",SUMIFS(Chicks!$O:$O,Chicks!$F:$F,$C668,Chicks!$G:$G,$D668))</f>
        <v/>
      </c>
      <c r="M668" s="6" t="str">
        <f>IF($C668="","",SUMIFS(Chicks!$P:$P,Chicks!$F:$F,$C668,Chicks!$G:$G,$D668))</f>
        <v/>
      </c>
      <c r="N668" s="6" t="str">
        <f t="shared" si="10"/>
        <v/>
      </c>
      <c r="O668" s="6" t="e">
        <f t="shared" ca="1" si="11"/>
        <v>#NAME?</v>
      </c>
      <c r="P668" s="6" t="str">
        <f t="shared" si="12"/>
        <v/>
      </c>
    </row>
    <row r="669" spans="3:16" ht="14.25" customHeight="1" x14ac:dyDescent="0.3">
      <c r="C669" s="6" t="str">
        <f t="shared" si="13"/>
        <v/>
      </c>
      <c r="D669" s="6" t="str">
        <f t="shared" si="14"/>
        <v/>
      </c>
      <c r="F669" s="6" t="str">
        <f>IF($C669="","",COUNTIFS(Chicks!$F:$F,$C669,Chicks!$G:$G,$D669))</f>
        <v/>
      </c>
      <c r="G669" s="6" t="str">
        <f>IF($C669="","",COUNTIFS(Chicks!$F:$F,$C669,Chicks!$G:$G,$D669,Chicks!$I:$I,"Yes"))</f>
        <v/>
      </c>
      <c r="H669" s="6" t="str">
        <f>IF($C669="","",SUMIFS(Chicks!$J:$J,Chicks!$F:$F,$C669,Chicks!$G:$G,$D669))</f>
        <v/>
      </c>
      <c r="I669" s="6" t="str">
        <f>IF($C669="","",COUNTIFS(Chicks!$F:$F,$C669,Chicks!$G:$G,$D669,Chicks!$I:$I,"No"))</f>
        <v/>
      </c>
      <c r="J669" s="6" t="str">
        <f>IF($C669="","",IFERROR(AVERAGEIFS(Chicks!$M:$M,Chicks!$F:$F,$C669,Chicks!$G:$G,$D669),""))</f>
        <v/>
      </c>
      <c r="K669" s="6" t="str">
        <f>IF($C669="","",SUMIFS(Chicks!$N:$N,Chicks!$F:$F,$C669,Chicks!$G:$G,$D669))</f>
        <v/>
      </c>
      <c r="L669" s="6" t="str">
        <f>IF($C669="","",SUMIFS(Chicks!$O:$O,Chicks!$F:$F,$C669,Chicks!$G:$G,$D669))</f>
        <v/>
      </c>
      <c r="M669" s="6" t="str">
        <f>IF($C669="","",SUMIFS(Chicks!$P:$P,Chicks!$F:$F,$C669,Chicks!$G:$G,$D669))</f>
        <v/>
      </c>
      <c r="N669" s="6" t="str">
        <f t="shared" si="10"/>
        <v/>
      </c>
      <c r="O669" s="6" t="e">
        <f t="shared" ca="1" si="11"/>
        <v>#NAME?</v>
      </c>
      <c r="P669" s="6" t="str">
        <f t="shared" si="12"/>
        <v/>
      </c>
    </row>
    <row r="670" spans="3:16" ht="14.25" customHeight="1" x14ac:dyDescent="0.3">
      <c r="C670" s="6" t="str">
        <f t="shared" si="13"/>
        <v/>
      </c>
      <c r="D670" s="6" t="str">
        <f t="shared" si="14"/>
        <v/>
      </c>
      <c r="F670" s="6" t="str">
        <f>IF($C670="","",COUNTIFS(Chicks!$F:$F,$C670,Chicks!$G:$G,$D670))</f>
        <v/>
      </c>
      <c r="G670" s="6" t="str">
        <f>IF($C670="","",COUNTIFS(Chicks!$F:$F,$C670,Chicks!$G:$G,$D670,Chicks!$I:$I,"Yes"))</f>
        <v/>
      </c>
      <c r="H670" s="6" t="str">
        <f>IF($C670="","",SUMIFS(Chicks!$J:$J,Chicks!$F:$F,$C670,Chicks!$G:$G,$D670))</f>
        <v/>
      </c>
      <c r="I670" s="6" t="str">
        <f>IF($C670="","",COUNTIFS(Chicks!$F:$F,$C670,Chicks!$G:$G,$D670,Chicks!$I:$I,"No"))</f>
        <v/>
      </c>
      <c r="J670" s="6" t="str">
        <f>IF($C670="","",IFERROR(AVERAGEIFS(Chicks!$M:$M,Chicks!$F:$F,$C670,Chicks!$G:$G,$D670),""))</f>
        <v/>
      </c>
      <c r="K670" s="6" t="str">
        <f>IF($C670="","",SUMIFS(Chicks!$N:$N,Chicks!$F:$F,$C670,Chicks!$G:$G,$D670))</f>
        <v/>
      </c>
      <c r="L670" s="6" t="str">
        <f>IF($C670="","",SUMIFS(Chicks!$O:$O,Chicks!$F:$F,$C670,Chicks!$G:$G,$D670))</f>
        <v/>
      </c>
      <c r="M670" s="6" t="str">
        <f>IF($C670="","",SUMIFS(Chicks!$P:$P,Chicks!$F:$F,$C670,Chicks!$G:$G,$D670))</f>
        <v/>
      </c>
      <c r="N670" s="6" t="str">
        <f t="shared" si="10"/>
        <v/>
      </c>
      <c r="O670" s="6" t="e">
        <f t="shared" ca="1" si="11"/>
        <v>#NAME?</v>
      </c>
      <c r="P670" s="6" t="str">
        <f t="shared" si="12"/>
        <v/>
      </c>
    </row>
    <row r="671" spans="3:16" ht="14.25" customHeight="1" x14ac:dyDescent="0.3">
      <c r="C671" s="6" t="str">
        <f t="shared" si="13"/>
        <v/>
      </c>
      <c r="D671" s="6" t="str">
        <f t="shared" si="14"/>
        <v/>
      </c>
      <c r="F671" s="6" t="str">
        <f>IF($C671="","",COUNTIFS(Chicks!$F:$F,$C671,Chicks!$G:$G,$D671))</f>
        <v/>
      </c>
      <c r="G671" s="6" t="str">
        <f>IF($C671="","",COUNTIFS(Chicks!$F:$F,$C671,Chicks!$G:$G,$D671,Chicks!$I:$I,"Yes"))</f>
        <v/>
      </c>
      <c r="H671" s="6" t="str">
        <f>IF($C671="","",SUMIFS(Chicks!$J:$J,Chicks!$F:$F,$C671,Chicks!$G:$G,$D671))</f>
        <v/>
      </c>
      <c r="I671" s="6" t="str">
        <f>IF($C671="","",COUNTIFS(Chicks!$F:$F,$C671,Chicks!$G:$G,$D671,Chicks!$I:$I,"No"))</f>
        <v/>
      </c>
      <c r="J671" s="6" t="str">
        <f>IF($C671="","",IFERROR(AVERAGEIFS(Chicks!$M:$M,Chicks!$F:$F,$C671,Chicks!$G:$G,$D671),""))</f>
        <v/>
      </c>
      <c r="K671" s="6" t="str">
        <f>IF($C671="","",SUMIFS(Chicks!$N:$N,Chicks!$F:$F,$C671,Chicks!$G:$G,$D671))</f>
        <v/>
      </c>
      <c r="L671" s="6" t="str">
        <f>IF($C671="","",SUMIFS(Chicks!$O:$O,Chicks!$F:$F,$C671,Chicks!$G:$G,$D671))</f>
        <v/>
      </c>
      <c r="M671" s="6" t="str">
        <f>IF($C671="","",SUMIFS(Chicks!$P:$P,Chicks!$F:$F,$C671,Chicks!$G:$G,$D671))</f>
        <v/>
      </c>
      <c r="N671" s="6" t="str">
        <f t="shared" si="10"/>
        <v/>
      </c>
      <c r="O671" s="6" t="e">
        <f t="shared" ca="1" si="11"/>
        <v>#NAME?</v>
      </c>
      <c r="P671" s="6" t="str">
        <f t="shared" si="12"/>
        <v/>
      </c>
    </row>
    <row r="672" spans="3:16" ht="14.25" customHeight="1" x14ac:dyDescent="0.3">
      <c r="C672" s="6" t="str">
        <f t="shared" si="13"/>
        <v/>
      </c>
      <c r="D672" s="6" t="str">
        <f t="shared" si="14"/>
        <v/>
      </c>
      <c r="F672" s="6" t="str">
        <f>IF($C672="","",COUNTIFS(Chicks!$F:$F,$C672,Chicks!$G:$G,$D672))</f>
        <v/>
      </c>
      <c r="G672" s="6" t="str">
        <f>IF($C672="","",COUNTIFS(Chicks!$F:$F,$C672,Chicks!$G:$G,$D672,Chicks!$I:$I,"Yes"))</f>
        <v/>
      </c>
      <c r="H672" s="6" t="str">
        <f>IF($C672="","",SUMIFS(Chicks!$J:$J,Chicks!$F:$F,$C672,Chicks!$G:$G,$D672))</f>
        <v/>
      </c>
      <c r="I672" s="6" t="str">
        <f>IF($C672="","",COUNTIFS(Chicks!$F:$F,$C672,Chicks!$G:$G,$D672,Chicks!$I:$I,"No"))</f>
        <v/>
      </c>
      <c r="J672" s="6" t="str">
        <f>IF($C672="","",IFERROR(AVERAGEIFS(Chicks!$M:$M,Chicks!$F:$F,$C672,Chicks!$G:$G,$D672),""))</f>
        <v/>
      </c>
      <c r="K672" s="6" t="str">
        <f>IF($C672="","",SUMIFS(Chicks!$N:$N,Chicks!$F:$F,$C672,Chicks!$G:$G,$D672))</f>
        <v/>
      </c>
      <c r="L672" s="6" t="str">
        <f>IF($C672="","",SUMIFS(Chicks!$O:$O,Chicks!$F:$F,$C672,Chicks!$G:$G,$D672))</f>
        <v/>
      </c>
      <c r="M672" s="6" t="str">
        <f>IF($C672="","",SUMIFS(Chicks!$P:$P,Chicks!$F:$F,$C672,Chicks!$G:$G,$D672))</f>
        <v/>
      </c>
      <c r="N672" s="6" t="str">
        <f t="shared" si="10"/>
        <v/>
      </c>
      <c r="O672" s="6" t="e">
        <f t="shared" ca="1" si="11"/>
        <v>#NAME?</v>
      </c>
      <c r="P672" s="6" t="str">
        <f t="shared" si="12"/>
        <v/>
      </c>
    </row>
    <row r="673" spans="3:16" ht="14.25" customHeight="1" x14ac:dyDescent="0.3">
      <c r="C673" s="6" t="str">
        <f t="shared" si="13"/>
        <v/>
      </c>
      <c r="D673" s="6" t="str">
        <f t="shared" si="14"/>
        <v/>
      </c>
      <c r="F673" s="6" t="str">
        <f>IF($C673="","",COUNTIFS(Chicks!$F:$F,$C673,Chicks!$G:$G,$D673))</f>
        <v/>
      </c>
      <c r="G673" s="6" t="str">
        <f>IF($C673="","",COUNTIFS(Chicks!$F:$F,$C673,Chicks!$G:$G,$D673,Chicks!$I:$I,"Yes"))</f>
        <v/>
      </c>
      <c r="H673" s="6" t="str">
        <f>IF($C673="","",SUMIFS(Chicks!$J:$J,Chicks!$F:$F,$C673,Chicks!$G:$G,$D673))</f>
        <v/>
      </c>
      <c r="I673" s="6" t="str">
        <f>IF($C673="","",COUNTIFS(Chicks!$F:$F,$C673,Chicks!$G:$G,$D673,Chicks!$I:$I,"No"))</f>
        <v/>
      </c>
      <c r="J673" s="6" t="str">
        <f>IF($C673="","",IFERROR(AVERAGEIFS(Chicks!$M:$M,Chicks!$F:$F,$C673,Chicks!$G:$G,$D673),""))</f>
        <v/>
      </c>
      <c r="K673" s="6" t="str">
        <f>IF($C673="","",SUMIFS(Chicks!$N:$N,Chicks!$F:$F,$C673,Chicks!$G:$G,$D673))</f>
        <v/>
      </c>
      <c r="L673" s="6" t="str">
        <f>IF($C673="","",SUMIFS(Chicks!$O:$O,Chicks!$F:$F,$C673,Chicks!$G:$G,$D673))</f>
        <v/>
      </c>
      <c r="M673" s="6" t="str">
        <f>IF($C673="","",SUMIFS(Chicks!$P:$P,Chicks!$F:$F,$C673,Chicks!$G:$G,$D673))</f>
        <v/>
      </c>
      <c r="N673" s="6" t="str">
        <f t="shared" si="10"/>
        <v/>
      </c>
      <c r="O673" s="6" t="e">
        <f t="shared" ca="1" si="11"/>
        <v>#NAME?</v>
      </c>
      <c r="P673" s="6" t="str">
        <f t="shared" si="12"/>
        <v/>
      </c>
    </row>
    <row r="674" spans="3:16" ht="14.25" customHeight="1" x14ac:dyDescent="0.3">
      <c r="C674" s="6" t="str">
        <f t="shared" si="13"/>
        <v/>
      </c>
      <c r="D674" s="6" t="str">
        <f t="shared" si="14"/>
        <v/>
      </c>
      <c r="F674" s="6" t="str">
        <f>IF($C674="","",COUNTIFS(Chicks!$F:$F,$C674,Chicks!$G:$G,$D674))</f>
        <v/>
      </c>
      <c r="G674" s="6" t="str">
        <f>IF($C674="","",COUNTIFS(Chicks!$F:$F,$C674,Chicks!$G:$G,$D674,Chicks!$I:$I,"Yes"))</f>
        <v/>
      </c>
      <c r="H674" s="6" t="str">
        <f>IF($C674="","",SUMIFS(Chicks!$J:$J,Chicks!$F:$F,$C674,Chicks!$G:$G,$D674))</f>
        <v/>
      </c>
      <c r="I674" s="6" t="str">
        <f>IF($C674="","",COUNTIFS(Chicks!$F:$F,$C674,Chicks!$G:$G,$D674,Chicks!$I:$I,"No"))</f>
        <v/>
      </c>
      <c r="J674" s="6" t="str">
        <f>IF($C674="","",IFERROR(AVERAGEIFS(Chicks!$M:$M,Chicks!$F:$F,$C674,Chicks!$G:$G,$D674),""))</f>
        <v/>
      </c>
      <c r="K674" s="6" t="str">
        <f>IF($C674="","",SUMIFS(Chicks!$N:$N,Chicks!$F:$F,$C674,Chicks!$G:$G,$D674))</f>
        <v/>
      </c>
      <c r="L674" s="6" t="str">
        <f>IF($C674="","",SUMIFS(Chicks!$O:$O,Chicks!$F:$F,$C674,Chicks!$G:$G,$D674))</f>
        <v/>
      </c>
      <c r="M674" s="6" t="str">
        <f>IF($C674="","",SUMIFS(Chicks!$P:$P,Chicks!$F:$F,$C674,Chicks!$G:$G,$D674))</f>
        <v/>
      </c>
      <c r="N674" s="6" t="str">
        <f t="shared" si="10"/>
        <v/>
      </c>
      <c r="O674" s="6" t="e">
        <f t="shared" ca="1" si="11"/>
        <v>#NAME?</v>
      </c>
      <c r="P674" s="6" t="str">
        <f t="shared" si="12"/>
        <v/>
      </c>
    </row>
    <row r="675" spans="3:16" ht="14.25" customHeight="1" x14ac:dyDescent="0.3">
      <c r="C675" s="6" t="str">
        <f t="shared" si="13"/>
        <v/>
      </c>
      <c r="D675" s="6" t="str">
        <f t="shared" si="14"/>
        <v/>
      </c>
      <c r="F675" s="6" t="str">
        <f>IF($C675="","",COUNTIFS(Chicks!$F:$F,$C675,Chicks!$G:$G,$D675))</f>
        <v/>
      </c>
      <c r="G675" s="6" t="str">
        <f>IF($C675="","",COUNTIFS(Chicks!$F:$F,$C675,Chicks!$G:$G,$D675,Chicks!$I:$I,"Yes"))</f>
        <v/>
      </c>
      <c r="H675" s="6" t="str">
        <f>IF($C675="","",SUMIFS(Chicks!$J:$J,Chicks!$F:$F,$C675,Chicks!$G:$G,$D675))</f>
        <v/>
      </c>
      <c r="I675" s="6" t="str">
        <f>IF($C675="","",COUNTIFS(Chicks!$F:$F,$C675,Chicks!$G:$G,$D675,Chicks!$I:$I,"No"))</f>
        <v/>
      </c>
      <c r="J675" s="6" t="str">
        <f>IF($C675="","",IFERROR(AVERAGEIFS(Chicks!$M:$M,Chicks!$F:$F,$C675,Chicks!$G:$G,$D675),""))</f>
        <v/>
      </c>
      <c r="K675" s="6" t="str">
        <f>IF($C675="","",SUMIFS(Chicks!$N:$N,Chicks!$F:$F,$C675,Chicks!$G:$G,$D675))</f>
        <v/>
      </c>
      <c r="L675" s="6" t="str">
        <f>IF($C675="","",SUMIFS(Chicks!$O:$O,Chicks!$F:$F,$C675,Chicks!$G:$G,$D675))</f>
        <v/>
      </c>
      <c r="M675" s="6" t="str">
        <f>IF($C675="","",SUMIFS(Chicks!$P:$P,Chicks!$F:$F,$C675,Chicks!$G:$G,$D675))</f>
        <v/>
      </c>
      <c r="N675" s="6" t="str">
        <f t="shared" si="10"/>
        <v/>
      </c>
      <c r="O675" s="6" t="e">
        <f t="shared" ca="1" si="11"/>
        <v>#NAME?</v>
      </c>
      <c r="P675" s="6" t="str">
        <f t="shared" si="12"/>
        <v/>
      </c>
    </row>
    <row r="676" spans="3:16" ht="14.25" customHeight="1" x14ac:dyDescent="0.3">
      <c r="C676" s="6" t="str">
        <f t="shared" si="13"/>
        <v/>
      </c>
      <c r="D676" s="6" t="str">
        <f t="shared" si="14"/>
        <v/>
      </c>
      <c r="F676" s="6" t="str">
        <f>IF($C676="","",COUNTIFS(Chicks!$F:$F,$C676,Chicks!$G:$G,$D676))</f>
        <v/>
      </c>
      <c r="G676" s="6" t="str">
        <f>IF($C676="","",COUNTIFS(Chicks!$F:$F,$C676,Chicks!$G:$G,$D676,Chicks!$I:$I,"Yes"))</f>
        <v/>
      </c>
      <c r="H676" s="6" t="str">
        <f>IF($C676="","",SUMIFS(Chicks!$J:$J,Chicks!$F:$F,$C676,Chicks!$G:$G,$D676))</f>
        <v/>
      </c>
      <c r="I676" s="6" t="str">
        <f>IF($C676="","",COUNTIFS(Chicks!$F:$F,$C676,Chicks!$G:$G,$D676,Chicks!$I:$I,"No"))</f>
        <v/>
      </c>
      <c r="J676" s="6" t="str">
        <f>IF($C676="","",IFERROR(AVERAGEIFS(Chicks!$M:$M,Chicks!$F:$F,$C676,Chicks!$G:$G,$D676),""))</f>
        <v/>
      </c>
      <c r="K676" s="6" t="str">
        <f>IF($C676="","",SUMIFS(Chicks!$N:$N,Chicks!$F:$F,$C676,Chicks!$G:$G,$D676))</f>
        <v/>
      </c>
      <c r="L676" s="6" t="str">
        <f>IF($C676="","",SUMIFS(Chicks!$O:$O,Chicks!$F:$F,$C676,Chicks!$G:$G,$D676))</f>
        <v/>
      </c>
      <c r="M676" s="6" t="str">
        <f>IF($C676="","",SUMIFS(Chicks!$P:$P,Chicks!$F:$F,$C676,Chicks!$G:$G,$D676))</f>
        <v/>
      </c>
      <c r="N676" s="6" t="str">
        <f t="shared" si="10"/>
        <v/>
      </c>
      <c r="O676" s="6" t="e">
        <f t="shared" ca="1" si="11"/>
        <v>#NAME?</v>
      </c>
      <c r="P676" s="6" t="str">
        <f t="shared" si="12"/>
        <v/>
      </c>
    </row>
    <row r="677" spans="3:16" ht="14.25" customHeight="1" x14ac:dyDescent="0.3">
      <c r="C677" s="6" t="str">
        <f t="shared" si="13"/>
        <v/>
      </c>
      <c r="D677" s="6" t="str">
        <f t="shared" si="14"/>
        <v/>
      </c>
      <c r="F677" s="6" t="str">
        <f>IF($C677="","",COUNTIFS(Chicks!$F:$F,$C677,Chicks!$G:$G,$D677))</f>
        <v/>
      </c>
      <c r="G677" s="6" t="str">
        <f>IF($C677="","",COUNTIFS(Chicks!$F:$F,$C677,Chicks!$G:$G,$D677,Chicks!$I:$I,"Yes"))</f>
        <v/>
      </c>
      <c r="H677" s="6" t="str">
        <f>IF($C677="","",SUMIFS(Chicks!$J:$J,Chicks!$F:$F,$C677,Chicks!$G:$G,$D677))</f>
        <v/>
      </c>
      <c r="I677" s="6" t="str">
        <f>IF($C677="","",COUNTIFS(Chicks!$F:$F,$C677,Chicks!$G:$G,$D677,Chicks!$I:$I,"No"))</f>
        <v/>
      </c>
      <c r="J677" s="6" t="str">
        <f>IF($C677="","",IFERROR(AVERAGEIFS(Chicks!$M:$M,Chicks!$F:$F,$C677,Chicks!$G:$G,$D677),""))</f>
        <v/>
      </c>
      <c r="K677" s="6" t="str">
        <f>IF($C677="","",SUMIFS(Chicks!$N:$N,Chicks!$F:$F,$C677,Chicks!$G:$G,$D677))</f>
        <v/>
      </c>
      <c r="L677" s="6" t="str">
        <f>IF($C677="","",SUMIFS(Chicks!$O:$O,Chicks!$F:$F,$C677,Chicks!$G:$G,$D677))</f>
        <v/>
      </c>
      <c r="M677" s="6" t="str">
        <f>IF($C677="","",SUMIFS(Chicks!$P:$P,Chicks!$F:$F,$C677,Chicks!$G:$G,$D677))</f>
        <v/>
      </c>
      <c r="N677" s="6" t="str">
        <f t="shared" si="10"/>
        <v/>
      </c>
      <c r="O677" s="6" t="e">
        <f t="shared" ca="1" si="11"/>
        <v>#NAME?</v>
      </c>
      <c r="P677" s="6" t="str">
        <f t="shared" si="12"/>
        <v/>
      </c>
    </row>
    <row r="678" spans="3:16" ht="14.25" customHeight="1" x14ac:dyDescent="0.3">
      <c r="C678" s="6" t="str">
        <f t="shared" si="13"/>
        <v/>
      </c>
      <c r="D678" s="6" t="str">
        <f t="shared" si="14"/>
        <v/>
      </c>
      <c r="F678" s="6" t="str">
        <f>IF($C678="","",COUNTIFS(Chicks!$F:$F,$C678,Chicks!$G:$G,$D678))</f>
        <v/>
      </c>
      <c r="G678" s="6" t="str">
        <f>IF($C678="","",COUNTIFS(Chicks!$F:$F,$C678,Chicks!$G:$G,$D678,Chicks!$I:$I,"Yes"))</f>
        <v/>
      </c>
      <c r="H678" s="6" t="str">
        <f>IF($C678="","",SUMIFS(Chicks!$J:$J,Chicks!$F:$F,$C678,Chicks!$G:$G,$D678))</f>
        <v/>
      </c>
      <c r="I678" s="6" t="str">
        <f>IF($C678="","",COUNTIFS(Chicks!$F:$F,$C678,Chicks!$G:$G,$D678,Chicks!$I:$I,"No"))</f>
        <v/>
      </c>
      <c r="J678" s="6" t="str">
        <f>IF($C678="","",IFERROR(AVERAGEIFS(Chicks!$M:$M,Chicks!$F:$F,$C678,Chicks!$G:$G,$D678),""))</f>
        <v/>
      </c>
      <c r="K678" s="6" t="str">
        <f>IF($C678="","",SUMIFS(Chicks!$N:$N,Chicks!$F:$F,$C678,Chicks!$G:$G,$D678))</f>
        <v/>
      </c>
      <c r="L678" s="6" t="str">
        <f>IF($C678="","",SUMIFS(Chicks!$O:$O,Chicks!$F:$F,$C678,Chicks!$G:$G,$D678))</f>
        <v/>
      </c>
      <c r="M678" s="6" t="str">
        <f>IF($C678="","",SUMIFS(Chicks!$P:$P,Chicks!$F:$F,$C678,Chicks!$G:$G,$D678))</f>
        <v/>
      </c>
      <c r="N678" s="6" t="str">
        <f t="shared" si="10"/>
        <v/>
      </c>
      <c r="O678" s="6" t="e">
        <f t="shared" ca="1" si="11"/>
        <v>#NAME?</v>
      </c>
      <c r="P678" s="6" t="str">
        <f t="shared" si="12"/>
        <v/>
      </c>
    </row>
    <row r="679" spans="3:16" ht="14.25" customHeight="1" x14ac:dyDescent="0.3">
      <c r="C679" s="6" t="str">
        <f t="shared" si="13"/>
        <v/>
      </c>
      <c r="D679" s="6" t="str">
        <f t="shared" si="14"/>
        <v/>
      </c>
      <c r="F679" s="6" t="str">
        <f>IF($C679="","",COUNTIFS(Chicks!$F:$F,$C679,Chicks!$G:$G,$D679))</f>
        <v/>
      </c>
      <c r="G679" s="6" t="str">
        <f>IF($C679="","",COUNTIFS(Chicks!$F:$F,$C679,Chicks!$G:$G,$D679,Chicks!$I:$I,"Yes"))</f>
        <v/>
      </c>
      <c r="H679" s="6" t="str">
        <f>IF($C679="","",SUMIFS(Chicks!$J:$J,Chicks!$F:$F,$C679,Chicks!$G:$G,$D679))</f>
        <v/>
      </c>
      <c r="I679" s="6" t="str">
        <f>IF($C679="","",COUNTIFS(Chicks!$F:$F,$C679,Chicks!$G:$G,$D679,Chicks!$I:$I,"No"))</f>
        <v/>
      </c>
      <c r="J679" s="6" t="str">
        <f>IF($C679="","",IFERROR(AVERAGEIFS(Chicks!$M:$M,Chicks!$F:$F,$C679,Chicks!$G:$G,$D679),""))</f>
        <v/>
      </c>
      <c r="K679" s="6" t="str">
        <f>IF($C679="","",SUMIFS(Chicks!$N:$N,Chicks!$F:$F,$C679,Chicks!$G:$G,$D679))</f>
        <v/>
      </c>
      <c r="L679" s="6" t="str">
        <f>IF($C679="","",SUMIFS(Chicks!$O:$O,Chicks!$F:$F,$C679,Chicks!$G:$G,$D679))</f>
        <v/>
      </c>
      <c r="M679" s="6" t="str">
        <f>IF($C679="","",SUMIFS(Chicks!$P:$P,Chicks!$F:$F,$C679,Chicks!$G:$G,$D679))</f>
        <v/>
      </c>
      <c r="N679" s="6" t="str">
        <f t="shared" si="10"/>
        <v/>
      </c>
      <c r="O679" s="6" t="e">
        <f t="shared" ca="1" si="11"/>
        <v>#NAME?</v>
      </c>
      <c r="P679" s="6" t="str">
        <f t="shared" si="12"/>
        <v/>
      </c>
    </row>
    <row r="680" spans="3:16" ht="14.25" customHeight="1" x14ac:dyDescent="0.3">
      <c r="C680" s="6" t="str">
        <f t="shared" si="13"/>
        <v/>
      </c>
      <c r="D680" s="6" t="str">
        <f t="shared" si="14"/>
        <v/>
      </c>
      <c r="F680" s="6" t="str">
        <f>IF($C680="","",COUNTIFS(Chicks!$F:$F,$C680,Chicks!$G:$G,$D680))</f>
        <v/>
      </c>
      <c r="G680" s="6" t="str">
        <f>IF($C680="","",COUNTIFS(Chicks!$F:$F,$C680,Chicks!$G:$G,$D680,Chicks!$I:$I,"Yes"))</f>
        <v/>
      </c>
      <c r="H680" s="6" t="str">
        <f>IF($C680="","",SUMIFS(Chicks!$J:$J,Chicks!$F:$F,$C680,Chicks!$G:$G,$D680))</f>
        <v/>
      </c>
      <c r="I680" s="6" t="str">
        <f>IF($C680="","",COUNTIFS(Chicks!$F:$F,$C680,Chicks!$G:$G,$D680,Chicks!$I:$I,"No"))</f>
        <v/>
      </c>
      <c r="J680" s="6" t="str">
        <f>IF($C680="","",IFERROR(AVERAGEIFS(Chicks!$M:$M,Chicks!$F:$F,$C680,Chicks!$G:$G,$D680),""))</f>
        <v/>
      </c>
      <c r="K680" s="6" t="str">
        <f>IF($C680="","",SUMIFS(Chicks!$N:$N,Chicks!$F:$F,$C680,Chicks!$G:$G,$D680))</f>
        <v/>
      </c>
      <c r="L680" s="6" t="str">
        <f>IF($C680="","",SUMIFS(Chicks!$O:$O,Chicks!$F:$F,$C680,Chicks!$G:$G,$D680))</f>
        <v/>
      </c>
      <c r="M680" s="6" t="str">
        <f>IF($C680="","",SUMIFS(Chicks!$P:$P,Chicks!$F:$F,$C680,Chicks!$G:$G,$D680))</f>
        <v/>
      </c>
      <c r="N680" s="6" t="str">
        <f t="shared" si="10"/>
        <v/>
      </c>
      <c r="O680" s="6" t="e">
        <f t="shared" ca="1" si="11"/>
        <v>#NAME?</v>
      </c>
      <c r="P680" s="6" t="str">
        <f t="shared" si="12"/>
        <v/>
      </c>
    </row>
    <row r="681" spans="3:16" ht="14.25" customHeight="1" x14ac:dyDescent="0.3">
      <c r="C681" s="6" t="str">
        <f t="shared" si="13"/>
        <v/>
      </c>
      <c r="D681" s="6" t="str">
        <f t="shared" si="14"/>
        <v/>
      </c>
      <c r="F681" s="6" t="str">
        <f>IF($C681="","",COUNTIFS(Chicks!$F:$F,$C681,Chicks!$G:$G,$D681))</f>
        <v/>
      </c>
      <c r="G681" s="6" t="str">
        <f>IF($C681="","",COUNTIFS(Chicks!$F:$F,$C681,Chicks!$G:$G,$D681,Chicks!$I:$I,"Yes"))</f>
        <v/>
      </c>
      <c r="H681" s="6" t="str">
        <f>IF($C681="","",SUMIFS(Chicks!$J:$J,Chicks!$F:$F,$C681,Chicks!$G:$G,$D681))</f>
        <v/>
      </c>
      <c r="I681" s="6" t="str">
        <f>IF($C681="","",COUNTIFS(Chicks!$F:$F,$C681,Chicks!$G:$G,$D681,Chicks!$I:$I,"No"))</f>
        <v/>
      </c>
      <c r="J681" s="6" t="str">
        <f>IF($C681="","",IFERROR(AVERAGEIFS(Chicks!$M:$M,Chicks!$F:$F,$C681,Chicks!$G:$G,$D681),""))</f>
        <v/>
      </c>
      <c r="K681" s="6" t="str">
        <f>IF($C681="","",SUMIFS(Chicks!$N:$N,Chicks!$F:$F,$C681,Chicks!$G:$G,$D681))</f>
        <v/>
      </c>
      <c r="L681" s="6" t="str">
        <f>IF($C681="","",SUMIFS(Chicks!$O:$O,Chicks!$F:$F,$C681,Chicks!$G:$G,$D681))</f>
        <v/>
      </c>
      <c r="M681" s="6" t="str">
        <f>IF($C681="","",SUMIFS(Chicks!$P:$P,Chicks!$F:$F,$C681,Chicks!$G:$G,$D681))</f>
        <v/>
      </c>
      <c r="N681" s="6" t="str">
        <f t="shared" si="10"/>
        <v/>
      </c>
      <c r="O681" s="6" t="e">
        <f t="shared" ca="1" si="11"/>
        <v>#NAME?</v>
      </c>
      <c r="P681" s="6" t="str">
        <f t="shared" si="12"/>
        <v/>
      </c>
    </row>
    <row r="682" spans="3:16" ht="14.25" customHeight="1" x14ac:dyDescent="0.3">
      <c r="C682" s="6" t="str">
        <f t="shared" si="13"/>
        <v/>
      </c>
      <c r="D682" s="6" t="str">
        <f t="shared" si="14"/>
        <v/>
      </c>
      <c r="F682" s="6" t="str">
        <f>IF($C682="","",COUNTIFS(Chicks!$F:$F,$C682,Chicks!$G:$G,$D682))</f>
        <v/>
      </c>
      <c r="G682" s="6" t="str">
        <f>IF($C682="","",COUNTIFS(Chicks!$F:$F,$C682,Chicks!$G:$G,$D682,Chicks!$I:$I,"Yes"))</f>
        <v/>
      </c>
      <c r="H682" s="6" t="str">
        <f>IF($C682="","",SUMIFS(Chicks!$J:$J,Chicks!$F:$F,$C682,Chicks!$G:$G,$D682))</f>
        <v/>
      </c>
      <c r="I682" s="6" t="str">
        <f>IF($C682="","",COUNTIFS(Chicks!$F:$F,$C682,Chicks!$G:$G,$D682,Chicks!$I:$I,"No"))</f>
        <v/>
      </c>
      <c r="J682" s="6" t="str">
        <f>IF($C682="","",IFERROR(AVERAGEIFS(Chicks!$M:$M,Chicks!$F:$F,$C682,Chicks!$G:$G,$D682),""))</f>
        <v/>
      </c>
      <c r="K682" s="6" t="str">
        <f>IF($C682="","",SUMIFS(Chicks!$N:$N,Chicks!$F:$F,$C682,Chicks!$G:$G,$D682))</f>
        <v/>
      </c>
      <c r="L682" s="6" t="str">
        <f>IF($C682="","",SUMIFS(Chicks!$O:$O,Chicks!$F:$F,$C682,Chicks!$G:$G,$D682))</f>
        <v/>
      </c>
      <c r="M682" s="6" t="str">
        <f>IF($C682="","",SUMIFS(Chicks!$P:$P,Chicks!$F:$F,$C682,Chicks!$G:$G,$D682))</f>
        <v/>
      </c>
      <c r="N682" s="6" t="str">
        <f t="shared" si="10"/>
        <v/>
      </c>
      <c r="O682" s="6" t="e">
        <f t="shared" ca="1" si="11"/>
        <v>#NAME?</v>
      </c>
      <c r="P682" s="6" t="str">
        <f t="shared" si="12"/>
        <v/>
      </c>
    </row>
    <row r="683" spans="3:16" ht="14.25" customHeight="1" x14ac:dyDescent="0.3">
      <c r="C683" s="6" t="str">
        <f t="shared" si="13"/>
        <v/>
      </c>
      <c r="D683" s="6" t="str">
        <f t="shared" si="14"/>
        <v/>
      </c>
      <c r="F683" s="6" t="str">
        <f>IF($C683="","",COUNTIFS(Chicks!$F:$F,$C683,Chicks!$G:$G,$D683))</f>
        <v/>
      </c>
      <c r="G683" s="6" t="str">
        <f>IF($C683="","",COUNTIFS(Chicks!$F:$F,$C683,Chicks!$G:$G,$D683,Chicks!$I:$I,"Yes"))</f>
        <v/>
      </c>
      <c r="H683" s="6" t="str">
        <f>IF($C683="","",SUMIFS(Chicks!$J:$J,Chicks!$F:$F,$C683,Chicks!$G:$G,$D683))</f>
        <v/>
      </c>
      <c r="I683" s="6" t="str">
        <f>IF($C683="","",COUNTIFS(Chicks!$F:$F,$C683,Chicks!$G:$G,$D683,Chicks!$I:$I,"No"))</f>
        <v/>
      </c>
      <c r="J683" s="6" t="str">
        <f>IF($C683="","",IFERROR(AVERAGEIFS(Chicks!$M:$M,Chicks!$F:$F,$C683,Chicks!$G:$G,$D683),""))</f>
        <v/>
      </c>
      <c r="K683" s="6" t="str">
        <f>IF($C683="","",SUMIFS(Chicks!$N:$N,Chicks!$F:$F,$C683,Chicks!$G:$G,$D683))</f>
        <v/>
      </c>
      <c r="L683" s="6" t="str">
        <f>IF($C683="","",SUMIFS(Chicks!$O:$O,Chicks!$F:$F,$C683,Chicks!$G:$G,$D683))</f>
        <v/>
      </c>
      <c r="M683" s="6" t="str">
        <f>IF($C683="","",SUMIFS(Chicks!$P:$P,Chicks!$F:$F,$C683,Chicks!$G:$G,$D683))</f>
        <v/>
      </c>
      <c r="N683" s="6" t="str">
        <f t="shared" si="10"/>
        <v/>
      </c>
      <c r="O683" s="6" t="e">
        <f t="shared" ca="1" si="11"/>
        <v>#NAME?</v>
      </c>
      <c r="P683" s="6" t="str">
        <f t="shared" si="12"/>
        <v/>
      </c>
    </row>
    <row r="684" spans="3:16" ht="14.25" customHeight="1" x14ac:dyDescent="0.3">
      <c r="C684" s="6" t="str">
        <f t="shared" si="13"/>
        <v/>
      </c>
      <c r="D684" s="6" t="str">
        <f t="shared" si="14"/>
        <v/>
      </c>
      <c r="F684" s="6" t="str">
        <f>IF($C684="","",COUNTIFS(Chicks!$F:$F,$C684,Chicks!$G:$G,$D684))</f>
        <v/>
      </c>
      <c r="G684" s="6" t="str">
        <f>IF($C684="","",COUNTIFS(Chicks!$F:$F,$C684,Chicks!$G:$G,$D684,Chicks!$I:$I,"Yes"))</f>
        <v/>
      </c>
      <c r="H684" s="6" t="str">
        <f>IF($C684="","",SUMIFS(Chicks!$J:$J,Chicks!$F:$F,$C684,Chicks!$G:$G,$D684))</f>
        <v/>
      </c>
      <c r="I684" s="6" t="str">
        <f>IF($C684="","",COUNTIFS(Chicks!$F:$F,$C684,Chicks!$G:$G,$D684,Chicks!$I:$I,"No"))</f>
        <v/>
      </c>
      <c r="J684" s="6" t="str">
        <f>IF($C684="","",IFERROR(AVERAGEIFS(Chicks!$M:$M,Chicks!$F:$F,$C684,Chicks!$G:$G,$D684),""))</f>
        <v/>
      </c>
      <c r="K684" s="6" t="str">
        <f>IF($C684="","",SUMIFS(Chicks!$N:$N,Chicks!$F:$F,$C684,Chicks!$G:$G,$D684))</f>
        <v/>
      </c>
      <c r="L684" s="6" t="str">
        <f>IF($C684="","",SUMIFS(Chicks!$O:$O,Chicks!$F:$F,$C684,Chicks!$G:$G,$D684))</f>
        <v/>
      </c>
      <c r="M684" s="6" t="str">
        <f>IF($C684="","",SUMIFS(Chicks!$P:$P,Chicks!$F:$F,$C684,Chicks!$G:$G,$D684))</f>
        <v/>
      </c>
      <c r="N684" s="6" t="str">
        <f t="shared" si="10"/>
        <v/>
      </c>
      <c r="O684" s="6" t="e">
        <f t="shared" ca="1" si="11"/>
        <v>#NAME?</v>
      </c>
      <c r="P684" s="6" t="str">
        <f t="shared" si="12"/>
        <v/>
      </c>
    </row>
    <row r="685" spans="3:16" ht="14.25" customHeight="1" x14ac:dyDescent="0.3">
      <c r="C685" s="6" t="str">
        <f t="shared" si="13"/>
        <v/>
      </c>
      <c r="D685" s="6" t="str">
        <f t="shared" si="14"/>
        <v/>
      </c>
      <c r="F685" s="6" t="str">
        <f>IF($C685="","",COUNTIFS(Chicks!$F:$F,$C685,Chicks!$G:$G,$D685))</f>
        <v/>
      </c>
      <c r="G685" s="6" t="str">
        <f>IF($C685="","",COUNTIFS(Chicks!$F:$F,$C685,Chicks!$G:$G,$D685,Chicks!$I:$I,"Yes"))</f>
        <v/>
      </c>
      <c r="H685" s="6" t="str">
        <f>IF($C685="","",SUMIFS(Chicks!$J:$J,Chicks!$F:$F,$C685,Chicks!$G:$G,$D685))</f>
        <v/>
      </c>
      <c r="I685" s="6" t="str">
        <f>IF($C685="","",COUNTIFS(Chicks!$F:$F,$C685,Chicks!$G:$G,$D685,Chicks!$I:$I,"No"))</f>
        <v/>
      </c>
      <c r="J685" s="6" t="str">
        <f>IF($C685="","",IFERROR(AVERAGEIFS(Chicks!$M:$M,Chicks!$F:$F,$C685,Chicks!$G:$G,$D685),""))</f>
        <v/>
      </c>
      <c r="K685" s="6" t="str">
        <f>IF($C685="","",SUMIFS(Chicks!$N:$N,Chicks!$F:$F,$C685,Chicks!$G:$G,$D685))</f>
        <v/>
      </c>
      <c r="L685" s="6" t="str">
        <f>IF($C685="","",SUMIFS(Chicks!$O:$O,Chicks!$F:$F,$C685,Chicks!$G:$G,$D685))</f>
        <v/>
      </c>
      <c r="M685" s="6" t="str">
        <f>IF($C685="","",SUMIFS(Chicks!$P:$P,Chicks!$F:$F,$C685,Chicks!$G:$G,$D685))</f>
        <v/>
      </c>
      <c r="N685" s="6" t="str">
        <f t="shared" si="10"/>
        <v/>
      </c>
      <c r="O685" s="6" t="e">
        <f t="shared" ca="1" si="11"/>
        <v>#NAME?</v>
      </c>
      <c r="P685" s="6" t="str">
        <f t="shared" si="12"/>
        <v/>
      </c>
    </row>
    <row r="686" spans="3:16" ht="14.25" customHeight="1" x14ac:dyDescent="0.3">
      <c r="C686" s="6" t="str">
        <f t="shared" si="13"/>
        <v/>
      </c>
      <c r="D686" s="6" t="str">
        <f t="shared" si="14"/>
        <v/>
      </c>
      <c r="F686" s="6" t="str">
        <f>IF($C686="","",COUNTIFS(Chicks!$F:$F,$C686,Chicks!$G:$G,$D686))</f>
        <v/>
      </c>
      <c r="G686" s="6" t="str">
        <f>IF($C686="","",COUNTIFS(Chicks!$F:$F,$C686,Chicks!$G:$G,$D686,Chicks!$I:$I,"Yes"))</f>
        <v/>
      </c>
      <c r="H686" s="6" t="str">
        <f>IF($C686="","",SUMIFS(Chicks!$J:$J,Chicks!$F:$F,$C686,Chicks!$G:$G,$D686))</f>
        <v/>
      </c>
      <c r="I686" s="6" t="str">
        <f>IF($C686="","",COUNTIFS(Chicks!$F:$F,$C686,Chicks!$G:$G,$D686,Chicks!$I:$I,"No"))</f>
        <v/>
      </c>
      <c r="J686" s="6" t="str">
        <f>IF($C686="","",IFERROR(AVERAGEIFS(Chicks!$M:$M,Chicks!$F:$F,$C686,Chicks!$G:$G,$D686),""))</f>
        <v/>
      </c>
      <c r="K686" s="6" t="str">
        <f>IF($C686="","",SUMIFS(Chicks!$N:$N,Chicks!$F:$F,$C686,Chicks!$G:$G,$D686))</f>
        <v/>
      </c>
      <c r="L686" s="6" t="str">
        <f>IF($C686="","",SUMIFS(Chicks!$O:$O,Chicks!$F:$F,$C686,Chicks!$G:$G,$D686))</f>
        <v/>
      </c>
      <c r="M686" s="6" t="str">
        <f>IF($C686="","",SUMIFS(Chicks!$P:$P,Chicks!$F:$F,$C686,Chicks!$G:$G,$D686))</f>
        <v/>
      </c>
      <c r="N686" s="6" t="str">
        <f t="shared" si="10"/>
        <v/>
      </c>
      <c r="O686" s="6" t="e">
        <f t="shared" ca="1" si="11"/>
        <v>#NAME?</v>
      </c>
      <c r="P686" s="6" t="str">
        <f t="shared" si="12"/>
        <v/>
      </c>
    </row>
    <row r="687" spans="3:16" ht="14.25" customHeight="1" x14ac:dyDescent="0.3">
      <c r="C687" s="6" t="str">
        <f t="shared" si="13"/>
        <v/>
      </c>
      <c r="D687" s="6" t="str">
        <f t="shared" si="14"/>
        <v/>
      </c>
      <c r="F687" s="6" t="str">
        <f>IF($C687="","",COUNTIFS(Chicks!$F:$F,$C687,Chicks!$G:$G,$D687))</f>
        <v/>
      </c>
      <c r="G687" s="6" t="str">
        <f>IF($C687="","",COUNTIFS(Chicks!$F:$F,$C687,Chicks!$G:$G,$D687,Chicks!$I:$I,"Yes"))</f>
        <v/>
      </c>
      <c r="H687" s="6" t="str">
        <f>IF($C687="","",SUMIFS(Chicks!$J:$J,Chicks!$F:$F,$C687,Chicks!$G:$G,$D687))</f>
        <v/>
      </c>
      <c r="I687" s="6" t="str">
        <f>IF($C687="","",COUNTIFS(Chicks!$F:$F,$C687,Chicks!$G:$G,$D687,Chicks!$I:$I,"No"))</f>
        <v/>
      </c>
      <c r="J687" s="6" t="str">
        <f>IF($C687="","",IFERROR(AVERAGEIFS(Chicks!$M:$M,Chicks!$F:$F,$C687,Chicks!$G:$G,$D687),""))</f>
        <v/>
      </c>
      <c r="K687" s="6" t="str">
        <f>IF($C687="","",SUMIFS(Chicks!$N:$N,Chicks!$F:$F,$C687,Chicks!$G:$G,$D687))</f>
        <v/>
      </c>
      <c r="L687" s="6" t="str">
        <f>IF($C687="","",SUMIFS(Chicks!$O:$O,Chicks!$F:$F,$C687,Chicks!$G:$G,$D687))</f>
        <v/>
      </c>
      <c r="M687" s="6" t="str">
        <f>IF($C687="","",SUMIFS(Chicks!$P:$P,Chicks!$F:$F,$C687,Chicks!$G:$G,$D687))</f>
        <v/>
      </c>
      <c r="N687" s="6" t="str">
        <f t="shared" si="10"/>
        <v/>
      </c>
      <c r="O687" s="6" t="e">
        <f t="shared" ca="1" si="11"/>
        <v>#NAME?</v>
      </c>
      <c r="P687" s="6" t="str">
        <f t="shared" si="12"/>
        <v/>
      </c>
    </row>
    <row r="688" spans="3:16" ht="14.25" customHeight="1" x14ac:dyDescent="0.3">
      <c r="C688" s="6" t="str">
        <f t="shared" si="13"/>
        <v/>
      </c>
      <c r="D688" s="6" t="str">
        <f t="shared" si="14"/>
        <v/>
      </c>
      <c r="F688" s="6" t="str">
        <f>IF($C688="","",COUNTIFS(Chicks!$F:$F,$C688,Chicks!$G:$G,$D688))</f>
        <v/>
      </c>
      <c r="G688" s="6" t="str">
        <f>IF($C688="","",COUNTIFS(Chicks!$F:$F,$C688,Chicks!$G:$G,$D688,Chicks!$I:$I,"Yes"))</f>
        <v/>
      </c>
      <c r="H688" s="6" t="str">
        <f>IF($C688="","",SUMIFS(Chicks!$J:$J,Chicks!$F:$F,$C688,Chicks!$G:$G,$D688))</f>
        <v/>
      </c>
      <c r="I688" s="6" t="str">
        <f>IF($C688="","",COUNTIFS(Chicks!$F:$F,$C688,Chicks!$G:$G,$D688,Chicks!$I:$I,"No"))</f>
        <v/>
      </c>
      <c r="J688" s="6" t="str">
        <f>IF($C688="","",IFERROR(AVERAGEIFS(Chicks!$M:$M,Chicks!$F:$F,$C688,Chicks!$G:$G,$D688),""))</f>
        <v/>
      </c>
      <c r="K688" s="6" t="str">
        <f>IF($C688="","",SUMIFS(Chicks!$N:$N,Chicks!$F:$F,$C688,Chicks!$G:$G,$D688))</f>
        <v/>
      </c>
      <c r="L688" s="6" t="str">
        <f>IF($C688="","",SUMIFS(Chicks!$O:$O,Chicks!$F:$F,$C688,Chicks!$G:$G,$D688))</f>
        <v/>
      </c>
      <c r="M688" s="6" t="str">
        <f>IF($C688="","",SUMIFS(Chicks!$P:$P,Chicks!$F:$F,$C688,Chicks!$G:$G,$D688))</f>
        <v/>
      </c>
      <c r="N688" s="6" t="str">
        <f t="shared" si="10"/>
        <v/>
      </c>
      <c r="O688" s="6" t="e">
        <f t="shared" ca="1" si="11"/>
        <v>#NAME?</v>
      </c>
      <c r="P688" s="6" t="str">
        <f t="shared" si="12"/>
        <v/>
      </c>
    </row>
    <row r="689" spans="3:16" ht="14.25" customHeight="1" x14ac:dyDescent="0.3">
      <c r="C689" s="6" t="str">
        <f t="shared" si="13"/>
        <v/>
      </c>
      <c r="D689" s="6" t="str">
        <f t="shared" si="14"/>
        <v/>
      </c>
      <c r="F689" s="6" t="str">
        <f>IF($C689="","",COUNTIFS(Chicks!$F:$F,$C689,Chicks!$G:$G,$D689))</f>
        <v/>
      </c>
      <c r="G689" s="6" t="str">
        <f>IF($C689="","",COUNTIFS(Chicks!$F:$F,$C689,Chicks!$G:$G,$D689,Chicks!$I:$I,"Yes"))</f>
        <v/>
      </c>
      <c r="H689" s="6" t="str">
        <f>IF($C689="","",SUMIFS(Chicks!$J:$J,Chicks!$F:$F,$C689,Chicks!$G:$G,$D689))</f>
        <v/>
      </c>
      <c r="I689" s="6" t="str">
        <f>IF($C689="","",COUNTIFS(Chicks!$F:$F,$C689,Chicks!$G:$G,$D689,Chicks!$I:$I,"No"))</f>
        <v/>
      </c>
      <c r="J689" s="6" t="str">
        <f>IF($C689="","",IFERROR(AVERAGEIFS(Chicks!$M:$M,Chicks!$F:$F,$C689,Chicks!$G:$G,$D689),""))</f>
        <v/>
      </c>
      <c r="K689" s="6" t="str">
        <f>IF($C689="","",SUMIFS(Chicks!$N:$N,Chicks!$F:$F,$C689,Chicks!$G:$G,$D689))</f>
        <v/>
      </c>
      <c r="L689" s="6" t="str">
        <f>IF($C689="","",SUMIFS(Chicks!$O:$O,Chicks!$F:$F,$C689,Chicks!$G:$G,$D689))</f>
        <v/>
      </c>
      <c r="M689" s="6" t="str">
        <f>IF($C689="","",SUMIFS(Chicks!$P:$P,Chicks!$F:$F,$C689,Chicks!$G:$G,$D689))</f>
        <v/>
      </c>
      <c r="N689" s="6" t="str">
        <f t="shared" si="10"/>
        <v/>
      </c>
      <c r="O689" s="6" t="e">
        <f t="shared" ca="1" si="11"/>
        <v>#NAME?</v>
      </c>
      <c r="P689" s="6" t="str">
        <f t="shared" si="12"/>
        <v/>
      </c>
    </row>
    <row r="690" spans="3:16" ht="14.25" customHeight="1" x14ac:dyDescent="0.3">
      <c r="C690" s="6" t="str">
        <f t="shared" si="13"/>
        <v/>
      </c>
      <c r="D690" s="6" t="str">
        <f t="shared" si="14"/>
        <v/>
      </c>
      <c r="F690" s="6" t="str">
        <f>IF($C690="","",COUNTIFS(Chicks!$F:$F,$C690,Chicks!$G:$G,$D690))</f>
        <v/>
      </c>
      <c r="G690" s="6" t="str">
        <f>IF($C690="","",COUNTIFS(Chicks!$F:$F,$C690,Chicks!$G:$G,$D690,Chicks!$I:$I,"Yes"))</f>
        <v/>
      </c>
      <c r="H690" s="6" t="str">
        <f>IF($C690="","",SUMIFS(Chicks!$J:$J,Chicks!$F:$F,$C690,Chicks!$G:$G,$D690))</f>
        <v/>
      </c>
      <c r="I690" s="6" t="str">
        <f>IF($C690="","",COUNTIFS(Chicks!$F:$F,$C690,Chicks!$G:$G,$D690,Chicks!$I:$I,"No"))</f>
        <v/>
      </c>
      <c r="J690" s="6" t="str">
        <f>IF($C690="","",IFERROR(AVERAGEIFS(Chicks!$M:$M,Chicks!$F:$F,$C690,Chicks!$G:$G,$D690),""))</f>
        <v/>
      </c>
      <c r="K690" s="6" t="str">
        <f>IF($C690="","",SUMIFS(Chicks!$N:$N,Chicks!$F:$F,$C690,Chicks!$G:$G,$D690))</f>
        <v/>
      </c>
      <c r="L690" s="6" t="str">
        <f>IF($C690="","",SUMIFS(Chicks!$O:$O,Chicks!$F:$F,$C690,Chicks!$G:$G,$D690))</f>
        <v/>
      </c>
      <c r="M690" s="6" t="str">
        <f>IF($C690="","",SUMIFS(Chicks!$P:$P,Chicks!$F:$F,$C690,Chicks!$G:$G,$D690))</f>
        <v/>
      </c>
      <c r="N690" s="6" t="str">
        <f t="shared" si="10"/>
        <v/>
      </c>
      <c r="O690" s="6" t="e">
        <f t="shared" ca="1" si="11"/>
        <v>#NAME?</v>
      </c>
      <c r="P690" s="6" t="str">
        <f t="shared" si="12"/>
        <v/>
      </c>
    </row>
    <row r="691" spans="3:16" ht="14.25" customHeight="1" x14ac:dyDescent="0.3">
      <c r="C691" s="6" t="str">
        <f t="shared" si="13"/>
        <v/>
      </c>
      <c r="D691" s="6" t="str">
        <f t="shared" si="14"/>
        <v/>
      </c>
      <c r="F691" s="6" t="str">
        <f>IF($C691="","",COUNTIFS(Chicks!$F:$F,$C691,Chicks!$G:$G,$D691))</f>
        <v/>
      </c>
      <c r="G691" s="6" t="str">
        <f>IF($C691="","",COUNTIFS(Chicks!$F:$F,$C691,Chicks!$G:$G,$D691,Chicks!$I:$I,"Yes"))</f>
        <v/>
      </c>
      <c r="H691" s="6" t="str">
        <f>IF($C691="","",SUMIFS(Chicks!$J:$J,Chicks!$F:$F,$C691,Chicks!$G:$G,$D691))</f>
        <v/>
      </c>
      <c r="I691" s="6" t="str">
        <f>IF($C691="","",COUNTIFS(Chicks!$F:$F,$C691,Chicks!$G:$G,$D691,Chicks!$I:$I,"No"))</f>
        <v/>
      </c>
      <c r="J691" s="6" t="str">
        <f>IF($C691="","",IFERROR(AVERAGEIFS(Chicks!$M:$M,Chicks!$F:$F,$C691,Chicks!$G:$G,$D691),""))</f>
        <v/>
      </c>
      <c r="K691" s="6" t="str">
        <f>IF($C691="","",SUMIFS(Chicks!$N:$N,Chicks!$F:$F,$C691,Chicks!$G:$G,$D691))</f>
        <v/>
      </c>
      <c r="L691" s="6" t="str">
        <f>IF($C691="","",SUMIFS(Chicks!$O:$O,Chicks!$F:$F,$C691,Chicks!$G:$G,$D691))</f>
        <v/>
      </c>
      <c r="M691" s="6" t="str">
        <f>IF($C691="","",SUMIFS(Chicks!$P:$P,Chicks!$F:$F,$C691,Chicks!$G:$G,$D691))</f>
        <v/>
      </c>
      <c r="N691" s="6" t="str">
        <f t="shared" si="10"/>
        <v/>
      </c>
      <c r="O691" s="6" t="e">
        <f t="shared" ca="1" si="11"/>
        <v>#NAME?</v>
      </c>
      <c r="P691" s="6" t="str">
        <f t="shared" si="12"/>
        <v/>
      </c>
    </row>
    <row r="692" spans="3:16" ht="14.25" customHeight="1" x14ac:dyDescent="0.3">
      <c r="C692" s="6" t="str">
        <f t="shared" si="13"/>
        <v/>
      </c>
      <c r="D692" s="6" t="str">
        <f t="shared" si="14"/>
        <v/>
      </c>
      <c r="F692" s="6" t="str">
        <f>IF($C692="","",COUNTIFS(Chicks!$F:$F,$C692,Chicks!$G:$G,$D692))</f>
        <v/>
      </c>
      <c r="G692" s="6" t="str">
        <f>IF($C692="","",COUNTIFS(Chicks!$F:$F,$C692,Chicks!$G:$G,$D692,Chicks!$I:$I,"Yes"))</f>
        <v/>
      </c>
      <c r="H692" s="6" t="str">
        <f>IF($C692="","",SUMIFS(Chicks!$J:$J,Chicks!$F:$F,$C692,Chicks!$G:$G,$D692))</f>
        <v/>
      </c>
      <c r="I692" s="6" t="str">
        <f>IF($C692="","",COUNTIFS(Chicks!$F:$F,$C692,Chicks!$G:$G,$D692,Chicks!$I:$I,"No"))</f>
        <v/>
      </c>
      <c r="J692" s="6" t="str">
        <f>IF($C692="","",IFERROR(AVERAGEIFS(Chicks!$M:$M,Chicks!$F:$F,$C692,Chicks!$G:$G,$D692),""))</f>
        <v/>
      </c>
      <c r="K692" s="6" t="str">
        <f>IF($C692="","",SUMIFS(Chicks!$N:$N,Chicks!$F:$F,$C692,Chicks!$G:$G,$D692))</f>
        <v/>
      </c>
      <c r="L692" s="6" t="str">
        <f>IF($C692="","",SUMIFS(Chicks!$O:$O,Chicks!$F:$F,$C692,Chicks!$G:$G,$D692))</f>
        <v/>
      </c>
      <c r="M692" s="6" t="str">
        <f>IF($C692="","",SUMIFS(Chicks!$P:$P,Chicks!$F:$F,$C692,Chicks!$G:$G,$D692))</f>
        <v/>
      </c>
      <c r="N692" s="6" t="str">
        <f t="shared" si="10"/>
        <v/>
      </c>
      <c r="O692" s="6" t="e">
        <f t="shared" ca="1" si="11"/>
        <v>#NAME?</v>
      </c>
      <c r="P692" s="6" t="str">
        <f t="shared" si="12"/>
        <v/>
      </c>
    </row>
    <row r="693" spans="3:16" ht="14.25" customHeight="1" x14ac:dyDescent="0.3">
      <c r="C693" s="6" t="str">
        <f t="shared" si="13"/>
        <v/>
      </c>
      <c r="D693" s="6" t="str">
        <f t="shared" si="14"/>
        <v/>
      </c>
      <c r="F693" s="6" t="str">
        <f>IF($C693="","",COUNTIFS(Chicks!$F:$F,$C693,Chicks!$G:$G,$D693))</f>
        <v/>
      </c>
      <c r="G693" s="6" t="str">
        <f>IF($C693="","",COUNTIFS(Chicks!$F:$F,$C693,Chicks!$G:$G,$D693,Chicks!$I:$I,"Yes"))</f>
        <v/>
      </c>
      <c r="H693" s="6" t="str">
        <f>IF($C693="","",SUMIFS(Chicks!$J:$J,Chicks!$F:$F,$C693,Chicks!$G:$G,$D693))</f>
        <v/>
      </c>
      <c r="I693" s="6" t="str">
        <f>IF($C693="","",COUNTIFS(Chicks!$F:$F,$C693,Chicks!$G:$G,$D693,Chicks!$I:$I,"No"))</f>
        <v/>
      </c>
      <c r="J693" s="6" t="str">
        <f>IF($C693="","",IFERROR(AVERAGEIFS(Chicks!$M:$M,Chicks!$F:$F,$C693,Chicks!$G:$G,$D693),""))</f>
        <v/>
      </c>
      <c r="K693" s="6" t="str">
        <f>IF($C693="","",SUMIFS(Chicks!$N:$N,Chicks!$F:$F,$C693,Chicks!$G:$G,$D693))</f>
        <v/>
      </c>
      <c r="L693" s="6" t="str">
        <f>IF($C693="","",SUMIFS(Chicks!$O:$O,Chicks!$F:$F,$C693,Chicks!$G:$G,$D693))</f>
        <v/>
      </c>
      <c r="M693" s="6" t="str">
        <f>IF($C693="","",SUMIFS(Chicks!$P:$P,Chicks!$F:$F,$C693,Chicks!$G:$G,$D693))</f>
        <v/>
      </c>
      <c r="N693" s="6" t="str">
        <f t="shared" si="10"/>
        <v/>
      </c>
      <c r="O693" s="6" t="e">
        <f t="shared" ca="1" si="11"/>
        <v>#NAME?</v>
      </c>
      <c r="P693" s="6" t="str">
        <f t="shared" si="12"/>
        <v/>
      </c>
    </row>
    <row r="694" spans="3:16" ht="14.25" customHeight="1" x14ac:dyDescent="0.3">
      <c r="C694" s="6" t="str">
        <f t="shared" si="13"/>
        <v/>
      </c>
      <c r="D694" s="6" t="str">
        <f t="shared" si="14"/>
        <v/>
      </c>
      <c r="F694" s="6" t="str">
        <f>IF($C694="","",COUNTIFS(Chicks!$F:$F,$C694,Chicks!$G:$G,$D694))</f>
        <v/>
      </c>
      <c r="G694" s="6" t="str">
        <f>IF($C694="","",COUNTIFS(Chicks!$F:$F,$C694,Chicks!$G:$G,$D694,Chicks!$I:$I,"Yes"))</f>
        <v/>
      </c>
      <c r="H694" s="6" t="str">
        <f>IF($C694="","",SUMIFS(Chicks!$J:$J,Chicks!$F:$F,$C694,Chicks!$G:$G,$D694))</f>
        <v/>
      </c>
      <c r="I694" s="6" t="str">
        <f>IF($C694="","",COUNTIFS(Chicks!$F:$F,$C694,Chicks!$G:$G,$D694,Chicks!$I:$I,"No"))</f>
        <v/>
      </c>
      <c r="J694" s="6" t="str">
        <f>IF($C694="","",IFERROR(AVERAGEIFS(Chicks!$M:$M,Chicks!$F:$F,$C694,Chicks!$G:$G,$D694),""))</f>
        <v/>
      </c>
      <c r="K694" s="6" t="str">
        <f>IF($C694="","",SUMIFS(Chicks!$N:$N,Chicks!$F:$F,$C694,Chicks!$G:$G,$D694))</f>
        <v/>
      </c>
      <c r="L694" s="6" t="str">
        <f>IF($C694="","",SUMIFS(Chicks!$O:$O,Chicks!$F:$F,$C694,Chicks!$G:$G,$D694))</f>
        <v/>
      </c>
      <c r="M694" s="6" t="str">
        <f>IF($C694="","",SUMIFS(Chicks!$P:$P,Chicks!$F:$F,$C694,Chicks!$G:$G,$D694))</f>
        <v/>
      </c>
      <c r="N694" s="6" t="str">
        <f t="shared" si="10"/>
        <v/>
      </c>
      <c r="O694" s="6" t="e">
        <f t="shared" ca="1" si="11"/>
        <v>#NAME?</v>
      </c>
      <c r="P694" s="6" t="str">
        <f t="shared" si="12"/>
        <v/>
      </c>
    </row>
    <row r="695" spans="3:16" ht="14.25" customHeight="1" x14ac:dyDescent="0.3">
      <c r="C695" s="6" t="str">
        <f t="shared" si="13"/>
        <v/>
      </c>
      <c r="D695" s="6" t="str">
        <f t="shared" si="14"/>
        <v/>
      </c>
      <c r="F695" s="6" t="str">
        <f>IF($C695="","",COUNTIFS(Chicks!$F:$F,$C695,Chicks!$G:$G,$D695))</f>
        <v/>
      </c>
      <c r="G695" s="6" t="str">
        <f>IF($C695="","",COUNTIFS(Chicks!$F:$F,$C695,Chicks!$G:$G,$D695,Chicks!$I:$I,"Yes"))</f>
        <v/>
      </c>
      <c r="H695" s="6" t="str">
        <f>IF($C695="","",SUMIFS(Chicks!$J:$J,Chicks!$F:$F,$C695,Chicks!$G:$G,$D695))</f>
        <v/>
      </c>
      <c r="I695" s="6" t="str">
        <f>IF($C695="","",COUNTIFS(Chicks!$F:$F,$C695,Chicks!$G:$G,$D695,Chicks!$I:$I,"No"))</f>
        <v/>
      </c>
      <c r="J695" s="6" t="str">
        <f>IF($C695="","",IFERROR(AVERAGEIFS(Chicks!$M:$M,Chicks!$F:$F,$C695,Chicks!$G:$G,$D695),""))</f>
        <v/>
      </c>
      <c r="K695" s="6" t="str">
        <f>IF($C695="","",SUMIFS(Chicks!$N:$N,Chicks!$F:$F,$C695,Chicks!$G:$G,$D695))</f>
        <v/>
      </c>
      <c r="L695" s="6" t="str">
        <f>IF($C695="","",SUMIFS(Chicks!$O:$O,Chicks!$F:$F,$C695,Chicks!$G:$G,$D695))</f>
        <v/>
      </c>
      <c r="M695" s="6" t="str">
        <f>IF($C695="","",SUMIFS(Chicks!$P:$P,Chicks!$F:$F,$C695,Chicks!$G:$G,$D695))</f>
        <v/>
      </c>
      <c r="N695" s="6" t="str">
        <f t="shared" si="10"/>
        <v/>
      </c>
      <c r="O695" s="6" t="e">
        <f t="shared" ca="1" si="11"/>
        <v>#NAME?</v>
      </c>
      <c r="P695" s="6" t="str">
        <f t="shared" si="12"/>
        <v/>
      </c>
    </row>
    <row r="696" spans="3:16" ht="14.25" customHeight="1" x14ac:dyDescent="0.3">
      <c r="C696" s="6" t="str">
        <f t="shared" si="13"/>
        <v/>
      </c>
      <c r="D696" s="6" t="str">
        <f t="shared" si="14"/>
        <v/>
      </c>
      <c r="F696" s="6" t="str">
        <f>IF($C696="","",COUNTIFS(Chicks!$F:$F,$C696,Chicks!$G:$G,$D696))</f>
        <v/>
      </c>
      <c r="G696" s="6" t="str">
        <f>IF($C696="","",COUNTIFS(Chicks!$F:$F,$C696,Chicks!$G:$G,$D696,Chicks!$I:$I,"Yes"))</f>
        <v/>
      </c>
      <c r="H696" s="6" t="str">
        <f>IF($C696="","",SUMIFS(Chicks!$J:$J,Chicks!$F:$F,$C696,Chicks!$G:$G,$D696))</f>
        <v/>
      </c>
      <c r="I696" s="6" t="str">
        <f>IF($C696="","",COUNTIFS(Chicks!$F:$F,$C696,Chicks!$G:$G,$D696,Chicks!$I:$I,"No"))</f>
        <v/>
      </c>
      <c r="J696" s="6" t="str">
        <f>IF($C696="","",IFERROR(AVERAGEIFS(Chicks!$M:$M,Chicks!$F:$F,$C696,Chicks!$G:$G,$D696),""))</f>
        <v/>
      </c>
      <c r="K696" s="6" t="str">
        <f>IF($C696="","",SUMIFS(Chicks!$N:$N,Chicks!$F:$F,$C696,Chicks!$G:$G,$D696))</f>
        <v/>
      </c>
      <c r="L696" s="6" t="str">
        <f>IF($C696="","",SUMIFS(Chicks!$O:$O,Chicks!$F:$F,$C696,Chicks!$G:$G,$D696))</f>
        <v/>
      </c>
      <c r="M696" s="6" t="str">
        <f>IF($C696="","",SUMIFS(Chicks!$P:$P,Chicks!$F:$F,$C696,Chicks!$G:$G,$D696))</f>
        <v/>
      </c>
      <c r="N696" s="6" t="str">
        <f t="shared" si="10"/>
        <v/>
      </c>
      <c r="O696" s="6" t="e">
        <f t="shared" ca="1" si="11"/>
        <v>#NAME?</v>
      </c>
      <c r="P696" s="6" t="str">
        <f t="shared" si="12"/>
        <v/>
      </c>
    </row>
    <row r="697" spans="3:16" ht="14.25" customHeight="1" x14ac:dyDescent="0.3">
      <c r="C697" s="6" t="str">
        <f t="shared" si="13"/>
        <v/>
      </c>
      <c r="D697" s="6" t="str">
        <f t="shared" si="14"/>
        <v/>
      </c>
      <c r="F697" s="6" t="str">
        <f>IF($C697="","",COUNTIFS(Chicks!$F:$F,$C697,Chicks!$G:$G,$D697))</f>
        <v/>
      </c>
      <c r="G697" s="6" t="str">
        <f>IF($C697="","",COUNTIFS(Chicks!$F:$F,$C697,Chicks!$G:$G,$D697,Chicks!$I:$I,"Yes"))</f>
        <v/>
      </c>
      <c r="H697" s="6" t="str">
        <f>IF($C697="","",SUMIFS(Chicks!$J:$J,Chicks!$F:$F,$C697,Chicks!$G:$G,$D697))</f>
        <v/>
      </c>
      <c r="I697" s="6" t="str">
        <f>IF($C697="","",COUNTIFS(Chicks!$F:$F,$C697,Chicks!$G:$G,$D697,Chicks!$I:$I,"No"))</f>
        <v/>
      </c>
      <c r="J697" s="6" t="str">
        <f>IF($C697="","",IFERROR(AVERAGEIFS(Chicks!$M:$M,Chicks!$F:$F,$C697,Chicks!$G:$G,$D697),""))</f>
        <v/>
      </c>
      <c r="K697" s="6" t="str">
        <f>IF($C697="","",SUMIFS(Chicks!$N:$N,Chicks!$F:$F,$C697,Chicks!$G:$G,$D697))</f>
        <v/>
      </c>
      <c r="L697" s="6" t="str">
        <f>IF($C697="","",SUMIFS(Chicks!$O:$O,Chicks!$F:$F,$C697,Chicks!$G:$G,$D697))</f>
        <v/>
      </c>
      <c r="M697" s="6" t="str">
        <f>IF($C697="","",SUMIFS(Chicks!$P:$P,Chicks!$F:$F,$C697,Chicks!$G:$G,$D697))</f>
        <v/>
      </c>
      <c r="N697" s="6" t="str">
        <f t="shared" si="10"/>
        <v/>
      </c>
      <c r="O697" s="6" t="e">
        <f t="shared" ca="1" si="11"/>
        <v>#NAME?</v>
      </c>
      <c r="P697" s="6" t="str">
        <f t="shared" si="12"/>
        <v/>
      </c>
    </row>
    <row r="698" spans="3:16" ht="14.25" customHeight="1" x14ac:dyDescent="0.3">
      <c r="C698" s="6" t="str">
        <f t="shared" si="13"/>
        <v/>
      </c>
      <c r="D698" s="6" t="str">
        <f t="shared" si="14"/>
        <v/>
      </c>
      <c r="F698" s="6" t="str">
        <f>IF($C698="","",COUNTIFS(Chicks!$F:$F,$C698,Chicks!$G:$G,$D698))</f>
        <v/>
      </c>
      <c r="G698" s="6" t="str">
        <f>IF($C698="","",COUNTIFS(Chicks!$F:$F,$C698,Chicks!$G:$G,$D698,Chicks!$I:$I,"Yes"))</f>
        <v/>
      </c>
      <c r="H698" s="6" t="str">
        <f>IF($C698="","",SUMIFS(Chicks!$J:$J,Chicks!$F:$F,$C698,Chicks!$G:$G,$D698))</f>
        <v/>
      </c>
      <c r="I698" s="6" t="str">
        <f>IF($C698="","",COUNTIFS(Chicks!$F:$F,$C698,Chicks!$G:$G,$D698,Chicks!$I:$I,"No"))</f>
        <v/>
      </c>
      <c r="J698" s="6" t="str">
        <f>IF($C698="","",IFERROR(AVERAGEIFS(Chicks!$M:$M,Chicks!$F:$F,$C698,Chicks!$G:$G,$D698),""))</f>
        <v/>
      </c>
      <c r="K698" s="6" t="str">
        <f>IF($C698="","",SUMIFS(Chicks!$N:$N,Chicks!$F:$F,$C698,Chicks!$G:$G,$D698))</f>
        <v/>
      </c>
      <c r="L698" s="6" t="str">
        <f>IF($C698="","",SUMIFS(Chicks!$O:$O,Chicks!$F:$F,$C698,Chicks!$G:$G,$D698))</f>
        <v/>
      </c>
      <c r="M698" s="6" t="str">
        <f>IF($C698="","",SUMIFS(Chicks!$P:$P,Chicks!$F:$F,$C698,Chicks!$G:$G,$D698))</f>
        <v/>
      </c>
      <c r="N698" s="6" t="str">
        <f t="shared" si="10"/>
        <v/>
      </c>
      <c r="O698" s="6" t="e">
        <f t="shared" ca="1" si="11"/>
        <v>#NAME?</v>
      </c>
      <c r="P698" s="6" t="str">
        <f t="shared" si="12"/>
        <v/>
      </c>
    </row>
    <row r="699" spans="3:16" ht="14.25" customHeight="1" x14ac:dyDescent="0.3">
      <c r="C699" s="6" t="str">
        <f t="shared" si="13"/>
        <v/>
      </c>
      <c r="D699" s="6" t="str">
        <f t="shared" si="14"/>
        <v/>
      </c>
      <c r="F699" s="6" t="str">
        <f>IF($C699="","",COUNTIFS(Chicks!$F:$F,$C699,Chicks!$G:$G,$D699))</f>
        <v/>
      </c>
      <c r="G699" s="6" t="str">
        <f>IF($C699="","",COUNTIFS(Chicks!$F:$F,$C699,Chicks!$G:$G,$D699,Chicks!$I:$I,"Yes"))</f>
        <v/>
      </c>
      <c r="H699" s="6" t="str">
        <f>IF($C699="","",SUMIFS(Chicks!$J:$J,Chicks!$F:$F,$C699,Chicks!$G:$G,$D699))</f>
        <v/>
      </c>
      <c r="I699" s="6" t="str">
        <f>IF($C699="","",COUNTIFS(Chicks!$F:$F,$C699,Chicks!$G:$G,$D699,Chicks!$I:$I,"No"))</f>
        <v/>
      </c>
      <c r="J699" s="6" t="str">
        <f>IF($C699="","",IFERROR(AVERAGEIFS(Chicks!$M:$M,Chicks!$F:$F,$C699,Chicks!$G:$G,$D699),""))</f>
        <v/>
      </c>
      <c r="K699" s="6" t="str">
        <f>IF($C699="","",SUMIFS(Chicks!$N:$N,Chicks!$F:$F,$C699,Chicks!$G:$G,$D699))</f>
        <v/>
      </c>
      <c r="L699" s="6" t="str">
        <f>IF($C699="","",SUMIFS(Chicks!$O:$O,Chicks!$F:$F,$C699,Chicks!$G:$G,$D699))</f>
        <v/>
      </c>
      <c r="M699" s="6" t="str">
        <f>IF($C699="","",SUMIFS(Chicks!$P:$P,Chicks!$F:$F,$C699,Chicks!$G:$G,$D699))</f>
        <v/>
      </c>
      <c r="N699" s="6" t="str">
        <f t="shared" si="10"/>
        <v/>
      </c>
      <c r="O699" s="6" t="e">
        <f t="shared" ca="1" si="11"/>
        <v>#NAME?</v>
      </c>
      <c r="P699" s="6" t="str">
        <f t="shared" si="12"/>
        <v/>
      </c>
    </row>
    <row r="700" spans="3:16" ht="14.25" customHeight="1" x14ac:dyDescent="0.3">
      <c r="C700" s="6" t="str">
        <f t="shared" si="13"/>
        <v/>
      </c>
      <c r="D700" s="6" t="str">
        <f t="shared" si="14"/>
        <v/>
      </c>
      <c r="F700" s="6" t="str">
        <f>IF($C700="","",COUNTIFS(Chicks!$F:$F,$C700,Chicks!$G:$G,$D700))</f>
        <v/>
      </c>
      <c r="G700" s="6" t="str">
        <f>IF($C700="","",COUNTIFS(Chicks!$F:$F,$C700,Chicks!$G:$G,$D700,Chicks!$I:$I,"Yes"))</f>
        <v/>
      </c>
      <c r="H700" s="6" t="str">
        <f>IF($C700="","",SUMIFS(Chicks!$J:$J,Chicks!$F:$F,$C700,Chicks!$G:$G,$D700))</f>
        <v/>
      </c>
      <c r="I700" s="6" t="str">
        <f>IF($C700="","",COUNTIFS(Chicks!$F:$F,$C700,Chicks!$G:$G,$D700,Chicks!$I:$I,"No"))</f>
        <v/>
      </c>
      <c r="J700" s="6" t="str">
        <f>IF($C700="","",IFERROR(AVERAGEIFS(Chicks!$M:$M,Chicks!$F:$F,$C700,Chicks!$G:$G,$D700),""))</f>
        <v/>
      </c>
      <c r="K700" s="6" t="str">
        <f>IF($C700="","",SUMIFS(Chicks!$N:$N,Chicks!$F:$F,$C700,Chicks!$G:$G,$D700))</f>
        <v/>
      </c>
      <c r="L700" s="6" t="str">
        <f>IF($C700="","",SUMIFS(Chicks!$O:$O,Chicks!$F:$F,$C700,Chicks!$G:$G,$D700))</f>
        <v/>
      </c>
      <c r="M700" s="6" t="str">
        <f>IF($C700="","",SUMIFS(Chicks!$P:$P,Chicks!$F:$F,$C700,Chicks!$G:$G,$D700))</f>
        <v/>
      </c>
      <c r="N700" s="6" t="str">
        <f t="shared" si="10"/>
        <v/>
      </c>
      <c r="O700" s="6" t="e">
        <f t="shared" ca="1" si="11"/>
        <v>#NAME?</v>
      </c>
      <c r="P700" s="6" t="str">
        <f t="shared" si="12"/>
        <v/>
      </c>
    </row>
    <row r="701" spans="3:16" ht="14.25" customHeight="1" x14ac:dyDescent="0.3">
      <c r="C701" s="6" t="str">
        <f t="shared" si="13"/>
        <v/>
      </c>
      <c r="D701" s="6" t="str">
        <f t="shared" si="14"/>
        <v/>
      </c>
      <c r="F701" s="6" t="str">
        <f>IF($C701="","",COUNTIFS(Chicks!$F:$F,$C701,Chicks!$G:$G,$D701))</f>
        <v/>
      </c>
      <c r="G701" s="6" t="str">
        <f>IF($C701="","",COUNTIFS(Chicks!$F:$F,$C701,Chicks!$G:$G,$D701,Chicks!$I:$I,"Yes"))</f>
        <v/>
      </c>
      <c r="H701" s="6" t="str">
        <f>IF($C701="","",SUMIFS(Chicks!$J:$J,Chicks!$F:$F,$C701,Chicks!$G:$G,$D701))</f>
        <v/>
      </c>
      <c r="I701" s="6" t="str">
        <f>IF($C701="","",COUNTIFS(Chicks!$F:$F,$C701,Chicks!$G:$G,$D701,Chicks!$I:$I,"No"))</f>
        <v/>
      </c>
      <c r="J701" s="6" t="str">
        <f>IF($C701="","",IFERROR(AVERAGEIFS(Chicks!$M:$M,Chicks!$F:$F,$C701,Chicks!$G:$G,$D701),""))</f>
        <v/>
      </c>
      <c r="K701" s="6" t="str">
        <f>IF($C701="","",SUMIFS(Chicks!$N:$N,Chicks!$F:$F,$C701,Chicks!$G:$G,$D701))</f>
        <v/>
      </c>
      <c r="L701" s="6" t="str">
        <f>IF($C701="","",SUMIFS(Chicks!$O:$O,Chicks!$F:$F,$C701,Chicks!$G:$G,$D701))</f>
        <v/>
      </c>
      <c r="M701" s="6" t="str">
        <f>IF($C701="","",SUMIFS(Chicks!$P:$P,Chicks!$F:$F,$C701,Chicks!$G:$G,$D701))</f>
        <v/>
      </c>
      <c r="N701" s="6" t="str">
        <f t="shared" si="10"/>
        <v/>
      </c>
      <c r="O701" s="6" t="e">
        <f t="shared" ca="1" si="11"/>
        <v>#NAME?</v>
      </c>
      <c r="P701" s="6" t="str">
        <f t="shared" si="12"/>
        <v/>
      </c>
    </row>
    <row r="702" spans="3:16" ht="14.25" customHeight="1" x14ac:dyDescent="0.3">
      <c r="C702" s="6" t="str">
        <f t="shared" si="13"/>
        <v/>
      </c>
      <c r="D702" s="6" t="str">
        <f t="shared" si="14"/>
        <v/>
      </c>
      <c r="F702" s="6" t="str">
        <f>IF($C702="","",COUNTIFS(Chicks!$F:$F,$C702,Chicks!$G:$G,$D702))</f>
        <v/>
      </c>
      <c r="G702" s="6" t="str">
        <f>IF($C702="","",COUNTIFS(Chicks!$F:$F,$C702,Chicks!$G:$G,$D702,Chicks!$I:$I,"Yes"))</f>
        <v/>
      </c>
      <c r="H702" s="6" t="str">
        <f>IF($C702="","",SUMIFS(Chicks!$J:$J,Chicks!$F:$F,$C702,Chicks!$G:$G,$D702))</f>
        <v/>
      </c>
      <c r="I702" s="6" t="str">
        <f>IF($C702="","",COUNTIFS(Chicks!$F:$F,$C702,Chicks!$G:$G,$D702,Chicks!$I:$I,"No"))</f>
        <v/>
      </c>
      <c r="J702" s="6" t="str">
        <f>IF($C702="","",IFERROR(AVERAGEIFS(Chicks!$M:$M,Chicks!$F:$F,$C702,Chicks!$G:$G,$D702),""))</f>
        <v/>
      </c>
      <c r="K702" s="6" t="str">
        <f>IF($C702="","",SUMIFS(Chicks!$N:$N,Chicks!$F:$F,$C702,Chicks!$G:$G,$D702))</f>
        <v/>
      </c>
      <c r="L702" s="6" t="str">
        <f>IF($C702="","",SUMIFS(Chicks!$O:$O,Chicks!$F:$F,$C702,Chicks!$G:$G,$D702))</f>
        <v/>
      </c>
      <c r="M702" s="6" t="str">
        <f>IF($C702="","",SUMIFS(Chicks!$P:$P,Chicks!$F:$F,$C702,Chicks!$G:$G,$D702))</f>
        <v/>
      </c>
      <c r="N702" s="6" t="str">
        <f t="shared" si="10"/>
        <v/>
      </c>
      <c r="O702" s="6" t="e">
        <f t="shared" ca="1" si="11"/>
        <v>#NAME?</v>
      </c>
      <c r="P702" s="6" t="str">
        <f t="shared" si="12"/>
        <v/>
      </c>
    </row>
    <row r="703" spans="3:16" ht="14.25" customHeight="1" x14ac:dyDescent="0.3">
      <c r="C703" s="6" t="str">
        <f t="shared" si="13"/>
        <v/>
      </c>
      <c r="D703" s="6" t="str">
        <f t="shared" si="14"/>
        <v/>
      </c>
      <c r="F703" s="6" t="str">
        <f>IF($C703="","",COUNTIFS(Chicks!$F:$F,$C703,Chicks!$G:$G,$D703))</f>
        <v/>
      </c>
      <c r="G703" s="6" t="str">
        <f>IF($C703="","",COUNTIFS(Chicks!$F:$F,$C703,Chicks!$G:$G,$D703,Chicks!$I:$I,"Yes"))</f>
        <v/>
      </c>
      <c r="H703" s="6" t="str">
        <f>IF($C703="","",SUMIFS(Chicks!$J:$J,Chicks!$F:$F,$C703,Chicks!$G:$G,$D703))</f>
        <v/>
      </c>
      <c r="I703" s="6" t="str">
        <f>IF($C703="","",COUNTIFS(Chicks!$F:$F,$C703,Chicks!$G:$G,$D703,Chicks!$I:$I,"No"))</f>
        <v/>
      </c>
      <c r="J703" s="6" t="str">
        <f>IF($C703="","",IFERROR(AVERAGEIFS(Chicks!$M:$M,Chicks!$F:$F,$C703,Chicks!$G:$G,$D703),""))</f>
        <v/>
      </c>
      <c r="K703" s="6" t="str">
        <f>IF($C703="","",SUMIFS(Chicks!$N:$N,Chicks!$F:$F,$C703,Chicks!$G:$G,$D703))</f>
        <v/>
      </c>
      <c r="L703" s="6" t="str">
        <f>IF($C703="","",SUMIFS(Chicks!$O:$O,Chicks!$F:$F,$C703,Chicks!$G:$G,$D703))</f>
        <v/>
      </c>
      <c r="M703" s="6" t="str">
        <f>IF($C703="","",SUMIFS(Chicks!$P:$P,Chicks!$F:$F,$C703,Chicks!$G:$G,$D703))</f>
        <v/>
      </c>
      <c r="N703" s="6" t="str">
        <f t="shared" si="10"/>
        <v/>
      </c>
      <c r="O703" s="6" t="e">
        <f t="shared" ca="1" si="11"/>
        <v>#NAME?</v>
      </c>
      <c r="P703" s="6" t="str">
        <f t="shared" si="12"/>
        <v/>
      </c>
    </row>
    <row r="704" spans="3:16" ht="14.25" customHeight="1" x14ac:dyDescent="0.3">
      <c r="C704" s="6" t="str">
        <f t="shared" si="13"/>
        <v/>
      </c>
      <c r="D704" s="6" t="str">
        <f t="shared" si="14"/>
        <v/>
      </c>
      <c r="F704" s="6" t="str">
        <f>IF($C704="","",COUNTIFS(Chicks!$F:$F,$C704,Chicks!$G:$G,$D704))</f>
        <v/>
      </c>
      <c r="G704" s="6" t="str">
        <f>IF($C704="","",COUNTIFS(Chicks!$F:$F,$C704,Chicks!$G:$G,$D704,Chicks!$I:$I,"Yes"))</f>
        <v/>
      </c>
      <c r="H704" s="6" t="str">
        <f>IF($C704="","",SUMIFS(Chicks!$J:$J,Chicks!$F:$F,$C704,Chicks!$G:$G,$D704))</f>
        <v/>
      </c>
      <c r="I704" s="6" t="str">
        <f>IF($C704="","",COUNTIFS(Chicks!$F:$F,$C704,Chicks!$G:$G,$D704,Chicks!$I:$I,"No"))</f>
        <v/>
      </c>
      <c r="J704" s="6" t="str">
        <f>IF($C704="","",IFERROR(AVERAGEIFS(Chicks!$M:$M,Chicks!$F:$F,$C704,Chicks!$G:$G,$D704),""))</f>
        <v/>
      </c>
      <c r="K704" s="6" t="str">
        <f>IF($C704="","",SUMIFS(Chicks!$N:$N,Chicks!$F:$F,$C704,Chicks!$G:$G,$D704))</f>
        <v/>
      </c>
      <c r="L704" s="6" t="str">
        <f>IF($C704="","",SUMIFS(Chicks!$O:$O,Chicks!$F:$F,$C704,Chicks!$G:$G,$D704))</f>
        <v/>
      </c>
      <c r="M704" s="6" t="str">
        <f>IF($C704="","",SUMIFS(Chicks!$P:$P,Chicks!$F:$F,$C704,Chicks!$G:$G,$D704))</f>
        <v/>
      </c>
      <c r="N704" s="6" t="str">
        <f t="shared" si="10"/>
        <v/>
      </c>
      <c r="O704" s="6" t="e">
        <f t="shared" ca="1" si="11"/>
        <v>#NAME?</v>
      </c>
      <c r="P704" s="6" t="str">
        <f t="shared" si="12"/>
        <v/>
      </c>
    </row>
    <row r="705" spans="3:16" ht="14.25" customHeight="1" x14ac:dyDescent="0.3">
      <c r="C705" s="6" t="str">
        <f t="shared" si="13"/>
        <v/>
      </c>
      <c r="D705" s="6" t="str">
        <f t="shared" si="14"/>
        <v/>
      </c>
      <c r="F705" s="6" t="str">
        <f>IF($C705="","",COUNTIFS(Chicks!$F:$F,$C705,Chicks!$G:$G,$D705))</f>
        <v/>
      </c>
      <c r="G705" s="6" t="str">
        <f>IF($C705="","",COUNTIFS(Chicks!$F:$F,$C705,Chicks!$G:$G,$D705,Chicks!$I:$I,"Yes"))</f>
        <v/>
      </c>
      <c r="H705" s="6" t="str">
        <f>IF($C705="","",SUMIFS(Chicks!$J:$J,Chicks!$F:$F,$C705,Chicks!$G:$G,$D705))</f>
        <v/>
      </c>
      <c r="I705" s="6" t="str">
        <f>IF($C705="","",COUNTIFS(Chicks!$F:$F,$C705,Chicks!$G:$G,$D705,Chicks!$I:$I,"No"))</f>
        <v/>
      </c>
      <c r="J705" s="6" t="str">
        <f>IF($C705="","",IFERROR(AVERAGEIFS(Chicks!$M:$M,Chicks!$F:$F,$C705,Chicks!$G:$G,$D705),""))</f>
        <v/>
      </c>
      <c r="K705" s="6" t="str">
        <f>IF($C705="","",SUMIFS(Chicks!$N:$N,Chicks!$F:$F,$C705,Chicks!$G:$G,$D705))</f>
        <v/>
      </c>
      <c r="L705" s="6" t="str">
        <f>IF($C705="","",SUMIFS(Chicks!$O:$O,Chicks!$F:$F,$C705,Chicks!$G:$G,$D705))</f>
        <v/>
      </c>
      <c r="M705" s="6" t="str">
        <f>IF($C705="","",SUMIFS(Chicks!$P:$P,Chicks!$F:$F,$C705,Chicks!$G:$G,$D705))</f>
        <v/>
      </c>
      <c r="N705" s="6" t="str">
        <f t="shared" si="10"/>
        <v/>
      </c>
      <c r="O705" s="6" t="e">
        <f t="shared" ca="1" si="11"/>
        <v>#NAME?</v>
      </c>
      <c r="P705" s="6" t="str">
        <f t="shared" si="12"/>
        <v/>
      </c>
    </row>
    <row r="706" spans="3:16" ht="14.25" customHeight="1" x14ac:dyDescent="0.3">
      <c r="C706" s="6" t="str">
        <f t="shared" si="13"/>
        <v/>
      </c>
      <c r="D706" s="6" t="str">
        <f t="shared" si="14"/>
        <v/>
      </c>
      <c r="F706" s="6" t="str">
        <f>IF($C706="","",COUNTIFS(Chicks!$F:$F,$C706,Chicks!$G:$G,$D706))</f>
        <v/>
      </c>
      <c r="G706" s="6" t="str">
        <f>IF($C706="","",COUNTIFS(Chicks!$F:$F,$C706,Chicks!$G:$G,$D706,Chicks!$I:$I,"Yes"))</f>
        <v/>
      </c>
      <c r="H706" s="6" t="str">
        <f>IF($C706="","",SUMIFS(Chicks!$J:$J,Chicks!$F:$F,$C706,Chicks!$G:$G,$D706))</f>
        <v/>
      </c>
      <c r="I706" s="6" t="str">
        <f>IF($C706="","",COUNTIFS(Chicks!$F:$F,$C706,Chicks!$G:$G,$D706,Chicks!$I:$I,"No"))</f>
        <v/>
      </c>
      <c r="J706" s="6" t="str">
        <f>IF($C706="","",IFERROR(AVERAGEIFS(Chicks!$M:$M,Chicks!$F:$F,$C706,Chicks!$G:$G,$D706),""))</f>
        <v/>
      </c>
      <c r="K706" s="6" t="str">
        <f>IF($C706="","",SUMIFS(Chicks!$N:$N,Chicks!$F:$F,$C706,Chicks!$G:$G,$D706))</f>
        <v/>
      </c>
      <c r="L706" s="6" t="str">
        <f>IF($C706="","",SUMIFS(Chicks!$O:$O,Chicks!$F:$F,$C706,Chicks!$G:$G,$D706))</f>
        <v/>
      </c>
      <c r="M706" s="6" t="str">
        <f>IF($C706="","",SUMIFS(Chicks!$P:$P,Chicks!$F:$F,$C706,Chicks!$G:$G,$D706))</f>
        <v/>
      </c>
      <c r="N706" s="6" t="str">
        <f t="shared" si="10"/>
        <v/>
      </c>
      <c r="O706" s="6" t="e">
        <f t="shared" ca="1" si="11"/>
        <v>#NAME?</v>
      </c>
      <c r="P706" s="6" t="str">
        <f t="shared" si="12"/>
        <v/>
      </c>
    </row>
    <row r="707" spans="3:16" ht="14.25" customHeight="1" x14ac:dyDescent="0.3">
      <c r="C707" s="6" t="str">
        <f t="shared" si="13"/>
        <v/>
      </c>
      <c r="D707" s="6" t="str">
        <f t="shared" si="14"/>
        <v/>
      </c>
      <c r="F707" s="6" t="str">
        <f>IF($C707="","",COUNTIFS(Chicks!$F:$F,$C707,Chicks!$G:$G,$D707))</f>
        <v/>
      </c>
      <c r="G707" s="6" t="str">
        <f>IF($C707="","",COUNTIFS(Chicks!$F:$F,$C707,Chicks!$G:$G,$D707,Chicks!$I:$I,"Yes"))</f>
        <v/>
      </c>
      <c r="H707" s="6" t="str">
        <f>IF($C707="","",SUMIFS(Chicks!$J:$J,Chicks!$F:$F,$C707,Chicks!$G:$G,$D707))</f>
        <v/>
      </c>
      <c r="I707" s="6" t="str">
        <f>IF($C707="","",COUNTIFS(Chicks!$F:$F,$C707,Chicks!$G:$G,$D707,Chicks!$I:$I,"No"))</f>
        <v/>
      </c>
      <c r="J707" s="6" t="str">
        <f>IF($C707="","",IFERROR(AVERAGEIFS(Chicks!$M:$M,Chicks!$F:$F,$C707,Chicks!$G:$G,$D707),""))</f>
        <v/>
      </c>
      <c r="K707" s="6" t="str">
        <f>IF($C707="","",SUMIFS(Chicks!$N:$N,Chicks!$F:$F,$C707,Chicks!$G:$G,$D707))</f>
        <v/>
      </c>
      <c r="L707" s="6" t="str">
        <f>IF($C707="","",SUMIFS(Chicks!$O:$O,Chicks!$F:$F,$C707,Chicks!$G:$G,$D707))</f>
        <v/>
      </c>
      <c r="M707" s="6" t="str">
        <f>IF($C707="","",SUMIFS(Chicks!$P:$P,Chicks!$F:$F,$C707,Chicks!$G:$G,$D707))</f>
        <v/>
      </c>
      <c r="N707" s="6" t="str">
        <f t="shared" si="10"/>
        <v/>
      </c>
      <c r="O707" s="6" t="e">
        <f t="shared" ca="1" si="11"/>
        <v>#NAME?</v>
      </c>
      <c r="P707" s="6" t="str">
        <f t="shared" si="12"/>
        <v/>
      </c>
    </row>
    <row r="708" spans="3:16" ht="14.25" customHeight="1" x14ac:dyDescent="0.3">
      <c r="C708" s="6" t="str">
        <f t="shared" si="13"/>
        <v/>
      </c>
      <c r="D708" s="6" t="str">
        <f t="shared" si="14"/>
        <v/>
      </c>
      <c r="F708" s="6" t="str">
        <f>IF($C708="","",COUNTIFS(Chicks!$F:$F,$C708,Chicks!$G:$G,$D708))</f>
        <v/>
      </c>
      <c r="G708" s="6" t="str">
        <f>IF($C708="","",COUNTIFS(Chicks!$F:$F,$C708,Chicks!$G:$G,$D708,Chicks!$I:$I,"Yes"))</f>
        <v/>
      </c>
      <c r="H708" s="6" t="str">
        <f>IF($C708="","",SUMIFS(Chicks!$J:$J,Chicks!$F:$F,$C708,Chicks!$G:$G,$D708))</f>
        <v/>
      </c>
      <c r="I708" s="6" t="str">
        <f>IF($C708="","",COUNTIFS(Chicks!$F:$F,$C708,Chicks!$G:$G,$D708,Chicks!$I:$I,"No"))</f>
        <v/>
      </c>
      <c r="J708" s="6" t="str">
        <f>IF($C708="","",IFERROR(AVERAGEIFS(Chicks!$M:$M,Chicks!$F:$F,$C708,Chicks!$G:$G,$D708),""))</f>
        <v/>
      </c>
      <c r="K708" s="6" t="str">
        <f>IF($C708="","",SUMIFS(Chicks!$N:$N,Chicks!$F:$F,$C708,Chicks!$G:$G,$D708))</f>
        <v/>
      </c>
      <c r="L708" s="6" t="str">
        <f>IF($C708="","",SUMIFS(Chicks!$O:$O,Chicks!$F:$F,$C708,Chicks!$G:$G,$D708))</f>
        <v/>
      </c>
      <c r="M708" s="6" t="str">
        <f>IF($C708="","",SUMIFS(Chicks!$P:$P,Chicks!$F:$F,$C708,Chicks!$G:$G,$D708))</f>
        <v/>
      </c>
      <c r="N708" s="6" t="str">
        <f t="shared" si="10"/>
        <v/>
      </c>
      <c r="O708" s="6" t="e">
        <f t="shared" ca="1" si="11"/>
        <v>#NAME?</v>
      </c>
      <c r="P708" s="6" t="str">
        <f t="shared" si="12"/>
        <v/>
      </c>
    </row>
    <row r="709" spans="3:16" ht="14.25" customHeight="1" x14ac:dyDescent="0.3">
      <c r="C709" s="6" t="str">
        <f t="shared" si="13"/>
        <v/>
      </c>
      <c r="D709" s="6" t="str">
        <f t="shared" si="14"/>
        <v/>
      </c>
      <c r="F709" s="6" t="str">
        <f>IF($C709="","",COUNTIFS(Chicks!$F:$F,$C709,Chicks!$G:$G,$D709))</f>
        <v/>
      </c>
      <c r="G709" s="6" t="str">
        <f>IF($C709="","",COUNTIFS(Chicks!$F:$F,$C709,Chicks!$G:$G,$D709,Chicks!$I:$I,"Yes"))</f>
        <v/>
      </c>
      <c r="H709" s="6" t="str">
        <f>IF($C709="","",SUMIFS(Chicks!$J:$J,Chicks!$F:$F,$C709,Chicks!$G:$G,$D709))</f>
        <v/>
      </c>
      <c r="I709" s="6" t="str">
        <f>IF($C709="","",COUNTIFS(Chicks!$F:$F,$C709,Chicks!$G:$G,$D709,Chicks!$I:$I,"No"))</f>
        <v/>
      </c>
      <c r="J709" s="6" t="str">
        <f>IF($C709="","",IFERROR(AVERAGEIFS(Chicks!$M:$M,Chicks!$F:$F,$C709,Chicks!$G:$G,$D709),""))</f>
        <v/>
      </c>
      <c r="K709" s="6" t="str">
        <f>IF($C709="","",SUMIFS(Chicks!$N:$N,Chicks!$F:$F,$C709,Chicks!$G:$G,$D709))</f>
        <v/>
      </c>
      <c r="L709" s="6" t="str">
        <f>IF($C709="","",SUMIFS(Chicks!$O:$O,Chicks!$F:$F,$C709,Chicks!$G:$G,$D709))</f>
        <v/>
      </c>
      <c r="M709" s="6" t="str">
        <f>IF($C709="","",SUMIFS(Chicks!$P:$P,Chicks!$F:$F,$C709,Chicks!$G:$G,$D709))</f>
        <v/>
      </c>
      <c r="N709" s="6" t="str">
        <f t="shared" si="10"/>
        <v/>
      </c>
      <c r="O709" s="6" t="e">
        <f t="shared" ca="1" si="11"/>
        <v>#NAME?</v>
      </c>
      <c r="P709" s="6" t="str">
        <f t="shared" si="12"/>
        <v/>
      </c>
    </row>
    <row r="710" spans="3:16" ht="14.25" customHeight="1" x14ac:dyDescent="0.3">
      <c r="C710" s="6" t="str">
        <f t="shared" si="13"/>
        <v/>
      </c>
      <c r="D710" s="6" t="str">
        <f t="shared" si="14"/>
        <v/>
      </c>
      <c r="F710" s="6" t="str">
        <f>IF($C710="","",COUNTIFS(Chicks!$F:$F,$C710,Chicks!$G:$G,$D710))</f>
        <v/>
      </c>
      <c r="G710" s="6" t="str">
        <f>IF($C710="","",COUNTIFS(Chicks!$F:$F,$C710,Chicks!$G:$G,$D710,Chicks!$I:$I,"Yes"))</f>
        <v/>
      </c>
      <c r="H710" s="6" t="str">
        <f>IF($C710="","",SUMIFS(Chicks!$J:$J,Chicks!$F:$F,$C710,Chicks!$G:$G,$D710))</f>
        <v/>
      </c>
      <c r="I710" s="6" t="str">
        <f>IF($C710="","",COUNTIFS(Chicks!$F:$F,$C710,Chicks!$G:$G,$D710,Chicks!$I:$I,"No"))</f>
        <v/>
      </c>
      <c r="J710" s="6" t="str">
        <f>IF($C710="","",IFERROR(AVERAGEIFS(Chicks!$M:$M,Chicks!$F:$F,$C710,Chicks!$G:$G,$D710),""))</f>
        <v/>
      </c>
      <c r="K710" s="6" t="str">
        <f>IF($C710="","",SUMIFS(Chicks!$N:$N,Chicks!$F:$F,$C710,Chicks!$G:$G,$D710))</f>
        <v/>
      </c>
      <c r="L710" s="6" t="str">
        <f>IF($C710="","",SUMIFS(Chicks!$O:$O,Chicks!$F:$F,$C710,Chicks!$G:$G,$D710))</f>
        <v/>
      </c>
      <c r="M710" s="6" t="str">
        <f>IF($C710="","",SUMIFS(Chicks!$P:$P,Chicks!$F:$F,$C710,Chicks!$G:$G,$D710))</f>
        <v/>
      </c>
      <c r="N710" s="6" t="str">
        <f t="shared" si="10"/>
        <v/>
      </c>
      <c r="O710" s="6" t="e">
        <f t="shared" ca="1" si="11"/>
        <v>#NAME?</v>
      </c>
      <c r="P710" s="6" t="str">
        <f t="shared" si="12"/>
        <v/>
      </c>
    </row>
    <row r="711" spans="3:16" ht="14.25" customHeight="1" x14ac:dyDescent="0.3">
      <c r="C711" s="6" t="str">
        <f t="shared" si="13"/>
        <v/>
      </c>
      <c r="D711" s="6" t="str">
        <f t="shared" si="14"/>
        <v/>
      </c>
      <c r="F711" s="6" t="str">
        <f>IF($C711="","",COUNTIFS(Chicks!$F:$F,$C711,Chicks!$G:$G,$D711))</f>
        <v/>
      </c>
      <c r="G711" s="6" t="str">
        <f>IF($C711="","",COUNTIFS(Chicks!$F:$F,$C711,Chicks!$G:$G,$D711,Chicks!$I:$I,"Yes"))</f>
        <v/>
      </c>
      <c r="H711" s="6" t="str">
        <f>IF($C711="","",SUMIFS(Chicks!$J:$J,Chicks!$F:$F,$C711,Chicks!$G:$G,$D711))</f>
        <v/>
      </c>
      <c r="I711" s="6" t="str">
        <f>IF($C711="","",COUNTIFS(Chicks!$F:$F,$C711,Chicks!$G:$G,$D711,Chicks!$I:$I,"No"))</f>
        <v/>
      </c>
      <c r="J711" s="6" t="str">
        <f>IF($C711="","",IFERROR(AVERAGEIFS(Chicks!$M:$M,Chicks!$F:$F,$C711,Chicks!$G:$G,$D711),""))</f>
        <v/>
      </c>
      <c r="K711" s="6" t="str">
        <f>IF($C711="","",SUMIFS(Chicks!$N:$N,Chicks!$F:$F,$C711,Chicks!$G:$G,$D711))</f>
        <v/>
      </c>
      <c r="L711" s="6" t="str">
        <f>IF($C711="","",SUMIFS(Chicks!$O:$O,Chicks!$F:$F,$C711,Chicks!$G:$G,$D711))</f>
        <v/>
      </c>
      <c r="M711" s="6" t="str">
        <f>IF($C711="","",SUMIFS(Chicks!$P:$P,Chicks!$F:$F,$C711,Chicks!$G:$G,$D711))</f>
        <v/>
      </c>
      <c r="N711" s="6" t="str">
        <f t="shared" si="10"/>
        <v/>
      </c>
      <c r="O711" s="6" t="e">
        <f t="shared" ca="1" si="11"/>
        <v>#NAME?</v>
      </c>
      <c r="P711" s="6" t="str">
        <f t="shared" si="12"/>
        <v/>
      </c>
    </row>
    <row r="712" spans="3:16" ht="14.25" customHeight="1" x14ac:dyDescent="0.3">
      <c r="C712" s="6" t="str">
        <f t="shared" si="13"/>
        <v/>
      </c>
      <c r="D712" s="6" t="str">
        <f t="shared" si="14"/>
        <v/>
      </c>
      <c r="F712" s="6" t="str">
        <f>IF($C712="","",COUNTIFS(Chicks!$F:$F,$C712,Chicks!$G:$G,$D712))</f>
        <v/>
      </c>
      <c r="G712" s="6" t="str">
        <f>IF($C712="","",COUNTIFS(Chicks!$F:$F,$C712,Chicks!$G:$G,$D712,Chicks!$I:$I,"Yes"))</f>
        <v/>
      </c>
      <c r="H712" s="6" t="str">
        <f>IF($C712="","",SUMIFS(Chicks!$J:$J,Chicks!$F:$F,$C712,Chicks!$G:$G,$D712))</f>
        <v/>
      </c>
      <c r="I712" s="6" t="str">
        <f>IF($C712="","",COUNTIFS(Chicks!$F:$F,$C712,Chicks!$G:$G,$D712,Chicks!$I:$I,"No"))</f>
        <v/>
      </c>
      <c r="J712" s="6" t="str">
        <f>IF($C712="","",IFERROR(AVERAGEIFS(Chicks!$M:$M,Chicks!$F:$F,$C712,Chicks!$G:$G,$D712),""))</f>
        <v/>
      </c>
      <c r="K712" s="6" t="str">
        <f>IF($C712="","",SUMIFS(Chicks!$N:$N,Chicks!$F:$F,$C712,Chicks!$G:$G,$D712))</f>
        <v/>
      </c>
      <c r="L712" s="6" t="str">
        <f>IF($C712="","",SUMIFS(Chicks!$O:$O,Chicks!$F:$F,$C712,Chicks!$G:$G,$D712))</f>
        <v/>
      </c>
      <c r="M712" s="6" t="str">
        <f>IF($C712="","",SUMIFS(Chicks!$P:$P,Chicks!$F:$F,$C712,Chicks!$G:$G,$D712))</f>
        <v/>
      </c>
      <c r="N712" s="6" t="str">
        <f t="shared" si="10"/>
        <v/>
      </c>
      <c r="O712" s="6" t="e">
        <f t="shared" ca="1" si="11"/>
        <v>#NAME?</v>
      </c>
      <c r="P712" s="6" t="str">
        <f t="shared" si="12"/>
        <v/>
      </c>
    </row>
    <row r="713" spans="3:16" ht="14.25" customHeight="1" x14ac:dyDescent="0.3">
      <c r="C713" s="6" t="str">
        <f t="shared" si="13"/>
        <v/>
      </c>
      <c r="D713" s="6" t="str">
        <f t="shared" si="14"/>
        <v/>
      </c>
      <c r="F713" s="6" t="str">
        <f>IF($C713="","",COUNTIFS(Chicks!$F:$F,$C713,Chicks!$G:$G,$D713))</f>
        <v/>
      </c>
      <c r="G713" s="6" t="str">
        <f>IF($C713="","",COUNTIFS(Chicks!$F:$F,$C713,Chicks!$G:$G,$D713,Chicks!$I:$I,"Yes"))</f>
        <v/>
      </c>
      <c r="H713" s="6" t="str">
        <f>IF($C713="","",SUMIFS(Chicks!$J:$J,Chicks!$F:$F,$C713,Chicks!$G:$G,$D713))</f>
        <v/>
      </c>
      <c r="I713" s="6" t="str">
        <f>IF($C713="","",COUNTIFS(Chicks!$F:$F,$C713,Chicks!$G:$G,$D713,Chicks!$I:$I,"No"))</f>
        <v/>
      </c>
      <c r="J713" s="6" t="str">
        <f>IF($C713="","",IFERROR(AVERAGEIFS(Chicks!$M:$M,Chicks!$F:$F,$C713,Chicks!$G:$G,$D713),""))</f>
        <v/>
      </c>
      <c r="K713" s="6" t="str">
        <f>IF($C713="","",SUMIFS(Chicks!$N:$N,Chicks!$F:$F,$C713,Chicks!$G:$G,$D713))</f>
        <v/>
      </c>
      <c r="L713" s="6" t="str">
        <f>IF($C713="","",SUMIFS(Chicks!$O:$O,Chicks!$F:$F,$C713,Chicks!$G:$G,$D713))</f>
        <v/>
      </c>
      <c r="M713" s="6" t="str">
        <f>IF($C713="","",SUMIFS(Chicks!$P:$P,Chicks!$F:$F,$C713,Chicks!$G:$G,$D713))</f>
        <v/>
      </c>
      <c r="N713" s="6" t="str">
        <f t="shared" si="10"/>
        <v/>
      </c>
      <c r="O713" s="6" t="e">
        <f t="shared" ca="1" si="11"/>
        <v>#NAME?</v>
      </c>
      <c r="P713" s="6" t="str">
        <f t="shared" si="12"/>
        <v/>
      </c>
    </row>
    <row r="714" spans="3:16" ht="14.25" customHeight="1" x14ac:dyDescent="0.3">
      <c r="C714" s="6" t="str">
        <f t="shared" si="13"/>
        <v/>
      </c>
      <c r="D714" s="6" t="str">
        <f t="shared" si="14"/>
        <v/>
      </c>
      <c r="F714" s="6" t="str">
        <f>IF($C714="","",COUNTIFS(Chicks!$F:$F,$C714,Chicks!$G:$G,$D714))</f>
        <v/>
      </c>
      <c r="G714" s="6" t="str">
        <f>IF($C714="","",COUNTIFS(Chicks!$F:$F,$C714,Chicks!$G:$G,$D714,Chicks!$I:$I,"Yes"))</f>
        <v/>
      </c>
      <c r="H714" s="6" t="str">
        <f>IF($C714="","",SUMIFS(Chicks!$J:$J,Chicks!$F:$F,$C714,Chicks!$G:$G,$D714))</f>
        <v/>
      </c>
      <c r="I714" s="6" t="str">
        <f>IF($C714="","",COUNTIFS(Chicks!$F:$F,$C714,Chicks!$G:$G,$D714,Chicks!$I:$I,"No"))</f>
        <v/>
      </c>
      <c r="J714" s="6" t="str">
        <f>IF($C714="","",IFERROR(AVERAGEIFS(Chicks!$M:$M,Chicks!$F:$F,$C714,Chicks!$G:$G,$D714),""))</f>
        <v/>
      </c>
      <c r="K714" s="6" t="str">
        <f>IF($C714="","",SUMIFS(Chicks!$N:$N,Chicks!$F:$F,$C714,Chicks!$G:$G,$D714))</f>
        <v/>
      </c>
      <c r="L714" s="6" t="str">
        <f>IF($C714="","",SUMIFS(Chicks!$O:$O,Chicks!$F:$F,$C714,Chicks!$G:$G,$D714))</f>
        <v/>
      </c>
      <c r="M714" s="6" t="str">
        <f>IF($C714="","",SUMIFS(Chicks!$P:$P,Chicks!$F:$F,$C714,Chicks!$G:$G,$D714))</f>
        <v/>
      </c>
      <c r="N714" s="6" t="str">
        <f t="shared" si="10"/>
        <v/>
      </c>
      <c r="O714" s="6" t="e">
        <f t="shared" ca="1" si="11"/>
        <v>#NAME?</v>
      </c>
      <c r="P714" s="6" t="str">
        <f t="shared" si="12"/>
        <v/>
      </c>
    </row>
    <row r="715" spans="3:16" ht="14.25" customHeight="1" x14ac:dyDescent="0.3">
      <c r="C715" s="6" t="str">
        <f t="shared" si="13"/>
        <v/>
      </c>
      <c r="D715" s="6" t="str">
        <f t="shared" si="14"/>
        <v/>
      </c>
      <c r="F715" s="6" t="str">
        <f>IF($C715="","",COUNTIFS(Chicks!$F:$F,$C715,Chicks!$G:$G,$D715))</f>
        <v/>
      </c>
      <c r="G715" s="6" t="str">
        <f>IF($C715="","",COUNTIFS(Chicks!$F:$F,$C715,Chicks!$G:$G,$D715,Chicks!$I:$I,"Yes"))</f>
        <v/>
      </c>
      <c r="H715" s="6" t="str">
        <f>IF($C715="","",SUMIFS(Chicks!$J:$J,Chicks!$F:$F,$C715,Chicks!$G:$G,$D715))</f>
        <v/>
      </c>
      <c r="I715" s="6" t="str">
        <f>IF($C715="","",COUNTIFS(Chicks!$F:$F,$C715,Chicks!$G:$G,$D715,Chicks!$I:$I,"No"))</f>
        <v/>
      </c>
      <c r="J715" s="6" t="str">
        <f>IF($C715="","",IFERROR(AVERAGEIFS(Chicks!$M:$M,Chicks!$F:$F,$C715,Chicks!$G:$G,$D715),""))</f>
        <v/>
      </c>
      <c r="K715" s="6" t="str">
        <f>IF($C715="","",SUMIFS(Chicks!$N:$N,Chicks!$F:$F,$C715,Chicks!$G:$G,$D715))</f>
        <v/>
      </c>
      <c r="L715" s="6" t="str">
        <f>IF($C715="","",SUMIFS(Chicks!$O:$O,Chicks!$F:$F,$C715,Chicks!$G:$G,$D715))</f>
        <v/>
      </c>
      <c r="M715" s="6" t="str">
        <f>IF($C715="","",SUMIFS(Chicks!$P:$P,Chicks!$F:$F,$C715,Chicks!$G:$G,$D715))</f>
        <v/>
      </c>
      <c r="N715" s="6" t="str">
        <f t="shared" si="10"/>
        <v/>
      </c>
      <c r="O715" s="6" t="e">
        <f t="shared" ca="1" si="11"/>
        <v>#NAME?</v>
      </c>
      <c r="P715" s="6" t="str">
        <f t="shared" si="12"/>
        <v/>
      </c>
    </row>
    <row r="716" spans="3:16" ht="14.25" customHeight="1" x14ac:dyDescent="0.3">
      <c r="C716" s="6" t="str">
        <f t="shared" si="13"/>
        <v/>
      </c>
      <c r="D716" s="6" t="str">
        <f t="shared" si="14"/>
        <v/>
      </c>
      <c r="F716" s="6" t="str">
        <f>IF($C716="","",COUNTIFS(Chicks!$F:$F,$C716,Chicks!$G:$G,$D716))</f>
        <v/>
      </c>
      <c r="G716" s="6" t="str">
        <f>IF($C716="","",COUNTIFS(Chicks!$F:$F,$C716,Chicks!$G:$G,$D716,Chicks!$I:$I,"Yes"))</f>
        <v/>
      </c>
      <c r="H716" s="6" t="str">
        <f>IF($C716="","",SUMIFS(Chicks!$J:$J,Chicks!$F:$F,$C716,Chicks!$G:$G,$D716))</f>
        <v/>
      </c>
      <c r="I716" s="6" t="str">
        <f>IF($C716="","",COUNTIFS(Chicks!$F:$F,$C716,Chicks!$G:$G,$D716,Chicks!$I:$I,"No"))</f>
        <v/>
      </c>
      <c r="J716" s="6" t="str">
        <f>IF($C716="","",IFERROR(AVERAGEIFS(Chicks!$M:$M,Chicks!$F:$F,$C716,Chicks!$G:$G,$D716),""))</f>
        <v/>
      </c>
      <c r="K716" s="6" t="str">
        <f>IF($C716="","",SUMIFS(Chicks!$N:$N,Chicks!$F:$F,$C716,Chicks!$G:$G,$D716))</f>
        <v/>
      </c>
      <c r="L716" s="6" t="str">
        <f>IF($C716="","",SUMIFS(Chicks!$O:$O,Chicks!$F:$F,$C716,Chicks!$G:$G,$D716))</f>
        <v/>
      </c>
      <c r="M716" s="6" t="str">
        <f>IF($C716="","",SUMIFS(Chicks!$P:$P,Chicks!$F:$F,$C716,Chicks!$G:$G,$D716))</f>
        <v/>
      </c>
      <c r="N716" s="6" t="str">
        <f t="shared" si="10"/>
        <v/>
      </c>
      <c r="O716" s="6" t="e">
        <f t="shared" ca="1" si="11"/>
        <v>#NAME?</v>
      </c>
      <c r="P716" s="6" t="str">
        <f t="shared" si="12"/>
        <v/>
      </c>
    </row>
    <row r="717" spans="3:16" ht="14.25" customHeight="1" x14ac:dyDescent="0.3">
      <c r="C717" s="6" t="str">
        <f t="shared" si="13"/>
        <v/>
      </c>
      <c r="D717" s="6" t="str">
        <f t="shared" si="14"/>
        <v/>
      </c>
      <c r="F717" s="6" t="str">
        <f>IF($C717="","",COUNTIFS(Chicks!$F:$F,$C717,Chicks!$G:$G,$D717))</f>
        <v/>
      </c>
      <c r="G717" s="6" t="str">
        <f>IF($C717="","",COUNTIFS(Chicks!$F:$F,$C717,Chicks!$G:$G,$D717,Chicks!$I:$I,"Yes"))</f>
        <v/>
      </c>
      <c r="H717" s="6" t="str">
        <f>IF($C717="","",SUMIFS(Chicks!$J:$J,Chicks!$F:$F,$C717,Chicks!$G:$G,$D717))</f>
        <v/>
      </c>
      <c r="I717" s="6" t="str">
        <f>IF($C717="","",COUNTIFS(Chicks!$F:$F,$C717,Chicks!$G:$G,$D717,Chicks!$I:$I,"No"))</f>
        <v/>
      </c>
      <c r="J717" s="6" t="str">
        <f>IF($C717="","",IFERROR(AVERAGEIFS(Chicks!$M:$M,Chicks!$F:$F,$C717,Chicks!$G:$G,$D717),""))</f>
        <v/>
      </c>
      <c r="K717" s="6" t="str">
        <f>IF($C717="","",SUMIFS(Chicks!$N:$N,Chicks!$F:$F,$C717,Chicks!$G:$G,$D717))</f>
        <v/>
      </c>
      <c r="L717" s="6" t="str">
        <f>IF($C717="","",SUMIFS(Chicks!$O:$O,Chicks!$F:$F,$C717,Chicks!$G:$G,$D717))</f>
        <v/>
      </c>
      <c r="M717" s="6" t="str">
        <f>IF($C717="","",SUMIFS(Chicks!$P:$P,Chicks!$F:$F,$C717,Chicks!$G:$G,$D717))</f>
        <v/>
      </c>
      <c r="N717" s="6" t="str">
        <f t="shared" si="10"/>
        <v/>
      </c>
      <c r="O717" s="6" t="e">
        <f t="shared" ca="1" si="11"/>
        <v>#NAME?</v>
      </c>
      <c r="P717" s="6" t="str">
        <f t="shared" si="12"/>
        <v/>
      </c>
    </row>
    <row r="718" spans="3:16" ht="14.25" customHeight="1" x14ac:dyDescent="0.3">
      <c r="C718" s="6" t="str">
        <f t="shared" si="13"/>
        <v/>
      </c>
      <c r="D718" s="6" t="str">
        <f t="shared" si="14"/>
        <v/>
      </c>
      <c r="F718" s="6" t="str">
        <f>IF($C718="","",COUNTIFS(Chicks!$F:$F,$C718,Chicks!$G:$G,$D718))</f>
        <v/>
      </c>
      <c r="G718" s="6" t="str">
        <f>IF($C718="","",COUNTIFS(Chicks!$F:$F,$C718,Chicks!$G:$G,$D718,Chicks!$I:$I,"Yes"))</f>
        <v/>
      </c>
      <c r="H718" s="6" t="str">
        <f>IF($C718="","",SUMIFS(Chicks!$J:$J,Chicks!$F:$F,$C718,Chicks!$G:$G,$D718))</f>
        <v/>
      </c>
      <c r="I718" s="6" t="str">
        <f>IF($C718="","",COUNTIFS(Chicks!$F:$F,$C718,Chicks!$G:$G,$D718,Chicks!$I:$I,"No"))</f>
        <v/>
      </c>
      <c r="J718" s="6" t="str">
        <f>IF($C718="","",IFERROR(AVERAGEIFS(Chicks!$M:$M,Chicks!$F:$F,$C718,Chicks!$G:$G,$D718),""))</f>
        <v/>
      </c>
      <c r="K718" s="6" t="str">
        <f>IF($C718="","",SUMIFS(Chicks!$N:$N,Chicks!$F:$F,$C718,Chicks!$G:$G,$D718))</f>
        <v/>
      </c>
      <c r="L718" s="6" t="str">
        <f>IF($C718="","",SUMIFS(Chicks!$O:$O,Chicks!$F:$F,$C718,Chicks!$G:$G,$D718))</f>
        <v/>
      </c>
      <c r="M718" s="6" t="str">
        <f>IF($C718="","",SUMIFS(Chicks!$P:$P,Chicks!$F:$F,$C718,Chicks!$G:$G,$D718))</f>
        <v/>
      </c>
      <c r="N718" s="6" t="str">
        <f t="shared" si="10"/>
        <v/>
      </c>
      <c r="O718" s="6" t="e">
        <f t="shared" ca="1" si="11"/>
        <v>#NAME?</v>
      </c>
      <c r="P718" s="6" t="str">
        <f t="shared" si="12"/>
        <v/>
      </c>
    </row>
    <row r="719" spans="3:16" ht="14.25" customHeight="1" x14ac:dyDescent="0.3">
      <c r="C719" s="6" t="str">
        <f t="shared" si="13"/>
        <v/>
      </c>
      <c r="D719" s="6" t="str">
        <f t="shared" si="14"/>
        <v/>
      </c>
      <c r="F719" s="6" t="str">
        <f>IF($C719="","",COUNTIFS(Chicks!$F:$F,$C719,Chicks!$G:$G,$D719))</f>
        <v/>
      </c>
      <c r="G719" s="6" t="str">
        <f>IF($C719="","",COUNTIFS(Chicks!$F:$F,$C719,Chicks!$G:$G,$D719,Chicks!$I:$I,"Yes"))</f>
        <v/>
      </c>
      <c r="H719" s="6" t="str">
        <f>IF($C719="","",SUMIFS(Chicks!$J:$J,Chicks!$F:$F,$C719,Chicks!$G:$G,$D719))</f>
        <v/>
      </c>
      <c r="I719" s="6" t="str">
        <f>IF($C719="","",COUNTIFS(Chicks!$F:$F,$C719,Chicks!$G:$G,$D719,Chicks!$I:$I,"No"))</f>
        <v/>
      </c>
      <c r="J719" s="6" t="str">
        <f>IF($C719="","",IFERROR(AVERAGEIFS(Chicks!$M:$M,Chicks!$F:$F,$C719,Chicks!$G:$G,$D719),""))</f>
        <v/>
      </c>
      <c r="K719" s="6" t="str">
        <f>IF($C719="","",SUMIFS(Chicks!$N:$N,Chicks!$F:$F,$C719,Chicks!$G:$G,$D719))</f>
        <v/>
      </c>
      <c r="L719" s="6" t="str">
        <f>IF($C719="","",SUMIFS(Chicks!$O:$O,Chicks!$F:$F,$C719,Chicks!$G:$G,$D719))</f>
        <v/>
      </c>
      <c r="M719" s="6" t="str">
        <f>IF($C719="","",SUMIFS(Chicks!$P:$P,Chicks!$F:$F,$C719,Chicks!$G:$G,$D719))</f>
        <v/>
      </c>
      <c r="N719" s="6" t="str">
        <f t="shared" si="10"/>
        <v/>
      </c>
      <c r="O719" s="6" t="e">
        <f t="shared" ca="1" si="11"/>
        <v>#NAME?</v>
      </c>
      <c r="P719" s="6" t="str">
        <f t="shared" si="12"/>
        <v/>
      </c>
    </row>
    <row r="720" spans="3:16" ht="14.25" customHeight="1" x14ac:dyDescent="0.3">
      <c r="C720" s="6" t="str">
        <f t="shared" si="13"/>
        <v/>
      </c>
      <c r="D720" s="6" t="str">
        <f t="shared" si="14"/>
        <v/>
      </c>
      <c r="F720" s="6" t="str">
        <f>IF($C720="","",COUNTIFS(Chicks!$F:$F,$C720,Chicks!$G:$G,$D720))</f>
        <v/>
      </c>
      <c r="G720" s="6" t="str">
        <f>IF($C720="","",COUNTIFS(Chicks!$F:$F,$C720,Chicks!$G:$G,$D720,Chicks!$I:$I,"Yes"))</f>
        <v/>
      </c>
      <c r="H720" s="6" t="str">
        <f>IF($C720="","",SUMIFS(Chicks!$J:$J,Chicks!$F:$F,$C720,Chicks!$G:$G,$D720))</f>
        <v/>
      </c>
      <c r="I720" s="6" t="str">
        <f>IF($C720="","",COUNTIFS(Chicks!$F:$F,$C720,Chicks!$G:$G,$D720,Chicks!$I:$I,"No"))</f>
        <v/>
      </c>
      <c r="J720" s="6" t="str">
        <f>IF($C720="","",IFERROR(AVERAGEIFS(Chicks!$M:$M,Chicks!$F:$F,$C720,Chicks!$G:$G,$D720),""))</f>
        <v/>
      </c>
      <c r="K720" s="6" t="str">
        <f>IF($C720="","",SUMIFS(Chicks!$N:$N,Chicks!$F:$F,$C720,Chicks!$G:$G,$D720))</f>
        <v/>
      </c>
      <c r="L720" s="6" t="str">
        <f>IF($C720="","",SUMIFS(Chicks!$O:$O,Chicks!$F:$F,$C720,Chicks!$G:$G,$D720))</f>
        <v/>
      </c>
      <c r="M720" s="6" t="str">
        <f>IF($C720="","",SUMIFS(Chicks!$P:$P,Chicks!$F:$F,$C720,Chicks!$G:$G,$D720))</f>
        <v/>
      </c>
      <c r="N720" s="6" t="str">
        <f t="shared" si="10"/>
        <v/>
      </c>
      <c r="O720" s="6" t="e">
        <f t="shared" ca="1" si="11"/>
        <v>#NAME?</v>
      </c>
      <c r="P720" s="6" t="str">
        <f t="shared" si="12"/>
        <v/>
      </c>
    </row>
    <row r="721" spans="3:16" ht="14.25" customHeight="1" x14ac:dyDescent="0.3">
      <c r="C721" s="6" t="str">
        <f t="shared" si="13"/>
        <v/>
      </c>
      <c r="D721" s="6" t="str">
        <f t="shared" si="14"/>
        <v/>
      </c>
      <c r="F721" s="6" t="str">
        <f>IF($C721="","",COUNTIFS(Chicks!$F:$F,$C721,Chicks!$G:$G,$D721))</f>
        <v/>
      </c>
      <c r="G721" s="6" t="str">
        <f>IF($C721="","",COUNTIFS(Chicks!$F:$F,$C721,Chicks!$G:$G,$D721,Chicks!$I:$I,"Yes"))</f>
        <v/>
      </c>
      <c r="H721" s="6" t="str">
        <f>IF($C721="","",SUMIFS(Chicks!$J:$J,Chicks!$F:$F,$C721,Chicks!$G:$G,$D721))</f>
        <v/>
      </c>
      <c r="I721" s="6" t="str">
        <f>IF($C721="","",COUNTIFS(Chicks!$F:$F,$C721,Chicks!$G:$G,$D721,Chicks!$I:$I,"No"))</f>
        <v/>
      </c>
      <c r="J721" s="6" t="str">
        <f>IF($C721="","",IFERROR(AVERAGEIFS(Chicks!$M:$M,Chicks!$F:$F,$C721,Chicks!$G:$G,$D721),""))</f>
        <v/>
      </c>
      <c r="K721" s="6" t="str">
        <f>IF($C721="","",SUMIFS(Chicks!$N:$N,Chicks!$F:$F,$C721,Chicks!$G:$G,$D721))</f>
        <v/>
      </c>
      <c r="L721" s="6" t="str">
        <f>IF($C721="","",SUMIFS(Chicks!$O:$O,Chicks!$F:$F,$C721,Chicks!$G:$G,$D721))</f>
        <v/>
      </c>
      <c r="M721" s="6" t="str">
        <f>IF($C721="","",SUMIFS(Chicks!$P:$P,Chicks!$F:$F,$C721,Chicks!$G:$G,$D721))</f>
        <v/>
      </c>
      <c r="N721" s="6" t="str">
        <f t="shared" si="10"/>
        <v/>
      </c>
      <c r="O721" s="6" t="e">
        <f t="shared" ca="1" si="11"/>
        <v>#NAME?</v>
      </c>
      <c r="P721" s="6" t="str">
        <f t="shared" si="12"/>
        <v/>
      </c>
    </row>
    <row r="722" spans="3:16" ht="14.25" customHeight="1" x14ac:dyDescent="0.3">
      <c r="C722" s="6" t="str">
        <f t="shared" si="13"/>
        <v/>
      </c>
      <c r="D722" s="6" t="str">
        <f t="shared" si="14"/>
        <v/>
      </c>
      <c r="F722" s="6" t="str">
        <f>IF($C722="","",COUNTIFS(Chicks!$F:$F,$C722,Chicks!$G:$G,$D722))</f>
        <v/>
      </c>
      <c r="G722" s="6" t="str">
        <f>IF($C722="","",COUNTIFS(Chicks!$F:$F,$C722,Chicks!$G:$G,$D722,Chicks!$I:$I,"Yes"))</f>
        <v/>
      </c>
      <c r="H722" s="6" t="str">
        <f>IF($C722="","",SUMIFS(Chicks!$J:$J,Chicks!$F:$F,$C722,Chicks!$G:$G,$D722))</f>
        <v/>
      </c>
      <c r="I722" s="6" t="str">
        <f>IF($C722="","",COUNTIFS(Chicks!$F:$F,$C722,Chicks!$G:$G,$D722,Chicks!$I:$I,"No"))</f>
        <v/>
      </c>
      <c r="J722" s="6" t="str">
        <f>IF($C722="","",IFERROR(AVERAGEIFS(Chicks!$M:$M,Chicks!$F:$F,$C722,Chicks!$G:$G,$D722),""))</f>
        <v/>
      </c>
      <c r="K722" s="6" t="str">
        <f>IF($C722="","",SUMIFS(Chicks!$N:$N,Chicks!$F:$F,$C722,Chicks!$G:$G,$D722))</f>
        <v/>
      </c>
      <c r="L722" s="6" t="str">
        <f>IF($C722="","",SUMIFS(Chicks!$O:$O,Chicks!$F:$F,$C722,Chicks!$G:$G,$D722))</f>
        <v/>
      </c>
      <c r="M722" s="6" t="str">
        <f>IF($C722="","",SUMIFS(Chicks!$P:$P,Chicks!$F:$F,$C722,Chicks!$G:$G,$D722))</f>
        <v/>
      </c>
      <c r="N722" s="6" t="str">
        <f t="shared" si="10"/>
        <v/>
      </c>
      <c r="O722" s="6" t="e">
        <f t="shared" ca="1" si="11"/>
        <v>#NAME?</v>
      </c>
      <c r="P722" s="6" t="str">
        <f t="shared" si="12"/>
        <v/>
      </c>
    </row>
    <row r="723" spans="3:16" ht="14.25" customHeight="1" x14ac:dyDescent="0.3">
      <c r="C723" s="6" t="str">
        <f t="shared" si="13"/>
        <v/>
      </c>
      <c r="D723" s="6" t="str">
        <f t="shared" si="14"/>
        <v/>
      </c>
      <c r="F723" s="6" t="str">
        <f>IF($C723="","",COUNTIFS(Chicks!$F:$F,$C723,Chicks!$G:$G,$D723))</f>
        <v/>
      </c>
      <c r="G723" s="6" t="str">
        <f>IF($C723="","",COUNTIFS(Chicks!$F:$F,$C723,Chicks!$G:$G,$D723,Chicks!$I:$I,"Yes"))</f>
        <v/>
      </c>
      <c r="H723" s="6" t="str">
        <f>IF($C723="","",SUMIFS(Chicks!$J:$J,Chicks!$F:$F,$C723,Chicks!$G:$G,$D723))</f>
        <v/>
      </c>
      <c r="I723" s="6" t="str">
        <f>IF($C723="","",COUNTIFS(Chicks!$F:$F,$C723,Chicks!$G:$G,$D723,Chicks!$I:$I,"No"))</f>
        <v/>
      </c>
      <c r="J723" s="6" t="str">
        <f>IF($C723="","",IFERROR(AVERAGEIFS(Chicks!$M:$M,Chicks!$F:$F,$C723,Chicks!$G:$G,$D723),""))</f>
        <v/>
      </c>
      <c r="K723" s="6" t="str">
        <f>IF($C723="","",SUMIFS(Chicks!$N:$N,Chicks!$F:$F,$C723,Chicks!$G:$G,$D723))</f>
        <v/>
      </c>
      <c r="L723" s="6" t="str">
        <f>IF($C723="","",SUMIFS(Chicks!$O:$O,Chicks!$F:$F,$C723,Chicks!$G:$G,$D723))</f>
        <v/>
      </c>
      <c r="M723" s="6" t="str">
        <f>IF($C723="","",SUMIFS(Chicks!$P:$P,Chicks!$F:$F,$C723,Chicks!$G:$G,$D723))</f>
        <v/>
      </c>
      <c r="N723" s="6" t="str">
        <f t="shared" si="10"/>
        <v/>
      </c>
      <c r="O723" s="6" t="e">
        <f t="shared" ca="1" si="11"/>
        <v>#NAME?</v>
      </c>
      <c r="P723" s="6" t="str">
        <f t="shared" si="12"/>
        <v/>
      </c>
    </row>
    <row r="724" spans="3:16" ht="14.25" customHeight="1" x14ac:dyDescent="0.3">
      <c r="C724" s="6" t="str">
        <f t="shared" si="13"/>
        <v/>
      </c>
      <c r="D724" s="6" t="str">
        <f t="shared" si="14"/>
        <v/>
      </c>
      <c r="F724" s="6" t="str">
        <f>IF($C724="","",COUNTIFS(Chicks!$F:$F,$C724,Chicks!$G:$G,$D724))</f>
        <v/>
      </c>
      <c r="G724" s="6" t="str">
        <f>IF($C724="","",COUNTIFS(Chicks!$F:$F,$C724,Chicks!$G:$G,$D724,Chicks!$I:$I,"Yes"))</f>
        <v/>
      </c>
      <c r="H724" s="6" t="str">
        <f>IF($C724="","",SUMIFS(Chicks!$J:$J,Chicks!$F:$F,$C724,Chicks!$G:$G,$D724))</f>
        <v/>
      </c>
      <c r="I724" s="6" t="str">
        <f>IF($C724="","",COUNTIFS(Chicks!$F:$F,$C724,Chicks!$G:$G,$D724,Chicks!$I:$I,"No"))</f>
        <v/>
      </c>
      <c r="J724" s="6" t="str">
        <f>IF($C724="","",IFERROR(AVERAGEIFS(Chicks!$M:$M,Chicks!$F:$F,$C724,Chicks!$G:$G,$D724),""))</f>
        <v/>
      </c>
      <c r="K724" s="6" t="str">
        <f>IF($C724="","",SUMIFS(Chicks!$N:$N,Chicks!$F:$F,$C724,Chicks!$G:$G,$D724))</f>
        <v/>
      </c>
      <c r="L724" s="6" t="str">
        <f>IF($C724="","",SUMIFS(Chicks!$O:$O,Chicks!$F:$F,$C724,Chicks!$G:$G,$D724))</f>
        <v/>
      </c>
      <c r="M724" s="6" t="str">
        <f>IF($C724="","",SUMIFS(Chicks!$P:$P,Chicks!$F:$F,$C724,Chicks!$G:$G,$D724))</f>
        <v/>
      </c>
      <c r="N724" s="6" t="str">
        <f t="shared" si="10"/>
        <v/>
      </c>
      <c r="O724" s="6" t="e">
        <f t="shared" ca="1" si="11"/>
        <v>#NAME?</v>
      </c>
      <c r="P724" s="6" t="str">
        <f t="shared" si="12"/>
        <v/>
      </c>
    </row>
    <row r="725" spans="3:16" ht="14.25" customHeight="1" x14ac:dyDescent="0.3">
      <c r="C725" s="6" t="str">
        <f t="shared" si="13"/>
        <v/>
      </c>
      <c r="D725" s="6" t="str">
        <f t="shared" si="14"/>
        <v/>
      </c>
      <c r="F725" s="6" t="str">
        <f>IF($C725="","",COUNTIFS(Chicks!$F:$F,$C725,Chicks!$G:$G,$D725))</f>
        <v/>
      </c>
      <c r="G725" s="6" t="str">
        <f>IF($C725="","",COUNTIFS(Chicks!$F:$F,$C725,Chicks!$G:$G,$D725,Chicks!$I:$I,"Yes"))</f>
        <v/>
      </c>
      <c r="H725" s="6" t="str">
        <f>IF($C725="","",SUMIFS(Chicks!$J:$J,Chicks!$F:$F,$C725,Chicks!$G:$G,$D725))</f>
        <v/>
      </c>
      <c r="I725" s="6" t="str">
        <f>IF($C725="","",COUNTIFS(Chicks!$F:$F,$C725,Chicks!$G:$G,$D725,Chicks!$I:$I,"No"))</f>
        <v/>
      </c>
      <c r="J725" s="6" t="str">
        <f>IF($C725="","",IFERROR(AVERAGEIFS(Chicks!$M:$M,Chicks!$F:$F,$C725,Chicks!$G:$G,$D725),""))</f>
        <v/>
      </c>
      <c r="K725" s="6" t="str">
        <f>IF($C725="","",SUMIFS(Chicks!$N:$N,Chicks!$F:$F,$C725,Chicks!$G:$G,$D725))</f>
        <v/>
      </c>
      <c r="L725" s="6" t="str">
        <f>IF($C725="","",SUMIFS(Chicks!$O:$O,Chicks!$F:$F,$C725,Chicks!$G:$G,$D725))</f>
        <v/>
      </c>
      <c r="M725" s="6" t="str">
        <f>IF($C725="","",SUMIFS(Chicks!$P:$P,Chicks!$F:$F,$C725,Chicks!$G:$G,$D725))</f>
        <v/>
      </c>
      <c r="N725" s="6" t="str">
        <f t="shared" si="10"/>
        <v/>
      </c>
      <c r="O725" s="6" t="e">
        <f t="shared" ca="1" si="11"/>
        <v>#NAME?</v>
      </c>
      <c r="P725" s="6" t="str">
        <f t="shared" si="12"/>
        <v/>
      </c>
    </row>
    <row r="726" spans="3:16" ht="14.25" customHeight="1" x14ac:dyDescent="0.3">
      <c r="C726" s="6" t="str">
        <f t="shared" si="13"/>
        <v/>
      </c>
      <c r="D726" s="6" t="str">
        <f t="shared" si="14"/>
        <v/>
      </c>
      <c r="F726" s="6" t="str">
        <f>IF($C726="","",COUNTIFS(Chicks!$F:$F,$C726,Chicks!$G:$G,$D726))</f>
        <v/>
      </c>
      <c r="G726" s="6" t="str">
        <f>IF($C726="","",COUNTIFS(Chicks!$F:$F,$C726,Chicks!$G:$G,$D726,Chicks!$I:$I,"Yes"))</f>
        <v/>
      </c>
      <c r="H726" s="6" t="str">
        <f>IF($C726="","",SUMIFS(Chicks!$J:$J,Chicks!$F:$F,$C726,Chicks!$G:$G,$D726))</f>
        <v/>
      </c>
      <c r="I726" s="6" t="str">
        <f>IF($C726="","",COUNTIFS(Chicks!$F:$F,$C726,Chicks!$G:$G,$D726,Chicks!$I:$I,"No"))</f>
        <v/>
      </c>
      <c r="J726" s="6" t="str">
        <f>IF($C726="","",IFERROR(AVERAGEIFS(Chicks!$M:$M,Chicks!$F:$F,$C726,Chicks!$G:$G,$D726),""))</f>
        <v/>
      </c>
      <c r="K726" s="6" t="str">
        <f>IF($C726="","",SUMIFS(Chicks!$N:$N,Chicks!$F:$F,$C726,Chicks!$G:$G,$D726))</f>
        <v/>
      </c>
      <c r="L726" s="6" t="str">
        <f>IF($C726="","",SUMIFS(Chicks!$O:$O,Chicks!$F:$F,$C726,Chicks!$G:$G,$D726))</f>
        <v/>
      </c>
      <c r="M726" s="6" t="str">
        <f>IF($C726="","",SUMIFS(Chicks!$P:$P,Chicks!$F:$F,$C726,Chicks!$G:$G,$D726))</f>
        <v/>
      </c>
      <c r="N726" s="6" t="str">
        <f t="shared" si="10"/>
        <v/>
      </c>
      <c r="O726" s="6" t="e">
        <f t="shared" ca="1" si="11"/>
        <v>#NAME?</v>
      </c>
      <c r="P726" s="6" t="str">
        <f t="shared" si="12"/>
        <v/>
      </c>
    </row>
    <row r="727" spans="3:16" ht="14.25" customHeight="1" x14ac:dyDescent="0.3">
      <c r="C727" s="6" t="str">
        <f t="shared" si="13"/>
        <v/>
      </c>
      <c r="D727" s="6" t="str">
        <f t="shared" si="14"/>
        <v/>
      </c>
      <c r="F727" s="6" t="str">
        <f>IF($C727="","",COUNTIFS(Chicks!$F:$F,$C727,Chicks!$G:$G,$D727))</f>
        <v/>
      </c>
      <c r="G727" s="6" t="str">
        <f>IF($C727="","",COUNTIFS(Chicks!$F:$F,$C727,Chicks!$G:$G,$D727,Chicks!$I:$I,"Yes"))</f>
        <v/>
      </c>
      <c r="H727" s="6" t="str">
        <f>IF($C727="","",SUMIFS(Chicks!$J:$J,Chicks!$F:$F,$C727,Chicks!$G:$G,$D727))</f>
        <v/>
      </c>
      <c r="I727" s="6" t="str">
        <f>IF($C727="","",COUNTIFS(Chicks!$F:$F,$C727,Chicks!$G:$G,$D727,Chicks!$I:$I,"No"))</f>
        <v/>
      </c>
      <c r="J727" s="6" t="str">
        <f>IF($C727="","",IFERROR(AVERAGEIFS(Chicks!$M:$M,Chicks!$F:$F,$C727,Chicks!$G:$G,$D727),""))</f>
        <v/>
      </c>
      <c r="K727" s="6" t="str">
        <f>IF($C727="","",SUMIFS(Chicks!$N:$N,Chicks!$F:$F,$C727,Chicks!$G:$G,$D727))</f>
        <v/>
      </c>
      <c r="L727" s="6" t="str">
        <f>IF($C727="","",SUMIFS(Chicks!$O:$O,Chicks!$F:$F,$C727,Chicks!$G:$G,$D727))</f>
        <v/>
      </c>
      <c r="M727" s="6" t="str">
        <f>IF($C727="","",SUMIFS(Chicks!$P:$P,Chicks!$F:$F,$C727,Chicks!$G:$G,$D727))</f>
        <v/>
      </c>
      <c r="N727" s="6" t="str">
        <f t="shared" si="10"/>
        <v/>
      </c>
      <c r="O727" s="6" t="e">
        <f t="shared" ca="1" si="11"/>
        <v>#NAME?</v>
      </c>
      <c r="P727" s="6" t="str">
        <f t="shared" si="12"/>
        <v/>
      </c>
    </row>
    <row r="728" spans="3:16" ht="14.25" customHeight="1" x14ac:dyDescent="0.3">
      <c r="C728" s="6" t="str">
        <f t="shared" si="13"/>
        <v/>
      </c>
      <c r="D728" s="6" t="str">
        <f t="shared" si="14"/>
        <v/>
      </c>
      <c r="F728" s="6" t="str">
        <f>IF($C728="","",COUNTIFS(Chicks!$F:$F,$C728,Chicks!$G:$G,$D728))</f>
        <v/>
      </c>
      <c r="G728" s="6" t="str">
        <f>IF($C728="","",COUNTIFS(Chicks!$F:$F,$C728,Chicks!$G:$G,$D728,Chicks!$I:$I,"Yes"))</f>
        <v/>
      </c>
      <c r="H728" s="6" t="str">
        <f>IF($C728="","",SUMIFS(Chicks!$J:$J,Chicks!$F:$F,$C728,Chicks!$G:$G,$D728))</f>
        <v/>
      </c>
      <c r="I728" s="6" t="str">
        <f>IF($C728="","",COUNTIFS(Chicks!$F:$F,$C728,Chicks!$G:$G,$D728,Chicks!$I:$I,"No"))</f>
        <v/>
      </c>
      <c r="J728" s="6" t="str">
        <f>IF($C728="","",IFERROR(AVERAGEIFS(Chicks!$M:$M,Chicks!$F:$F,$C728,Chicks!$G:$G,$D728),""))</f>
        <v/>
      </c>
      <c r="K728" s="6" t="str">
        <f>IF($C728="","",SUMIFS(Chicks!$N:$N,Chicks!$F:$F,$C728,Chicks!$G:$G,$D728))</f>
        <v/>
      </c>
      <c r="L728" s="6" t="str">
        <f>IF($C728="","",SUMIFS(Chicks!$O:$O,Chicks!$F:$F,$C728,Chicks!$G:$G,$D728))</f>
        <v/>
      </c>
      <c r="M728" s="6" t="str">
        <f>IF($C728="","",SUMIFS(Chicks!$P:$P,Chicks!$F:$F,$C728,Chicks!$G:$G,$D728))</f>
        <v/>
      </c>
      <c r="N728" s="6" t="str">
        <f t="shared" si="10"/>
        <v/>
      </c>
      <c r="O728" s="6" t="e">
        <f t="shared" ca="1" si="11"/>
        <v>#NAME?</v>
      </c>
      <c r="P728" s="6" t="str">
        <f t="shared" si="12"/>
        <v/>
      </c>
    </row>
    <row r="729" spans="3:16" ht="14.25" customHeight="1" x14ac:dyDescent="0.3">
      <c r="C729" s="6" t="str">
        <f t="shared" si="13"/>
        <v/>
      </c>
      <c r="D729" s="6" t="str">
        <f t="shared" si="14"/>
        <v/>
      </c>
      <c r="F729" s="6" t="str">
        <f>IF($C729="","",COUNTIFS(Chicks!$F:$F,$C729,Chicks!$G:$G,$D729))</f>
        <v/>
      </c>
      <c r="G729" s="6" t="str">
        <f>IF($C729="","",COUNTIFS(Chicks!$F:$F,$C729,Chicks!$G:$G,$D729,Chicks!$I:$I,"Yes"))</f>
        <v/>
      </c>
      <c r="H729" s="6" t="str">
        <f>IF($C729="","",SUMIFS(Chicks!$J:$J,Chicks!$F:$F,$C729,Chicks!$G:$G,$D729))</f>
        <v/>
      </c>
      <c r="I729" s="6" t="str">
        <f>IF($C729="","",COUNTIFS(Chicks!$F:$F,$C729,Chicks!$G:$G,$D729,Chicks!$I:$I,"No"))</f>
        <v/>
      </c>
      <c r="J729" s="6" t="str">
        <f>IF($C729="","",IFERROR(AVERAGEIFS(Chicks!$M:$M,Chicks!$F:$F,$C729,Chicks!$G:$G,$D729),""))</f>
        <v/>
      </c>
      <c r="K729" s="6" t="str">
        <f>IF($C729="","",SUMIFS(Chicks!$N:$N,Chicks!$F:$F,$C729,Chicks!$G:$G,$D729))</f>
        <v/>
      </c>
      <c r="L729" s="6" t="str">
        <f>IF($C729="","",SUMIFS(Chicks!$O:$O,Chicks!$F:$F,$C729,Chicks!$G:$G,$D729))</f>
        <v/>
      </c>
      <c r="M729" s="6" t="str">
        <f>IF($C729="","",SUMIFS(Chicks!$P:$P,Chicks!$F:$F,$C729,Chicks!$G:$G,$D729))</f>
        <v/>
      </c>
      <c r="N729" s="6" t="str">
        <f t="shared" si="10"/>
        <v/>
      </c>
      <c r="O729" s="6" t="e">
        <f t="shared" ca="1" si="11"/>
        <v>#NAME?</v>
      </c>
      <c r="P729" s="6" t="str">
        <f t="shared" si="12"/>
        <v/>
      </c>
    </row>
    <row r="730" spans="3:16" ht="14.25" customHeight="1" x14ac:dyDescent="0.3">
      <c r="C730" s="6" t="str">
        <f t="shared" si="13"/>
        <v/>
      </c>
      <c r="D730" s="6" t="str">
        <f t="shared" si="14"/>
        <v/>
      </c>
      <c r="F730" s="6" t="str">
        <f>IF($C730="","",COUNTIFS(Chicks!$F:$F,$C730,Chicks!$G:$G,$D730))</f>
        <v/>
      </c>
      <c r="G730" s="6" t="str">
        <f>IF($C730="","",COUNTIFS(Chicks!$F:$F,$C730,Chicks!$G:$G,$D730,Chicks!$I:$I,"Yes"))</f>
        <v/>
      </c>
      <c r="H730" s="6" t="str">
        <f>IF($C730="","",SUMIFS(Chicks!$J:$J,Chicks!$F:$F,$C730,Chicks!$G:$G,$D730))</f>
        <v/>
      </c>
      <c r="I730" s="6" t="str">
        <f>IF($C730="","",COUNTIFS(Chicks!$F:$F,$C730,Chicks!$G:$G,$D730,Chicks!$I:$I,"No"))</f>
        <v/>
      </c>
      <c r="J730" s="6" t="str">
        <f>IF($C730="","",IFERROR(AVERAGEIFS(Chicks!$M:$M,Chicks!$F:$F,$C730,Chicks!$G:$G,$D730),""))</f>
        <v/>
      </c>
      <c r="K730" s="6" t="str">
        <f>IF($C730="","",SUMIFS(Chicks!$N:$N,Chicks!$F:$F,$C730,Chicks!$G:$G,$D730))</f>
        <v/>
      </c>
      <c r="L730" s="6" t="str">
        <f>IF($C730="","",SUMIFS(Chicks!$O:$O,Chicks!$F:$F,$C730,Chicks!$G:$G,$D730))</f>
        <v/>
      </c>
      <c r="M730" s="6" t="str">
        <f>IF($C730="","",SUMIFS(Chicks!$P:$P,Chicks!$F:$F,$C730,Chicks!$G:$G,$D730))</f>
        <v/>
      </c>
      <c r="N730" s="6" t="str">
        <f t="shared" si="10"/>
        <v/>
      </c>
      <c r="O730" s="6" t="e">
        <f t="shared" ca="1" si="11"/>
        <v>#NAME?</v>
      </c>
      <c r="P730" s="6" t="str">
        <f t="shared" si="12"/>
        <v/>
      </c>
    </row>
    <row r="731" spans="3:16" ht="14.25" customHeight="1" x14ac:dyDescent="0.3">
      <c r="C731" s="6" t="str">
        <f t="shared" si="13"/>
        <v/>
      </c>
      <c r="D731" s="6" t="str">
        <f t="shared" si="14"/>
        <v/>
      </c>
      <c r="F731" s="6" t="str">
        <f>IF($C731="","",COUNTIFS(Chicks!$F:$F,$C731,Chicks!$G:$G,$D731))</f>
        <v/>
      </c>
      <c r="G731" s="6" t="str">
        <f>IF($C731="","",COUNTIFS(Chicks!$F:$F,$C731,Chicks!$G:$G,$D731,Chicks!$I:$I,"Yes"))</f>
        <v/>
      </c>
      <c r="H731" s="6" t="str">
        <f>IF($C731="","",SUMIFS(Chicks!$J:$J,Chicks!$F:$F,$C731,Chicks!$G:$G,$D731))</f>
        <v/>
      </c>
      <c r="I731" s="6" t="str">
        <f>IF($C731="","",COUNTIFS(Chicks!$F:$F,$C731,Chicks!$G:$G,$D731,Chicks!$I:$I,"No"))</f>
        <v/>
      </c>
      <c r="J731" s="6" t="str">
        <f>IF($C731="","",IFERROR(AVERAGEIFS(Chicks!$M:$M,Chicks!$F:$F,$C731,Chicks!$G:$G,$D731),""))</f>
        <v/>
      </c>
      <c r="K731" s="6" t="str">
        <f>IF($C731="","",SUMIFS(Chicks!$N:$N,Chicks!$F:$F,$C731,Chicks!$G:$G,$D731))</f>
        <v/>
      </c>
      <c r="L731" s="6" t="str">
        <f>IF($C731="","",SUMIFS(Chicks!$O:$O,Chicks!$F:$F,$C731,Chicks!$G:$G,$D731))</f>
        <v/>
      </c>
      <c r="M731" s="6" t="str">
        <f>IF($C731="","",SUMIFS(Chicks!$P:$P,Chicks!$F:$F,$C731,Chicks!$G:$G,$D731))</f>
        <v/>
      </c>
      <c r="N731" s="6" t="str">
        <f t="shared" si="10"/>
        <v/>
      </c>
      <c r="O731" s="6" t="e">
        <f t="shared" ca="1" si="11"/>
        <v>#NAME?</v>
      </c>
      <c r="P731" s="6" t="str">
        <f t="shared" si="12"/>
        <v/>
      </c>
    </row>
    <row r="732" spans="3:16" ht="14.25" customHeight="1" x14ac:dyDescent="0.3">
      <c r="C732" s="6" t="str">
        <f t="shared" si="13"/>
        <v/>
      </c>
      <c r="D732" s="6" t="str">
        <f t="shared" si="14"/>
        <v/>
      </c>
      <c r="F732" s="6" t="str">
        <f>IF($C732="","",COUNTIFS(Chicks!$F:$F,$C732,Chicks!$G:$G,$D732))</f>
        <v/>
      </c>
      <c r="G732" s="6" t="str">
        <f>IF($C732="","",COUNTIFS(Chicks!$F:$F,$C732,Chicks!$G:$G,$D732,Chicks!$I:$I,"Yes"))</f>
        <v/>
      </c>
      <c r="H732" s="6" t="str">
        <f>IF($C732="","",SUMIFS(Chicks!$J:$J,Chicks!$F:$F,$C732,Chicks!$G:$G,$D732))</f>
        <v/>
      </c>
      <c r="I732" s="6" t="str">
        <f>IF($C732="","",COUNTIFS(Chicks!$F:$F,$C732,Chicks!$G:$G,$D732,Chicks!$I:$I,"No"))</f>
        <v/>
      </c>
      <c r="J732" s="6" t="str">
        <f>IF($C732="","",IFERROR(AVERAGEIFS(Chicks!$M:$M,Chicks!$F:$F,$C732,Chicks!$G:$G,$D732),""))</f>
        <v/>
      </c>
      <c r="K732" s="6" t="str">
        <f>IF($C732="","",SUMIFS(Chicks!$N:$N,Chicks!$F:$F,$C732,Chicks!$G:$G,$D732))</f>
        <v/>
      </c>
      <c r="L732" s="6" t="str">
        <f>IF($C732="","",SUMIFS(Chicks!$O:$O,Chicks!$F:$F,$C732,Chicks!$G:$G,$D732))</f>
        <v/>
      </c>
      <c r="M732" s="6" t="str">
        <f>IF($C732="","",SUMIFS(Chicks!$P:$P,Chicks!$F:$F,$C732,Chicks!$G:$G,$D732))</f>
        <v/>
      </c>
      <c r="N732" s="6" t="str">
        <f t="shared" si="10"/>
        <v/>
      </c>
      <c r="O732" s="6" t="e">
        <f t="shared" ca="1" si="11"/>
        <v>#NAME?</v>
      </c>
      <c r="P732" s="6" t="str">
        <f t="shared" si="12"/>
        <v/>
      </c>
    </row>
    <row r="733" spans="3:16" ht="14.25" customHeight="1" x14ac:dyDescent="0.3">
      <c r="C733" s="6" t="str">
        <f t="shared" si="13"/>
        <v/>
      </c>
      <c r="D733" s="6" t="str">
        <f t="shared" si="14"/>
        <v/>
      </c>
      <c r="F733" s="6" t="str">
        <f>IF($C733="","",COUNTIFS(Chicks!$F:$F,$C733,Chicks!$G:$G,$D733))</f>
        <v/>
      </c>
      <c r="G733" s="6" t="str">
        <f>IF($C733="","",COUNTIFS(Chicks!$F:$F,$C733,Chicks!$G:$G,$D733,Chicks!$I:$I,"Yes"))</f>
        <v/>
      </c>
      <c r="H733" s="6" t="str">
        <f>IF($C733="","",SUMIFS(Chicks!$J:$J,Chicks!$F:$F,$C733,Chicks!$G:$G,$D733))</f>
        <v/>
      </c>
      <c r="I733" s="6" t="str">
        <f>IF($C733="","",COUNTIFS(Chicks!$F:$F,$C733,Chicks!$G:$G,$D733,Chicks!$I:$I,"No"))</f>
        <v/>
      </c>
      <c r="J733" s="6" t="str">
        <f>IF($C733="","",IFERROR(AVERAGEIFS(Chicks!$M:$M,Chicks!$F:$F,$C733,Chicks!$G:$G,$D733),""))</f>
        <v/>
      </c>
      <c r="K733" s="6" t="str">
        <f>IF($C733="","",SUMIFS(Chicks!$N:$N,Chicks!$F:$F,$C733,Chicks!$G:$G,$D733))</f>
        <v/>
      </c>
      <c r="L733" s="6" t="str">
        <f>IF($C733="","",SUMIFS(Chicks!$O:$O,Chicks!$F:$F,$C733,Chicks!$G:$G,$D733))</f>
        <v/>
      </c>
      <c r="M733" s="6" t="str">
        <f>IF($C733="","",SUMIFS(Chicks!$P:$P,Chicks!$F:$F,$C733,Chicks!$G:$G,$D733))</f>
        <v/>
      </c>
      <c r="N733" s="6" t="str">
        <f t="shared" si="10"/>
        <v/>
      </c>
      <c r="O733" s="6" t="e">
        <f t="shared" ca="1" si="11"/>
        <v>#NAME?</v>
      </c>
      <c r="P733" s="6" t="str">
        <f t="shared" si="12"/>
        <v/>
      </c>
    </row>
    <row r="734" spans="3:16" ht="14.25" customHeight="1" x14ac:dyDescent="0.3">
      <c r="C734" s="6" t="str">
        <f t="shared" si="13"/>
        <v/>
      </c>
      <c r="D734" s="6" t="str">
        <f t="shared" si="14"/>
        <v/>
      </c>
      <c r="F734" s="6" t="str">
        <f>IF($C734="","",COUNTIFS(Chicks!$F:$F,$C734,Chicks!$G:$G,$D734))</f>
        <v/>
      </c>
      <c r="G734" s="6" t="str">
        <f>IF($C734="","",COUNTIFS(Chicks!$F:$F,$C734,Chicks!$G:$G,$D734,Chicks!$I:$I,"Yes"))</f>
        <v/>
      </c>
      <c r="H734" s="6" t="str">
        <f>IF($C734="","",SUMIFS(Chicks!$J:$J,Chicks!$F:$F,$C734,Chicks!$G:$G,$D734))</f>
        <v/>
      </c>
      <c r="I734" s="6" t="str">
        <f>IF($C734="","",COUNTIFS(Chicks!$F:$F,$C734,Chicks!$G:$G,$D734,Chicks!$I:$I,"No"))</f>
        <v/>
      </c>
      <c r="J734" s="6" t="str">
        <f>IF($C734="","",IFERROR(AVERAGEIFS(Chicks!$M:$M,Chicks!$F:$F,$C734,Chicks!$G:$G,$D734),""))</f>
        <v/>
      </c>
      <c r="K734" s="6" t="str">
        <f>IF($C734="","",SUMIFS(Chicks!$N:$N,Chicks!$F:$F,$C734,Chicks!$G:$G,$D734))</f>
        <v/>
      </c>
      <c r="L734" s="6" t="str">
        <f>IF($C734="","",SUMIFS(Chicks!$O:$O,Chicks!$F:$F,$C734,Chicks!$G:$G,$D734))</f>
        <v/>
      </c>
      <c r="M734" s="6" t="str">
        <f>IF($C734="","",SUMIFS(Chicks!$P:$P,Chicks!$F:$F,$C734,Chicks!$G:$G,$D734))</f>
        <v/>
      </c>
      <c r="N734" s="6" t="str">
        <f t="shared" si="10"/>
        <v/>
      </c>
      <c r="O734" s="6" t="e">
        <f t="shared" ca="1" si="11"/>
        <v>#NAME?</v>
      </c>
      <c r="P734" s="6" t="str">
        <f t="shared" si="12"/>
        <v/>
      </c>
    </row>
    <row r="735" spans="3:16" ht="14.25" customHeight="1" x14ac:dyDescent="0.3">
      <c r="C735" s="6" t="str">
        <f t="shared" si="13"/>
        <v/>
      </c>
      <c r="D735" s="6" t="str">
        <f t="shared" si="14"/>
        <v/>
      </c>
      <c r="F735" s="6" t="str">
        <f>IF($C735="","",COUNTIFS(Chicks!$F:$F,$C735,Chicks!$G:$G,$D735))</f>
        <v/>
      </c>
      <c r="G735" s="6" t="str">
        <f>IF($C735="","",COUNTIFS(Chicks!$F:$F,$C735,Chicks!$G:$G,$D735,Chicks!$I:$I,"Yes"))</f>
        <v/>
      </c>
      <c r="H735" s="6" t="str">
        <f>IF($C735="","",SUMIFS(Chicks!$J:$J,Chicks!$F:$F,$C735,Chicks!$G:$G,$D735))</f>
        <v/>
      </c>
      <c r="I735" s="6" t="str">
        <f>IF($C735="","",COUNTIFS(Chicks!$F:$F,$C735,Chicks!$G:$G,$D735,Chicks!$I:$I,"No"))</f>
        <v/>
      </c>
      <c r="J735" s="6" t="str">
        <f>IF($C735="","",IFERROR(AVERAGEIFS(Chicks!$M:$M,Chicks!$F:$F,$C735,Chicks!$G:$G,$D735),""))</f>
        <v/>
      </c>
      <c r="K735" s="6" t="str">
        <f>IF($C735="","",SUMIFS(Chicks!$N:$N,Chicks!$F:$F,$C735,Chicks!$G:$G,$D735))</f>
        <v/>
      </c>
      <c r="L735" s="6" t="str">
        <f>IF($C735="","",SUMIFS(Chicks!$O:$O,Chicks!$F:$F,$C735,Chicks!$G:$G,$D735))</f>
        <v/>
      </c>
      <c r="M735" s="6" t="str">
        <f>IF($C735="","",SUMIFS(Chicks!$P:$P,Chicks!$F:$F,$C735,Chicks!$G:$G,$D735))</f>
        <v/>
      </c>
      <c r="N735" s="6" t="str">
        <f t="shared" si="10"/>
        <v/>
      </c>
      <c r="O735" s="6" t="e">
        <f t="shared" ca="1" si="11"/>
        <v>#NAME?</v>
      </c>
      <c r="P735" s="6" t="str">
        <f t="shared" si="12"/>
        <v/>
      </c>
    </row>
    <row r="736" spans="3:16" ht="14.25" customHeight="1" x14ac:dyDescent="0.3">
      <c r="C736" s="6" t="str">
        <f t="shared" si="13"/>
        <v/>
      </c>
      <c r="D736" s="6" t="str">
        <f t="shared" si="14"/>
        <v/>
      </c>
      <c r="F736" s="6" t="str">
        <f>IF($C736="","",COUNTIFS(Chicks!$F:$F,$C736,Chicks!$G:$G,$D736))</f>
        <v/>
      </c>
      <c r="G736" s="6" t="str">
        <f>IF($C736="","",COUNTIFS(Chicks!$F:$F,$C736,Chicks!$G:$G,$D736,Chicks!$I:$I,"Yes"))</f>
        <v/>
      </c>
      <c r="H736" s="6" t="str">
        <f>IF($C736="","",SUMIFS(Chicks!$J:$J,Chicks!$F:$F,$C736,Chicks!$G:$G,$D736))</f>
        <v/>
      </c>
      <c r="I736" s="6" t="str">
        <f>IF($C736="","",COUNTIFS(Chicks!$F:$F,$C736,Chicks!$G:$G,$D736,Chicks!$I:$I,"No"))</f>
        <v/>
      </c>
      <c r="J736" s="6" t="str">
        <f>IF($C736="","",IFERROR(AVERAGEIFS(Chicks!$M:$M,Chicks!$F:$F,$C736,Chicks!$G:$G,$D736),""))</f>
        <v/>
      </c>
      <c r="K736" s="6" t="str">
        <f>IF($C736="","",SUMIFS(Chicks!$N:$N,Chicks!$F:$F,$C736,Chicks!$G:$G,$D736))</f>
        <v/>
      </c>
      <c r="L736" s="6" t="str">
        <f>IF($C736="","",SUMIFS(Chicks!$O:$O,Chicks!$F:$F,$C736,Chicks!$G:$G,$D736))</f>
        <v/>
      </c>
      <c r="M736" s="6" t="str">
        <f>IF($C736="","",SUMIFS(Chicks!$P:$P,Chicks!$F:$F,$C736,Chicks!$G:$G,$D736))</f>
        <v/>
      </c>
      <c r="N736" s="6" t="str">
        <f t="shared" si="10"/>
        <v/>
      </c>
      <c r="O736" s="6" t="e">
        <f t="shared" ca="1" si="11"/>
        <v>#NAME?</v>
      </c>
      <c r="P736" s="6" t="str">
        <f t="shared" si="12"/>
        <v/>
      </c>
    </row>
    <row r="737" spans="3:16" ht="14.25" customHeight="1" x14ac:dyDescent="0.3">
      <c r="C737" s="6" t="str">
        <f t="shared" si="13"/>
        <v/>
      </c>
      <c r="D737" s="6" t="str">
        <f t="shared" si="14"/>
        <v/>
      </c>
      <c r="F737" s="6" t="str">
        <f>IF($C737="","",COUNTIFS(Chicks!$F:$F,$C737,Chicks!$G:$G,$D737))</f>
        <v/>
      </c>
      <c r="G737" s="6" t="str">
        <f>IF($C737="","",COUNTIFS(Chicks!$F:$F,$C737,Chicks!$G:$G,$D737,Chicks!$I:$I,"Yes"))</f>
        <v/>
      </c>
      <c r="H737" s="6" t="str">
        <f>IF($C737="","",SUMIFS(Chicks!$J:$J,Chicks!$F:$F,$C737,Chicks!$G:$G,$D737))</f>
        <v/>
      </c>
      <c r="I737" s="6" t="str">
        <f>IF($C737="","",COUNTIFS(Chicks!$F:$F,$C737,Chicks!$G:$G,$D737,Chicks!$I:$I,"No"))</f>
        <v/>
      </c>
      <c r="J737" s="6" t="str">
        <f>IF($C737="","",IFERROR(AVERAGEIFS(Chicks!$M:$M,Chicks!$F:$F,$C737,Chicks!$G:$G,$D737),""))</f>
        <v/>
      </c>
      <c r="K737" s="6" t="str">
        <f>IF($C737="","",SUMIFS(Chicks!$N:$N,Chicks!$F:$F,$C737,Chicks!$G:$G,$D737))</f>
        <v/>
      </c>
      <c r="L737" s="6" t="str">
        <f>IF($C737="","",SUMIFS(Chicks!$O:$O,Chicks!$F:$F,$C737,Chicks!$G:$G,$D737))</f>
        <v/>
      </c>
      <c r="M737" s="6" t="str">
        <f>IF($C737="","",SUMIFS(Chicks!$P:$P,Chicks!$F:$F,$C737,Chicks!$G:$G,$D737))</f>
        <v/>
      </c>
      <c r="N737" s="6" t="str">
        <f t="shared" si="10"/>
        <v/>
      </c>
      <c r="O737" s="6" t="e">
        <f t="shared" ca="1" si="11"/>
        <v>#NAME?</v>
      </c>
      <c r="P737" s="6" t="str">
        <f t="shared" si="12"/>
        <v/>
      </c>
    </row>
    <row r="738" spans="3:16" ht="14.25" customHeight="1" x14ac:dyDescent="0.3">
      <c r="C738" s="6" t="str">
        <f t="shared" si="13"/>
        <v/>
      </c>
      <c r="D738" s="6" t="str">
        <f t="shared" si="14"/>
        <v/>
      </c>
      <c r="F738" s="6" t="str">
        <f>IF($C738="","",COUNTIFS(Chicks!$F:$F,$C738,Chicks!$G:$G,$D738))</f>
        <v/>
      </c>
      <c r="G738" s="6" t="str">
        <f>IF($C738="","",COUNTIFS(Chicks!$F:$F,$C738,Chicks!$G:$G,$D738,Chicks!$I:$I,"Yes"))</f>
        <v/>
      </c>
      <c r="H738" s="6" t="str">
        <f>IF($C738="","",SUMIFS(Chicks!$J:$J,Chicks!$F:$F,$C738,Chicks!$G:$G,$D738))</f>
        <v/>
      </c>
      <c r="I738" s="6" t="str">
        <f>IF($C738="","",COUNTIFS(Chicks!$F:$F,$C738,Chicks!$G:$G,$D738,Chicks!$I:$I,"No"))</f>
        <v/>
      </c>
      <c r="J738" s="6" t="str">
        <f>IF($C738="","",IFERROR(AVERAGEIFS(Chicks!$M:$M,Chicks!$F:$F,$C738,Chicks!$G:$G,$D738),""))</f>
        <v/>
      </c>
      <c r="K738" s="6" t="str">
        <f>IF($C738="","",SUMIFS(Chicks!$N:$N,Chicks!$F:$F,$C738,Chicks!$G:$G,$D738))</f>
        <v/>
      </c>
      <c r="L738" s="6" t="str">
        <f>IF($C738="","",SUMIFS(Chicks!$O:$O,Chicks!$F:$F,$C738,Chicks!$G:$G,$D738))</f>
        <v/>
      </c>
      <c r="M738" s="6" t="str">
        <f>IF($C738="","",SUMIFS(Chicks!$P:$P,Chicks!$F:$F,$C738,Chicks!$G:$G,$D738))</f>
        <v/>
      </c>
      <c r="N738" s="6" t="str">
        <f t="shared" si="10"/>
        <v/>
      </c>
      <c r="O738" s="6" t="e">
        <f t="shared" ca="1" si="11"/>
        <v>#NAME?</v>
      </c>
      <c r="P738" s="6" t="str">
        <f t="shared" si="12"/>
        <v/>
      </c>
    </row>
    <row r="739" spans="3:16" ht="14.25" customHeight="1" x14ac:dyDescent="0.3">
      <c r="C739" s="6" t="str">
        <f t="shared" si="13"/>
        <v/>
      </c>
      <c r="D739" s="6" t="str">
        <f t="shared" si="14"/>
        <v/>
      </c>
      <c r="F739" s="6" t="str">
        <f>IF($C739="","",COUNTIFS(Chicks!$F:$F,$C739,Chicks!$G:$G,$D739))</f>
        <v/>
      </c>
      <c r="G739" s="6" t="str">
        <f>IF($C739="","",COUNTIFS(Chicks!$F:$F,$C739,Chicks!$G:$G,$D739,Chicks!$I:$I,"Yes"))</f>
        <v/>
      </c>
      <c r="H739" s="6" t="str">
        <f>IF($C739="","",SUMIFS(Chicks!$J:$J,Chicks!$F:$F,$C739,Chicks!$G:$G,$D739))</f>
        <v/>
      </c>
      <c r="I739" s="6" t="str">
        <f>IF($C739="","",COUNTIFS(Chicks!$F:$F,$C739,Chicks!$G:$G,$D739,Chicks!$I:$I,"No"))</f>
        <v/>
      </c>
      <c r="J739" s="6" t="str">
        <f>IF($C739="","",IFERROR(AVERAGEIFS(Chicks!$M:$M,Chicks!$F:$F,$C739,Chicks!$G:$G,$D739),""))</f>
        <v/>
      </c>
      <c r="K739" s="6" t="str">
        <f>IF($C739="","",SUMIFS(Chicks!$N:$N,Chicks!$F:$F,$C739,Chicks!$G:$G,$D739))</f>
        <v/>
      </c>
      <c r="L739" s="6" t="str">
        <f>IF($C739="","",SUMIFS(Chicks!$O:$O,Chicks!$F:$F,$C739,Chicks!$G:$G,$D739))</f>
        <v/>
      </c>
      <c r="M739" s="6" t="str">
        <f>IF($C739="","",SUMIFS(Chicks!$P:$P,Chicks!$F:$F,$C739,Chicks!$G:$G,$D739))</f>
        <v/>
      </c>
      <c r="N739" s="6" t="str">
        <f t="shared" si="10"/>
        <v/>
      </c>
      <c r="O739" s="6" t="e">
        <f t="shared" ca="1" si="11"/>
        <v>#NAME?</v>
      </c>
      <c r="P739" s="6" t="str">
        <f t="shared" si="12"/>
        <v/>
      </c>
    </row>
    <row r="740" spans="3:16" ht="14.25" customHeight="1" x14ac:dyDescent="0.3">
      <c r="C740" s="6" t="str">
        <f t="shared" si="13"/>
        <v/>
      </c>
      <c r="D740" s="6" t="str">
        <f t="shared" si="14"/>
        <v/>
      </c>
      <c r="F740" s="6" t="str">
        <f>IF($C740="","",COUNTIFS(Chicks!$F:$F,$C740,Chicks!$G:$G,$D740))</f>
        <v/>
      </c>
      <c r="G740" s="6" t="str">
        <f>IF($C740="","",COUNTIFS(Chicks!$F:$F,$C740,Chicks!$G:$G,$D740,Chicks!$I:$I,"Yes"))</f>
        <v/>
      </c>
      <c r="H740" s="6" t="str">
        <f>IF($C740="","",SUMIFS(Chicks!$J:$J,Chicks!$F:$F,$C740,Chicks!$G:$G,$D740))</f>
        <v/>
      </c>
      <c r="I740" s="6" t="str">
        <f>IF($C740="","",COUNTIFS(Chicks!$F:$F,$C740,Chicks!$G:$G,$D740,Chicks!$I:$I,"No"))</f>
        <v/>
      </c>
      <c r="J740" s="6" t="str">
        <f>IF($C740="","",IFERROR(AVERAGEIFS(Chicks!$M:$M,Chicks!$F:$F,$C740,Chicks!$G:$G,$D740),""))</f>
        <v/>
      </c>
      <c r="K740" s="6" t="str">
        <f>IF($C740="","",SUMIFS(Chicks!$N:$N,Chicks!$F:$F,$C740,Chicks!$G:$G,$D740))</f>
        <v/>
      </c>
      <c r="L740" s="6" t="str">
        <f>IF($C740="","",SUMIFS(Chicks!$O:$O,Chicks!$F:$F,$C740,Chicks!$G:$G,$D740))</f>
        <v/>
      </c>
      <c r="M740" s="6" t="str">
        <f>IF($C740="","",SUMIFS(Chicks!$P:$P,Chicks!$F:$F,$C740,Chicks!$G:$G,$D740))</f>
        <v/>
      </c>
      <c r="N740" s="6" t="str">
        <f t="shared" si="10"/>
        <v/>
      </c>
      <c r="O740" s="6" t="e">
        <f t="shared" ca="1" si="11"/>
        <v>#NAME?</v>
      </c>
      <c r="P740" s="6" t="str">
        <f t="shared" si="12"/>
        <v/>
      </c>
    </row>
    <row r="741" spans="3:16" ht="14.25" customHeight="1" x14ac:dyDescent="0.3">
      <c r="C741" s="6" t="str">
        <f t="shared" si="13"/>
        <v/>
      </c>
      <c r="D741" s="6" t="str">
        <f t="shared" si="14"/>
        <v/>
      </c>
      <c r="F741" s="6" t="str">
        <f>IF($C741="","",COUNTIFS(Chicks!$F:$F,$C741,Chicks!$G:$G,$D741))</f>
        <v/>
      </c>
      <c r="G741" s="6" t="str">
        <f>IF($C741="","",COUNTIFS(Chicks!$F:$F,$C741,Chicks!$G:$G,$D741,Chicks!$I:$I,"Yes"))</f>
        <v/>
      </c>
      <c r="H741" s="6" t="str">
        <f>IF($C741="","",SUMIFS(Chicks!$J:$J,Chicks!$F:$F,$C741,Chicks!$G:$G,$D741))</f>
        <v/>
      </c>
      <c r="I741" s="6" t="str">
        <f>IF($C741="","",COUNTIFS(Chicks!$F:$F,$C741,Chicks!$G:$G,$D741,Chicks!$I:$I,"No"))</f>
        <v/>
      </c>
      <c r="J741" s="6" t="str">
        <f>IF($C741="","",IFERROR(AVERAGEIFS(Chicks!$M:$M,Chicks!$F:$F,$C741,Chicks!$G:$G,$D741),""))</f>
        <v/>
      </c>
      <c r="K741" s="6" t="str">
        <f>IF($C741="","",SUMIFS(Chicks!$N:$N,Chicks!$F:$F,$C741,Chicks!$G:$G,$D741))</f>
        <v/>
      </c>
      <c r="L741" s="6" t="str">
        <f>IF($C741="","",SUMIFS(Chicks!$O:$O,Chicks!$F:$F,$C741,Chicks!$G:$G,$D741))</f>
        <v/>
      </c>
      <c r="M741" s="6" t="str">
        <f>IF($C741="","",SUMIFS(Chicks!$P:$P,Chicks!$F:$F,$C741,Chicks!$G:$G,$D741))</f>
        <v/>
      </c>
      <c r="N741" s="6" t="str">
        <f t="shared" si="10"/>
        <v/>
      </c>
      <c r="O741" s="6" t="e">
        <f t="shared" ca="1" si="11"/>
        <v>#NAME?</v>
      </c>
      <c r="P741" s="6" t="str">
        <f t="shared" si="12"/>
        <v/>
      </c>
    </row>
    <row r="742" spans="3:16" ht="14.25" customHeight="1" x14ac:dyDescent="0.3">
      <c r="C742" s="6" t="str">
        <f t="shared" si="13"/>
        <v/>
      </c>
      <c r="D742" s="6" t="str">
        <f t="shared" si="14"/>
        <v/>
      </c>
      <c r="F742" s="6" t="str">
        <f>IF($C742="","",COUNTIFS(Chicks!$F:$F,$C742,Chicks!$G:$G,$D742))</f>
        <v/>
      </c>
      <c r="G742" s="6" t="str">
        <f>IF($C742="","",COUNTIFS(Chicks!$F:$F,$C742,Chicks!$G:$G,$D742,Chicks!$I:$I,"Yes"))</f>
        <v/>
      </c>
      <c r="H742" s="6" t="str">
        <f>IF($C742="","",SUMIFS(Chicks!$J:$J,Chicks!$F:$F,$C742,Chicks!$G:$G,$D742))</f>
        <v/>
      </c>
      <c r="I742" s="6" t="str">
        <f>IF($C742="","",COUNTIFS(Chicks!$F:$F,$C742,Chicks!$G:$G,$D742,Chicks!$I:$I,"No"))</f>
        <v/>
      </c>
      <c r="J742" s="6" t="str">
        <f>IF($C742="","",IFERROR(AVERAGEIFS(Chicks!$M:$M,Chicks!$F:$F,$C742,Chicks!$G:$G,$D742),""))</f>
        <v/>
      </c>
      <c r="K742" s="6" t="str">
        <f>IF($C742="","",SUMIFS(Chicks!$N:$N,Chicks!$F:$F,$C742,Chicks!$G:$G,$D742))</f>
        <v/>
      </c>
      <c r="L742" s="6" t="str">
        <f>IF($C742="","",SUMIFS(Chicks!$O:$O,Chicks!$F:$F,$C742,Chicks!$G:$G,$D742))</f>
        <v/>
      </c>
      <c r="M742" s="6" t="str">
        <f>IF($C742="","",SUMIFS(Chicks!$P:$P,Chicks!$F:$F,$C742,Chicks!$G:$G,$D742))</f>
        <v/>
      </c>
      <c r="N742" s="6" t="str">
        <f t="shared" si="10"/>
        <v/>
      </c>
      <c r="O742" s="6" t="e">
        <f t="shared" ca="1" si="11"/>
        <v>#NAME?</v>
      </c>
      <c r="P742" s="6" t="str">
        <f t="shared" si="12"/>
        <v/>
      </c>
    </row>
    <row r="743" spans="3:16" ht="14.25" customHeight="1" x14ac:dyDescent="0.3">
      <c r="C743" s="6" t="str">
        <f t="shared" si="13"/>
        <v/>
      </c>
      <c r="D743" s="6" t="str">
        <f t="shared" si="14"/>
        <v/>
      </c>
      <c r="F743" s="6" t="str">
        <f>IF($C743="","",COUNTIFS(Chicks!$F:$F,$C743,Chicks!$G:$G,$D743))</f>
        <v/>
      </c>
      <c r="G743" s="6" t="str">
        <f>IF($C743="","",COUNTIFS(Chicks!$F:$F,$C743,Chicks!$G:$G,$D743,Chicks!$I:$I,"Yes"))</f>
        <v/>
      </c>
      <c r="H743" s="6" t="str">
        <f>IF($C743="","",SUMIFS(Chicks!$J:$J,Chicks!$F:$F,$C743,Chicks!$G:$G,$D743))</f>
        <v/>
      </c>
      <c r="I743" s="6" t="str">
        <f>IF($C743="","",COUNTIFS(Chicks!$F:$F,$C743,Chicks!$G:$G,$D743,Chicks!$I:$I,"No"))</f>
        <v/>
      </c>
      <c r="J743" s="6" t="str">
        <f>IF($C743="","",IFERROR(AVERAGEIFS(Chicks!$M:$M,Chicks!$F:$F,$C743,Chicks!$G:$G,$D743),""))</f>
        <v/>
      </c>
      <c r="K743" s="6" t="str">
        <f>IF($C743="","",SUMIFS(Chicks!$N:$N,Chicks!$F:$F,$C743,Chicks!$G:$G,$D743))</f>
        <v/>
      </c>
      <c r="L743" s="6" t="str">
        <f>IF($C743="","",SUMIFS(Chicks!$O:$O,Chicks!$F:$F,$C743,Chicks!$G:$G,$D743))</f>
        <v/>
      </c>
      <c r="M743" s="6" t="str">
        <f>IF($C743="","",SUMIFS(Chicks!$P:$P,Chicks!$F:$F,$C743,Chicks!$G:$G,$D743))</f>
        <v/>
      </c>
      <c r="N743" s="6" t="str">
        <f t="shared" si="10"/>
        <v/>
      </c>
      <c r="O743" s="6" t="e">
        <f t="shared" ca="1" si="11"/>
        <v>#NAME?</v>
      </c>
      <c r="P743" s="6" t="str">
        <f t="shared" si="12"/>
        <v/>
      </c>
    </row>
    <row r="744" spans="3:16" ht="14.25" customHeight="1" x14ac:dyDescent="0.3">
      <c r="C744" s="6" t="str">
        <f t="shared" si="13"/>
        <v/>
      </c>
      <c r="D744" s="6" t="str">
        <f t="shared" si="14"/>
        <v/>
      </c>
      <c r="F744" s="6" t="str">
        <f>IF($C744="","",COUNTIFS(Chicks!$F:$F,$C744,Chicks!$G:$G,$D744))</f>
        <v/>
      </c>
      <c r="G744" s="6" t="str">
        <f>IF($C744="","",COUNTIFS(Chicks!$F:$F,$C744,Chicks!$G:$G,$D744,Chicks!$I:$I,"Yes"))</f>
        <v/>
      </c>
      <c r="H744" s="6" t="str">
        <f>IF($C744="","",SUMIFS(Chicks!$J:$J,Chicks!$F:$F,$C744,Chicks!$G:$G,$D744))</f>
        <v/>
      </c>
      <c r="I744" s="6" t="str">
        <f>IF($C744="","",COUNTIFS(Chicks!$F:$F,$C744,Chicks!$G:$G,$D744,Chicks!$I:$I,"No"))</f>
        <v/>
      </c>
      <c r="J744" s="6" t="str">
        <f>IF($C744="","",IFERROR(AVERAGEIFS(Chicks!$M:$M,Chicks!$F:$F,$C744,Chicks!$G:$G,$D744),""))</f>
        <v/>
      </c>
      <c r="K744" s="6" t="str">
        <f>IF($C744="","",SUMIFS(Chicks!$N:$N,Chicks!$F:$F,$C744,Chicks!$G:$G,$D744))</f>
        <v/>
      </c>
      <c r="L744" s="6" t="str">
        <f>IF($C744="","",SUMIFS(Chicks!$O:$O,Chicks!$F:$F,$C744,Chicks!$G:$G,$D744))</f>
        <v/>
      </c>
      <c r="M744" s="6" t="str">
        <f>IF($C744="","",SUMIFS(Chicks!$P:$P,Chicks!$F:$F,$C744,Chicks!$G:$G,$D744))</f>
        <v/>
      </c>
      <c r="N744" s="6" t="str">
        <f t="shared" si="10"/>
        <v/>
      </c>
      <c r="O744" s="6" t="e">
        <f t="shared" ca="1" si="11"/>
        <v>#NAME?</v>
      </c>
      <c r="P744" s="6" t="str">
        <f t="shared" si="12"/>
        <v/>
      </c>
    </row>
    <row r="745" spans="3:16" ht="14.25" customHeight="1" x14ac:dyDescent="0.3">
      <c r="C745" s="6" t="str">
        <f t="shared" si="13"/>
        <v/>
      </c>
      <c r="D745" s="6" t="str">
        <f t="shared" si="14"/>
        <v/>
      </c>
      <c r="F745" s="6" t="str">
        <f>IF($C745="","",COUNTIFS(Chicks!$F:$F,$C745,Chicks!$G:$G,$D745))</f>
        <v/>
      </c>
      <c r="G745" s="6" t="str">
        <f>IF($C745="","",COUNTIFS(Chicks!$F:$F,$C745,Chicks!$G:$G,$D745,Chicks!$I:$I,"Yes"))</f>
        <v/>
      </c>
      <c r="H745" s="6" t="str">
        <f>IF($C745="","",SUMIFS(Chicks!$J:$J,Chicks!$F:$F,$C745,Chicks!$G:$G,$D745))</f>
        <v/>
      </c>
      <c r="I745" s="6" t="str">
        <f>IF($C745="","",COUNTIFS(Chicks!$F:$F,$C745,Chicks!$G:$G,$D745,Chicks!$I:$I,"No"))</f>
        <v/>
      </c>
      <c r="J745" s="6" t="str">
        <f>IF($C745="","",IFERROR(AVERAGEIFS(Chicks!$M:$M,Chicks!$F:$F,$C745,Chicks!$G:$G,$D745),""))</f>
        <v/>
      </c>
      <c r="K745" s="6" t="str">
        <f>IF($C745="","",SUMIFS(Chicks!$N:$N,Chicks!$F:$F,$C745,Chicks!$G:$G,$D745))</f>
        <v/>
      </c>
      <c r="L745" s="6" t="str">
        <f>IF($C745="","",SUMIFS(Chicks!$O:$O,Chicks!$F:$F,$C745,Chicks!$G:$G,$D745))</f>
        <v/>
      </c>
      <c r="M745" s="6" t="str">
        <f>IF($C745="","",SUMIFS(Chicks!$P:$P,Chicks!$F:$F,$C745,Chicks!$G:$G,$D745))</f>
        <v/>
      </c>
      <c r="N745" s="6" t="str">
        <f t="shared" si="10"/>
        <v/>
      </c>
      <c r="O745" s="6" t="e">
        <f t="shared" ca="1" si="11"/>
        <v>#NAME?</v>
      </c>
      <c r="P745" s="6" t="str">
        <f t="shared" si="12"/>
        <v/>
      </c>
    </row>
    <row r="746" spans="3:16" ht="14.25" customHeight="1" x14ac:dyDescent="0.3">
      <c r="C746" s="6" t="str">
        <f t="shared" si="13"/>
        <v/>
      </c>
      <c r="D746" s="6" t="str">
        <f t="shared" si="14"/>
        <v/>
      </c>
      <c r="F746" s="6" t="str">
        <f>IF($C746="","",COUNTIFS(Chicks!$F:$F,$C746,Chicks!$G:$G,$D746))</f>
        <v/>
      </c>
      <c r="G746" s="6" t="str">
        <f>IF($C746="","",COUNTIFS(Chicks!$F:$F,$C746,Chicks!$G:$G,$D746,Chicks!$I:$I,"Yes"))</f>
        <v/>
      </c>
      <c r="H746" s="6" t="str">
        <f>IF($C746="","",SUMIFS(Chicks!$J:$J,Chicks!$F:$F,$C746,Chicks!$G:$G,$D746))</f>
        <v/>
      </c>
      <c r="I746" s="6" t="str">
        <f>IF($C746="","",COUNTIFS(Chicks!$F:$F,$C746,Chicks!$G:$G,$D746,Chicks!$I:$I,"No"))</f>
        <v/>
      </c>
      <c r="J746" s="6" t="str">
        <f>IF($C746="","",IFERROR(AVERAGEIFS(Chicks!$M:$M,Chicks!$F:$F,$C746,Chicks!$G:$G,$D746),""))</f>
        <v/>
      </c>
      <c r="K746" s="6" t="str">
        <f>IF($C746="","",SUMIFS(Chicks!$N:$N,Chicks!$F:$F,$C746,Chicks!$G:$G,$D746))</f>
        <v/>
      </c>
      <c r="L746" s="6" t="str">
        <f>IF($C746="","",SUMIFS(Chicks!$O:$O,Chicks!$F:$F,$C746,Chicks!$G:$G,$D746))</f>
        <v/>
      </c>
      <c r="M746" s="6" t="str">
        <f>IF($C746="","",SUMIFS(Chicks!$P:$P,Chicks!$F:$F,$C746,Chicks!$G:$G,$D746))</f>
        <v/>
      </c>
      <c r="N746" s="6" t="str">
        <f t="shared" si="10"/>
        <v/>
      </c>
      <c r="O746" s="6" t="e">
        <f t="shared" ca="1" si="11"/>
        <v>#NAME?</v>
      </c>
      <c r="P746" s="6" t="str">
        <f t="shared" si="12"/>
        <v/>
      </c>
    </row>
    <row r="747" spans="3:16" ht="14.25" customHeight="1" x14ac:dyDescent="0.3">
      <c r="C747" s="6" t="str">
        <f t="shared" si="13"/>
        <v/>
      </c>
      <c r="D747" s="6" t="str">
        <f t="shared" si="14"/>
        <v/>
      </c>
      <c r="F747" s="6" t="str">
        <f>IF($C747="","",COUNTIFS(Chicks!$F:$F,$C747,Chicks!$G:$G,$D747))</f>
        <v/>
      </c>
      <c r="G747" s="6" t="str">
        <f>IF($C747="","",COUNTIFS(Chicks!$F:$F,$C747,Chicks!$G:$G,$D747,Chicks!$I:$I,"Yes"))</f>
        <v/>
      </c>
      <c r="H747" s="6" t="str">
        <f>IF($C747="","",SUMIFS(Chicks!$J:$J,Chicks!$F:$F,$C747,Chicks!$G:$G,$D747))</f>
        <v/>
      </c>
      <c r="I747" s="6" t="str">
        <f>IF($C747="","",COUNTIFS(Chicks!$F:$F,$C747,Chicks!$G:$G,$D747,Chicks!$I:$I,"No"))</f>
        <v/>
      </c>
      <c r="J747" s="6" t="str">
        <f>IF($C747="","",IFERROR(AVERAGEIFS(Chicks!$M:$M,Chicks!$F:$F,$C747,Chicks!$G:$G,$D747),""))</f>
        <v/>
      </c>
      <c r="K747" s="6" t="str">
        <f>IF($C747="","",SUMIFS(Chicks!$N:$N,Chicks!$F:$F,$C747,Chicks!$G:$G,$D747))</f>
        <v/>
      </c>
      <c r="L747" s="6" t="str">
        <f>IF($C747="","",SUMIFS(Chicks!$O:$O,Chicks!$F:$F,$C747,Chicks!$G:$G,$D747))</f>
        <v/>
      </c>
      <c r="M747" s="6" t="str">
        <f>IF($C747="","",SUMIFS(Chicks!$P:$P,Chicks!$F:$F,$C747,Chicks!$G:$G,$D747))</f>
        <v/>
      </c>
      <c r="N747" s="6" t="str">
        <f t="shared" si="10"/>
        <v/>
      </c>
      <c r="O747" s="6" t="e">
        <f t="shared" ca="1" si="11"/>
        <v>#NAME?</v>
      </c>
      <c r="P747" s="6" t="str">
        <f t="shared" si="12"/>
        <v/>
      </c>
    </row>
    <row r="748" spans="3:16" ht="14.25" customHeight="1" x14ac:dyDescent="0.3">
      <c r="C748" s="6" t="str">
        <f t="shared" si="13"/>
        <v/>
      </c>
      <c r="D748" s="6" t="str">
        <f t="shared" si="14"/>
        <v/>
      </c>
      <c r="F748" s="6" t="str">
        <f>IF($C748="","",COUNTIFS(Chicks!$F:$F,$C748,Chicks!$G:$G,$D748))</f>
        <v/>
      </c>
      <c r="G748" s="6" t="str">
        <f>IF($C748="","",COUNTIFS(Chicks!$F:$F,$C748,Chicks!$G:$G,$D748,Chicks!$I:$I,"Yes"))</f>
        <v/>
      </c>
      <c r="H748" s="6" t="str">
        <f>IF($C748="","",SUMIFS(Chicks!$J:$J,Chicks!$F:$F,$C748,Chicks!$G:$G,$D748))</f>
        <v/>
      </c>
      <c r="I748" s="6" t="str">
        <f>IF($C748="","",COUNTIFS(Chicks!$F:$F,$C748,Chicks!$G:$G,$D748,Chicks!$I:$I,"No"))</f>
        <v/>
      </c>
      <c r="J748" s="6" t="str">
        <f>IF($C748="","",IFERROR(AVERAGEIFS(Chicks!$M:$M,Chicks!$F:$F,$C748,Chicks!$G:$G,$D748),""))</f>
        <v/>
      </c>
      <c r="K748" s="6" t="str">
        <f>IF($C748="","",SUMIFS(Chicks!$N:$N,Chicks!$F:$F,$C748,Chicks!$G:$G,$D748))</f>
        <v/>
      </c>
      <c r="L748" s="6" t="str">
        <f>IF($C748="","",SUMIFS(Chicks!$O:$O,Chicks!$F:$F,$C748,Chicks!$G:$G,$D748))</f>
        <v/>
      </c>
      <c r="M748" s="6" t="str">
        <f>IF($C748="","",SUMIFS(Chicks!$P:$P,Chicks!$F:$F,$C748,Chicks!$G:$G,$D748))</f>
        <v/>
      </c>
      <c r="N748" s="6" t="str">
        <f t="shared" si="10"/>
        <v/>
      </c>
      <c r="O748" s="6" t="e">
        <f t="shared" ca="1" si="11"/>
        <v>#NAME?</v>
      </c>
      <c r="P748" s="6" t="str">
        <f t="shared" si="12"/>
        <v/>
      </c>
    </row>
    <row r="749" spans="3:16" ht="14.25" customHeight="1" x14ac:dyDescent="0.3">
      <c r="C749" s="6" t="str">
        <f t="shared" si="13"/>
        <v/>
      </c>
      <c r="D749" s="6" t="str">
        <f t="shared" si="14"/>
        <v/>
      </c>
      <c r="F749" s="6" t="str">
        <f>IF($C749="","",COUNTIFS(Chicks!$F:$F,$C749,Chicks!$G:$G,$D749))</f>
        <v/>
      </c>
      <c r="G749" s="6" t="str">
        <f>IF($C749="","",COUNTIFS(Chicks!$F:$F,$C749,Chicks!$G:$G,$D749,Chicks!$I:$I,"Yes"))</f>
        <v/>
      </c>
      <c r="H749" s="6" t="str">
        <f>IF($C749="","",SUMIFS(Chicks!$J:$J,Chicks!$F:$F,$C749,Chicks!$G:$G,$D749))</f>
        <v/>
      </c>
      <c r="I749" s="6" t="str">
        <f>IF($C749="","",COUNTIFS(Chicks!$F:$F,$C749,Chicks!$G:$G,$D749,Chicks!$I:$I,"No"))</f>
        <v/>
      </c>
      <c r="J749" s="6" t="str">
        <f>IF($C749="","",IFERROR(AVERAGEIFS(Chicks!$M:$M,Chicks!$F:$F,$C749,Chicks!$G:$G,$D749),""))</f>
        <v/>
      </c>
      <c r="K749" s="6" t="str">
        <f>IF($C749="","",SUMIFS(Chicks!$N:$N,Chicks!$F:$F,$C749,Chicks!$G:$G,$D749))</f>
        <v/>
      </c>
      <c r="L749" s="6" t="str">
        <f>IF($C749="","",SUMIFS(Chicks!$O:$O,Chicks!$F:$F,$C749,Chicks!$G:$G,$D749))</f>
        <v/>
      </c>
      <c r="M749" s="6" t="str">
        <f>IF($C749="","",SUMIFS(Chicks!$P:$P,Chicks!$F:$F,$C749,Chicks!$G:$G,$D749))</f>
        <v/>
      </c>
      <c r="N749" s="6" t="str">
        <f t="shared" si="10"/>
        <v/>
      </c>
      <c r="O749" s="6" t="e">
        <f t="shared" ca="1" si="11"/>
        <v>#NAME?</v>
      </c>
      <c r="P749" s="6" t="str">
        <f t="shared" si="12"/>
        <v/>
      </c>
    </row>
    <row r="750" spans="3:16" ht="14.25" customHeight="1" x14ac:dyDescent="0.3">
      <c r="C750" s="6" t="str">
        <f t="shared" si="13"/>
        <v/>
      </c>
      <c r="D750" s="6" t="str">
        <f t="shared" si="14"/>
        <v/>
      </c>
      <c r="F750" s="6" t="str">
        <f>IF($C750="","",COUNTIFS(Chicks!$F:$F,$C750,Chicks!$G:$G,$D750))</f>
        <v/>
      </c>
      <c r="G750" s="6" t="str">
        <f>IF($C750="","",COUNTIFS(Chicks!$F:$F,$C750,Chicks!$G:$G,$D750,Chicks!$I:$I,"Yes"))</f>
        <v/>
      </c>
      <c r="H750" s="6" t="str">
        <f>IF($C750="","",SUMIFS(Chicks!$J:$J,Chicks!$F:$F,$C750,Chicks!$G:$G,$D750))</f>
        <v/>
      </c>
      <c r="I750" s="6" t="str">
        <f>IF($C750="","",COUNTIFS(Chicks!$F:$F,$C750,Chicks!$G:$G,$D750,Chicks!$I:$I,"No"))</f>
        <v/>
      </c>
      <c r="J750" s="6" t="str">
        <f>IF($C750="","",IFERROR(AVERAGEIFS(Chicks!$M:$M,Chicks!$F:$F,$C750,Chicks!$G:$G,$D750),""))</f>
        <v/>
      </c>
      <c r="K750" s="6" t="str">
        <f>IF($C750="","",SUMIFS(Chicks!$N:$N,Chicks!$F:$F,$C750,Chicks!$G:$G,$D750))</f>
        <v/>
      </c>
      <c r="L750" s="6" t="str">
        <f>IF($C750="","",SUMIFS(Chicks!$O:$O,Chicks!$F:$F,$C750,Chicks!$G:$G,$D750))</f>
        <v/>
      </c>
      <c r="M750" s="6" t="str">
        <f>IF($C750="","",SUMIFS(Chicks!$P:$P,Chicks!$F:$F,$C750,Chicks!$G:$G,$D750))</f>
        <v/>
      </c>
      <c r="N750" s="6" t="str">
        <f t="shared" si="10"/>
        <v/>
      </c>
      <c r="O750" s="6" t="e">
        <f t="shared" ca="1" si="11"/>
        <v>#NAME?</v>
      </c>
      <c r="P750" s="6" t="str">
        <f t="shared" si="12"/>
        <v/>
      </c>
    </row>
    <row r="751" spans="3:16" ht="14.25" customHeight="1" x14ac:dyDescent="0.3">
      <c r="C751" s="6" t="str">
        <f t="shared" si="13"/>
        <v/>
      </c>
      <c r="D751" s="6" t="str">
        <f t="shared" si="14"/>
        <v/>
      </c>
      <c r="F751" s="6" t="str">
        <f>IF($C751="","",COUNTIFS(Chicks!$F:$F,$C751,Chicks!$G:$G,$D751))</f>
        <v/>
      </c>
      <c r="G751" s="6" t="str">
        <f>IF($C751="","",COUNTIFS(Chicks!$F:$F,$C751,Chicks!$G:$G,$D751,Chicks!$I:$I,"Yes"))</f>
        <v/>
      </c>
      <c r="H751" s="6" t="str">
        <f>IF($C751="","",SUMIFS(Chicks!$J:$J,Chicks!$F:$F,$C751,Chicks!$G:$G,$D751))</f>
        <v/>
      </c>
      <c r="I751" s="6" t="str">
        <f>IF($C751="","",COUNTIFS(Chicks!$F:$F,$C751,Chicks!$G:$G,$D751,Chicks!$I:$I,"No"))</f>
        <v/>
      </c>
      <c r="J751" s="6" t="str">
        <f>IF($C751="","",IFERROR(AVERAGEIFS(Chicks!$M:$M,Chicks!$F:$F,$C751,Chicks!$G:$G,$D751),""))</f>
        <v/>
      </c>
      <c r="K751" s="6" t="str">
        <f>IF($C751="","",SUMIFS(Chicks!$N:$N,Chicks!$F:$F,$C751,Chicks!$G:$G,$D751))</f>
        <v/>
      </c>
      <c r="L751" s="6" t="str">
        <f>IF($C751="","",SUMIFS(Chicks!$O:$O,Chicks!$F:$F,$C751,Chicks!$G:$G,$D751))</f>
        <v/>
      </c>
      <c r="M751" s="6" t="str">
        <f>IF($C751="","",SUMIFS(Chicks!$P:$P,Chicks!$F:$F,$C751,Chicks!$G:$G,$D751))</f>
        <v/>
      </c>
      <c r="N751" s="6" t="str">
        <f t="shared" si="10"/>
        <v/>
      </c>
      <c r="O751" s="6" t="e">
        <f t="shared" ca="1" si="11"/>
        <v>#NAME?</v>
      </c>
      <c r="P751" s="6" t="str">
        <f t="shared" si="12"/>
        <v/>
      </c>
    </row>
    <row r="752" spans="3:16" ht="14.25" customHeight="1" x14ac:dyDescent="0.3">
      <c r="C752" s="6" t="str">
        <f t="shared" si="13"/>
        <v/>
      </c>
      <c r="D752" s="6" t="str">
        <f t="shared" si="14"/>
        <v/>
      </c>
      <c r="F752" s="6" t="str">
        <f>IF($C752="","",COUNTIFS(Chicks!$F:$F,$C752,Chicks!$G:$G,$D752))</f>
        <v/>
      </c>
      <c r="G752" s="6" t="str">
        <f>IF($C752="","",COUNTIFS(Chicks!$F:$F,$C752,Chicks!$G:$G,$D752,Chicks!$I:$I,"Yes"))</f>
        <v/>
      </c>
      <c r="H752" s="6" t="str">
        <f>IF($C752="","",SUMIFS(Chicks!$J:$J,Chicks!$F:$F,$C752,Chicks!$G:$G,$D752))</f>
        <v/>
      </c>
      <c r="I752" s="6" t="str">
        <f>IF($C752="","",COUNTIFS(Chicks!$F:$F,$C752,Chicks!$G:$G,$D752,Chicks!$I:$I,"No"))</f>
        <v/>
      </c>
      <c r="J752" s="6" t="str">
        <f>IF($C752="","",IFERROR(AVERAGEIFS(Chicks!$M:$M,Chicks!$F:$F,$C752,Chicks!$G:$G,$D752),""))</f>
        <v/>
      </c>
      <c r="K752" s="6" t="str">
        <f>IF($C752="","",SUMIFS(Chicks!$N:$N,Chicks!$F:$F,$C752,Chicks!$G:$G,$D752))</f>
        <v/>
      </c>
      <c r="L752" s="6" t="str">
        <f>IF($C752="","",SUMIFS(Chicks!$O:$O,Chicks!$F:$F,$C752,Chicks!$G:$G,$D752))</f>
        <v/>
      </c>
      <c r="M752" s="6" t="str">
        <f>IF($C752="","",SUMIFS(Chicks!$P:$P,Chicks!$F:$F,$C752,Chicks!$G:$G,$D752))</f>
        <v/>
      </c>
      <c r="N752" s="6" t="str">
        <f t="shared" si="10"/>
        <v/>
      </c>
      <c r="O752" s="6" t="e">
        <f t="shared" ca="1" si="11"/>
        <v>#NAME?</v>
      </c>
      <c r="P752" s="6" t="str">
        <f t="shared" si="12"/>
        <v/>
      </c>
    </row>
    <row r="753" spans="3:16" ht="14.25" customHeight="1" x14ac:dyDescent="0.3">
      <c r="C753" s="6" t="str">
        <f t="shared" si="13"/>
        <v/>
      </c>
      <c r="D753" s="6" t="str">
        <f t="shared" si="14"/>
        <v/>
      </c>
      <c r="F753" s="6" t="str">
        <f>IF($C753="","",COUNTIFS(Chicks!$F:$F,$C753,Chicks!$G:$G,$D753))</f>
        <v/>
      </c>
      <c r="G753" s="6" t="str">
        <f>IF($C753="","",COUNTIFS(Chicks!$F:$F,$C753,Chicks!$G:$G,$D753,Chicks!$I:$I,"Yes"))</f>
        <v/>
      </c>
      <c r="H753" s="6" t="str">
        <f>IF($C753="","",SUMIFS(Chicks!$J:$J,Chicks!$F:$F,$C753,Chicks!$G:$G,$D753))</f>
        <v/>
      </c>
      <c r="I753" s="6" t="str">
        <f>IF($C753="","",COUNTIFS(Chicks!$F:$F,$C753,Chicks!$G:$G,$D753,Chicks!$I:$I,"No"))</f>
        <v/>
      </c>
      <c r="J753" s="6" t="str">
        <f>IF($C753="","",IFERROR(AVERAGEIFS(Chicks!$M:$M,Chicks!$F:$F,$C753,Chicks!$G:$G,$D753),""))</f>
        <v/>
      </c>
      <c r="K753" s="6" t="str">
        <f>IF($C753="","",SUMIFS(Chicks!$N:$N,Chicks!$F:$F,$C753,Chicks!$G:$G,$D753))</f>
        <v/>
      </c>
      <c r="L753" s="6" t="str">
        <f>IF($C753="","",SUMIFS(Chicks!$O:$O,Chicks!$F:$F,$C753,Chicks!$G:$G,$D753))</f>
        <v/>
      </c>
      <c r="M753" s="6" t="str">
        <f>IF($C753="","",SUMIFS(Chicks!$P:$P,Chicks!$F:$F,$C753,Chicks!$G:$G,$D753))</f>
        <v/>
      </c>
      <c r="N753" s="6" t="str">
        <f t="shared" si="10"/>
        <v/>
      </c>
      <c r="O753" s="6" t="e">
        <f t="shared" ca="1" si="11"/>
        <v>#NAME?</v>
      </c>
      <c r="P753" s="6" t="str">
        <f t="shared" si="12"/>
        <v/>
      </c>
    </row>
    <row r="754" spans="3:16" ht="14.25" customHeight="1" x14ac:dyDescent="0.3">
      <c r="C754" s="6" t="str">
        <f t="shared" si="13"/>
        <v/>
      </c>
      <c r="D754" s="6" t="str">
        <f t="shared" si="14"/>
        <v/>
      </c>
      <c r="F754" s="6" t="str">
        <f>IF($C754="","",COUNTIFS(Chicks!$F:$F,$C754,Chicks!$G:$G,$D754))</f>
        <v/>
      </c>
      <c r="G754" s="6" t="str">
        <f>IF($C754="","",COUNTIFS(Chicks!$F:$F,$C754,Chicks!$G:$G,$D754,Chicks!$I:$I,"Yes"))</f>
        <v/>
      </c>
      <c r="H754" s="6" t="str">
        <f>IF($C754="","",SUMIFS(Chicks!$J:$J,Chicks!$F:$F,$C754,Chicks!$G:$G,$D754))</f>
        <v/>
      </c>
      <c r="I754" s="6" t="str">
        <f>IF($C754="","",COUNTIFS(Chicks!$F:$F,$C754,Chicks!$G:$G,$D754,Chicks!$I:$I,"No"))</f>
        <v/>
      </c>
      <c r="J754" s="6" t="str">
        <f>IF($C754="","",IFERROR(AVERAGEIFS(Chicks!$M:$M,Chicks!$F:$F,$C754,Chicks!$G:$G,$D754),""))</f>
        <v/>
      </c>
      <c r="K754" s="6" t="str">
        <f>IF($C754="","",SUMIFS(Chicks!$N:$N,Chicks!$F:$F,$C754,Chicks!$G:$G,$D754))</f>
        <v/>
      </c>
      <c r="L754" s="6" t="str">
        <f>IF($C754="","",SUMIFS(Chicks!$O:$O,Chicks!$F:$F,$C754,Chicks!$G:$G,$D754))</f>
        <v/>
      </c>
      <c r="M754" s="6" t="str">
        <f>IF($C754="","",SUMIFS(Chicks!$P:$P,Chicks!$F:$F,$C754,Chicks!$G:$G,$D754))</f>
        <v/>
      </c>
      <c r="N754" s="6" t="str">
        <f t="shared" si="10"/>
        <v/>
      </c>
      <c r="O754" s="6" t="e">
        <f t="shared" ca="1" si="11"/>
        <v>#NAME?</v>
      </c>
      <c r="P754" s="6" t="str">
        <f t="shared" si="12"/>
        <v/>
      </c>
    </row>
    <row r="755" spans="3:16" ht="14.25" customHeight="1" x14ac:dyDescent="0.3">
      <c r="C755" s="6" t="str">
        <f t="shared" si="13"/>
        <v/>
      </c>
      <c r="D755" s="6" t="str">
        <f t="shared" si="14"/>
        <v/>
      </c>
      <c r="F755" s="6" t="str">
        <f>IF($C755="","",COUNTIFS(Chicks!$F:$F,$C755,Chicks!$G:$G,$D755))</f>
        <v/>
      </c>
      <c r="G755" s="6" t="str">
        <f>IF($C755="","",COUNTIFS(Chicks!$F:$F,$C755,Chicks!$G:$G,$D755,Chicks!$I:$I,"Yes"))</f>
        <v/>
      </c>
      <c r="H755" s="6" t="str">
        <f>IF($C755="","",SUMIFS(Chicks!$J:$J,Chicks!$F:$F,$C755,Chicks!$G:$G,$D755))</f>
        <v/>
      </c>
      <c r="I755" s="6" t="str">
        <f>IF($C755="","",COUNTIFS(Chicks!$F:$F,$C755,Chicks!$G:$G,$D755,Chicks!$I:$I,"No"))</f>
        <v/>
      </c>
      <c r="J755" s="6" t="str">
        <f>IF($C755="","",IFERROR(AVERAGEIFS(Chicks!$M:$M,Chicks!$F:$F,$C755,Chicks!$G:$G,$D755),""))</f>
        <v/>
      </c>
      <c r="K755" s="6" t="str">
        <f>IF($C755="","",SUMIFS(Chicks!$N:$N,Chicks!$F:$F,$C755,Chicks!$G:$G,$D755))</f>
        <v/>
      </c>
      <c r="L755" s="6" t="str">
        <f>IF($C755="","",SUMIFS(Chicks!$O:$O,Chicks!$F:$F,$C755,Chicks!$G:$G,$D755))</f>
        <v/>
      </c>
      <c r="M755" s="6" t="str">
        <f>IF($C755="","",SUMIFS(Chicks!$P:$P,Chicks!$F:$F,$C755,Chicks!$G:$G,$D755))</f>
        <v/>
      </c>
      <c r="N755" s="6" t="str">
        <f t="shared" si="10"/>
        <v/>
      </c>
      <c r="O755" s="6" t="e">
        <f t="shared" ca="1" si="11"/>
        <v>#NAME?</v>
      </c>
      <c r="P755" s="6" t="str">
        <f t="shared" si="12"/>
        <v/>
      </c>
    </row>
    <row r="756" spans="3:16" ht="14.25" customHeight="1" x14ac:dyDescent="0.3">
      <c r="C756" s="6" t="str">
        <f t="shared" si="13"/>
        <v/>
      </c>
      <c r="D756" s="6" t="str">
        <f t="shared" si="14"/>
        <v/>
      </c>
      <c r="F756" s="6" t="str">
        <f>IF($C756="","",COUNTIFS(Chicks!$F:$F,$C756,Chicks!$G:$G,$D756))</f>
        <v/>
      </c>
      <c r="G756" s="6" t="str">
        <f>IF($C756="","",COUNTIFS(Chicks!$F:$F,$C756,Chicks!$G:$G,$D756,Chicks!$I:$I,"Yes"))</f>
        <v/>
      </c>
      <c r="H756" s="6" t="str">
        <f>IF($C756="","",SUMIFS(Chicks!$J:$J,Chicks!$F:$F,$C756,Chicks!$G:$G,$D756))</f>
        <v/>
      </c>
      <c r="I756" s="6" t="str">
        <f>IF($C756="","",COUNTIFS(Chicks!$F:$F,$C756,Chicks!$G:$G,$D756,Chicks!$I:$I,"No"))</f>
        <v/>
      </c>
      <c r="J756" s="6" t="str">
        <f>IF($C756="","",IFERROR(AVERAGEIFS(Chicks!$M:$M,Chicks!$F:$F,$C756,Chicks!$G:$G,$D756),""))</f>
        <v/>
      </c>
      <c r="K756" s="6" t="str">
        <f>IF($C756="","",SUMIFS(Chicks!$N:$N,Chicks!$F:$F,$C756,Chicks!$G:$G,$D756))</f>
        <v/>
      </c>
      <c r="L756" s="6" t="str">
        <f>IF($C756="","",SUMIFS(Chicks!$O:$O,Chicks!$F:$F,$C756,Chicks!$G:$G,$D756))</f>
        <v/>
      </c>
      <c r="M756" s="6" t="str">
        <f>IF($C756="","",SUMIFS(Chicks!$P:$P,Chicks!$F:$F,$C756,Chicks!$G:$G,$D756))</f>
        <v/>
      </c>
      <c r="N756" s="6" t="str">
        <f t="shared" si="10"/>
        <v/>
      </c>
      <c r="O756" s="6" t="e">
        <f t="shared" ca="1" si="11"/>
        <v>#NAME?</v>
      </c>
      <c r="P756" s="6" t="str">
        <f t="shared" si="12"/>
        <v/>
      </c>
    </row>
    <row r="757" spans="3:16" ht="14.25" customHeight="1" x14ac:dyDescent="0.3">
      <c r="C757" s="6" t="str">
        <f t="shared" si="13"/>
        <v/>
      </c>
      <c r="D757" s="6" t="str">
        <f t="shared" si="14"/>
        <v/>
      </c>
      <c r="F757" s="6" t="str">
        <f>IF($C757="","",COUNTIFS(Chicks!$F:$F,$C757,Chicks!$G:$G,$D757))</f>
        <v/>
      </c>
      <c r="G757" s="6" t="str">
        <f>IF($C757="","",COUNTIFS(Chicks!$F:$F,$C757,Chicks!$G:$G,$D757,Chicks!$I:$I,"Yes"))</f>
        <v/>
      </c>
      <c r="H757" s="6" t="str">
        <f>IF($C757="","",SUMIFS(Chicks!$J:$J,Chicks!$F:$F,$C757,Chicks!$G:$G,$D757))</f>
        <v/>
      </c>
      <c r="I757" s="6" t="str">
        <f>IF($C757="","",COUNTIFS(Chicks!$F:$F,$C757,Chicks!$G:$G,$D757,Chicks!$I:$I,"No"))</f>
        <v/>
      </c>
      <c r="J757" s="6" t="str">
        <f>IF($C757="","",IFERROR(AVERAGEIFS(Chicks!$M:$M,Chicks!$F:$F,$C757,Chicks!$G:$G,$D757),""))</f>
        <v/>
      </c>
      <c r="K757" s="6" t="str">
        <f>IF($C757="","",SUMIFS(Chicks!$N:$N,Chicks!$F:$F,$C757,Chicks!$G:$G,$D757))</f>
        <v/>
      </c>
      <c r="L757" s="6" t="str">
        <f>IF($C757="","",SUMIFS(Chicks!$O:$O,Chicks!$F:$F,$C757,Chicks!$G:$G,$D757))</f>
        <v/>
      </c>
      <c r="M757" s="6" t="str">
        <f>IF($C757="","",SUMIFS(Chicks!$P:$P,Chicks!$F:$F,$C757,Chicks!$G:$G,$D757))</f>
        <v/>
      </c>
      <c r="N757" s="6" t="str">
        <f t="shared" si="10"/>
        <v/>
      </c>
      <c r="O757" s="6" t="e">
        <f t="shared" ca="1" si="11"/>
        <v>#NAME?</v>
      </c>
      <c r="P757" s="6" t="str">
        <f t="shared" si="12"/>
        <v/>
      </c>
    </row>
    <row r="758" spans="3:16" ht="14.25" customHeight="1" x14ac:dyDescent="0.3">
      <c r="C758" s="6" t="str">
        <f t="shared" si="13"/>
        <v/>
      </c>
      <c r="D758" s="6" t="str">
        <f t="shared" si="14"/>
        <v/>
      </c>
      <c r="F758" s="6" t="str">
        <f>IF($C758="","",COUNTIFS(Chicks!$F:$F,$C758,Chicks!$G:$G,$D758))</f>
        <v/>
      </c>
      <c r="G758" s="6" t="str">
        <f>IF($C758="","",COUNTIFS(Chicks!$F:$F,$C758,Chicks!$G:$G,$D758,Chicks!$I:$I,"Yes"))</f>
        <v/>
      </c>
      <c r="H758" s="6" t="str">
        <f>IF($C758="","",SUMIFS(Chicks!$J:$J,Chicks!$F:$F,$C758,Chicks!$G:$G,$D758))</f>
        <v/>
      </c>
      <c r="I758" s="6" t="str">
        <f>IF($C758="","",COUNTIFS(Chicks!$F:$F,$C758,Chicks!$G:$G,$D758,Chicks!$I:$I,"No"))</f>
        <v/>
      </c>
      <c r="J758" s="6" t="str">
        <f>IF($C758="","",IFERROR(AVERAGEIFS(Chicks!$M:$M,Chicks!$F:$F,$C758,Chicks!$G:$G,$D758),""))</f>
        <v/>
      </c>
      <c r="K758" s="6" t="str">
        <f>IF($C758="","",SUMIFS(Chicks!$N:$N,Chicks!$F:$F,$C758,Chicks!$G:$G,$D758))</f>
        <v/>
      </c>
      <c r="L758" s="6" t="str">
        <f>IF($C758="","",SUMIFS(Chicks!$O:$O,Chicks!$F:$F,$C758,Chicks!$G:$G,$D758))</f>
        <v/>
      </c>
      <c r="M758" s="6" t="str">
        <f>IF($C758="","",SUMIFS(Chicks!$P:$P,Chicks!$F:$F,$C758,Chicks!$G:$G,$D758))</f>
        <v/>
      </c>
      <c r="N758" s="6" t="str">
        <f t="shared" si="10"/>
        <v/>
      </c>
      <c r="O758" s="6" t="e">
        <f t="shared" ca="1" si="11"/>
        <v>#NAME?</v>
      </c>
      <c r="P758" s="6" t="str">
        <f t="shared" si="12"/>
        <v/>
      </c>
    </row>
    <row r="759" spans="3:16" ht="14.25" customHeight="1" x14ac:dyDescent="0.3">
      <c r="C759" s="6" t="str">
        <f t="shared" si="13"/>
        <v/>
      </c>
      <c r="D759" s="6" t="str">
        <f t="shared" si="14"/>
        <v/>
      </c>
      <c r="F759" s="6" t="str">
        <f>IF($C759="","",COUNTIFS(Chicks!$F:$F,$C759,Chicks!$G:$G,$D759))</f>
        <v/>
      </c>
      <c r="G759" s="6" t="str">
        <f>IF($C759="","",COUNTIFS(Chicks!$F:$F,$C759,Chicks!$G:$G,$D759,Chicks!$I:$I,"Yes"))</f>
        <v/>
      </c>
      <c r="H759" s="6" t="str">
        <f>IF($C759="","",SUMIFS(Chicks!$J:$J,Chicks!$F:$F,$C759,Chicks!$G:$G,$D759))</f>
        <v/>
      </c>
      <c r="I759" s="6" t="str">
        <f>IF($C759="","",COUNTIFS(Chicks!$F:$F,$C759,Chicks!$G:$G,$D759,Chicks!$I:$I,"No"))</f>
        <v/>
      </c>
      <c r="J759" s="6" t="str">
        <f>IF($C759="","",IFERROR(AVERAGEIFS(Chicks!$M:$M,Chicks!$F:$F,$C759,Chicks!$G:$G,$D759),""))</f>
        <v/>
      </c>
      <c r="K759" s="6" t="str">
        <f>IF($C759="","",SUMIFS(Chicks!$N:$N,Chicks!$F:$F,$C759,Chicks!$G:$G,$D759))</f>
        <v/>
      </c>
      <c r="L759" s="6" t="str">
        <f>IF($C759="","",SUMIFS(Chicks!$O:$O,Chicks!$F:$F,$C759,Chicks!$G:$G,$D759))</f>
        <v/>
      </c>
      <c r="M759" s="6" t="str">
        <f>IF($C759="","",SUMIFS(Chicks!$P:$P,Chicks!$F:$F,$C759,Chicks!$G:$G,$D759))</f>
        <v/>
      </c>
      <c r="N759" s="6" t="str">
        <f t="shared" si="10"/>
        <v/>
      </c>
      <c r="O759" s="6" t="e">
        <f t="shared" ca="1" si="11"/>
        <v>#NAME?</v>
      </c>
      <c r="P759" s="6" t="str">
        <f t="shared" si="12"/>
        <v/>
      </c>
    </row>
    <row r="760" spans="3:16" ht="14.25" customHeight="1" x14ac:dyDescent="0.3">
      <c r="C760" s="6" t="str">
        <f t="shared" si="13"/>
        <v/>
      </c>
      <c r="D760" s="6" t="str">
        <f t="shared" si="14"/>
        <v/>
      </c>
      <c r="F760" s="6" t="str">
        <f>IF($C760="","",COUNTIFS(Chicks!$F:$F,$C760,Chicks!$G:$G,$D760))</f>
        <v/>
      </c>
      <c r="G760" s="6" t="str">
        <f>IF($C760="","",COUNTIFS(Chicks!$F:$F,$C760,Chicks!$G:$G,$D760,Chicks!$I:$I,"Yes"))</f>
        <v/>
      </c>
      <c r="H760" s="6" t="str">
        <f>IF($C760="","",SUMIFS(Chicks!$J:$J,Chicks!$F:$F,$C760,Chicks!$G:$G,$D760))</f>
        <v/>
      </c>
      <c r="I760" s="6" t="str">
        <f>IF($C760="","",COUNTIFS(Chicks!$F:$F,$C760,Chicks!$G:$G,$D760,Chicks!$I:$I,"No"))</f>
        <v/>
      </c>
      <c r="J760" s="6" t="str">
        <f>IF($C760="","",IFERROR(AVERAGEIFS(Chicks!$M:$M,Chicks!$F:$F,$C760,Chicks!$G:$G,$D760),""))</f>
        <v/>
      </c>
      <c r="K760" s="6" t="str">
        <f>IF($C760="","",SUMIFS(Chicks!$N:$N,Chicks!$F:$F,$C760,Chicks!$G:$G,$D760))</f>
        <v/>
      </c>
      <c r="L760" s="6" t="str">
        <f>IF($C760="","",SUMIFS(Chicks!$O:$O,Chicks!$F:$F,$C760,Chicks!$G:$G,$D760))</f>
        <v/>
      </c>
      <c r="M760" s="6" t="str">
        <f>IF($C760="","",SUMIFS(Chicks!$P:$P,Chicks!$F:$F,$C760,Chicks!$G:$G,$D760))</f>
        <v/>
      </c>
      <c r="N760" s="6" t="str">
        <f t="shared" si="10"/>
        <v/>
      </c>
      <c r="O760" s="6" t="e">
        <f t="shared" ca="1" si="11"/>
        <v>#NAME?</v>
      </c>
      <c r="P760" s="6" t="str">
        <f t="shared" si="12"/>
        <v/>
      </c>
    </row>
    <row r="761" spans="3:16" ht="14.25" customHeight="1" x14ac:dyDescent="0.3">
      <c r="C761" s="6" t="str">
        <f t="shared" si="13"/>
        <v/>
      </c>
      <c r="D761" s="6" t="str">
        <f t="shared" si="14"/>
        <v/>
      </c>
      <c r="F761" s="6" t="str">
        <f>IF($C761="","",COUNTIFS(Chicks!$F:$F,$C761,Chicks!$G:$G,$D761))</f>
        <v/>
      </c>
      <c r="G761" s="6" t="str">
        <f>IF($C761="","",COUNTIFS(Chicks!$F:$F,$C761,Chicks!$G:$G,$D761,Chicks!$I:$I,"Yes"))</f>
        <v/>
      </c>
      <c r="H761" s="6" t="str">
        <f>IF($C761="","",SUMIFS(Chicks!$J:$J,Chicks!$F:$F,$C761,Chicks!$G:$G,$D761))</f>
        <v/>
      </c>
      <c r="I761" s="6" t="str">
        <f>IF($C761="","",COUNTIFS(Chicks!$F:$F,$C761,Chicks!$G:$G,$D761,Chicks!$I:$I,"No"))</f>
        <v/>
      </c>
      <c r="J761" s="6" t="str">
        <f>IF($C761="","",IFERROR(AVERAGEIFS(Chicks!$M:$M,Chicks!$F:$F,$C761,Chicks!$G:$G,$D761),""))</f>
        <v/>
      </c>
      <c r="K761" s="6" t="str">
        <f>IF($C761="","",SUMIFS(Chicks!$N:$N,Chicks!$F:$F,$C761,Chicks!$G:$G,$D761))</f>
        <v/>
      </c>
      <c r="L761" s="6" t="str">
        <f>IF($C761="","",SUMIFS(Chicks!$O:$O,Chicks!$F:$F,$C761,Chicks!$G:$G,$D761))</f>
        <v/>
      </c>
      <c r="M761" s="6" t="str">
        <f>IF($C761="","",SUMIFS(Chicks!$P:$P,Chicks!$F:$F,$C761,Chicks!$G:$G,$D761))</f>
        <v/>
      </c>
      <c r="N761" s="6" t="str">
        <f t="shared" si="10"/>
        <v/>
      </c>
      <c r="O761" s="6" t="e">
        <f t="shared" ca="1" si="11"/>
        <v>#NAME?</v>
      </c>
      <c r="P761" s="6" t="str">
        <f t="shared" si="12"/>
        <v/>
      </c>
    </row>
    <row r="762" spans="3:16" ht="14.25" customHeight="1" x14ac:dyDescent="0.3">
      <c r="C762" s="6" t="str">
        <f t="shared" si="13"/>
        <v/>
      </c>
      <c r="D762" s="6" t="str">
        <f t="shared" si="14"/>
        <v/>
      </c>
      <c r="F762" s="6" t="str">
        <f>IF($C762="","",COUNTIFS(Chicks!$F:$F,$C762,Chicks!$G:$G,$D762))</f>
        <v/>
      </c>
      <c r="G762" s="6" t="str">
        <f>IF($C762="","",COUNTIFS(Chicks!$F:$F,$C762,Chicks!$G:$G,$D762,Chicks!$I:$I,"Yes"))</f>
        <v/>
      </c>
      <c r="H762" s="6" t="str">
        <f>IF($C762="","",SUMIFS(Chicks!$J:$J,Chicks!$F:$F,$C762,Chicks!$G:$G,$D762))</f>
        <v/>
      </c>
      <c r="I762" s="6" t="str">
        <f>IF($C762="","",COUNTIFS(Chicks!$F:$F,$C762,Chicks!$G:$G,$D762,Chicks!$I:$I,"No"))</f>
        <v/>
      </c>
      <c r="J762" s="6" t="str">
        <f>IF($C762="","",IFERROR(AVERAGEIFS(Chicks!$M:$M,Chicks!$F:$F,$C762,Chicks!$G:$G,$D762),""))</f>
        <v/>
      </c>
      <c r="K762" s="6" t="str">
        <f>IF($C762="","",SUMIFS(Chicks!$N:$N,Chicks!$F:$F,$C762,Chicks!$G:$G,$D762))</f>
        <v/>
      </c>
      <c r="L762" s="6" t="str">
        <f>IF($C762="","",SUMIFS(Chicks!$O:$O,Chicks!$F:$F,$C762,Chicks!$G:$G,$D762))</f>
        <v/>
      </c>
      <c r="M762" s="6" t="str">
        <f>IF($C762="","",SUMIFS(Chicks!$P:$P,Chicks!$F:$F,$C762,Chicks!$G:$G,$D762))</f>
        <v/>
      </c>
      <c r="N762" s="6" t="str">
        <f t="shared" si="10"/>
        <v/>
      </c>
      <c r="O762" s="6" t="e">
        <f t="shared" ca="1" si="11"/>
        <v>#NAME?</v>
      </c>
      <c r="P762" s="6" t="str">
        <f t="shared" si="12"/>
        <v/>
      </c>
    </row>
    <row r="763" spans="3:16" ht="14.25" customHeight="1" x14ac:dyDescent="0.3">
      <c r="C763" s="6" t="str">
        <f t="shared" si="13"/>
        <v/>
      </c>
      <c r="D763" s="6" t="str">
        <f t="shared" si="14"/>
        <v/>
      </c>
      <c r="F763" s="6" t="str">
        <f>IF($C763="","",COUNTIFS(Chicks!$F:$F,$C763,Chicks!$G:$G,$D763))</f>
        <v/>
      </c>
      <c r="G763" s="6" t="str">
        <f>IF($C763="","",COUNTIFS(Chicks!$F:$F,$C763,Chicks!$G:$G,$D763,Chicks!$I:$I,"Yes"))</f>
        <v/>
      </c>
      <c r="H763" s="6" t="str">
        <f>IF($C763="","",SUMIFS(Chicks!$J:$J,Chicks!$F:$F,$C763,Chicks!$G:$G,$D763))</f>
        <v/>
      </c>
      <c r="I763" s="6" t="str">
        <f>IF($C763="","",COUNTIFS(Chicks!$F:$F,$C763,Chicks!$G:$G,$D763,Chicks!$I:$I,"No"))</f>
        <v/>
      </c>
      <c r="J763" s="6" t="str">
        <f>IF($C763="","",IFERROR(AVERAGEIFS(Chicks!$M:$M,Chicks!$F:$F,$C763,Chicks!$G:$G,$D763),""))</f>
        <v/>
      </c>
      <c r="K763" s="6" t="str">
        <f>IF($C763="","",SUMIFS(Chicks!$N:$N,Chicks!$F:$F,$C763,Chicks!$G:$G,$D763))</f>
        <v/>
      </c>
      <c r="L763" s="6" t="str">
        <f>IF($C763="","",SUMIFS(Chicks!$O:$O,Chicks!$F:$F,$C763,Chicks!$G:$G,$D763))</f>
        <v/>
      </c>
      <c r="M763" s="6" t="str">
        <f>IF($C763="","",SUMIFS(Chicks!$P:$P,Chicks!$F:$F,$C763,Chicks!$G:$G,$D763))</f>
        <v/>
      </c>
      <c r="N763" s="6" t="str">
        <f t="shared" si="10"/>
        <v/>
      </c>
      <c r="O763" s="6" t="e">
        <f t="shared" ca="1" si="11"/>
        <v>#NAME?</v>
      </c>
      <c r="P763" s="6" t="str">
        <f t="shared" si="12"/>
        <v/>
      </c>
    </row>
    <row r="764" spans="3:16" ht="14.25" customHeight="1" x14ac:dyDescent="0.3">
      <c r="C764" s="6" t="str">
        <f t="shared" si="13"/>
        <v/>
      </c>
      <c r="D764" s="6" t="str">
        <f t="shared" si="14"/>
        <v/>
      </c>
      <c r="F764" s="6" t="str">
        <f>IF($C764="","",COUNTIFS(Chicks!$F:$F,$C764,Chicks!$G:$G,$D764))</f>
        <v/>
      </c>
      <c r="G764" s="6" t="str">
        <f>IF($C764="","",COUNTIFS(Chicks!$F:$F,$C764,Chicks!$G:$G,$D764,Chicks!$I:$I,"Yes"))</f>
        <v/>
      </c>
      <c r="H764" s="6" t="str">
        <f>IF($C764="","",SUMIFS(Chicks!$J:$J,Chicks!$F:$F,$C764,Chicks!$G:$G,$D764))</f>
        <v/>
      </c>
      <c r="I764" s="6" t="str">
        <f>IF($C764="","",COUNTIFS(Chicks!$F:$F,$C764,Chicks!$G:$G,$D764,Chicks!$I:$I,"No"))</f>
        <v/>
      </c>
      <c r="J764" s="6" t="str">
        <f>IF($C764="","",IFERROR(AVERAGEIFS(Chicks!$M:$M,Chicks!$F:$F,$C764,Chicks!$G:$G,$D764),""))</f>
        <v/>
      </c>
      <c r="K764" s="6" t="str">
        <f>IF($C764="","",SUMIFS(Chicks!$N:$N,Chicks!$F:$F,$C764,Chicks!$G:$G,$D764))</f>
        <v/>
      </c>
      <c r="L764" s="6" t="str">
        <f>IF($C764="","",SUMIFS(Chicks!$O:$O,Chicks!$F:$F,$C764,Chicks!$G:$G,$D764))</f>
        <v/>
      </c>
      <c r="M764" s="6" t="str">
        <f>IF($C764="","",SUMIFS(Chicks!$P:$P,Chicks!$F:$F,$C764,Chicks!$G:$G,$D764))</f>
        <v/>
      </c>
      <c r="N764" s="6" t="str">
        <f t="shared" si="10"/>
        <v/>
      </c>
      <c r="O764" s="6" t="e">
        <f t="shared" ca="1" si="11"/>
        <v>#NAME?</v>
      </c>
      <c r="P764" s="6" t="str">
        <f t="shared" si="12"/>
        <v/>
      </c>
    </row>
    <row r="765" spans="3:16" ht="14.25" customHeight="1" x14ac:dyDescent="0.3">
      <c r="C765" s="6" t="str">
        <f t="shared" si="13"/>
        <v/>
      </c>
      <c r="D765" s="6" t="str">
        <f t="shared" si="14"/>
        <v/>
      </c>
      <c r="F765" s="6" t="str">
        <f>IF($C765="","",COUNTIFS(Chicks!$F:$F,$C765,Chicks!$G:$G,$D765))</f>
        <v/>
      </c>
      <c r="G765" s="6" t="str">
        <f>IF($C765="","",COUNTIFS(Chicks!$F:$F,$C765,Chicks!$G:$G,$D765,Chicks!$I:$I,"Yes"))</f>
        <v/>
      </c>
      <c r="H765" s="6" t="str">
        <f>IF($C765="","",SUMIFS(Chicks!$J:$J,Chicks!$F:$F,$C765,Chicks!$G:$G,$D765))</f>
        <v/>
      </c>
      <c r="I765" s="6" t="str">
        <f>IF($C765="","",COUNTIFS(Chicks!$F:$F,$C765,Chicks!$G:$G,$D765,Chicks!$I:$I,"No"))</f>
        <v/>
      </c>
      <c r="J765" s="6" t="str">
        <f>IF($C765="","",IFERROR(AVERAGEIFS(Chicks!$M:$M,Chicks!$F:$F,$C765,Chicks!$G:$G,$D765),""))</f>
        <v/>
      </c>
      <c r="K765" s="6" t="str">
        <f>IF($C765="","",SUMIFS(Chicks!$N:$N,Chicks!$F:$F,$C765,Chicks!$G:$G,$D765))</f>
        <v/>
      </c>
      <c r="L765" s="6" t="str">
        <f>IF($C765="","",SUMIFS(Chicks!$O:$O,Chicks!$F:$F,$C765,Chicks!$G:$G,$D765))</f>
        <v/>
      </c>
      <c r="M765" s="6" t="str">
        <f>IF($C765="","",SUMIFS(Chicks!$P:$P,Chicks!$F:$F,$C765,Chicks!$G:$G,$D765))</f>
        <v/>
      </c>
      <c r="N765" s="6" t="str">
        <f t="shared" si="10"/>
        <v/>
      </c>
      <c r="O765" s="6" t="e">
        <f t="shared" ca="1" si="11"/>
        <v>#NAME?</v>
      </c>
      <c r="P765" s="6" t="str">
        <f t="shared" si="12"/>
        <v/>
      </c>
    </row>
    <row r="766" spans="3:16" ht="14.25" customHeight="1" x14ac:dyDescent="0.3">
      <c r="C766" s="6" t="str">
        <f t="shared" si="13"/>
        <v/>
      </c>
      <c r="D766" s="6" t="str">
        <f t="shared" si="14"/>
        <v/>
      </c>
      <c r="F766" s="6" t="str">
        <f>IF($C766="","",COUNTIFS(Chicks!$F:$F,$C766,Chicks!$G:$G,$D766))</f>
        <v/>
      </c>
      <c r="G766" s="6" t="str">
        <f>IF($C766="","",COUNTIFS(Chicks!$F:$F,$C766,Chicks!$G:$G,$D766,Chicks!$I:$I,"Yes"))</f>
        <v/>
      </c>
      <c r="H766" s="6" t="str">
        <f>IF($C766="","",SUMIFS(Chicks!$J:$J,Chicks!$F:$F,$C766,Chicks!$G:$G,$D766))</f>
        <v/>
      </c>
      <c r="I766" s="6" t="str">
        <f>IF($C766="","",COUNTIFS(Chicks!$F:$F,$C766,Chicks!$G:$G,$D766,Chicks!$I:$I,"No"))</f>
        <v/>
      </c>
      <c r="J766" s="6" t="str">
        <f>IF($C766="","",IFERROR(AVERAGEIFS(Chicks!$M:$M,Chicks!$F:$F,$C766,Chicks!$G:$G,$D766),""))</f>
        <v/>
      </c>
      <c r="K766" s="6" t="str">
        <f>IF($C766="","",SUMIFS(Chicks!$N:$N,Chicks!$F:$F,$C766,Chicks!$G:$G,$D766))</f>
        <v/>
      </c>
      <c r="L766" s="6" t="str">
        <f>IF($C766="","",SUMIFS(Chicks!$O:$O,Chicks!$F:$F,$C766,Chicks!$G:$G,$D766))</f>
        <v/>
      </c>
      <c r="M766" s="6" t="str">
        <f>IF($C766="","",SUMIFS(Chicks!$P:$P,Chicks!$F:$F,$C766,Chicks!$G:$G,$D766))</f>
        <v/>
      </c>
      <c r="N766" s="6" t="str">
        <f t="shared" si="10"/>
        <v/>
      </c>
      <c r="O766" s="6" t="e">
        <f t="shared" ca="1" si="11"/>
        <v>#NAME?</v>
      </c>
      <c r="P766" s="6" t="str">
        <f t="shared" si="12"/>
        <v/>
      </c>
    </row>
    <row r="767" spans="3:16" ht="14.25" customHeight="1" x14ac:dyDescent="0.3">
      <c r="C767" s="6" t="str">
        <f t="shared" si="13"/>
        <v/>
      </c>
      <c r="D767" s="6" t="str">
        <f t="shared" si="14"/>
        <v/>
      </c>
      <c r="F767" s="6" t="str">
        <f>IF($C767="","",COUNTIFS(Chicks!$F:$F,$C767,Chicks!$G:$G,$D767))</f>
        <v/>
      </c>
      <c r="G767" s="6" t="str">
        <f>IF($C767="","",COUNTIFS(Chicks!$F:$F,$C767,Chicks!$G:$G,$D767,Chicks!$I:$I,"Yes"))</f>
        <v/>
      </c>
      <c r="H767" s="6" t="str">
        <f>IF($C767="","",SUMIFS(Chicks!$J:$J,Chicks!$F:$F,$C767,Chicks!$G:$G,$D767))</f>
        <v/>
      </c>
      <c r="I767" s="6" t="str">
        <f>IF($C767="","",COUNTIFS(Chicks!$F:$F,$C767,Chicks!$G:$G,$D767,Chicks!$I:$I,"No"))</f>
        <v/>
      </c>
      <c r="J767" s="6" t="str">
        <f>IF($C767="","",IFERROR(AVERAGEIFS(Chicks!$M:$M,Chicks!$F:$F,$C767,Chicks!$G:$G,$D767),""))</f>
        <v/>
      </c>
      <c r="K767" s="6" t="str">
        <f>IF($C767="","",SUMIFS(Chicks!$N:$N,Chicks!$F:$F,$C767,Chicks!$G:$G,$D767))</f>
        <v/>
      </c>
      <c r="L767" s="6" t="str">
        <f>IF($C767="","",SUMIFS(Chicks!$O:$O,Chicks!$F:$F,$C767,Chicks!$G:$G,$D767))</f>
        <v/>
      </c>
      <c r="M767" s="6" t="str">
        <f>IF($C767="","",SUMIFS(Chicks!$P:$P,Chicks!$F:$F,$C767,Chicks!$G:$G,$D767))</f>
        <v/>
      </c>
      <c r="N767" s="6" t="str">
        <f t="shared" ref="N767:N1000" si="15">IF($J767="","",RANK($J767,$J$2:$J$1000,0))</f>
        <v/>
      </c>
      <c r="O767" s="6" t="e">
        <f t="shared" ref="O767:O1000" ca="1" si="16">IF($F767=0,"",_xludf.IFS($G767/$F767&lt;0.5,"0★",$G767/$F767&lt;=0.6,"★",$G767/$F767&lt;=0.7,"★★",$G767/$F767&lt;=0.8,"★★★",$G767/$F767&lt;=0.9,"★★★★",$G767/$F767&lt;=1,"★★★★★"))</f>
        <v>#NAME?</v>
      </c>
      <c r="P767" s="6" t="str">
        <f t="shared" ref="P767:P1000" si="17">IF($J767="","",_xludf.IFS($J767&lt;0.5,"0★",$J767&lt;=0.6,"★",$J767&lt;=0.7,"★★",$J767&lt;=0.8,"★★★",$J767&lt;=0.9,"★★★★",$J767&lt;=1,"★★★★★"))</f>
        <v/>
      </c>
    </row>
    <row r="768" spans="3:16" ht="14.25" customHeight="1" x14ac:dyDescent="0.3">
      <c r="C768" s="6" t="str">
        <f t="shared" si="13"/>
        <v/>
      </c>
      <c r="D768" s="6" t="str">
        <f t="shared" si="14"/>
        <v/>
      </c>
      <c r="F768" s="6" t="str">
        <f>IF($C768="","",COUNTIFS(Chicks!$F:$F,$C768,Chicks!$G:$G,$D768))</f>
        <v/>
      </c>
      <c r="G768" s="6" t="str">
        <f>IF($C768="","",COUNTIFS(Chicks!$F:$F,$C768,Chicks!$G:$G,$D768,Chicks!$I:$I,"Yes"))</f>
        <v/>
      </c>
      <c r="H768" s="6" t="str">
        <f>IF($C768="","",SUMIFS(Chicks!$J:$J,Chicks!$F:$F,$C768,Chicks!$G:$G,$D768))</f>
        <v/>
      </c>
      <c r="I768" s="6" t="str">
        <f>IF($C768="","",COUNTIFS(Chicks!$F:$F,$C768,Chicks!$G:$G,$D768,Chicks!$I:$I,"No"))</f>
        <v/>
      </c>
      <c r="J768" s="6" t="str">
        <f>IF($C768="","",IFERROR(AVERAGEIFS(Chicks!$M:$M,Chicks!$F:$F,$C768,Chicks!$G:$G,$D768),""))</f>
        <v/>
      </c>
      <c r="K768" s="6" t="str">
        <f>IF($C768="","",SUMIFS(Chicks!$N:$N,Chicks!$F:$F,$C768,Chicks!$G:$G,$D768))</f>
        <v/>
      </c>
      <c r="L768" s="6" t="str">
        <f>IF($C768="","",SUMIFS(Chicks!$O:$O,Chicks!$F:$F,$C768,Chicks!$G:$G,$D768))</f>
        <v/>
      </c>
      <c r="M768" s="6" t="str">
        <f>IF($C768="","",SUMIFS(Chicks!$P:$P,Chicks!$F:$F,$C768,Chicks!$G:$G,$D768))</f>
        <v/>
      </c>
      <c r="N768" s="6" t="str">
        <f t="shared" si="15"/>
        <v/>
      </c>
      <c r="O768" s="6" t="e">
        <f t="shared" ca="1" si="16"/>
        <v>#NAME?</v>
      </c>
      <c r="P768" s="6" t="str">
        <f t="shared" si="17"/>
        <v/>
      </c>
    </row>
    <row r="769" spans="3:16" ht="14.25" customHeight="1" x14ac:dyDescent="0.3">
      <c r="C769" s="6" t="str">
        <f t="shared" si="13"/>
        <v/>
      </c>
      <c r="D769" s="6" t="str">
        <f t="shared" si="14"/>
        <v/>
      </c>
      <c r="F769" s="6" t="str">
        <f>IF($C769="","",COUNTIFS(Chicks!$F:$F,$C769,Chicks!$G:$G,$D769))</f>
        <v/>
      </c>
      <c r="G769" s="6" t="str">
        <f>IF($C769="","",COUNTIFS(Chicks!$F:$F,$C769,Chicks!$G:$G,$D769,Chicks!$I:$I,"Yes"))</f>
        <v/>
      </c>
      <c r="H769" s="6" t="str">
        <f>IF($C769="","",SUMIFS(Chicks!$J:$J,Chicks!$F:$F,$C769,Chicks!$G:$G,$D769))</f>
        <v/>
      </c>
      <c r="I769" s="6" t="str">
        <f>IF($C769="","",COUNTIFS(Chicks!$F:$F,$C769,Chicks!$G:$G,$D769,Chicks!$I:$I,"No"))</f>
        <v/>
      </c>
      <c r="J769" s="6" t="str">
        <f>IF($C769="","",IFERROR(AVERAGEIFS(Chicks!$M:$M,Chicks!$F:$F,$C769,Chicks!$G:$G,$D769),""))</f>
        <v/>
      </c>
      <c r="K769" s="6" t="str">
        <f>IF($C769="","",SUMIFS(Chicks!$N:$N,Chicks!$F:$F,$C769,Chicks!$G:$G,$D769))</f>
        <v/>
      </c>
      <c r="L769" s="6" t="str">
        <f>IF($C769="","",SUMIFS(Chicks!$O:$O,Chicks!$F:$F,$C769,Chicks!$G:$G,$D769))</f>
        <v/>
      </c>
      <c r="M769" s="6" t="str">
        <f>IF($C769="","",SUMIFS(Chicks!$P:$P,Chicks!$F:$F,$C769,Chicks!$G:$G,$D769))</f>
        <v/>
      </c>
      <c r="N769" s="6" t="str">
        <f t="shared" si="15"/>
        <v/>
      </c>
      <c r="O769" s="6" t="e">
        <f t="shared" ca="1" si="16"/>
        <v>#NAME?</v>
      </c>
      <c r="P769" s="6" t="str">
        <f t="shared" si="17"/>
        <v/>
      </c>
    </row>
    <row r="770" spans="3:16" ht="14.25" customHeight="1" x14ac:dyDescent="0.3">
      <c r="C770" s="6" t="str">
        <f t="shared" si="13"/>
        <v/>
      </c>
      <c r="D770" s="6" t="str">
        <f t="shared" si="14"/>
        <v/>
      </c>
      <c r="F770" s="6" t="str">
        <f>IF($C770="","",COUNTIFS(Chicks!$F:$F,$C770,Chicks!$G:$G,$D770))</f>
        <v/>
      </c>
      <c r="G770" s="6" t="str">
        <f>IF($C770="","",COUNTIFS(Chicks!$F:$F,$C770,Chicks!$G:$G,$D770,Chicks!$I:$I,"Yes"))</f>
        <v/>
      </c>
      <c r="H770" s="6" t="str">
        <f>IF($C770="","",SUMIFS(Chicks!$J:$J,Chicks!$F:$F,$C770,Chicks!$G:$G,$D770))</f>
        <v/>
      </c>
      <c r="I770" s="6" t="str">
        <f>IF($C770="","",COUNTIFS(Chicks!$F:$F,$C770,Chicks!$G:$G,$D770,Chicks!$I:$I,"No"))</f>
        <v/>
      </c>
      <c r="J770" s="6" t="str">
        <f>IF($C770="","",IFERROR(AVERAGEIFS(Chicks!$M:$M,Chicks!$F:$F,$C770,Chicks!$G:$G,$D770),""))</f>
        <v/>
      </c>
      <c r="K770" s="6" t="str">
        <f>IF($C770="","",SUMIFS(Chicks!$N:$N,Chicks!$F:$F,$C770,Chicks!$G:$G,$D770))</f>
        <v/>
      </c>
      <c r="L770" s="6" t="str">
        <f>IF($C770="","",SUMIFS(Chicks!$O:$O,Chicks!$F:$F,$C770,Chicks!$G:$G,$D770))</f>
        <v/>
      </c>
      <c r="M770" s="6" t="str">
        <f>IF($C770="","",SUMIFS(Chicks!$P:$P,Chicks!$F:$F,$C770,Chicks!$G:$G,$D770))</f>
        <v/>
      </c>
      <c r="N770" s="6" t="str">
        <f t="shared" si="15"/>
        <v/>
      </c>
      <c r="O770" s="6" t="e">
        <f t="shared" ca="1" si="16"/>
        <v>#NAME?</v>
      </c>
      <c r="P770" s="6" t="str">
        <f t="shared" si="17"/>
        <v/>
      </c>
    </row>
    <row r="771" spans="3:16" ht="14.25" customHeight="1" x14ac:dyDescent="0.3">
      <c r="C771" s="6" t="str">
        <f t="shared" si="13"/>
        <v/>
      </c>
      <c r="D771" s="6" t="str">
        <f t="shared" si="14"/>
        <v/>
      </c>
      <c r="F771" s="6" t="str">
        <f>IF($C771="","",COUNTIFS(Chicks!$F:$F,$C771,Chicks!$G:$G,$D771))</f>
        <v/>
      </c>
      <c r="G771" s="6" t="str">
        <f>IF($C771="","",COUNTIFS(Chicks!$F:$F,$C771,Chicks!$G:$G,$D771,Chicks!$I:$I,"Yes"))</f>
        <v/>
      </c>
      <c r="H771" s="6" t="str">
        <f>IF($C771="","",SUMIFS(Chicks!$J:$J,Chicks!$F:$F,$C771,Chicks!$G:$G,$D771))</f>
        <v/>
      </c>
      <c r="I771" s="6" t="str">
        <f>IF($C771="","",COUNTIFS(Chicks!$F:$F,$C771,Chicks!$G:$G,$D771,Chicks!$I:$I,"No"))</f>
        <v/>
      </c>
      <c r="J771" s="6" t="str">
        <f>IF($C771="","",IFERROR(AVERAGEIFS(Chicks!$M:$M,Chicks!$F:$F,$C771,Chicks!$G:$G,$D771),""))</f>
        <v/>
      </c>
      <c r="K771" s="6" t="str">
        <f>IF($C771="","",SUMIFS(Chicks!$N:$N,Chicks!$F:$F,$C771,Chicks!$G:$G,$D771))</f>
        <v/>
      </c>
      <c r="L771" s="6" t="str">
        <f>IF($C771="","",SUMIFS(Chicks!$O:$O,Chicks!$F:$F,$C771,Chicks!$G:$G,$D771))</f>
        <v/>
      </c>
      <c r="M771" s="6" t="str">
        <f>IF($C771="","",SUMIFS(Chicks!$P:$P,Chicks!$F:$F,$C771,Chicks!$G:$G,$D771))</f>
        <v/>
      </c>
      <c r="N771" s="6" t="str">
        <f t="shared" si="15"/>
        <v/>
      </c>
      <c r="O771" s="6" t="e">
        <f t="shared" ca="1" si="16"/>
        <v>#NAME?</v>
      </c>
      <c r="P771" s="6" t="str">
        <f t="shared" si="17"/>
        <v/>
      </c>
    </row>
    <row r="772" spans="3:16" ht="14.25" customHeight="1" x14ac:dyDescent="0.3">
      <c r="C772" s="6" t="str">
        <f t="shared" si="13"/>
        <v/>
      </c>
      <c r="D772" s="6" t="str">
        <f t="shared" si="14"/>
        <v/>
      </c>
      <c r="F772" s="6" t="str">
        <f>IF($C772="","",COUNTIFS(Chicks!$F:$F,$C772,Chicks!$G:$G,$D772))</f>
        <v/>
      </c>
      <c r="G772" s="6" t="str">
        <f>IF($C772="","",COUNTIFS(Chicks!$F:$F,$C772,Chicks!$G:$G,$D772,Chicks!$I:$I,"Yes"))</f>
        <v/>
      </c>
      <c r="H772" s="6" t="str">
        <f>IF($C772="","",SUMIFS(Chicks!$J:$J,Chicks!$F:$F,$C772,Chicks!$G:$G,$D772))</f>
        <v/>
      </c>
      <c r="I772" s="6" t="str">
        <f>IF($C772="","",COUNTIFS(Chicks!$F:$F,$C772,Chicks!$G:$G,$D772,Chicks!$I:$I,"No"))</f>
        <v/>
      </c>
      <c r="J772" s="6" t="str">
        <f>IF($C772="","",IFERROR(AVERAGEIFS(Chicks!$M:$M,Chicks!$F:$F,$C772,Chicks!$G:$G,$D772),""))</f>
        <v/>
      </c>
      <c r="K772" s="6" t="str">
        <f>IF($C772="","",SUMIFS(Chicks!$N:$N,Chicks!$F:$F,$C772,Chicks!$G:$G,$D772))</f>
        <v/>
      </c>
      <c r="L772" s="6" t="str">
        <f>IF($C772="","",SUMIFS(Chicks!$O:$O,Chicks!$F:$F,$C772,Chicks!$G:$G,$D772))</f>
        <v/>
      </c>
      <c r="M772" s="6" t="str">
        <f>IF($C772="","",SUMIFS(Chicks!$P:$P,Chicks!$F:$F,$C772,Chicks!$G:$G,$D772))</f>
        <v/>
      </c>
      <c r="N772" s="6" t="str">
        <f t="shared" si="15"/>
        <v/>
      </c>
      <c r="O772" s="6" t="e">
        <f t="shared" ca="1" si="16"/>
        <v>#NAME?</v>
      </c>
      <c r="P772" s="6" t="str">
        <f t="shared" si="17"/>
        <v/>
      </c>
    </row>
    <row r="773" spans="3:16" ht="14.25" customHeight="1" x14ac:dyDescent="0.3">
      <c r="C773" s="6" t="str">
        <f t="shared" si="13"/>
        <v/>
      </c>
      <c r="D773" s="6" t="str">
        <f t="shared" si="14"/>
        <v/>
      </c>
      <c r="F773" s="6" t="str">
        <f>IF($C773="","",COUNTIFS(Chicks!$F:$F,$C773,Chicks!$G:$G,$D773))</f>
        <v/>
      </c>
      <c r="G773" s="6" t="str">
        <f>IF($C773="","",COUNTIFS(Chicks!$F:$F,$C773,Chicks!$G:$G,$D773,Chicks!$I:$I,"Yes"))</f>
        <v/>
      </c>
      <c r="H773" s="6" t="str">
        <f>IF($C773="","",SUMIFS(Chicks!$J:$J,Chicks!$F:$F,$C773,Chicks!$G:$G,$D773))</f>
        <v/>
      </c>
      <c r="I773" s="6" t="str">
        <f>IF($C773="","",COUNTIFS(Chicks!$F:$F,$C773,Chicks!$G:$G,$D773,Chicks!$I:$I,"No"))</f>
        <v/>
      </c>
      <c r="J773" s="6" t="str">
        <f>IF($C773="","",IFERROR(AVERAGEIFS(Chicks!$M:$M,Chicks!$F:$F,$C773,Chicks!$G:$G,$D773),""))</f>
        <v/>
      </c>
      <c r="K773" s="6" t="str">
        <f>IF($C773="","",SUMIFS(Chicks!$N:$N,Chicks!$F:$F,$C773,Chicks!$G:$G,$D773))</f>
        <v/>
      </c>
      <c r="L773" s="6" t="str">
        <f>IF($C773="","",SUMIFS(Chicks!$O:$O,Chicks!$F:$F,$C773,Chicks!$G:$G,$D773))</f>
        <v/>
      </c>
      <c r="M773" s="6" t="str">
        <f>IF($C773="","",SUMIFS(Chicks!$P:$P,Chicks!$F:$F,$C773,Chicks!$G:$G,$D773))</f>
        <v/>
      </c>
      <c r="N773" s="6" t="str">
        <f t="shared" si="15"/>
        <v/>
      </c>
      <c r="O773" s="6" t="e">
        <f t="shared" ca="1" si="16"/>
        <v>#NAME?</v>
      </c>
      <c r="P773" s="6" t="str">
        <f t="shared" si="17"/>
        <v/>
      </c>
    </row>
    <row r="774" spans="3:16" ht="14.25" customHeight="1" x14ac:dyDescent="0.3">
      <c r="C774" s="6" t="str">
        <f t="shared" si="13"/>
        <v/>
      </c>
      <c r="D774" s="6" t="str">
        <f t="shared" si="14"/>
        <v/>
      </c>
      <c r="F774" s="6" t="str">
        <f>IF($C774="","",COUNTIFS(Chicks!$F:$F,$C774,Chicks!$G:$G,$D774))</f>
        <v/>
      </c>
      <c r="G774" s="6" t="str">
        <f>IF($C774="","",COUNTIFS(Chicks!$F:$F,$C774,Chicks!$G:$G,$D774,Chicks!$I:$I,"Yes"))</f>
        <v/>
      </c>
      <c r="H774" s="6" t="str">
        <f>IF($C774="","",SUMIFS(Chicks!$J:$J,Chicks!$F:$F,$C774,Chicks!$G:$G,$D774))</f>
        <v/>
      </c>
      <c r="I774" s="6" t="str">
        <f>IF($C774="","",COUNTIFS(Chicks!$F:$F,$C774,Chicks!$G:$G,$D774,Chicks!$I:$I,"No"))</f>
        <v/>
      </c>
      <c r="J774" s="6" t="str">
        <f>IF($C774="","",IFERROR(AVERAGEIFS(Chicks!$M:$M,Chicks!$F:$F,$C774,Chicks!$G:$G,$D774),""))</f>
        <v/>
      </c>
      <c r="K774" s="6" t="str">
        <f>IF($C774="","",SUMIFS(Chicks!$N:$N,Chicks!$F:$F,$C774,Chicks!$G:$G,$D774))</f>
        <v/>
      </c>
      <c r="L774" s="6" t="str">
        <f>IF($C774="","",SUMIFS(Chicks!$O:$O,Chicks!$F:$F,$C774,Chicks!$G:$G,$D774))</f>
        <v/>
      </c>
      <c r="M774" s="6" t="str">
        <f>IF($C774="","",SUMIFS(Chicks!$P:$P,Chicks!$F:$F,$C774,Chicks!$G:$G,$D774))</f>
        <v/>
      </c>
      <c r="N774" s="6" t="str">
        <f t="shared" si="15"/>
        <v/>
      </c>
      <c r="O774" s="6" t="e">
        <f t="shared" ca="1" si="16"/>
        <v>#NAME?</v>
      </c>
      <c r="P774" s="6" t="str">
        <f t="shared" si="17"/>
        <v/>
      </c>
    </row>
    <row r="775" spans="3:16" ht="14.25" customHeight="1" x14ac:dyDescent="0.3">
      <c r="C775" s="6" t="str">
        <f t="shared" si="13"/>
        <v/>
      </c>
      <c r="D775" s="6" t="str">
        <f t="shared" si="14"/>
        <v/>
      </c>
      <c r="F775" s="6" t="str">
        <f>IF($C775="","",COUNTIFS(Chicks!$F:$F,$C775,Chicks!$G:$G,$D775))</f>
        <v/>
      </c>
      <c r="G775" s="6" t="str">
        <f>IF($C775="","",COUNTIFS(Chicks!$F:$F,$C775,Chicks!$G:$G,$D775,Chicks!$I:$I,"Yes"))</f>
        <v/>
      </c>
      <c r="H775" s="6" t="str">
        <f>IF($C775="","",SUMIFS(Chicks!$J:$J,Chicks!$F:$F,$C775,Chicks!$G:$G,$D775))</f>
        <v/>
      </c>
      <c r="I775" s="6" t="str">
        <f>IF($C775="","",COUNTIFS(Chicks!$F:$F,$C775,Chicks!$G:$G,$D775,Chicks!$I:$I,"No"))</f>
        <v/>
      </c>
      <c r="J775" s="6" t="str">
        <f>IF($C775="","",IFERROR(AVERAGEIFS(Chicks!$M:$M,Chicks!$F:$F,$C775,Chicks!$G:$G,$D775),""))</f>
        <v/>
      </c>
      <c r="K775" s="6" t="str">
        <f>IF($C775="","",SUMIFS(Chicks!$N:$N,Chicks!$F:$F,$C775,Chicks!$G:$G,$D775))</f>
        <v/>
      </c>
      <c r="L775" s="6" t="str">
        <f>IF($C775="","",SUMIFS(Chicks!$O:$O,Chicks!$F:$F,$C775,Chicks!$G:$G,$D775))</f>
        <v/>
      </c>
      <c r="M775" s="6" t="str">
        <f>IF($C775="","",SUMIFS(Chicks!$P:$P,Chicks!$F:$F,$C775,Chicks!$G:$G,$D775))</f>
        <v/>
      </c>
      <c r="N775" s="6" t="str">
        <f t="shared" si="15"/>
        <v/>
      </c>
      <c r="O775" s="6" t="e">
        <f t="shared" ca="1" si="16"/>
        <v>#NAME?</v>
      </c>
      <c r="P775" s="6" t="str">
        <f t="shared" si="17"/>
        <v/>
      </c>
    </row>
    <row r="776" spans="3:16" ht="14.25" customHeight="1" x14ac:dyDescent="0.3">
      <c r="C776" s="6" t="str">
        <f t="shared" si="13"/>
        <v/>
      </c>
      <c r="D776" s="6" t="str">
        <f t="shared" si="14"/>
        <v/>
      </c>
      <c r="F776" s="6" t="str">
        <f>IF($C776="","",COUNTIFS(Chicks!$F:$F,$C776,Chicks!$G:$G,$D776))</f>
        <v/>
      </c>
      <c r="G776" s="6" t="str">
        <f>IF($C776="","",COUNTIFS(Chicks!$F:$F,$C776,Chicks!$G:$G,$D776,Chicks!$I:$I,"Yes"))</f>
        <v/>
      </c>
      <c r="H776" s="6" t="str">
        <f>IF($C776="","",SUMIFS(Chicks!$J:$J,Chicks!$F:$F,$C776,Chicks!$G:$G,$D776))</f>
        <v/>
      </c>
      <c r="I776" s="6" t="str">
        <f>IF($C776="","",COUNTIFS(Chicks!$F:$F,$C776,Chicks!$G:$G,$D776,Chicks!$I:$I,"No"))</f>
        <v/>
      </c>
      <c r="J776" s="6" t="str">
        <f>IF($C776="","",IFERROR(AVERAGEIFS(Chicks!$M:$M,Chicks!$F:$F,$C776,Chicks!$G:$G,$D776),""))</f>
        <v/>
      </c>
      <c r="K776" s="6" t="str">
        <f>IF($C776="","",SUMIFS(Chicks!$N:$N,Chicks!$F:$F,$C776,Chicks!$G:$G,$D776))</f>
        <v/>
      </c>
      <c r="L776" s="6" t="str">
        <f>IF($C776="","",SUMIFS(Chicks!$O:$O,Chicks!$F:$F,$C776,Chicks!$G:$G,$D776))</f>
        <v/>
      </c>
      <c r="M776" s="6" t="str">
        <f>IF($C776="","",SUMIFS(Chicks!$P:$P,Chicks!$F:$F,$C776,Chicks!$G:$G,$D776))</f>
        <v/>
      </c>
      <c r="N776" s="6" t="str">
        <f t="shared" si="15"/>
        <v/>
      </c>
      <c r="O776" s="6" t="e">
        <f t="shared" ca="1" si="16"/>
        <v>#NAME?</v>
      </c>
      <c r="P776" s="6" t="str">
        <f t="shared" si="17"/>
        <v/>
      </c>
    </row>
    <row r="777" spans="3:16" ht="14.25" customHeight="1" x14ac:dyDescent="0.3">
      <c r="C777" s="6" t="str">
        <f t="shared" si="13"/>
        <v/>
      </c>
      <c r="D777" s="6" t="str">
        <f t="shared" si="14"/>
        <v/>
      </c>
      <c r="F777" s="6" t="str">
        <f>IF($C777="","",COUNTIFS(Chicks!$F:$F,$C777,Chicks!$G:$G,$D777))</f>
        <v/>
      </c>
      <c r="G777" s="6" t="str">
        <f>IF($C777="","",COUNTIFS(Chicks!$F:$F,$C777,Chicks!$G:$G,$D777,Chicks!$I:$I,"Yes"))</f>
        <v/>
      </c>
      <c r="H777" s="6" t="str">
        <f>IF($C777="","",SUMIFS(Chicks!$J:$J,Chicks!$F:$F,$C777,Chicks!$G:$G,$D777))</f>
        <v/>
      </c>
      <c r="I777" s="6" t="str">
        <f>IF($C777="","",COUNTIFS(Chicks!$F:$F,$C777,Chicks!$G:$G,$D777,Chicks!$I:$I,"No"))</f>
        <v/>
      </c>
      <c r="J777" s="6" t="str">
        <f>IF($C777="","",IFERROR(AVERAGEIFS(Chicks!$M:$M,Chicks!$F:$F,$C777,Chicks!$G:$G,$D777),""))</f>
        <v/>
      </c>
      <c r="K777" s="6" t="str">
        <f>IF($C777="","",SUMIFS(Chicks!$N:$N,Chicks!$F:$F,$C777,Chicks!$G:$G,$D777))</f>
        <v/>
      </c>
      <c r="L777" s="6" t="str">
        <f>IF($C777="","",SUMIFS(Chicks!$O:$O,Chicks!$F:$F,$C777,Chicks!$G:$G,$D777))</f>
        <v/>
      </c>
      <c r="M777" s="6" t="str">
        <f>IF($C777="","",SUMIFS(Chicks!$P:$P,Chicks!$F:$F,$C777,Chicks!$G:$G,$D777))</f>
        <v/>
      </c>
      <c r="N777" s="6" t="str">
        <f t="shared" si="15"/>
        <v/>
      </c>
      <c r="O777" s="6" t="e">
        <f t="shared" ca="1" si="16"/>
        <v>#NAME?</v>
      </c>
      <c r="P777" s="6" t="str">
        <f t="shared" si="17"/>
        <v/>
      </c>
    </row>
    <row r="778" spans="3:16" ht="14.25" customHeight="1" x14ac:dyDescent="0.3">
      <c r="C778" s="6" t="str">
        <f t="shared" si="13"/>
        <v/>
      </c>
      <c r="D778" s="6" t="str">
        <f t="shared" si="14"/>
        <v/>
      </c>
      <c r="F778" s="6" t="str">
        <f>IF($C778="","",COUNTIFS(Chicks!$F:$F,$C778,Chicks!$G:$G,$D778))</f>
        <v/>
      </c>
      <c r="G778" s="6" t="str">
        <f>IF($C778="","",COUNTIFS(Chicks!$F:$F,$C778,Chicks!$G:$G,$D778,Chicks!$I:$I,"Yes"))</f>
        <v/>
      </c>
      <c r="H778" s="6" t="str">
        <f>IF($C778="","",SUMIFS(Chicks!$J:$J,Chicks!$F:$F,$C778,Chicks!$G:$G,$D778))</f>
        <v/>
      </c>
      <c r="I778" s="6" t="str">
        <f>IF($C778="","",COUNTIFS(Chicks!$F:$F,$C778,Chicks!$G:$G,$D778,Chicks!$I:$I,"No"))</f>
        <v/>
      </c>
      <c r="J778" s="6" t="str">
        <f>IF($C778="","",IFERROR(AVERAGEIFS(Chicks!$M:$M,Chicks!$F:$F,$C778,Chicks!$G:$G,$D778),""))</f>
        <v/>
      </c>
      <c r="K778" s="6" t="str">
        <f>IF($C778="","",SUMIFS(Chicks!$N:$N,Chicks!$F:$F,$C778,Chicks!$G:$G,$D778))</f>
        <v/>
      </c>
      <c r="L778" s="6" t="str">
        <f>IF($C778="","",SUMIFS(Chicks!$O:$O,Chicks!$F:$F,$C778,Chicks!$G:$G,$D778))</f>
        <v/>
      </c>
      <c r="M778" s="6" t="str">
        <f>IF($C778="","",SUMIFS(Chicks!$P:$P,Chicks!$F:$F,$C778,Chicks!$G:$G,$D778))</f>
        <v/>
      </c>
      <c r="N778" s="6" t="str">
        <f t="shared" si="15"/>
        <v/>
      </c>
      <c r="O778" s="6" t="e">
        <f t="shared" ca="1" si="16"/>
        <v>#NAME?</v>
      </c>
      <c r="P778" s="6" t="str">
        <f t="shared" si="17"/>
        <v/>
      </c>
    </row>
    <row r="779" spans="3:16" ht="14.25" customHeight="1" x14ac:dyDescent="0.3">
      <c r="C779" s="6" t="str">
        <f t="shared" ref="C779:C1000" si="18">IFERROR(VALUE(LEFT($A779,FIND("-",$A779)-1)),"")</f>
        <v/>
      </c>
      <c r="D779" s="6" t="str">
        <f t="shared" ref="D779:D1000" si="19">IFERROR(VALUE(MID($A779,FIND("-",$A779)+1,99)),"")</f>
        <v/>
      </c>
      <c r="F779" s="6" t="str">
        <f>IF($C779="","",COUNTIFS(Chicks!$F:$F,$C779,Chicks!$G:$G,$D779))</f>
        <v/>
      </c>
      <c r="G779" s="6" t="str">
        <f>IF($C779="","",COUNTIFS(Chicks!$F:$F,$C779,Chicks!$G:$G,$D779,Chicks!$I:$I,"Yes"))</f>
        <v/>
      </c>
      <c r="H779" s="6" t="str">
        <f>IF($C779="","",SUMIFS(Chicks!$J:$J,Chicks!$F:$F,$C779,Chicks!$G:$G,$D779))</f>
        <v/>
      </c>
      <c r="I779" s="6" t="str">
        <f>IF($C779="","",COUNTIFS(Chicks!$F:$F,$C779,Chicks!$G:$G,$D779,Chicks!$I:$I,"No"))</f>
        <v/>
      </c>
      <c r="J779" s="6" t="str">
        <f>IF($C779="","",IFERROR(AVERAGEIFS(Chicks!$M:$M,Chicks!$F:$F,$C779,Chicks!$G:$G,$D779),""))</f>
        <v/>
      </c>
      <c r="K779" s="6" t="str">
        <f>IF($C779="","",SUMIFS(Chicks!$N:$N,Chicks!$F:$F,$C779,Chicks!$G:$G,$D779))</f>
        <v/>
      </c>
      <c r="L779" s="6" t="str">
        <f>IF($C779="","",SUMIFS(Chicks!$O:$O,Chicks!$F:$F,$C779,Chicks!$G:$G,$D779))</f>
        <v/>
      </c>
      <c r="M779" s="6" t="str">
        <f>IF($C779="","",SUMIFS(Chicks!$P:$P,Chicks!$F:$F,$C779,Chicks!$G:$G,$D779))</f>
        <v/>
      </c>
      <c r="N779" s="6" t="str">
        <f t="shared" si="15"/>
        <v/>
      </c>
      <c r="O779" s="6" t="e">
        <f t="shared" ca="1" si="16"/>
        <v>#NAME?</v>
      </c>
      <c r="P779" s="6" t="str">
        <f t="shared" si="17"/>
        <v/>
      </c>
    </row>
    <row r="780" spans="3:16" ht="14.25" customHeight="1" x14ac:dyDescent="0.3">
      <c r="C780" s="6" t="str">
        <f t="shared" si="18"/>
        <v/>
      </c>
      <c r="D780" s="6" t="str">
        <f t="shared" si="19"/>
        <v/>
      </c>
      <c r="F780" s="6" t="str">
        <f>IF($C780="","",COUNTIFS(Chicks!$F:$F,$C780,Chicks!$G:$G,$D780))</f>
        <v/>
      </c>
      <c r="G780" s="6" t="str">
        <f>IF($C780="","",COUNTIFS(Chicks!$F:$F,$C780,Chicks!$G:$G,$D780,Chicks!$I:$I,"Yes"))</f>
        <v/>
      </c>
      <c r="H780" s="6" t="str">
        <f>IF($C780="","",SUMIFS(Chicks!$J:$J,Chicks!$F:$F,$C780,Chicks!$G:$G,$D780))</f>
        <v/>
      </c>
      <c r="I780" s="6" t="str">
        <f>IF($C780="","",COUNTIFS(Chicks!$F:$F,$C780,Chicks!$G:$G,$D780,Chicks!$I:$I,"No"))</f>
        <v/>
      </c>
      <c r="J780" s="6" t="str">
        <f>IF($C780="","",IFERROR(AVERAGEIFS(Chicks!$M:$M,Chicks!$F:$F,$C780,Chicks!$G:$G,$D780),""))</f>
        <v/>
      </c>
      <c r="K780" s="6" t="str">
        <f>IF($C780="","",SUMIFS(Chicks!$N:$N,Chicks!$F:$F,$C780,Chicks!$G:$G,$D780))</f>
        <v/>
      </c>
      <c r="L780" s="6" t="str">
        <f>IF($C780="","",SUMIFS(Chicks!$O:$O,Chicks!$F:$F,$C780,Chicks!$G:$G,$D780))</f>
        <v/>
      </c>
      <c r="M780" s="6" t="str">
        <f>IF($C780="","",SUMIFS(Chicks!$P:$P,Chicks!$F:$F,$C780,Chicks!$G:$G,$D780))</f>
        <v/>
      </c>
      <c r="N780" s="6" t="str">
        <f t="shared" si="15"/>
        <v/>
      </c>
      <c r="O780" s="6" t="e">
        <f t="shared" ca="1" si="16"/>
        <v>#NAME?</v>
      </c>
      <c r="P780" s="6" t="str">
        <f t="shared" si="17"/>
        <v/>
      </c>
    </row>
    <row r="781" spans="3:16" ht="14.25" customHeight="1" x14ac:dyDescent="0.3">
      <c r="C781" s="6" t="str">
        <f t="shared" si="18"/>
        <v/>
      </c>
      <c r="D781" s="6" t="str">
        <f t="shared" si="19"/>
        <v/>
      </c>
      <c r="F781" s="6" t="str">
        <f>IF($C781="","",COUNTIFS(Chicks!$F:$F,$C781,Chicks!$G:$G,$D781))</f>
        <v/>
      </c>
      <c r="G781" s="6" t="str">
        <f>IF($C781="","",COUNTIFS(Chicks!$F:$F,$C781,Chicks!$G:$G,$D781,Chicks!$I:$I,"Yes"))</f>
        <v/>
      </c>
      <c r="H781" s="6" t="str">
        <f>IF($C781="","",SUMIFS(Chicks!$J:$J,Chicks!$F:$F,$C781,Chicks!$G:$G,$D781))</f>
        <v/>
      </c>
      <c r="I781" s="6" t="str">
        <f>IF($C781="","",COUNTIFS(Chicks!$F:$F,$C781,Chicks!$G:$G,$D781,Chicks!$I:$I,"No"))</f>
        <v/>
      </c>
      <c r="J781" s="6" t="str">
        <f>IF($C781="","",IFERROR(AVERAGEIFS(Chicks!$M:$M,Chicks!$F:$F,$C781,Chicks!$G:$G,$D781),""))</f>
        <v/>
      </c>
      <c r="K781" s="6" t="str">
        <f>IF($C781="","",SUMIFS(Chicks!$N:$N,Chicks!$F:$F,$C781,Chicks!$G:$G,$D781))</f>
        <v/>
      </c>
      <c r="L781" s="6" t="str">
        <f>IF($C781="","",SUMIFS(Chicks!$O:$O,Chicks!$F:$F,$C781,Chicks!$G:$G,$D781))</f>
        <v/>
      </c>
      <c r="M781" s="6" t="str">
        <f>IF($C781="","",SUMIFS(Chicks!$P:$P,Chicks!$F:$F,$C781,Chicks!$G:$G,$D781))</f>
        <v/>
      </c>
      <c r="N781" s="6" t="str">
        <f t="shared" si="15"/>
        <v/>
      </c>
      <c r="O781" s="6" t="e">
        <f t="shared" ca="1" si="16"/>
        <v>#NAME?</v>
      </c>
      <c r="P781" s="6" t="str">
        <f t="shared" si="17"/>
        <v/>
      </c>
    </row>
    <row r="782" spans="3:16" ht="14.25" customHeight="1" x14ac:dyDescent="0.3">
      <c r="C782" s="6" t="str">
        <f t="shared" si="18"/>
        <v/>
      </c>
      <c r="D782" s="6" t="str">
        <f t="shared" si="19"/>
        <v/>
      </c>
      <c r="F782" s="6" t="str">
        <f>IF($C782="","",COUNTIFS(Chicks!$F:$F,$C782,Chicks!$G:$G,$D782))</f>
        <v/>
      </c>
      <c r="G782" s="6" t="str">
        <f>IF($C782="","",COUNTIFS(Chicks!$F:$F,$C782,Chicks!$G:$G,$D782,Chicks!$I:$I,"Yes"))</f>
        <v/>
      </c>
      <c r="H782" s="6" t="str">
        <f>IF($C782="","",SUMIFS(Chicks!$J:$J,Chicks!$F:$F,$C782,Chicks!$G:$G,$D782))</f>
        <v/>
      </c>
      <c r="I782" s="6" t="str">
        <f>IF($C782="","",COUNTIFS(Chicks!$F:$F,$C782,Chicks!$G:$G,$D782,Chicks!$I:$I,"No"))</f>
        <v/>
      </c>
      <c r="J782" s="6" t="str">
        <f>IF($C782="","",IFERROR(AVERAGEIFS(Chicks!$M:$M,Chicks!$F:$F,$C782,Chicks!$G:$G,$D782),""))</f>
        <v/>
      </c>
      <c r="K782" s="6" t="str">
        <f>IF($C782="","",SUMIFS(Chicks!$N:$N,Chicks!$F:$F,$C782,Chicks!$G:$G,$D782))</f>
        <v/>
      </c>
      <c r="L782" s="6" t="str">
        <f>IF($C782="","",SUMIFS(Chicks!$O:$O,Chicks!$F:$F,$C782,Chicks!$G:$G,$D782))</f>
        <v/>
      </c>
      <c r="M782" s="6" t="str">
        <f>IF($C782="","",SUMIFS(Chicks!$P:$P,Chicks!$F:$F,$C782,Chicks!$G:$G,$D782))</f>
        <v/>
      </c>
      <c r="N782" s="6" t="str">
        <f t="shared" si="15"/>
        <v/>
      </c>
      <c r="O782" s="6" t="e">
        <f t="shared" ca="1" si="16"/>
        <v>#NAME?</v>
      </c>
      <c r="P782" s="6" t="str">
        <f t="shared" si="17"/>
        <v/>
      </c>
    </row>
    <row r="783" spans="3:16" ht="14.25" customHeight="1" x14ac:dyDescent="0.3">
      <c r="C783" s="6" t="str">
        <f t="shared" si="18"/>
        <v/>
      </c>
      <c r="D783" s="6" t="str">
        <f t="shared" si="19"/>
        <v/>
      </c>
      <c r="F783" s="6" t="str">
        <f>IF($C783="","",COUNTIFS(Chicks!$F:$F,$C783,Chicks!$G:$G,$D783))</f>
        <v/>
      </c>
      <c r="G783" s="6" t="str">
        <f>IF($C783="","",COUNTIFS(Chicks!$F:$F,$C783,Chicks!$G:$G,$D783,Chicks!$I:$I,"Yes"))</f>
        <v/>
      </c>
      <c r="H783" s="6" t="str">
        <f>IF($C783="","",SUMIFS(Chicks!$J:$J,Chicks!$F:$F,$C783,Chicks!$G:$G,$D783))</f>
        <v/>
      </c>
      <c r="I783" s="6" t="str">
        <f>IF($C783="","",COUNTIFS(Chicks!$F:$F,$C783,Chicks!$G:$G,$D783,Chicks!$I:$I,"No"))</f>
        <v/>
      </c>
      <c r="J783" s="6" t="str">
        <f>IF($C783="","",IFERROR(AVERAGEIFS(Chicks!$M:$M,Chicks!$F:$F,$C783,Chicks!$G:$G,$D783),""))</f>
        <v/>
      </c>
      <c r="K783" s="6" t="str">
        <f>IF($C783="","",SUMIFS(Chicks!$N:$N,Chicks!$F:$F,$C783,Chicks!$G:$G,$D783))</f>
        <v/>
      </c>
      <c r="L783" s="6" t="str">
        <f>IF($C783="","",SUMIFS(Chicks!$O:$O,Chicks!$F:$F,$C783,Chicks!$G:$G,$D783))</f>
        <v/>
      </c>
      <c r="M783" s="6" t="str">
        <f>IF($C783="","",SUMIFS(Chicks!$P:$P,Chicks!$F:$F,$C783,Chicks!$G:$G,$D783))</f>
        <v/>
      </c>
      <c r="N783" s="6" t="str">
        <f t="shared" si="15"/>
        <v/>
      </c>
      <c r="O783" s="6" t="e">
        <f t="shared" ca="1" si="16"/>
        <v>#NAME?</v>
      </c>
      <c r="P783" s="6" t="str">
        <f t="shared" si="17"/>
        <v/>
      </c>
    </row>
    <row r="784" spans="3:16" ht="14.25" customHeight="1" x14ac:dyDescent="0.3">
      <c r="C784" s="6" t="str">
        <f t="shared" si="18"/>
        <v/>
      </c>
      <c r="D784" s="6" t="str">
        <f t="shared" si="19"/>
        <v/>
      </c>
      <c r="F784" s="6" t="str">
        <f>IF($C784="","",COUNTIFS(Chicks!$F:$F,$C784,Chicks!$G:$G,$D784))</f>
        <v/>
      </c>
      <c r="G784" s="6" t="str">
        <f>IF($C784="","",COUNTIFS(Chicks!$F:$F,$C784,Chicks!$G:$G,$D784,Chicks!$I:$I,"Yes"))</f>
        <v/>
      </c>
      <c r="H784" s="6" t="str">
        <f>IF($C784="","",SUMIFS(Chicks!$J:$J,Chicks!$F:$F,$C784,Chicks!$G:$G,$D784))</f>
        <v/>
      </c>
      <c r="I784" s="6" t="str">
        <f>IF($C784="","",COUNTIFS(Chicks!$F:$F,$C784,Chicks!$G:$G,$D784,Chicks!$I:$I,"No"))</f>
        <v/>
      </c>
      <c r="J784" s="6" t="str">
        <f>IF($C784="","",IFERROR(AVERAGEIFS(Chicks!$M:$M,Chicks!$F:$F,$C784,Chicks!$G:$G,$D784),""))</f>
        <v/>
      </c>
      <c r="K784" s="6" t="str">
        <f>IF($C784="","",SUMIFS(Chicks!$N:$N,Chicks!$F:$F,$C784,Chicks!$G:$G,$D784))</f>
        <v/>
      </c>
      <c r="L784" s="6" t="str">
        <f>IF($C784="","",SUMIFS(Chicks!$O:$O,Chicks!$F:$F,$C784,Chicks!$G:$G,$D784))</f>
        <v/>
      </c>
      <c r="M784" s="6" t="str">
        <f>IF($C784="","",SUMIFS(Chicks!$P:$P,Chicks!$F:$F,$C784,Chicks!$G:$G,$D784))</f>
        <v/>
      </c>
      <c r="N784" s="6" t="str">
        <f t="shared" si="15"/>
        <v/>
      </c>
      <c r="O784" s="6" t="e">
        <f t="shared" ca="1" si="16"/>
        <v>#NAME?</v>
      </c>
      <c r="P784" s="6" t="str">
        <f t="shared" si="17"/>
        <v/>
      </c>
    </row>
    <row r="785" spans="3:16" ht="14.25" customHeight="1" x14ac:dyDescent="0.3">
      <c r="C785" s="6" t="str">
        <f t="shared" si="18"/>
        <v/>
      </c>
      <c r="D785" s="6" t="str">
        <f t="shared" si="19"/>
        <v/>
      </c>
      <c r="F785" s="6" t="str">
        <f>IF($C785="","",COUNTIFS(Chicks!$F:$F,$C785,Chicks!$G:$G,$D785))</f>
        <v/>
      </c>
      <c r="G785" s="6" t="str">
        <f>IF($C785="","",COUNTIFS(Chicks!$F:$F,$C785,Chicks!$G:$G,$D785,Chicks!$I:$I,"Yes"))</f>
        <v/>
      </c>
      <c r="H785" s="6" t="str">
        <f>IF($C785="","",SUMIFS(Chicks!$J:$J,Chicks!$F:$F,$C785,Chicks!$G:$G,$D785))</f>
        <v/>
      </c>
      <c r="I785" s="6" t="str">
        <f>IF($C785="","",COUNTIFS(Chicks!$F:$F,$C785,Chicks!$G:$G,$D785,Chicks!$I:$I,"No"))</f>
        <v/>
      </c>
      <c r="J785" s="6" t="str">
        <f>IF($C785="","",IFERROR(AVERAGEIFS(Chicks!$M:$M,Chicks!$F:$F,$C785,Chicks!$G:$G,$D785),""))</f>
        <v/>
      </c>
      <c r="K785" s="6" t="str">
        <f>IF($C785="","",SUMIFS(Chicks!$N:$N,Chicks!$F:$F,$C785,Chicks!$G:$G,$D785))</f>
        <v/>
      </c>
      <c r="L785" s="6" t="str">
        <f>IF($C785="","",SUMIFS(Chicks!$O:$O,Chicks!$F:$F,$C785,Chicks!$G:$G,$D785))</f>
        <v/>
      </c>
      <c r="M785" s="6" t="str">
        <f>IF($C785="","",SUMIFS(Chicks!$P:$P,Chicks!$F:$F,$C785,Chicks!$G:$G,$D785))</f>
        <v/>
      </c>
      <c r="N785" s="6" t="str">
        <f t="shared" si="15"/>
        <v/>
      </c>
      <c r="O785" s="6" t="e">
        <f t="shared" ca="1" si="16"/>
        <v>#NAME?</v>
      </c>
      <c r="P785" s="6" t="str">
        <f t="shared" si="17"/>
        <v/>
      </c>
    </row>
    <row r="786" spans="3:16" ht="14.25" customHeight="1" x14ac:dyDescent="0.3">
      <c r="C786" s="6" t="str">
        <f t="shared" si="18"/>
        <v/>
      </c>
      <c r="D786" s="6" t="str">
        <f t="shared" si="19"/>
        <v/>
      </c>
      <c r="F786" s="6" t="str">
        <f>IF($C786="","",COUNTIFS(Chicks!$F:$F,$C786,Chicks!$G:$G,$D786))</f>
        <v/>
      </c>
      <c r="G786" s="6" t="str">
        <f>IF($C786="","",COUNTIFS(Chicks!$F:$F,$C786,Chicks!$G:$G,$D786,Chicks!$I:$I,"Yes"))</f>
        <v/>
      </c>
      <c r="H786" s="6" t="str">
        <f>IF($C786="","",SUMIFS(Chicks!$J:$J,Chicks!$F:$F,$C786,Chicks!$G:$G,$D786))</f>
        <v/>
      </c>
      <c r="I786" s="6" t="str">
        <f>IF($C786="","",COUNTIFS(Chicks!$F:$F,$C786,Chicks!$G:$G,$D786,Chicks!$I:$I,"No"))</f>
        <v/>
      </c>
      <c r="J786" s="6" t="str">
        <f>IF($C786="","",IFERROR(AVERAGEIFS(Chicks!$M:$M,Chicks!$F:$F,$C786,Chicks!$G:$G,$D786),""))</f>
        <v/>
      </c>
      <c r="K786" s="6" t="str">
        <f>IF($C786="","",SUMIFS(Chicks!$N:$N,Chicks!$F:$F,$C786,Chicks!$G:$G,$D786))</f>
        <v/>
      </c>
      <c r="L786" s="6" t="str">
        <f>IF($C786="","",SUMIFS(Chicks!$O:$O,Chicks!$F:$F,$C786,Chicks!$G:$G,$D786))</f>
        <v/>
      </c>
      <c r="M786" s="6" t="str">
        <f>IF($C786="","",SUMIFS(Chicks!$P:$P,Chicks!$F:$F,$C786,Chicks!$G:$G,$D786))</f>
        <v/>
      </c>
      <c r="N786" s="6" t="str">
        <f t="shared" si="15"/>
        <v/>
      </c>
      <c r="O786" s="6" t="e">
        <f t="shared" ca="1" si="16"/>
        <v>#NAME?</v>
      </c>
      <c r="P786" s="6" t="str">
        <f t="shared" si="17"/>
        <v/>
      </c>
    </row>
    <row r="787" spans="3:16" ht="14.25" customHeight="1" x14ac:dyDescent="0.3">
      <c r="C787" s="6" t="str">
        <f t="shared" si="18"/>
        <v/>
      </c>
      <c r="D787" s="6" t="str">
        <f t="shared" si="19"/>
        <v/>
      </c>
      <c r="F787" s="6" t="str">
        <f>IF($C787="","",COUNTIFS(Chicks!$F:$F,$C787,Chicks!$G:$G,$D787))</f>
        <v/>
      </c>
      <c r="G787" s="6" t="str">
        <f>IF($C787="","",COUNTIFS(Chicks!$F:$F,$C787,Chicks!$G:$G,$D787,Chicks!$I:$I,"Yes"))</f>
        <v/>
      </c>
      <c r="H787" s="6" t="str">
        <f>IF($C787="","",SUMIFS(Chicks!$J:$J,Chicks!$F:$F,$C787,Chicks!$G:$G,$D787))</f>
        <v/>
      </c>
      <c r="I787" s="6" t="str">
        <f>IF($C787="","",COUNTIFS(Chicks!$F:$F,$C787,Chicks!$G:$G,$D787,Chicks!$I:$I,"No"))</f>
        <v/>
      </c>
      <c r="J787" s="6" t="str">
        <f>IF($C787="","",IFERROR(AVERAGEIFS(Chicks!$M:$M,Chicks!$F:$F,$C787,Chicks!$G:$G,$D787),""))</f>
        <v/>
      </c>
      <c r="K787" s="6" t="str">
        <f>IF($C787="","",SUMIFS(Chicks!$N:$N,Chicks!$F:$F,$C787,Chicks!$G:$G,$D787))</f>
        <v/>
      </c>
      <c r="L787" s="6" t="str">
        <f>IF($C787="","",SUMIFS(Chicks!$O:$O,Chicks!$F:$F,$C787,Chicks!$G:$G,$D787))</f>
        <v/>
      </c>
      <c r="M787" s="6" t="str">
        <f>IF($C787="","",SUMIFS(Chicks!$P:$P,Chicks!$F:$F,$C787,Chicks!$G:$G,$D787))</f>
        <v/>
      </c>
      <c r="N787" s="6" t="str">
        <f t="shared" si="15"/>
        <v/>
      </c>
      <c r="O787" s="6" t="e">
        <f t="shared" ca="1" si="16"/>
        <v>#NAME?</v>
      </c>
      <c r="P787" s="6" t="str">
        <f t="shared" si="17"/>
        <v/>
      </c>
    </row>
    <row r="788" spans="3:16" ht="14.25" customHeight="1" x14ac:dyDescent="0.3">
      <c r="C788" s="6" t="str">
        <f t="shared" si="18"/>
        <v/>
      </c>
      <c r="D788" s="6" t="str">
        <f t="shared" si="19"/>
        <v/>
      </c>
      <c r="F788" s="6" t="str">
        <f>IF($C788="","",COUNTIFS(Chicks!$F:$F,$C788,Chicks!$G:$G,$D788))</f>
        <v/>
      </c>
      <c r="G788" s="6" t="str">
        <f>IF($C788="","",COUNTIFS(Chicks!$F:$F,$C788,Chicks!$G:$G,$D788,Chicks!$I:$I,"Yes"))</f>
        <v/>
      </c>
      <c r="H788" s="6" t="str">
        <f>IF($C788="","",SUMIFS(Chicks!$J:$J,Chicks!$F:$F,$C788,Chicks!$G:$G,$D788))</f>
        <v/>
      </c>
      <c r="I788" s="6" t="str">
        <f>IF($C788="","",COUNTIFS(Chicks!$F:$F,$C788,Chicks!$G:$G,$D788,Chicks!$I:$I,"No"))</f>
        <v/>
      </c>
      <c r="J788" s="6" t="str">
        <f>IF($C788="","",IFERROR(AVERAGEIFS(Chicks!$M:$M,Chicks!$F:$F,$C788,Chicks!$G:$G,$D788),""))</f>
        <v/>
      </c>
      <c r="K788" s="6" t="str">
        <f>IF($C788="","",SUMIFS(Chicks!$N:$N,Chicks!$F:$F,$C788,Chicks!$G:$G,$D788))</f>
        <v/>
      </c>
      <c r="L788" s="6" t="str">
        <f>IF($C788="","",SUMIFS(Chicks!$O:$O,Chicks!$F:$F,$C788,Chicks!$G:$G,$D788))</f>
        <v/>
      </c>
      <c r="M788" s="6" t="str">
        <f>IF($C788="","",SUMIFS(Chicks!$P:$P,Chicks!$F:$F,$C788,Chicks!$G:$G,$D788))</f>
        <v/>
      </c>
      <c r="N788" s="6" t="str">
        <f t="shared" si="15"/>
        <v/>
      </c>
      <c r="O788" s="6" t="e">
        <f t="shared" ca="1" si="16"/>
        <v>#NAME?</v>
      </c>
      <c r="P788" s="6" t="str">
        <f t="shared" si="17"/>
        <v/>
      </c>
    </row>
    <row r="789" spans="3:16" ht="14.25" customHeight="1" x14ac:dyDescent="0.3">
      <c r="C789" s="6" t="str">
        <f t="shared" si="18"/>
        <v/>
      </c>
      <c r="D789" s="6" t="str">
        <f t="shared" si="19"/>
        <v/>
      </c>
      <c r="F789" s="6" t="str">
        <f>IF($C789="","",COUNTIFS(Chicks!$F:$F,$C789,Chicks!$G:$G,$D789))</f>
        <v/>
      </c>
      <c r="G789" s="6" t="str">
        <f>IF($C789="","",COUNTIFS(Chicks!$F:$F,$C789,Chicks!$G:$G,$D789,Chicks!$I:$I,"Yes"))</f>
        <v/>
      </c>
      <c r="H789" s="6" t="str">
        <f>IF($C789="","",SUMIFS(Chicks!$J:$J,Chicks!$F:$F,$C789,Chicks!$G:$G,$D789))</f>
        <v/>
      </c>
      <c r="I789" s="6" t="str">
        <f>IF($C789="","",COUNTIFS(Chicks!$F:$F,$C789,Chicks!$G:$G,$D789,Chicks!$I:$I,"No"))</f>
        <v/>
      </c>
      <c r="J789" s="6" t="str">
        <f>IF($C789="","",IFERROR(AVERAGEIFS(Chicks!$M:$M,Chicks!$F:$F,$C789,Chicks!$G:$G,$D789),""))</f>
        <v/>
      </c>
      <c r="K789" s="6" t="str">
        <f>IF($C789="","",SUMIFS(Chicks!$N:$N,Chicks!$F:$F,$C789,Chicks!$G:$G,$D789))</f>
        <v/>
      </c>
      <c r="L789" s="6" t="str">
        <f>IF($C789="","",SUMIFS(Chicks!$O:$O,Chicks!$F:$F,$C789,Chicks!$G:$G,$D789))</f>
        <v/>
      </c>
      <c r="M789" s="6" t="str">
        <f>IF($C789="","",SUMIFS(Chicks!$P:$P,Chicks!$F:$F,$C789,Chicks!$G:$G,$D789))</f>
        <v/>
      </c>
      <c r="N789" s="6" t="str">
        <f t="shared" si="15"/>
        <v/>
      </c>
      <c r="O789" s="6" t="e">
        <f t="shared" ca="1" si="16"/>
        <v>#NAME?</v>
      </c>
      <c r="P789" s="6" t="str">
        <f t="shared" si="17"/>
        <v/>
      </c>
    </row>
    <row r="790" spans="3:16" ht="14.25" customHeight="1" x14ac:dyDescent="0.3">
      <c r="C790" s="6" t="str">
        <f t="shared" si="18"/>
        <v/>
      </c>
      <c r="D790" s="6" t="str">
        <f t="shared" si="19"/>
        <v/>
      </c>
      <c r="F790" s="6" t="str">
        <f>IF($C790="","",COUNTIFS(Chicks!$F:$F,$C790,Chicks!$G:$G,$D790))</f>
        <v/>
      </c>
      <c r="G790" s="6" t="str">
        <f>IF($C790="","",COUNTIFS(Chicks!$F:$F,$C790,Chicks!$G:$G,$D790,Chicks!$I:$I,"Yes"))</f>
        <v/>
      </c>
      <c r="H790" s="6" t="str">
        <f>IF($C790="","",SUMIFS(Chicks!$J:$J,Chicks!$F:$F,$C790,Chicks!$G:$G,$D790))</f>
        <v/>
      </c>
      <c r="I790" s="6" t="str">
        <f>IF($C790="","",COUNTIFS(Chicks!$F:$F,$C790,Chicks!$G:$G,$D790,Chicks!$I:$I,"No"))</f>
        <v/>
      </c>
      <c r="J790" s="6" t="str">
        <f>IF($C790="","",IFERROR(AVERAGEIFS(Chicks!$M:$M,Chicks!$F:$F,$C790,Chicks!$G:$G,$D790),""))</f>
        <v/>
      </c>
      <c r="K790" s="6" t="str">
        <f>IF($C790="","",SUMIFS(Chicks!$N:$N,Chicks!$F:$F,$C790,Chicks!$G:$G,$D790))</f>
        <v/>
      </c>
      <c r="L790" s="6" t="str">
        <f>IF($C790="","",SUMIFS(Chicks!$O:$O,Chicks!$F:$F,$C790,Chicks!$G:$G,$D790))</f>
        <v/>
      </c>
      <c r="M790" s="6" t="str">
        <f>IF($C790="","",SUMIFS(Chicks!$P:$P,Chicks!$F:$F,$C790,Chicks!$G:$G,$D790))</f>
        <v/>
      </c>
      <c r="N790" s="6" t="str">
        <f t="shared" si="15"/>
        <v/>
      </c>
      <c r="O790" s="6" t="e">
        <f t="shared" ca="1" si="16"/>
        <v>#NAME?</v>
      </c>
      <c r="P790" s="6" t="str">
        <f t="shared" si="17"/>
        <v/>
      </c>
    </row>
    <row r="791" spans="3:16" ht="14.25" customHeight="1" x14ac:dyDescent="0.3">
      <c r="C791" s="6" t="str">
        <f t="shared" si="18"/>
        <v/>
      </c>
      <c r="D791" s="6" t="str">
        <f t="shared" si="19"/>
        <v/>
      </c>
      <c r="F791" s="6" t="str">
        <f>IF($C791="","",COUNTIFS(Chicks!$F:$F,$C791,Chicks!$G:$G,$D791))</f>
        <v/>
      </c>
      <c r="G791" s="6" t="str">
        <f>IF($C791="","",COUNTIFS(Chicks!$F:$F,$C791,Chicks!$G:$G,$D791,Chicks!$I:$I,"Yes"))</f>
        <v/>
      </c>
      <c r="H791" s="6" t="str">
        <f>IF($C791="","",SUMIFS(Chicks!$J:$J,Chicks!$F:$F,$C791,Chicks!$G:$G,$D791))</f>
        <v/>
      </c>
      <c r="I791" s="6" t="str">
        <f>IF($C791="","",COUNTIFS(Chicks!$F:$F,$C791,Chicks!$G:$G,$D791,Chicks!$I:$I,"No"))</f>
        <v/>
      </c>
      <c r="J791" s="6" t="str">
        <f>IF($C791="","",IFERROR(AVERAGEIFS(Chicks!$M:$M,Chicks!$F:$F,$C791,Chicks!$G:$G,$D791),""))</f>
        <v/>
      </c>
      <c r="K791" s="6" t="str">
        <f>IF($C791="","",SUMIFS(Chicks!$N:$N,Chicks!$F:$F,$C791,Chicks!$G:$G,$D791))</f>
        <v/>
      </c>
      <c r="L791" s="6" t="str">
        <f>IF($C791="","",SUMIFS(Chicks!$O:$O,Chicks!$F:$F,$C791,Chicks!$G:$G,$D791))</f>
        <v/>
      </c>
      <c r="M791" s="6" t="str">
        <f>IF($C791="","",SUMIFS(Chicks!$P:$P,Chicks!$F:$F,$C791,Chicks!$G:$G,$D791))</f>
        <v/>
      </c>
      <c r="N791" s="6" t="str">
        <f t="shared" si="15"/>
        <v/>
      </c>
      <c r="O791" s="6" t="e">
        <f t="shared" ca="1" si="16"/>
        <v>#NAME?</v>
      </c>
      <c r="P791" s="6" t="str">
        <f t="shared" si="17"/>
        <v/>
      </c>
    </row>
    <row r="792" spans="3:16" ht="14.25" customHeight="1" x14ac:dyDescent="0.3">
      <c r="C792" s="6" t="str">
        <f t="shared" si="18"/>
        <v/>
      </c>
      <c r="D792" s="6" t="str">
        <f t="shared" si="19"/>
        <v/>
      </c>
      <c r="F792" s="6" t="str">
        <f>IF($C792="","",COUNTIFS(Chicks!$F:$F,$C792,Chicks!$G:$G,$D792))</f>
        <v/>
      </c>
      <c r="G792" s="6" t="str">
        <f>IF($C792="","",COUNTIFS(Chicks!$F:$F,$C792,Chicks!$G:$G,$D792,Chicks!$I:$I,"Yes"))</f>
        <v/>
      </c>
      <c r="H792" s="6" t="str">
        <f>IF($C792="","",SUMIFS(Chicks!$J:$J,Chicks!$F:$F,$C792,Chicks!$G:$G,$D792))</f>
        <v/>
      </c>
      <c r="I792" s="6" t="str">
        <f>IF($C792="","",COUNTIFS(Chicks!$F:$F,$C792,Chicks!$G:$G,$D792,Chicks!$I:$I,"No"))</f>
        <v/>
      </c>
      <c r="J792" s="6" t="str">
        <f>IF($C792="","",IFERROR(AVERAGEIFS(Chicks!$M:$M,Chicks!$F:$F,$C792,Chicks!$G:$G,$D792),""))</f>
        <v/>
      </c>
      <c r="K792" s="6" t="str">
        <f>IF($C792="","",SUMIFS(Chicks!$N:$N,Chicks!$F:$F,$C792,Chicks!$G:$G,$D792))</f>
        <v/>
      </c>
      <c r="L792" s="6" t="str">
        <f>IF($C792="","",SUMIFS(Chicks!$O:$O,Chicks!$F:$F,$C792,Chicks!$G:$G,$D792))</f>
        <v/>
      </c>
      <c r="M792" s="6" t="str">
        <f>IF($C792="","",SUMIFS(Chicks!$P:$P,Chicks!$F:$F,$C792,Chicks!$G:$G,$D792))</f>
        <v/>
      </c>
      <c r="N792" s="6" t="str">
        <f t="shared" si="15"/>
        <v/>
      </c>
      <c r="O792" s="6" t="e">
        <f t="shared" ca="1" si="16"/>
        <v>#NAME?</v>
      </c>
      <c r="P792" s="6" t="str">
        <f t="shared" si="17"/>
        <v/>
      </c>
    </row>
    <row r="793" spans="3:16" ht="14.25" customHeight="1" x14ac:dyDescent="0.3">
      <c r="C793" s="6" t="str">
        <f t="shared" si="18"/>
        <v/>
      </c>
      <c r="D793" s="6" t="str">
        <f t="shared" si="19"/>
        <v/>
      </c>
      <c r="F793" s="6" t="str">
        <f>IF($C793="","",COUNTIFS(Chicks!$F:$F,$C793,Chicks!$G:$G,$D793))</f>
        <v/>
      </c>
      <c r="G793" s="6" t="str">
        <f>IF($C793="","",COUNTIFS(Chicks!$F:$F,$C793,Chicks!$G:$G,$D793,Chicks!$I:$I,"Yes"))</f>
        <v/>
      </c>
      <c r="H793" s="6" t="str">
        <f>IF($C793="","",SUMIFS(Chicks!$J:$J,Chicks!$F:$F,$C793,Chicks!$G:$G,$D793))</f>
        <v/>
      </c>
      <c r="I793" s="6" t="str">
        <f>IF($C793="","",COUNTIFS(Chicks!$F:$F,$C793,Chicks!$G:$G,$D793,Chicks!$I:$I,"No"))</f>
        <v/>
      </c>
      <c r="J793" s="6" t="str">
        <f>IF($C793="","",IFERROR(AVERAGEIFS(Chicks!$M:$M,Chicks!$F:$F,$C793,Chicks!$G:$G,$D793),""))</f>
        <v/>
      </c>
      <c r="K793" s="6" t="str">
        <f>IF($C793="","",SUMIFS(Chicks!$N:$N,Chicks!$F:$F,$C793,Chicks!$G:$G,$D793))</f>
        <v/>
      </c>
      <c r="L793" s="6" t="str">
        <f>IF($C793="","",SUMIFS(Chicks!$O:$O,Chicks!$F:$F,$C793,Chicks!$G:$G,$D793))</f>
        <v/>
      </c>
      <c r="M793" s="6" t="str">
        <f>IF($C793="","",SUMIFS(Chicks!$P:$P,Chicks!$F:$F,$C793,Chicks!$G:$G,$D793))</f>
        <v/>
      </c>
      <c r="N793" s="6" t="str">
        <f t="shared" si="15"/>
        <v/>
      </c>
      <c r="O793" s="6" t="e">
        <f t="shared" ca="1" si="16"/>
        <v>#NAME?</v>
      </c>
      <c r="P793" s="6" t="str">
        <f t="shared" si="17"/>
        <v/>
      </c>
    </row>
    <row r="794" spans="3:16" ht="14.25" customHeight="1" x14ac:dyDescent="0.3">
      <c r="C794" s="6" t="str">
        <f t="shared" si="18"/>
        <v/>
      </c>
      <c r="D794" s="6" t="str">
        <f t="shared" si="19"/>
        <v/>
      </c>
      <c r="F794" s="6" t="str">
        <f>IF($C794="","",COUNTIFS(Chicks!$F:$F,$C794,Chicks!$G:$G,$D794))</f>
        <v/>
      </c>
      <c r="G794" s="6" t="str">
        <f>IF($C794="","",COUNTIFS(Chicks!$F:$F,$C794,Chicks!$G:$G,$D794,Chicks!$I:$I,"Yes"))</f>
        <v/>
      </c>
      <c r="H794" s="6" t="str">
        <f>IF($C794="","",SUMIFS(Chicks!$J:$J,Chicks!$F:$F,$C794,Chicks!$G:$G,$D794))</f>
        <v/>
      </c>
      <c r="I794" s="6" t="str">
        <f>IF($C794="","",COUNTIFS(Chicks!$F:$F,$C794,Chicks!$G:$G,$D794,Chicks!$I:$I,"No"))</f>
        <v/>
      </c>
      <c r="J794" s="6" t="str">
        <f>IF($C794="","",IFERROR(AVERAGEIFS(Chicks!$M:$M,Chicks!$F:$F,$C794,Chicks!$G:$G,$D794),""))</f>
        <v/>
      </c>
      <c r="K794" s="6" t="str">
        <f>IF($C794="","",SUMIFS(Chicks!$N:$N,Chicks!$F:$F,$C794,Chicks!$G:$G,$D794))</f>
        <v/>
      </c>
      <c r="L794" s="6" t="str">
        <f>IF($C794="","",SUMIFS(Chicks!$O:$O,Chicks!$F:$F,$C794,Chicks!$G:$G,$D794))</f>
        <v/>
      </c>
      <c r="M794" s="6" t="str">
        <f>IF($C794="","",SUMIFS(Chicks!$P:$P,Chicks!$F:$F,$C794,Chicks!$G:$G,$D794))</f>
        <v/>
      </c>
      <c r="N794" s="6" t="str">
        <f t="shared" si="15"/>
        <v/>
      </c>
      <c r="O794" s="6" t="e">
        <f t="shared" ca="1" si="16"/>
        <v>#NAME?</v>
      </c>
      <c r="P794" s="6" t="str">
        <f t="shared" si="17"/>
        <v/>
      </c>
    </row>
    <row r="795" spans="3:16" ht="14.25" customHeight="1" x14ac:dyDescent="0.3">
      <c r="C795" s="6" t="str">
        <f t="shared" si="18"/>
        <v/>
      </c>
      <c r="D795" s="6" t="str">
        <f t="shared" si="19"/>
        <v/>
      </c>
      <c r="F795" s="6" t="str">
        <f>IF($C795="","",COUNTIFS(Chicks!$F:$F,$C795,Chicks!$G:$G,$D795))</f>
        <v/>
      </c>
      <c r="G795" s="6" t="str">
        <f>IF($C795="","",COUNTIFS(Chicks!$F:$F,$C795,Chicks!$G:$G,$D795,Chicks!$I:$I,"Yes"))</f>
        <v/>
      </c>
      <c r="H795" s="6" t="str">
        <f>IF($C795="","",SUMIFS(Chicks!$J:$J,Chicks!$F:$F,$C795,Chicks!$G:$G,$D795))</f>
        <v/>
      </c>
      <c r="I795" s="6" t="str">
        <f>IF($C795="","",COUNTIFS(Chicks!$F:$F,$C795,Chicks!$G:$G,$D795,Chicks!$I:$I,"No"))</f>
        <v/>
      </c>
      <c r="J795" s="6" t="str">
        <f>IF($C795="","",IFERROR(AVERAGEIFS(Chicks!$M:$M,Chicks!$F:$F,$C795,Chicks!$G:$G,$D795),""))</f>
        <v/>
      </c>
      <c r="K795" s="6" t="str">
        <f>IF($C795="","",SUMIFS(Chicks!$N:$N,Chicks!$F:$F,$C795,Chicks!$G:$G,$D795))</f>
        <v/>
      </c>
      <c r="L795" s="6" t="str">
        <f>IF($C795="","",SUMIFS(Chicks!$O:$O,Chicks!$F:$F,$C795,Chicks!$G:$G,$D795))</f>
        <v/>
      </c>
      <c r="M795" s="6" t="str">
        <f>IF($C795="","",SUMIFS(Chicks!$P:$P,Chicks!$F:$F,$C795,Chicks!$G:$G,$D795))</f>
        <v/>
      </c>
      <c r="N795" s="6" t="str">
        <f t="shared" si="15"/>
        <v/>
      </c>
      <c r="O795" s="6" t="e">
        <f t="shared" ca="1" si="16"/>
        <v>#NAME?</v>
      </c>
      <c r="P795" s="6" t="str">
        <f t="shared" si="17"/>
        <v/>
      </c>
    </row>
    <row r="796" spans="3:16" ht="14.25" customHeight="1" x14ac:dyDescent="0.3">
      <c r="C796" s="6" t="str">
        <f t="shared" si="18"/>
        <v/>
      </c>
      <c r="D796" s="6" t="str">
        <f t="shared" si="19"/>
        <v/>
      </c>
      <c r="F796" s="6" t="str">
        <f>IF($C796="","",COUNTIFS(Chicks!$F:$F,$C796,Chicks!$G:$G,$D796))</f>
        <v/>
      </c>
      <c r="G796" s="6" t="str">
        <f>IF($C796="","",COUNTIFS(Chicks!$F:$F,$C796,Chicks!$G:$G,$D796,Chicks!$I:$I,"Yes"))</f>
        <v/>
      </c>
      <c r="H796" s="6" t="str">
        <f>IF($C796="","",SUMIFS(Chicks!$J:$J,Chicks!$F:$F,$C796,Chicks!$G:$G,$D796))</f>
        <v/>
      </c>
      <c r="I796" s="6" t="str">
        <f>IF($C796="","",COUNTIFS(Chicks!$F:$F,$C796,Chicks!$G:$G,$D796,Chicks!$I:$I,"No"))</f>
        <v/>
      </c>
      <c r="J796" s="6" t="str">
        <f>IF($C796="","",IFERROR(AVERAGEIFS(Chicks!$M:$M,Chicks!$F:$F,$C796,Chicks!$G:$G,$D796),""))</f>
        <v/>
      </c>
      <c r="K796" s="6" t="str">
        <f>IF($C796="","",SUMIFS(Chicks!$N:$N,Chicks!$F:$F,$C796,Chicks!$G:$G,$D796))</f>
        <v/>
      </c>
      <c r="L796" s="6" t="str">
        <f>IF($C796="","",SUMIFS(Chicks!$O:$O,Chicks!$F:$F,$C796,Chicks!$G:$G,$D796))</f>
        <v/>
      </c>
      <c r="M796" s="6" t="str">
        <f>IF($C796="","",SUMIFS(Chicks!$P:$P,Chicks!$F:$F,$C796,Chicks!$G:$G,$D796))</f>
        <v/>
      </c>
      <c r="N796" s="6" t="str">
        <f t="shared" si="15"/>
        <v/>
      </c>
      <c r="O796" s="6" t="e">
        <f t="shared" ca="1" si="16"/>
        <v>#NAME?</v>
      </c>
      <c r="P796" s="6" t="str">
        <f t="shared" si="17"/>
        <v/>
      </c>
    </row>
    <row r="797" spans="3:16" ht="14.25" customHeight="1" x14ac:dyDescent="0.3">
      <c r="C797" s="6" t="str">
        <f t="shared" si="18"/>
        <v/>
      </c>
      <c r="D797" s="6" t="str">
        <f t="shared" si="19"/>
        <v/>
      </c>
      <c r="F797" s="6" t="str">
        <f>IF($C797="","",COUNTIFS(Chicks!$F:$F,$C797,Chicks!$G:$G,$D797))</f>
        <v/>
      </c>
      <c r="G797" s="6" t="str">
        <f>IF($C797="","",COUNTIFS(Chicks!$F:$F,$C797,Chicks!$G:$G,$D797,Chicks!$I:$I,"Yes"))</f>
        <v/>
      </c>
      <c r="H797" s="6" t="str">
        <f>IF($C797="","",SUMIFS(Chicks!$J:$J,Chicks!$F:$F,$C797,Chicks!$G:$G,$D797))</f>
        <v/>
      </c>
      <c r="I797" s="6" t="str">
        <f>IF($C797="","",COUNTIFS(Chicks!$F:$F,$C797,Chicks!$G:$G,$D797,Chicks!$I:$I,"No"))</f>
        <v/>
      </c>
      <c r="J797" s="6" t="str">
        <f>IF($C797="","",IFERROR(AVERAGEIFS(Chicks!$M:$M,Chicks!$F:$F,$C797,Chicks!$G:$G,$D797),""))</f>
        <v/>
      </c>
      <c r="K797" s="6" t="str">
        <f>IF($C797="","",SUMIFS(Chicks!$N:$N,Chicks!$F:$F,$C797,Chicks!$G:$G,$D797))</f>
        <v/>
      </c>
      <c r="L797" s="6" t="str">
        <f>IF($C797="","",SUMIFS(Chicks!$O:$O,Chicks!$F:$F,$C797,Chicks!$G:$G,$D797))</f>
        <v/>
      </c>
      <c r="M797" s="6" t="str">
        <f>IF($C797="","",SUMIFS(Chicks!$P:$P,Chicks!$F:$F,$C797,Chicks!$G:$G,$D797))</f>
        <v/>
      </c>
      <c r="N797" s="6" t="str">
        <f t="shared" si="15"/>
        <v/>
      </c>
      <c r="O797" s="6" t="e">
        <f t="shared" ca="1" si="16"/>
        <v>#NAME?</v>
      </c>
      <c r="P797" s="6" t="str">
        <f t="shared" si="17"/>
        <v/>
      </c>
    </row>
    <row r="798" spans="3:16" ht="14.25" customHeight="1" x14ac:dyDescent="0.3">
      <c r="C798" s="6" t="str">
        <f t="shared" si="18"/>
        <v/>
      </c>
      <c r="D798" s="6" t="str">
        <f t="shared" si="19"/>
        <v/>
      </c>
      <c r="F798" s="6" t="str">
        <f>IF($C798="","",COUNTIFS(Chicks!$F:$F,$C798,Chicks!$G:$G,$D798))</f>
        <v/>
      </c>
      <c r="G798" s="6" t="str">
        <f>IF($C798="","",COUNTIFS(Chicks!$F:$F,$C798,Chicks!$G:$G,$D798,Chicks!$I:$I,"Yes"))</f>
        <v/>
      </c>
      <c r="H798" s="6" t="str">
        <f>IF($C798="","",SUMIFS(Chicks!$J:$J,Chicks!$F:$F,$C798,Chicks!$G:$G,$D798))</f>
        <v/>
      </c>
      <c r="I798" s="6" t="str">
        <f>IF($C798="","",COUNTIFS(Chicks!$F:$F,$C798,Chicks!$G:$G,$D798,Chicks!$I:$I,"No"))</f>
        <v/>
      </c>
      <c r="J798" s="6" t="str">
        <f>IF($C798="","",IFERROR(AVERAGEIFS(Chicks!$M:$M,Chicks!$F:$F,$C798,Chicks!$G:$G,$D798),""))</f>
        <v/>
      </c>
      <c r="K798" s="6" t="str">
        <f>IF($C798="","",SUMIFS(Chicks!$N:$N,Chicks!$F:$F,$C798,Chicks!$G:$G,$D798))</f>
        <v/>
      </c>
      <c r="L798" s="6" t="str">
        <f>IF($C798="","",SUMIFS(Chicks!$O:$O,Chicks!$F:$F,$C798,Chicks!$G:$G,$D798))</f>
        <v/>
      </c>
      <c r="M798" s="6" t="str">
        <f>IF($C798="","",SUMIFS(Chicks!$P:$P,Chicks!$F:$F,$C798,Chicks!$G:$G,$D798))</f>
        <v/>
      </c>
      <c r="N798" s="6" t="str">
        <f t="shared" si="15"/>
        <v/>
      </c>
      <c r="O798" s="6" t="e">
        <f t="shared" ca="1" si="16"/>
        <v>#NAME?</v>
      </c>
      <c r="P798" s="6" t="str">
        <f t="shared" si="17"/>
        <v/>
      </c>
    </row>
    <row r="799" spans="3:16" ht="14.25" customHeight="1" x14ac:dyDescent="0.3">
      <c r="C799" s="6" t="str">
        <f t="shared" si="18"/>
        <v/>
      </c>
      <c r="D799" s="6" t="str">
        <f t="shared" si="19"/>
        <v/>
      </c>
      <c r="F799" s="6" t="str">
        <f>IF($C799="","",COUNTIFS(Chicks!$F:$F,$C799,Chicks!$G:$G,$D799))</f>
        <v/>
      </c>
      <c r="G799" s="6" t="str">
        <f>IF($C799="","",COUNTIFS(Chicks!$F:$F,$C799,Chicks!$G:$G,$D799,Chicks!$I:$I,"Yes"))</f>
        <v/>
      </c>
      <c r="H799" s="6" t="str">
        <f>IF($C799="","",SUMIFS(Chicks!$J:$J,Chicks!$F:$F,$C799,Chicks!$G:$G,$D799))</f>
        <v/>
      </c>
      <c r="I799" s="6" t="str">
        <f>IF($C799="","",COUNTIFS(Chicks!$F:$F,$C799,Chicks!$G:$G,$D799,Chicks!$I:$I,"No"))</f>
        <v/>
      </c>
      <c r="J799" s="6" t="str">
        <f>IF($C799="","",IFERROR(AVERAGEIFS(Chicks!$M:$M,Chicks!$F:$F,$C799,Chicks!$G:$G,$D799),""))</f>
        <v/>
      </c>
      <c r="K799" s="6" t="str">
        <f>IF($C799="","",SUMIFS(Chicks!$N:$N,Chicks!$F:$F,$C799,Chicks!$G:$G,$D799))</f>
        <v/>
      </c>
      <c r="L799" s="6" t="str">
        <f>IF($C799="","",SUMIFS(Chicks!$O:$O,Chicks!$F:$F,$C799,Chicks!$G:$G,$D799))</f>
        <v/>
      </c>
      <c r="M799" s="6" t="str">
        <f>IF($C799="","",SUMIFS(Chicks!$P:$P,Chicks!$F:$F,$C799,Chicks!$G:$G,$D799))</f>
        <v/>
      </c>
      <c r="N799" s="6" t="str">
        <f t="shared" si="15"/>
        <v/>
      </c>
      <c r="O799" s="6" t="e">
        <f t="shared" ca="1" si="16"/>
        <v>#NAME?</v>
      </c>
      <c r="P799" s="6" t="str">
        <f t="shared" si="17"/>
        <v/>
      </c>
    </row>
    <row r="800" spans="3:16" ht="14.25" customHeight="1" x14ac:dyDescent="0.3">
      <c r="C800" s="6" t="str">
        <f t="shared" si="18"/>
        <v/>
      </c>
      <c r="D800" s="6" t="str">
        <f t="shared" si="19"/>
        <v/>
      </c>
      <c r="F800" s="6" t="str">
        <f>IF($C800="","",COUNTIFS(Chicks!$F:$F,$C800,Chicks!$G:$G,$D800))</f>
        <v/>
      </c>
      <c r="G800" s="6" t="str">
        <f>IF($C800="","",COUNTIFS(Chicks!$F:$F,$C800,Chicks!$G:$G,$D800,Chicks!$I:$I,"Yes"))</f>
        <v/>
      </c>
      <c r="H800" s="6" t="str">
        <f>IF($C800="","",SUMIFS(Chicks!$J:$J,Chicks!$F:$F,$C800,Chicks!$G:$G,$D800))</f>
        <v/>
      </c>
      <c r="I800" s="6" t="str">
        <f>IF($C800="","",COUNTIFS(Chicks!$F:$F,$C800,Chicks!$G:$G,$D800,Chicks!$I:$I,"No"))</f>
        <v/>
      </c>
      <c r="J800" s="6" t="str">
        <f>IF($C800="","",IFERROR(AVERAGEIFS(Chicks!$M:$M,Chicks!$F:$F,$C800,Chicks!$G:$G,$D800),""))</f>
        <v/>
      </c>
      <c r="K800" s="6" t="str">
        <f>IF($C800="","",SUMIFS(Chicks!$N:$N,Chicks!$F:$F,$C800,Chicks!$G:$G,$D800))</f>
        <v/>
      </c>
      <c r="L800" s="6" t="str">
        <f>IF($C800="","",SUMIFS(Chicks!$O:$O,Chicks!$F:$F,$C800,Chicks!$G:$G,$D800))</f>
        <v/>
      </c>
      <c r="M800" s="6" t="str">
        <f>IF($C800="","",SUMIFS(Chicks!$P:$P,Chicks!$F:$F,$C800,Chicks!$G:$G,$D800))</f>
        <v/>
      </c>
      <c r="N800" s="6" t="str">
        <f t="shared" si="15"/>
        <v/>
      </c>
      <c r="O800" s="6" t="e">
        <f t="shared" ca="1" si="16"/>
        <v>#NAME?</v>
      </c>
      <c r="P800" s="6" t="str">
        <f t="shared" si="17"/>
        <v/>
      </c>
    </row>
    <row r="801" spans="3:16" ht="14.25" customHeight="1" x14ac:dyDescent="0.3">
      <c r="C801" s="6" t="str">
        <f t="shared" si="18"/>
        <v/>
      </c>
      <c r="D801" s="6" t="str">
        <f t="shared" si="19"/>
        <v/>
      </c>
      <c r="F801" s="6" t="str">
        <f>IF($C801="","",COUNTIFS(Chicks!$F:$F,$C801,Chicks!$G:$G,$D801))</f>
        <v/>
      </c>
      <c r="G801" s="6" t="str">
        <f>IF($C801="","",COUNTIFS(Chicks!$F:$F,$C801,Chicks!$G:$G,$D801,Chicks!$I:$I,"Yes"))</f>
        <v/>
      </c>
      <c r="H801" s="6" t="str">
        <f>IF($C801="","",SUMIFS(Chicks!$J:$J,Chicks!$F:$F,$C801,Chicks!$G:$G,$D801))</f>
        <v/>
      </c>
      <c r="I801" s="6" t="str">
        <f>IF($C801="","",COUNTIFS(Chicks!$F:$F,$C801,Chicks!$G:$G,$D801,Chicks!$I:$I,"No"))</f>
        <v/>
      </c>
      <c r="J801" s="6" t="str">
        <f>IF($C801="","",IFERROR(AVERAGEIFS(Chicks!$M:$M,Chicks!$F:$F,$C801,Chicks!$G:$G,$D801),""))</f>
        <v/>
      </c>
      <c r="K801" s="6" t="str">
        <f>IF($C801="","",SUMIFS(Chicks!$N:$N,Chicks!$F:$F,$C801,Chicks!$G:$G,$D801))</f>
        <v/>
      </c>
      <c r="L801" s="6" t="str">
        <f>IF($C801="","",SUMIFS(Chicks!$O:$O,Chicks!$F:$F,$C801,Chicks!$G:$G,$D801))</f>
        <v/>
      </c>
      <c r="M801" s="6" t="str">
        <f>IF($C801="","",SUMIFS(Chicks!$P:$P,Chicks!$F:$F,$C801,Chicks!$G:$G,$D801))</f>
        <v/>
      </c>
      <c r="N801" s="6" t="str">
        <f t="shared" si="15"/>
        <v/>
      </c>
      <c r="O801" s="6" t="e">
        <f t="shared" ca="1" si="16"/>
        <v>#NAME?</v>
      </c>
      <c r="P801" s="6" t="str">
        <f t="shared" si="17"/>
        <v/>
      </c>
    </row>
    <row r="802" spans="3:16" ht="14.25" customHeight="1" x14ac:dyDescent="0.3">
      <c r="C802" s="6" t="str">
        <f t="shared" si="18"/>
        <v/>
      </c>
      <c r="D802" s="6" t="str">
        <f t="shared" si="19"/>
        <v/>
      </c>
      <c r="F802" s="6" t="str">
        <f>IF($C802="","",COUNTIFS(Chicks!$F:$F,$C802,Chicks!$G:$G,$D802))</f>
        <v/>
      </c>
      <c r="G802" s="6" t="str">
        <f>IF($C802="","",COUNTIFS(Chicks!$F:$F,$C802,Chicks!$G:$G,$D802,Chicks!$I:$I,"Yes"))</f>
        <v/>
      </c>
      <c r="H802" s="6" t="str">
        <f>IF($C802="","",SUMIFS(Chicks!$J:$J,Chicks!$F:$F,$C802,Chicks!$G:$G,$D802))</f>
        <v/>
      </c>
      <c r="I802" s="6" t="str">
        <f>IF($C802="","",COUNTIFS(Chicks!$F:$F,$C802,Chicks!$G:$G,$D802,Chicks!$I:$I,"No"))</f>
        <v/>
      </c>
      <c r="J802" s="6" t="str">
        <f>IF($C802="","",IFERROR(AVERAGEIFS(Chicks!$M:$M,Chicks!$F:$F,$C802,Chicks!$G:$G,$D802),""))</f>
        <v/>
      </c>
      <c r="K802" s="6" t="str">
        <f>IF($C802="","",SUMIFS(Chicks!$N:$N,Chicks!$F:$F,$C802,Chicks!$G:$G,$D802))</f>
        <v/>
      </c>
      <c r="L802" s="6" t="str">
        <f>IF($C802="","",SUMIFS(Chicks!$O:$O,Chicks!$F:$F,$C802,Chicks!$G:$G,$D802))</f>
        <v/>
      </c>
      <c r="M802" s="6" t="str">
        <f>IF($C802="","",SUMIFS(Chicks!$P:$P,Chicks!$F:$F,$C802,Chicks!$G:$G,$D802))</f>
        <v/>
      </c>
      <c r="N802" s="6" t="str">
        <f t="shared" si="15"/>
        <v/>
      </c>
      <c r="O802" s="6" t="e">
        <f t="shared" ca="1" si="16"/>
        <v>#NAME?</v>
      </c>
      <c r="P802" s="6" t="str">
        <f t="shared" si="17"/>
        <v/>
      </c>
    </row>
    <row r="803" spans="3:16" ht="14.25" customHeight="1" x14ac:dyDescent="0.3">
      <c r="C803" s="6" t="str">
        <f t="shared" si="18"/>
        <v/>
      </c>
      <c r="D803" s="6" t="str">
        <f t="shared" si="19"/>
        <v/>
      </c>
      <c r="F803" s="6" t="str">
        <f>IF($C803="","",COUNTIFS(Chicks!$F:$F,$C803,Chicks!$G:$G,$D803))</f>
        <v/>
      </c>
      <c r="G803" s="6" t="str">
        <f>IF($C803="","",COUNTIFS(Chicks!$F:$F,$C803,Chicks!$G:$G,$D803,Chicks!$I:$I,"Yes"))</f>
        <v/>
      </c>
      <c r="H803" s="6" t="str">
        <f>IF($C803="","",SUMIFS(Chicks!$J:$J,Chicks!$F:$F,$C803,Chicks!$G:$G,$D803))</f>
        <v/>
      </c>
      <c r="I803" s="6" t="str">
        <f>IF($C803="","",COUNTIFS(Chicks!$F:$F,$C803,Chicks!$G:$G,$D803,Chicks!$I:$I,"No"))</f>
        <v/>
      </c>
      <c r="J803" s="6" t="str">
        <f>IF($C803="","",IFERROR(AVERAGEIFS(Chicks!$M:$M,Chicks!$F:$F,$C803,Chicks!$G:$G,$D803),""))</f>
        <v/>
      </c>
      <c r="K803" s="6" t="str">
        <f>IF($C803="","",SUMIFS(Chicks!$N:$N,Chicks!$F:$F,$C803,Chicks!$G:$G,$D803))</f>
        <v/>
      </c>
      <c r="L803" s="6" t="str">
        <f>IF($C803="","",SUMIFS(Chicks!$O:$O,Chicks!$F:$F,$C803,Chicks!$G:$G,$D803))</f>
        <v/>
      </c>
      <c r="M803" s="6" t="str">
        <f>IF($C803="","",SUMIFS(Chicks!$P:$P,Chicks!$F:$F,$C803,Chicks!$G:$G,$D803))</f>
        <v/>
      </c>
      <c r="N803" s="6" t="str">
        <f t="shared" si="15"/>
        <v/>
      </c>
      <c r="O803" s="6" t="e">
        <f t="shared" ca="1" si="16"/>
        <v>#NAME?</v>
      </c>
      <c r="P803" s="6" t="str">
        <f t="shared" si="17"/>
        <v/>
      </c>
    </row>
    <row r="804" spans="3:16" ht="14.25" customHeight="1" x14ac:dyDescent="0.3">
      <c r="C804" s="6" t="str">
        <f t="shared" si="18"/>
        <v/>
      </c>
      <c r="D804" s="6" t="str">
        <f t="shared" si="19"/>
        <v/>
      </c>
      <c r="F804" s="6" t="str">
        <f>IF($C804="","",COUNTIFS(Chicks!$F:$F,$C804,Chicks!$G:$G,$D804))</f>
        <v/>
      </c>
      <c r="G804" s="6" t="str">
        <f>IF($C804="","",COUNTIFS(Chicks!$F:$F,$C804,Chicks!$G:$G,$D804,Chicks!$I:$I,"Yes"))</f>
        <v/>
      </c>
      <c r="H804" s="6" t="str">
        <f>IF($C804="","",SUMIFS(Chicks!$J:$J,Chicks!$F:$F,$C804,Chicks!$G:$G,$D804))</f>
        <v/>
      </c>
      <c r="I804" s="6" t="str">
        <f>IF($C804="","",COUNTIFS(Chicks!$F:$F,$C804,Chicks!$G:$G,$D804,Chicks!$I:$I,"No"))</f>
        <v/>
      </c>
      <c r="J804" s="6" t="str">
        <f>IF($C804="","",IFERROR(AVERAGEIFS(Chicks!$M:$M,Chicks!$F:$F,$C804,Chicks!$G:$G,$D804),""))</f>
        <v/>
      </c>
      <c r="K804" s="6" t="str">
        <f>IF($C804="","",SUMIFS(Chicks!$N:$N,Chicks!$F:$F,$C804,Chicks!$G:$G,$D804))</f>
        <v/>
      </c>
      <c r="L804" s="6" t="str">
        <f>IF($C804="","",SUMIFS(Chicks!$O:$O,Chicks!$F:$F,$C804,Chicks!$G:$G,$D804))</f>
        <v/>
      </c>
      <c r="M804" s="6" t="str">
        <f>IF($C804="","",SUMIFS(Chicks!$P:$P,Chicks!$F:$F,$C804,Chicks!$G:$G,$D804))</f>
        <v/>
      </c>
      <c r="N804" s="6" t="str">
        <f t="shared" si="15"/>
        <v/>
      </c>
      <c r="O804" s="6" t="e">
        <f t="shared" ca="1" si="16"/>
        <v>#NAME?</v>
      </c>
      <c r="P804" s="6" t="str">
        <f t="shared" si="17"/>
        <v/>
      </c>
    </row>
    <row r="805" spans="3:16" ht="14.25" customHeight="1" x14ac:dyDescent="0.3">
      <c r="C805" s="6" t="str">
        <f t="shared" si="18"/>
        <v/>
      </c>
      <c r="D805" s="6" t="str">
        <f t="shared" si="19"/>
        <v/>
      </c>
      <c r="F805" s="6" t="str">
        <f>IF($C805="","",COUNTIFS(Chicks!$F:$F,$C805,Chicks!$G:$G,$D805))</f>
        <v/>
      </c>
      <c r="G805" s="6" t="str">
        <f>IF($C805="","",COUNTIFS(Chicks!$F:$F,$C805,Chicks!$G:$G,$D805,Chicks!$I:$I,"Yes"))</f>
        <v/>
      </c>
      <c r="H805" s="6" t="str">
        <f>IF($C805="","",SUMIFS(Chicks!$J:$J,Chicks!$F:$F,$C805,Chicks!$G:$G,$D805))</f>
        <v/>
      </c>
      <c r="I805" s="6" t="str">
        <f>IF($C805="","",COUNTIFS(Chicks!$F:$F,$C805,Chicks!$G:$G,$D805,Chicks!$I:$I,"No"))</f>
        <v/>
      </c>
      <c r="J805" s="6" t="str">
        <f>IF($C805="","",IFERROR(AVERAGEIFS(Chicks!$M:$M,Chicks!$F:$F,$C805,Chicks!$G:$G,$D805),""))</f>
        <v/>
      </c>
      <c r="K805" s="6" t="str">
        <f>IF($C805="","",SUMIFS(Chicks!$N:$N,Chicks!$F:$F,$C805,Chicks!$G:$G,$D805))</f>
        <v/>
      </c>
      <c r="L805" s="6" t="str">
        <f>IF($C805="","",SUMIFS(Chicks!$O:$O,Chicks!$F:$F,$C805,Chicks!$G:$G,$D805))</f>
        <v/>
      </c>
      <c r="M805" s="6" t="str">
        <f>IF($C805="","",SUMIFS(Chicks!$P:$P,Chicks!$F:$F,$C805,Chicks!$G:$G,$D805))</f>
        <v/>
      </c>
      <c r="N805" s="6" t="str">
        <f t="shared" si="15"/>
        <v/>
      </c>
      <c r="O805" s="6" t="e">
        <f t="shared" ca="1" si="16"/>
        <v>#NAME?</v>
      </c>
      <c r="P805" s="6" t="str">
        <f t="shared" si="17"/>
        <v/>
      </c>
    </row>
    <row r="806" spans="3:16" ht="14.25" customHeight="1" x14ac:dyDescent="0.3">
      <c r="C806" s="6" t="str">
        <f t="shared" si="18"/>
        <v/>
      </c>
      <c r="D806" s="6" t="str">
        <f t="shared" si="19"/>
        <v/>
      </c>
      <c r="F806" s="6" t="str">
        <f>IF($C806="","",COUNTIFS(Chicks!$F:$F,$C806,Chicks!$G:$G,$D806))</f>
        <v/>
      </c>
      <c r="G806" s="6" t="str">
        <f>IF($C806="","",COUNTIFS(Chicks!$F:$F,$C806,Chicks!$G:$G,$D806,Chicks!$I:$I,"Yes"))</f>
        <v/>
      </c>
      <c r="H806" s="6" t="str">
        <f>IF($C806="","",SUMIFS(Chicks!$J:$J,Chicks!$F:$F,$C806,Chicks!$G:$G,$D806))</f>
        <v/>
      </c>
      <c r="I806" s="6" t="str">
        <f>IF($C806="","",COUNTIFS(Chicks!$F:$F,$C806,Chicks!$G:$G,$D806,Chicks!$I:$I,"No"))</f>
        <v/>
      </c>
      <c r="J806" s="6" t="str">
        <f>IF($C806="","",IFERROR(AVERAGEIFS(Chicks!$M:$M,Chicks!$F:$F,$C806,Chicks!$G:$G,$D806),""))</f>
        <v/>
      </c>
      <c r="K806" s="6" t="str">
        <f>IF($C806="","",SUMIFS(Chicks!$N:$N,Chicks!$F:$F,$C806,Chicks!$G:$G,$D806))</f>
        <v/>
      </c>
      <c r="L806" s="6" t="str">
        <f>IF($C806="","",SUMIFS(Chicks!$O:$O,Chicks!$F:$F,$C806,Chicks!$G:$G,$D806))</f>
        <v/>
      </c>
      <c r="M806" s="6" t="str">
        <f>IF($C806="","",SUMIFS(Chicks!$P:$P,Chicks!$F:$F,$C806,Chicks!$G:$G,$D806))</f>
        <v/>
      </c>
      <c r="N806" s="6" t="str">
        <f t="shared" si="15"/>
        <v/>
      </c>
      <c r="O806" s="6" t="e">
        <f t="shared" ca="1" si="16"/>
        <v>#NAME?</v>
      </c>
      <c r="P806" s="6" t="str">
        <f t="shared" si="17"/>
        <v/>
      </c>
    </row>
    <row r="807" spans="3:16" ht="14.25" customHeight="1" x14ac:dyDescent="0.3">
      <c r="C807" s="6" t="str">
        <f t="shared" si="18"/>
        <v/>
      </c>
      <c r="D807" s="6" t="str">
        <f t="shared" si="19"/>
        <v/>
      </c>
      <c r="F807" s="6" t="str">
        <f>IF($C807="","",COUNTIFS(Chicks!$F:$F,$C807,Chicks!$G:$G,$D807))</f>
        <v/>
      </c>
      <c r="G807" s="6" t="str">
        <f>IF($C807="","",COUNTIFS(Chicks!$F:$F,$C807,Chicks!$G:$G,$D807,Chicks!$I:$I,"Yes"))</f>
        <v/>
      </c>
      <c r="H807" s="6" t="str">
        <f>IF($C807="","",SUMIFS(Chicks!$J:$J,Chicks!$F:$F,$C807,Chicks!$G:$G,$D807))</f>
        <v/>
      </c>
      <c r="I807" s="6" t="str">
        <f>IF($C807="","",COUNTIFS(Chicks!$F:$F,$C807,Chicks!$G:$G,$D807,Chicks!$I:$I,"No"))</f>
        <v/>
      </c>
      <c r="J807" s="6" t="str">
        <f>IF($C807="","",IFERROR(AVERAGEIFS(Chicks!$M:$M,Chicks!$F:$F,$C807,Chicks!$G:$G,$D807),""))</f>
        <v/>
      </c>
      <c r="K807" s="6" t="str">
        <f>IF($C807="","",SUMIFS(Chicks!$N:$N,Chicks!$F:$F,$C807,Chicks!$G:$G,$D807))</f>
        <v/>
      </c>
      <c r="L807" s="6" t="str">
        <f>IF($C807="","",SUMIFS(Chicks!$O:$O,Chicks!$F:$F,$C807,Chicks!$G:$G,$D807))</f>
        <v/>
      </c>
      <c r="M807" s="6" t="str">
        <f>IF($C807="","",SUMIFS(Chicks!$P:$P,Chicks!$F:$F,$C807,Chicks!$G:$G,$D807))</f>
        <v/>
      </c>
      <c r="N807" s="6" t="str">
        <f t="shared" si="15"/>
        <v/>
      </c>
      <c r="O807" s="6" t="e">
        <f t="shared" ca="1" si="16"/>
        <v>#NAME?</v>
      </c>
      <c r="P807" s="6" t="str">
        <f t="shared" si="17"/>
        <v/>
      </c>
    </row>
    <row r="808" spans="3:16" ht="14.25" customHeight="1" x14ac:dyDescent="0.3">
      <c r="C808" s="6" t="str">
        <f t="shared" si="18"/>
        <v/>
      </c>
      <c r="D808" s="6" t="str">
        <f t="shared" si="19"/>
        <v/>
      </c>
      <c r="F808" s="6" t="str">
        <f>IF($C808="","",COUNTIFS(Chicks!$F:$F,$C808,Chicks!$G:$G,$D808))</f>
        <v/>
      </c>
      <c r="G808" s="6" t="str">
        <f>IF($C808="","",COUNTIFS(Chicks!$F:$F,$C808,Chicks!$G:$G,$D808,Chicks!$I:$I,"Yes"))</f>
        <v/>
      </c>
      <c r="H808" s="6" t="str">
        <f>IF($C808="","",SUMIFS(Chicks!$J:$J,Chicks!$F:$F,$C808,Chicks!$G:$G,$D808))</f>
        <v/>
      </c>
      <c r="I808" s="6" t="str">
        <f>IF($C808="","",COUNTIFS(Chicks!$F:$F,$C808,Chicks!$G:$G,$D808,Chicks!$I:$I,"No"))</f>
        <v/>
      </c>
      <c r="J808" s="6" t="str">
        <f>IF($C808="","",IFERROR(AVERAGEIFS(Chicks!$M:$M,Chicks!$F:$F,$C808,Chicks!$G:$G,$D808),""))</f>
        <v/>
      </c>
      <c r="K808" s="6" t="str">
        <f>IF($C808="","",SUMIFS(Chicks!$N:$N,Chicks!$F:$F,$C808,Chicks!$G:$G,$D808))</f>
        <v/>
      </c>
      <c r="L808" s="6" t="str">
        <f>IF($C808="","",SUMIFS(Chicks!$O:$O,Chicks!$F:$F,$C808,Chicks!$G:$G,$D808))</f>
        <v/>
      </c>
      <c r="M808" s="6" t="str">
        <f>IF($C808="","",SUMIFS(Chicks!$P:$P,Chicks!$F:$F,$C808,Chicks!$G:$G,$D808))</f>
        <v/>
      </c>
      <c r="N808" s="6" t="str">
        <f t="shared" si="15"/>
        <v/>
      </c>
      <c r="O808" s="6" t="e">
        <f t="shared" ca="1" si="16"/>
        <v>#NAME?</v>
      </c>
      <c r="P808" s="6" t="str">
        <f t="shared" si="17"/>
        <v/>
      </c>
    </row>
    <row r="809" spans="3:16" ht="14.25" customHeight="1" x14ac:dyDescent="0.3">
      <c r="C809" s="6" t="str">
        <f t="shared" si="18"/>
        <v/>
      </c>
      <c r="D809" s="6" t="str">
        <f t="shared" si="19"/>
        <v/>
      </c>
      <c r="F809" s="6" t="str">
        <f>IF($C809="","",COUNTIFS(Chicks!$F:$F,$C809,Chicks!$G:$G,$D809))</f>
        <v/>
      </c>
      <c r="G809" s="6" t="str">
        <f>IF($C809="","",COUNTIFS(Chicks!$F:$F,$C809,Chicks!$G:$G,$D809,Chicks!$I:$I,"Yes"))</f>
        <v/>
      </c>
      <c r="H809" s="6" t="str">
        <f>IF($C809="","",SUMIFS(Chicks!$J:$J,Chicks!$F:$F,$C809,Chicks!$G:$G,$D809))</f>
        <v/>
      </c>
      <c r="I809" s="6" t="str">
        <f>IF($C809="","",COUNTIFS(Chicks!$F:$F,$C809,Chicks!$G:$G,$D809,Chicks!$I:$I,"No"))</f>
        <v/>
      </c>
      <c r="J809" s="6" t="str">
        <f>IF($C809="","",IFERROR(AVERAGEIFS(Chicks!$M:$M,Chicks!$F:$F,$C809,Chicks!$G:$G,$D809),""))</f>
        <v/>
      </c>
      <c r="K809" s="6" t="str">
        <f>IF($C809="","",SUMIFS(Chicks!$N:$N,Chicks!$F:$F,$C809,Chicks!$G:$G,$D809))</f>
        <v/>
      </c>
      <c r="L809" s="6" t="str">
        <f>IF($C809="","",SUMIFS(Chicks!$O:$O,Chicks!$F:$F,$C809,Chicks!$G:$G,$D809))</f>
        <v/>
      </c>
      <c r="M809" s="6" t="str">
        <f>IF($C809="","",SUMIFS(Chicks!$P:$P,Chicks!$F:$F,$C809,Chicks!$G:$G,$D809))</f>
        <v/>
      </c>
      <c r="N809" s="6" t="str">
        <f t="shared" si="15"/>
        <v/>
      </c>
      <c r="O809" s="6" t="e">
        <f t="shared" ca="1" si="16"/>
        <v>#NAME?</v>
      </c>
      <c r="P809" s="6" t="str">
        <f t="shared" si="17"/>
        <v/>
      </c>
    </row>
    <row r="810" spans="3:16" ht="14.25" customHeight="1" x14ac:dyDescent="0.3">
      <c r="C810" s="6" t="str">
        <f t="shared" si="18"/>
        <v/>
      </c>
      <c r="D810" s="6" t="str">
        <f t="shared" si="19"/>
        <v/>
      </c>
      <c r="F810" s="6" t="str">
        <f>IF($C810="","",COUNTIFS(Chicks!$F:$F,$C810,Chicks!$G:$G,$D810))</f>
        <v/>
      </c>
      <c r="G810" s="6" t="str">
        <f>IF($C810="","",COUNTIFS(Chicks!$F:$F,$C810,Chicks!$G:$G,$D810,Chicks!$I:$I,"Yes"))</f>
        <v/>
      </c>
      <c r="H810" s="6" t="str">
        <f>IF($C810="","",SUMIFS(Chicks!$J:$J,Chicks!$F:$F,$C810,Chicks!$G:$G,$D810))</f>
        <v/>
      </c>
      <c r="I810" s="6" t="str">
        <f>IF($C810="","",COUNTIFS(Chicks!$F:$F,$C810,Chicks!$G:$G,$D810,Chicks!$I:$I,"No"))</f>
        <v/>
      </c>
      <c r="J810" s="6" t="str">
        <f>IF($C810="","",IFERROR(AVERAGEIFS(Chicks!$M:$M,Chicks!$F:$F,$C810,Chicks!$G:$G,$D810),""))</f>
        <v/>
      </c>
      <c r="K810" s="6" t="str">
        <f>IF($C810="","",SUMIFS(Chicks!$N:$N,Chicks!$F:$F,$C810,Chicks!$G:$G,$D810))</f>
        <v/>
      </c>
      <c r="L810" s="6" t="str">
        <f>IF($C810="","",SUMIFS(Chicks!$O:$O,Chicks!$F:$F,$C810,Chicks!$G:$G,$D810))</f>
        <v/>
      </c>
      <c r="M810" s="6" t="str">
        <f>IF($C810="","",SUMIFS(Chicks!$P:$P,Chicks!$F:$F,$C810,Chicks!$G:$G,$D810))</f>
        <v/>
      </c>
      <c r="N810" s="6" t="str">
        <f t="shared" si="15"/>
        <v/>
      </c>
      <c r="O810" s="6" t="e">
        <f t="shared" ca="1" si="16"/>
        <v>#NAME?</v>
      </c>
      <c r="P810" s="6" t="str">
        <f t="shared" si="17"/>
        <v/>
      </c>
    </row>
    <row r="811" spans="3:16" ht="14.25" customHeight="1" x14ac:dyDescent="0.3">
      <c r="C811" s="6" t="str">
        <f t="shared" si="18"/>
        <v/>
      </c>
      <c r="D811" s="6" t="str">
        <f t="shared" si="19"/>
        <v/>
      </c>
      <c r="F811" s="6" t="str">
        <f>IF($C811="","",COUNTIFS(Chicks!$F:$F,$C811,Chicks!$G:$G,$D811))</f>
        <v/>
      </c>
      <c r="G811" s="6" t="str">
        <f>IF($C811="","",COUNTIFS(Chicks!$F:$F,$C811,Chicks!$G:$G,$D811,Chicks!$I:$I,"Yes"))</f>
        <v/>
      </c>
      <c r="H811" s="6" t="str">
        <f>IF($C811="","",SUMIFS(Chicks!$J:$J,Chicks!$F:$F,$C811,Chicks!$G:$G,$D811))</f>
        <v/>
      </c>
      <c r="I811" s="6" t="str">
        <f>IF($C811="","",COUNTIFS(Chicks!$F:$F,$C811,Chicks!$G:$G,$D811,Chicks!$I:$I,"No"))</f>
        <v/>
      </c>
      <c r="J811" s="6" t="str">
        <f>IF($C811="","",IFERROR(AVERAGEIFS(Chicks!$M:$M,Chicks!$F:$F,$C811,Chicks!$G:$G,$D811),""))</f>
        <v/>
      </c>
      <c r="K811" s="6" t="str">
        <f>IF($C811="","",SUMIFS(Chicks!$N:$N,Chicks!$F:$F,$C811,Chicks!$G:$G,$D811))</f>
        <v/>
      </c>
      <c r="L811" s="6" t="str">
        <f>IF($C811="","",SUMIFS(Chicks!$O:$O,Chicks!$F:$F,$C811,Chicks!$G:$G,$D811))</f>
        <v/>
      </c>
      <c r="M811" s="6" t="str">
        <f>IF($C811="","",SUMIFS(Chicks!$P:$P,Chicks!$F:$F,$C811,Chicks!$G:$G,$D811))</f>
        <v/>
      </c>
      <c r="N811" s="6" t="str">
        <f t="shared" si="15"/>
        <v/>
      </c>
      <c r="O811" s="6" t="e">
        <f t="shared" ca="1" si="16"/>
        <v>#NAME?</v>
      </c>
      <c r="P811" s="6" t="str">
        <f t="shared" si="17"/>
        <v/>
      </c>
    </row>
    <row r="812" spans="3:16" ht="14.25" customHeight="1" x14ac:dyDescent="0.3">
      <c r="C812" s="6" t="str">
        <f t="shared" si="18"/>
        <v/>
      </c>
      <c r="D812" s="6" t="str">
        <f t="shared" si="19"/>
        <v/>
      </c>
      <c r="F812" s="6" t="str">
        <f>IF($C812="","",COUNTIFS(Chicks!$F:$F,$C812,Chicks!$G:$G,$D812))</f>
        <v/>
      </c>
      <c r="G812" s="6" t="str">
        <f>IF($C812="","",COUNTIFS(Chicks!$F:$F,$C812,Chicks!$G:$G,$D812,Chicks!$I:$I,"Yes"))</f>
        <v/>
      </c>
      <c r="H812" s="6" t="str">
        <f>IF($C812="","",SUMIFS(Chicks!$J:$J,Chicks!$F:$F,$C812,Chicks!$G:$G,$D812))</f>
        <v/>
      </c>
      <c r="I812" s="6" t="str">
        <f>IF($C812="","",COUNTIFS(Chicks!$F:$F,$C812,Chicks!$G:$G,$D812,Chicks!$I:$I,"No"))</f>
        <v/>
      </c>
      <c r="J812" s="6" t="str">
        <f>IF($C812="","",IFERROR(AVERAGEIFS(Chicks!$M:$M,Chicks!$F:$F,$C812,Chicks!$G:$G,$D812),""))</f>
        <v/>
      </c>
      <c r="K812" s="6" t="str">
        <f>IF($C812="","",SUMIFS(Chicks!$N:$N,Chicks!$F:$F,$C812,Chicks!$G:$G,$D812))</f>
        <v/>
      </c>
      <c r="L812" s="6" t="str">
        <f>IF($C812="","",SUMIFS(Chicks!$O:$O,Chicks!$F:$F,$C812,Chicks!$G:$G,$D812))</f>
        <v/>
      </c>
      <c r="M812" s="6" t="str">
        <f>IF($C812="","",SUMIFS(Chicks!$P:$P,Chicks!$F:$F,$C812,Chicks!$G:$G,$D812))</f>
        <v/>
      </c>
      <c r="N812" s="6" t="str">
        <f t="shared" si="15"/>
        <v/>
      </c>
      <c r="O812" s="6" t="e">
        <f t="shared" ca="1" si="16"/>
        <v>#NAME?</v>
      </c>
      <c r="P812" s="6" t="str">
        <f t="shared" si="17"/>
        <v/>
      </c>
    </row>
    <row r="813" spans="3:16" ht="14.25" customHeight="1" x14ac:dyDescent="0.3">
      <c r="C813" s="6" t="str">
        <f t="shared" si="18"/>
        <v/>
      </c>
      <c r="D813" s="6" t="str">
        <f t="shared" si="19"/>
        <v/>
      </c>
      <c r="F813" s="6" t="str">
        <f>IF($C813="","",COUNTIFS(Chicks!$F:$F,$C813,Chicks!$G:$G,$D813))</f>
        <v/>
      </c>
      <c r="G813" s="6" t="str">
        <f>IF($C813="","",COUNTIFS(Chicks!$F:$F,$C813,Chicks!$G:$G,$D813,Chicks!$I:$I,"Yes"))</f>
        <v/>
      </c>
      <c r="H813" s="6" t="str">
        <f>IF($C813="","",SUMIFS(Chicks!$J:$J,Chicks!$F:$F,$C813,Chicks!$G:$G,$D813))</f>
        <v/>
      </c>
      <c r="I813" s="6" t="str">
        <f>IF($C813="","",COUNTIFS(Chicks!$F:$F,$C813,Chicks!$G:$G,$D813,Chicks!$I:$I,"No"))</f>
        <v/>
      </c>
      <c r="J813" s="6" t="str">
        <f>IF($C813="","",IFERROR(AVERAGEIFS(Chicks!$M:$M,Chicks!$F:$F,$C813,Chicks!$G:$G,$D813),""))</f>
        <v/>
      </c>
      <c r="K813" s="6" t="str">
        <f>IF($C813="","",SUMIFS(Chicks!$N:$N,Chicks!$F:$F,$C813,Chicks!$G:$G,$D813))</f>
        <v/>
      </c>
      <c r="L813" s="6" t="str">
        <f>IF($C813="","",SUMIFS(Chicks!$O:$O,Chicks!$F:$F,$C813,Chicks!$G:$G,$D813))</f>
        <v/>
      </c>
      <c r="M813" s="6" t="str">
        <f>IF($C813="","",SUMIFS(Chicks!$P:$P,Chicks!$F:$F,$C813,Chicks!$G:$G,$D813))</f>
        <v/>
      </c>
      <c r="N813" s="6" t="str">
        <f t="shared" si="15"/>
        <v/>
      </c>
      <c r="O813" s="6" t="e">
        <f t="shared" ca="1" si="16"/>
        <v>#NAME?</v>
      </c>
      <c r="P813" s="6" t="str">
        <f t="shared" si="17"/>
        <v/>
      </c>
    </row>
    <row r="814" spans="3:16" ht="14.25" customHeight="1" x14ac:dyDescent="0.3">
      <c r="C814" s="6" t="str">
        <f t="shared" si="18"/>
        <v/>
      </c>
      <c r="D814" s="6" t="str">
        <f t="shared" si="19"/>
        <v/>
      </c>
      <c r="F814" s="6" t="str">
        <f>IF($C814="","",COUNTIFS(Chicks!$F:$F,$C814,Chicks!$G:$G,$D814))</f>
        <v/>
      </c>
      <c r="G814" s="6" t="str">
        <f>IF($C814="","",COUNTIFS(Chicks!$F:$F,$C814,Chicks!$G:$G,$D814,Chicks!$I:$I,"Yes"))</f>
        <v/>
      </c>
      <c r="H814" s="6" t="str">
        <f>IF($C814="","",SUMIFS(Chicks!$J:$J,Chicks!$F:$F,$C814,Chicks!$G:$G,$D814))</f>
        <v/>
      </c>
      <c r="I814" s="6" t="str">
        <f>IF($C814="","",COUNTIFS(Chicks!$F:$F,$C814,Chicks!$G:$G,$D814,Chicks!$I:$I,"No"))</f>
        <v/>
      </c>
      <c r="J814" s="6" t="str">
        <f>IF($C814="","",IFERROR(AVERAGEIFS(Chicks!$M:$M,Chicks!$F:$F,$C814,Chicks!$G:$G,$D814),""))</f>
        <v/>
      </c>
      <c r="K814" s="6" t="str">
        <f>IF($C814="","",SUMIFS(Chicks!$N:$N,Chicks!$F:$F,$C814,Chicks!$G:$G,$D814))</f>
        <v/>
      </c>
      <c r="L814" s="6" t="str">
        <f>IF($C814="","",SUMIFS(Chicks!$O:$O,Chicks!$F:$F,$C814,Chicks!$G:$G,$D814))</f>
        <v/>
      </c>
      <c r="M814" s="6" t="str">
        <f>IF($C814="","",SUMIFS(Chicks!$P:$P,Chicks!$F:$F,$C814,Chicks!$G:$G,$D814))</f>
        <v/>
      </c>
      <c r="N814" s="6" t="str">
        <f t="shared" si="15"/>
        <v/>
      </c>
      <c r="O814" s="6" t="e">
        <f t="shared" ca="1" si="16"/>
        <v>#NAME?</v>
      </c>
      <c r="P814" s="6" t="str">
        <f t="shared" si="17"/>
        <v/>
      </c>
    </row>
    <row r="815" spans="3:16" ht="14.25" customHeight="1" x14ac:dyDescent="0.3">
      <c r="C815" s="6" t="str">
        <f t="shared" si="18"/>
        <v/>
      </c>
      <c r="D815" s="6" t="str">
        <f t="shared" si="19"/>
        <v/>
      </c>
      <c r="F815" s="6" t="str">
        <f>IF($C815="","",COUNTIFS(Chicks!$F:$F,$C815,Chicks!$G:$G,$D815))</f>
        <v/>
      </c>
      <c r="G815" s="6" t="str">
        <f>IF($C815="","",COUNTIFS(Chicks!$F:$F,$C815,Chicks!$G:$G,$D815,Chicks!$I:$I,"Yes"))</f>
        <v/>
      </c>
      <c r="H815" s="6" t="str">
        <f>IF($C815="","",SUMIFS(Chicks!$J:$J,Chicks!$F:$F,$C815,Chicks!$G:$G,$D815))</f>
        <v/>
      </c>
      <c r="I815" s="6" t="str">
        <f>IF($C815="","",COUNTIFS(Chicks!$F:$F,$C815,Chicks!$G:$G,$D815,Chicks!$I:$I,"No"))</f>
        <v/>
      </c>
      <c r="J815" s="6" t="str">
        <f>IF($C815="","",IFERROR(AVERAGEIFS(Chicks!$M:$M,Chicks!$F:$F,$C815,Chicks!$G:$G,$D815),""))</f>
        <v/>
      </c>
      <c r="K815" s="6" t="str">
        <f>IF($C815="","",SUMIFS(Chicks!$N:$N,Chicks!$F:$F,$C815,Chicks!$G:$G,$D815))</f>
        <v/>
      </c>
      <c r="L815" s="6" t="str">
        <f>IF($C815="","",SUMIFS(Chicks!$O:$O,Chicks!$F:$F,$C815,Chicks!$G:$G,$D815))</f>
        <v/>
      </c>
      <c r="M815" s="6" t="str">
        <f>IF($C815="","",SUMIFS(Chicks!$P:$P,Chicks!$F:$F,$C815,Chicks!$G:$G,$D815))</f>
        <v/>
      </c>
      <c r="N815" s="6" t="str">
        <f t="shared" si="15"/>
        <v/>
      </c>
      <c r="O815" s="6" t="e">
        <f t="shared" ca="1" si="16"/>
        <v>#NAME?</v>
      </c>
      <c r="P815" s="6" t="str">
        <f t="shared" si="17"/>
        <v/>
      </c>
    </row>
    <row r="816" spans="3:16" ht="14.25" customHeight="1" x14ac:dyDescent="0.3">
      <c r="C816" s="6" t="str">
        <f t="shared" si="18"/>
        <v/>
      </c>
      <c r="D816" s="6" t="str">
        <f t="shared" si="19"/>
        <v/>
      </c>
      <c r="F816" s="6" t="str">
        <f>IF($C816="","",COUNTIFS(Chicks!$F:$F,$C816,Chicks!$G:$G,$D816))</f>
        <v/>
      </c>
      <c r="G816" s="6" t="str">
        <f>IF($C816="","",COUNTIFS(Chicks!$F:$F,$C816,Chicks!$G:$G,$D816,Chicks!$I:$I,"Yes"))</f>
        <v/>
      </c>
      <c r="H816" s="6" t="str">
        <f>IF($C816="","",SUMIFS(Chicks!$J:$J,Chicks!$F:$F,$C816,Chicks!$G:$G,$D816))</f>
        <v/>
      </c>
      <c r="I816" s="6" t="str">
        <f>IF($C816="","",COUNTIFS(Chicks!$F:$F,$C816,Chicks!$G:$G,$D816,Chicks!$I:$I,"No"))</f>
        <v/>
      </c>
      <c r="J816" s="6" t="str">
        <f>IF($C816="","",IFERROR(AVERAGEIFS(Chicks!$M:$M,Chicks!$F:$F,$C816,Chicks!$G:$G,$D816),""))</f>
        <v/>
      </c>
      <c r="K816" s="6" t="str">
        <f>IF($C816="","",SUMIFS(Chicks!$N:$N,Chicks!$F:$F,$C816,Chicks!$G:$G,$D816))</f>
        <v/>
      </c>
      <c r="L816" s="6" t="str">
        <f>IF($C816="","",SUMIFS(Chicks!$O:$O,Chicks!$F:$F,$C816,Chicks!$G:$G,$D816))</f>
        <v/>
      </c>
      <c r="M816" s="6" t="str">
        <f>IF($C816="","",SUMIFS(Chicks!$P:$P,Chicks!$F:$F,$C816,Chicks!$G:$G,$D816))</f>
        <v/>
      </c>
      <c r="N816" s="6" t="str">
        <f t="shared" si="15"/>
        <v/>
      </c>
      <c r="O816" s="6" t="e">
        <f t="shared" ca="1" si="16"/>
        <v>#NAME?</v>
      </c>
      <c r="P816" s="6" t="str">
        <f t="shared" si="17"/>
        <v/>
      </c>
    </row>
    <row r="817" spans="3:16" ht="14.25" customHeight="1" x14ac:dyDescent="0.3">
      <c r="C817" s="6" t="str">
        <f t="shared" si="18"/>
        <v/>
      </c>
      <c r="D817" s="6" t="str">
        <f t="shared" si="19"/>
        <v/>
      </c>
      <c r="F817" s="6" t="str">
        <f>IF($C817="","",COUNTIFS(Chicks!$F:$F,$C817,Chicks!$G:$G,$D817))</f>
        <v/>
      </c>
      <c r="G817" s="6" t="str">
        <f>IF($C817="","",COUNTIFS(Chicks!$F:$F,$C817,Chicks!$G:$G,$D817,Chicks!$I:$I,"Yes"))</f>
        <v/>
      </c>
      <c r="H817" s="6" t="str">
        <f>IF($C817="","",SUMIFS(Chicks!$J:$J,Chicks!$F:$F,$C817,Chicks!$G:$G,$D817))</f>
        <v/>
      </c>
      <c r="I817" s="6" t="str">
        <f>IF($C817="","",COUNTIFS(Chicks!$F:$F,$C817,Chicks!$G:$G,$D817,Chicks!$I:$I,"No"))</f>
        <v/>
      </c>
      <c r="J817" s="6" t="str">
        <f>IF($C817="","",IFERROR(AVERAGEIFS(Chicks!$M:$M,Chicks!$F:$F,$C817,Chicks!$G:$G,$D817),""))</f>
        <v/>
      </c>
      <c r="K817" s="6" t="str">
        <f>IF($C817="","",SUMIFS(Chicks!$N:$N,Chicks!$F:$F,$C817,Chicks!$G:$G,$D817))</f>
        <v/>
      </c>
      <c r="L817" s="6" t="str">
        <f>IF($C817="","",SUMIFS(Chicks!$O:$O,Chicks!$F:$F,$C817,Chicks!$G:$G,$D817))</f>
        <v/>
      </c>
      <c r="M817" s="6" t="str">
        <f>IF($C817="","",SUMIFS(Chicks!$P:$P,Chicks!$F:$F,$C817,Chicks!$G:$G,$D817))</f>
        <v/>
      </c>
      <c r="N817" s="6" t="str">
        <f t="shared" si="15"/>
        <v/>
      </c>
      <c r="O817" s="6" t="e">
        <f t="shared" ca="1" si="16"/>
        <v>#NAME?</v>
      </c>
      <c r="P817" s="6" t="str">
        <f t="shared" si="17"/>
        <v/>
      </c>
    </row>
    <row r="818" spans="3:16" ht="14.25" customHeight="1" x14ac:dyDescent="0.3">
      <c r="C818" s="6" t="str">
        <f t="shared" si="18"/>
        <v/>
      </c>
      <c r="D818" s="6" t="str">
        <f t="shared" si="19"/>
        <v/>
      </c>
      <c r="F818" s="6" t="str">
        <f>IF($C818="","",COUNTIFS(Chicks!$F:$F,$C818,Chicks!$G:$G,$D818))</f>
        <v/>
      </c>
      <c r="G818" s="6" t="str">
        <f>IF($C818="","",COUNTIFS(Chicks!$F:$F,$C818,Chicks!$G:$G,$D818,Chicks!$I:$I,"Yes"))</f>
        <v/>
      </c>
      <c r="H818" s="6" t="str">
        <f>IF($C818="","",SUMIFS(Chicks!$J:$J,Chicks!$F:$F,$C818,Chicks!$G:$G,$D818))</f>
        <v/>
      </c>
      <c r="I818" s="6" t="str">
        <f>IF($C818="","",COUNTIFS(Chicks!$F:$F,$C818,Chicks!$G:$G,$D818,Chicks!$I:$I,"No"))</f>
        <v/>
      </c>
      <c r="J818" s="6" t="str">
        <f>IF($C818="","",IFERROR(AVERAGEIFS(Chicks!$M:$M,Chicks!$F:$F,$C818,Chicks!$G:$G,$D818),""))</f>
        <v/>
      </c>
      <c r="K818" s="6" t="str">
        <f>IF($C818="","",SUMIFS(Chicks!$N:$N,Chicks!$F:$F,$C818,Chicks!$G:$G,$D818))</f>
        <v/>
      </c>
      <c r="L818" s="6" t="str">
        <f>IF($C818="","",SUMIFS(Chicks!$O:$O,Chicks!$F:$F,$C818,Chicks!$G:$G,$D818))</f>
        <v/>
      </c>
      <c r="M818" s="6" t="str">
        <f>IF($C818="","",SUMIFS(Chicks!$P:$P,Chicks!$F:$F,$C818,Chicks!$G:$G,$D818))</f>
        <v/>
      </c>
      <c r="N818" s="6" t="str">
        <f t="shared" si="15"/>
        <v/>
      </c>
      <c r="O818" s="6" t="e">
        <f t="shared" ca="1" si="16"/>
        <v>#NAME?</v>
      </c>
      <c r="P818" s="6" t="str">
        <f t="shared" si="17"/>
        <v/>
      </c>
    </row>
    <row r="819" spans="3:16" ht="14.25" customHeight="1" x14ac:dyDescent="0.3">
      <c r="C819" s="6" t="str">
        <f t="shared" si="18"/>
        <v/>
      </c>
      <c r="D819" s="6" t="str">
        <f t="shared" si="19"/>
        <v/>
      </c>
      <c r="F819" s="6" t="str">
        <f>IF($C819="","",COUNTIFS(Chicks!$F:$F,$C819,Chicks!$G:$G,$D819))</f>
        <v/>
      </c>
      <c r="G819" s="6" t="str">
        <f>IF($C819="","",COUNTIFS(Chicks!$F:$F,$C819,Chicks!$G:$G,$D819,Chicks!$I:$I,"Yes"))</f>
        <v/>
      </c>
      <c r="H819" s="6" t="str">
        <f>IF($C819="","",SUMIFS(Chicks!$J:$J,Chicks!$F:$F,$C819,Chicks!$G:$G,$D819))</f>
        <v/>
      </c>
      <c r="I819" s="6" t="str">
        <f>IF($C819="","",COUNTIFS(Chicks!$F:$F,$C819,Chicks!$G:$G,$D819,Chicks!$I:$I,"No"))</f>
        <v/>
      </c>
      <c r="J819" s="6" t="str">
        <f>IF($C819="","",IFERROR(AVERAGEIFS(Chicks!$M:$M,Chicks!$F:$F,$C819,Chicks!$G:$G,$D819),""))</f>
        <v/>
      </c>
      <c r="K819" s="6" t="str">
        <f>IF($C819="","",SUMIFS(Chicks!$N:$N,Chicks!$F:$F,$C819,Chicks!$G:$G,$D819))</f>
        <v/>
      </c>
      <c r="L819" s="6" t="str">
        <f>IF($C819="","",SUMIFS(Chicks!$O:$O,Chicks!$F:$F,$C819,Chicks!$G:$G,$D819))</f>
        <v/>
      </c>
      <c r="M819" s="6" t="str">
        <f>IF($C819="","",SUMIFS(Chicks!$P:$P,Chicks!$F:$F,$C819,Chicks!$G:$G,$D819))</f>
        <v/>
      </c>
      <c r="N819" s="6" t="str">
        <f t="shared" si="15"/>
        <v/>
      </c>
      <c r="O819" s="6" t="e">
        <f t="shared" ca="1" si="16"/>
        <v>#NAME?</v>
      </c>
      <c r="P819" s="6" t="str">
        <f t="shared" si="17"/>
        <v/>
      </c>
    </row>
    <row r="820" spans="3:16" ht="14.25" customHeight="1" x14ac:dyDescent="0.3">
      <c r="C820" s="6" t="str">
        <f t="shared" si="18"/>
        <v/>
      </c>
      <c r="D820" s="6" t="str">
        <f t="shared" si="19"/>
        <v/>
      </c>
      <c r="F820" s="6" t="str">
        <f>IF($C820="","",COUNTIFS(Chicks!$F:$F,$C820,Chicks!$G:$G,$D820))</f>
        <v/>
      </c>
      <c r="G820" s="6" t="str">
        <f>IF($C820="","",COUNTIFS(Chicks!$F:$F,$C820,Chicks!$G:$G,$D820,Chicks!$I:$I,"Yes"))</f>
        <v/>
      </c>
      <c r="H820" s="6" t="str">
        <f>IF($C820="","",SUMIFS(Chicks!$J:$J,Chicks!$F:$F,$C820,Chicks!$G:$G,$D820))</f>
        <v/>
      </c>
      <c r="I820" s="6" t="str">
        <f>IF($C820="","",COUNTIFS(Chicks!$F:$F,$C820,Chicks!$G:$G,$D820,Chicks!$I:$I,"No"))</f>
        <v/>
      </c>
      <c r="J820" s="6" t="str">
        <f>IF($C820="","",IFERROR(AVERAGEIFS(Chicks!$M:$M,Chicks!$F:$F,$C820,Chicks!$G:$G,$D820),""))</f>
        <v/>
      </c>
      <c r="K820" s="6" t="str">
        <f>IF($C820="","",SUMIFS(Chicks!$N:$N,Chicks!$F:$F,$C820,Chicks!$G:$G,$D820))</f>
        <v/>
      </c>
      <c r="L820" s="6" t="str">
        <f>IF($C820="","",SUMIFS(Chicks!$O:$O,Chicks!$F:$F,$C820,Chicks!$G:$G,$D820))</f>
        <v/>
      </c>
      <c r="M820" s="6" t="str">
        <f>IF($C820="","",SUMIFS(Chicks!$P:$P,Chicks!$F:$F,$C820,Chicks!$G:$G,$D820))</f>
        <v/>
      </c>
      <c r="N820" s="6" t="str">
        <f t="shared" si="15"/>
        <v/>
      </c>
      <c r="O820" s="6" t="e">
        <f t="shared" ca="1" si="16"/>
        <v>#NAME?</v>
      </c>
      <c r="P820" s="6" t="str">
        <f t="shared" si="17"/>
        <v/>
      </c>
    </row>
    <row r="821" spans="3:16" ht="14.25" customHeight="1" x14ac:dyDescent="0.3">
      <c r="C821" s="6" t="str">
        <f t="shared" si="18"/>
        <v/>
      </c>
      <c r="D821" s="6" t="str">
        <f t="shared" si="19"/>
        <v/>
      </c>
      <c r="F821" s="6" t="str">
        <f>IF($C821="","",COUNTIFS(Chicks!$F:$F,$C821,Chicks!$G:$G,$D821))</f>
        <v/>
      </c>
      <c r="G821" s="6" t="str">
        <f>IF($C821="","",COUNTIFS(Chicks!$F:$F,$C821,Chicks!$G:$G,$D821,Chicks!$I:$I,"Yes"))</f>
        <v/>
      </c>
      <c r="H821" s="6" t="str">
        <f>IF($C821="","",SUMIFS(Chicks!$J:$J,Chicks!$F:$F,$C821,Chicks!$G:$G,$D821))</f>
        <v/>
      </c>
      <c r="I821" s="6" t="str">
        <f>IF($C821="","",COUNTIFS(Chicks!$F:$F,$C821,Chicks!$G:$G,$D821,Chicks!$I:$I,"No"))</f>
        <v/>
      </c>
      <c r="J821" s="6" t="str">
        <f>IF($C821="","",IFERROR(AVERAGEIFS(Chicks!$M:$M,Chicks!$F:$F,$C821,Chicks!$G:$G,$D821),""))</f>
        <v/>
      </c>
      <c r="K821" s="6" t="str">
        <f>IF($C821="","",SUMIFS(Chicks!$N:$N,Chicks!$F:$F,$C821,Chicks!$G:$G,$D821))</f>
        <v/>
      </c>
      <c r="L821" s="6" t="str">
        <f>IF($C821="","",SUMIFS(Chicks!$O:$O,Chicks!$F:$F,$C821,Chicks!$G:$G,$D821))</f>
        <v/>
      </c>
      <c r="M821" s="6" t="str">
        <f>IF($C821="","",SUMIFS(Chicks!$P:$P,Chicks!$F:$F,$C821,Chicks!$G:$G,$D821))</f>
        <v/>
      </c>
      <c r="N821" s="6" t="str">
        <f t="shared" si="15"/>
        <v/>
      </c>
      <c r="O821" s="6" t="e">
        <f t="shared" ca="1" si="16"/>
        <v>#NAME?</v>
      </c>
      <c r="P821" s="6" t="str">
        <f t="shared" si="17"/>
        <v/>
      </c>
    </row>
    <row r="822" spans="3:16" ht="14.25" customHeight="1" x14ac:dyDescent="0.3">
      <c r="C822" s="6" t="str">
        <f t="shared" si="18"/>
        <v/>
      </c>
      <c r="D822" s="6" t="str">
        <f t="shared" si="19"/>
        <v/>
      </c>
      <c r="F822" s="6" t="str">
        <f>IF($C822="","",COUNTIFS(Chicks!$F:$F,$C822,Chicks!$G:$G,$D822))</f>
        <v/>
      </c>
      <c r="G822" s="6" t="str">
        <f>IF($C822="","",COUNTIFS(Chicks!$F:$F,$C822,Chicks!$G:$G,$D822,Chicks!$I:$I,"Yes"))</f>
        <v/>
      </c>
      <c r="H822" s="6" t="str">
        <f>IF($C822="","",SUMIFS(Chicks!$J:$J,Chicks!$F:$F,$C822,Chicks!$G:$G,$D822))</f>
        <v/>
      </c>
      <c r="I822" s="6" t="str">
        <f>IF($C822="","",COUNTIFS(Chicks!$F:$F,$C822,Chicks!$G:$G,$D822,Chicks!$I:$I,"No"))</f>
        <v/>
      </c>
      <c r="J822" s="6" t="str">
        <f>IF($C822="","",IFERROR(AVERAGEIFS(Chicks!$M:$M,Chicks!$F:$F,$C822,Chicks!$G:$G,$D822),""))</f>
        <v/>
      </c>
      <c r="K822" s="6" t="str">
        <f>IF($C822="","",SUMIFS(Chicks!$N:$N,Chicks!$F:$F,$C822,Chicks!$G:$G,$D822))</f>
        <v/>
      </c>
      <c r="L822" s="6" t="str">
        <f>IF($C822="","",SUMIFS(Chicks!$O:$O,Chicks!$F:$F,$C822,Chicks!$G:$G,$D822))</f>
        <v/>
      </c>
      <c r="M822" s="6" t="str">
        <f>IF($C822="","",SUMIFS(Chicks!$P:$P,Chicks!$F:$F,$C822,Chicks!$G:$G,$D822))</f>
        <v/>
      </c>
      <c r="N822" s="6" t="str">
        <f t="shared" si="15"/>
        <v/>
      </c>
      <c r="O822" s="6" t="e">
        <f t="shared" ca="1" si="16"/>
        <v>#NAME?</v>
      </c>
      <c r="P822" s="6" t="str">
        <f t="shared" si="17"/>
        <v/>
      </c>
    </row>
    <row r="823" spans="3:16" ht="14.25" customHeight="1" x14ac:dyDescent="0.3">
      <c r="C823" s="6" t="str">
        <f t="shared" si="18"/>
        <v/>
      </c>
      <c r="D823" s="6" t="str">
        <f t="shared" si="19"/>
        <v/>
      </c>
      <c r="F823" s="6" t="str">
        <f>IF($C823="","",COUNTIFS(Chicks!$F:$F,$C823,Chicks!$G:$G,$D823))</f>
        <v/>
      </c>
      <c r="G823" s="6" t="str">
        <f>IF($C823="","",COUNTIFS(Chicks!$F:$F,$C823,Chicks!$G:$G,$D823,Chicks!$I:$I,"Yes"))</f>
        <v/>
      </c>
      <c r="H823" s="6" t="str">
        <f>IF($C823="","",SUMIFS(Chicks!$J:$J,Chicks!$F:$F,$C823,Chicks!$G:$G,$D823))</f>
        <v/>
      </c>
      <c r="I823" s="6" t="str">
        <f>IF($C823="","",COUNTIFS(Chicks!$F:$F,$C823,Chicks!$G:$G,$D823,Chicks!$I:$I,"No"))</f>
        <v/>
      </c>
      <c r="J823" s="6" t="str">
        <f>IF($C823="","",IFERROR(AVERAGEIFS(Chicks!$M:$M,Chicks!$F:$F,$C823,Chicks!$G:$G,$D823),""))</f>
        <v/>
      </c>
      <c r="K823" s="6" t="str">
        <f>IF($C823="","",SUMIFS(Chicks!$N:$N,Chicks!$F:$F,$C823,Chicks!$G:$G,$D823))</f>
        <v/>
      </c>
      <c r="L823" s="6" t="str">
        <f>IF($C823="","",SUMIFS(Chicks!$O:$O,Chicks!$F:$F,$C823,Chicks!$G:$G,$D823))</f>
        <v/>
      </c>
      <c r="M823" s="6" t="str">
        <f>IF($C823="","",SUMIFS(Chicks!$P:$P,Chicks!$F:$F,$C823,Chicks!$G:$G,$D823))</f>
        <v/>
      </c>
      <c r="N823" s="6" t="str">
        <f t="shared" si="15"/>
        <v/>
      </c>
      <c r="O823" s="6" t="e">
        <f t="shared" ca="1" si="16"/>
        <v>#NAME?</v>
      </c>
      <c r="P823" s="6" t="str">
        <f t="shared" si="17"/>
        <v/>
      </c>
    </row>
    <row r="824" spans="3:16" ht="14.25" customHeight="1" x14ac:dyDescent="0.3">
      <c r="C824" s="6" t="str">
        <f t="shared" si="18"/>
        <v/>
      </c>
      <c r="D824" s="6" t="str">
        <f t="shared" si="19"/>
        <v/>
      </c>
      <c r="F824" s="6" t="str">
        <f>IF($C824="","",COUNTIFS(Chicks!$F:$F,$C824,Chicks!$G:$G,$D824))</f>
        <v/>
      </c>
      <c r="G824" s="6" t="str">
        <f>IF($C824="","",COUNTIFS(Chicks!$F:$F,$C824,Chicks!$G:$G,$D824,Chicks!$I:$I,"Yes"))</f>
        <v/>
      </c>
      <c r="H824" s="6" t="str">
        <f>IF($C824="","",SUMIFS(Chicks!$J:$J,Chicks!$F:$F,$C824,Chicks!$G:$G,$D824))</f>
        <v/>
      </c>
      <c r="I824" s="6" t="str">
        <f>IF($C824="","",COUNTIFS(Chicks!$F:$F,$C824,Chicks!$G:$G,$D824,Chicks!$I:$I,"No"))</f>
        <v/>
      </c>
      <c r="J824" s="6" t="str">
        <f>IF($C824="","",IFERROR(AVERAGEIFS(Chicks!$M:$M,Chicks!$F:$F,$C824,Chicks!$G:$G,$D824),""))</f>
        <v/>
      </c>
      <c r="K824" s="6" t="str">
        <f>IF($C824="","",SUMIFS(Chicks!$N:$N,Chicks!$F:$F,$C824,Chicks!$G:$G,$D824))</f>
        <v/>
      </c>
      <c r="L824" s="6" t="str">
        <f>IF($C824="","",SUMIFS(Chicks!$O:$O,Chicks!$F:$F,$C824,Chicks!$G:$G,$D824))</f>
        <v/>
      </c>
      <c r="M824" s="6" t="str">
        <f>IF($C824="","",SUMIFS(Chicks!$P:$P,Chicks!$F:$F,$C824,Chicks!$G:$G,$D824))</f>
        <v/>
      </c>
      <c r="N824" s="6" t="str">
        <f t="shared" si="15"/>
        <v/>
      </c>
      <c r="O824" s="6" t="e">
        <f t="shared" ca="1" si="16"/>
        <v>#NAME?</v>
      </c>
      <c r="P824" s="6" t="str">
        <f t="shared" si="17"/>
        <v/>
      </c>
    </row>
    <row r="825" spans="3:16" ht="14.25" customHeight="1" x14ac:dyDescent="0.3">
      <c r="C825" s="6" t="str">
        <f t="shared" si="18"/>
        <v/>
      </c>
      <c r="D825" s="6" t="str">
        <f t="shared" si="19"/>
        <v/>
      </c>
      <c r="F825" s="6" t="str">
        <f>IF($C825="","",COUNTIFS(Chicks!$F:$F,$C825,Chicks!$G:$G,$D825))</f>
        <v/>
      </c>
      <c r="G825" s="6" t="str">
        <f>IF($C825="","",COUNTIFS(Chicks!$F:$F,$C825,Chicks!$G:$G,$D825,Chicks!$I:$I,"Yes"))</f>
        <v/>
      </c>
      <c r="H825" s="6" t="str">
        <f>IF($C825="","",SUMIFS(Chicks!$J:$J,Chicks!$F:$F,$C825,Chicks!$G:$G,$D825))</f>
        <v/>
      </c>
      <c r="I825" s="6" t="str">
        <f>IF($C825="","",COUNTIFS(Chicks!$F:$F,$C825,Chicks!$G:$G,$D825,Chicks!$I:$I,"No"))</f>
        <v/>
      </c>
      <c r="J825" s="6" t="str">
        <f>IF($C825="","",IFERROR(AVERAGEIFS(Chicks!$M:$M,Chicks!$F:$F,$C825,Chicks!$G:$G,$D825),""))</f>
        <v/>
      </c>
      <c r="K825" s="6" t="str">
        <f>IF($C825="","",SUMIFS(Chicks!$N:$N,Chicks!$F:$F,$C825,Chicks!$G:$G,$D825))</f>
        <v/>
      </c>
      <c r="L825" s="6" t="str">
        <f>IF($C825="","",SUMIFS(Chicks!$O:$O,Chicks!$F:$F,$C825,Chicks!$G:$G,$D825))</f>
        <v/>
      </c>
      <c r="M825" s="6" t="str">
        <f>IF($C825="","",SUMIFS(Chicks!$P:$P,Chicks!$F:$F,$C825,Chicks!$G:$G,$D825))</f>
        <v/>
      </c>
      <c r="N825" s="6" t="str">
        <f t="shared" si="15"/>
        <v/>
      </c>
      <c r="O825" s="6" t="e">
        <f t="shared" ca="1" si="16"/>
        <v>#NAME?</v>
      </c>
      <c r="P825" s="6" t="str">
        <f t="shared" si="17"/>
        <v/>
      </c>
    </row>
    <row r="826" spans="3:16" ht="14.25" customHeight="1" x14ac:dyDescent="0.3">
      <c r="C826" s="6" t="str">
        <f t="shared" si="18"/>
        <v/>
      </c>
      <c r="D826" s="6" t="str">
        <f t="shared" si="19"/>
        <v/>
      </c>
      <c r="F826" s="6" t="str">
        <f>IF($C826="","",COUNTIFS(Chicks!$F:$F,$C826,Chicks!$G:$G,$D826))</f>
        <v/>
      </c>
      <c r="G826" s="6" t="str">
        <f>IF($C826="","",COUNTIFS(Chicks!$F:$F,$C826,Chicks!$G:$G,$D826,Chicks!$I:$I,"Yes"))</f>
        <v/>
      </c>
      <c r="H826" s="6" t="str">
        <f>IF($C826="","",SUMIFS(Chicks!$J:$J,Chicks!$F:$F,$C826,Chicks!$G:$G,$D826))</f>
        <v/>
      </c>
      <c r="I826" s="6" t="str">
        <f>IF($C826="","",COUNTIFS(Chicks!$F:$F,$C826,Chicks!$G:$G,$D826,Chicks!$I:$I,"No"))</f>
        <v/>
      </c>
      <c r="J826" s="6" t="str">
        <f>IF($C826="","",IFERROR(AVERAGEIFS(Chicks!$M:$M,Chicks!$F:$F,$C826,Chicks!$G:$G,$D826),""))</f>
        <v/>
      </c>
      <c r="K826" s="6" t="str">
        <f>IF($C826="","",SUMIFS(Chicks!$N:$N,Chicks!$F:$F,$C826,Chicks!$G:$G,$D826))</f>
        <v/>
      </c>
      <c r="L826" s="6" t="str">
        <f>IF($C826="","",SUMIFS(Chicks!$O:$O,Chicks!$F:$F,$C826,Chicks!$G:$G,$D826))</f>
        <v/>
      </c>
      <c r="M826" s="6" t="str">
        <f>IF($C826="","",SUMIFS(Chicks!$P:$P,Chicks!$F:$F,$C826,Chicks!$G:$G,$D826))</f>
        <v/>
      </c>
      <c r="N826" s="6" t="str">
        <f t="shared" si="15"/>
        <v/>
      </c>
      <c r="O826" s="6" t="e">
        <f t="shared" ca="1" si="16"/>
        <v>#NAME?</v>
      </c>
      <c r="P826" s="6" t="str">
        <f t="shared" si="17"/>
        <v/>
      </c>
    </row>
    <row r="827" spans="3:16" ht="14.25" customHeight="1" x14ac:dyDescent="0.3">
      <c r="C827" s="6" t="str">
        <f t="shared" si="18"/>
        <v/>
      </c>
      <c r="D827" s="6" t="str">
        <f t="shared" si="19"/>
        <v/>
      </c>
      <c r="F827" s="6" t="str">
        <f>IF($C827="","",COUNTIFS(Chicks!$F:$F,$C827,Chicks!$G:$G,$D827))</f>
        <v/>
      </c>
      <c r="G827" s="6" t="str">
        <f>IF($C827="","",COUNTIFS(Chicks!$F:$F,$C827,Chicks!$G:$G,$D827,Chicks!$I:$I,"Yes"))</f>
        <v/>
      </c>
      <c r="H827" s="6" t="str">
        <f>IF($C827="","",SUMIFS(Chicks!$J:$J,Chicks!$F:$F,$C827,Chicks!$G:$G,$D827))</f>
        <v/>
      </c>
      <c r="I827" s="6" t="str">
        <f>IF($C827="","",COUNTIFS(Chicks!$F:$F,$C827,Chicks!$G:$G,$D827,Chicks!$I:$I,"No"))</f>
        <v/>
      </c>
      <c r="J827" s="6" t="str">
        <f>IF($C827="","",IFERROR(AVERAGEIFS(Chicks!$M:$M,Chicks!$F:$F,$C827,Chicks!$G:$G,$D827),""))</f>
        <v/>
      </c>
      <c r="K827" s="6" t="str">
        <f>IF($C827="","",SUMIFS(Chicks!$N:$N,Chicks!$F:$F,$C827,Chicks!$G:$G,$D827))</f>
        <v/>
      </c>
      <c r="L827" s="6" t="str">
        <f>IF($C827="","",SUMIFS(Chicks!$O:$O,Chicks!$F:$F,$C827,Chicks!$G:$G,$D827))</f>
        <v/>
      </c>
      <c r="M827" s="6" t="str">
        <f>IF($C827="","",SUMIFS(Chicks!$P:$P,Chicks!$F:$F,$C827,Chicks!$G:$G,$D827))</f>
        <v/>
      </c>
      <c r="N827" s="6" t="str">
        <f t="shared" si="15"/>
        <v/>
      </c>
      <c r="O827" s="6" t="e">
        <f t="shared" ca="1" si="16"/>
        <v>#NAME?</v>
      </c>
      <c r="P827" s="6" t="str">
        <f t="shared" si="17"/>
        <v/>
      </c>
    </row>
    <row r="828" spans="3:16" ht="14.25" customHeight="1" x14ac:dyDescent="0.3">
      <c r="C828" s="6" t="str">
        <f t="shared" si="18"/>
        <v/>
      </c>
      <c r="D828" s="6" t="str">
        <f t="shared" si="19"/>
        <v/>
      </c>
      <c r="F828" s="6" t="str">
        <f>IF($C828="","",COUNTIFS(Chicks!$F:$F,$C828,Chicks!$G:$G,$D828))</f>
        <v/>
      </c>
      <c r="G828" s="6" t="str">
        <f>IF($C828="","",COUNTIFS(Chicks!$F:$F,$C828,Chicks!$G:$G,$D828,Chicks!$I:$I,"Yes"))</f>
        <v/>
      </c>
      <c r="H828" s="6" t="str">
        <f>IF($C828="","",SUMIFS(Chicks!$J:$J,Chicks!$F:$F,$C828,Chicks!$G:$G,$D828))</f>
        <v/>
      </c>
      <c r="I828" s="6" t="str">
        <f>IF($C828="","",COUNTIFS(Chicks!$F:$F,$C828,Chicks!$G:$G,$D828,Chicks!$I:$I,"No"))</f>
        <v/>
      </c>
      <c r="J828" s="6" t="str">
        <f>IF($C828="","",IFERROR(AVERAGEIFS(Chicks!$M:$M,Chicks!$F:$F,$C828,Chicks!$G:$G,$D828),""))</f>
        <v/>
      </c>
      <c r="K828" s="6" t="str">
        <f>IF($C828="","",SUMIFS(Chicks!$N:$N,Chicks!$F:$F,$C828,Chicks!$G:$G,$D828))</f>
        <v/>
      </c>
      <c r="L828" s="6" t="str">
        <f>IF($C828="","",SUMIFS(Chicks!$O:$O,Chicks!$F:$F,$C828,Chicks!$G:$G,$D828))</f>
        <v/>
      </c>
      <c r="M828" s="6" t="str">
        <f>IF($C828="","",SUMIFS(Chicks!$P:$P,Chicks!$F:$F,$C828,Chicks!$G:$G,$D828))</f>
        <v/>
      </c>
      <c r="N828" s="6" t="str">
        <f t="shared" si="15"/>
        <v/>
      </c>
      <c r="O828" s="6" t="e">
        <f t="shared" ca="1" si="16"/>
        <v>#NAME?</v>
      </c>
      <c r="P828" s="6" t="str">
        <f t="shared" si="17"/>
        <v/>
      </c>
    </row>
    <row r="829" spans="3:16" ht="14.25" customHeight="1" x14ac:dyDescent="0.3">
      <c r="C829" s="6" t="str">
        <f t="shared" si="18"/>
        <v/>
      </c>
      <c r="D829" s="6" t="str">
        <f t="shared" si="19"/>
        <v/>
      </c>
      <c r="F829" s="6" t="str">
        <f>IF($C829="","",COUNTIFS(Chicks!$F:$F,$C829,Chicks!$G:$G,$D829))</f>
        <v/>
      </c>
      <c r="G829" s="6" t="str">
        <f>IF($C829="","",COUNTIFS(Chicks!$F:$F,$C829,Chicks!$G:$G,$D829,Chicks!$I:$I,"Yes"))</f>
        <v/>
      </c>
      <c r="H829" s="6" t="str">
        <f>IF($C829="","",SUMIFS(Chicks!$J:$J,Chicks!$F:$F,$C829,Chicks!$G:$G,$D829))</f>
        <v/>
      </c>
      <c r="I829" s="6" t="str">
        <f>IF($C829="","",COUNTIFS(Chicks!$F:$F,$C829,Chicks!$G:$G,$D829,Chicks!$I:$I,"No"))</f>
        <v/>
      </c>
      <c r="J829" s="6" t="str">
        <f>IF($C829="","",IFERROR(AVERAGEIFS(Chicks!$M:$M,Chicks!$F:$F,$C829,Chicks!$G:$G,$D829),""))</f>
        <v/>
      </c>
      <c r="K829" s="6" t="str">
        <f>IF($C829="","",SUMIFS(Chicks!$N:$N,Chicks!$F:$F,$C829,Chicks!$G:$G,$D829))</f>
        <v/>
      </c>
      <c r="L829" s="6" t="str">
        <f>IF($C829="","",SUMIFS(Chicks!$O:$O,Chicks!$F:$F,$C829,Chicks!$G:$G,$D829))</f>
        <v/>
      </c>
      <c r="M829" s="6" t="str">
        <f>IF($C829="","",SUMIFS(Chicks!$P:$P,Chicks!$F:$F,$C829,Chicks!$G:$G,$D829))</f>
        <v/>
      </c>
      <c r="N829" s="6" t="str">
        <f t="shared" si="15"/>
        <v/>
      </c>
      <c r="O829" s="6" t="e">
        <f t="shared" ca="1" si="16"/>
        <v>#NAME?</v>
      </c>
      <c r="P829" s="6" t="str">
        <f t="shared" si="17"/>
        <v/>
      </c>
    </row>
    <row r="830" spans="3:16" ht="14.25" customHeight="1" x14ac:dyDescent="0.3">
      <c r="C830" s="6" t="str">
        <f t="shared" si="18"/>
        <v/>
      </c>
      <c r="D830" s="6" t="str">
        <f t="shared" si="19"/>
        <v/>
      </c>
      <c r="F830" s="6" t="str">
        <f>IF($C830="","",COUNTIFS(Chicks!$F:$F,$C830,Chicks!$G:$G,$D830))</f>
        <v/>
      </c>
      <c r="G830" s="6" t="str">
        <f>IF($C830="","",COUNTIFS(Chicks!$F:$F,$C830,Chicks!$G:$G,$D830,Chicks!$I:$I,"Yes"))</f>
        <v/>
      </c>
      <c r="H830" s="6" t="str">
        <f>IF($C830="","",SUMIFS(Chicks!$J:$J,Chicks!$F:$F,$C830,Chicks!$G:$G,$D830))</f>
        <v/>
      </c>
      <c r="I830" s="6" t="str">
        <f>IF($C830="","",COUNTIFS(Chicks!$F:$F,$C830,Chicks!$G:$G,$D830,Chicks!$I:$I,"No"))</f>
        <v/>
      </c>
      <c r="J830" s="6" t="str">
        <f>IF($C830="","",IFERROR(AVERAGEIFS(Chicks!$M:$M,Chicks!$F:$F,$C830,Chicks!$G:$G,$D830),""))</f>
        <v/>
      </c>
      <c r="K830" s="6" t="str">
        <f>IF($C830="","",SUMIFS(Chicks!$N:$N,Chicks!$F:$F,$C830,Chicks!$G:$G,$D830))</f>
        <v/>
      </c>
      <c r="L830" s="6" t="str">
        <f>IF($C830="","",SUMIFS(Chicks!$O:$O,Chicks!$F:$F,$C830,Chicks!$G:$G,$D830))</f>
        <v/>
      </c>
      <c r="M830" s="6" t="str">
        <f>IF($C830="","",SUMIFS(Chicks!$P:$P,Chicks!$F:$F,$C830,Chicks!$G:$G,$D830))</f>
        <v/>
      </c>
      <c r="N830" s="6" t="str">
        <f t="shared" si="15"/>
        <v/>
      </c>
      <c r="O830" s="6" t="e">
        <f t="shared" ca="1" si="16"/>
        <v>#NAME?</v>
      </c>
      <c r="P830" s="6" t="str">
        <f t="shared" si="17"/>
        <v/>
      </c>
    </row>
    <row r="831" spans="3:16" ht="14.25" customHeight="1" x14ac:dyDescent="0.3">
      <c r="C831" s="6" t="str">
        <f t="shared" si="18"/>
        <v/>
      </c>
      <c r="D831" s="6" t="str">
        <f t="shared" si="19"/>
        <v/>
      </c>
      <c r="F831" s="6" t="str">
        <f>IF($C831="","",COUNTIFS(Chicks!$F:$F,$C831,Chicks!$G:$G,$D831))</f>
        <v/>
      </c>
      <c r="G831" s="6" t="str">
        <f>IF($C831="","",COUNTIFS(Chicks!$F:$F,$C831,Chicks!$G:$G,$D831,Chicks!$I:$I,"Yes"))</f>
        <v/>
      </c>
      <c r="H831" s="6" t="str">
        <f>IF($C831="","",SUMIFS(Chicks!$J:$J,Chicks!$F:$F,$C831,Chicks!$G:$G,$D831))</f>
        <v/>
      </c>
      <c r="I831" s="6" t="str">
        <f>IF($C831="","",COUNTIFS(Chicks!$F:$F,$C831,Chicks!$G:$G,$D831,Chicks!$I:$I,"No"))</f>
        <v/>
      </c>
      <c r="J831" s="6" t="str">
        <f>IF($C831="","",IFERROR(AVERAGEIFS(Chicks!$M:$M,Chicks!$F:$F,$C831,Chicks!$G:$G,$D831),""))</f>
        <v/>
      </c>
      <c r="K831" s="6" t="str">
        <f>IF($C831="","",SUMIFS(Chicks!$N:$N,Chicks!$F:$F,$C831,Chicks!$G:$G,$D831))</f>
        <v/>
      </c>
      <c r="L831" s="6" t="str">
        <f>IF($C831="","",SUMIFS(Chicks!$O:$O,Chicks!$F:$F,$C831,Chicks!$G:$G,$D831))</f>
        <v/>
      </c>
      <c r="M831" s="6" t="str">
        <f>IF($C831="","",SUMIFS(Chicks!$P:$P,Chicks!$F:$F,$C831,Chicks!$G:$G,$D831))</f>
        <v/>
      </c>
      <c r="N831" s="6" t="str">
        <f t="shared" si="15"/>
        <v/>
      </c>
      <c r="O831" s="6" t="e">
        <f t="shared" ca="1" si="16"/>
        <v>#NAME?</v>
      </c>
      <c r="P831" s="6" t="str">
        <f t="shared" si="17"/>
        <v/>
      </c>
    </row>
    <row r="832" spans="3:16" ht="14.25" customHeight="1" x14ac:dyDescent="0.3">
      <c r="C832" s="6" t="str">
        <f t="shared" si="18"/>
        <v/>
      </c>
      <c r="D832" s="6" t="str">
        <f t="shared" si="19"/>
        <v/>
      </c>
      <c r="F832" s="6" t="str">
        <f>IF($C832="","",COUNTIFS(Chicks!$F:$F,$C832,Chicks!$G:$G,$D832))</f>
        <v/>
      </c>
      <c r="G832" s="6" t="str">
        <f>IF($C832="","",COUNTIFS(Chicks!$F:$F,$C832,Chicks!$G:$G,$D832,Chicks!$I:$I,"Yes"))</f>
        <v/>
      </c>
      <c r="H832" s="6" t="str">
        <f>IF($C832="","",SUMIFS(Chicks!$J:$J,Chicks!$F:$F,$C832,Chicks!$G:$G,$D832))</f>
        <v/>
      </c>
      <c r="I832" s="6" t="str">
        <f>IF($C832="","",COUNTIFS(Chicks!$F:$F,$C832,Chicks!$G:$G,$D832,Chicks!$I:$I,"No"))</f>
        <v/>
      </c>
      <c r="J832" s="6" t="str">
        <f>IF($C832="","",IFERROR(AVERAGEIFS(Chicks!$M:$M,Chicks!$F:$F,$C832,Chicks!$G:$G,$D832),""))</f>
        <v/>
      </c>
      <c r="K832" s="6" t="str">
        <f>IF($C832="","",SUMIFS(Chicks!$N:$N,Chicks!$F:$F,$C832,Chicks!$G:$G,$D832))</f>
        <v/>
      </c>
      <c r="L832" s="6" t="str">
        <f>IF($C832="","",SUMIFS(Chicks!$O:$O,Chicks!$F:$F,$C832,Chicks!$G:$G,$D832))</f>
        <v/>
      </c>
      <c r="M832" s="6" t="str">
        <f>IF($C832="","",SUMIFS(Chicks!$P:$P,Chicks!$F:$F,$C832,Chicks!$G:$G,$D832))</f>
        <v/>
      </c>
      <c r="N832" s="6" t="str">
        <f t="shared" si="15"/>
        <v/>
      </c>
      <c r="O832" s="6" t="e">
        <f t="shared" ca="1" si="16"/>
        <v>#NAME?</v>
      </c>
      <c r="P832" s="6" t="str">
        <f t="shared" si="17"/>
        <v/>
      </c>
    </row>
    <row r="833" spans="3:16" ht="14.25" customHeight="1" x14ac:dyDescent="0.3">
      <c r="C833" s="6" t="str">
        <f t="shared" si="18"/>
        <v/>
      </c>
      <c r="D833" s="6" t="str">
        <f t="shared" si="19"/>
        <v/>
      </c>
      <c r="F833" s="6" t="str">
        <f>IF($C833="","",COUNTIFS(Chicks!$F:$F,$C833,Chicks!$G:$G,$D833))</f>
        <v/>
      </c>
      <c r="G833" s="6" t="str">
        <f>IF($C833="","",COUNTIFS(Chicks!$F:$F,$C833,Chicks!$G:$G,$D833,Chicks!$I:$I,"Yes"))</f>
        <v/>
      </c>
      <c r="H833" s="6" t="str">
        <f>IF($C833="","",SUMIFS(Chicks!$J:$J,Chicks!$F:$F,$C833,Chicks!$G:$G,$D833))</f>
        <v/>
      </c>
      <c r="I833" s="6" t="str">
        <f>IF($C833="","",COUNTIFS(Chicks!$F:$F,$C833,Chicks!$G:$G,$D833,Chicks!$I:$I,"No"))</f>
        <v/>
      </c>
      <c r="J833" s="6" t="str">
        <f>IF($C833="","",IFERROR(AVERAGEIFS(Chicks!$M:$M,Chicks!$F:$F,$C833,Chicks!$G:$G,$D833),""))</f>
        <v/>
      </c>
      <c r="K833" s="6" t="str">
        <f>IF($C833="","",SUMIFS(Chicks!$N:$N,Chicks!$F:$F,$C833,Chicks!$G:$G,$D833))</f>
        <v/>
      </c>
      <c r="L833" s="6" t="str">
        <f>IF($C833="","",SUMIFS(Chicks!$O:$O,Chicks!$F:$F,$C833,Chicks!$G:$G,$D833))</f>
        <v/>
      </c>
      <c r="M833" s="6" t="str">
        <f>IF($C833="","",SUMIFS(Chicks!$P:$P,Chicks!$F:$F,$C833,Chicks!$G:$G,$D833))</f>
        <v/>
      </c>
      <c r="N833" s="6" t="str">
        <f t="shared" si="15"/>
        <v/>
      </c>
      <c r="O833" s="6" t="e">
        <f t="shared" ca="1" si="16"/>
        <v>#NAME?</v>
      </c>
      <c r="P833" s="6" t="str">
        <f t="shared" si="17"/>
        <v/>
      </c>
    </row>
    <row r="834" spans="3:16" ht="14.25" customHeight="1" x14ac:dyDescent="0.3">
      <c r="C834" s="6" t="str">
        <f t="shared" si="18"/>
        <v/>
      </c>
      <c r="D834" s="6" t="str">
        <f t="shared" si="19"/>
        <v/>
      </c>
      <c r="F834" s="6" t="str">
        <f>IF($C834="","",COUNTIFS(Chicks!$F:$F,$C834,Chicks!$G:$G,$D834))</f>
        <v/>
      </c>
      <c r="G834" s="6" t="str">
        <f>IF($C834="","",COUNTIFS(Chicks!$F:$F,$C834,Chicks!$G:$G,$D834,Chicks!$I:$I,"Yes"))</f>
        <v/>
      </c>
      <c r="H834" s="6" t="str">
        <f>IF($C834="","",SUMIFS(Chicks!$J:$J,Chicks!$F:$F,$C834,Chicks!$G:$G,$D834))</f>
        <v/>
      </c>
      <c r="I834" s="6" t="str">
        <f>IF($C834="","",COUNTIFS(Chicks!$F:$F,$C834,Chicks!$G:$G,$D834,Chicks!$I:$I,"No"))</f>
        <v/>
      </c>
      <c r="J834" s="6" t="str">
        <f>IF($C834="","",IFERROR(AVERAGEIFS(Chicks!$M:$M,Chicks!$F:$F,$C834,Chicks!$G:$G,$D834),""))</f>
        <v/>
      </c>
      <c r="K834" s="6" t="str">
        <f>IF($C834="","",SUMIFS(Chicks!$N:$N,Chicks!$F:$F,$C834,Chicks!$G:$G,$D834))</f>
        <v/>
      </c>
      <c r="L834" s="6" t="str">
        <f>IF($C834="","",SUMIFS(Chicks!$O:$O,Chicks!$F:$F,$C834,Chicks!$G:$G,$D834))</f>
        <v/>
      </c>
      <c r="M834" s="6" t="str">
        <f>IF($C834="","",SUMIFS(Chicks!$P:$P,Chicks!$F:$F,$C834,Chicks!$G:$G,$D834))</f>
        <v/>
      </c>
      <c r="N834" s="6" t="str">
        <f t="shared" si="15"/>
        <v/>
      </c>
      <c r="O834" s="6" t="e">
        <f t="shared" ca="1" si="16"/>
        <v>#NAME?</v>
      </c>
      <c r="P834" s="6" t="str">
        <f t="shared" si="17"/>
        <v/>
      </c>
    </row>
    <row r="835" spans="3:16" ht="14.25" customHeight="1" x14ac:dyDescent="0.3">
      <c r="C835" s="6" t="str">
        <f t="shared" si="18"/>
        <v/>
      </c>
      <c r="D835" s="6" t="str">
        <f t="shared" si="19"/>
        <v/>
      </c>
      <c r="F835" s="6" t="str">
        <f>IF($C835="","",COUNTIFS(Chicks!$F:$F,$C835,Chicks!$G:$G,$D835))</f>
        <v/>
      </c>
      <c r="G835" s="6" t="str">
        <f>IF($C835="","",COUNTIFS(Chicks!$F:$F,$C835,Chicks!$G:$G,$D835,Chicks!$I:$I,"Yes"))</f>
        <v/>
      </c>
      <c r="H835" s="6" t="str">
        <f>IF($C835="","",SUMIFS(Chicks!$J:$J,Chicks!$F:$F,$C835,Chicks!$G:$G,$D835))</f>
        <v/>
      </c>
      <c r="I835" s="6" t="str">
        <f>IF($C835="","",COUNTIFS(Chicks!$F:$F,$C835,Chicks!$G:$G,$D835,Chicks!$I:$I,"No"))</f>
        <v/>
      </c>
      <c r="J835" s="6" t="str">
        <f>IF($C835="","",IFERROR(AVERAGEIFS(Chicks!$M:$M,Chicks!$F:$F,$C835,Chicks!$G:$G,$D835),""))</f>
        <v/>
      </c>
      <c r="K835" s="6" t="str">
        <f>IF($C835="","",SUMIFS(Chicks!$N:$N,Chicks!$F:$F,$C835,Chicks!$G:$G,$D835))</f>
        <v/>
      </c>
      <c r="L835" s="6" t="str">
        <f>IF($C835="","",SUMIFS(Chicks!$O:$O,Chicks!$F:$F,$C835,Chicks!$G:$G,$D835))</f>
        <v/>
      </c>
      <c r="M835" s="6" t="str">
        <f>IF($C835="","",SUMIFS(Chicks!$P:$P,Chicks!$F:$F,$C835,Chicks!$G:$G,$D835))</f>
        <v/>
      </c>
      <c r="N835" s="6" t="str">
        <f t="shared" si="15"/>
        <v/>
      </c>
      <c r="O835" s="6" t="e">
        <f t="shared" ca="1" si="16"/>
        <v>#NAME?</v>
      </c>
      <c r="P835" s="6" t="str">
        <f t="shared" si="17"/>
        <v/>
      </c>
    </row>
    <row r="836" spans="3:16" ht="14.25" customHeight="1" x14ac:dyDescent="0.3">
      <c r="C836" s="6" t="str">
        <f t="shared" si="18"/>
        <v/>
      </c>
      <c r="D836" s="6" t="str">
        <f t="shared" si="19"/>
        <v/>
      </c>
      <c r="F836" s="6" t="str">
        <f>IF($C836="","",COUNTIFS(Chicks!$F:$F,$C836,Chicks!$G:$G,$D836))</f>
        <v/>
      </c>
      <c r="G836" s="6" t="str">
        <f>IF($C836="","",COUNTIFS(Chicks!$F:$F,$C836,Chicks!$G:$G,$D836,Chicks!$I:$I,"Yes"))</f>
        <v/>
      </c>
      <c r="H836" s="6" t="str">
        <f>IF($C836="","",SUMIFS(Chicks!$J:$J,Chicks!$F:$F,$C836,Chicks!$G:$G,$D836))</f>
        <v/>
      </c>
      <c r="I836" s="6" t="str">
        <f>IF($C836="","",COUNTIFS(Chicks!$F:$F,$C836,Chicks!$G:$G,$D836,Chicks!$I:$I,"No"))</f>
        <v/>
      </c>
      <c r="J836" s="6" t="str">
        <f>IF($C836="","",IFERROR(AVERAGEIFS(Chicks!$M:$M,Chicks!$F:$F,$C836,Chicks!$G:$G,$D836),""))</f>
        <v/>
      </c>
      <c r="K836" s="6" t="str">
        <f>IF($C836="","",SUMIFS(Chicks!$N:$N,Chicks!$F:$F,$C836,Chicks!$G:$G,$D836))</f>
        <v/>
      </c>
      <c r="L836" s="6" t="str">
        <f>IF($C836="","",SUMIFS(Chicks!$O:$O,Chicks!$F:$F,$C836,Chicks!$G:$G,$D836))</f>
        <v/>
      </c>
      <c r="M836" s="6" t="str">
        <f>IF($C836="","",SUMIFS(Chicks!$P:$P,Chicks!$F:$F,$C836,Chicks!$G:$G,$D836))</f>
        <v/>
      </c>
      <c r="N836" s="6" t="str">
        <f t="shared" si="15"/>
        <v/>
      </c>
      <c r="O836" s="6" t="e">
        <f t="shared" ca="1" si="16"/>
        <v>#NAME?</v>
      </c>
      <c r="P836" s="6" t="str">
        <f t="shared" si="17"/>
        <v/>
      </c>
    </row>
    <row r="837" spans="3:16" ht="14.25" customHeight="1" x14ac:dyDescent="0.3">
      <c r="C837" s="6" t="str">
        <f t="shared" si="18"/>
        <v/>
      </c>
      <c r="D837" s="6" t="str">
        <f t="shared" si="19"/>
        <v/>
      </c>
      <c r="F837" s="6" t="str">
        <f>IF($C837="","",COUNTIFS(Chicks!$F:$F,$C837,Chicks!$G:$G,$D837))</f>
        <v/>
      </c>
      <c r="G837" s="6" t="str">
        <f>IF($C837="","",COUNTIFS(Chicks!$F:$F,$C837,Chicks!$G:$G,$D837,Chicks!$I:$I,"Yes"))</f>
        <v/>
      </c>
      <c r="H837" s="6" t="str">
        <f>IF($C837="","",SUMIFS(Chicks!$J:$J,Chicks!$F:$F,$C837,Chicks!$G:$G,$D837))</f>
        <v/>
      </c>
      <c r="I837" s="6" t="str">
        <f>IF($C837="","",COUNTIFS(Chicks!$F:$F,$C837,Chicks!$G:$G,$D837,Chicks!$I:$I,"No"))</f>
        <v/>
      </c>
      <c r="J837" s="6" t="str">
        <f>IF($C837="","",IFERROR(AVERAGEIFS(Chicks!$M:$M,Chicks!$F:$F,$C837,Chicks!$G:$G,$D837),""))</f>
        <v/>
      </c>
      <c r="K837" s="6" t="str">
        <f>IF($C837="","",SUMIFS(Chicks!$N:$N,Chicks!$F:$F,$C837,Chicks!$G:$G,$D837))</f>
        <v/>
      </c>
      <c r="L837" s="6" t="str">
        <f>IF($C837="","",SUMIFS(Chicks!$O:$O,Chicks!$F:$F,$C837,Chicks!$G:$G,$D837))</f>
        <v/>
      </c>
      <c r="M837" s="6" t="str">
        <f>IF($C837="","",SUMIFS(Chicks!$P:$P,Chicks!$F:$F,$C837,Chicks!$G:$G,$D837))</f>
        <v/>
      </c>
      <c r="N837" s="6" t="str">
        <f t="shared" si="15"/>
        <v/>
      </c>
      <c r="O837" s="6" t="e">
        <f t="shared" ca="1" si="16"/>
        <v>#NAME?</v>
      </c>
      <c r="P837" s="6" t="str">
        <f t="shared" si="17"/>
        <v/>
      </c>
    </row>
    <row r="838" spans="3:16" ht="14.25" customHeight="1" x14ac:dyDescent="0.3">
      <c r="C838" s="6" t="str">
        <f t="shared" si="18"/>
        <v/>
      </c>
      <c r="D838" s="6" t="str">
        <f t="shared" si="19"/>
        <v/>
      </c>
      <c r="F838" s="6" t="str">
        <f>IF($C838="","",COUNTIFS(Chicks!$F:$F,$C838,Chicks!$G:$G,$D838))</f>
        <v/>
      </c>
      <c r="G838" s="6" t="str">
        <f>IF($C838="","",COUNTIFS(Chicks!$F:$F,$C838,Chicks!$G:$G,$D838,Chicks!$I:$I,"Yes"))</f>
        <v/>
      </c>
      <c r="H838" s="6" t="str">
        <f>IF($C838="","",SUMIFS(Chicks!$J:$J,Chicks!$F:$F,$C838,Chicks!$G:$G,$D838))</f>
        <v/>
      </c>
      <c r="I838" s="6" t="str">
        <f>IF($C838="","",COUNTIFS(Chicks!$F:$F,$C838,Chicks!$G:$G,$D838,Chicks!$I:$I,"No"))</f>
        <v/>
      </c>
      <c r="J838" s="6" t="str">
        <f>IF($C838="","",IFERROR(AVERAGEIFS(Chicks!$M:$M,Chicks!$F:$F,$C838,Chicks!$G:$G,$D838),""))</f>
        <v/>
      </c>
      <c r="K838" s="6" t="str">
        <f>IF($C838="","",SUMIFS(Chicks!$N:$N,Chicks!$F:$F,$C838,Chicks!$G:$G,$D838))</f>
        <v/>
      </c>
      <c r="L838" s="6" t="str">
        <f>IF($C838="","",SUMIFS(Chicks!$O:$O,Chicks!$F:$F,$C838,Chicks!$G:$G,$D838))</f>
        <v/>
      </c>
      <c r="M838" s="6" t="str">
        <f>IF($C838="","",SUMIFS(Chicks!$P:$P,Chicks!$F:$F,$C838,Chicks!$G:$G,$D838))</f>
        <v/>
      </c>
      <c r="N838" s="6" t="str">
        <f t="shared" si="15"/>
        <v/>
      </c>
      <c r="O838" s="6" t="e">
        <f t="shared" ca="1" si="16"/>
        <v>#NAME?</v>
      </c>
      <c r="P838" s="6" t="str">
        <f t="shared" si="17"/>
        <v/>
      </c>
    </row>
    <row r="839" spans="3:16" ht="14.25" customHeight="1" x14ac:dyDescent="0.3">
      <c r="C839" s="6" t="str">
        <f t="shared" si="18"/>
        <v/>
      </c>
      <c r="D839" s="6" t="str">
        <f t="shared" si="19"/>
        <v/>
      </c>
      <c r="F839" s="6" t="str">
        <f>IF($C839="","",COUNTIFS(Chicks!$F:$F,$C839,Chicks!$G:$G,$D839))</f>
        <v/>
      </c>
      <c r="G839" s="6" t="str">
        <f>IF($C839="","",COUNTIFS(Chicks!$F:$F,$C839,Chicks!$G:$G,$D839,Chicks!$I:$I,"Yes"))</f>
        <v/>
      </c>
      <c r="H839" s="6" t="str">
        <f>IF($C839="","",SUMIFS(Chicks!$J:$J,Chicks!$F:$F,$C839,Chicks!$G:$G,$D839))</f>
        <v/>
      </c>
      <c r="I839" s="6" t="str">
        <f>IF($C839="","",COUNTIFS(Chicks!$F:$F,$C839,Chicks!$G:$G,$D839,Chicks!$I:$I,"No"))</f>
        <v/>
      </c>
      <c r="J839" s="6" t="str">
        <f>IF($C839="","",IFERROR(AVERAGEIFS(Chicks!$M:$M,Chicks!$F:$F,$C839,Chicks!$G:$G,$D839),""))</f>
        <v/>
      </c>
      <c r="K839" s="6" t="str">
        <f>IF($C839="","",SUMIFS(Chicks!$N:$N,Chicks!$F:$F,$C839,Chicks!$G:$G,$D839))</f>
        <v/>
      </c>
      <c r="L839" s="6" t="str">
        <f>IF($C839="","",SUMIFS(Chicks!$O:$O,Chicks!$F:$F,$C839,Chicks!$G:$G,$D839))</f>
        <v/>
      </c>
      <c r="M839" s="6" t="str">
        <f>IF($C839="","",SUMIFS(Chicks!$P:$P,Chicks!$F:$F,$C839,Chicks!$G:$G,$D839))</f>
        <v/>
      </c>
      <c r="N839" s="6" t="str">
        <f t="shared" si="15"/>
        <v/>
      </c>
      <c r="O839" s="6" t="e">
        <f t="shared" ca="1" si="16"/>
        <v>#NAME?</v>
      </c>
      <c r="P839" s="6" t="str">
        <f t="shared" si="17"/>
        <v/>
      </c>
    </row>
    <row r="840" spans="3:16" ht="14.25" customHeight="1" x14ac:dyDescent="0.3">
      <c r="C840" s="6" t="str">
        <f t="shared" si="18"/>
        <v/>
      </c>
      <c r="D840" s="6" t="str">
        <f t="shared" si="19"/>
        <v/>
      </c>
      <c r="F840" s="6" t="str">
        <f>IF($C840="","",COUNTIFS(Chicks!$F:$F,$C840,Chicks!$G:$G,$D840))</f>
        <v/>
      </c>
      <c r="G840" s="6" t="str">
        <f>IF($C840="","",COUNTIFS(Chicks!$F:$F,$C840,Chicks!$G:$G,$D840,Chicks!$I:$I,"Yes"))</f>
        <v/>
      </c>
      <c r="H840" s="6" t="str">
        <f>IF($C840="","",SUMIFS(Chicks!$J:$J,Chicks!$F:$F,$C840,Chicks!$G:$G,$D840))</f>
        <v/>
      </c>
      <c r="I840" s="6" t="str">
        <f>IF($C840="","",COUNTIFS(Chicks!$F:$F,$C840,Chicks!$G:$G,$D840,Chicks!$I:$I,"No"))</f>
        <v/>
      </c>
      <c r="J840" s="6" t="str">
        <f>IF($C840="","",IFERROR(AVERAGEIFS(Chicks!$M:$M,Chicks!$F:$F,$C840,Chicks!$G:$G,$D840),""))</f>
        <v/>
      </c>
      <c r="K840" s="6" t="str">
        <f>IF($C840="","",SUMIFS(Chicks!$N:$N,Chicks!$F:$F,$C840,Chicks!$G:$G,$D840))</f>
        <v/>
      </c>
      <c r="L840" s="6" t="str">
        <f>IF($C840="","",SUMIFS(Chicks!$O:$O,Chicks!$F:$F,$C840,Chicks!$G:$G,$D840))</f>
        <v/>
      </c>
      <c r="M840" s="6" t="str">
        <f>IF($C840="","",SUMIFS(Chicks!$P:$P,Chicks!$F:$F,$C840,Chicks!$G:$G,$D840))</f>
        <v/>
      </c>
      <c r="N840" s="6" t="str">
        <f t="shared" si="15"/>
        <v/>
      </c>
      <c r="O840" s="6" t="e">
        <f t="shared" ca="1" si="16"/>
        <v>#NAME?</v>
      </c>
      <c r="P840" s="6" t="str">
        <f t="shared" si="17"/>
        <v/>
      </c>
    </row>
    <row r="841" spans="3:16" ht="14.25" customHeight="1" x14ac:dyDescent="0.3">
      <c r="C841" s="6" t="str">
        <f t="shared" si="18"/>
        <v/>
      </c>
      <c r="D841" s="6" t="str">
        <f t="shared" si="19"/>
        <v/>
      </c>
      <c r="F841" s="6" t="str">
        <f>IF($C841="","",COUNTIFS(Chicks!$F:$F,$C841,Chicks!$G:$G,$D841))</f>
        <v/>
      </c>
      <c r="G841" s="6" t="str">
        <f>IF($C841="","",COUNTIFS(Chicks!$F:$F,$C841,Chicks!$G:$G,$D841,Chicks!$I:$I,"Yes"))</f>
        <v/>
      </c>
      <c r="H841" s="6" t="str">
        <f>IF($C841="","",SUMIFS(Chicks!$J:$J,Chicks!$F:$F,$C841,Chicks!$G:$G,$D841))</f>
        <v/>
      </c>
      <c r="I841" s="6" t="str">
        <f>IF($C841="","",COUNTIFS(Chicks!$F:$F,$C841,Chicks!$G:$G,$D841,Chicks!$I:$I,"No"))</f>
        <v/>
      </c>
      <c r="J841" s="6" t="str">
        <f>IF($C841="","",IFERROR(AVERAGEIFS(Chicks!$M:$M,Chicks!$F:$F,$C841,Chicks!$G:$G,$D841),""))</f>
        <v/>
      </c>
      <c r="K841" s="6" t="str">
        <f>IF($C841="","",SUMIFS(Chicks!$N:$N,Chicks!$F:$F,$C841,Chicks!$G:$G,$D841))</f>
        <v/>
      </c>
      <c r="L841" s="6" t="str">
        <f>IF($C841="","",SUMIFS(Chicks!$O:$O,Chicks!$F:$F,$C841,Chicks!$G:$G,$D841))</f>
        <v/>
      </c>
      <c r="M841" s="6" t="str">
        <f>IF($C841="","",SUMIFS(Chicks!$P:$P,Chicks!$F:$F,$C841,Chicks!$G:$G,$D841))</f>
        <v/>
      </c>
      <c r="N841" s="6" t="str">
        <f t="shared" si="15"/>
        <v/>
      </c>
      <c r="O841" s="6" t="e">
        <f t="shared" ca="1" si="16"/>
        <v>#NAME?</v>
      </c>
      <c r="P841" s="6" t="str">
        <f t="shared" si="17"/>
        <v/>
      </c>
    </row>
    <row r="842" spans="3:16" ht="14.25" customHeight="1" x14ac:dyDescent="0.3">
      <c r="C842" s="6" t="str">
        <f t="shared" si="18"/>
        <v/>
      </c>
      <c r="D842" s="6" t="str">
        <f t="shared" si="19"/>
        <v/>
      </c>
      <c r="F842" s="6" t="str">
        <f>IF($C842="","",COUNTIFS(Chicks!$F:$F,$C842,Chicks!$G:$G,$D842))</f>
        <v/>
      </c>
      <c r="G842" s="6" t="str">
        <f>IF($C842="","",COUNTIFS(Chicks!$F:$F,$C842,Chicks!$G:$G,$D842,Chicks!$I:$I,"Yes"))</f>
        <v/>
      </c>
      <c r="H842" s="6" t="str">
        <f>IF($C842="","",SUMIFS(Chicks!$J:$J,Chicks!$F:$F,$C842,Chicks!$G:$G,$D842))</f>
        <v/>
      </c>
      <c r="I842" s="6" t="str">
        <f>IF($C842="","",COUNTIFS(Chicks!$F:$F,$C842,Chicks!$G:$G,$D842,Chicks!$I:$I,"No"))</f>
        <v/>
      </c>
      <c r="J842" s="6" t="str">
        <f>IF($C842="","",IFERROR(AVERAGEIFS(Chicks!$M:$M,Chicks!$F:$F,$C842,Chicks!$G:$G,$D842),""))</f>
        <v/>
      </c>
      <c r="K842" s="6" t="str">
        <f>IF($C842="","",SUMIFS(Chicks!$N:$N,Chicks!$F:$F,$C842,Chicks!$G:$G,$D842))</f>
        <v/>
      </c>
      <c r="L842" s="6" t="str">
        <f>IF($C842="","",SUMIFS(Chicks!$O:$O,Chicks!$F:$F,$C842,Chicks!$G:$G,$D842))</f>
        <v/>
      </c>
      <c r="M842" s="6" t="str">
        <f>IF($C842="","",SUMIFS(Chicks!$P:$P,Chicks!$F:$F,$C842,Chicks!$G:$G,$D842))</f>
        <v/>
      </c>
      <c r="N842" s="6" t="str">
        <f t="shared" si="15"/>
        <v/>
      </c>
      <c r="O842" s="6" t="e">
        <f t="shared" ca="1" si="16"/>
        <v>#NAME?</v>
      </c>
      <c r="P842" s="6" t="str">
        <f t="shared" si="17"/>
        <v/>
      </c>
    </row>
    <row r="843" spans="3:16" ht="14.25" customHeight="1" x14ac:dyDescent="0.3">
      <c r="C843" s="6" t="str">
        <f t="shared" si="18"/>
        <v/>
      </c>
      <c r="D843" s="6" t="str">
        <f t="shared" si="19"/>
        <v/>
      </c>
      <c r="F843" s="6" t="str">
        <f>IF($C843="","",COUNTIFS(Chicks!$F:$F,$C843,Chicks!$G:$G,$D843))</f>
        <v/>
      </c>
      <c r="G843" s="6" t="str">
        <f>IF($C843="","",COUNTIFS(Chicks!$F:$F,$C843,Chicks!$G:$G,$D843,Chicks!$I:$I,"Yes"))</f>
        <v/>
      </c>
      <c r="H843" s="6" t="str">
        <f>IF($C843="","",SUMIFS(Chicks!$J:$J,Chicks!$F:$F,$C843,Chicks!$G:$G,$D843))</f>
        <v/>
      </c>
      <c r="I843" s="6" t="str">
        <f>IF($C843="","",COUNTIFS(Chicks!$F:$F,$C843,Chicks!$G:$G,$D843,Chicks!$I:$I,"No"))</f>
        <v/>
      </c>
      <c r="J843" s="6" t="str">
        <f>IF($C843="","",IFERROR(AVERAGEIFS(Chicks!$M:$M,Chicks!$F:$F,$C843,Chicks!$G:$G,$D843),""))</f>
        <v/>
      </c>
      <c r="K843" s="6" t="str">
        <f>IF($C843="","",SUMIFS(Chicks!$N:$N,Chicks!$F:$F,$C843,Chicks!$G:$G,$D843))</f>
        <v/>
      </c>
      <c r="L843" s="6" t="str">
        <f>IF($C843="","",SUMIFS(Chicks!$O:$O,Chicks!$F:$F,$C843,Chicks!$G:$G,$D843))</f>
        <v/>
      </c>
      <c r="M843" s="6" t="str">
        <f>IF($C843="","",SUMIFS(Chicks!$P:$P,Chicks!$F:$F,$C843,Chicks!$G:$G,$D843))</f>
        <v/>
      </c>
      <c r="N843" s="6" t="str">
        <f t="shared" si="15"/>
        <v/>
      </c>
      <c r="O843" s="6" t="e">
        <f t="shared" ca="1" si="16"/>
        <v>#NAME?</v>
      </c>
      <c r="P843" s="6" t="str">
        <f t="shared" si="17"/>
        <v/>
      </c>
    </row>
    <row r="844" spans="3:16" ht="14.25" customHeight="1" x14ac:dyDescent="0.3">
      <c r="C844" s="6" t="str">
        <f t="shared" si="18"/>
        <v/>
      </c>
      <c r="D844" s="6" t="str">
        <f t="shared" si="19"/>
        <v/>
      </c>
      <c r="F844" s="6" t="str">
        <f>IF($C844="","",COUNTIFS(Chicks!$F:$F,$C844,Chicks!$G:$G,$D844))</f>
        <v/>
      </c>
      <c r="G844" s="6" t="str">
        <f>IF($C844="","",COUNTIFS(Chicks!$F:$F,$C844,Chicks!$G:$G,$D844,Chicks!$I:$I,"Yes"))</f>
        <v/>
      </c>
      <c r="H844" s="6" t="str">
        <f>IF($C844="","",SUMIFS(Chicks!$J:$J,Chicks!$F:$F,$C844,Chicks!$G:$G,$D844))</f>
        <v/>
      </c>
      <c r="I844" s="6" t="str">
        <f>IF($C844="","",COUNTIFS(Chicks!$F:$F,$C844,Chicks!$G:$G,$D844,Chicks!$I:$I,"No"))</f>
        <v/>
      </c>
      <c r="J844" s="6" t="str">
        <f>IF($C844="","",IFERROR(AVERAGEIFS(Chicks!$M:$M,Chicks!$F:$F,$C844,Chicks!$G:$G,$D844),""))</f>
        <v/>
      </c>
      <c r="K844" s="6" t="str">
        <f>IF($C844="","",SUMIFS(Chicks!$N:$N,Chicks!$F:$F,$C844,Chicks!$G:$G,$D844))</f>
        <v/>
      </c>
      <c r="L844" s="6" t="str">
        <f>IF($C844="","",SUMIFS(Chicks!$O:$O,Chicks!$F:$F,$C844,Chicks!$G:$G,$D844))</f>
        <v/>
      </c>
      <c r="M844" s="6" t="str">
        <f>IF($C844="","",SUMIFS(Chicks!$P:$P,Chicks!$F:$F,$C844,Chicks!$G:$G,$D844))</f>
        <v/>
      </c>
      <c r="N844" s="6" t="str">
        <f t="shared" si="15"/>
        <v/>
      </c>
      <c r="O844" s="6" t="e">
        <f t="shared" ca="1" si="16"/>
        <v>#NAME?</v>
      </c>
      <c r="P844" s="6" t="str">
        <f t="shared" si="17"/>
        <v/>
      </c>
    </row>
    <row r="845" spans="3:16" ht="14.25" customHeight="1" x14ac:dyDescent="0.3">
      <c r="C845" s="6" t="str">
        <f t="shared" si="18"/>
        <v/>
      </c>
      <c r="D845" s="6" t="str">
        <f t="shared" si="19"/>
        <v/>
      </c>
      <c r="F845" s="6" t="str">
        <f>IF($C845="","",COUNTIFS(Chicks!$F:$F,$C845,Chicks!$G:$G,$D845))</f>
        <v/>
      </c>
      <c r="G845" s="6" t="str">
        <f>IF($C845="","",COUNTIFS(Chicks!$F:$F,$C845,Chicks!$G:$G,$D845,Chicks!$I:$I,"Yes"))</f>
        <v/>
      </c>
      <c r="H845" s="6" t="str">
        <f>IF($C845="","",SUMIFS(Chicks!$J:$J,Chicks!$F:$F,$C845,Chicks!$G:$G,$D845))</f>
        <v/>
      </c>
      <c r="I845" s="6" t="str">
        <f>IF($C845="","",COUNTIFS(Chicks!$F:$F,$C845,Chicks!$G:$G,$D845,Chicks!$I:$I,"No"))</f>
        <v/>
      </c>
      <c r="J845" s="6" t="str">
        <f>IF($C845="","",IFERROR(AVERAGEIFS(Chicks!$M:$M,Chicks!$F:$F,$C845,Chicks!$G:$G,$D845),""))</f>
        <v/>
      </c>
      <c r="K845" s="6" t="str">
        <f>IF($C845="","",SUMIFS(Chicks!$N:$N,Chicks!$F:$F,$C845,Chicks!$G:$G,$D845))</f>
        <v/>
      </c>
      <c r="L845" s="6" t="str">
        <f>IF($C845="","",SUMIFS(Chicks!$O:$O,Chicks!$F:$F,$C845,Chicks!$G:$G,$D845))</f>
        <v/>
      </c>
      <c r="M845" s="6" t="str">
        <f>IF($C845="","",SUMIFS(Chicks!$P:$P,Chicks!$F:$F,$C845,Chicks!$G:$G,$D845))</f>
        <v/>
      </c>
      <c r="N845" s="6" t="str">
        <f t="shared" si="15"/>
        <v/>
      </c>
      <c r="O845" s="6" t="e">
        <f t="shared" ca="1" si="16"/>
        <v>#NAME?</v>
      </c>
      <c r="P845" s="6" t="str">
        <f t="shared" si="17"/>
        <v/>
      </c>
    </row>
    <row r="846" spans="3:16" ht="14.25" customHeight="1" x14ac:dyDescent="0.3">
      <c r="C846" s="6" t="str">
        <f t="shared" si="18"/>
        <v/>
      </c>
      <c r="D846" s="6" t="str">
        <f t="shared" si="19"/>
        <v/>
      </c>
      <c r="F846" s="6" t="str">
        <f>IF($C846="","",COUNTIFS(Chicks!$F:$F,$C846,Chicks!$G:$G,$D846))</f>
        <v/>
      </c>
      <c r="G846" s="6" t="str">
        <f>IF($C846="","",COUNTIFS(Chicks!$F:$F,$C846,Chicks!$G:$G,$D846,Chicks!$I:$I,"Yes"))</f>
        <v/>
      </c>
      <c r="H846" s="6" t="str">
        <f>IF($C846="","",SUMIFS(Chicks!$J:$J,Chicks!$F:$F,$C846,Chicks!$G:$G,$D846))</f>
        <v/>
      </c>
      <c r="I846" s="6" t="str">
        <f>IF($C846="","",COUNTIFS(Chicks!$F:$F,$C846,Chicks!$G:$G,$D846,Chicks!$I:$I,"No"))</f>
        <v/>
      </c>
      <c r="J846" s="6" t="str">
        <f>IF($C846="","",IFERROR(AVERAGEIFS(Chicks!$M:$M,Chicks!$F:$F,$C846,Chicks!$G:$G,$D846),""))</f>
        <v/>
      </c>
      <c r="K846" s="6" t="str">
        <f>IF($C846="","",SUMIFS(Chicks!$N:$N,Chicks!$F:$F,$C846,Chicks!$G:$G,$D846))</f>
        <v/>
      </c>
      <c r="L846" s="6" t="str">
        <f>IF($C846="","",SUMIFS(Chicks!$O:$O,Chicks!$F:$F,$C846,Chicks!$G:$G,$D846))</f>
        <v/>
      </c>
      <c r="M846" s="6" t="str">
        <f>IF($C846="","",SUMIFS(Chicks!$P:$P,Chicks!$F:$F,$C846,Chicks!$G:$G,$D846))</f>
        <v/>
      </c>
      <c r="N846" s="6" t="str">
        <f t="shared" si="15"/>
        <v/>
      </c>
      <c r="O846" s="6" t="e">
        <f t="shared" ca="1" si="16"/>
        <v>#NAME?</v>
      </c>
      <c r="P846" s="6" t="str">
        <f t="shared" si="17"/>
        <v/>
      </c>
    </row>
    <row r="847" spans="3:16" ht="14.25" customHeight="1" x14ac:dyDescent="0.3">
      <c r="C847" s="6" t="str">
        <f t="shared" si="18"/>
        <v/>
      </c>
      <c r="D847" s="6" t="str">
        <f t="shared" si="19"/>
        <v/>
      </c>
      <c r="F847" s="6" t="str">
        <f>IF($C847="","",COUNTIFS(Chicks!$F:$F,$C847,Chicks!$G:$G,$D847))</f>
        <v/>
      </c>
      <c r="G847" s="6" t="str">
        <f>IF($C847="","",COUNTIFS(Chicks!$F:$F,$C847,Chicks!$G:$G,$D847,Chicks!$I:$I,"Yes"))</f>
        <v/>
      </c>
      <c r="H847" s="6" t="str">
        <f>IF($C847="","",SUMIFS(Chicks!$J:$J,Chicks!$F:$F,$C847,Chicks!$G:$G,$D847))</f>
        <v/>
      </c>
      <c r="I847" s="6" t="str">
        <f>IF($C847="","",COUNTIFS(Chicks!$F:$F,$C847,Chicks!$G:$G,$D847,Chicks!$I:$I,"No"))</f>
        <v/>
      </c>
      <c r="J847" s="6" t="str">
        <f>IF($C847="","",IFERROR(AVERAGEIFS(Chicks!$M:$M,Chicks!$F:$F,$C847,Chicks!$G:$G,$D847),""))</f>
        <v/>
      </c>
      <c r="K847" s="6" t="str">
        <f>IF($C847="","",SUMIFS(Chicks!$N:$N,Chicks!$F:$F,$C847,Chicks!$G:$G,$D847))</f>
        <v/>
      </c>
      <c r="L847" s="6" t="str">
        <f>IF($C847="","",SUMIFS(Chicks!$O:$O,Chicks!$F:$F,$C847,Chicks!$G:$G,$D847))</f>
        <v/>
      </c>
      <c r="M847" s="6" t="str">
        <f>IF($C847="","",SUMIFS(Chicks!$P:$P,Chicks!$F:$F,$C847,Chicks!$G:$G,$D847))</f>
        <v/>
      </c>
      <c r="N847" s="6" t="str">
        <f t="shared" si="15"/>
        <v/>
      </c>
      <c r="O847" s="6" t="e">
        <f t="shared" ca="1" si="16"/>
        <v>#NAME?</v>
      </c>
      <c r="P847" s="6" t="str">
        <f t="shared" si="17"/>
        <v/>
      </c>
    </row>
    <row r="848" spans="3:16" ht="14.25" customHeight="1" x14ac:dyDescent="0.3">
      <c r="C848" s="6" t="str">
        <f t="shared" si="18"/>
        <v/>
      </c>
      <c r="D848" s="6" t="str">
        <f t="shared" si="19"/>
        <v/>
      </c>
      <c r="F848" s="6" t="str">
        <f>IF($C848="","",COUNTIFS(Chicks!$F:$F,$C848,Chicks!$G:$G,$D848))</f>
        <v/>
      </c>
      <c r="G848" s="6" t="str">
        <f>IF($C848="","",COUNTIFS(Chicks!$F:$F,$C848,Chicks!$G:$G,$D848,Chicks!$I:$I,"Yes"))</f>
        <v/>
      </c>
      <c r="H848" s="6" t="str">
        <f>IF($C848="","",SUMIFS(Chicks!$J:$J,Chicks!$F:$F,$C848,Chicks!$G:$G,$D848))</f>
        <v/>
      </c>
      <c r="I848" s="6" t="str">
        <f>IF($C848="","",COUNTIFS(Chicks!$F:$F,$C848,Chicks!$G:$G,$D848,Chicks!$I:$I,"No"))</f>
        <v/>
      </c>
      <c r="J848" s="6" t="str">
        <f>IF($C848="","",IFERROR(AVERAGEIFS(Chicks!$M:$M,Chicks!$F:$F,$C848,Chicks!$G:$G,$D848),""))</f>
        <v/>
      </c>
      <c r="K848" s="6" t="str">
        <f>IF($C848="","",SUMIFS(Chicks!$N:$N,Chicks!$F:$F,$C848,Chicks!$G:$G,$D848))</f>
        <v/>
      </c>
      <c r="L848" s="6" t="str">
        <f>IF($C848="","",SUMIFS(Chicks!$O:$O,Chicks!$F:$F,$C848,Chicks!$G:$G,$D848))</f>
        <v/>
      </c>
      <c r="M848" s="6" t="str">
        <f>IF($C848="","",SUMIFS(Chicks!$P:$P,Chicks!$F:$F,$C848,Chicks!$G:$G,$D848))</f>
        <v/>
      </c>
      <c r="N848" s="6" t="str">
        <f t="shared" si="15"/>
        <v/>
      </c>
      <c r="O848" s="6" t="e">
        <f t="shared" ca="1" si="16"/>
        <v>#NAME?</v>
      </c>
      <c r="P848" s="6" t="str">
        <f t="shared" si="17"/>
        <v/>
      </c>
    </row>
    <row r="849" spans="3:16" ht="14.25" customHeight="1" x14ac:dyDescent="0.3">
      <c r="C849" s="6" t="str">
        <f t="shared" si="18"/>
        <v/>
      </c>
      <c r="D849" s="6" t="str">
        <f t="shared" si="19"/>
        <v/>
      </c>
      <c r="F849" s="6" t="str">
        <f>IF($C849="","",COUNTIFS(Chicks!$F:$F,$C849,Chicks!$G:$G,$D849))</f>
        <v/>
      </c>
      <c r="G849" s="6" t="str">
        <f>IF($C849="","",COUNTIFS(Chicks!$F:$F,$C849,Chicks!$G:$G,$D849,Chicks!$I:$I,"Yes"))</f>
        <v/>
      </c>
      <c r="H849" s="6" t="str">
        <f>IF($C849="","",SUMIFS(Chicks!$J:$J,Chicks!$F:$F,$C849,Chicks!$G:$G,$D849))</f>
        <v/>
      </c>
      <c r="I849" s="6" t="str">
        <f>IF($C849="","",COUNTIFS(Chicks!$F:$F,$C849,Chicks!$G:$G,$D849,Chicks!$I:$I,"No"))</f>
        <v/>
      </c>
      <c r="J849" s="6" t="str">
        <f>IF($C849="","",IFERROR(AVERAGEIFS(Chicks!$M:$M,Chicks!$F:$F,$C849,Chicks!$G:$G,$D849),""))</f>
        <v/>
      </c>
      <c r="K849" s="6" t="str">
        <f>IF($C849="","",SUMIFS(Chicks!$N:$N,Chicks!$F:$F,$C849,Chicks!$G:$G,$D849))</f>
        <v/>
      </c>
      <c r="L849" s="6" t="str">
        <f>IF($C849="","",SUMIFS(Chicks!$O:$O,Chicks!$F:$F,$C849,Chicks!$G:$G,$D849))</f>
        <v/>
      </c>
      <c r="M849" s="6" t="str">
        <f>IF($C849="","",SUMIFS(Chicks!$P:$P,Chicks!$F:$F,$C849,Chicks!$G:$G,$D849))</f>
        <v/>
      </c>
      <c r="N849" s="6" t="str">
        <f t="shared" si="15"/>
        <v/>
      </c>
      <c r="O849" s="6" t="e">
        <f t="shared" ca="1" si="16"/>
        <v>#NAME?</v>
      </c>
      <c r="P849" s="6" t="str">
        <f t="shared" si="17"/>
        <v/>
      </c>
    </row>
    <row r="850" spans="3:16" ht="14.25" customHeight="1" x14ac:dyDescent="0.3">
      <c r="C850" s="6" t="str">
        <f t="shared" si="18"/>
        <v/>
      </c>
      <c r="D850" s="6" t="str">
        <f t="shared" si="19"/>
        <v/>
      </c>
      <c r="F850" s="6" t="str">
        <f>IF($C850="","",COUNTIFS(Chicks!$F:$F,$C850,Chicks!$G:$G,$D850))</f>
        <v/>
      </c>
      <c r="G850" s="6" t="str">
        <f>IF($C850="","",COUNTIFS(Chicks!$F:$F,$C850,Chicks!$G:$G,$D850,Chicks!$I:$I,"Yes"))</f>
        <v/>
      </c>
      <c r="H850" s="6" t="str">
        <f>IF($C850="","",SUMIFS(Chicks!$J:$J,Chicks!$F:$F,$C850,Chicks!$G:$G,$D850))</f>
        <v/>
      </c>
      <c r="I850" s="6" t="str">
        <f>IF($C850="","",COUNTIFS(Chicks!$F:$F,$C850,Chicks!$G:$G,$D850,Chicks!$I:$I,"No"))</f>
        <v/>
      </c>
      <c r="J850" s="6" t="str">
        <f>IF($C850="","",IFERROR(AVERAGEIFS(Chicks!$M:$M,Chicks!$F:$F,$C850,Chicks!$G:$G,$D850),""))</f>
        <v/>
      </c>
      <c r="K850" s="6" t="str">
        <f>IF($C850="","",SUMIFS(Chicks!$N:$N,Chicks!$F:$F,$C850,Chicks!$G:$G,$D850))</f>
        <v/>
      </c>
      <c r="L850" s="6" t="str">
        <f>IF($C850="","",SUMIFS(Chicks!$O:$O,Chicks!$F:$F,$C850,Chicks!$G:$G,$D850))</f>
        <v/>
      </c>
      <c r="M850" s="6" t="str">
        <f>IF($C850="","",SUMIFS(Chicks!$P:$P,Chicks!$F:$F,$C850,Chicks!$G:$G,$D850))</f>
        <v/>
      </c>
      <c r="N850" s="6" t="str">
        <f t="shared" si="15"/>
        <v/>
      </c>
      <c r="O850" s="6" t="e">
        <f t="shared" ca="1" si="16"/>
        <v>#NAME?</v>
      </c>
      <c r="P850" s="6" t="str">
        <f t="shared" si="17"/>
        <v/>
      </c>
    </row>
    <row r="851" spans="3:16" ht="14.25" customHeight="1" x14ac:dyDescent="0.3">
      <c r="C851" s="6" t="str">
        <f t="shared" si="18"/>
        <v/>
      </c>
      <c r="D851" s="6" t="str">
        <f t="shared" si="19"/>
        <v/>
      </c>
      <c r="F851" s="6" t="str">
        <f>IF($C851="","",COUNTIFS(Chicks!$F:$F,$C851,Chicks!$G:$G,$D851))</f>
        <v/>
      </c>
      <c r="G851" s="6" t="str">
        <f>IF($C851="","",COUNTIFS(Chicks!$F:$F,$C851,Chicks!$G:$G,$D851,Chicks!$I:$I,"Yes"))</f>
        <v/>
      </c>
      <c r="H851" s="6" t="str">
        <f>IF($C851="","",SUMIFS(Chicks!$J:$J,Chicks!$F:$F,$C851,Chicks!$G:$G,$D851))</f>
        <v/>
      </c>
      <c r="I851" s="6" t="str">
        <f>IF($C851="","",COUNTIFS(Chicks!$F:$F,$C851,Chicks!$G:$G,$D851,Chicks!$I:$I,"No"))</f>
        <v/>
      </c>
      <c r="J851" s="6" t="str">
        <f>IF($C851="","",IFERROR(AVERAGEIFS(Chicks!$M:$M,Chicks!$F:$F,$C851,Chicks!$G:$G,$D851),""))</f>
        <v/>
      </c>
      <c r="K851" s="6" t="str">
        <f>IF($C851="","",SUMIFS(Chicks!$N:$N,Chicks!$F:$F,$C851,Chicks!$G:$G,$D851))</f>
        <v/>
      </c>
      <c r="L851" s="6" t="str">
        <f>IF($C851="","",SUMIFS(Chicks!$O:$O,Chicks!$F:$F,$C851,Chicks!$G:$G,$D851))</f>
        <v/>
      </c>
      <c r="M851" s="6" t="str">
        <f>IF($C851="","",SUMIFS(Chicks!$P:$P,Chicks!$F:$F,$C851,Chicks!$G:$G,$D851))</f>
        <v/>
      </c>
      <c r="N851" s="6" t="str">
        <f t="shared" si="15"/>
        <v/>
      </c>
      <c r="O851" s="6" t="e">
        <f t="shared" ca="1" si="16"/>
        <v>#NAME?</v>
      </c>
      <c r="P851" s="6" t="str">
        <f t="shared" si="17"/>
        <v/>
      </c>
    </row>
    <row r="852" spans="3:16" ht="14.25" customHeight="1" x14ac:dyDescent="0.3">
      <c r="C852" s="6" t="str">
        <f t="shared" si="18"/>
        <v/>
      </c>
      <c r="D852" s="6" t="str">
        <f t="shared" si="19"/>
        <v/>
      </c>
      <c r="F852" s="6" t="str">
        <f>IF($C852="","",COUNTIFS(Chicks!$F:$F,$C852,Chicks!$G:$G,$D852))</f>
        <v/>
      </c>
      <c r="G852" s="6" t="str">
        <f>IF($C852="","",COUNTIFS(Chicks!$F:$F,$C852,Chicks!$G:$G,$D852,Chicks!$I:$I,"Yes"))</f>
        <v/>
      </c>
      <c r="H852" s="6" t="str">
        <f>IF($C852="","",SUMIFS(Chicks!$J:$J,Chicks!$F:$F,$C852,Chicks!$G:$G,$D852))</f>
        <v/>
      </c>
      <c r="I852" s="6" t="str">
        <f>IF($C852="","",COUNTIFS(Chicks!$F:$F,$C852,Chicks!$G:$G,$D852,Chicks!$I:$I,"No"))</f>
        <v/>
      </c>
      <c r="J852" s="6" t="str">
        <f>IF($C852="","",IFERROR(AVERAGEIFS(Chicks!$M:$M,Chicks!$F:$F,$C852,Chicks!$G:$G,$D852),""))</f>
        <v/>
      </c>
      <c r="K852" s="6" t="str">
        <f>IF($C852="","",SUMIFS(Chicks!$N:$N,Chicks!$F:$F,$C852,Chicks!$G:$G,$D852))</f>
        <v/>
      </c>
      <c r="L852" s="6" t="str">
        <f>IF($C852="","",SUMIFS(Chicks!$O:$O,Chicks!$F:$F,$C852,Chicks!$G:$G,$D852))</f>
        <v/>
      </c>
      <c r="M852" s="6" t="str">
        <f>IF($C852="","",SUMIFS(Chicks!$P:$P,Chicks!$F:$F,$C852,Chicks!$G:$G,$D852))</f>
        <v/>
      </c>
      <c r="N852" s="6" t="str">
        <f t="shared" si="15"/>
        <v/>
      </c>
      <c r="O852" s="6" t="e">
        <f t="shared" ca="1" si="16"/>
        <v>#NAME?</v>
      </c>
      <c r="P852" s="6" t="str">
        <f t="shared" si="17"/>
        <v/>
      </c>
    </row>
    <row r="853" spans="3:16" ht="14.25" customHeight="1" x14ac:dyDescent="0.3">
      <c r="C853" s="6" t="str">
        <f t="shared" si="18"/>
        <v/>
      </c>
      <c r="D853" s="6" t="str">
        <f t="shared" si="19"/>
        <v/>
      </c>
      <c r="F853" s="6" t="str">
        <f>IF($C853="","",COUNTIFS(Chicks!$F:$F,$C853,Chicks!$G:$G,$D853))</f>
        <v/>
      </c>
      <c r="G853" s="6" t="str">
        <f>IF($C853="","",COUNTIFS(Chicks!$F:$F,$C853,Chicks!$G:$G,$D853,Chicks!$I:$I,"Yes"))</f>
        <v/>
      </c>
      <c r="H853" s="6" t="str">
        <f>IF($C853="","",SUMIFS(Chicks!$J:$J,Chicks!$F:$F,$C853,Chicks!$G:$G,$D853))</f>
        <v/>
      </c>
      <c r="I853" s="6" t="str">
        <f>IF($C853="","",COUNTIFS(Chicks!$F:$F,$C853,Chicks!$G:$G,$D853,Chicks!$I:$I,"No"))</f>
        <v/>
      </c>
      <c r="J853" s="6" t="str">
        <f>IF($C853="","",IFERROR(AVERAGEIFS(Chicks!$M:$M,Chicks!$F:$F,$C853,Chicks!$G:$G,$D853),""))</f>
        <v/>
      </c>
      <c r="K853" s="6" t="str">
        <f>IF($C853="","",SUMIFS(Chicks!$N:$N,Chicks!$F:$F,$C853,Chicks!$G:$G,$D853))</f>
        <v/>
      </c>
      <c r="L853" s="6" t="str">
        <f>IF($C853="","",SUMIFS(Chicks!$O:$O,Chicks!$F:$F,$C853,Chicks!$G:$G,$D853))</f>
        <v/>
      </c>
      <c r="M853" s="6" t="str">
        <f>IF($C853="","",SUMIFS(Chicks!$P:$P,Chicks!$F:$F,$C853,Chicks!$G:$G,$D853))</f>
        <v/>
      </c>
      <c r="N853" s="6" t="str">
        <f t="shared" si="15"/>
        <v/>
      </c>
      <c r="O853" s="6" t="e">
        <f t="shared" ca="1" si="16"/>
        <v>#NAME?</v>
      </c>
      <c r="P853" s="6" t="str">
        <f t="shared" si="17"/>
        <v/>
      </c>
    </row>
    <row r="854" spans="3:16" ht="14.25" customHeight="1" x14ac:dyDescent="0.3">
      <c r="C854" s="6" t="str">
        <f t="shared" si="18"/>
        <v/>
      </c>
      <c r="D854" s="6" t="str">
        <f t="shared" si="19"/>
        <v/>
      </c>
      <c r="F854" s="6" t="str">
        <f>IF($C854="","",COUNTIFS(Chicks!$F:$F,$C854,Chicks!$G:$G,$D854))</f>
        <v/>
      </c>
      <c r="G854" s="6" t="str">
        <f>IF($C854="","",COUNTIFS(Chicks!$F:$F,$C854,Chicks!$G:$G,$D854,Chicks!$I:$I,"Yes"))</f>
        <v/>
      </c>
      <c r="H854" s="6" t="str">
        <f>IF($C854="","",SUMIFS(Chicks!$J:$J,Chicks!$F:$F,$C854,Chicks!$G:$G,$D854))</f>
        <v/>
      </c>
      <c r="I854" s="6" t="str">
        <f>IF($C854="","",COUNTIFS(Chicks!$F:$F,$C854,Chicks!$G:$G,$D854,Chicks!$I:$I,"No"))</f>
        <v/>
      </c>
      <c r="J854" s="6" t="str">
        <f>IF($C854="","",IFERROR(AVERAGEIFS(Chicks!$M:$M,Chicks!$F:$F,$C854,Chicks!$G:$G,$D854),""))</f>
        <v/>
      </c>
      <c r="K854" s="6" t="str">
        <f>IF($C854="","",SUMIFS(Chicks!$N:$N,Chicks!$F:$F,$C854,Chicks!$G:$G,$D854))</f>
        <v/>
      </c>
      <c r="L854" s="6" t="str">
        <f>IF($C854="","",SUMIFS(Chicks!$O:$O,Chicks!$F:$F,$C854,Chicks!$G:$G,$D854))</f>
        <v/>
      </c>
      <c r="M854" s="6" t="str">
        <f>IF($C854="","",SUMIFS(Chicks!$P:$P,Chicks!$F:$F,$C854,Chicks!$G:$G,$D854))</f>
        <v/>
      </c>
      <c r="N854" s="6" t="str">
        <f t="shared" si="15"/>
        <v/>
      </c>
      <c r="O854" s="6" t="e">
        <f t="shared" ca="1" si="16"/>
        <v>#NAME?</v>
      </c>
      <c r="P854" s="6" t="str">
        <f t="shared" si="17"/>
        <v/>
      </c>
    </row>
    <row r="855" spans="3:16" ht="14.25" customHeight="1" x14ac:dyDescent="0.3">
      <c r="C855" s="6" t="str">
        <f t="shared" si="18"/>
        <v/>
      </c>
      <c r="D855" s="6" t="str">
        <f t="shared" si="19"/>
        <v/>
      </c>
      <c r="F855" s="6" t="str">
        <f>IF($C855="","",COUNTIFS(Chicks!$F:$F,$C855,Chicks!$G:$G,$D855))</f>
        <v/>
      </c>
      <c r="G855" s="6" t="str">
        <f>IF($C855="","",COUNTIFS(Chicks!$F:$F,$C855,Chicks!$G:$G,$D855,Chicks!$I:$I,"Yes"))</f>
        <v/>
      </c>
      <c r="H855" s="6" t="str">
        <f>IF($C855="","",SUMIFS(Chicks!$J:$J,Chicks!$F:$F,$C855,Chicks!$G:$G,$D855))</f>
        <v/>
      </c>
      <c r="I855" s="6" t="str">
        <f>IF($C855="","",COUNTIFS(Chicks!$F:$F,$C855,Chicks!$G:$G,$D855,Chicks!$I:$I,"No"))</f>
        <v/>
      </c>
      <c r="J855" s="6" t="str">
        <f>IF($C855="","",IFERROR(AVERAGEIFS(Chicks!$M:$M,Chicks!$F:$F,$C855,Chicks!$G:$G,$D855),""))</f>
        <v/>
      </c>
      <c r="K855" s="6" t="str">
        <f>IF($C855="","",SUMIFS(Chicks!$N:$N,Chicks!$F:$F,$C855,Chicks!$G:$G,$D855))</f>
        <v/>
      </c>
      <c r="L855" s="6" t="str">
        <f>IF($C855="","",SUMIFS(Chicks!$O:$O,Chicks!$F:$F,$C855,Chicks!$G:$G,$D855))</f>
        <v/>
      </c>
      <c r="M855" s="6" t="str">
        <f>IF($C855="","",SUMIFS(Chicks!$P:$P,Chicks!$F:$F,$C855,Chicks!$G:$G,$D855))</f>
        <v/>
      </c>
      <c r="N855" s="6" t="str">
        <f t="shared" si="15"/>
        <v/>
      </c>
      <c r="O855" s="6" t="e">
        <f t="shared" ca="1" si="16"/>
        <v>#NAME?</v>
      </c>
      <c r="P855" s="6" t="str">
        <f t="shared" si="17"/>
        <v/>
      </c>
    </row>
    <row r="856" spans="3:16" ht="14.25" customHeight="1" x14ac:dyDescent="0.3">
      <c r="C856" s="6" t="str">
        <f t="shared" si="18"/>
        <v/>
      </c>
      <c r="D856" s="6" t="str">
        <f t="shared" si="19"/>
        <v/>
      </c>
      <c r="F856" s="6" t="str">
        <f>IF($C856="","",COUNTIFS(Chicks!$F:$F,$C856,Chicks!$G:$G,$D856))</f>
        <v/>
      </c>
      <c r="G856" s="6" t="str">
        <f>IF($C856="","",COUNTIFS(Chicks!$F:$F,$C856,Chicks!$G:$G,$D856,Chicks!$I:$I,"Yes"))</f>
        <v/>
      </c>
      <c r="H856" s="6" t="str">
        <f>IF($C856="","",SUMIFS(Chicks!$J:$J,Chicks!$F:$F,$C856,Chicks!$G:$G,$D856))</f>
        <v/>
      </c>
      <c r="I856" s="6" t="str">
        <f>IF($C856="","",COUNTIFS(Chicks!$F:$F,$C856,Chicks!$G:$G,$D856,Chicks!$I:$I,"No"))</f>
        <v/>
      </c>
      <c r="J856" s="6" t="str">
        <f>IF($C856="","",IFERROR(AVERAGEIFS(Chicks!$M:$M,Chicks!$F:$F,$C856,Chicks!$G:$G,$D856),""))</f>
        <v/>
      </c>
      <c r="K856" s="6" t="str">
        <f>IF($C856="","",SUMIFS(Chicks!$N:$N,Chicks!$F:$F,$C856,Chicks!$G:$G,$D856))</f>
        <v/>
      </c>
      <c r="L856" s="6" t="str">
        <f>IF($C856="","",SUMIFS(Chicks!$O:$O,Chicks!$F:$F,$C856,Chicks!$G:$G,$D856))</f>
        <v/>
      </c>
      <c r="M856" s="6" t="str">
        <f>IF($C856="","",SUMIFS(Chicks!$P:$P,Chicks!$F:$F,$C856,Chicks!$G:$G,$D856))</f>
        <v/>
      </c>
      <c r="N856" s="6" t="str">
        <f t="shared" si="15"/>
        <v/>
      </c>
      <c r="O856" s="6" t="e">
        <f t="shared" ca="1" si="16"/>
        <v>#NAME?</v>
      </c>
      <c r="P856" s="6" t="str">
        <f t="shared" si="17"/>
        <v/>
      </c>
    </row>
    <row r="857" spans="3:16" ht="14.25" customHeight="1" x14ac:dyDescent="0.3">
      <c r="C857" s="6" t="str">
        <f t="shared" si="18"/>
        <v/>
      </c>
      <c r="D857" s="6" t="str">
        <f t="shared" si="19"/>
        <v/>
      </c>
      <c r="F857" s="6" t="str">
        <f>IF($C857="","",COUNTIFS(Chicks!$F:$F,$C857,Chicks!$G:$G,$D857))</f>
        <v/>
      </c>
      <c r="G857" s="6" t="str">
        <f>IF($C857="","",COUNTIFS(Chicks!$F:$F,$C857,Chicks!$G:$G,$D857,Chicks!$I:$I,"Yes"))</f>
        <v/>
      </c>
      <c r="H857" s="6" t="str">
        <f>IF($C857="","",SUMIFS(Chicks!$J:$J,Chicks!$F:$F,$C857,Chicks!$G:$G,$D857))</f>
        <v/>
      </c>
      <c r="I857" s="6" t="str">
        <f>IF($C857="","",COUNTIFS(Chicks!$F:$F,$C857,Chicks!$G:$G,$D857,Chicks!$I:$I,"No"))</f>
        <v/>
      </c>
      <c r="J857" s="6" t="str">
        <f>IF($C857="","",IFERROR(AVERAGEIFS(Chicks!$M:$M,Chicks!$F:$F,$C857,Chicks!$G:$G,$D857),""))</f>
        <v/>
      </c>
      <c r="K857" s="6" t="str">
        <f>IF($C857="","",SUMIFS(Chicks!$N:$N,Chicks!$F:$F,$C857,Chicks!$G:$G,$D857))</f>
        <v/>
      </c>
      <c r="L857" s="6" t="str">
        <f>IF($C857="","",SUMIFS(Chicks!$O:$O,Chicks!$F:$F,$C857,Chicks!$G:$G,$D857))</f>
        <v/>
      </c>
      <c r="M857" s="6" t="str">
        <f>IF($C857="","",SUMIFS(Chicks!$P:$P,Chicks!$F:$F,$C857,Chicks!$G:$G,$D857))</f>
        <v/>
      </c>
      <c r="N857" s="6" t="str">
        <f t="shared" si="15"/>
        <v/>
      </c>
      <c r="O857" s="6" t="e">
        <f t="shared" ca="1" si="16"/>
        <v>#NAME?</v>
      </c>
      <c r="P857" s="6" t="str">
        <f t="shared" si="17"/>
        <v/>
      </c>
    </row>
    <row r="858" spans="3:16" ht="14.25" customHeight="1" x14ac:dyDescent="0.3">
      <c r="C858" s="6" t="str">
        <f t="shared" si="18"/>
        <v/>
      </c>
      <c r="D858" s="6" t="str">
        <f t="shared" si="19"/>
        <v/>
      </c>
      <c r="F858" s="6" t="str">
        <f>IF($C858="","",COUNTIFS(Chicks!$F:$F,$C858,Chicks!$G:$G,$D858))</f>
        <v/>
      </c>
      <c r="G858" s="6" t="str">
        <f>IF($C858="","",COUNTIFS(Chicks!$F:$F,$C858,Chicks!$G:$G,$D858,Chicks!$I:$I,"Yes"))</f>
        <v/>
      </c>
      <c r="H858" s="6" t="str">
        <f>IF($C858="","",SUMIFS(Chicks!$J:$J,Chicks!$F:$F,$C858,Chicks!$G:$G,$D858))</f>
        <v/>
      </c>
      <c r="I858" s="6" t="str">
        <f>IF($C858="","",COUNTIFS(Chicks!$F:$F,$C858,Chicks!$G:$G,$D858,Chicks!$I:$I,"No"))</f>
        <v/>
      </c>
      <c r="J858" s="6" t="str">
        <f>IF($C858="","",IFERROR(AVERAGEIFS(Chicks!$M:$M,Chicks!$F:$F,$C858,Chicks!$G:$G,$D858),""))</f>
        <v/>
      </c>
      <c r="K858" s="6" t="str">
        <f>IF($C858="","",SUMIFS(Chicks!$N:$N,Chicks!$F:$F,$C858,Chicks!$G:$G,$D858))</f>
        <v/>
      </c>
      <c r="L858" s="6" t="str">
        <f>IF($C858="","",SUMIFS(Chicks!$O:$O,Chicks!$F:$F,$C858,Chicks!$G:$G,$D858))</f>
        <v/>
      </c>
      <c r="M858" s="6" t="str">
        <f>IF($C858="","",SUMIFS(Chicks!$P:$P,Chicks!$F:$F,$C858,Chicks!$G:$G,$D858))</f>
        <v/>
      </c>
      <c r="N858" s="6" t="str">
        <f t="shared" si="15"/>
        <v/>
      </c>
      <c r="O858" s="6" t="e">
        <f t="shared" ca="1" si="16"/>
        <v>#NAME?</v>
      </c>
      <c r="P858" s="6" t="str">
        <f t="shared" si="17"/>
        <v/>
      </c>
    </row>
    <row r="859" spans="3:16" ht="14.25" customHeight="1" x14ac:dyDescent="0.3">
      <c r="C859" s="6" t="str">
        <f t="shared" si="18"/>
        <v/>
      </c>
      <c r="D859" s="6" t="str">
        <f t="shared" si="19"/>
        <v/>
      </c>
      <c r="F859" s="6" t="str">
        <f>IF($C859="","",COUNTIFS(Chicks!$F:$F,$C859,Chicks!$G:$G,$D859))</f>
        <v/>
      </c>
      <c r="G859" s="6" t="str">
        <f>IF($C859="","",COUNTIFS(Chicks!$F:$F,$C859,Chicks!$G:$G,$D859,Chicks!$I:$I,"Yes"))</f>
        <v/>
      </c>
      <c r="H859" s="6" t="str">
        <f>IF($C859="","",SUMIFS(Chicks!$J:$J,Chicks!$F:$F,$C859,Chicks!$G:$G,$D859))</f>
        <v/>
      </c>
      <c r="I859" s="6" t="str">
        <f>IF($C859="","",COUNTIFS(Chicks!$F:$F,$C859,Chicks!$G:$G,$D859,Chicks!$I:$I,"No"))</f>
        <v/>
      </c>
      <c r="J859" s="6" t="str">
        <f>IF($C859="","",IFERROR(AVERAGEIFS(Chicks!$M:$M,Chicks!$F:$F,$C859,Chicks!$G:$G,$D859),""))</f>
        <v/>
      </c>
      <c r="K859" s="6" t="str">
        <f>IF($C859="","",SUMIFS(Chicks!$N:$N,Chicks!$F:$F,$C859,Chicks!$G:$G,$D859))</f>
        <v/>
      </c>
      <c r="L859" s="6" t="str">
        <f>IF($C859="","",SUMIFS(Chicks!$O:$O,Chicks!$F:$F,$C859,Chicks!$G:$G,$D859))</f>
        <v/>
      </c>
      <c r="M859" s="6" t="str">
        <f>IF($C859="","",SUMIFS(Chicks!$P:$P,Chicks!$F:$F,$C859,Chicks!$G:$G,$D859))</f>
        <v/>
      </c>
      <c r="N859" s="6" t="str">
        <f t="shared" si="15"/>
        <v/>
      </c>
      <c r="O859" s="6" t="e">
        <f t="shared" ca="1" si="16"/>
        <v>#NAME?</v>
      </c>
      <c r="P859" s="6" t="str">
        <f t="shared" si="17"/>
        <v/>
      </c>
    </row>
    <row r="860" spans="3:16" ht="14.25" customHeight="1" x14ac:dyDescent="0.3">
      <c r="C860" s="6" t="str">
        <f t="shared" si="18"/>
        <v/>
      </c>
      <c r="D860" s="6" t="str">
        <f t="shared" si="19"/>
        <v/>
      </c>
      <c r="F860" s="6" t="str">
        <f>IF($C860="","",COUNTIFS(Chicks!$F:$F,$C860,Chicks!$G:$G,$D860))</f>
        <v/>
      </c>
      <c r="G860" s="6" t="str">
        <f>IF($C860="","",COUNTIFS(Chicks!$F:$F,$C860,Chicks!$G:$G,$D860,Chicks!$I:$I,"Yes"))</f>
        <v/>
      </c>
      <c r="H860" s="6" t="str">
        <f>IF($C860="","",SUMIFS(Chicks!$J:$J,Chicks!$F:$F,$C860,Chicks!$G:$G,$D860))</f>
        <v/>
      </c>
      <c r="I860" s="6" t="str">
        <f>IF($C860="","",COUNTIFS(Chicks!$F:$F,$C860,Chicks!$G:$G,$D860,Chicks!$I:$I,"No"))</f>
        <v/>
      </c>
      <c r="J860" s="6" t="str">
        <f>IF($C860="","",IFERROR(AVERAGEIFS(Chicks!$M:$M,Chicks!$F:$F,$C860,Chicks!$G:$G,$D860),""))</f>
        <v/>
      </c>
      <c r="K860" s="6" t="str">
        <f>IF($C860="","",SUMIFS(Chicks!$N:$N,Chicks!$F:$F,$C860,Chicks!$G:$G,$D860))</f>
        <v/>
      </c>
      <c r="L860" s="6" t="str">
        <f>IF($C860="","",SUMIFS(Chicks!$O:$O,Chicks!$F:$F,$C860,Chicks!$G:$G,$D860))</f>
        <v/>
      </c>
      <c r="M860" s="6" t="str">
        <f>IF($C860="","",SUMIFS(Chicks!$P:$P,Chicks!$F:$F,$C860,Chicks!$G:$G,$D860))</f>
        <v/>
      </c>
      <c r="N860" s="6" t="str">
        <f t="shared" si="15"/>
        <v/>
      </c>
      <c r="O860" s="6" t="e">
        <f t="shared" ca="1" si="16"/>
        <v>#NAME?</v>
      </c>
      <c r="P860" s="6" t="str">
        <f t="shared" si="17"/>
        <v/>
      </c>
    </row>
    <row r="861" spans="3:16" ht="14.25" customHeight="1" x14ac:dyDescent="0.3">
      <c r="C861" s="6" t="str">
        <f t="shared" si="18"/>
        <v/>
      </c>
      <c r="D861" s="6" t="str">
        <f t="shared" si="19"/>
        <v/>
      </c>
      <c r="F861" s="6" t="str">
        <f>IF($C861="","",COUNTIFS(Chicks!$F:$F,$C861,Chicks!$G:$G,$D861))</f>
        <v/>
      </c>
      <c r="G861" s="6" t="str">
        <f>IF($C861="","",COUNTIFS(Chicks!$F:$F,$C861,Chicks!$G:$G,$D861,Chicks!$I:$I,"Yes"))</f>
        <v/>
      </c>
      <c r="H861" s="6" t="str">
        <f>IF($C861="","",SUMIFS(Chicks!$J:$J,Chicks!$F:$F,$C861,Chicks!$G:$G,$D861))</f>
        <v/>
      </c>
      <c r="I861" s="6" t="str">
        <f>IF($C861="","",COUNTIFS(Chicks!$F:$F,$C861,Chicks!$G:$G,$D861,Chicks!$I:$I,"No"))</f>
        <v/>
      </c>
      <c r="J861" s="6" t="str">
        <f>IF($C861="","",IFERROR(AVERAGEIFS(Chicks!$M:$M,Chicks!$F:$F,$C861,Chicks!$G:$G,$D861),""))</f>
        <v/>
      </c>
      <c r="K861" s="6" t="str">
        <f>IF($C861="","",SUMIFS(Chicks!$N:$N,Chicks!$F:$F,$C861,Chicks!$G:$G,$D861))</f>
        <v/>
      </c>
      <c r="L861" s="6" t="str">
        <f>IF($C861="","",SUMIFS(Chicks!$O:$O,Chicks!$F:$F,$C861,Chicks!$G:$G,$D861))</f>
        <v/>
      </c>
      <c r="M861" s="6" t="str">
        <f>IF($C861="","",SUMIFS(Chicks!$P:$P,Chicks!$F:$F,$C861,Chicks!$G:$G,$D861))</f>
        <v/>
      </c>
      <c r="N861" s="6" t="str">
        <f t="shared" si="15"/>
        <v/>
      </c>
      <c r="O861" s="6" t="e">
        <f t="shared" ca="1" si="16"/>
        <v>#NAME?</v>
      </c>
      <c r="P861" s="6" t="str">
        <f t="shared" si="17"/>
        <v/>
      </c>
    </row>
    <row r="862" spans="3:16" ht="14.25" customHeight="1" x14ac:dyDescent="0.3">
      <c r="C862" s="6" t="str">
        <f t="shared" si="18"/>
        <v/>
      </c>
      <c r="D862" s="6" t="str">
        <f t="shared" si="19"/>
        <v/>
      </c>
      <c r="F862" s="6" t="str">
        <f>IF($C862="","",COUNTIFS(Chicks!$F:$F,$C862,Chicks!$G:$G,$D862))</f>
        <v/>
      </c>
      <c r="G862" s="6" t="str">
        <f>IF($C862="","",COUNTIFS(Chicks!$F:$F,$C862,Chicks!$G:$G,$D862,Chicks!$I:$I,"Yes"))</f>
        <v/>
      </c>
      <c r="H862" s="6" t="str">
        <f>IF($C862="","",SUMIFS(Chicks!$J:$J,Chicks!$F:$F,$C862,Chicks!$G:$G,$D862))</f>
        <v/>
      </c>
      <c r="I862" s="6" t="str">
        <f>IF($C862="","",COUNTIFS(Chicks!$F:$F,$C862,Chicks!$G:$G,$D862,Chicks!$I:$I,"No"))</f>
        <v/>
      </c>
      <c r="J862" s="6" t="str">
        <f>IF($C862="","",IFERROR(AVERAGEIFS(Chicks!$M:$M,Chicks!$F:$F,$C862,Chicks!$G:$G,$D862),""))</f>
        <v/>
      </c>
      <c r="K862" s="6" t="str">
        <f>IF($C862="","",SUMIFS(Chicks!$N:$N,Chicks!$F:$F,$C862,Chicks!$G:$G,$D862))</f>
        <v/>
      </c>
      <c r="L862" s="6" t="str">
        <f>IF($C862="","",SUMIFS(Chicks!$O:$O,Chicks!$F:$F,$C862,Chicks!$G:$G,$D862))</f>
        <v/>
      </c>
      <c r="M862" s="6" t="str">
        <f>IF($C862="","",SUMIFS(Chicks!$P:$P,Chicks!$F:$F,$C862,Chicks!$G:$G,$D862))</f>
        <v/>
      </c>
      <c r="N862" s="6" t="str">
        <f t="shared" si="15"/>
        <v/>
      </c>
      <c r="O862" s="6" t="e">
        <f t="shared" ca="1" si="16"/>
        <v>#NAME?</v>
      </c>
      <c r="P862" s="6" t="str">
        <f t="shared" si="17"/>
        <v/>
      </c>
    </row>
    <row r="863" spans="3:16" ht="14.25" customHeight="1" x14ac:dyDescent="0.3">
      <c r="C863" s="6" t="str">
        <f t="shared" si="18"/>
        <v/>
      </c>
      <c r="D863" s="6" t="str">
        <f t="shared" si="19"/>
        <v/>
      </c>
      <c r="F863" s="6" t="str">
        <f>IF($C863="","",COUNTIFS(Chicks!$F:$F,$C863,Chicks!$G:$G,$D863))</f>
        <v/>
      </c>
      <c r="G863" s="6" t="str">
        <f>IF($C863="","",COUNTIFS(Chicks!$F:$F,$C863,Chicks!$G:$G,$D863,Chicks!$I:$I,"Yes"))</f>
        <v/>
      </c>
      <c r="H863" s="6" t="str">
        <f>IF($C863="","",SUMIFS(Chicks!$J:$J,Chicks!$F:$F,$C863,Chicks!$G:$G,$D863))</f>
        <v/>
      </c>
      <c r="I863" s="6" t="str">
        <f>IF($C863="","",COUNTIFS(Chicks!$F:$F,$C863,Chicks!$G:$G,$D863,Chicks!$I:$I,"No"))</f>
        <v/>
      </c>
      <c r="J863" s="6" t="str">
        <f>IF($C863="","",IFERROR(AVERAGEIFS(Chicks!$M:$M,Chicks!$F:$F,$C863,Chicks!$G:$G,$D863),""))</f>
        <v/>
      </c>
      <c r="K863" s="6" t="str">
        <f>IF($C863="","",SUMIFS(Chicks!$N:$N,Chicks!$F:$F,$C863,Chicks!$G:$G,$D863))</f>
        <v/>
      </c>
      <c r="L863" s="6" t="str">
        <f>IF($C863="","",SUMIFS(Chicks!$O:$O,Chicks!$F:$F,$C863,Chicks!$G:$G,$D863))</f>
        <v/>
      </c>
      <c r="M863" s="6" t="str">
        <f>IF($C863="","",SUMIFS(Chicks!$P:$P,Chicks!$F:$F,$C863,Chicks!$G:$G,$D863))</f>
        <v/>
      </c>
      <c r="N863" s="6" t="str">
        <f t="shared" si="15"/>
        <v/>
      </c>
      <c r="O863" s="6" t="e">
        <f t="shared" ca="1" si="16"/>
        <v>#NAME?</v>
      </c>
      <c r="P863" s="6" t="str">
        <f t="shared" si="17"/>
        <v/>
      </c>
    </row>
    <row r="864" spans="3:16" ht="14.25" customHeight="1" x14ac:dyDescent="0.3">
      <c r="C864" s="6" t="str">
        <f t="shared" si="18"/>
        <v/>
      </c>
      <c r="D864" s="6" t="str">
        <f t="shared" si="19"/>
        <v/>
      </c>
      <c r="F864" s="6" t="str">
        <f>IF($C864="","",COUNTIFS(Chicks!$F:$F,$C864,Chicks!$G:$G,$D864))</f>
        <v/>
      </c>
      <c r="G864" s="6" t="str">
        <f>IF($C864="","",COUNTIFS(Chicks!$F:$F,$C864,Chicks!$G:$G,$D864,Chicks!$I:$I,"Yes"))</f>
        <v/>
      </c>
      <c r="H864" s="6" t="str">
        <f>IF($C864="","",SUMIFS(Chicks!$J:$J,Chicks!$F:$F,$C864,Chicks!$G:$G,$D864))</f>
        <v/>
      </c>
      <c r="I864" s="6" t="str">
        <f>IF($C864="","",COUNTIFS(Chicks!$F:$F,$C864,Chicks!$G:$G,$D864,Chicks!$I:$I,"No"))</f>
        <v/>
      </c>
      <c r="J864" s="6" t="str">
        <f>IF($C864="","",IFERROR(AVERAGEIFS(Chicks!$M:$M,Chicks!$F:$F,$C864,Chicks!$G:$G,$D864),""))</f>
        <v/>
      </c>
      <c r="K864" s="6" t="str">
        <f>IF($C864="","",SUMIFS(Chicks!$N:$N,Chicks!$F:$F,$C864,Chicks!$G:$G,$D864))</f>
        <v/>
      </c>
      <c r="L864" s="6" t="str">
        <f>IF($C864="","",SUMIFS(Chicks!$O:$O,Chicks!$F:$F,$C864,Chicks!$G:$G,$D864))</f>
        <v/>
      </c>
      <c r="M864" s="6" t="str">
        <f>IF($C864="","",SUMIFS(Chicks!$P:$P,Chicks!$F:$F,$C864,Chicks!$G:$G,$D864))</f>
        <v/>
      </c>
      <c r="N864" s="6" t="str">
        <f t="shared" si="15"/>
        <v/>
      </c>
      <c r="O864" s="6" t="e">
        <f t="shared" ca="1" si="16"/>
        <v>#NAME?</v>
      </c>
      <c r="P864" s="6" t="str">
        <f t="shared" si="17"/>
        <v/>
      </c>
    </row>
    <row r="865" spans="3:16" ht="14.25" customHeight="1" x14ac:dyDescent="0.3">
      <c r="C865" s="6" t="str">
        <f t="shared" si="18"/>
        <v/>
      </c>
      <c r="D865" s="6" t="str">
        <f t="shared" si="19"/>
        <v/>
      </c>
      <c r="F865" s="6" t="str">
        <f>IF($C865="","",COUNTIFS(Chicks!$F:$F,$C865,Chicks!$G:$G,$D865))</f>
        <v/>
      </c>
      <c r="G865" s="6" t="str">
        <f>IF($C865="","",COUNTIFS(Chicks!$F:$F,$C865,Chicks!$G:$G,$D865,Chicks!$I:$I,"Yes"))</f>
        <v/>
      </c>
      <c r="H865" s="6" t="str">
        <f>IF($C865="","",SUMIFS(Chicks!$J:$J,Chicks!$F:$F,$C865,Chicks!$G:$G,$D865))</f>
        <v/>
      </c>
      <c r="I865" s="6" t="str">
        <f>IF($C865="","",COUNTIFS(Chicks!$F:$F,$C865,Chicks!$G:$G,$D865,Chicks!$I:$I,"No"))</f>
        <v/>
      </c>
      <c r="J865" s="6" t="str">
        <f>IF($C865="","",IFERROR(AVERAGEIFS(Chicks!$M:$M,Chicks!$F:$F,$C865,Chicks!$G:$G,$D865),""))</f>
        <v/>
      </c>
      <c r="K865" s="6" t="str">
        <f>IF($C865="","",SUMIFS(Chicks!$N:$N,Chicks!$F:$F,$C865,Chicks!$G:$G,$D865))</f>
        <v/>
      </c>
      <c r="L865" s="6" t="str">
        <f>IF($C865="","",SUMIFS(Chicks!$O:$O,Chicks!$F:$F,$C865,Chicks!$G:$G,$D865))</f>
        <v/>
      </c>
      <c r="M865" s="6" t="str">
        <f>IF($C865="","",SUMIFS(Chicks!$P:$P,Chicks!$F:$F,$C865,Chicks!$G:$G,$D865))</f>
        <v/>
      </c>
      <c r="N865" s="6" t="str">
        <f t="shared" si="15"/>
        <v/>
      </c>
      <c r="O865" s="6" t="e">
        <f t="shared" ca="1" si="16"/>
        <v>#NAME?</v>
      </c>
      <c r="P865" s="6" t="str">
        <f t="shared" si="17"/>
        <v/>
      </c>
    </row>
    <row r="866" spans="3:16" ht="14.25" customHeight="1" x14ac:dyDescent="0.3">
      <c r="C866" s="6" t="str">
        <f t="shared" si="18"/>
        <v/>
      </c>
      <c r="D866" s="6" t="str">
        <f t="shared" si="19"/>
        <v/>
      </c>
      <c r="F866" s="6" t="str">
        <f>IF($C866="","",COUNTIFS(Chicks!$F:$F,$C866,Chicks!$G:$G,$D866))</f>
        <v/>
      </c>
      <c r="G866" s="6" t="str">
        <f>IF($C866="","",COUNTIFS(Chicks!$F:$F,$C866,Chicks!$G:$G,$D866,Chicks!$I:$I,"Yes"))</f>
        <v/>
      </c>
      <c r="H866" s="6" t="str">
        <f>IF($C866="","",SUMIFS(Chicks!$J:$J,Chicks!$F:$F,$C866,Chicks!$G:$G,$D866))</f>
        <v/>
      </c>
      <c r="I866" s="6" t="str">
        <f>IF($C866="","",COUNTIFS(Chicks!$F:$F,$C866,Chicks!$G:$G,$D866,Chicks!$I:$I,"No"))</f>
        <v/>
      </c>
      <c r="J866" s="6" t="str">
        <f>IF($C866="","",IFERROR(AVERAGEIFS(Chicks!$M:$M,Chicks!$F:$F,$C866,Chicks!$G:$G,$D866),""))</f>
        <v/>
      </c>
      <c r="K866" s="6" t="str">
        <f>IF($C866="","",SUMIFS(Chicks!$N:$N,Chicks!$F:$F,$C866,Chicks!$G:$G,$D866))</f>
        <v/>
      </c>
      <c r="L866" s="6" t="str">
        <f>IF($C866="","",SUMIFS(Chicks!$O:$O,Chicks!$F:$F,$C866,Chicks!$G:$G,$D866))</f>
        <v/>
      </c>
      <c r="M866" s="6" t="str">
        <f>IF($C866="","",SUMIFS(Chicks!$P:$P,Chicks!$F:$F,$C866,Chicks!$G:$G,$D866))</f>
        <v/>
      </c>
      <c r="N866" s="6" t="str">
        <f t="shared" si="15"/>
        <v/>
      </c>
      <c r="O866" s="6" t="e">
        <f t="shared" ca="1" si="16"/>
        <v>#NAME?</v>
      </c>
      <c r="P866" s="6" t="str">
        <f t="shared" si="17"/>
        <v/>
      </c>
    </row>
    <row r="867" spans="3:16" ht="14.25" customHeight="1" x14ac:dyDescent="0.3">
      <c r="C867" s="6" t="str">
        <f t="shared" si="18"/>
        <v/>
      </c>
      <c r="D867" s="6" t="str">
        <f t="shared" si="19"/>
        <v/>
      </c>
      <c r="F867" s="6" t="str">
        <f>IF($C867="","",COUNTIFS(Chicks!$F:$F,$C867,Chicks!$G:$G,$D867))</f>
        <v/>
      </c>
      <c r="G867" s="6" t="str">
        <f>IF($C867="","",COUNTIFS(Chicks!$F:$F,$C867,Chicks!$G:$G,$D867,Chicks!$I:$I,"Yes"))</f>
        <v/>
      </c>
      <c r="H867" s="6" t="str">
        <f>IF($C867="","",SUMIFS(Chicks!$J:$J,Chicks!$F:$F,$C867,Chicks!$G:$G,$D867))</f>
        <v/>
      </c>
      <c r="I867" s="6" t="str">
        <f>IF($C867="","",COUNTIFS(Chicks!$F:$F,$C867,Chicks!$G:$G,$D867,Chicks!$I:$I,"No"))</f>
        <v/>
      </c>
      <c r="J867" s="6" t="str">
        <f>IF($C867="","",IFERROR(AVERAGEIFS(Chicks!$M:$M,Chicks!$F:$F,$C867,Chicks!$G:$G,$D867),""))</f>
        <v/>
      </c>
      <c r="K867" s="6" t="str">
        <f>IF($C867="","",SUMIFS(Chicks!$N:$N,Chicks!$F:$F,$C867,Chicks!$G:$G,$D867))</f>
        <v/>
      </c>
      <c r="L867" s="6" t="str">
        <f>IF($C867="","",SUMIFS(Chicks!$O:$O,Chicks!$F:$F,$C867,Chicks!$G:$G,$D867))</f>
        <v/>
      </c>
      <c r="M867" s="6" t="str">
        <f>IF($C867="","",SUMIFS(Chicks!$P:$P,Chicks!$F:$F,$C867,Chicks!$G:$G,$D867))</f>
        <v/>
      </c>
      <c r="N867" s="6" t="str">
        <f t="shared" si="15"/>
        <v/>
      </c>
      <c r="O867" s="6" t="e">
        <f t="shared" ca="1" si="16"/>
        <v>#NAME?</v>
      </c>
      <c r="P867" s="6" t="str">
        <f t="shared" si="17"/>
        <v/>
      </c>
    </row>
    <row r="868" spans="3:16" ht="14.25" customHeight="1" x14ac:dyDescent="0.3">
      <c r="C868" s="6" t="str">
        <f t="shared" si="18"/>
        <v/>
      </c>
      <c r="D868" s="6" t="str">
        <f t="shared" si="19"/>
        <v/>
      </c>
      <c r="F868" s="6" t="str">
        <f>IF($C868="","",COUNTIFS(Chicks!$F:$F,$C868,Chicks!$G:$G,$D868))</f>
        <v/>
      </c>
      <c r="G868" s="6" t="str">
        <f>IF($C868="","",COUNTIFS(Chicks!$F:$F,$C868,Chicks!$G:$G,$D868,Chicks!$I:$I,"Yes"))</f>
        <v/>
      </c>
      <c r="H868" s="6" t="str">
        <f>IF($C868="","",SUMIFS(Chicks!$J:$J,Chicks!$F:$F,$C868,Chicks!$G:$G,$D868))</f>
        <v/>
      </c>
      <c r="I868" s="6" t="str">
        <f>IF($C868="","",COUNTIFS(Chicks!$F:$F,$C868,Chicks!$G:$G,$D868,Chicks!$I:$I,"No"))</f>
        <v/>
      </c>
      <c r="J868" s="6" t="str">
        <f>IF($C868="","",IFERROR(AVERAGEIFS(Chicks!$M:$M,Chicks!$F:$F,$C868,Chicks!$G:$G,$D868),""))</f>
        <v/>
      </c>
      <c r="K868" s="6" t="str">
        <f>IF($C868="","",SUMIFS(Chicks!$N:$N,Chicks!$F:$F,$C868,Chicks!$G:$G,$D868))</f>
        <v/>
      </c>
      <c r="L868" s="6" t="str">
        <f>IF($C868="","",SUMIFS(Chicks!$O:$O,Chicks!$F:$F,$C868,Chicks!$G:$G,$D868))</f>
        <v/>
      </c>
      <c r="M868" s="6" t="str">
        <f>IF($C868="","",SUMIFS(Chicks!$P:$P,Chicks!$F:$F,$C868,Chicks!$G:$G,$D868))</f>
        <v/>
      </c>
      <c r="N868" s="6" t="str">
        <f t="shared" si="15"/>
        <v/>
      </c>
      <c r="O868" s="6" t="e">
        <f t="shared" ca="1" si="16"/>
        <v>#NAME?</v>
      </c>
      <c r="P868" s="6" t="str">
        <f t="shared" si="17"/>
        <v/>
      </c>
    </row>
    <row r="869" spans="3:16" ht="14.25" customHeight="1" x14ac:dyDescent="0.3">
      <c r="C869" s="6" t="str">
        <f t="shared" si="18"/>
        <v/>
      </c>
      <c r="D869" s="6" t="str">
        <f t="shared" si="19"/>
        <v/>
      </c>
      <c r="F869" s="6" t="str">
        <f>IF($C869="","",COUNTIFS(Chicks!$F:$F,$C869,Chicks!$G:$G,$D869))</f>
        <v/>
      </c>
      <c r="G869" s="6" t="str">
        <f>IF($C869="","",COUNTIFS(Chicks!$F:$F,$C869,Chicks!$G:$G,$D869,Chicks!$I:$I,"Yes"))</f>
        <v/>
      </c>
      <c r="H869" s="6" t="str">
        <f>IF($C869="","",SUMIFS(Chicks!$J:$J,Chicks!$F:$F,$C869,Chicks!$G:$G,$D869))</f>
        <v/>
      </c>
      <c r="I869" s="6" t="str">
        <f>IF($C869="","",COUNTIFS(Chicks!$F:$F,$C869,Chicks!$G:$G,$D869,Chicks!$I:$I,"No"))</f>
        <v/>
      </c>
      <c r="J869" s="6" t="str">
        <f>IF($C869="","",IFERROR(AVERAGEIFS(Chicks!$M:$M,Chicks!$F:$F,$C869,Chicks!$G:$G,$D869),""))</f>
        <v/>
      </c>
      <c r="K869" s="6" t="str">
        <f>IF($C869="","",SUMIFS(Chicks!$N:$N,Chicks!$F:$F,$C869,Chicks!$G:$G,$D869))</f>
        <v/>
      </c>
      <c r="L869" s="6" t="str">
        <f>IF($C869="","",SUMIFS(Chicks!$O:$O,Chicks!$F:$F,$C869,Chicks!$G:$G,$D869))</f>
        <v/>
      </c>
      <c r="M869" s="6" t="str">
        <f>IF($C869="","",SUMIFS(Chicks!$P:$P,Chicks!$F:$F,$C869,Chicks!$G:$G,$D869))</f>
        <v/>
      </c>
      <c r="N869" s="6" t="str">
        <f t="shared" si="15"/>
        <v/>
      </c>
      <c r="O869" s="6" t="e">
        <f t="shared" ca="1" si="16"/>
        <v>#NAME?</v>
      </c>
      <c r="P869" s="6" t="str">
        <f t="shared" si="17"/>
        <v/>
      </c>
    </row>
    <row r="870" spans="3:16" ht="14.25" customHeight="1" x14ac:dyDescent="0.3">
      <c r="C870" s="6" t="str">
        <f t="shared" si="18"/>
        <v/>
      </c>
      <c r="D870" s="6" t="str">
        <f t="shared" si="19"/>
        <v/>
      </c>
      <c r="F870" s="6" t="str">
        <f>IF($C870="","",COUNTIFS(Chicks!$F:$F,$C870,Chicks!$G:$G,$D870))</f>
        <v/>
      </c>
      <c r="G870" s="6" t="str">
        <f>IF($C870="","",COUNTIFS(Chicks!$F:$F,$C870,Chicks!$G:$G,$D870,Chicks!$I:$I,"Yes"))</f>
        <v/>
      </c>
      <c r="H870" s="6" t="str">
        <f>IF($C870="","",SUMIFS(Chicks!$J:$J,Chicks!$F:$F,$C870,Chicks!$G:$G,$D870))</f>
        <v/>
      </c>
      <c r="I870" s="6" t="str">
        <f>IF($C870="","",COUNTIFS(Chicks!$F:$F,$C870,Chicks!$G:$G,$D870,Chicks!$I:$I,"No"))</f>
        <v/>
      </c>
      <c r="J870" s="6" t="str">
        <f>IF($C870="","",IFERROR(AVERAGEIFS(Chicks!$M:$M,Chicks!$F:$F,$C870,Chicks!$G:$G,$D870),""))</f>
        <v/>
      </c>
      <c r="K870" s="6" t="str">
        <f>IF($C870="","",SUMIFS(Chicks!$N:$N,Chicks!$F:$F,$C870,Chicks!$G:$G,$D870))</f>
        <v/>
      </c>
      <c r="L870" s="6" t="str">
        <f>IF($C870="","",SUMIFS(Chicks!$O:$O,Chicks!$F:$F,$C870,Chicks!$G:$G,$D870))</f>
        <v/>
      </c>
      <c r="M870" s="6" t="str">
        <f>IF($C870="","",SUMIFS(Chicks!$P:$P,Chicks!$F:$F,$C870,Chicks!$G:$G,$D870))</f>
        <v/>
      </c>
      <c r="N870" s="6" t="str">
        <f t="shared" si="15"/>
        <v/>
      </c>
      <c r="O870" s="6" t="e">
        <f t="shared" ca="1" si="16"/>
        <v>#NAME?</v>
      </c>
      <c r="P870" s="6" t="str">
        <f t="shared" si="17"/>
        <v/>
      </c>
    </row>
    <row r="871" spans="3:16" ht="14.25" customHeight="1" x14ac:dyDescent="0.3">
      <c r="C871" s="6" t="str">
        <f t="shared" si="18"/>
        <v/>
      </c>
      <c r="D871" s="6" t="str">
        <f t="shared" si="19"/>
        <v/>
      </c>
      <c r="F871" s="6" t="str">
        <f>IF($C871="","",COUNTIFS(Chicks!$F:$F,$C871,Chicks!$G:$G,$D871))</f>
        <v/>
      </c>
      <c r="G871" s="6" t="str">
        <f>IF($C871="","",COUNTIFS(Chicks!$F:$F,$C871,Chicks!$G:$G,$D871,Chicks!$I:$I,"Yes"))</f>
        <v/>
      </c>
      <c r="H871" s="6" t="str">
        <f>IF($C871="","",SUMIFS(Chicks!$J:$J,Chicks!$F:$F,$C871,Chicks!$G:$G,$D871))</f>
        <v/>
      </c>
      <c r="I871" s="6" t="str">
        <f>IF($C871="","",COUNTIFS(Chicks!$F:$F,$C871,Chicks!$G:$G,$D871,Chicks!$I:$I,"No"))</f>
        <v/>
      </c>
      <c r="J871" s="6" t="str">
        <f>IF($C871="","",IFERROR(AVERAGEIFS(Chicks!$M:$M,Chicks!$F:$F,$C871,Chicks!$G:$G,$D871),""))</f>
        <v/>
      </c>
      <c r="K871" s="6" t="str">
        <f>IF($C871="","",SUMIFS(Chicks!$N:$N,Chicks!$F:$F,$C871,Chicks!$G:$G,$D871))</f>
        <v/>
      </c>
      <c r="L871" s="6" t="str">
        <f>IF($C871="","",SUMIFS(Chicks!$O:$O,Chicks!$F:$F,$C871,Chicks!$G:$G,$D871))</f>
        <v/>
      </c>
      <c r="M871" s="6" t="str">
        <f>IF($C871="","",SUMIFS(Chicks!$P:$P,Chicks!$F:$F,$C871,Chicks!$G:$G,$D871))</f>
        <v/>
      </c>
      <c r="N871" s="6" t="str">
        <f t="shared" si="15"/>
        <v/>
      </c>
      <c r="O871" s="6" t="e">
        <f t="shared" ca="1" si="16"/>
        <v>#NAME?</v>
      </c>
      <c r="P871" s="6" t="str">
        <f t="shared" si="17"/>
        <v/>
      </c>
    </row>
    <row r="872" spans="3:16" ht="14.25" customHeight="1" x14ac:dyDescent="0.3">
      <c r="C872" s="6" t="str">
        <f t="shared" si="18"/>
        <v/>
      </c>
      <c r="D872" s="6" t="str">
        <f t="shared" si="19"/>
        <v/>
      </c>
      <c r="F872" s="6" t="str">
        <f>IF($C872="","",COUNTIFS(Chicks!$F:$F,$C872,Chicks!$G:$G,$D872))</f>
        <v/>
      </c>
      <c r="G872" s="6" t="str">
        <f>IF($C872="","",COUNTIFS(Chicks!$F:$F,$C872,Chicks!$G:$G,$D872,Chicks!$I:$I,"Yes"))</f>
        <v/>
      </c>
      <c r="H872" s="6" t="str">
        <f>IF($C872="","",SUMIFS(Chicks!$J:$J,Chicks!$F:$F,$C872,Chicks!$G:$G,$D872))</f>
        <v/>
      </c>
      <c r="I872" s="6" t="str">
        <f>IF($C872="","",COUNTIFS(Chicks!$F:$F,$C872,Chicks!$G:$G,$D872,Chicks!$I:$I,"No"))</f>
        <v/>
      </c>
      <c r="J872" s="6" t="str">
        <f>IF($C872="","",IFERROR(AVERAGEIFS(Chicks!$M:$M,Chicks!$F:$F,$C872,Chicks!$G:$G,$D872),""))</f>
        <v/>
      </c>
      <c r="K872" s="6" t="str">
        <f>IF($C872="","",SUMIFS(Chicks!$N:$N,Chicks!$F:$F,$C872,Chicks!$G:$G,$D872))</f>
        <v/>
      </c>
      <c r="L872" s="6" t="str">
        <f>IF($C872="","",SUMIFS(Chicks!$O:$O,Chicks!$F:$F,$C872,Chicks!$G:$G,$D872))</f>
        <v/>
      </c>
      <c r="M872" s="6" t="str">
        <f>IF($C872="","",SUMIFS(Chicks!$P:$P,Chicks!$F:$F,$C872,Chicks!$G:$G,$D872))</f>
        <v/>
      </c>
      <c r="N872" s="6" t="str">
        <f t="shared" si="15"/>
        <v/>
      </c>
      <c r="O872" s="6" t="e">
        <f t="shared" ca="1" si="16"/>
        <v>#NAME?</v>
      </c>
      <c r="P872" s="6" t="str">
        <f t="shared" si="17"/>
        <v/>
      </c>
    </row>
    <row r="873" spans="3:16" ht="14.25" customHeight="1" x14ac:dyDescent="0.3">
      <c r="C873" s="6" t="str">
        <f t="shared" si="18"/>
        <v/>
      </c>
      <c r="D873" s="6" t="str">
        <f t="shared" si="19"/>
        <v/>
      </c>
      <c r="F873" s="6" t="str">
        <f>IF($C873="","",COUNTIFS(Chicks!$F:$F,$C873,Chicks!$G:$G,$D873))</f>
        <v/>
      </c>
      <c r="G873" s="6" t="str">
        <f>IF($C873="","",COUNTIFS(Chicks!$F:$F,$C873,Chicks!$G:$G,$D873,Chicks!$I:$I,"Yes"))</f>
        <v/>
      </c>
      <c r="H873" s="6" t="str">
        <f>IF($C873="","",SUMIFS(Chicks!$J:$J,Chicks!$F:$F,$C873,Chicks!$G:$G,$D873))</f>
        <v/>
      </c>
      <c r="I873" s="6" t="str">
        <f>IF($C873="","",COUNTIFS(Chicks!$F:$F,$C873,Chicks!$G:$G,$D873,Chicks!$I:$I,"No"))</f>
        <v/>
      </c>
      <c r="J873" s="6" t="str">
        <f>IF($C873="","",IFERROR(AVERAGEIFS(Chicks!$M:$M,Chicks!$F:$F,$C873,Chicks!$G:$G,$D873),""))</f>
        <v/>
      </c>
      <c r="K873" s="6" t="str">
        <f>IF($C873="","",SUMIFS(Chicks!$N:$N,Chicks!$F:$F,$C873,Chicks!$G:$G,$D873))</f>
        <v/>
      </c>
      <c r="L873" s="6" t="str">
        <f>IF($C873="","",SUMIFS(Chicks!$O:$O,Chicks!$F:$F,$C873,Chicks!$G:$G,$D873))</f>
        <v/>
      </c>
      <c r="M873" s="6" t="str">
        <f>IF($C873="","",SUMIFS(Chicks!$P:$P,Chicks!$F:$F,$C873,Chicks!$G:$G,$D873))</f>
        <v/>
      </c>
      <c r="N873" s="6" t="str">
        <f t="shared" si="15"/>
        <v/>
      </c>
      <c r="O873" s="6" t="e">
        <f t="shared" ca="1" si="16"/>
        <v>#NAME?</v>
      </c>
      <c r="P873" s="6" t="str">
        <f t="shared" si="17"/>
        <v/>
      </c>
    </row>
    <row r="874" spans="3:16" ht="14.25" customHeight="1" x14ac:dyDescent="0.3">
      <c r="C874" s="6" t="str">
        <f t="shared" si="18"/>
        <v/>
      </c>
      <c r="D874" s="6" t="str">
        <f t="shared" si="19"/>
        <v/>
      </c>
      <c r="F874" s="6" t="str">
        <f>IF($C874="","",COUNTIFS(Chicks!$F:$F,$C874,Chicks!$G:$G,$D874))</f>
        <v/>
      </c>
      <c r="G874" s="6" t="str">
        <f>IF($C874="","",COUNTIFS(Chicks!$F:$F,$C874,Chicks!$G:$G,$D874,Chicks!$I:$I,"Yes"))</f>
        <v/>
      </c>
      <c r="H874" s="6" t="str">
        <f>IF($C874="","",SUMIFS(Chicks!$J:$J,Chicks!$F:$F,$C874,Chicks!$G:$G,$D874))</f>
        <v/>
      </c>
      <c r="I874" s="6" t="str">
        <f>IF($C874="","",COUNTIFS(Chicks!$F:$F,$C874,Chicks!$G:$G,$D874,Chicks!$I:$I,"No"))</f>
        <v/>
      </c>
      <c r="J874" s="6" t="str">
        <f>IF($C874="","",IFERROR(AVERAGEIFS(Chicks!$M:$M,Chicks!$F:$F,$C874,Chicks!$G:$G,$D874),""))</f>
        <v/>
      </c>
      <c r="K874" s="6" t="str">
        <f>IF($C874="","",SUMIFS(Chicks!$N:$N,Chicks!$F:$F,$C874,Chicks!$G:$G,$D874))</f>
        <v/>
      </c>
      <c r="L874" s="6" t="str">
        <f>IF($C874="","",SUMIFS(Chicks!$O:$O,Chicks!$F:$F,$C874,Chicks!$G:$G,$D874))</f>
        <v/>
      </c>
      <c r="M874" s="6" t="str">
        <f>IF($C874="","",SUMIFS(Chicks!$P:$P,Chicks!$F:$F,$C874,Chicks!$G:$G,$D874))</f>
        <v/>
      </c>
      <c r="N874" s="6" t="str">
        <f t="shared" si="15"/>
        <v/>
      </c>
      <c r="O874" s="6" t="e">
        <f t="shared" ca="1" si="16"/>
        <v>#NAME?</v>
      </c>
      <c r="P874" s="6" t="str">
        <f t="shared" si="17"/>
        <v/>
      </c>
    </row>
    <row r="875" spans="3:16" ht="14.25" customHeight="1" x14ac:dyDescent="0.3">
      <c r="C875" s="6" t="str">
        <f t="shared" si="18"/>
        <v/>
      </c>
      <c r="D875" s="6" t="str">
        <f t="shared" si="19"/>
        <v/>
      </c>
      <c r="F875" s="6" t="str">
        <f>IF($C875="","",COUNTIFS(Chicks!$F:$F,$C875,Chicks!$G:$G,$D875))</f>
        <v/>
      </c>
      <c r="G875" s="6" t="str">
        <f>IF($C875="","",COUNTIFS(Chicks!$F:$F,$C875,Chicks!$G:$G,$D875,Chicks!$I:$I,"Yes"))</f>
        <v/>
      </c>
      <c r="H875" s="6" t="str">
        <f>IF($C875="","",SUMIFS(Chicks!$J:$J,Chicks!$F:$F,$C875,Chicks!$G:$G,$D875))</f>
        <v/>
      </c>
      <c r="I875" s="6" t="str">
        <f>IF($C875="","",COUNTIFS(Chicks!$F:$F,$C875,Chicks!$G:$G,$D875,Chicks!$I:$I,"No"))</f>
        <v/>
      </c>
      <c r="J875" s="6" t="str">
        <f>IF($C875="","",IFERROR(AVERAGEIFS(Chicks!$M:$M,Chicks!$F:$F,$C875,Chicks!$G:$G,$D875),""))</f>
        <v/>
      </c>
      <c r="K875" s="6" t="str">
        <f>IF($C875="","",SUMIFS(Chicks!$N:$N,Chicks!$F:$F,$C875,Chicks!$G:$G,$D875))</f>
        <v/>
      </c>
      <c r="L875" s="6" t="str">
        <f>IF($C875="","",SUMIFS(Chicks!$O:$O,Chicks!$F:$F,$C875,Chicks!$G:$G,$D875))</f>
        <v/>
      </c>
      <c r="M875" s="6" t="str">
        <f>IF($C875="","",SUMIFS(Chicks!$P:$P,Chicks!$F:$F,$C875,Chicks!$G:$G,$D875))</f>
        <v/>
      </c>
      <c r="N875" s="6" t="str">
        <f t="shared" si="15"/>
        <v/>
      </c>
      <c r="O875" s="6" t="e">
        <f t="shared" ca="1" si="16"/>
        <v>#NAME?</v>
      </c>
      <c r="P875" s="6" t="str">
        <f t="shared" si="17"/>
        <v/>
      </c>
    </row>
    <row r="876" spans="3:16" ht="14.25" customHeight="1" x14ac:dyDescent="0.3">
      <c r="C876" s="6" t="str">
        <f t="shared" si="18"/>
        <v/>
      </c>
      <c r="D876" s="6" t="str">
        <f t="shared" si="19"/>
        <v/>
      </c>
      <c r="F876" s="6" t="str">
        <f>IF($C876="","",COUNTIFS(Chicks!$F:$F,$C876,Chicks!$G:$G,$D876))</f>
        <v/>
      </c>
      <c r="G876" s="6" t="str">
        <f>IF($C876="","",COUNTIFS(Chicks!$F:$F,$C876,Chicks!$G:$G,$D876,Chicks!$I:$I,"Yes"))</f>
        <v/>
      </c>
      <c r="H876" s="6" t="str">
        <f>IF($C876="","",SUMIFS(Chicks!$J:$J,Chicks!$F:$F,$C876,Chicks!$G:$G,$D876))</f>
        <v/>
      </c>
      <c r="I876" s="6" t="str">
        <f>IF($C876="","",COUNTIFS(Chicks!$F:$F,$C876,Chicks!$G:$G,$D876,Chicks!$I:$I,"No"))</f>
        <v/>
      </c>
      <c r="J876" s="6" t="str">
        <f>IF($C876="","",IFERROR(AVERAGEIFS(Chicks!$M:$M,Chicks!$F:$F,$C876,Chicks!$G:$G,$D876),""))</f>
        <v/>
      </c>
      <c r="K876" s="6" t="str">
        <f>IF($C876="","",SUMIFS(Chicks!$N:$N,Chicks!$F:$F,$C876,Chicks!$G:$G,$D876))</f>
        <v/>
      </c>
      <c r="L876" s="6" t="str">
        <f>IF($C876="","",SUMIFS(Chicks!$O:$O,Chicks!$F:$F,$C876,Chicks!$G:$G,$D876))</f>
        <v/>
      </c>
      <c r="M876" s="6" t="str">
        <f>IF($C876="","",SUMIFS(Chicks!$P:$P,Chicks!$F:$F,$C876,Chicks!$G:$G,$D876))</f>
        <v/>
      </c>
      <c r="N876" s="6" t="str">
        <f t="shared" si="15"/>
        <v/>
      </c>
      <c r="O876" s="6" t="e">
        <f t="shared" ca="1" si="16"/>
        <v>#NAME?</v>
      </c>
      <c r="P876" s="6" t="str">
        <f t="shared" si="17"/>
        <v/>
      </c>
    </row>
    <row r="877" spans="3:16" ht="14.25" customHeight="1" x14ac:dyDescent="0.3">
      <c r="C877" s="6" t="str">
        <f t="shared" si="18"/>
        <v/>
      </c>
      <c r="D877" s="6" t="str">
        <f t="shared" si="19"/>
        <v/>
      </c>
      <c r="F877" s="6" t="str">
        <f>IF($C877="","",COUNTIFS(Chicks!$F:$F,$C877,Chicks!$G:$G,$D877))</f>
        <v/>
      </c>
      <c r="G877" s="6" t="str">
        <f>IF($C877="","",COUNTIFS(Chicks!$F:$F,$C877,Chicks!$G:$G,$D877,Chicks!$I:$I,"Yes"))</f>
        <v/>
      </c>
      <c r="H877" s="6" t="str">
        <f>IF($C877="","",SUMIFS(Chicks!$J:$J,Chicks!$F:$F,$C877,Chicks!$G:$G,$D877))</f>
        <v/>
      </c>
      <c r="I877" s="6" t="str">
        <f>IF($C877="","",COUNTIFS(Chicks!$F:$F,$C877,Chicks!$G:$G,$D877,Chicks!$I:$I,"No"))</f>
        <v/>
      </c>
      <c r="J877" s="6" t="str">
        <f>IF($C877="","",IFERROR(AVERAGEIFS(Chicks!$M:$M,Chicks!$F:$F,$C877,Chicks!$G:$G,$D877),""))</f>
        <v/>
      </c>
      <c r="K877" s="6" t="str">
        <f>IF($C877="","",SUMIFS(Chicks!$N:$N,Chicks!$F:$F,$C877,Chicks!$G:$G,$D877))</f>
        <v/>
      </c>
      <c r="L877" s="6" t="str">
        <f>IF($C877="","",SUMIFS(Chicks!$O:$O,Chicks!$F:$F,$C877,Chicks!$G:$G,$D877))</f>
        <v/>
      </c>
      <c r="M877" s="6" t="str">
        <f>IF($C877="","",SUMIFS(Chicks!$P:$P,Chicks!$F:$F,$C877,Chicks!$G:$G,$D877))</f>
        <v/>
      </c>
      <c r="N877" s="6" t="str">
        <f t="shared" si="15"/>
        <v/>
      </c>
      <c r="O877" s="6" t="e">
        <f t="shared" ca="1" si="16"/>
        <v>#NAME?</v>
      </c>
      <c r="P877" s="6" t="str">
        <f t="shared" si="17"/>
        <v/>
      </c>
    </row>
    <row r="878" spans="3:16" ht="14.25" customHeight="1" x14ac:dyDescent="0.3">
      <c r="C878" s="6" t="str">
        <f t="shared" si="18"/>
        <v/>
      </c>
      <c r="D878" s="6" t="str">
        <f t="shared" si="19"/>
        <v/>
      </c>
      <c r="F878" s="6" t="str">
        <f>IF($C878="","",COUNTIFS(Chicks!$F:$F,$C878,Chicks!$G:$G,$D878))</f>
        <v/>
      </c>
      <c r="G878" s="6" t="str">
        <f>IF($C878="","",COUNTIFS(Chicks!$F:$F,$C878,Chicks!$G:$G,$D878,Chicks!$I:$I,"Yes"))</f>
        <v/>
      </c>
      <c r="H878" s="6" t="str">
        <f>IF($C878="","",SUMIFS(Chicks!$J:$J,Chicks!$F:$F,$C878,Chicks!$G:$G,$D878))</f>
        <v/>
      </c>
      <c r="I878" s="6" t="str">
        <f>IF($C878="","",COUNTIFS(Chicks!$F:$F,$C878,Chicks!$G:$G,$D878,Chicks!$I:$I,"No"))</f>
        <v/>
      </c>
      <c r="J878" s="6" t="str">
        <f>IF($C878="","",IFERROR(AVERAGEIFS(Chicks!$M:$M,Chicks!$F:$F,$C878,Chicks!$G:$G,$D878),""))</f>
        <v/>
      </c>
      <c r="K878" s="6" t="str">
        <f>IF($C878="","",SUMIFS(Chicks!$N:$N,Chicks!$F:$F,$C878,Chicks!$G:$G,$D878))</f>
        <v/>
      </c>
      <c r="L878" s="6" t="str">
        <f>IF($C878="","",SUMIFS(Chicks!$O:$O,Chicks!$F:$F,$C878,Chicks!$G:$G,$D878))</f>
        <v/>
      </c>
      <c r="M878" s="6" t="str">
        <f>IF($C878="","",SUMIFS(Chicks!$P:$P,Chicks!$F:$F,$C878,Chicks!$G:$G,$D878))</f>
        <v/>
      </c>
      <c r="N878" s="6" t="str">
        <f t="shared" si="15"/>
        <v/>
      </c>
      <c r="O878" s="6" t="e">
        <f t="shared" ca="1" si="16"/>
        <v>#NAME?</v>
      </c>
      <c r="P878" s="6" t="str">
        <f t="shared" si="17"/>
        <v/>
      </c>
    </row>
    <row r="879" spans="3:16" ht="14.25" customHeight="1" x14ac:dyDescent="0.3">
      <c r="C879" s="6" t="str">
        <f t="shared" si="18"/>
        <v/>
      </c>
      <c r="D879" s="6" t="str">
        <f t="shared" si="19"/>
        <v/>
      </c>
      <c r="F879" s="6" t="str">
        <f>IF($C879="","",COUNTIFS(Chicks!$F:$F,$C879,Chicks!$G:$G,$D879))</f>
        <v/>
      </c>
      <c r="G879" s="6" t="str">
        <f>IF($C879="","",COUNTIFS(Chicks!$F:$F,$C879,Chicks!$G:$G,$D879,Chicks!$I:$I,"Yes"))</f>
        <v/>
      </c>
      <c r="H879" s="6" t="str">
        <f>IF($C879="","",SUMIFS(Chicks!$J:$J,Chicks!$F:$F,$C879,Chicks!$G:$G,$D879))</f>
        <v/>
      </c>
      <c r="I879" s="6" t="str">
        <f>IF($C879="","",COUNTIFS(Chicks!$F:$F,$C879,Chicks!$G:$G,$D879,Chicks!$I:$I,"No"))</f>
        <v/>
      </c>
      <c r="J879" s="6" t="str">
        <f>IF($C879="","",IFERROR(AVERAGEIFS(Chicks!$M:$M,Chicks!$F:$F,$C879,Chicks!$G:$G,$D879),""))</f>
        <v/>
      </c>
      <c r="K879" s="6" t="str">
        <f>IF($C879="","",SUMIFS(Chicks!$N:$N,Chicks!$F:$F,$C879,Chicks!$G:$G,$D879))</f>
        <v/>
      </c>
      <c r="L879" s="6" t="str">
        <f>IF($C879="","",SUMIFS(Chicks!$O:$O,Chicks!$F:$F,$C879,Chicks!$G:$G,$D879))</f>
        <v/>
      </c>
      <c r="M879" s="6" t="str">
        <f>IF($C879="","",SUMIFS(Chicks!$P:$P,Chicks!$F:$F,$C879,Chicks!$G:$G,$D879))</f>
        <v/>
      </c>
      <c r="N879" s="6" t="str">
        <f t="shared" si="15"/>
        <v/>
      </c>
      <c r="O879" s="6" t="e">
        <f t="shared" ca="1" si="16"/>
        <v>#NAME?</v>
      </c>
      <c r="P879" s="6" t="str">
        <f t="shared" si="17"/>
        <v/>
      </c>
    </row>
    <row r="880" spans="3:16" ht="14.25" customHeight="1" x14ac:dyDescent="0.3">
      <c r="C880" s="6" t="str">
        <f t="shared" si="18"/>
        <v/>
      </c>
      <c r="D880" s="6" t="str">
        <f t="shared" si="19"/>
        <v/>
      </c>
      <c r="F880" s="6" t="str">
        <f>IF($C880="","",COUNTIFS(Chicks!$F:$F,$C880,Chicks!$G:$G,$D880))</f>
        <v/>
      </c>
      <c r="G880" s="6" t="str">
        <f>IF($C880="","",COUNTIFS(Chicks!$F:$F,$C880,Chicks!$G:$G,$D880,Chicks!$I:$I,"Yes"))</f>
        <v/>
      </c>
      <c r="H880" s="6" t="str">
        <f>IF($C880="","",SUMIFS(Chicks!$J:$J,Chicks!$F:$F,$C880,Chicks!$G:$G,$D880))</f>
        <v/>
      </c>
      <c r="I880" s="6" t="str">
        <f>IF($C880="","",COUNTIFS(Chicks!$F:$F,$C880,Chicks!$G:$G,$D880,Chicks!$I:$I,"No"))</f>
        <v/>
      </c>
      <c r="J880" s="6" t="str">
        <f>IF($C880="","",IFERROR(AVERAGEIFS(Chicks!$M:$M,Chicks!$F:$F,$C880,Chicks!$G:$G,$D880),""))</f>
        <v/>
      </c>
      <c r="K880" s="6" t="str">
        <f>IF($C880="","",SUMIFS(Chicks!$N:$N,Chicks!$F:$F,$C880,Chicks!$G:$G,$D880))</f>
        <v/>
      </c>
      <c r="L880" s="6" t="str">
        <f>IF($C880="","",SUMIFS(Chicks!$O:$O,Chicks!$F:$F,$C880,Chicks!$G:$G,$D880))</f>
        <v/>
      </c>
      <c r="M880" s="6" t="str">
        <f>IF($C880="","",SUMIFS(Chicks!$P:$P,Chicks!$F:$F,$C880,Chicks!$G:$G,$D880))</f>
        <v/>
      </c>
      <c r="N880" s="6" t="str">
        <f t="shared" si="15"/>
        <v/>
      </c>
      <c r="O880" s="6" t="e">
        <f t="shared" ca="1" si="16"/>
        <v>#NAME?</v>
      </c>
      <c r="P880" s="6" t="str">
        <f t="shared" si="17"/>
        <v/>
      </c>
    </row>
    <row r="881" spans="3:16" ht="14.25" customHeight="1" x14ac:dyDescent="0.3">
      <c r="C881" s="6" t="str">
        <f t="shared" si="18"/>
        <v/>
      </c>
      <c r="D881" s="6" t="str">
        <f t="shared" si="19"/>
        <v/>
      </c>
      <c r="F881" s="6" t="str">
        <f>IF($C881="","",COUNTIFS(Chicks!$F:$F,$C881,Chicks!$G:$G,$D881))</f>
        <v/>
      </c>
      <c r="G881" s="6" t="str">
        <f>IF($C881="","",COUNTIFS(Chicks!$F:$F,$C881,Chicks!$G:$G,$D881,Chicks!$I:$I,"Yes"))</f>
        <v/>
      </c>
      <c r="H881" s="6" t="str">
        <f>IF($C881="","",SUMIFS(Chicks!$J:$J,Chicks!$F:$F,$C881,Chicks!$G:$G,$D881))</f>
        <v/>
      </c>
      <c r="I881" s="6" t="str">
        <f>IF($C881="","",COUNTIFS(Chicks!$F:$F,$C881,Chicks!$G:$G,$D881,Chicks!$I:$I,"No"))</f>
        <v/>
      </c>
      <c r="J881" s="6" t="str">
        <f>IF($C881="","",IFERROR(AVERAGEIFS(Chicks!$M:$M,Chicks!$F:$F,$C881,Chicks!$G:$G,$D881),""))</f>
        <v/>
      </c>
      <c r="K881" s="6" t="str">
        <f>IF($C881="","",SUMIFS(Chicks!$N:$N,Chicks!$F:$F,$C881,Chicks!$G:$G,$D881))</f>
        <v/>
      </c>
      <c r="L881" s="6" t="str">
        <f>IF($C881="","",SUMIFS(Chicks!$O:$O,Chicks!$F:$F,$C881,Chicks!$G:$G,$D881))</f>
        <v/>
      </c>
      <c r="M881" s="6" t="str">
        <f>IF($C881="","",SUMIFS(Chicks!$P:$P,Chicks!$F:$F,$C881,Chicks!$G:$G,$D881))</f>
        <v/>
      </c>
      <c r="N881" s="6" t="str">
        <f t="shared" si="15"/>
        <v/>
      </c>
      <c r="O881" s="6" t="e">
        <f t="shared" ca="1" si="16"/>
        <v>#NAME?</v>
      </c>
      <c r="P881" s="6" t="str">
        <f t="shared" si="17"/>
        <v/>
      </c>
    </row>
    <row r="882" spans="3:16" ht="14.25" customHeight="1" x14ac:dyDescent="0.3">
      <c r="C882" s="6" t="str">
        <f t="shared" si="18"/>
        <v/>
      </c>
      <c r="D882" s="6" t="str">
        <f t="shared" si="19"/>
        <v/>
      </c>
      <c r="F882" s="6" t="str">
        <f>IF($C882="","",COUNTIFS(Chicks!$F:$F,$C882,Chicks!$G:$G,$D882))</f>
        <v/>
      </c>
      <c r="G882" s="6" t="str">
        <f>IF($C882="","",COUNTIFS(Chicks!$F:$F,$C882,Chicks!$G:$G,$D882,Chicks!$I:$I,"Yes"))</f>
        <v/>
      </c>
      <c r="H882" s="6" t="str">
        <f>IF($C882="","",SUMIFS(Chicks!$J:$J,Chicks!$F:$F,$C882,Chicks!$G:$G,$D882))</f>
        <v/>
      </c>
      <c r="I882" s="6" t="str">
        <f>IF($C882="","",COUNTIFS(Chicks!$F:$F,$C882,Chicks!$G:$G,$D882,Chicks!$I:$I,"No"))</f>
        <v/>
      </c>
      <c r="J882" s="6" t="str">
        <f>IF($C882="","",IFERROR(AVERAGEIFS(Chicks!$M:$M,Chicks!$F:$F,$C882,Chicks!$G:$G,$D882),""))</f>
        <v/>
      </c>
      <c r="K882" s="6" t="str">
        <f>IF($C882="","",SUMIFS(Chicks!$N:$N,Chicks!$F:$F,$C882,Chicks!$G:$G,$D882))</f>
        <v/>
      </c>
      <c r="L882" s="6" t="str">
        <f>IF($C882="","",SUMIFS(Chicks!$O:$O,Chicks!$F:$F,$C882,Chicks!$G:$G,$D882))</f>
        <v/>
      </c>
      <c r="M882" s="6" t="str">
        <f>IF($C882="","",SUMIFS(Chicks!$P:$P,Chicks!$F:$F,$C882,Chicks!$G:$G,$D882))</f>
        <v/>
      </c>
      <c r="N882" s="6" t="str">
        <f t="shared" si="15"/>
        <v/>
      </c>
      <c r="O882" s="6" t="e">
        <f t="shared" ca="1" si="16"/>
        <v>#NAME?</v>
      </c>
      <c r="P882" s="6" t="str">
        <f t="shared" si="17"/>
        <v/>
      </c>
    </row>
    <row r="883" spans="3:16" ht="14.25" customHeight="1" x14ac:dyDescent="0.3">
      <c r="C883" s="6" t="str">
        <f t="shared" si="18"/>
        <v/>
      </c>
      <c r="D883" s="6" t="str">
        <f t="shared" si="19"/>
        <v/>
      </c>
      <c r="F883" s="6" t="str">
        <f>IF($C883="","",COUNTIFS(Chicks!$F:$F,$C883,Chicks!$G:$G,$D883))</f>
        <v/>
      </c>
      <c r="G883" s="6" t="str">
        <f>IF($C883="","",COUNTIFS(Chicks!$F:$F,$C883,Chicks!$G:$G,$D883,Chicks!$I:$I,"Yes"))</f>
        <v/>
      </c>
      <c r="H883" s="6" t="str">
        <f>IF($C883="","",SUMIFS(Chicks!$J:$J,Chicks!$F:$F,$C883,Chicks!$G:$G,$D883))</f>
        <v/>
      </c>
      <c r="I883" s="6" t="str">
        <f>IF($C883="","",COUNTIFS(Chicks!$F:$F,$C883,Chicks!$G:$G,$D883,Chicks!$I:$I,"No"))</f>
        <v/>
      </c>
      <c r="J883" s="6" t="str">
        <f>IF($C883="","",IFERROR(AVERAGEIFS(Chicks!$M:$M,Chicks!$F:$F,$C883,Chicks!$G:$G,$D883),""))</f>
        <v/>
      </c>
      <c r="K883" s="6" t="str">
        <f>IF($C883="","",SUMIFS(Chicks!$N:$N,Chicks!$F:$F,$C883,Chicks!$G:$G,$D883))</f>
        <v/>
      </c>
      <c r="L883" s="6" t="str">
        <f>IF($C883="","",SUMIFS(Chicks!$O:$O,Chicks!$F:$F,$C883,Chicks!$G:$G,$D883))</f>
        <v/>
      </c>
      <c r="M883" s="6" t="str">
        <f>IF($C883="","",SUMIFS(Chicks!$P:$P,Chicks!$F:$F,$C883,Chicks!$G:$G,$D883))</f>
        <v/>
      </c>
      <c r="N883" s="6" t="str">
        <f t="shared" si="15"/>
        <v/>
      </c>
      <c r="O883" s="6" t="e">
        <f t="shared" ca="1" si="16"/>
        <v>#NAME?</v>
      </c>
      <c r="P883" s="6" t="str">
        <f t="shared" si="17"/>
        <v/>
      </c>
    </row>
    <row r="884" spans="3:16" ht="14.25" customHeight="1" x14ac:dyDescent="0.3">
      <c r="C884" s="6" t="str">
        <f t="shared" si="18"/>
        <v/>
      </c>
      <c r="D884" s="6" t="str">
        <f t="shared" si="19"/>
        <v/>
      </c>
      <c r="F884" s="6" t="str">
        <f>IF($C884="","",COUNTIFS(Chicks!$F:$F,$C884,Chicks!$G:$G,$D884))</f>
        <v/>
      </c>
      <c r="G884" s="6" t="str">
        <f>IF($C884="","",COUNTIFS(Chicks!$F:$F,$C884,Chicks!$G:$G,$D884,Chicks!$I:$I,"Yes"))</f>
        <v/>
      </c>
      <c r="H884" s="6" t="str">
        <f>IF($C884="","",SUMIFS(Chicks!$J:$J,Chicks!$F:$F,$C884,Chicks!$G:$G,$D884))</f>
        <v/>
      </c>
      <c r="I884" s="6" t="str">
        <f>IF($C884="","",COUNTIFS(Chicks!$F:$F,$C884,Chicks!$G:$G,$D884,Chicks!$I:$I,"No"))</f>
        <v/>
      </c>
      <c r="J884" s="6" t="str">
        <f>IF($C884="","",IFERROR(AVERAGEIFS(Chicks!$M:$M,Chicks!$F:$F,$C884,Chicks!$G:$G,$D884),""))</f>
        <v/>
      </c>
      <c r="K884" s="6" t="str">
        <f>IF($C884="","",SUMIFS(Chicks!$N:$N,Chicks!$F:$F,$C884,Chicks!$G:$G,$D884))</f>
        <v/>
      </c>
      <c r="L884" s="6" t="str">
        <f>IF($C884="","",SUMIFS(Chicks!$O:$O,Chicks!$F:$F,$C884,Chicks!$G:$G,$D884))</f>
        <v/>
      </c>
      <c r="M884" s="6" t="str">
        <f>IF($C884="","",SUMIFS(Chicks!$P:$P,Chicks!$F:$F,$C884,Chicks!$G:$G,$D884))</f>
        <v/>
      </c>
      <c r="N884" s="6" t="str">
        <f t="shared" si="15"/>
        <v/>
      </c>
      <c r="O884" s="6" t="e">
        <f t="shared" ca="1" si="16"/>
        <v>#NAME?</v>
      </c>
      <c r="P884" s="6" t="str">
        <f t="shared" si="17"/>
        <v/>
      </c>
    </row>
    <row r="885" spans="3:16" ht="14.25" customHeight="1" x14ac:dyDescent="0.3">
      <c r="C885" s="6" t="str">
        <f t="shared" si="18"/>
        <v/>
      </c>
      <c r="D885" s="6" t="str">
        <f t="shared" si="19"/>
        <v/>
      </c>
      <c r="F885" s="6" t="str">
        <f>IF($C885="","",COUNTIFS(Chicks!$F:$F,$C885,Chicks!$G:$G,$D885))</f>
        <v/>
      </c>
      <c r="G885" s="6" t="str">
        <f>IF($C885="","",COUNTIFS(Chicks!$F:$F,$C885,Chicks!$G:$G,$D885,Chicks!$I:$I,"Yes"))</f>
        <v/>
      </c>
      <c r="H885" s="6" t="str">
        <f>IF($C885="","",SUMIFS(Chicks!$J:$J,Chicks!$F:$F,$C885,Chicks!$G:$G,$D885))</f>
        <v/>
      </c>
      <c r="I885" s="6" t="str">
        <f>IF($C885="","",COUNTIFS(Chicks!$F:$F,$C885,Chicks!$G:$G,$D885,Chicks!$I:$I,"No"))</f>
        <v/>
      </c>
      <c r="J885" s="6" t="str">
        <f>IF($C885="","",IFERROR(AVERAGEIFS(Chicks!$M:$M,Chicks!$F:$F,$C885,Chicks!$G:$G,$D885),""))</f>
        <v/>
      </c>
      <c r="K885" s="6" t="str">
        <f>IF($C885="","",SUMIFS(Chicks!$N:$N,Chicks!$F:$F,$C885,Chicks!$G:$G,$D885))</f>
        <v/>
      </c>
      <c r="L885" s="6" t="str">
        <f>IF($C885="","",SUMIFS(Chicks!$O:$O,Chicks!$F:$F,$C885,Chicks!$G:$G,$D885))</f>
        <v/>
      </c>
      <c r="M885" s="6" t="str">
        <f>IF($C885="","",SUMIFS(Chicks!$P:$P,Chicks!$F:$F,$C885,Chicks!$G:$G,$D885))</f>
        <v/>
      </c>
      <c r="N885" s="6" t="str">
        <f t="shared" si="15"/>
        <v/>
      </c>
      <c r="O885" s="6" t="e">
        <f t="shared" ca="1" si="16"/>
        <v>#NAME?</v>
      </c>
      <c r="P885" s="6" t="str">
        <f t="shared" si="17"/>
        <v/>
      </c>
    </row>
    <row r="886" spans="3:16" ht="14.25" customHeight="1" x14ac:dyDescent="0.3">
      <c r="C886" s="6" t="str">
        <f t="shared" si="18"/>
        <v/>
      </c>
      <c r="D886" s="6" t="str">
        <f t="shared" si="19"/>
        <v/>
      </c>
      <c r="F886" s="6" t="str">
        <f>IF($C886="","",COUNTIFS(Chicks!$F:$F,$C886,Chicks!$G:$G,$D886))</f>
        <v/>
      </c>
      <c r="G886" s="6" t="str">
        <f>IF($C886="","",COUNTIFS(Chicks!$F:$F,$C886,Chicks!$G:$G,$D886,Chicks!$I:$I,"Yes"))</f>
        <v/>
      </c>
      <c r="H886" s="6" t="str">
        <f>IF($C886="","",SUMIFS(Chicks!$J:$J,Chicks!$F:$F,$C886,Chicks!$G:$G,$D886))</f>
        <v/>
      </c>
      <c r="I886" s="6" t="str">
        <f>IF($C886="","",COUNTIFS(Chicks!$F:$F,$C886,Chicks!$G:$G,$D886,Chicks!$I:$I,"No"))</f>
        <v/>
      </c>
      <c r="J886" s="6" t="str">
        <f>IF($C886="","",IFERROR(AVERAGEIFS(Chicks!$M:$M,Chicks!$F:$F,$C886,Chicks!$G:$G,$D886),""))</f>
        <v/>
      </c>
      <c r="K886" s="6" t="str">
        <f>IF($C886="","",SUMIFS(Chicks!$N:$N,Chicks!$F:$F,$C886,Chicks!$G:$G,$D886))</f>
        <v/>
      </c>
      <c r="L886" s="6" t="str">
        <f>IF($C886="","",SUMIFS(Chicks!$O:$O,Chicks!$F:$F,$C886,Chicks!$G:$G,$D886))</f>
        <v/>
      </c>
      <c r="M886" s="6" t="str">
        <f>IF($C886="","",SUMIFS(Chicks!$P:$P,Chicks!$F:$F,$C886,Chicks!$G:$G,$D886))</f>
        <v/>
      </c>
      <c r="N886" s="6" t="str">
        <f t="shared" si="15"/>
        <v/>
      </c>
      <c r="O886" s="6" t="e">
        <f t="shared" ca="1" si="16"/>
        <v>#NAME?</v>
      </c>
      <c r="P886" s="6" t="str">
        <f t="shared" si="17"/>
        <v/>
      </c>
    </row>
    <row r="887" spans="3:16" ht="14.25" customHeight="1" x14ac:dyDescent="0.3">
      <c r="C887" s="6" t="str">
        <f t="shared" si="18"/>
        <v/>
      </c>
      <c r="D887" s="6" t="str">
        <f t="shared" si="19"/>
        <v/>
      </c>
      <c r="F887" s="6" t="str">
        <f>IF($C887="","",COUNTIFS(Chicks!$F:$F,$C887,Chicks!$G:$G,$D887))</f>
        <v/>
      </c>
      <c r="G887" s="6" t="str">
        <f>IF($C887="","",COUNTIFS(Chicks!$F:$F,$C887,Chicks!$G:$G,$D887,Chicks!$I:$I,"Yes"))</f>
        <v/>
      </c>
      <c r="H887" s="6" t="str">
        <f>IF($C887="","",SUMIFS(Chicks!$J:$J,Chicks!$F:$F,$C887,Chicks!$G:$G,$D887))</f>
        <v/>
      </c>
      <c r="I887" s="6" t="str">
        <f>IF($C887="","",COUNTIFS(Chicks!$F:$F,$C887,Chicks!$G:$G,$D887,Chicks!$I:$I,"No"))</f>
        <v/>
      </c>
      <c r="J887" s="6" t="str">
        <f>IF($C887="","",IFERROR(AVERAGEIFS(Chicks!$M:$M,Chicks!$F:$F,$C887,Chicks!$G:$G,$D887),""))</f>
        <v/>
      </c>
      <c r="K887" s="6" t="str">
        <f>IF($C887="","",SUMIFS(Chicks!$N:$N,Chicks!$F:$F,$C887,Chicks!$G:$G,$D887))</f>
        <v/>
      </c>
      <c r="L887" s="6" t="str">
        <f>IF($C887="","",SUMIFS(Chicks!$O:$O,Chicks!$F:$F,$C887,Chicks!$G:$G,$D887))</f>
        <v/>
      </c>
      <c r="M887" s="6" t="str">
        <f>IF($C887="","",SUMIFS(Chicks!$P:$P,Chicks!$F:$F,$C887,Chicks!$G:$G,$D887))</f>
        <v/>
      </c>
      <c r="N887" s="6" t="str">
        <f t="shared" si="15"/>
        <v/>
      </c>
      <c r="O887" s="6" t="e">
        <f t="shared" ca="1" si="16"/>
        <v>#NAME?</v>
      </c>
      <c r="P887" s="6" t="str">
        <f t="shared" si="17"/>
        <v/>
      </c>
    </row>
    <row r="888" spans="3:16" ht="14.25" customHeight="1" x14ac:dyDescent="0.3">
      <c r="C888" s="6" t="str">
        <f t="shared" si="18"/>
        <v/>
      </c>
      <c r="D888" s="6" t="str">
        <f t="shared" si="19"/>
        <v/>
      </c>
      <c r="F888" s="6" t="str">
        <f>IF($C888="","",COUNTIFS(Chicks!$F:$F,$C888,Chicks!$G:$G,$D888))</f>
        <v/>
      </c>
      <c r="G888" s="6" t="str">
        <f>IF($C888="","",COUNTIFS(Chicks!$F:$F,$C888,Chicks!$G:$G,$D888,Chicks!$I:$I,"Yes"))</f>
        <v/>
      </c>
      <c r="H888" s="6" t="str">
        <f>IF($C888="","",SUMIFS(Chicks!$J:$J,Chicks!$F:$F,$C888,Chicks!$G:$G,$D888))</f>
        <v/>
      </c>
      <c r="I888" s="6" t="str">
        <f>IF($C888="","",COUNTIFS(Chicks!$F:$F,$C888,Chicks!$G:$G,$D888,Chicks!$I:$I,"No"))</f>
        <v/>
      </c>
      <c r="J888" s="6" t="str">
        <f>IF($C888="","",IFERROR(AVERAGEIFS(Chicks!$M:$M,Chicks!$F:$F,$C888,Chicks!$G:$G,$D888),""))</f>
        <v/>
      </c>
      <c r="K888" s="6" t="str">
        <f>IF($C888="","",SUMIFS(Chicks!$N:$N,Chicks!$F:$F,$C888,Chicks!$G:$G,$D888))</f>
        <v/>
      </c>
      <c r="L888" s="6" t="str">
        <f>IF($C888="","",SUMIFS(Chicks!$O:$O,Chicks!$F:$F,$C888,Chicks!$G:$G,$D888))</f>
        <v/>
      </c>
      <c r="M888" s="6" t="str">
        <f>IF($C888="","",SUMIFS(Chicks!$P:$P,Chicks!$F:$F,$C888,Chicks!$G:$G,$D888))</f>
        <v/>
      </c>
      <c r="N888" s="6" t="str">
        <f t="shared" si="15"/>
        <v/>
      </c>
      <c r="O888" s="6" t="e">
        <f t="shared" ca="1" si="16"/>
        <v>#NAME?</v>
      </c>
      <c r="P888" s="6" t="str">
        <f t="shared" si="17"/>
        <v/>
      </c>
    </row>
    <row r="889" spans="3:16" ht="14.25" customHeight="1" x14ac:dyDescent="0.3">
      <c r="C889" s="6" t="str">
        <f t="shared" si="18"/>
        <v/>
      </c>
      <c r="D889" s="6" t="str">
        <f t="shared" si="19"/>
        <v/>
      </c>
      <c r="F889" s="6" t="str">
        <f>IF($C889="","",COUNTIFS(Chicks!$F:$F,$C889,Chicks!$G:$G,$D889))</f>
        <v/>
      </c>
      <c r="G889" s="6" t="str">
        <f>IF($C889="","",COUNTIFS(Chicks!$F:$F,$C889,Chicks!$G:$G,$D889,Chicks!$I:$I,"Yes"))</f>
        <v/>
      </c>
      <c r="H889" s="6" t="str">
        <f>IF($C889="","",SUMIFS(Chicks!$J:$J,Chicks!$F:$F,$C889,Chicks!$G:$G,$D889))</f>
        <v/>
      </c>
      <c r="I889" s="6" t="str">
        <f>IF($C889="","",COUNTIFS(Chicks!$F:$F,$C889,Chicks!$G:$G,$D889,Chicks!$I:$I,"No"))</f>
        <v/>
      </c>
      <c r="J889" s="6" t="str">
        <f>IF($C889="","",IFERROR(AVERAGEIFS(Chicks!$M:$M,Chicks!$F:$F,$C889,Chicks!$G:$G,$D889),""))</f>
        <v/>
      </c>
      <c r="K889" s="6" t="str">
        <f>IF($C889="","",SUMIFS(Chicks!$N:$N,Chicks!$F:$F,$C889,Chicks!$G:$G,$D889))</f>
        <v/>
      </c>
      <c r="L889" s="6" t="str">
        <f>IF($C889="","",SUMIFS(Chicks!$O:$O,Chicks!$F:$F,$C889,Chicks!$G:$G,$D889))</f>
        <v/>
      </c>
      <c r="M889" s="6" t="str">
        <f>IF($C889="","",SUMIFS(Chicks!$P:$P,Chicks!$F:$F,$C889,Chicks!$G:$G,$D889))</f>
        <v/>
      </c>
      <c r="N889" s="6" t="str">
        <f t="shared" si="15"/>
        <v/>
      </c>
      <c r="O889" s="6" t="e">
        <f t="shared" ca="1" si="16"/>
        <v>#NAME?</v>
      </c>
      <c r="P889" s="6" t="str">
        <f t="shared" si="17"/>
        <v/>
      </c>
    </row>
    <row r="890" spans="3:16" ht="14.25" customHeight="1" x14ac:dyDescent="0.3">
      <c r="C890" s="6" t="str">
        <f t="shared" si="18"/>
        <v/>
      </c>
      <c r="D890" s="6" t="str">
        <f t="shared" si="19"/>
        <v/>
      </c>
      <c r="F890" s="6" t="str">
        <f>IF($C890="","",COUNTIFS(Chicks!$F:$F,$C890,Chicks!$G:$G,$D890))</f>
        <v/>
      </c>
      <c r="G890" s="6" t="str">
        <f>IF($C890="","",COUNTIFS(Chicks!$F:$F,$C890,Chicks!$G:$G,$D890,Chicks!$I:$I,"Yes"))</f>
        <v/>
      </c>
      <c r="H890" s="6" t="str">
        <f>IF($C890="","",SUMIFS(Chicks!$J:$J,Chicks!$F:$F,$C890,Chicks!$G:$G,$D890))</f>
        <v/>
      </c>
      <c r="I890" s="6" t="str">
        <f>IF($C890="","",COUNTIFS(Chicks!$F:$F,$C890,Chicks!$G:$G,$D890,Chicks!$I:$I,"No"))</f>
        <v/>
      </c>
      <c r="J890" s="6" t="str">
        <f>IF($C890="","",IFERROR(AVERAGEIFS(Chicks!$M:$M,Chicks!$F:$F,$C890,Chicks!$G:$G,$D890),""))</f>
        <v/>
      </c>
      <c r="K890" s="6" t="str">
        <f>IF($C890="","",SUMIFS(Chicks!$N:$N,Chicks!$F:$F,$C890,Chicks!$G:$G,$D890))</f>
        <v/>
      </c>
      <c r="L890" s="6" t="str">
        <f>IF($C890="","",SUMIFS(Chicks!$O:$O,Chicks!$F:$F,$C890,Chicks!$G:$G,$D890))</f>
        <v/>
      </c>
      <c r="M890" s="6" t="str">
        <f>IF($C890="","",SUMIFS(Chicks!$P:$P,Chicks!$F:$F,$C890,Chicks!$G:$G,$D890))</f>
        <v/>
      </c>
      <c r="N890" s="6" t="str">
        <f t="shared" si="15"/>
        <v/>
      </c>
      <c r="O890" s="6" t="e">
        <f t="shared" ca="1" si="16"/>
        <v>#NAME?</v>
      </c>
      <c r="P890" s="6" t="str">
        <f t="shared" si="17"/>
        <v/>
      </c>
    </row>
    <row r="891" spans="3:16" ht="14.25" customHeight="1" x14ac:dyDescent="0.3">
      <c r="C891" s="6" t="str">
        <f t="shared" si="18"/>
        <v/>
      </c>
      <c r="D891" s="6" t="str">
        <f t="shared" si="19"/>
        <v/>
      </c>
      <c r="F891" s="6" t="str">
        <f>IF($C891="","",COUNTIFS(Chicks!$F:$F,$C891,Chicks!$G:$G,$D891))</f>
        <v/>
      </c>
      <c r="G891" s="6" t="str">
        <f>IF($C891="","",COUNTIFS(Chicks!$F:$F,$C891,Chicks!$G:$G,$D891,Chicks!$I:$I,"Yes"))</f>
        <v/>
      </c>
      <c r="H891" s="6" t="str">
        <f>IF($C891="","",SUMIFS(Chicks!$J:$J,Chicks!$F:$F,$C891,Chicks!$G:$G,$D891))</f>
        <v/>
      </c>
      <c r="I891" s="6" t="str">
        <f>IF($C891="","",COUNTIFS(Chicks!$F:$F,$C891,Chicks!$G:$G,$D891,Chicks!$I:$I,"No"))</f>
        <v/>
      </c>
      <c r="J891" s="6" t="str">
        <f>IF($C891="","",IFERROR(AVERAGEIFS(Chicks!$M:$M,Chicks!$F:$F,$C891,Chicks!$G:$G,$D891),""))</f>
        <v/>
      </c>
      <c r="K891" s="6" t="str">
        <f>IF($C891="","",SUMIFS(Chicks!$N:$N,Chicks!$F:$F,$C891,Chicks!$G:$G,$D891))</f>
        <v/>
      </c>
      <c r="L891" s="6" t="str">
        <f>IF($C891="","",SUMIFS(Chicks!$O:$O,Chicks!$F:$F,$C891,Chicks!$G:$G,$D891))</f>
        <v/>
      </c>
      <c r="M891" s="6" t="str">
        <f>IF($C891="","",SUMIFS(Chicks!$P:$P,Chicks!$F:$F,$C891,Chicks!$G:$G,$D891))</f>
        <v/>
      </c>
      <c r="N891" s="6" t="str">
        <f t="shared" si="15"/>
        <v/>
      </c>
      <c r="O891" s="6" t="e">
        <f t="shared" ca="1" si="16"/>
        <v>#NAME?</v>
      </c>
      <c r="P891" s="6" t="str">
        <f t="shared" si="17"/>
        <v/>
      </c>
    </row>
    <row r="892" spans="3:16" ht="14.25" customHeight="1" x14ac:dyDescent="0.3">
      <c r="C892" s="6" t="str">
        <f t="shared" si="18"/>
        <v/>
      </c>
      <c r="D892" s="6" t="str">
        <f t="shared" si="19"/>
        <v/>
      </c>
      <c r="F892" s="6" t="str">
        <f>IF($C892="","",COUNTIFS(Chicks!$F:$F,$C892,Chicks!$G:$G,$D892))</f>
        <v/>
      </c>
      <c r="G892" s="6" t="str">
        <f>IF($C892="","",COUNTIFS(Chicks!$F:$F,$C892,Chicks!$G:$G,$D892,Chicks!$I:$I,"Yes"))</f>
        <v/>
      </c>
      <c r="H892" s="6" t="str">
        <f>IF($C892="","",SUMIFS(Chicks!$J:$J,Chicks!$F:$F,$C892,Chicks!$G:$G,$D892))</f>
        <v/>
      </c>
      <c r="I892" s="6" t="str">
        <f>IF($C892="","",COUNTIFS(Chicks!$F:$F,$C892,Chicks!$G:$G,$D892,Chicks!$I:$I,"No"))</f>
        <v/>
      </c>
      <c r="J892" s="6" t="str">
        <f>IF($C892="","",IFERROR(AVERAGEIFS(Chicks!$M:$M,Chicks!$F:$F,$C892,Chicks!$G:$G,$D892),""))</f>
        <v/>
      </c>
      <c r="K892" s="6" t="str">
        <f>IF($C892="","",SUMIFS(Chicks!$N:$N,Chicks!$F:$F,$C892,Chicks!$G:$G,$D892))</f>
        <v/>
      </c>
      <c r="L892" s="6" t="str">
        <f>IF($C892="","",SUMIFS(Chicks!$O:$O,Chicks!$F:$F,$C892,Chicks!$G:$G,$D892))</f>
        <v/>
      </c>
      <c r="M892" s="6" t="str">
        <f>IF($C892="","",SUMIFS(Chicks!$P:$P,Chicks!$F:$F,$C892,Chicks!$G:$G,$D892))</f>
        <v/>
      </c>
      <c r="N892" s="6" t="str">
        <f t="shared" si="15"/>
        <v/>
      </c>
      <c r="O892" s="6" t="e">
        <f t="shared" ca="1" si="16"/>
        <v>#NAME?</v>
      </c>
      <c r="P892" s="6" t="str">
        <f t="shared" si="17"/>
        <v/>
      </c>
    </row>
    <row r="893" spans="3:16" ht="14.25" customHeight="1" x14ac:dyDescent="0.3">
      <c r="C893" s="6" t="str">
        <f t="shared" si="18"/>
        <v/>
      </c>
      <c r="D893" s="6" t="str">
        <f t="shared" si="19"/>
        <v/>
      </c>
      <c r="F893" s="6" t="str">
        <f>IF($C893="","",COUNTIFS(Chicks!$F:$F,$C893,Chicks!$G:$G,$D893))</f>
        <v/>
      </c>
      <c r="G893" s="6" t="str">
        <f>IF($C893="","",COUNTIFS(Chicks!$F:$F,$C893,Chicks!$G:$G,$D893,Chicks!$I:$I,"Yes"))</f>
        <v/>
      </c>
      <c r="H893" s="6" t="str">
        <f>IF($C893="","",SUMIFS(Chicks!$J:$J,Chicks!$F:$F,$C893,Chicks!$G:$G,$D893))</f>
        <v/>
      </c>
      <c r="I893" s="6" t="str">
        <f>IF($C893="","",COUNTIFS(Chicks!$F:$F,$C893,Chicks!$G:$G,$D893,Chicks!$I:$I,"No"))</f>
        <v/>
      </c>
      <c r="J893" s="6" t="str">
        <f>IF($C893="","",IFERROR(AVERAGEIFS(Chicks!$M:$M,Chicks!$F:$F,$C893,Chicks!$G:$G,$D893),""))</f>
        <v/>
      </c>
      <c r="K893" s="6" t="str">
        <f>IF($C893="","",SUMIFS(Chicks!$N:$N,Chicks!$F:$F,$C893,Chicks!$G:$G,$D893))</f>
        <v/>
      </c>
      <c r="L893" s="6" t="str">
        <f>IF($C893="","",SUMIFS(Chicks!$O:$O,Chicks!$F:$F,$C893,Chicks!$G:$G,$D893))</f>
        <v/>
      </c>
      <c r="M893" s="6" t="str">
        <f>IF($C893="","",SUMIFS(Chicks!$P:$P,Chicks!$F:$F,$C893,Chicks!$G:$G,$D893))</f>
        <v/>
      </c>
      <c r="N893" s="6" t="str">
        <f t="shared" si="15"/>
        <v/>
      </c>
      <c r="O893" s="6" t="e">
        <f t="shared" ca="1" si="16"/>
        <v>#NAME?</v>
      </c>
      <c r="P893" s="6" t="str">
        <f t="shared" si="17"/>
        <v/>
      </c>
    </row>
    <row r="894" spans="3:16" ht="14.25" customHeight="1" x14ac:dyDescent="0.3">
      <c r="C894" s="6" t="str">
        <f t="shared" si="18"/>
        <v/>
      </c>
      <c r="D894" s="6" t="str">
        <f t="shared" si="19"/>
        <v/>
      </c>
      <c r="F894" s="6" t="str">
        <f>IF($C894="","",COUNTIFS(Chicks!$F:$F,$C894,Chicks!$G:$G,$D894))</f>
        <v/>
      </c>
      <c r="G894" s="6" t="str">
        <f>IF($C894="","",COUNTIFS(Chicks!$F:$F,$C894,Chicks!$G:$G,$D894,Chicks!$I:$I,"Yes"))</f>
        <v/>
      </c>
      <c r="H894" s="6" t="str">
        <f>IF($C894="","",SUMIFS(Chicks!$J:$J,Chicks!$F:$F,$C894,Chicks!$G:$G,$D894))</f>
        <v/>
      </c>
      <c r="I894" s="6" t="str">
        <f>IF($C894="","",COUNTIFS(Chicks!$F:$F,$C894,Chicks!$G:$G,$D894,Chicks!$I:$I,"No"))</f>
        <v/>
      </c>
      <c r="J894" s="6" t="str">
        <f>IF($C894="","",IFERROR(AVERAGEIFS(Chicks!$M:$M,Chicks!$F:$F,$C894,Chicks!$G:$G,$D894),""))</f>
        <v/>
      </c>
      <c r="K894" s="6" t="str">
        <f>IF($C894="","",SUMIFS(Chicks!$N:$N,Chicks!$F:$F,$C894,Chicks!$G:$G,$D894))</f>
        <v/>
      </c>
      <c r="L894" s="6" t="str">
        <f>IF($C894="","",SUMIFS(Chicks!$O:$O,Chicks!$F:$F,$C894,Chicks!$G:$G,$D894))</f>
        <v/>
      </c>
      <c r="M894" s="6" t="str">
        <f>IF($C894="","",SUMIFS(Chicks!$P:$P,Chicks!$F:$F,$C894,Chicks!$G:$G,$D894))</f>
        <v/>
      </c>
      <c r="N894" s="6" t="str">
        <f t="shared" si="15"/>
        <v/>
      </c>
      <c r="O894" s="6" t="e">
        <f t="shared" ca="1" si="16"/>
        <v>#NAME?</v>
      </c>
      <c r="P894" s="6" t="str">
        <f t="shared" si="17"/>
        <v/>
      </c>
    </row>
    <row r="895" spans="3:16" ht="14.25" customHeight="1" x14ac:dyDescent="0.3">
      <c r="C895" s="6" t="str">
        <f t="shared" si="18"/>
        <v/>
      </c>
      <c r="D895" s="6" t="str">
        <f t="shared" si="19"/>
        <v/>
      </c>
      <c r="F895" s="6" t="str">
        <f>IF($C895="","",COUNTIFS(Chicks!$F:$F,$C895,Chicks!$G:$G,$D895))</f>
        <v/>
      </c>
      <c r="G895" s="6" t="str">
        <f>IF($C895="","",COUNTIFS(Chicks!$F:$F,$C895,Chicks!$G:$G,$D895,Chicks!$I:$I,"Yes"))</f>
        <v/>
      </c>
      <c r="H895" s="6" t="str">
        <f>IF($C895="","",SUMIFS(Chicks!$J:$J,Chicks!$F:$F,$C895,Chicks!$G:$G,$D895))</f>
        <v/>
      </c>
      <c r="I895" s="6" t="str">
        <f>IF($C895="","",COUNTIFS(Chicks!$F:$F,$C895,Chicks!$G:$G,$D895,Chicks!$I:$I,"No"))</f>
        <v/>
      </c>
      <c r="J895" s="6" t="str">
        <f>IF($C895="","",IFERROR(AVERAGEIFS(Chicks!$M:$M,Chicks!$F:$F,$C895,Chicks!$G:$G,$D895),""))</f>
        <v/>
      </c>
      <c r="K895" s="6" t="str">
        <f>IF($C895="","",SUMIFS(Chicks!$N:$N,Chicks!$F:$F,$C895,Chicks!$G:$G,$D895))</f>
        <v/>
      </c>
      <c r="L895" s="6" t="str">
        <f>IF($C895="","",SUMIFS(Chicks!$O:$O,Chicks!$F:$F,$C895,Chicks!$G:$G,$D895))</f>
        <v/>
      </c>
      <c r="M895" s="6" t="str">
        <f>IF($C895="","",SUMIFS(Chicks!$P:$P,Chicks!$F:$F,$C895,Chicks!$G:$G,$D895))</f>
        <v/>
      </c>
      <c r="N895" s="6" t="str">
        <f t="shared" si="15"/>
        <v/>
      </c>
      <c r="O895" s="6" t="e">
        <f t="shared" ca="1" si="16"/>
        <v>#NAME?</v>
      </c>
      <c r="P895" s="6" t="str">
        <f t="shared" si="17"/>
        <v/>
      </c>
    </row>
    <row r="896" spans="3:16" ht="14.25" customHeight="1" x14ac:dyDescent="0.3">
      <c r="C896" s="6" t="str">
        <f t="shared" si="18"/>
        <v/>
      </c>
      <c r="D896" s="6" t="str">
        <f t="shared" si="19"/>
        <v/>
      </c>
      <c r="F896" s="6" t="str">
        <f>IF($C896="","",COUNTIFS(Chicks!$F:$F,$C896,Chicks!$G:$G,$D896))</f>
        <v/>
      </c>
      <c r="G896" s="6" t="str">
        <f>IF($C896="","",COUNTIFS(Chicks!$F:$F,$C896,Chicks!$G:$G,$D896,Chicks!$I:$I,"Yes"))</f>
        <v/>
      </c>
      <c r="H896" s="6" t="str">
        <f>IF($C896="","",SUMIFS(Chicks!$J:$J,Chicks!$F:$F,$C896,Chicks!$G:$G,$D896))</f>
        <v/>
      </c>
      <c r="I896" s="6" t="str">
        <f>IF($C896="","",COUNTIFS(Chicks!$F:$F,$C896,Chicks!$G:$G,$D896,Chicks!$I:$I,"No"))</f>
        <v/>
      </c>
      <c r="J896" s="6" t="str">
        <f>IF($C896="","",IFERROR(AVERAGEIFS(Chicks!$M:$M,Chicks!$F:$F,$C896,Chicks!$G:$G,$D896),""))</f>
        <v/>
      </c>
      <c r="K896" s="6" t="str">
        <f>IF($C896="","",SUMIFS(Chicks!$N:$N,Chicks!$F:$F,$C896,Chicks!$G:$G,$D896))</f>
        <v/>
      </c>
      <c r="L896" s="6" t="str">
        <f>IF($C896="","",SUMIFS(Chicks!$O:$O,Chicks!$F:$F,$C896,Chicks!$G:$G,$D896))</f>
        <v/>
      </c>
      <c r="M896" s="6" t="str">
        <f>IF($C896="","",SUMIFS(Chicks!$P:$P,Chicks!$F:$F,$C896,Chicks!$G:$G,$D896))</f>
        <v/>
      </c>
      <c r="N896" s="6" t="str">
        <f t="shared" si="15"/>
        <v/>
      </c>
      <c r="O896" s="6" t="e">
        <f t="shared" ca="1" si="16"/>
        <v>#NAME?</v>
      </c>
      <c r="P896" s="6" t="str">
        <f t="shared" si="17"/>
        <v/>
      </c>
    </row>
    <row r="897" spans="3:16" ht="14.25" customHeight="1" x14ac:dyDescent="0.3">
      <c r="C897" s="6" t="str">
        <f t="shared" si="18"/>
        <v/>
      </c>
      <c r="D897" s="6" t="str">
        <f t="shared" si="19"/>
        <v/>
      </c>
      <c r="F897" s="6" t="str">
        <f>IF($C897="","",COUNTIFS(Chicks!$F:$F,$C897,Chicks!$G:$G,$D897))</f>
        <v/>
      </c>
      <c r="G897" s="6" t="str">
        <f>IF($C897="","",COUNTIFS(Chicks!$F:$F,$C897,Chicks!$G:$G,$D897,Chicks!$I:$I,"Yes"))</f>
        <v/>
      </c>
      <c r="H897" s="6" t="str">
        <f>IF($C897="","",SUMIFS(Chicks!$J:$J,Chicks!$F:$F,$C897,Chicks!$G:$G,$D897))</f>
        <v/>
      </c>
      <c r="I897" s="6" t="str">
        <f>IF($C897="","",COUNTIFS(Chicks!$F:$F,$C897,Chicks!$G:$G,$D897,Chicks!$I:$I,"No"))</f>
        <v/>
      </c>
      <c r="J897" s="6" t="str">
        <f>IF($C897="","",IFERROR(AVERAGEIFS(Chicks!$M:$M,Chicks!$F:$F,$C897,Chicks!$G:$G,$D897),""))</f>
        <v/>
      </c>
      <c r="K897" s="6" t="str">
        <f>IF($C897="","",SUMIFS(Chicks!$N:$N,Chicks!$F:$F,$C897,Chicks!$G:$G,$D897))</f>
        <v/>
      </c>
      <c r="L897" s="6" t="str">
        <f>IF($C897="","",SUMIFS(Chicks!$O:$O,Chicks!$F:$F,$C897,Chicks!$G:$G,$D897))</f>
        <v/>
      </c>
      <c r="M897" s="6" t="str">
        <f>IF($C897="","",SUMIFS(Chicks!$P:$P,Chicks!$F:$F,$C897,Chicks!$G:$G,$D897))</f>
        <v/>
      </c>
      <c r="N897" s="6" t="str">
        <f t="shared" si="15"/>
        <v/>
      </c>
      <c r="O897" s="6" t="e">
        <f t="shared" ca="1" si="16"/>
        <v>#NAME?</v>
      </c>
      <c r="P897" s="6" t="str">
        <f t="shared" si="17"/>
        <v/>
      </c>
    </row>
    <row r="898" spans="3:16" ht="14.25" customHeight="1" x14ac:dyDescent="0.3">
      <c r="C898" s="6" t="str">
        <f t="shared" si="18"/>
        <v/>
      </c>
      <c r="D898" s="6" t="str">
        <f t="shared" si="19"/>
        <v/>
      </c>
      <c r="F898" s="6" t="str">
        <f>IF($C898="","",COUNTIFS(Chicks!$F:$F,$C898,Chicks!$G:$G,$D898))</f>
        <v/>
      </c>
      <c r="G898" s="6" t="str">
        <f>IF($C898="","",COUNTIFS(Chicks!$F:$F,$C898,Chicks!$G:$G,$D898,Chicks!$I:$I,"Yes"))</f>
        <v/>
      </c>
      <c r="H898" s="6" t="str">
        <f>IF($C898="","",SUMIFS(Chicks!$J:$J,Chicks!$F:$F,$C898,Chicks!$G:$G,$D898))</f>
        <v/>
      </c>
      <c r="I898" s="6" t="str">
        <f>IF($C898="","",COUNTIFS(Chicks!$F:$F,$C898,Chicks!$G:$G,$D898,Chicks!$I:$I,"No"))</f>
        <v/>
      </c>
      <c r="J898" s="6" t="str">
        <f>IF($C898="","",IFERROR(AVERAGEIFS(Chicks!$M:$M,Chicks!$F:$F,$C898,Chicks!$G:$G,$D898),""))</f>
        <v/>
      </c>
      <c r="K898" s="6" t="str">
        <f>IF($C898="","",SUMIFS(Chicks!$N:$N,Chicks!$F:$F,$C898,Chicks!$G:$G,$D898))</f>
        <v/>
      </c>
      <c r="L898" s="6" t="str">
        <f>IF($C898="","",SUMIFS(Chicks!$O:$O,Chicks!$F:$F,$C898,Chicks!$G:$G,$D898))</f>
        <v/>
      </c>
      <c r="M898" s="6" t="str">
        <f>IF($C898="","",SUMIFS(Chicks!$P:$P,Chicks!$F:$F,$C898,Chicks!$G:$G,$D898))</f>
        <v/>
      </c>
      <c r="N898" s="6" t="str">
        <f t="shared" si="15"/>
        <v/>
      </c>
      <c r="O898" s="6" t="e">
        <f t="shared" ca="1" si="16"/>
        <v>#NAME?</v>
      </c>
      <c r="P898" s="6" t="str">
        <f t="shared" si="17"/>
        <v/>
      </c>
    </row>
    <row r="899" spans="3:16" ht="14.25" customHeight="1" x14ac:dyDescent="0.3">
      <c r="C899" s="6" t="str">
        <f t="shared" si="18"/>
        <v/>
      </c>
      <c r="D899" s="6" t="str">
        <f t="shared" si="19"/>
        <v/>
      </c>
      <c r="F899" s="6" t="str">
        <f>IF($C899="","",COUNTIFS(Chicks!$F:$F,$C899,Chicks!$G:$G,$D899))</f>
        <v/>
      </c>
      <c r="G899" s="6" t="str">
        <f>IF($C899="","",COUNTIFS(Chicks!$F:$F,$C899,Chicks!$G:$G,$D899,Chicks!$I:$I,"Yes"))</f>
        <v/>
      </c>
      <c r="H899" s="6" t="str">
        <f>IF($C899="","",SUMIFS(Chicks!$J:$J,Chicks!$F:$F,$C899,Chicks!$G:$G,$D899))</f>
        <v/>
      </c>
      <c r="I899" s="6" t="str">
        <f>IF($C899="","",COUNTIFS(Chicks!$F:$F,$C899,Chicks!$G:$G,$D899,Chicks!$I:$I,"No"))</f>
        <v/>
      </c>
      <c r="J899" s="6" t="str">
        <f>IF($C899="","",IFERROR(AVERAGEIFS(Chicks!$M:$M,Chicks!$F:$F,$C899,Chicks!$G:$G,$D899),""))</f>
        <v/>
      </c>
      <c r="K899" s="6" t="str">
        <f>IF($C899="","",SUMIFS(Chicks!$N:$N,Chicks!$F:$F,$C899,Chicks!$G:$G,$D899))</f>
        <v/>
      </c>
      <c r="L899" s="6" t="str">
        <f>IF($C899="","",SUMIFS(Chicks!$O:$O,Chicks!$F:$F,$C899,Chicks!$G:$G,$D899))</f>
        <v/>
      </c>
      <c r="M899" s="6" t="str">
        <f>IF($C899="","",SUMIFS(Chicks!$P:$P,Chicks!$F:$F,$C899,Chicks!$G:$G,$D899))</f>
        <v/>
      </c>
      <c r="N899" s="6" t="str">
        <f t="shared" si="15"/>
        <v/>
      </c>
      <c r="O899" s="6" t="e">
        <f t="shared" ca="1" si="16"/>
        <v>#NAME?</v>
      </c>
      <c r="P899" s="6" t="str">
        <f t="shared" si="17"/>
        <v/>
      </c>
    </row>
    <row r="900" spans="3:16" ht="14.25" customHeight="1" x14ac:dyDescent="0.3">
      <c r="C900" s="6" t="str">
        <f t="shared" si="18"/>
        <v/>
      </c>
      <c r="D900" s="6" t="str">
        <f t="shared" si="19"/>
        <v/>
      </c>
      <c r="F900" s="6" t="str">
        <f>IF($C900="","",COUNTIFS(Chicks!$F:$F,$C900,Chicks!$G:$G,$D900))</f>
        <v/>
      </c>
      <c r="G900" s="6" t="str">
        <f>IF($C900="","",COUNTIFS(Chicks!$F:$F,$C900,Chicks!$G:$G,$D900,Chicks!$I:$I,"Yes"))</f>
        <v/>
      </c>
      <c r="H900" s="6" t="str">
        <f>IF($C900="","",SUMIFS(Chicks!$J:$J,Chicks!$F:$F,$C900,Chicks!$G:$G,$D900))</f>
        <v/>
      </c>
      <c r="I900" s="6" t="str">
        <f>IF($C900="","",COUNTIFS(Chicks!$F:$F,$C900,Chicks!$G:$G,$D900,Chicks!$I:$I,"No"))</f>
        <v/>
      </c>
      <c r="J900" s="6" t="str">
        <f>IF($C900="","",IFERROR(AVERAGEIFS(Chicks!$M:$M,Chicks!$F:$F,$C900,Chicks!$G:$G,$D900),""))</f>
        <v/>
      </c>
      <c r="K900" s="6" t="str">
        <f>IF($C900="","",SUMIFS(Chicks!$N:$N,Chicks!$F:$F,$C900,Chicks!$G:$G,$D900))</f>
        <v/>
      </c>
      <c r="L900" s="6" t="str">
        <f>IF($C900="","",SUMIFS(Chicks!$O:$O,Chicks!$F:$F,$C900,Chicks!$G:$G,$D900))</f>
        <v/>
      </c>
      <c r="M900" s="6" t="str">
        <f>IF($C900="","",SUMIFS(Chicks!$P:$P,Chicks!$F:$F,$C900,Chicks!$G:$G,$D900))</f>
        <v/>
      </c>
      <c r="N900" s="6" t="str">
        <f t="shared" si="15"/>
        <v/>
      </c>
      <c r="O900" s="6" t="e">
        <f t="shared" ca="1" si="16"/>
        <v>#NAME?</v>
      </c>
      <c r="P900" s="6" t="str">
        <f t="shared" si="17"/>
        <v/>
      </c>
    </row>
    <row r="901" spans="3:16" ht="14.25" customHeight="1" x14ac:dyDescent="0.3">
      <c r="C901" s="6" t="str">
        <f t="shared" si="18"/>
        <v/>
      </c>
      <c r="D901" s="6" t="str">
        <f t="shared" si="19"/>
        <v/>
      </c>
      <c r="F901" s="6" t="str">
        <f>IF($C901="","",COUNTIFS(Chicks!$F:$F,$C901,Chicks!$G:$G,$D901))</f>
        <v/>
      </c>
      <c r="G901" s="6" t="str">
        <f>IF($C901="","",COUNTIFS(Chicks!$F:$F,$C901,Chicks!$G:$G,$D901,Chicks!$I:$I,"Yes"))</f>
        <v/>
      </c>
      <c r="H901" s="6" t="str">
        <f>IF($C901="","",SUMIFS(Chicks!$J:$J,Chicks!$F:$F,$C901,Chicks!$G:$G,$D901))</f>
        <v/>
      </c>
      <c r="I901" s="6" t="str">
        <f>IF($C901="","",COUNTIFS(Chicks!$F:$F,$C901,Chicks!$G:$G,$D901,Chicks!$I:$I,"No"))</f>
        <v/>
      </c>
      <c r="J901" s="6" t="str">
        <f>IF($C901="","",IFERROR(AVERAGEIFS(Chicks!$M:$M,Chicks!$F:$F,$C901,Chicks!$G:$G,$D901),""))</f>
        <v/>
      </c>
      <c r="K901" s="6" t="str">
        <f>IF($C901="","",SUMIFS(Chicks!$N:$N,Chicks!$F:$F,$C901,Chicks!$G:$G,$D901))</f>
        <v/>
      </c>
      <c r="L901" s="6" t="str">
        <f>IF($C901="","",SUMIFS(Chicks!$O:$O,Chicks!$F:$F,$C901,Chicks!$G:$G,$D901))</f>
        <v/>
      </c>
      <c r="M901" s="6" t="str">
        <f>IF($C901="","",SUMIFS(Chicks!$P:$P,Chicks!$F:$F,$C901,Chicks!$G:$G,$D901))</f>
        <v/>
      </c>
      <c r="N901" s="6" t="str">
        <f t="shared" si="15"/>
        <v/>
      </c>
      <c r="O901" s="6" t="e">
        <f t="shared" ca="1" si="16"/>
        <v>#NAME?</v>
      </c>
      <c r="P901" s="6" t="str">
        <f t="shared" si="17"/>
        <v/>
      </c>
    </row>
    <row r="902" spans="3:16" ht="14.25" customHeight="1" x14ac:dyDescent="0.3">
      <c r="C902" s="6" t="str">
        <f t="shared" si="18"/>
        <v/>
      </c>
      <c r="D902" s="6" t="str">
        <f t="shared" si="19"/>
        <v/>
      </c>
      <c r="F902" s="6" t="str">
        <f>IF($C902="","",COUNTIFS(Chicks!$F:$F,$C902,Chicks!$G:$G,$D902))</f>
        <v/>
      </c>
      <c r="G902" s="6" t="str">
        <f>IF($C902="","",COUNTIFS(Chicks!$F:$F,$C902,Chicks!$G:$G,$D902,Chicks!$I:$I,"Yes"))</f>
        <v/>
      </c>
      <c r="H902" s="6" t="str">
        <f>IF($C902="","",SUMIFS(Chicks!$J:$J,Chicks!$F:$F,$C902,Chicks!$G:$G,$D902))</f>
        <v/>
      </c>
      <c r="I902" s="6" t="str">
        <f>IF($C902="","",COUNTIFS(Chicks!$F:$F,$C902,Chicks!$G:$G,$D902,Chicks!$I:$I,"No"))</f>
        <v/>
      </c>
      <c r="J902" s="6" t="str">
        <f>IF($C902="","",IFERROR(AVERAGEIFS(Chicks!$M:$M,Chicks!$F:$F,$C902,Chicks!$G:$G,$D902),""))</f>
        <v/>
      </c>
      <c r="K902" s="6" t="str">
        <f>IF($C902="","",SUMIFS(Chicks!$N:$N,Chicks!$F:$F,$C902,Chicks!$G:$G,$D902))</f>
        <v/>
      </c>
      <c r="L902" s="6" t="str">
        <f>IF($C902="","",SUMIFS(Chicks!$O:$O,Chicks!$F:$F,$C902,Chicks!$G:$G,$D902))</f>
        <v/>
      </c>
      <c r="M902" s="6" t="str">
        <f>IF($C902="","",SUMIFS(Chicks!$P:$P,Chicks!$F:$F,$C902,Chicks!$G:$G,$D902))</f>
        <v/>
      </c>
      <c r="N902" s="6" t="str">
        <f t="shared" si="15"/>
        <v/>
      </c>
      <c r="O902" s="6" t="e">
        <f t="shared" ca="1" si="16"/>
        <v>#NAME?</v>
      </c>
      <c r="P902" s="6" t="str">
        <f t="shared" si="17"/>
        <v/>
      </c>
    </row>
    <row r="903" spans="3:16" ht="14.25" customHeight="1" x14ac:dyDescent="0.3">
      <c r="C903" s="6" t="str">
        <f t="shared" si="18"/>
        <v/>
      </c>
      <c r="D903" s="6" t="str">
        <f t="shared" si="19"/>
        <v/>
      </c>
      <c r="F903" s="6" t="str">
        <f>IF($C903="","",COUNTIFS(Chicks!$F:$F,$C903,Chicks!$G:$G,$D903))</f>
        <v/>
      </c>
      <c r="G903" s="6" t="str">
        <f>IF($C903="","",COUNTIFS(Chicks!$F:$F,$C903,Chicks!$G:$G,$D903,Chicks!$I:$I,"Yes"))</f>
        <v/>
      </c>
      <c r="H903" s="6" t="str">
        <f>IF($C903="","",SUMIFS(Chicks!$J:$J,Chicks!$F:$F,$C903,Chicks!$G:$G,$D903))</f>
        <v/>
      </c>
      <c r="I903" s="6" t="str">
        <f>IF($C903="","",COUNTIFS(Chicks!$F:$F,$C903,Chicks!$G:$G,$D903,Chicks!$I:$I,"No"))</f>
        <v/>
      </c>
      <c r="J903" s="6" t="str">
        <f>IF($C903="","",IFERROR(AVERAGEIFS(Chicks!$M:$M,Chicks!$F:$F,$C903,Chicks!$G:$G,$D903),""))</f>
        <v/>
      </c>
      <c r="K903" s="6" t="str">
        <f>IF($C903="","",SUMIFS(Chicks!$N:$N,Chicks!$F:$F,$C903,Chicks!$G:$G,$D903))</f>
        <v/>
      </c>
      <c r="L903" s="6" t="str">
        <f>IF($C903="","",SUMIFS(Chicks!$O:$O,Chicks!$F:$F,$C903,Chicks!$G:$G,$D903))</f>
        <v/>
      </c>
      <c r="M903" s="6" t="str">
        <f>IF($C903="","",SUMIFS(Chicks!$P:$P,Chicks!$F:$F,$C903,Chicks!$G:$G,$D903))</f>
        <v/>
      </c>
      <c r="N903" s="6" t="str">
        <f t="shared" si="15"/>
        <v/>
      </c>
      <c r="O903" s="6" t="e">
        <f t="shared" ca="1" si="16"/>
        <v>#NAME?</v>
      </c>
      <c r="P903" s="6" t="str">
        <f t="shared" si="17"/>
        <v/>
      </c>
    </row>
    <row r="904" spans="3:16" ht="14.25" customHeight="1" x14ac:dyDescent="0.3">
      <c r="C904" s="6" t="str">
        <f t="shared" si="18"/>
        <v/>
      </c>
      <c r="D904" s="6" t="str">
        <f t="shared" si="19"/>
        <v/>
      </c>
      <c r="F904" s="6" t="str">
        <f>IF($C904="","",COUNTIFS(Chicks!$F:$F,$C904,Chicks!$G:$G,$D904))</f>
        <v/>
      </c>
      <c r="G904" s="6" t="str">
        <f>IF($C904="","",COUNTIFS(Chicks!$F:$F,$C904,Chicks!$G:$G,$D904,Chicks!$I:$I,"Yes"))</f>
        <v/>
      </c>
      <c r="H904" s="6" t="str">
        <f>IF($C904="","",SUMIFS(Chicks!$J:$J,Chicks!$F:$F,$C904,Chicks!$G:$G,$D904))</f>
        <v/>
      </c>
      <c r="I904" s="6" t="str">
        <f>IF($C904="","",COUNTIFS(Chicks!$F:$F,$C904,Chicks!$G:$G,$D904,Chicks!$I:$I,"No"))</f>
        <v/>
      </c>
      <c r="J904" s="6" t="str">
        <f>IF($C904="","",IFERROR(AVERAGEIFS(Chicks!$M:$M,Chicks!$F:$F,$C904,Chicks!$G:$G,$D904),""))</f>
        <v/>
      </c>
      <c r="K904" s="6" t="str">
        <f>IF($C904="","",SUMIFS(Chicks!$N:$N,Chicks!$F:$F,$C904,Chicks!$G:$G,$D904))</f>
        <v/>
      </c>
      <c r="L904" s="6" t="str">
        <f>IF($C904="","",SUMIFS(Chicks!$O:$O,Chicks!$F:$F,$C904,Chicks!$G:$G,$D904))</f>
        <v/>
      </c>
      <c r="M904" s="6" t="str">
        <f>IF($C904="","",SUMIFS(Chicks!$P:$P,Chicks!$F:$F,$C904,Chicks!$G:$G,$D904))</f>
        <v/>
      </c>
      <c r="N904" s="6" t="str">
        <f t="shared" si="15"/>
        <v/>
      </c>
      <c r="O904" s="6" t="e">
        <f t="shared" ca="1" si="16"/>
        <v>#NAME?</v>
      </c>
      <c r="P904" s="6" t="str">
        <f t="shared" si="17"/>
        <v/>
      </c>
    </row>
    <row r="905" spans="3:16" ht="14.25" customHeight="1" x14ac:dyDescent="0.3">
      <c r="C905" s="6" t="str">
        <f t="shared" si="18"/>
        <v/>
      </c>
      <c r="D905" s="6" t="str">
        <f t="shared" si="19"/>
        <v/>
      </c>
      <c r="F905" s="6" t="str">
        <f>IF($C905="","",COUNTIFS(Chicks!$F:$F,$C905,Chicks!$G:$G,$D905))</f>
        <v/>
      </c>
      <c r="G905" s="6" t="str">
        <f>IF($C905="","",COUNTIFS(Chicks!$F:$F,$C905,Chicks!$G:$G,$D905,Chicks!$I:$I,"Yes"))</f>
        <v/>
      </c>
      <c r="H905" s="6" t="str">
        <f>IF($C905="","",SUMIFS(Chicks!$J:$J,Chicks!$F:$F,$C905,Chicks!$G:$G,$D905))</f>
        <v/>
      </c>
      <c r="I905" s="6" t="str">
        <f>IF($C905="","",COUNTIFS(Chicks!$F:$F,$C905,Chicks!$G:$G,$D905,Chicks!$I:$I,"No"))</f>
        <v/>
      </c>
      <c r="J905" s="6" t="str">
        <f>IF($C905="","",IFERROR(AVERAGEIFS(Chicks!$M:$M,Chicks!$F:$F,$C905,Chicks!$G:$G,$D905),""))</f>
        <v/>
      </c>
      <c r="K905" s="6" t="str">
        <f>IF($C905="","",SUMIFS(Chicks!$N:$N,Chicks!$F:$F,$C905,Chicks!$G:$G,$D905))</f>
        <v/>
      </c>
      <c r="L905" s="6" t="str">
        <f>IF($C905="","",SUMIFS(Chicks!$O:$O,Chicks!$F:$F,$C905,Chicks!$G:$G,$D905))</f>
        <v/>
      </c>
      <c r="M905" s="6" t="str">
        <f>IF($C905="","",SUMIFS(Chicks!$P:$P,Chicks!$F:$F,$C905,Chicks!$G:$G,$D905))</f>
        <v/>
      </c>
      <c r="N905" s="6" t="str">
        <f t="shared" si="15"/>
        <v/>
      </c>
      <c r="O905" s="6" t="e">
        <f t="shared" ca="1" si="16"/>
        <v>#NAME?</v>
      </c>
      <c r="P905" s="6" t="str">
        <f t="shared" si="17"/>
        <v/>
      </c>
    </row>
    <row r="906" spans="3:16" ht="14.25" customHeight="1" x14ac:dyDescent="0.3">
      <c r="C906" s="6" t="str">
        <f t="shared" si="18"/>
        <v/>
      </c>
      <c r="D906" s="6" t="str">
        <f t="shared" si="19"/>
        <v/>
      </c>
      <c r="F906" s="6" t="str">
        <f>IF($C906="","",COUNTIFS(Chicks!$F:$F,$C906,Chicks!$G:$G,$D906))</f>
        <v/>
      </c>
      <c r="G906" s="6" t="str">
        <f>IF($C906="","",COUNTIFS(Chicks!$F:$F,$C906,Chicks!$G:$G,$D906,Chicks!$I:$I,"Yes"))</f>
        <v/>
      </c>
      <c r="H906" s="6" t="str">
        <f>IF($C906="","",SUMIFS(Chicks!$J:$J,Chicks!$F:$F,$C906,Chicks!$G:$G,$D906))</f>
        <v/>
      </c>
      <c r="I906" s="6" t="str">
        <f>IF($C906="","",COUNTIFS(Chicks!$F:$F,$C906,Chicks!$G:$G,$D906,Chicks!$I:$I,"No"))</f>
        <v/>
      </c>
      <c r="J906" s="6" t="str">
        <f>IF($C906="","",IFERROR(AVERAGEIFS(Chicks!$M:$M,Chicks!$F:$F,$C906,Chicks!$G:$G,$D906),""))</f>
        <v/>
      </c>
      <c r="K906" s="6" t="str">
        <f>IF($C906="","",SUMIFS(Chicks!$N:$N,Chicks!$F:$F,$C906,Chicks!$G:$G,$D906))</f>
        <v/>
      </c>
      <c r="L906" s="6" t="str">
        <f>IF($C906="","",SUMIFS(Chicks!$O:$O,Chicks!$F:$F,$C906,Chicks!$G:$G,$D906))</f>
        <v/>
      </c>
      <c r="M906" s="6" t="str">
        <f>IF($C906="","",SUMIFS(Chicks!$P:$P,Chicks!$F:$F,$C906,Chicks!$G:$G,$D906))</f>
        <v/>
      </c>
      <c r="N906" s="6" t="str">
        <f t="shared" si="15"/>
        <v/>
      </c>
      <c r="O906" s="6" t="e">
        <f t="shared" ca="1" si="16"/>
        <v>#NAME?</v>
      </c>
      <c r="P906" s="6" t="str">
        <f t="shared" si="17"/>
        <v/>
      </c>
    </row>
    <row r="907" spans="3:16" ht="14.25" customHeight="1" x14ac:dyDescent="0.3">
      <c r="C907" s="6" t="str">
        <f t="shared" si="18"/>
        <v/>
      </c>
      <c r="D907" s="6" t="str">
        <f t="shared" si="19"/>
        <v/>
      </c>
      <c r="F907" s="6" t="str">
        <f>IF($C907="","",COUNTIFS(Chicks!$F:$F,$C907,Chicks!$G:$G,$D907))</f>
        <v/>
      </c>
      <c r="G907" s="6" t="str">
        <f>IF($C907="","",COUNTIFS(Chicks!$F:$F,$C907,Chicks!$G:$G,$D907,Chicks!$I:$I,"Yes"))</f>
        <v/>
      </c>
      <c r="H907" s="6" t="str">
        <f>IF($C907="","",SUMIFS(Chicks!$J:$J,Chicks!$F:$F,$C907,Chicks!$G:$G,$D907))</f>
        <v/>
      </c>
      <c r="I907" s="6" t="str">
        <f>IF($C907="","",COUNTIFS(Chicks!$F:$F,$C907,Chicks!$G:$G,$D907,Chicks!$I:$I,"No"))</f>
        <v/>
      </c>
      <c r="J907" s="6" t="str">
        <f>IF($C907="","",IFERROR(AVERAGEIFS(Chicks!$M:$M,Chicks!$F:$F,$C907,Chicks!$G:$G,$D907),""))</f>
        <v/>
      </c>
      <c r="K907" s="6" t="str">
        <f>IF($C907="","",SUMIFS(Chicks!$N:$N,Chicks!$F:$F,$C907,Chicks!$G:$G,$D907))</f>
        <v/>
      </c>
      <c r="L907" s="6" t="str">
        <f>IF($C907="","",SUMIFS(Chicks!$O:$O,Chicks!$F:$F,$C907,Chicks!$G:$G,$D907))</f>
        <v/>
      </c>
      <c r="M907" s="6" t="str">
        <f>IF($C907="","",SUMIFS(Chicks!$P:$P,Chicks!$F:$F,$C907,Chicks!$G:$G,$D907))</f>
        <v/>
      </c>
      <c r="N907" s="6" t="str">
        <f t="shared" si="15"/>
        <v/>
      </c>
      <c r="O907" s="6" t="e">
        <f t="shared" ca="1" si="16"/>
        <v>#NAME?</v>
      </c>
      <c r="P907" s="6" t="str">
        <f t="shared" si="17"/>
        <v/>
      </c>
    </row>
    <row r="908" spans="3:16" ht="14.25" customHeight="1" x14ac:dyDescent="0.3">
      <c r="C908" s="6" t="str">
        <f t="shared" si="18"/>
        <v/>
      </c>
      <c r="D908" s="6" t="str">
        <f t="shared" si="19"/>
        <v/>
      </c>
      <c r="F908" s="6" t="str">
        <f>IF($C908="","",COUNTIFS(Chicks!$F:$F,$C908,Chicks!$G:$G,$D908))</f>
        <v/>
      </c>
      <c r="G908" s="6" t="str">
        <f>IF($C908="","",COUNTIFS(Chicks!$F:$F,$C908,Chicks!$G:$G,$D908,Chicks!$I:$I,"Yes"))</f>
        <v/>
      </c>
      <c r="H908" s="6" t="str">
        <f>IF($C908="","",SUMIFS(Chicks!$J:$J,Chicks!$F:$F,$C908,Chicks!$G:$G,$D908))</f>
        <v/>
      </c>
      <c r="I908" s="6" t="str">
        <f>IF($C908="","",COUNTIFS(Chicks!$F:$F,$C908,Chicks!$G:$G,$D908,Chicks!$I:$I,"No"))</f>
        <v/>
      </c>
      <c r="J908" s="6" t="str">
        <f>IF($C908="","",IFERROR(AVERAGEIFS(Chicks!$M:$M,Chicks!$F:$F,$C908,Chicks!$G:$G,$D908),""))</f>
        <v/>
      </c>
      <c r="K908" s="6" t="str">
        <f>IF($C908="","",SUMIFS(Chicks!$N:$N,Chicks!$F:$F,$C908,Chicks!$G:$G,$D908))</f>
        <v/>
      </c>
      <c r="L908" s="6" t="str">
        <f>IF($C908="","",SUMIFS(Chicks!$O:$O,Chicks!$F:$F,$C908,Chicks!$G:$G,$D908))</f>
        <v/>
      </c>
      <c r="M908" s="6" t="str">
        <f>IF($C908="","",SUMIFS(Chicks!$P:$P,Chicks!$F:$F,$C908,Chicks!$G:$G,$D908))</f>
        <v/>
      </c>
      <c r="N908" s="6" t="str">
        <f t="shared" si="15"/>
        <v/>
      </c>
      <c r="O908" s="6" t="e">
        <f t="shared" ca="1" si="16"/>
        <v>#NAME?</v>
      </c>
      <c r="P908" s="6" t="str">
        <f t="shared" si="17"/>
        <v/>
      </c>
    </row>
    <row r="909" spans="3:16" ht="14.25" customHeight="1" x14ac:dyDescent="0.3">
      <c r="C909" s="6" t="str">
        <f t="shared" si="18"/>
        <v/>
      </c>
      <c r="D909" s="6" t="str">
        <f t="shared" si="19"/>
        <v/>
      </c>
      <c r="F909" s="6" t="str">
        <f>IF($C909="","",COUNTIFS(Chicks!$F:$F,$C909,Chicks!$G:$G,$D909))</f>
        <v/>
      </c>
      <c r="G909" s="6" t="str">
        <f>IF($C909="","",COUNTIFS(Chicks!$F:$F,$C909,Chicks!$G:$G,$D909,Chicks!$I:$I,"Yes"))</f>
        <v/>
      </c>
      <c r="H909" s="6" t="str">
        <f>IF($C909="","",SUMIFS(Chicks!$J:$J,Chicks!$F:$F,$C909,Chicks!$G:$G,$D909))</f>
        <v/>
      </c>
      <c r="I909" s="6" t="str">
        <f>IF($C909="","",COUNTIFS(Chicks!$F:$F,$C909,Chicks!$G:$G,$D909,Chicks!$I:$I,"No"))</f>
        <v/>
      </c>
      <c r="J909" s="6" t="str">
        <f>IF($C909="","",IFERROR(AVERAGEIFS(Chicks!$M:$M,Chicks!$F:$F,$C909,Chicks!$G:$G,$D909),""))</f>
        <v/>
      </c>
      <c r="K909" s="6" t="str">
        <f>IF($C909="","",SUMIFS(Chicks!$N:$N,Chicks!$F:$F,$C909,Chicks!$G:$G,$D909))</f>
        <v/>
      </c>
      <c r="L909" s="6" t="str">
        <f>IF($C909="","",SUMIFS(Chicks!$O:$O,Chicks!$F:$F,$C909,Chicks!$G:$G,$D909))</f>
        <v/>
      </c>
      <c r="M909" s="6" t="str">
        <f>IF($C909="","",SUMIFS(Chicks!$P:$P,Chicks!$F:$F,$C909,Chicks!$G:$G,$D909))</f>
        <v/>
      </c>
      <c r="N909" s="6" t="str">
        <f t="shared" si="15"/>
        <v/>
      </c>
      <c r="O909" s="6" t="e">
        <f t="shared" ca="1" si="16"/>
        <v>#NAME?</v>
      </c>
      <c r="P909" s="6" t="str">
        <f t="shared" si="17"/>
        <v/>
      </c>
    </row>
    <row r="910" spans="3:16" ht="14.25" customHeight="1" x14ac:dyDescent="0.3">
      <c r="C910" s="6" t="str">
        <f t="shared" si="18"/>
        <v/>
      </c>
      <c r="D910" s="6" t="str">
        <f t="shared" si="19"/>
        <v/>
      </c>
      <c r="F910" s="6" t="str">
        <f>IF($C910="","",COUNTIFS(Chicks!$F:$F,$C910,Chicks!$G:$G,$D910))</f>
        <v/>
      </c>
      <c r="G910" s="6" t="str">
        <f>IF($C910="","",COUNTIFS(Chicks!$F:$F,$C910,Chicks!$G:$G,$D910,Chicks!$I:$I,"Yes"))</f>
        <v/>
      </c>
      <c r="H910" s="6" t="str">
        <f>IF($C910="","",SUMIFS(Chicks!$J:$J,Chicks!$F:$F,$C910,Chicks!$G:$G,$D910))</f>
        <v/>
      </c>
      <c r="I910" s="6" t="str">
        <f>IF($C910="","",COUNTIFS(Chicks!$F:$F,$C910,Chicks!$G:$G,$D910,Chicks!$I:$I,"No"))</f>
        <v/>
      </c>
      <c r="J910" s="6" t="str">
        <f>IF($C910="","",IFERROR(AVERAGEIFS(Chicks!$M:$M,Chicks!$F:$F,$C910,Chicks!$G:$G,$D910),""))</f>
        <v/>
      </c>
      <c r="K910" s="6" t="str">
        <f>IF($C910="","",SUMIFS(Chicks!$N:$N,Chicks!$F:$F,$C910,Chicks!$G:$G,$D910))</f>
        <v/>
      </c>
      <c r="L910" s="6" t="str">
        <f>IF($C910="","",SUMIFS(Chicks!$O:$O,Chicks!$F:$F,$C910,Chicks!$G:$G,$D910))</f>
        <v/>
      </c>
      <c r="M910" s="6" t="str">
        <f>IF($C910="","",SUMIFS(Chicks!$P:$P,Chicks!$F:$F,$C910,Chicks!$G:$G,$D910))</f>
        <v/>
      </c>
      <c r="N910" s="6" t="str">
        <f t="shared" si="15"/>
        <v/>
      </c>
      <c r="O910" s="6" t="e">
        <f t="shared" ca="1" si="16"/>
        <v>#NAME?</v>
      </c>
      <c r="P910" s="6" t="str">
        <f t="shared" si="17"/>
        <v/>
      </c>
    </row>
    <row r="911" spans="3:16" ht="14.25" customHeight="1" x14ac:dyDescent="0.3">
      <c r="C911" s="6" t="str">
        <f t="shared" si="18"/>
        <v/>
      </c>
      <c r="D911" s="6" t="str">
        <f t="shared" si="19"/>
        <v/>
      </c>
      <c r="F911" s="6" t="str">
        <f>IF($C911="","",COUNTIFS(Chicks!$F:$F,$C911,Chicks!$G:$G,$D911))</f>
        <v/>
      </c>
      <c r="G911" s="6" t="str">
        <f>IF($C911="","",COUNTIFS(Chicks!$F:$F,$C911,Chicks!$G:$G,$D911,Chicks!$I:$I,"Yes"))</f>
        <v/>
      </c>
      <c r="H911" s="6" t="str">
        <f>IF($C911="","",SUMIFS(Chicks!$J:$J,Chicks!$F:$F,$C911,Chicks!$G:$G,$D911))</f>
        <v/>
      </c>
      <c r="I911" s="6" t="str">
        <f>IF($C911="","",COUNTIFS(Chicks!$F:$F,$C911,Chicks!$G:$G,$D911,Chicks!$I:$I,"No"))</f>
        <v/>
      </c>
      <c r="J911" s="6" t="str">
        <f>IF($C911="","",IFERROR(AVERAGEIFS(Chicks!$M:$M,Chicks!$F:$F,$C911,Chicks!$G:$G,$D911),""))</f>
        <v/>
      </c>
      <c r="K911" s="6" t="str">
        <f>IF($C911="","",SUMIFS(Chicks!$N:$N,Chicks!$F:$F,$C911,Chicks!$G:$G,$D911))</f>
        <v/>
      </c>
      <c r="L911" s="6" t="str">
        <f>IF($C911="","",SUMIFS(Chicks!$O:$O,Chicks!$F:$F,$C911,Chicks!$G:$G,$D911))</f>
        <v/>
      </c>
      <c r="M911" s="6" t="str">
        <f>IF($C911="","",SUMIFS(Chicks!$P:$P,Chicks!$F:$F,$C911,Chicks!$G:$G,$D911))</f>
        <v/>
      </c>
      <c r="N911" s="6" t="str">
        <f t="shared" si="15"/>
        <v/>
      </c>
      <c r="O911" s="6" t="e">
        <f t="shared" ca="1" si="16"/>
        <v>#NAME?</v>
      </c>
      <c r="P911" s="6" t="str">
        <f t="shared" si="17"/>
        <v/>
      </c>
    </row>
    <row r="912" spans="3:16" ht="14.25" customHeight="1" x14ac:dyDescent="0.3">
      <c r="C912" s="6" t="str">
        <f t="shared" si="18"/>
        <v/>
      </c>
      <c r="D912" s="6" t="str">
        <f t="shared" si="19"/>
        <v/>
      </c>
      <c r="F912" s="6" t="str">
        <f>IF($C912="","",COUNTIFS(Chicks!$F:$F,$C912,Chicks!$G:$G,$D912))</f>
        <v/>
      </c>
      <c r="G912" s="6" t="str">
        <f>IF($C912="","",COUNTIFS(Chicks!$F:$F,$C912,Chicks!$G:$G,$D912,Chicks!$I:$I,"Yes"))</f>
        <v/>
      </c>
      <c r="H912" s="6" t="str">
        <f>IF($C912="","",SUMIFS(Chicks!$J:$J,Chicks!$F:$F,$C912,Chicks!$G:$G,$D912))</f>
        <v/>
      </c>
      <c r="I912" s="6" t="str">
        <f>IF($C912="","",COUNTIFS(Chicks!$F:$F,$C912,Chicks!$G:$G,$D912,Chicks!$I:$I,"No"))</f>
        <v/>
      </c>
      <c r="J912" s="6" t="str">
        <f>IF($C912="","",IFERROR(AVERAGEIFS(Chicks!$M:$M,Chicks!$F:$F,$C912,Chicks!$G:$G,$D912),""))</f>
        <v/>
      </c>
      <c r="K912" s="6" t="str">
        <f>IF($C912="","",SUMIFS(Chicks!$N:$N,Chicks!$F:$F,$C912,Chicks!$G:$G,$D912))</f>
        <v/>
      </c>
      <c r="L912" s="6" t="str">
        <f>IF($C912="","",SUMIFS(Chicks!$O:$O,Chicks!$F:$F,$C912,Chicks!$G:$G,$D912))</f>
        <v/>
      </c>
      <c r="M912" s="6" t="str">
        <f>IF($C912="","",SUMIFS(Chicks!$P:$P,Chicks!$F:$F,$C912,Chicks!$G:$G,$D912))</f>
        <v/>
      </c>
      <c r="N912" s="6" t="str">
        <f t="shared" si="15"/>
        <v/>
      </c>
      <c r="O912" s="6" t="e">
        <f t="shared" ca="1" si="16"/>
        <v>#NAME?</v>
      </c>
      <c r="P912" s="6" t="str">
        <f t="shared" si="17"/>
        <v/>
      </c>
    </row>
    <row r="913" spans="3:16" ht="14.25" customHeight="1" x14ac:dyDescent="0.3">
      <c r="C913" s="6" t="str">
        <f t="shared" si="18"/>
        <v/>
      </c>
      <c r="D913" s="6" t="str">
        <f t="shared" si="19"/>
        <v/>
      </c>
      <c r="F913" s="6" t="str">
        <f>IF($C913="","",COUNTIFS(Chicks!$F:$F,$C913,Chicks!$G:$G,$D913))</f>
        <v/>
      </c>
      <c r="G913" s="6" t="str">
        <f>IF($C913="","",COUNTIFS(Chicks!$F:$F,$C913,Chicks!$G:$G,$D913,Chicks!$I:$I,"Yes"))</f>
        <v/>
      </c>
      <c r="H913" s="6" t="str">
        <f>IF($C913="","",SUMIFS(Chicks!$J:$J,Chicks!$F:$F,$C913,Chicks!$G:$G,$D913))</f>
        <v/>
      </c>
      <c r="I913" s="6" t="str">
        <f>IF($C913="","",COUNTIFS(Chicks!$F:$F,$C913,Chicks!$G:$G,$D913,Chicks!$I:$I,"No"))</f>
        <v/>
      </c>
      <c r="J913" s="6" t="str">
        <f>IF($C913="","",IFERROR(AVERAGEIFS(Chicks!$M:$M,Chicks!$F:$F,$C913,Chicks!$G:$G,$D913),""))</f>
        <v/>
      </c>
      <c r="K913" s="6" t="str">
        <f>IF($C913="","",SUMIFS(Chicks!$N:$N,Chicks!$F:$F,$C913,Chicks!$G:$G,$D913))</f>
        <v/>
      </c>
      <c r="L913" s="6" t="str">
        <f>IF($C913="","",SUMIFS(Chicks!$O:$O,Chicks!$F:$F,$C913,Chicks!$G:$G,$D913))</f>
        <v/>
      </c>
      <c r="M913" s="6" t="str">
        <f>IF($C913="","",SUMIFS(Chicks!$P:$P,Chicks!$F:$F,$C913,Chicks!$G:$G,$D913))</f>
        <v/>
      </c>
      <c r="N913" s="6" t="str">
        <f t="shared" si="15"/>
        <v/>
      </c>
      <c r="O913" s="6" t="e">
        <f t="shared" ca="1" si="16"/>
        <v>#NAME?</v>
      </c>
      <c r="P913" s="6" t="str">
        <f t="shared" si="17"/>
        <v/>
      </c>
    </row>
    <row r="914" spans="3:16" ht="14.25" customHeight="1" x14ac:dyDescent="0.3">
      <c r="C914" s="6" t="str">
        <f t="shared" si="18"/>
        <v/>
      </c>
      <c r="D914" s="6" t="str">
        <f t="shared" si="19"/>
        <v/>
      </c>
      <c r="F914" s="6" t="str">
        <f>IF($C914="","",COUNTIFS(Chicks!$F:$F,$C914,Chicks!$G:$G,$D914))</f>
        <v/>
      </c>
      <c r="G914" s="6" t="str">
        <f>IF($C914="","",COUNTIFS(Chicks!$F:$F,$C914,Chicks!$G:$G,$D914,Chicks!$I:$I,"Yes"))</f>
        <v/>
      </c>
      <c r="H914" s="6" t="str">
        <f>IF($C914="","",SUMIFS(Chicks!$J:$J,Chicks!$F:$F,$C914,Chicks!$G:$G,$D914))</f>
        <v/>
      </c>
      <c r="I914" s="6" t="str">
        <f>IF($C914="","",COUNTIFS(Chicks!$F:$F,$C914,Chicks!$G:$G,$D914,Chicks!$I:$I,"No"))</f>
        <v/>
      </c>
      <c r="J914" s="6" t="str">
        <f>IF($C914="","",IFERROR(AVERAGEIFS(Chicks!$M:$M,Chicks!$F:$F,$C914,Chicks!$G:$G,$D914),""))</f>
        <v/>
      </c>
      <c r="K914" s="6" t="str">
        <f>IF($C914="","",SUMIFS(Chicks!$N:$N,Chicks!$F:$F,$C914,Chicks!$G:$G,$D914))</f>
        <v/>
      </c>
      <c r="L914" s="6" t="str">
        <f>IF($C914="","",SUMIFS(Chicks!$O:$O,Chicks!$F:$F,$C914,Chicks!$G:$G,$D914))</f>
        <v/>
      </c>
      <c r="M914" s="6" t="str">
        <f>IF($C914="","",SUMIFS(Chicks!$P:$P,Chicks!$F:$F,$C914,Chicks!$G:$G,$D914))</f>
        <v/>
      </c>
      <c r="N914" s="6" t="str">
        <f t="shared" si="15"/>
        <v/>
      </c>
      <c r="O914" s="6" t="e">
        <f t="shared" ca="1" si="16"/>
        <v>#NAME?</v>
      </c>
      <c r="P914" s="6" t="str">
        <f t="shared" si="17"/>
        <v/>
      </c>
    </row>
    <row r="915" spans="3:16" ht="14.25" customHeight="1" x14ac:dyDescent="0.3">
      <c r="C915" s="6" t="str">
        <f t="shared" si="18"/>
        <v/>
      </c>
      <c r="D915" s="6" t="str">
        <f t="shared" si="19"/>
        <v/>
      </c>
      <c r="F915" s="6" t="str">
        <f>IF($C915="","",COUNTIFS(Chicks!$F:$F,$C915,Chicks!$G:$G,$D915))</f>
        <v/>
      </c>
      <c r="G915" s="6" t="str">
        <f>IF($C915="","",COUNTIFS(Chicks!$F:$F,$C915,Chicks!$G:$G,$D915,Chicks!$I:$I,"Yes"))</f>
        <v/>
      </c>
      <c r="H915" s="6" t="str">
        <f>IF($C915="","",SUMIFS(Chicks!$J:$J,Chicks!$F:$F,$C915,Chicks!$G:$G,$D915))</f>
        <v/>
      </c>
      <c r="I915" s="6" t="str">
        <f>IF($C915="","",COUNTIFS(Chicks!$F:$F,$C915,Chicks!$G:$G,$D915,Chicks!$I:$I,"No"))</f>
        <v/>
      </c>
      <c r="J915" s="6" t="str">
        <f>IF($C915="","",IFERROR(AVERAGEIFS(Chicks!$M:$M,Chicks!$F:$F,$C915,Chicks!$G:$G,$D915),""))</f>
        <v/>
      </c>
      <c r="K915" s="6" t="str">
        <f>IF($C915="","",SUMIFS(Chicks!$N:$N,Chicks!$F:$F,$C915,Chicks!$G:$G,$D915))</f>
        <v/>
      </c>
      <c r="L915" s="6" t="str">
        <f>IF($C915="","",SUMIFS(Chicks!$O:$O,Chicks!$F:$F,$C915,Chicks!$G:$G,$D915))</f>
        <v/>
      </c>
      <c r="M915" s="6" t="str">
        <f>IF($C915="","",SUMIFS(Chicks!$P:$P,Chicks!$F:$F,$C915,Chicks!$G:$G,$D915))</f>
        <v/>
      </c>
      <c r="N915" s="6" t="str">
        <f t="shared" si="15"/>
        <v/>
      </c>
      <c r="O915" s="6" t="e">
        <f t="shared" ca="1" si="16"/>
        <v>#NAME?</v>
      </c>
      <c r="P915" s="6" t="str">
        <f t="shared" si="17"/>
        <v/>
      </c>
    </row>
    <row r="916" spans="3:16" ht="14.25" customHeight="1" x14ac:dyDescent="0.3">
      <c r="C916" s="6" t="str">
        <f t="shared" si="18"/>
        <v/>
      </c>
      <c r="D916" s="6" t="str">
        <f t="shared" si="19"/>
        <v/>
      </c>
      <c r="F916" s="6" t="str">
        <f>IF($C916="","",COUNTIFS(Chicks!$F:$F,$C916,Chicks!$G:$G,$D916))</f>
        <v/>
      </c>
      <c r="G916" s="6" t="str">
        <f>IF($C916="","",COUNTIFS(Chicks!$F:$F,$C916,Chicks!$G:$G,$D916,Chicks!$I:$I,"Yes"))</f>
        <v/>
      </c>
      <c r="H916" s="6" t="str">
        <f>IF($C916="","",SUMIFS(Chicks!$J:$J,Chicks!$F:$F,$C916,Chicks!$G:$G,$D916))</f>
        <v/>
      </c>
      <c r="I916" s="6" t="str">
        <f>IF($C916="","",COUNTIFS(Chicks!$F:$F,$C916,Chicks!$G:$G,$D916,Chicks!$I:$I,"No"))</f>
        <v/>
      </c>
      <c r="J916" s="6" t="str">
        <f>IF($C916="","",IFERROR(AVERAGEIFS(Chicks!$M:$M,Chicks!$F:$F,$C916,Chicks!$G:$G,$D916),""))</f>
        <v/>
      </c>
      <c r="K916" s="6" t="str">
        <f>IF($C916="","",SUMIFS(Chicks!$N:$N,Chicks!$F:$F,$C916,Chicks!$G:$G,$D916))</f>
        <v/>
      </c>
      <c r="L916" s="6" t="str">
        <f>IF($C916="","",SUMIFS(Chicks!$O:$O,Chicks!$F:$F,$C916,Chicks!$G:$G,$D916))</f>
        <v/>
      </c>
      <c r="M916" s="6" t="str">
        <f>IF($C916="","",SUMIFS(Chicks!$P:$P,Chicks!$F:$F,$C916,Chicks!$G:$G,$D916))</f>
        <v/>
      </c>
      <c r="N916" s="6" t="str">
        <f t="shared" si="15"/>
        <v/>
      </c>
      <c r="O916" s="6" t="e">
        <f t="shared" ca="1" si="16"/>
        <v>#NAME?</v>
      </c>
      <c r="P916" s="6" t="str">
        <f t="shared" si="17"/>
        <v/>
      </c>
    </row>
    <row r="917" spans="3:16" ht="14.25" customHeight="1" x14ac:dyDescent="0.3">
      <c r="C917" s="6" t="str">
        <f t="shared" si="18"/>
        <v/>
      </c>
      <c r="D917" s="6" t="str">
        <f t="shared" si="19"/>
        <v/>
      </c>
      <c r="F917" s="6" t="str">
        <f>IF($C917="","",COUNTIFS(Chicks!$F:$F,$C917,Chicks!$G:$G,$D917))</f>
        <v/>
      </c>
      <c r="G917" s="6" t="str">
        <f>IF($C917="","",COUNTIFS(Chicks!$F:$F,$C917,Chicks!$G:$G,$D917,Chicks!$I:$I,"Yes"))</f>
        <v/>
      </c>
      <c r="H917" s="6" t="str">
        <f>IF($C917="","",SUMIFS(Chicks!$J:$J,Chicks!$F:$F,$C917,Chicks!$G:$G,$D917))</f>
        <v/>
      </c>
      <c r="I917" s="6" t="str">
        <f>IF($C917="","",COUNTIFS(Chicks!$F:$F,$C917,Chicks!$G:$G,$D917,Chicks!$I:$I,"No"))</f>
        <v/>
      </c>
      <c r="J917" s="6" t="str">
        <f>IF($C917="","",IFERROR(AVERAGEIFS(Chicks!$M:$M,Chicks!$F:$F,$C917,Chicks!$G:$G,$D917),""))</f>
        <v/>
      </c>
      <c r="K917" s="6" t="str">
        <f>IF($C917="","",SUMIFS(Chicks!$N:$N,Chicks!$F:$F,$C917,Chicks!$G:$G,$D917))</f>
        <v/>
      </c>
      <c r="L917" s="6" t="str">
        <f>IF($C917="","",SUMIFS(Chicks!$O:$O,Chicks!$F:$F,$C917,Chicks!$G:$G,$D917))</f>
        <v/>
      </c>
      <c r="M917" s="6" t="str">
        <f>IF($C917="","",SUMIFS(Chicks!$P:$P,Chicks!$F:$F,$C917,Chicks!$G:$G,$D917))</f>
        <v/>
      </c>
      <c r="N917" s="6" t="str">
        <f t="shared" si="15"/>
        <v/>
      </c>
      <c r="O917" s="6" t="e">
        <f t="shared" ca="1" si="16"/>
        <v>#NAME?</v>
      </c>
      <c r="P917" s="6" t="str">
        <f t="shared" si="17"/>
        <v/>
      </c>
    </row>
    <row r="918" spans="3:16" ht="14.25" customHeight="1" x14ac:dyDescent="0.3">
      <c r="C918" s="6" t="str">
        <f t="shared" si="18"/>
        <v/>
      </c>
      <c r="D918" s="6" t="str">
        <f t="shared" si="19"/>
        <v/>
      </c>
      <c r="F918" s="6" t="str">
        <f>IF($C918="","",COUNTIFS(Chicks!$F:$F,$C918,Chicks!$G:$G,$D918))</f>
        <v/>
      </c>
      <c r="G918" s="6" t="str">
        <f>IF($C918="","",COUNTIFS(Chicks!$F:$F,$C918,Chicks!$G:$G,$D918,Chicks!$I:$I,"Yes"))</f>
        <v/>
      </c>
      <c r="H918" s="6" t="str">
        <f>IF($C918="","",SUMIFS(Chicks!$J:$J,Chicks!$F:$F,$C918,Chicks!$G:$G,$D918))</f>
        <v/>
      </c>
      <c r="I918" s="6" t="str">
        <f>IF($C918="","",COUNTIFS(Chicks!$F:$F,$C918,Chicks!$G:$G,$D918,Chicks!$I:$I,"No"))</f>
        <v/>
      </c>
      <c r="J918" s="6" t="str">
        <f>IF($C918="","",IFERROR(AVERAGEIFS(Chicks!$M:$M,Chicks!$F:$F,$C918,Chicks!$G:$G,$D918),""))</f>
        <v/>
      </c>
      <c r="K918" s="6" t="str">
        <f>IF($C918="","",SUMIFS(Chicks!$N:$N,Chicks!$F:$F,$C918,Chicks!$G:$G,$D918))</f>
        <v/>
      </c>
      <c r="L918" s="6" t="str">
        <f>IF($C918="","",SUMIFS(Chicks!$O:$O,Chicks!$F:$F,$C918,Chicks!$G:$G,$D918))</f>
        <v/>
      </c>
      <c r="M918" s="6" t="str">
        <f>IF($C918="","",SUMIFS(Chicks!$P:$P,Chicks!$F:$F,$C918,Chicks!$G:$G,$D918))</f>
        <v/>
      </c>
      <c r="N918" s="6" t="str">
        <f t="shared" si="15"/>
        <v/>
      </c>
      <c r="O918" s="6" t="e">
        <f t="shared" ca="1" si="16"/>
        <v>#NAME?</v>
      </c>
      <c r="P918" s="6" t="str">
        <f t="shared" si="17"/>
        <v/>
      </c>
    </row>
    <row r="919" spans="3:16" ht="14.25" customHeight="1" x14ac:dyDescent="0.3">
      <c r="C919" s="6" t="str">
        <f t="shared" si="18"/>
        <v/>
      </c>
      <c r="D919" s="6" t="str">
        <f t="shared" si="19"/>
        <v/>
      </c>
      <c r="F919" s="6" t="str">
        <f>IF($C919="","",COUNTIFS(Chicks!$F:$F,$C919,Chicks!$G:$G,$D919))</f>
        <v/>
      </c>
      <c r="G919" s="6" t="str">
        <f>IF($C919="","",COUNTIFS(Chicks!$F:$F,$C919,Chicks!$G:$G,$D919,Chicks!$I:$I,"Yes"))</f>
        <v/>
      </c>
      <c r="H919" s="6" t="str">
        <f>IF($C919="","",SUMIFS(Chicks!$J:$J,Chicks!$F:$F,$C919,Chicks!$G:$G,$D919))</f>
        <v/>
      </c>
      <c r="I919" s="6" t="str">
        <f>IF($C919="","",COUNTIFS(Chicks!$F:$F,$C919,Chicks!$G:$G,$D919,Chicks!$I:$I,"No"))</f>
        <v/>
      </c>
      <c r="J919" s="6" t="str">
        <f>IF($C919="","",IFERROR(AVERAGEIFS(Chicks!$M:$M,Chicks!$F:$F,$C919,Chicks!$G:$G,$D919),""))</f>
        <v/>
      </c>
      <c r="K919" s="6" t="str">
        <f>IF($C919="","",SUMIFS(Chicks!$N:$N,Chicks!$F:$F,$C919,Chicks!$G:$G,$D919))</f>
        <v/>
      </c>
      <c r="L919" s="6" t="str">
        <f>IF($C919="","",SUMIFS(Chicks!$O:$O,Chicks!$F:$F,$C919,Chicks!$G:$G,$D919))</f>
        <v/>
      </c>
      <c r="M919" s="6" t="str">
        <f>IF($C919="","",SUMIFS(Chicks!$P:$P,Chicks!$F:$F,$C919,Chicks!$G:$G,$D919))</f>
        <v/>
      </c>
      <c r="N919" s="6" t="str">
        <f t="shared" si="15"/>
        <v/>
      </c>
      <c r="O919" s="6" t="e">
        <f t="shared" ca="1" si="16"/>
        <v>#NAME?</v>
      </c>
      <c r="P919" s="6" t="str">
        <f t="shared" si="17"/>
        <v/>
      </c>
    </row>
    <row r="920" spans="3:16" ht="14.25" customHeight="1" x14ac:dyDescent="0.3">
      <c r="C920" s="6" t="str">
        <f t="shared" si="18"/>
        <v/>
      </c>
      <c r="D920" s="6" t="str">
        <f t="shared" si="19"/>
        <v/>
      </c>
      <c r="F920" s="6" t="str">
        <f>IF($C920="","",COUNTIFS(Chicks!$F:$F,$C920,Chicks!$G:$G,$D920))</f>
        <v/>
      </c>
      <c r="G920" s="6" t="str">
        <f>IF($C920="","",COUNTIFS(Chicks!$F:$F,$C920,Chicks!$G:$G,$D920,Chicks!$I:$I,"Yes"))</f>
        <v/>
      </c>
      <c r="H920" s="6" t="str">
        <f>IF($C920="","",SUMIFS(Chicks!$J:$J,Chicks!$F:$F,$C920,Chicks!$G:$G,$D920))</f>
        <v/>
      </c>
      <c r="I920" s="6" t="str">
        <f>IF($C920="","",COUNTIFS(Chicks!$F:$F,$C920,Chicks!$G:$G,$D920,Chicks!$I:$I,"No"))</f>
        <v/>
      </c>
      <c r="J920" s="6" t="str">
        <f>IF($C920="","",IFERROR(AVERAGEIFS(Chicks!$M:$M,Chicks!$F:$F,$C920,Chicks!$G:$G,$D920),""))</f>
        <v/>
      </c>
      <c r="K920" s="6" t="str">
        <f>IF($C920="","",SUMIFS(Chicks!$N:$N,Chicks!$F:$F,$C920,Chicks!$G:$G,$D920))</f>
        <v/>
      </c>
      <c r="L920" s="6" t="str">
        <f>IF($C920="","",SUMIFS(Chicks!$O:$O,Chicks!$F:$F,$C920,Chicks!$G:$G,$D920))</f>
        <v/>
      </c>
      <c r="M920" s="6" t="str">
        <f>IF($C920="","",SUMIFS(Chicks!$P:$P,Chicks!$F:$F,$C920,Chicks!$G:$G,$D920))</f>
        <v/>
      </c>
      <c r="N920" s="6" t="str">
        <f t="shared" si="15"/>
        <v/>
      </c>
      <c r="O920" s="6" t="e">
        <f t="shared" ca="1" si="16"/>
        <v>#NAME?</v>
      </c>
      <c r="P920" s="6" t="str">
        <f t="shared" si="17"/>
        <v/>
      </c>
    </row>
    <row r="921" spans="3:16" ht="14.25" customHeight="1" x14ac:dyDescent="0.3">
      <c r="C921" s="6" t="str">
        <f t="shared" si="18"/>
        <v/>
      </c>
      <c r="D921" s="6" t="str">
        <f t="shared" si="19"/>
        <v/>
      </c>
      <c r="F921" s="6" t="str">
        <f>IF($C921="","",COUNTIFS(Chicks!$F:$F,$C921,Chicks!$G:$G,$D921))</f>
        <v/>
      </c>
      <c r="G921" s="6" t="str">
        <f>IF($C921="","",COUNTIFS(Chicks!$F:$F,$C921,Chicks!$G:$G,$D921,Chicks!$I:$I,"Yes"))</f>
        <v/>
      </c>
      <c r="H921" s="6" t="str">
        <f>IF($C921="","",SUMIFS(Chicks!$J:$J,Chicks!$F:$F,$C921,Chicks!$G:$G,$D921))</f>
        <v/>
      </c>
      <c r="I921" s="6" t="str">
        <f>IF($C921="","",COUNTIFS(Chicks!$F:$F,$C921,Chicks!$G:$G,$D921,Chicks!$I:$I,"No"))</f>
        <v/>
      </c>
      <c r="J921" s="6" t="str">
        <f>IF($C921="","",IFERROR(AVERAGEIFS(Chicks!$M:$M,Chicks!$F:$F,$C921,Chicks!$G:$G,$D921),""))</f>
        <v/>
      </c>
      <c r="K921" s="6" t="str">
        <f>IF($C921="","",SUMIFS(Chicks!$N:$N,Chicks!$F:$F,$C921,Chicks!$G:$G,$D921))</f>
        <v/>
      </c>
      <c r="L921" s="6" t="str">
        <f>IF($C921="","",SUMIFS(Chicks!$O:$O,Chicks!$F:$F,$C921,Chicks!$G:$G,$D921))</f>
        <v/>
      </c>
      <c r="M921" s="6" t="str">
        <f>IF($C921="","",SUMIFS(Chicks!$P:$P,Chicks!$F:$F,$C921,Chicks!$G:$G,$D921))</f>
        <v/>
      </c>
      <c r="N921" s="6" t="str">
        <f t="shared" si="15"/>
        <v/>
      </c>
      <c r="O921" s="6" t="e">
        <f t="shared" ca="1" si="16"/>
        <v>#NAME?</v>
      </c>
      <c r="P921" s="6" t="str">
        <f t="shared" si="17"/>
        <v/>
      </c>
    </row>
    <row r="922" spans="3:16" ht="14.25" customHeight="1" x14ac:dyDescent="0.3">
      <c r="C922" s="6" t="str">
        <f t="shared" si="18"/>
        <v/>
      </c>
      <c r="D922" s="6" t="str">
        <f t="shared" si="19"/>
        <v/>
      </c>
      <c r="F922" s="6" t="str">
        <f>IF($C922="","",COUNTIFS(Chicks!$F:$F,$C922,Chicks!$G:$G,$D922))</f>
        <v/>
      </c>
      <c r="G922" s="6" t="str">
        <f>IF($C922="","",COUNTIFS(Chicks!$F:$F,$C922,Chicks!$G:$G,$D922,Chicks!$I:$I,"Yes"))</f>
        <v/>
      </c>
      <c r="H922" s="6" t="str">
        <f>IF($C922="","",SUMIFS(Chicks!$J:$J,Chicks!$F:$F,$C922,Chicks!$G:$G,$D922))</f>
        <v/>
      </c>
      <c r="I922" s="6" t="str">
        <f>IF($C922="","",COUNTIFS(Chicks!$F:$F,$C922,Chicks!$G:$G,$D922,Chicks!$I:$I,"No"))</f>
        <v/>
      </c>
      <c r="J922" s="6" t="str">
        <f>IF($C922="","",IFERROR(AVERAGEIFS(Chicks!$M:$M,Chicks!$F:$F,$C922,Chicks!$G:$G,$D922),""))</f>
        <v/>
      </c>
      <c r="K922" s="6" t="str">
        <f>IF($C922="","",SUMIFS(Chicks!$N:$N,Chicks!$F:$F,$C922,Chicks!$G:$G,$D922))</f>
        <v/>
      </c>
      <c r="L922" s="6" t="str">
        <f>IF($C922="","",SUMIFS(Chicks!$O:$O,Chicks!$F:$F,$C922,Chicks!$G:$G,$D922))</f>
        <v/>
      </c>
      <c r="M922" s="6" t="str">
        <f>IF($C922="","",SUMIFS(Chicks!$P:$P,Chicks!$F:$F,$C922,Chicks!$G:$G,$D922))</f>
        <v/>
      </c>
      <c r="N922" s="6" t="str">
        <f t="shared" si="15"/>
        <v/>
      </c>
      <c r="O922" s="6" t="e">
        <f t="shared" ca="1" si="16"/>
        <v>#NAME?</v>
      </c>
      <c r="P922" s="6" t="str">
        <f t="shared" si="17"/>
        <v/>
      </c>
    </row>
    <row r="923" spans="3:16" ht="14.25" customHeight="1" x14ac:dyDescent="0.3">
      <c r="C923" s="6" t="str">
        <f t="shared" si="18"/>
        <v/>
      </c>
      <c r="D923" s="6" t="str">
        <f t="shared" si="19"/>
        <v/>
      </c>
      <c r="F923" s="6" t="str">
        <f>IF($C923="","",COUNTIFS(Chicks!$F:$F,$C923,Chicks!$G:$G,$D923))</f>
        <v/>
      </c>
      <c r="G923" s="6" t="str">
        <f>IF($C923="","",COUNTIFS(Chicks!$F:$F,$C923,Chicks!$G:$G,$D923,Chicks!$I:$I,"Yes"))</f>
        <v/>
      </c>
      <c r="H923" s="6" t="str">
        <f>IF($C923="","",SUMIFS(Chicks!$J:$J,Chicks!$F:$F,$C923,Chicks!$G:$G,$D923))</f>
        <v/>
      </c>
      <c r="I923" s="6" t="str">
        <f>IF($C923="","",COUNTIFS(Chicks!$F:$F,$C923,Chicks!$G:$G,$D923,Chicks!$I:$I,"No"))</f>
        <v/>
      </c>
      <c r="J923" s="6" t="str">
        <f>IF($C923="","",IFERROR(AVERAGEIFS(Chicks!$M:$M,Chicks!$F:$F,$C923,Chicks!$G:$G,$D923),""))</f>
        <v/>
      </c>
      <c r="K923" s="6" t="str">
        <f>IF($C923="","",SUMIFS(Chicks!$N:$N,Chicks!$F:$F,$C923,Chicks!$G:$G,$D923))</f>
        <v/>
      </c>
      <c r="L923" s="6" t="str">
        <f>IF($C923="","",SUMIFS(Chicks!$O:$O,Chicks!$F:$F,$C923,Chicks!$G:$G,$D923))</f>
        <v/>
      </c>
      <c r="M923" s="6" t="str">
        <f>IF($C923="","",SUMIFS(Chicks!$P:$P,Chicks!$F:$F,$C923,Chicks!$G:$G,$D923))</f>
        <v/>
      </c>
      <c r="N923" s="6" t="str">
        <f t="shared" si="15"/>
        <v/>
      </c>
      <c r="O923" s="6" t="e">
        <f t="shared" ca="1" si="16"/>
        <v>#NAME?</v>
      </c>
      <c r="P923" s="6" t="str">
        <f t="shared" si="17"/>
        <v/>
      </c>
    </row>
    <row r="924" spans="3:16" ht="14.25" customHeight="1" x14ac:dyDescent="0.3">
      <c r="C924" s="6" t="str">
        <f t="shared" si="18"/>
        <v/>
      </c>
      <c r="D924" s="6" t="str">
        <f t="shared" si="19"/>
        <v/>
      </c>
      <c r="F924" s="6" t="str">
        <f>IF($C924="","",COUNTIFS(Chicks!$F:$F,$C924,Chicks!$G:$G,$D924))</f>
        <v/>
      </c>
      <c r="G924" s="6" t="str">
        <f>IF($C924="","",COUNTIFS(Chicks!$F:$F,$C924,Chicks!$G:$G,$D924,Chicks!$I:$I,"Yes"))</f>
        <v/>
      </c>
      <c r="H924" s="6" t="str">
        <f>IF($C924="","",SUMIFS(Chicks!$J:$J,Chicks!$F:$F,$C924,Chicks!$G:$G,$D924))</f>
        <v/>
      </c>
      <c r="I924" s="6" t="str">
        <f>IF($C924="","",COUNTIFS(Chicks!$F:$F,$C924,Chicks!$G:$G,$D924,Chicks!$I:$I,"No"))</f>
        <v/>
      </c>
      <c r="J924" s="6" t="str">
        <f>IF($C924="","",IFERROR(AVERAGEIFS(Chicks!$M:$M,Chicks!$F:$F,$C924,Chicks!$G:$G,$D924),""))</f>
        <v/>
      </c>
      <c r="K924" s="6" t="str">
        <f>IF($C924="","",SUMIFS(Chicks!$N:$N,Chicks!$F:$F,$C924,Chicks!$G:$G,$D924))</f>
        <v/>
      </c>
      <c r="L924" s="6" t="str">
        <f>IF($C924="","",SUMIFS(Chicks!$O:$O,Chicks!$F:$F,$C924,Chicks!$G:$G,$D924))</f>
        <v/>
      </c>
      <c r="M924" s="6" t="str">
        <f>IF($C924="","",SUMIFS(Chicks!$P:$P,Chicks!$F:$F,$C924,Chicks!$G:$G,$D924))</f>
        <v/>
      </c>
      <c r="N924" s="6" t="str">
        <f t="shared" si="15"/>
        <v/>
      </c>
      <c r="O924" s="6" t="e">
        <f t="shared" ca="1" si="16"/>
        <v>#NAME?</v>
      </c>
      <c r="P924" s="6" t="str">
        <f t="shared" si="17"/>
        <v/>
      </c>
    </row>
    <row r="925" spans="3:16" ht="14.25" customHeight="1" x14ac:dyDescent="0.3">
      <c r="C925" s="6" t="str">
        <f t="shared" si="18"/>
        <v/>
      </c>
      <c r="D925" s="6" t="str">
        <f t="shared" si="19"/>
        <v/>
      </c>
      <c r="F925" s="6" t="str">
        <f>IF($C925="","",COUNTIFS(Chicks!$F:$F,$C925,Chicks!$G:$G,$D925))</f>
        <v/>
      </c>
      <c r="G925" s="6" t="str">
        <f>IF($C925="","",COUNTIFS(Chicks!$F:$F,$C925,Chicks!$G:$G,$D925,Chicks!$I:$I,"Yes"))</f>
        <v/>
      </c>
      <c r="H925" s="6" t="str">
        <f>IF($C925="","",SUMIFS(Chicks!$J:$J,Chicks!$F:$F,$C925,Chicks!$G:$G,$D925))</f>
        <v/>
      </c>
      <c r="I925" s="6" t="str">
        <f>IF($C925="","",COUNTIFS(Chicks!$F:$F,$C925,Chicks!$G:$G,$D925,Chicks!$I:$I,"No"))</f>
        <v/>
      </c>
      <c r="J925" s="6" t="str">
        <f>IF($C925="","",IFERROR(AVERAGEIFS(Chicks!$M:$M,Chicks!$F:$F,$C925,Chicks!$G:$G,$D925),""))</f>
        <v/>
      </c>
      <c r="K925" s="6" t="str">
        <f>IF($C925="","",SUMIFS(Chicks!$N:$N,Chicks!$F:$F,$C925,Chicks!$G:$G,$D925))</f>
        <v/>
      </c>
      <c r="L925" s="6" t="str">
        <f>IF($C925="","",SUMIFS(Chicks!$O:$O,Chicks!$F:$F,$C925,Chicks!$G:$G,$D925))</f>
        <v/>
      </c>
      <c r="M925" s="6" t="str">
        <f>IF($C925="","",SUMIFS(Chicks!$P:$P,Chicks!$F:$F,$C925,Chicks!$G:$G,$D925))</f>
        <v/>
      </c>
      <c r="N925" s="6" t="str">
        <f t="shared" si="15"/>
        <v/>
      </c>
      <c r="O925" s="6" t="e">
        <f t="shared" ca="1" si="16"/>
        <v>#NAME?</v>
      </c>
      <c r="P925" s="6" t="str">
        <f t="shared" si="17"/>
        <v/>
      </c>
    </row>
    <row r="926" spans="3:16" ht="14.25" customHeight="1" x14ac:dyDescent="0.3">
      <c r="C926" s="6" t="str">
        <f t="shared" si="18"/>
        <v/>
      </c>
      <c r="D926" s="6" t="str">
        <f t="shared" si="19"/>
        <v/>
      </c>
      <c r="F926" s="6" t="str">
        <f>IF($C926="","",COUNTIFS(Chicks!$F:$F,$C926,Chicks!$G:$G,$D926))</f>
        <v/>
      </c>
      <c r="G926" s="6" t="str">
        <f>IF($C926="","",COUNTIFS(Chicks!$F:$F,$C926,Chicks!$G:$G,$D926,Chicks!$I:$I,"Yes"))</f>
        <v/>
      </c>
      <c r="H926" s="6" t="str">
        <f>IF($C926="","",SUMIFS(Chicks!$J:$J,Chicks!$F:$F,$C926,Chicks!$G:$G,$D926))</f>
        <v/>
      </c>
      <c r="I926" s="6" t="str">
        <f>IF($C926="","",COUNTIFS(Chicks!$F:$F,$C926,Chicks!$G:$G,$D926,Chicks!$I:$I,"No"))</f>
        <v/>
      </c>
      <c r="J926" s="6" t="str">
        <f>IF($C926="","",IFERROR(AVERAGEIFS(Chicks!$M:$M,Chicks!$F:$F,$C926,Chicks!$G:$G,$D926),""))</f>
        <v/>
      </c>
      <c r="K926" s="6" t="str">
        <f>IF($C926="","",SUMIFS(Chicks!$N:$N,Chicks!$F:$F,$C926,Chicks!$G:$G,$D926))</f>
        <v/>
      </c>
      <c r="L926" s="6" t="str">
        <f>IF($C926="","",SUMIFS(Chicks!$O:$O,Chicks!$F:$F,$C926,Chicks!$G:$G,$D926))</f>
        <v/>
      </c>
      <c r="M926" s="6" t="str">
        <f>IF($C926="","",SUMIFS(Chicks!$P:$P,Chicks!$F:$F,$C926,Chicks!$G:$G,$D926))</f>
        <v/>
      </c>
      <c r="N926" s="6" t="str">
        <f t="shared" si="15"/>
        <v/>
      </c>
      <c r="O926" s="6" t="e">
        <f t="shared" ca="1" si="16"/>
        <v>#NAME?</v>
      </c>
      <c r="P926" s="6" t="str">
        <f t="shared" si="17"/>
        <v/>
      </c>
    </row>
    <row r="927" spans="3:16" ht="14.25" customHeight="1" x14ac:dyDescent="0.3">
      <c r="C927" s="6" t="str">
        <f t="shared" si="18"/>
        <v/>
      </c>
      <c r="D927" s="6" t="str">
        <f t="shared" si="19"/>
        <v/>
      </c>
      <c r="F927" s="6" t="str">
        <f>IF($C927="","",COUNTIFS(Chicks!$F:$F,$C927,Chicks!$G:$G,$D927))</f>
        <v/>
      </c>
      <c r="G927" s="6" t="str">
        <f>IF($C927="","",COUNTIFS(Chicks!$F:$F,$C927,Chicks!$G:$G,$D927,Chicks!$I:$I,"Yes"))</f>
        <v/>
      </c>
      <c r="H927" s="6" t="str">
        <f>IF($C927="","",SUMIFS(Chicks!$J:$J,Chicks!$F:$F,$C927,Chicks!$G:$G,$D927))</f>
        <v/>
      </c>
      <c r="I927" s="6" t="str">
        <f>IF($C927="","",COUNTIFS(Chicks!$F:$F,$C927,Chicks!$G:$G,$D927,Chicks!$I:$I,"No"))</f>
        <v/>
      </c>
      <c r="J927" s="6" t="str">
        <f>IF($C927="","",IFERROR(AVERAGEIFS(Chicks!$M:$M,Chicks!$F:$F,$C927,Chicks!$G:$G,$D927),""))</f>
        <v/>
      </c>
      <c r="K927" s="6" t="str">
        <f>IF($C927="","",SUMIFS(Chicks!$N:$N,Chicks!$F:$F,$C927,Chicks!$G:$G,$D927))</f>
        <v/>
      </c>
      <c r="L927" s="6" t="str">
        <f>IF($C927="","",SUMIFS(Chicks!$O:$O,Chicks!$F:$F,$C927,Chicks!$G:$G,$D927))</f>
        <v/>
      </c>
      <c r="M927" s="6" t="str">
        <f>IF($C927="","",SUMIFS(Chicks!$P:$P,Chicks!$F:$F,$C927,Chicks!$G:$G,$D927))</f>
        <v/>
      </c>
      <c r="N927" s="6" t="str">
        <f t="shared" si="15"/>
        <v/>
      </c>
      <c r="O927" s="6" t="e">
        <f t="shared" ca="1" si="16"/>
        <v>#NAME?</v>
      </c>
      <c r="P927" s="6" t="str">
        <f t="shared" si="17"/>
        <v/>
      </c>
    </row>
    <row r="928" spans="3:16" ht="14.25" customHeight="1" x14ac:dyDescent="0.3">
      <c r="C928" s="6" t="str">
        <f t="shared" si="18"/>
        <v/>
      </c>
      <c r="D928" s="6" t="str">
        <f t="shared" si="19"/>
        <v/>
      </c>
      <c r="F928" s="6" t="str">
        <f>IF($C928="","",COUNTIFS(Chicks!$F:$F,$C928,Chicks!$G:$G,$D928))</f>
        <v/>
      </c>
      <c r="G928" s="6" t="str">
        <f>IF($C928="","",COUNTIFS(Chicks!$F:$F,$C928,Chicks!$G:$G,$D928,Chicks!$I:$I,"Yes"))</f>
        <v/>
      </c>
      <c r="H928" s="6" t="str">
        <f>IF($C928="","",SUMIFS(Chicks!$J:$J,Chicks!$F:$F,$C928,Chicks!$G:$G,$D928))</f>
        <v/>
      </c>
      <c r="I928" s="6" t="str">
        <f>IF($C928="","",COUNTIFS(Chicks!$F:$F,$C928,Chicks!$G:$G,$D928,Chicks!$I:$I,"No"))</f>
        <v/>
      </c>
      <c r="J928" s="6" t="str">
        <f>IF($C928="","",IFERROR(AVERAGEIFS(Chicks!$M:$M,Chicks!$F:$F,$C928,Chicks!$G:$G,$D928),""))</f>
        <v/>
      </c>
      <c r="K928" s="6" t="str">
        <f>IF($C928="","",SUMIFS(Chicks!$N:$N,Chicks!$F:$F,$C928,Chicks!$G:$G,$D928))</f>
        <v/>
      </c>
      <c r="L928" s="6" t="str">
        <f>IF($C928="","",SUMIFS(Chicks!$O:$O,Chicks!$F:$F,$C928,Chicks!$G:$G,$D928))</f>
        <v/>
      </c>
      <c r="M928" s="6" t="str">
        <f>IF($C928="","",SUMIFS(Chicks!$P:$P,Chicks!$F:$F,$C928,Chicks!$G:$G,$D928))</f>
        <v/>
      </c>
      <c r="N928" s="6" t="str">
        <f t="shared" si="15"/>
        <v/>
      </c>
      <c r="O928" s="6" t="e">
        <f t="shared" ca="1" si="16"/>
        <v>#NAME?</v>
      </c>
      <c r="P928" s="6" t="str">
        <f t="shared" si="17"/>
        <v/>
      </c>
    </row>
    <row r="929" spans="3:16" ht="14.25" customHeight="1" x14ac:dyDescent="0.3">
      <c r="C929" s="6" t="str">
        <f t="shared" si="18"/>
        <v/>
      </c>
      <c r="D929" s="6" t="str">
        <f t="shared" si="19"/>
        <v/>
      </c>
      <c r="F929" s="6" t="str">
        <f>IF($C929="","",COUNTIFS(Chicks!$F:$F,$C929,Chicks!$G:$G,$D929))</f>
        <v/>
      </c>
      <c r="G929" s="6" t="str">
        <f>IF($C929="","",COUNTIFS(Chicks!$F:$F,$C929,Chicks!$G:$G,$D929,Chicks!$I:$I,"Yes"))</f>
        <v/>
      </c>
      <c r="H929" s="6" t="str">
        <f>IF($C929="","",SUMIFS(Chicks!$J:$J,Chicks!$F:$F,$C929,Chicks!$G:$G,$D929))</f>
        <v/>
      </c>
      <c r="I929" s="6" t="str">
        <f>IF($C929="","",COUNTIFS(Chicks!$F:$F,$C929,Chicks!$G:$G,$D929,Chicks!$I:$I,"No"))</f>
        <v/>
      </c>
      <c r="J929" s="6" t="str">
        <f>IF($C929="","",IFERROR(AVERAGEIFS(Chicks!$M:$M,Chicks!$F:$F,$C929,Chicks!$G:$G,$D929),""))</f>
        <v/>
      </c>
      <c r="K929" s="6" t="str">
        <f>IF($C929="","",SUMIFS(Chicks!$N:$N,Chicks!$F:$F,$C929,Chicks!$G:$G,$D929))</f>
        <v/>
      </c>
      <c r="L929" s="6" t="str">
        <f>IF($C929="","",SUMIFS(Chicks!$O:$O,Chicks!$F:$F,$C929,Chicks!$G:$G,$D929))</f>
        <v/>
      </c>
      <c r="M929" s="6" t="str">
        <f>IF($C929="","",SUMIFS(Chicks!$P:$P,Chicks!$F:$F,$C929,Chicks!$G:$G,$D929))</f>
        <v/>
      </c>
      <c r="N929" s="6" t="str">
        <f t="shared" si="15"/>
        <v/>
      </c>
      <c r="O929" s="6" t="e">
        <f t="shared" ca="1" si="16"/>
        <v>#NAME?</v>
      </c>
      <c r="P929" s="6" t="str">
        <f t="shared" si="17"/>
        <v/>
      </c>
    </row>
    <row r="930" spans="3:16" ht="14.25" customHeight="1" x14ac:dyDescent="0.3">
      <c r="C930" s="6" t="str">
        <f t="shared" si="18"/>
        <v/>
      </c>
      <c r="D930" s="6" t="str">
        <f t="shared" si="19"/>
        <v/>
      </c>
      <c r="F930" s="6" t="str">
        <f>IF($C930="","",COUNTIFS(Chicks!$F:$F,$C930,Chicks!$G:$G,$D930))</f>
        <v/>
      </c>
      <c r="G930" s="6" t="str">
        <f>IF($C930="","",COUNTIFS(Chicks!$F:$F,$C930,Chicks!$G:$G,$D930,Chicks!$I:$I,"Yes"))</f>
        <v/>
      </c>
      <c r="H930" s="6" t="str">
        <f>IF($C930="","",SUMIFS(Chicks!$J:$J,Chicks!$F:$F,$C930,Chicks!$G:$G,$D930))</f>
        <v/>
      </c>
      <c r="I930" s="6" t="str">
        <f>IF($C930="","",COUNTIFS(Chicks!$F:$F,$C930,Chicks!$G:$G,$D930,Chicks!$I:$I,"No"))</f>
        <v/>
      </c>
      <c r="J930" s="6" t="str">
        <f>IF($C930="","",IFERROR(AVERAGEIFS(Chicks!$M:$M,Chicks!$F:$F,$C930,Chicks!$G:$G,$D930),""))</f>
        <v/>
      </c>
      <c r="K930" s="6" t="str">
        <f>IF($C930="","",SUMIFS(Chicks!$N:$N,Chicks!$F:$F,$C930,Chicks!$G:$G,$D930))</f>
        <v/>
      </c>
      <c r="L930" s="6" t="str">
        <f>IF($C930="","",SUMIFS(Chicks!$O:$O,Chicks!$F:$F,$C930,Chicks!$G:$G,$D930))</f>
        <v/>
      </c>
      <c r="M930" s="6" t="str">
        <f>IF($C930="","",SUMIFS(Chicks!$P:$P,Chicks!$F:$F,$C930,Chicks!$G:$G,$D930))</f>
        <v/>
      </c>
      <c r="N930" s="6" t="str">
        <f t="shared" si="15"/>
        <v/>
      </c>
      <c r="O930" s="6" t="e">
        <f t="shared" ca="1" si="16"/>
        <v>#NAME?</v>
      </c>
      <c r="P930" s="6" t="str">
        <f t="shared" si="17"/>
        <v/>
      </c>
    </row>
    <row r="931" spans="3:16" ht="14.25" customHeight="1" x14ac:dyDescent="0.3">
      <c r="C931" s="6" t="str">
        <f t="shared" si="18"/>
        <v/>
      </c>
      <c r="D931" s="6" t="str">
        <f t="shared" si="19"/>
        <v/>
      </c>
      <c r="F931" s="6" t="str">
        <f>IF($C931="","",COUNTIFS(Chicks!$F:$F,$C931,Chicks!$G:$G,$D931))</f>
        <v/>
      </c>
      <c r="G931" s="6" t="str">
        <f>IF($C931="","",COUNTIFS(Chicks!$F:$F,$C931,Chicks!$G:$G,$D931,Chicks!$I:$I,"Yes"))</f>
        <v/>
      </c>
      <c r="H931" s="6" t="str">
        <f>IF($C931="","",SUMIFS(Chicks!$J:$J,Chicks!$F:$F,$C931,Chicks!$G:$G,$D931))</f>
        <v/>
      </c>
      <c r="I931" s="6" t="str">
        <f>IF($C931="","",COUNTIFS(Chicks!$F:$F,$C931,Chicks!$G:$G,$D931,Chicks!$I:$I,"No"))</f>
        <v/>
      </c>
      <c r="J931" s="6" t="str">
        <f>IF($C931="","",IFERROR(AVERAGEIFS(Chicks!$M:$M,Chicks!$F:$F,$C931,Chicks!$G:$G,$D931),""))</f>
        <v/>
      </c>
      <c r="K931" s="6" t="str">
        <f>IF($C931="","",SUMIFS(Chicks!$N:$N,Chicks!$F:$F,$C931,Chicks!$G:$G,$D931))</f>
        <v/>
      </c>
      <c r="L931" s="6" t="str">
        <f>IF($C931="","",SUMIFS(Chicks!$O:$O,Chicks!$F:$F,$C931,Chicks!$G:$G,$D931))</f>
        <v/>
      </c>
      <c r="M931" s="6" t="str">
        <f>IF($C931="","",SUMIFS(Chicks!$P:$P,Chicks!$F:$F,$C931,Chicks!$G:$G,$D931))</f>
        <v/>
      </c>
      <c r="N931" s="6" t="str">
        <f t="shared" si="15"/>
        <v/>
      </c>
      <c r="O931" s="6" t="e">
        <f t="shared" ca="1" si="16"/>
        <v>#NAME?</v>
      </c>
      <c r="P931" s="6" t="str">
        <f t="shared" si="17"/>
        <v/>
      </c>
    </row>
    <row r="932" spans="3:16" ht="14.25" customHeight="1" x14ac:dyDescent="0.3">
      <c r="C932" s="6" t="str">
        <f t="shared" si="18"/>
        <v/>
      </c>
      <c r="D932" s="6" t="str">
        <f t="shared" si="19"/>
        <v/>
      </c>
      <c r="F932" s="6" t="str">
        <f>IF($C932="","",COUNTIFS(Chicks!$F:$F,$C932,Chicks!$G:$G,$D932))</f>
        <v/>
      </c>
      <c r="G932" s="6" t="str">
        <f>IF($C932="","",COUNTIFS(Chicks!$F:$F,$C932,Chicks!$G:$G,$D932,Chicks!$I:$I,"Yes"))</f>
        <v/>
      </c>
      <c r="H932" s="6" t="str">
        <f>IF($C932="","",SUMIFS(Chicks!$J:$J,Chicks!$F:$F,$C932,Chicks!$G:$G,$D932))</f>
        <v/>
      </c>
      <c r="I932" s="6" t="str">
        <f>IF($C932="","",COUNTIFS(Chicks!$F:$F,$C932,Chicks!$G:$G,$D932,Chicks!$I:$I,"No"))</f>
        <v/>
      </c>
      <c r="J932" s="6" t="str">
        <f>IF($C932="","",IFERROR(AVERAGEIFS(Chicks!$M:$M,Chicks!$F:$F,$C932,Chicks!$G:$G,$D932),""))</f>
        <v/>
      </c>
      <c r="K932" s="6" t="str">
        <f>IF($C932="","",SUMIFS(Chicks!$N:$N,Chicks!$F:$F,$C932,Chicks!$G:$G,$D932))</f>
        <v/>
      </c>
      <c r="L932" s="6" t="str">
        <f>IF($C932="","",SUMIFS(Chicks!$O:$O,Chicks!$F:$F,$C932,Chicks!$G:$G,$D932))</f>
        <v/>
      </c>
      <c r="M932" s="6" t="str">
        <f>IF($C932="","",SUMIFS(Chicks!$P:$P,Chicks!$F:$F,$C932,Chicks!$G:$G,$D932))</f>
        <v/>
      </c>
      <c r="N932" s="6" t="str">
        <f t="shared" si="15"/>
        <v/>
      </c>
      <c r="O932" s="6" t="e">
        <f t="shared" ca="1" si="16"/>
        <v>#NAME?</v>
      </c>
      <c r="P932" s="6" t="str">
        <f t="shared" si="17"/>
        <v/>
      </c>
    </row>
    <row r="933" spans="3:16" ht="14.25" customHeight="1" x14ac:dyDescent="0.3">
      <c r="C933" s="6" t="str">
        <f t="shared" si="18"/>
        <v/>
      </c>
      <c r="D933" s="6" t="str">
        <f t="shared" si="19"/>
        <v/>
      </c>
      <c r="F933" s="6" t="str">
        <f>IF($C933="","",COUNTIFS(Chicks!$F:$F,$C933,Chicks!$G:$G,$D933))</f>
        <v/>
      </c>
      <c r="G933" s="6" t="str">
        <f>IF($C933="","",COUNTIFS(Chicks!$F:$F,$C933,Chicks!$G:$G,$D933,Chicks!$I:$I,"Yes"))</f>
        <v/>
      </c>
      <c r="H933" s="6" t="str">
        <f>IF($C933="","",SUMIFS(Chicks!$J:$J,Chicks!$F:$F,$C933,Chicks!$G:$G,$D933))</f>
        <v/>
      </c>
      <c r="I933" s="6" t="str">
        <f>IF($C933="","",COUNTIFS(Chicks!$F:$F,$C933,Chicks!$G:$G,$D933,Chicks!$I:$I,"No"))</f>
        <v/>
      </c>
      <c r="J933" s="6" t="str">
        <f>IF($C933="","",IFERROR(AVERAGEIFS(Chicks!$M:$M,Chicks!$F:$F,$C933,Chicks!$G:$G,$D933),""))</f>
        <v/>
      </c>
      <c r="K933" s="6" t="str">
        <f>IF($C933="","",SUMIFS(Chicks!$N:$N,Chicks!$F:$F,$C933,Chicks!$G:$G,$D933))</f>
        <v/>
      </c>
      <c r="L933" s="6" t="str">
        <f>IF($C933="","",SUMIFS(Chicks!$O:$O,Chicks!$F:$F,$C933,Chicks!$G:$G,$D933))</f>
        <v/>
      </c>
      <c r="M933" s="6" t="str">
        <f>IF($C933="","",SUMIFS(Chicks!$P:$P,Chicks!$F:$F,$C933,Chicks!$G:$G,$D933))</f>
        <v/>
      </c>
      <c r="N933" s="6" t="str">
        <f t="shared" si="15"/>
        <v/>
      </c>
      <c r="O933" s="6" t="e">
        <f t="shared" ca="1" si="16"/>
        <v>#NAME?</v>
      </c>
      <c r="P933" s="6" t="str">
        <f t="shared" si="17"/>
        <v/>
      </c>
    </row>
    <row r="934" spans="3:16" ht="14.25" customHeight="1" x14ac:dyDescent="0.3">
      <c r="C934" s="6" t="str">
        <f t="shared" si="18"/>
        <v/>
      </c>
      <c r="D934" s="6" t="str">
        <f t="shared" si="19"/>
        <v/>
      </c>
      <c r="F934" s="6" t="str">
        <f>IF($C934="","",COUNTIFS(Chicks!$F:$F,$C934,Chicks!$G:$G,$D934))</f>
        <v/>
      </c>
      <c r="G934" s="6" t="str">
        <f>IF($C934="","",COUNTIFS(Chicks!$F:$F,$C934,Chicks!$G:$G,$D934,Chicks!$I:$I,"Yes"))</f>
        <v/>
      </c>
      <c r="H934" s="6" t="str">
        <f>IF($C934="","",SUMIFS(Chicks!$J:$J,Chicks!$F:$F,$C934,Chicks!$G:$G,$D934))</f>
        <v/>
      </c>
      <c r="I934" s="6" t="str">
        <f>IF($C934="","",COUNTIFS(Chicks!$F:$F,$C934,Chicks!$G:$G,$D934,Chicks!$I:$I,"No"))</f>
        <v/>
      </c>
      <c r="J934" s="6" t="str">
        <f>IF($C934="","",IFERROR(AVERAGEIFS(Chicks!$M:$M,Chicks!$F:$F,$C934,Chicks!$G:$G,$D934),""))</f>
        <v/>
      </c>
      <c r="K934" s="6" t="str">
        <f>IF($C934="","",SUMIFS(Chicks!$N:$N,Chicks!$F:$F,$C934,Chicks!$G:$G,$D934))</f>
        <v/>
      </c>
      <c r="L934" s="6" t="str">
        <f>IF($C934="","",SUMIFS(Chicks!$O:$O,Chicks!$F:$F,$C934,Chicks!$G:$G,$D934))</f>
        <v/>
      </c>
      <c r="M934" s="6" t="str">
        <f>IF($C934="","",SUMIFS(Chicks!$P:$P,Chicks!$F:$F,$C934,Chicks!$G:$G,$D934))</f>
        <v/>
      </c>
      <c r="N934" s="6" t="str">
        <f t="shared" si="15"/>
        <v/>
      </c>
      <c r="O934" s="6" t="e">
        <f t="shared" ca="1" si="16"/>
        <v>#NAME?</v>
      </c>
      <c r="P934" s="6" t="str">
        <f t="shared" si="17"/>
        <v/>
      </c>
    </row>
    <row r="935" spans="3:16" ht="14.25" customHeight="1" x14ac:dyDescent="0.3">
      <c r="C935" s="6" t="str">
        <f t="shared" si="18"/>
        <v/>
      </c>
      <c r="D935" s="6" t="str">
        <f t="shared" si="19"/>
        <v/>
      </c>
      <c r="F935" s="6" t="str">
        <f>IF($C935="","",COUNTIFS(Chicks!$F:$F,$C935,Chicks!$G:$G,$D935))</f>
        <v/>
      </c>
      <c r="G935" s="6" t="str">
        <f>IF($C935="","",COUNTIFS(Chicks!$F:$F,$C935,Chicks!$G:$G,$D935,Chicks!$I:$I,"Yes"))</f>
        <v/>
      </c>
      <c r="H935" s="6" t="str">
        <f>IF($C935="","",SUMIFS(Chicks!$J:$J,Chicks!$F:$F,$C935,Chicks!$G:$G,$D935))</f>
        <v/>
      </c>
      <c r="I935" s="6" t="str">
        <f>IF($C935="","",COUNTIFS(Chicks!$F:$F,$C935,Chicks!$G:$G,$D935,Chicks!$I:$I,"No"))</f>
        <v/>
      </c>
      <c r="J935" s="6" t="str">
        <f>IF($C935="","",IFERROR(AVERAGEIFS(Chicks!$M:$M,Chicks!$F:$F,$C935,Chicks!$G:$G,$D935),""))</f>
        <v/>
      </c>
      <c r="K935" s="6" t="str">
        <f>IF($C935="","",SUMIFS(Chicks!$N:$N,Chicks!$F:$F,$C935,Chicks!$G:$G,$D935))</f>
        <v/>
      </c>
      <c r="L935" s="6" t="str">
        <f>IF($C935="","",SUMIFS(Chicks!$O:$O,Chicks!$F:$F,$C935,Chicks!$G:$G,$D935))</f>
        <v/>
      </c>
      <c r="M935" s="6" t="str">
        <f>IF($C935="","",SUMIFS(Chicks!$P:$P,Chicks!$F:$F,$C935,Chicks!$G:$G,$D935))</f>
        <v/>
      </c>
      <c r="N935" s="6" t="str">
        <f t="shared" si="15"/>
        <v/>
      </c>
      <c r="O935" s="6" t="e">
        <f t="shared" ca="1" si="16"/>
        <v>#NAME?</v>
      </c>
      <c r="P935" s="6" t="str">
        <f t="shared" si="17"/>
        <v/>
      </c>
    </row>
    <row r="936" spans="3:16" ht="14.25" customHeight="1" x14ac:dyDescent="0.3">
      <c r="C936" s="6" t="str">
        <f t="shared" si="18"/>
        <v/>
      </c>
      <c r="D936" s="6" t="str">
        <f t="shared" si="19"/>
        <v/>
      </c>
      <c r="F936" s="6" t="str">
        <f>IF($C936="","",COUNTIFS(Chicks!$F:$F,$C936,Chicks!$G:$G,$D936))</f>
        <v/>
      </c>
      <c r="G936" s="6" t="str">
        <f>IF($C936="","",COUNTIFS(Chicks!$F:$F,$C936,Chicks!$G:$G,$D936,Chicks!$I:$I,"Yes"))</f>
        <v/>
      </c>
      <c r="H936" s="6" t="str">
        <f>IF($C936="","",SUMIFS(Chicks!$J:$J,Chicks!$F:$F,$C936,Chicks!$G:$G,$D936))</f>
        <v/>
      </c>
      <c r="I936" s="6" t="str">
        <f>IF($C936="","",COUNTIFS(Chicks!$F:$F,$C936,Chicks!$G:$G,$D936,Chicks!$I:$I,"No"))</f>
        <v/>
      </c>
      <c r="J936" s="6" t="str">
        <f>IF($C936="","",IFERROR(AVERAGEIFS(Chicks!$M:$M,Chicks!$F:$F,$C936,Chicks!$G:$G,$D936),""))</f>
        <v/>
      </c>
      <c r="K936" s="6" t="str">
        <f>IF($C936="","",SUMIFS(Chicks!$N:$N,Chicks!$F:$F,$C936,Chicks!$G:$G,$D936))</f>
        <v/>
      </c>
      <c r="L936" s="6" t="str">
        <f>IF($C936="","",SUMIFS(Chicks!$O:$O,Chicks!$F:$F,$C936,Chicks!$G:$G,$D936))</f>
        <v/>
      </c>
      <c r="M936" s="6" t="str">
        <f>IF($C936="","",SUMIFS(Chicks!$P:$P,Chicks!$F:$F,$C936,Chicks!$G:$G,$D936))</f>
        <v/>
      </c>
      <c r="N936" s="6" t="str">
        <f t="shared" si="15"/>
        <v/>
      </c>
      <c r="O936" s="6" t="e">
        <f t="shared" ca="1" si="16"/>
        <v>#NAME?</v>
      </c>
      <c r="P936" s="6" t="str">
        <f t="shared" si="17"/>
        <v/>
      </c>
    </row>
    <row r="937" spans="3:16" ht="14.25" customHeight="1" x14ac:dyDescent="0.3">
      <c r="C937" s="6" t="str">
        <f t="shared" si="18"/>
        <v/>
      </c>
      <c r="D937" s="6" t="str">
        <f t="shared" si="19"/>
        <v/>
      </c>
      <c r="F937" s="6" t="str">
        <f>IF($C937="","",COUNTIFS(Chicks!$F:$F,$C937,Chicks!$G:$G,$D937))</f>
        <v/>
      </c>
      <c r="G937" s="6" t="str">
        <f>IF($C937="","",COUNTIFS(Chicks!$F:$F,$C937,Chicks!$G:$G,$D937,Chicks!$I:$I,"Yes"))</f>
        <v/>
      </c>
      <c r="H937" s="6" t="str">
        <f>IF($C937="","",SUMIFS(Chicks!$J:$J,Chicks!$F:$F,$C937,Chicks!$G:$G,$D937))</f>
        <v/>
      </c>
      <c r="I937" s="6" t="str">
        <f>IF($C937="","",COUNTIFS(Chicks!$F:$F,$C937,Chicks!$G:$G,$D937,Chicks!$I:$I,"No"))</f>
        <v/>
      </c>
      <c r="J937" s="6" t="str">
        <f>IF($C937="","",IFERROR(AVERAGEIFS(Chicks!$M:$M,Chicks!$F:$F,$C937,Chicks!$G:$G,$D937),""))</f>
        <v/>
      </c>
      <c r="K937" s="6" t="str">
        <f>IF($C937="","",SUMIFS(Chicks!$N:$N,Chicks!$F:$F,$C937,Chicks!$G:$G,$D937))</f>
        <v/>
      </c>
      <c r="L937" s="6" t="str">
        <f>IF($C937="","",SUMIFS(Chicks!$O:$O,Chicks!$F:$F,$C937,Chicks!$G:$G,$D937))</f>
        <v/>
      </c>
      <c r="M937" s="6" t="str">
        <f>IF($C937="","",SUMIFS(Chicks!$P:$P,Chicks!$F:$F,$C937,Chicks!$G:$G,$D937))</f>
        <v/>
      </c>
      <c r="N937" s="6" t="str">
        <f t="shared" si="15"/>
        <v/>
      </c>
      <c r="O937" s="6" t="e">
        <f t="shared" ca="1" si="16"/>
        <v>#NAME?</v>
      </c>
      <c r="P937" s="6" t="str">
        <f t="shared" si="17"/>
        <v/>
      </c>
    </row>
    <row r="938" spans="3:16" ht="14.25" customHeight="1" x14ac:dyDescent="0.3">
      <c r="C938" s="6" t="str">
        <f t="shared" si="18"/>
        <v/>
      </c>
      <c r="D938" s="6" t="str">
        <f t="shared" si="19"/>
        <v/>
      </c>
      <c r="F938" s="6" t="str">
        <f>IF($C938="","",COUNTIFS(Chicks!$F:$F,$C938,Chicks!$G:$G,$D938))</f>
        <v/>
      </c>
      <c r="G938" s="6" t="str">
        <f>IF($C938="","",COUNTIFS(Chicks!$F:$F,$C938,Chicks!$G:$G,$D938,Chicks!$I:$I,"Yes"))</f>
        <v/>
      </c>
      <c r="H938" s="6" t="str">
        <f>IF($C938="","",SUMIFS(Chicks!$J:$J,Chicks!$F:$F,$C938,Chicks!$G:$G,$D938))</f>
        <v/>
      </c>
      <c r="I938" s="6" t="str">
        <f>IF($C938="","",COUNTIFS(Chicks!$F:$F,$C938,Chicks!$G:$G,$D938,Chicks!$I:$I,"No"))</f>
        <v/>
      </c>
      <c r="J938" s="6" t="str">
        <f>IF($C938="","",IFERROR(AVERAGEIFS(Chicks!$M:$M,Chicks!$F:$F,$C938,Chicks!$G:$G,$D938),""))</f>
        <v/>
      </c>
      <c r="K938" s="6" t="str">
        <f>IF($C938="","",SUMIFS(Chicks!$N:$N,Chicks!$F:$F,$C938,Chicks!$G:$G,$D938))</f>
        <v/>
      </c>
      <c r="L938" s="6" t="str">
        <f>IF($C938="","",SUMIFS(Chicks!$O:$O,Chicks!$F:$F,$C938,Chicks!$G:$G,$D938))</f>
        <v/>
      </c>
      <c r="M938" s="6" t="str">
        <f>IF($C938="","",SUMIFS(Chicks!$P:$P,Chicks!$F:$F,$C938,Chicks!$G:$G,$D938))</f>
        <v/>
      </c>
      <c r="N938" s="6" t="str">
        <f t="shared" si="15"/>
        <v/>
      </c>
      <c r="O938" s="6" t="e">
        <f t="shared" ca="1" si="16"/>
        <v>#NAME?</v>
      </c>
      <c r="P938" s="6" t="str">
        <f t="shared" si="17"/>
        <v/>
      </c>
    </row>
    <row r="939" spans="3:16" ht="14.25" customHeight="1" x14ac:dyDescent="0.3">
      <c r="C939" s="6" t="str">
        <f t="shared" si="18"/>
        <v/>
      </c>
      <c r="D939" s="6" t="str">
        <f t="shared" si="19"/>
        <v/>
      </c>
      <c r="F939" s="6" t="str">
        <f>IF($C939="","",COUNTIFS(Chicks!$F:$F,$C939,Chicks!$G:$G,$D939))</f>
        <v/>
      </c>
      <c r="G939" s="6" t="str">
        <f>IF($C939="","",COUNTIFS(Chicks!$F:$F,$C939,Chicks!$G:$G,$D939,Chicks!$I:$I,"Yes"))</f>
        <v/>
      </c>
      <c r="H939" s="6" t="str">
        <f>IF($C939="","",SUMIFS(Chicks!$J:$J,Chicks!$F:$F,$C939,Chicks!$G:$G,$D939))</f>
        <v/>
      </c>
      <c r="I939" s="6" t="str">
        <f>IF($C939="","",COUNTIFS(Chicks!$F:$F,$C939,Chicks!$G:$G,$D939,Chicks!$I:$I,"No"))</f>
        <v/>
      </c>
      <c r="J939" s="6" t="str">
        <f>IF($C939="","",IFERROR(AVERAGEIFS(Chicks!$M:$M,Chicks!$F:$F,$C939,Chicks!$G:$G,$D939),""))</f>
        <v/>
      </c>
      <c r="K939" s="6" t="str">
        <f>IF($C939="","",SUMIFS(Chicks!$N:$N,Chicks!$F:$F,$C939,Chicks!$G:$G,$D939))</f>
        <v/>
      </c>
      <c r="L939" s="6" t="str">
        <f>IF($C939="","",SUMIFS(Chicks!$O:$O,Chicks!$F:$F,$C939,Chicks!$G:$G,$D939))</f>
        <v/>
      </c>
      <c r="M939" s="6" t="str">
        <f>IF($C939="","",SUMIFS(Chicks!$P:$P,Chicks!$F:$F,$C939,Chicks!$G:$G,$D939))</f>
        <v/>
      </c>
      <c r="N939" s="6" t="str">
        <f t="shared" si="15"/>
        <v/>
      </c>
      <c r="O939" s="6" t="e">
        <f t="shared" ca="1" si="16"/>
        <v>#NAME?</v>
      </c>
      <c r="P939" s="6" t="str">
        <f t="shared" si="17"/>
        <v/>
      </c>
    </row>
    <row r="940" spans="3:16" ht="14.25" customHeight="1" x14ac:dyDescent="0.3">
      <c r="C940" s="6" t="str">
        <f t="shared" si="18"/>
        <v/>
      </c>
      <c r="D940" s="6" t="str">
        <f t="shared" si="19"/>
        <v/>
      </c>
      <c r="F940" s="6" t="str">
        <f>IF($C940="","",COUNTIFS(Chicks!$F:$F,$C940,Chicks!$G:$G,$D940))</f>
        <v/>
      </c>
      <c r="G940" s="6" t="str">
        <f>IF($C940="","",COUNTIFS(Chicks!$F:$F,$C940,Chicks!$G:$G,$D940,Chicks!$I:$I,"Yes"))</f>
        <v/>
      </c>
      <c r="H940" s="6" t="str">
        <f>IF($C940="","",SUMIFS(Chicks!$J:$J,Chicks!$F:$F,$C940,Chicks!$G:$G,$D940))</f>
        <v/>
      </c>
      <c r="I940" s="6" t="str">
        <f>IF($C940="","",COUNTIFS(Chicks!$F:$F,$C940,Chicks!$G:$G,$D940,Chicks!$I:$I,"No"))</f>
        <v/>
      </c>
      <c r="J940" s="6" t="str">
        <f>IF($C940="","",IFERROR(AVERAGEIFS(Chicks!$M:$M,Chicks!$F:$F,$C940,Chicks!$G:$G,$D940),""))</f>
        <v/>
      </c>
      <c r="K940" s="6" t="str">
        <f>IF($C940="","",SUMIFS(Chicks!$N:$N,Chicks!$F:$F,$C940,Chicks!$G:$G,$D940))</f>
        <v/>
      </c>
      <c r="L940" s="6" t="str">
        <f>IF($C940="","",SUMIFS(Chicks!$O:$O,Chicks!$F:$F,$C940,Chicks!$G:$G,$D940))</f>
        <v/>
      </c>
      <c r="M940" s="6" t="str">
        <f>IF($C940="","",SUMIFS(Chicks!$P:$P,Chicks!$F:$F,$C940,Chicks!$G:$G,$D940))</f>
        <v/>
      </c>
      <c r="N940" s="6" t="str">
        <f t="shared" si="15"/>
        <v/>
      </c>
      <c r="O940" s="6" t="e">
        <f t="shared" ca="1" si="16"/>
        <v>#NAME?</v>
      </c>
      <c r="P940" s="6" t="str">
        <f t="shared" si="17"/>
        <v/>
      </c>
    </row>
    <row r="941" spans="3:16" ht="14.25" customHeight="1" x14ac:dyDescent="0.3">
      <c r="C941" s="6" t="str">
        <f t="shared" si="18"/>
        <v/>
      </c>
      <c r="D941" s="6" t="str">
        <f t="shared" si="19"/>
        <v/>
      </c>
      <c r="F941" s="6" t="str">
        <f>IF($C941="","",COUNTIFS(Chicks!$F:$F,$C941,Chicks!$G:$G,$D941))</f>
        <v/>
      </c>
      <c r="G941" s="6" t="str">
        <f>IF($C941="","",COUNTIFS(Chicks!$F:$F,$C941,Chicks!$G:$G,$D941,Chicks!$I:$I,"Yes"))</f>
        <v/>
      </c>
      <c r="H941" s="6" t="str">
        <f>IF($C941="","",SUMIFS(Chicks!$J:$J,Chicks!$F:$F,$C941,Chicks!$G:$G,$D941))</f>
        <v/>
      </c>
      <c r="I941" s="6" t="str">
        <f>IF($C941="","",COUNTIFS(Chicks!$F:$F,$C941,Chicks!$G:$G,$D941,Chicks!$I:$I,"No"))</f>
        <v/>
      </c>
      <c r="J941" s="6" t="str">
        <f>IF($C941="","",IFERROR(AVERAGEIFS(Chicks!$M:$M,Chicks!$F:$F,$C941,Chicks!$G:$G,$D941),""))</f>
        <v/>
      </c>
      <c r="K941" s="6" t="str">
        <f>IF($C941="","",SUMIFS(Chicks!$N:$N,Chicks!$F:$F,$C941,Chicks!$G:$G,$D941))</f>
        <v/>
      </c>
      <c r="L941" s="6" t="str">
        <f>IF($C941="","",SUMIFS(Chicks!$O:$O,Chicks!$F:$F,$C941,Chicks!$G:$G,$D941))</f>
        <v/>
      </c>
      <c r="M941" s="6" t="str">
        <f>IF($C941="","",SUMIFS(Chicks!$P:$P,Chicks!$F:$F,$C941,Chicks!$G:$G,$D941))</f>
        <v/>
      </c>
      <c r="N941" s="6" t="str">
        <f t="shared" si="15"/>
        <v/>
      </c>
      <c r="O941" s="6" t="e">
        <f t="shared" ca="1" si="16"/>
        <v>#NAME?</v>
      </c>
      <c r="P941" s="6" t="str">
        <f t="shared" si="17"/>
        <v/>
      </c>
    </row>
    <row r="942" spans="3:16" ht="14.25" customHeight="1" x14ac:dyDescent="0.3">
      <c r="C942" s="6" t="str">
        <f t="shared" si="18"/>
        <v/>
      </c>
      <c r="D942" s="6" t="str">
        <f t="shared" si="19"/>
        <v/>
      </c>
      <c r="F942" s="6" t="str">
        <f>IF($C942="","",COUNTIFS(Chicks!$F:$F,$C942,Chicks!$G:$G,$D942))</f>
        <v/>
      </c>
      <c r="G942" s="6" t="str">
        <f>IF($C942="","",COUNTIFS(Chicks!$F:$F,$C942,Chicks!$G:$G,$D942,Chicks!$I:$I,"Yes"))</f>
        <v/>
      </c>
      <c r="H942" s="6" t="str">
        <f>IF($C942="","",SUMIFS(Chicks!$J:$J,Chicks!$F:$F,$C942,Chicks!$G:$G,$D942))</f>
        <v/>
      </c>
      <c r="I942" s="6" t="str">
        <f>IF($C942="","",COUNTIFS(Chicks!$F:$F,$C942,Chicks!$G:$G,$D942,Chicks!$I:$I,"No"))</f>
        <v/>
      </c>
      <c r="J942" s="6" t="str">
        <f>IF($C942="","",IFERROR(AVERAGEIFS(Chicks!$M:$M,Chicks!$F:$F,$C942,Chicks!$G:$G,$D942),""))</f>
        <v/>
      </c>
      <c r="K942" s="6" t="str">
        <f>IF($C942="","",SUMIFS(Chicks!$N:$N,Chicks!$F:$F,$C942,Chicks!$G:$G,$D942))</f>
        <v/>
      </c>
      <c r="L942" s="6" t="str">
        <f>IF($C942="","",SUMIFS(Chicks!$O:$O,Chicks!$F:$F,$C942,Chicks!$G:$G,$D942))</f>
        <v/>
      </c>
      <c r="M942" s="6" t="str">
        <f>IF($C942="","",SUMIFS(Chicks!$P:$P,Chicks!$F:$F,$C942,Chicks!$G:$G,$D942))</f>
        <v/>
      </c>
      <c r="N942" s="6" t="str">
        <f t="shared" si="15"/>
        <v/>
      </c>
      <c r="O942" s="6" t="e">
        <f t="shared" ca="1" si="16"/>
        <v>#NAME?</v>
      </c>
      <c r="P942" s="6" t="str">
        <f t="shared" si="17"/>
        <v/>
      </c>
    </row>
    <row r="943" spans="3:16" ht="14.25" customHeight="1" x14ac:dyDescent="0.3">
      <c r="C943" s="6" t="str">
        <f t="shared" si="18"/>
        <v/>
      </c>
      <c r="D943" s="6" t="str">
        <f t="shared" si="19"/>
        <v/>
      </c>
      <c r="F943" s="6" t="str">
        <f>IF($C943="","",COUNTIFS(Chicks!$F:$F,$C943,Chicks!$G:$G,$D943))</f>
        <v/>
      </c>
      <c r="G943" s="6" t="str">
        <f>IF($C943="","",COUNTIFS(Chicks!$F:$F,$C943,Chicks!$G:$G,$D943,Chicks!$I:$I,"Yes"))</f>
        <v/>
      </c>
      <c r="H943" s="6" t="str">
        <f>IF($C943="","",SUMIFS(Chicks!$J:$J,Chicks!$F:$F,$C943,Chicks!$G:$G,$D943))</f>
        <v/>
      </c>
      <c r="I943" s="6" t="str">
        <f>IF($C943="","",COUNTIFS(Chicks!$F:$F,$C943,Chicks!$G:$G,$D943,Chicks!$I:$I,"No"))</f>
        <v/>
      </c>
      <c r="J943" s="6" t="str">
        <f>IF($C943="","",IFERROR(AVERAGEIFS(Chicks!$M:$M,Chicks!$F:$F,$C943,Chicks!$G:$G,$D943),""))</f>
        <v/>
      </c>
      <c r="K943" s="6" t="str">
        <f>IF($C943="","",SUMIFS(Chicks!$N:$N,Chicks!$F:$F,$C943,Chicks!$G:$G,$D943))</f>
        <v/>
      </c>
      <c r="L943" s="6" t="str">
        <f>IF($C943="","",SUMIFS(Chicks!$O:$O,Chicks!$F:$F,$C943,Chicks!$G:$G,$D943))</f>
        <v/>
      </c>
      <c r="M943" s="6" t="str">
        <f>IF($C943="","",SUMIFS(Chicks!$P:$P,Chicks!$F:$F,$C943,Chicks!$G:$G,$D943))</f>
        <v/>
      </c>
      <c r="N943" s="6" t="str">
        <f t="shared" si="15"/>
        <v/>
      </c>
      <c r="O943" s="6" t="e">
        <f t="shared" ca="1" si="16"/>
        <v>#NAME?</v>
      </c>
      <c r="P943" s="6" t="str">
        <f t="shared" si="17"/>
        <v/>
      </c>
    </row>
    <row r="944" spans="3:16" ht="14.25" customHeight="1" x14ac:dyDescent="0.3">
      <c r="C944" s="6" t="str">
        <f t="shared" si="18"/>
        <v/>
      </c>
      <c r="D944" s="6" t="str">
        <f t="shared" si="19"/>
        <v/>
      </c>
      <c r="F944" s="6" t="str">
        <f>IF($C944="","",COUNTIFS(Chicks!$F:$F,$C944,Chicks!$G:$G,$D944))</f>
        <v/>
      </c>
      <c r="G944" s="6" t="str">
        <f>IF($C944="","",COUNTIFS(Chicks!$F:$F,$C944,Chicks!$G:$G,$D944,Chicks!$I:$I,"Yes"))</f>
        <v/>
      </c>
      <c r="H944" s="6" t="str">
        <f>IF($C944="","",SUMIFS(Chicks!$J:$J,Chicks!$F:$F,$C944,Chicks!$G:$G,$D944))</f>
        <v/>
      </c>
      <c r="I944" s="6" t="str">
        <f>IF($C944="","",COUNTIFS(Chicks!$F:$F,$C944,Chicks!$G:$G,$D944,Chicks!$I:$I,"No"))</f>
        <v/>
      </c>
      <c r="J944" s="6" t="str">
        <f>IF($C944="","",IFERROR(AVERAGEIFS(Chicks!$M:$M,Chicks!$F:$F,$C944,Chicks!$G:$G,$D944),""))</f>
        <v/>
      </c>
      <c r="K944" s="6" t="str">
        <f>IF($C944="","",SUMIFS(Chicks!$N:$N,Chicks!$F:$F,$C944,Chicks!$G:$G,$D944))</f>
        <v/>
      </c>
      <c r="L944" s="6" t="str">
        <f>IF($C944="","",SUMIFS(Chicks!$O:$O,Chicks!$F:$F,$C944,Chicks!$G:$G,$D944))</f>
        <v/>
      </c>
      <c r="M944" s="6" t="str">
        <f>IF($C944="","",SUMIFS(Chicks!$P:$P,Chicks!$F:$F,$C944,Chicks!$G:$G,$D944))</f>
        <v/>
      </c>
      <c r="N944" s="6" t="str">
        <f t="shared" si="15"/>
        <v/>
      </c>
      <c r="O944" s="6" t="e">
        <f t="shared" ca="1" si="16"/>
        <v>#NAME?</v>
      </c>
      <c r="P944" s="6" t="str">
        <f t="shared" si="17"/>
        <v/>
      </c>
    </row>
    <row r="945" spans="3:16" ht="14.25" customHeight="1" x14ac:dyDescent="0.3">
      <c r="C945" s="6" t="str">
        <f t="shared" si="18"/>
        <v/>
      </c>
      <c r="D945" s="6" t="str">
        <f t="shared" si="19"/>
        <v/>
      </c>
      <c r="F945" s="6" t="str">
        <f>IF($C945="","",COUNTIFS(Chicks!$F:$F,$C945,Chicks!$G:$G,$D945))</f>
        <v/>
      </c>
      <c r="G945" s="6" t="str">
        <f>IF($C945="","",COUNTIFS(Chicks!$F:$F,$C945,Chicks!$G:$G,$D945,Chicks!$I:$I,"Yes"))</f>
        <v/>
      </c>
      <c r="H945" s="6" t="str">
        <f>IF($C945="","",SUMIFS(Chicks!$J:$J,Chicks!$F:$F,$C945,Chicks!$G:$G,$D945))</f>
        <v/>
      </c>
      <c r="I945" s="6" t="str">
        <f>IF($C945="","",COUNTIFS(Chicks!$F:$F,$C945,Chicks!$G:$G,$D945,Chicks!$I:$I,"No"))</f>
        <v/>
      </c>
      <c r="J945" s="6" t="str">
        <f>IF($C945="","",IFERROR(AVERAGEIFS(Chicks!$M:$M,Chicks!$F:$F,$C945,Chicks!$G:$G,$D945),""))</f>
        <v/>
      </c>
      <c r="K945" s="6" t="str">
        <f>IF($C945="","",SUMIFS(Chicks!$N:$N,Chicks!$F:$F,$C945,Chicks!$G:$G,$D945))</f>
        <v/>
      </c>
      <c r="L945" s="6" t="str">
        <f>IF($C945="","",SUMIFS(Chicks!$O:$O,Chicks!$F:$F,$C945,Chicks!$G:$G,$D945))</f>
        <v/>
      </c>
      <c r="M945" s="6" t="str">
        <f>IF($C945="","",SUMIFS(Chicks!$P:$P,Chicks!$F:$F,$C945,Chicks!$G:$G,$D945))</f>
        <v/>
      </c>
      <c r="N945" s="6" t="str">
        <f t="shared" si="15"/>
        <v/>
      </c>
      <c r="O945" s="6" t="e">
        <f t="shared" ca="1" si="16"/>
        <v>#NAME?</v>
      </c>
      <c r="P945" s="6" t="str">
        <f t="shared" si="17"/>
        <v/>
      </c>
    </row>
    <row r="946" spans="3:16" ht="14.25" customHeight="1" x14ac:dyDescent="0.3">
      <c r="C946" s="6" t="str">
        <f t="shared" si="18"/>
        <v/>
      </c>
      <c r="D946" s="6" t="str">
        <f t="shared" si="19"/>
        <v/>
      </c>
      <c r="F946" s="6" t="str">
        <f>IF($C946="","",COUNTIFS(Chicks!$F:$F,$C946,Chicks!$G:$G,$D946))</f>
        <v/>
      </c>
      <c r="G946" s="6" t="str">
        <f>IF($C946="","",COUNTIFS(Chicks!$F:$F,$C946,Chicks!$G:$G,$D946,Chicks!$I:$I,"Yes"))</f>
        <v/>
      </c>
      <c r="H946" s="6" t="str">
        <f>IF($C946="","",SUMIFS(Chicks!$J:$J,Chicks!$F:$F,$C946,Chicks!$G:$G,$D946))</f>
        <v/>
      </c>
      <c r="I946" s="6" t="str">
        <f>IF($C946="","",COUNTIFS(Chicks!$F:$F,$C946,Chicks!$G:$G,$D946,Chicks!$I:$I,"No"))</f>
        <v/>
      </c>
      <c r="J946" s="6" t="str">
        <f>IF($C946="","",IFERROR(AVERAGEIFS(Chicks!$M:$M,Chicks!$F:$F,$C946,Chicks!$G:$G,$D946),""))</f>
        <v/>
      </c>
      <c r="K946" s="6" t="str">
        <f>IF($C946="","",SUMIFS(Chicks!$N:$N,Chicks!$F:$F,$C946,Chicks!$G:$G,$D946))</f>
        <v/>
      </c>
      <c r="L946" s="6" t="str">
        <f>IF($C946="","",SUMIFS(Chicks!$O:$O,Chicks!$F:$F,$C946,Chicks!$G:$G,$D946))</f>
        <v/>
      </c>
      <c r="M946" s="6" t="str">
        <f>IF($C946="","",SUMIFS(Chicks!$P:$P,Chicks!$F:$F,$C946,Chicks!$G:$G,$D946))</f>
        <v/>
      </c>
      <c r="N946" s="6" t="str">
        <f t="shared" si="15"/>
        <v/>
      </c>
      <c r="O946" s="6" t="e">
        <f t="shared" ca="1" si="16"/>
        <v>#NAME?</v>
      </c>
      <c r="P946" s="6" t="str">
        <f t="shared" si="17"/>
        <v/>
      </c>
    </row>
    <row r="947" spans="3:16" ht="14.25" customHeight="1" x14ac:dyDescent="0.3">
      <c r="C947" s="6" t="str">
        <f t="shared" si="18"/>
        <v/>
      </c>
      <c r="D947" s="6" t="str">
        <f t="shared" si="19"/>
        <v/>
      </c>
      <c r="F947" s="6" t="str">
        <f>IF($C947="","",COUNTIFS(Chicks!$F:$F,$C947,Chicks!$G:$G,$D947))</f>
        <v/>
      </c>
      <c r="G947" s="6" t="str">
        <f>IF($C947="","",COUNTIFS(Chicks!$F:$F,$C947,Chicks!$G:$G,$D947,Chicks!$I:$I,"Yes"))</f>
        <v/>
      </c>
      <c r="H947" s="6" t="str">
        <f>IF($C947="","",SUMIFS(Chicks!$J:$J,Chicks!$F:$F,$C947,Chicks!$G:$G,$D947))</f>
        <v/>
      </c>
      <c r="I947" s="6" t="str">
        <f>IF($C947="","",COUNTIFS(Chicks!$F:$F,$C947,Chicks!$G:$G,$D947,Chicks!$I:$I,"No"))</f>
        <v/>
      </c>
      <c r="J947" s="6" t="str">
        <f>IF($C947="","",IFERROR(AVERAGEIFS(Chicks!$M:$M,Chicks!$F:$F,$C947,Chicks!$G:$G,$D947),""))</f>
        <v/>
      </c>
      <c r="K947" s="6" t="str">
        <f>IF($C947="","",SUMIFS(Chicks!$N:$N,Chicks!$F:$F,$C947,Chicks!$G:$G,$D947))</f>
        <v/>
      </c>
      <c r="L947" s="6" t="str">
        <f>IF($C947="","",SUMIFS(Chicks!$O:$O,Chicks!$F:$F,$C947,Chicks!$G:$G,$D947))</f>
        <v/>
      </c>
      <c r="M947" s="6" t="str">
        <f>IF($C947="","",SUMIFS(Chicks!$P:$P,Chicks!$F:$F,$C947,Chicks!$G:$G,$D947))</f>
        <v/>
      </c>
      <c r="N947" s="6" t="str">
        <f t="shared" si="15"/>
        <v/>
      </c>
      <c r="O947" s="6" t="e">
        <f t="shared" ca="1" si="16"/>
        <v>#NAME?</v>
      </c>
      <c r="P947" s="6" t="str">
        <f t="shared" si="17"/>
        <v/>
      </c>
    </row>
    <row r="948" spans="3:16" ht="14.25" customHeight="1" x14ac:dyDescent="0.3">
      <c r="C948" s="6" t="str">
        <f t="shared" si="18"/>
        <v/>
      </c>
      <c r="D948" s="6" t="str">
        <f t="shared" si="19"/>
        <v/>
      </c>
      <c r="F948" s="6" t="str">
        <f>IF($C948="","",COUNTIFS(Chicks!$F:$F,$C948,Chicks!$G:$G,$D948))</f>
        <v/>
      </c>
      <c r="G948" s="6" t="str">
        <f>IF($C948="","",COUNTIFS(Chicks!$F:$F,$C948,Chicks!$G:$G,$D948,Chicks!$I:$I,"Yes"))</f>
        <v/>
      </c>
      <c r="H948" s="6" t="str">
        <f>IF($C948="","",SUMIFS(Chicks!$J:$J,Chicks!$F:$F,$C948,Chicks!$G:$G,$D948))</f>
        <v/>
      </c>
      <c r="I948" s="6" t="str">
        <f>IF($C948="","",COUNTIFS(Chicks!$F:$F,$C948,Chicks!$G:$G,$D948,Chicks!$I:$I,"No"))</f>
        <v/>
      </c>
      <c r="J948" s="6" t="str">
        <f>IF($C948="","",IFERROR(AVERAGEIFS(Chicks!$M:$M,Chicks!$F:$F,$C948,Chicks!$G:$G,$D948),""))</f>
        <v/>
      </c>
      <c r="K948" s="6" t="str">
        <f>IF($C948="","",SUMIFS(Chicks!$N:$N,Chicks!$F:$F,$C948,Chicks!$G:$G,$D948))</f>
        <v/>
      </c>
      <c r="L948" s="6" t="str">
        <f>IF($C948="","",SUMIFS(Chicks!$O:$O,Chicks!$F:$F,$C948,Chicks!$G:$G,$D948))</f>
        <v/>
      </c>
      <c r="M948" s="6" t="str">
        <f>IF($C948="","",SUMIFS(Chicks!$P:$P,Chicks!$F:$F,$C948,Chicks!$G:$G,$D948))</f>
        <v/>
      </c>
      <c r="N948" s="6" t="str">
        <f t="shared" si="15"/>
        <v/>
      </c>
      <c r="O948" s="6" t="e">
        <f t="shared" ca="1" si="16"/>
        <v>#NAME?</v>
      </c>
      <c r="P948" s="6" t="str">
        <f t="shared" si="17"/>
        <v/>
      </c>
    </row>
    <row r="949" spans="3:16" ht="14.25" customHeight="1" x14ac:dyDescent="0.3">
      <c r="C949" s="6" t="str">
        <f t="shared" si="18"/>
        <v/>
      </c>
      <c r="D949" s="6" t="str">
        <f t="shared" si="19"/>
        <v/>
      </c>
      <c r="F949" s="6" t="str">
        <f>IF($C949="","",COUNTIFS(Chicks!$F:$F,$C949,Chicks!$G:$G,$D949))</f>
        <v/>
      </c>
      <c r="G949" s="6" t="str">
        <f>IF($C949="","",COUNTIFS(Chicks!$F:$F,$C949,Chicks!$G:$G,$D949,Chicks!$I:$I,"Yes"))</f>
        <v/>
      </c>
      <c r="H949" s="6" t="str">
        <f>IF($C949="","",SUMIFS(Chicks!$J:$J,Chicks!$F:$F,$C949,Chicks!$G:$G,$D949))</f>
        <v/>
      </c>
      <c r="I949" s="6" t="str">
        <f>IF($C949="","",COUNTIFS(Chicks!$F:$F,$C949,Chicks!$G:$G,$D949,Chicks!$I:$I,"No"))</f>
        <v/>
      </c>
      <c r="J949" s="6" t="str">
        <f>IF($C949="","",IFERROR(AVERAGEIFS(Chicks!$M:$M,Chicks!$F:$F,$C949,Chicks!$G:$G,$D949),""))</f>
        <v/>
      </c>
      <c r="K949" s="6" t="str">
        <f>IF($C949="","",SUMIFS(Chicks!$N:$N,Chicks!$F:$F,$C949,Chicks!$G:$G,$D949))</f>
        <v/>
      </c>
      <c r="L949" s="6" t="str">
        <f>IF($C949="","",SUMIFS(Chicks!$O:$O,Chicks!$F:$F,$C949,Chicks!$G:$G,$D949))</f>
        <v/>
      </c>
      <c r="M949" s="6" t="str">
        <f>IF($C949="","",SUMIFS(Chicks!$P:$P,Chicks!$F:$F,$C949,Chicks!$G:$G,$D949))</f>
        <v/>
      </c>
      <c r="N949" s="6" t="str">
        <f t="shared" si="15"/>
        <v/>
      </c>
      <c r="O949" s="6" t="e">
        <f t="shared" ca="1" si="16"/>
        <v>#NAME?</v>
      </c>
      <c r="P949" s="6" t="str">
        <f t="shared" si="17"/>
        <v/>
      </c>
    </row>
    <row r="950" spans="3:16" ht="14.25" customHeight="1" x14ac:dyDescent="0.3">
      <c r="C950" s="6" t="str">
        <f t="shared" si="18"/>
        <v/>
      </c>
      <c r="D950" s="6" t="str">
        <f t="shared" si="19"/>
        <v/>
      </c>
      <c r="F950" s="6" t="str">
        <f>IF($C950="","",COUNTIFS(Chicks!$F:$F,$C950,Chicks!$G:$G,$D950))</f>
        <v/>
      </c>
      <c r="G950" s="6" t="str">
        <f>IF($C950="","",COUNTIFS(Chicks!$F:$F,$C950,Chicks!$G:$G,$D950,Chicks!$I:$I,"Yes"))</f>
        <v/>
      </c>
      <c r="H950" s="6" t="str">
        <f>IF($C950="","",SUMIFS(Chicks!$J:$J,Chicks!$F:$F,$C950,Chicks!$G:$G,$D950))</f>
        <v/>
      </c>
      <c r="I950" s="6" t="str">
        <f>IF($C950="","",COUNTIFS(Chicks!$F:$F,$C950,Chicks!$G:$G,$D950,Chicks!$I:$I,"No"))</f>
        <v/>
      </c>
      <c r="J950" s="6" t="str">
        <f>IF($C950="","",IFERROR(AVERAGEIFS(Chicks!$M:$M,Chicks!$F:$F,$C950,Chicks!$G:$G,$D950),""))</f>
        <v/>
      </c>
      <c r="K950" s="6" t="str">
        <f>IF($C950="","",SUMIFS(Chicks!$N:$N,Chicks!$F:$F,$C950,Chicks!$G:$G,$D950))</f>
        <v/>
      </c>
      <c r="L950" s="6" t="str">
        <f>IF($C950="","",SUMIFS(Chicks!$O:$O,Chicks!$F:$F,$C950,Chicks!$G:$G,$D950))</f>
        <v/>
      </c>
      <c r="M950" s="6" t="str">
        <f>IF($C950="","",SUMIFS(Chicks!$P:$P,Chicks!$F:$F,$C950,Chicks!$G:$G,$D950))</f>
        <v/>
      </c>
      <c r="N950" s="6" t="str">
        <f t="shared" si="15"/>
        <v/>
      </c>
      <c r="O950" s="6" t="e">
        <f t="shared" ca="1" si="16"/>
        <v>#NAME?</v>
      </c>
      <c r="P950" s="6" t="str">
        <f t="shared" si="17"/>
        <v/>
      </c>
    </row>
    <row r="951" spans="3:16" ht="14.25" customHeight="1" x14ac:dyDescent="0.3">
      <c r="C951" s="6" t="str">
        <f t="shared" si="18"/>
        <v/>
      </c>
      <c r="D951" s="6" t="str">
        <f t="shared" si="19"/>
        <v/>
      </c>
      <c r="F951" s="6" t="str">
        <f>IF($C951="","",COUNTIFS(Chicks!$F:$F,$C951,Chicks!$G:$G,$D951))</f>
        <v/>
      </c>
      <c r="G951" s="6" t="str">
        <f>IF($C951="","",COUNTIFS(Chicks!$F:$F,$C951,Chicks!$G:$G,$D951,Chicks!$I:$I,"Yes"))</f>
        <v/>
      </c>
      <c r="H951" s="6" t="str">
        <f>IF($C951="","",SUMIFS(Chicks!$J:$J,Chicks!$F:$F,$C951,Chicks!$G:$G,$D951))</f>
        <v/>
      </c>
      <c r="I951" s="6" t="str">
        <f>IF($C951="","",COUNTIFS(Chicks!$F:$F,$C951,Chicks!$G:$G,$D951,Chicks!$I:$I,"No"))</f>
        <v/>
      </c>
      <c r="J951" s="6" t="str">
        <f>IF($C951="","",IFERROR(AVERAGEIFS(Chicks!$M:$M,Chicks!$F:$F,$C951,Chicks!$G:$G,$D951),""))</f>
        <v/>
      </c>
      <c r="K951" s="6" t="str">
        <f>IF($C951="","",SUMIFS(Chicks!$N:$N,Chicks!$F:$F,$C951,Chicks!$G:$G,$D951))</f>
        <v/>
      </c>
      <c r="L951" s="6" t="str">
        <f>IF($C951="","",SUMIFS(Chicks!$O:$O,Chicks!$F:$F,$C951,Chicks!$G:$G,$D951))</f>
        <v/>
      </c>
      <c r="M951" s="6" t="str">
        <f>IF($C951="","",SUMIFS(Chicks!$P:$P,Chicks!$F:$F,$C951,Chicks!$G:$G,$D951))</f>
        <v/>
      </c>
      <c r="N951" s="6" t="str">
        <f t="shared" si="15"/>
        <v/>
      </c>
      <c r="O951" s="6" t="e">
        <f t="shared" ca="1" si="16"/>
        <v>#NAME?</v>
      </c>
      <c r="P951" s="6" t="str">
        <f t="shared" si="17"/>
        <v/>
      </c>
    </row>
    <row r="952" spans="3:16" ht="14.25" customHeight="1" x14ac:dyDescent="0.3">
      <c r="C952" s="6" t="str">
        <f t="shared" si="18"/>
        <v/>
      </c>
      <c r="D952" s="6" t="str">
        <f t="shared" si="19"/>
        <v/>
      </c>
      <c r="F952" s="6" t="str">
        <f>IF($C952="","",COUNTIFS(Chicks!$F:$F,$C952,Chicks!$G:$G,$D952))</f>
        <v/>
      </c>
      <c r="G952" s="6" t="str">
        <f>IF($C952="","",COUNTIFS(Chicks!$F:$F,$C952,Chicks!$G:$G,$D952,Chicks!$I:$I,"Yes"))</f>
        <v/>
      </c>
      <c r="H952" s="6" t="str">
        <f>IF($C952="","",SUMIFS(Chicks!$J:$J,Chicks!$F:$F,$C952,Chicks!$G:$G,$D952))</f>
        <v/>
      </c>
      <c r="I952" s="6" t="str">
        <f>IF($C952="","",COUNTIFS(Chicks!$F:$F,$C952,Chicks!$G:$G,$D952,Chicks!$I:$I,"No"))</f>
        <v/>
      </c>
      <c r="J952" s="6" t="str">
        <f>IF($C952="","",IFERROR(AVERAGEIFS(Chicks!$M:$M,Chicks!$F:$F,$C952,Chicks!$G:$G,$D952),""))</f>
        <v/>
      </c>
      <c r="K952" s="6" t="str">
        <f>IF($C952="","",SUMIFS(Chicks!$N:$N,Chicks!$F:$F,$C952,Chicks!$G:$G,$D952))</f>
        <v/>
      </c>
      <c r="L952" s="6" t="str">
        <f>IF($C952="","",SUMIFS(Chicks!$O:$O,Chicks!$F:$F,$C952,Chicks!$G:$G,$D952))</f>
        <v/>
      </c>
      <c r="M952" s="6" t="str">
        <f>IF($C952="","",SUMIFS(Chicks!$P:$P,Chicks!$F:$F,$C952,Chicks!$G:$G,$D952))</f>
        <v/>
      </c>
      <c r="N952" s="6" t="str">
        <f t="shared" si="15"/>
        <v/>
      </c>
      <c r="O952" s="6" t="e">
        <f t="shared" ca="1" si="16"/>
        <v>#NAME?</v>
      </c>
      <c r="P952" s="6" t="str">
        <f t="shared" si="17"/>
        <v/>
      </c>
    </row>
    <row r="953" spans="3:16" ht="14.25" customHeight="1" x14ac:dyDescent="0.3">
      <c r="C953" s="6" t="str">
        <f t="shared" si="18"/>
        <v/>
      </c>
      <c r="D953" s="6" t="str">
        <f t="shared" si="19"/>
        <v/>
      </c>
      <c r="F953" s="6" t="str">
        <f>IF($C953="","",COUNTIFS(Chicks!$F:$F,$C953,Chicks!$G:$G,$D953))</f>
        <v/>
      </c>
      <c r="G953" s="6" t="str">
        <f>IF($C953="","",COUNTIFS(Chicks!$F:$F,$C953,Chicks!$G:$G,$D953,Chicks!$I:$I,"Yes"))</f>
        <v/>
      </c>
      <c r="H953" s="6" t="str">
        <f>IF($C953="","",SUMIFS(Chicks!$J:$J,Chicks!$F:$F,$C953,Chicks!$G:$G,$D953))</f>
        <v/>
      </c>
      <c r="I953" s="6" t="str">
        <f>IF($C953="","",COUNTIFS(Chicks!$F:$F,$C953,Chicks!$G:$G,$D953,Chicks!$I:$I,"No"))</f>
        <v/>
      </c>
      <c r="J953" s="6" t="str">
        <f>IF($C953="","",IFERROR(AVERAGEIFS(Chicks!$M:$M,Chicks!$F:$F,$C953,Chicks!$G:$G,$D953),""))</f>
        <v/>
      </c>
      <c r="K953" s="6" t="str">
        <f>IF($C953="","",SUMIFS(Chicks!$N:$N,Chicks!$F:$F,$C953,Chicks!$G:$G,$D953))</f>
        <v/>
      </c>
      <c r="L953" s="6" t="str">
        <f>IF($C953="","",SUMIFS(Chicks!$O:$O,Chicks!$F:$F,$C953,Chicks!$G:$G,$D953))</f>
        <v/>
      </c>
      <c r="M953" s="6" t="str">
        <f>IF($C953="","",SUMIFS(Chicks!$P:$P,Chicks!$F:$F,$C953,Chicks!$G:$G,$D953))</f>
        <v/>
      </c>
      <c r="N953" s="6" t="str">
        <f t="shared" si="15"/>
        <v/>
      </c>
      <c r="O953" s="6" t="e">
        <f t="shared" ca="1" si="16"/>
        <v>#NAME?</v>
      </c>
      <c r="P953" s="6" t="str">
        <f t="shared" si="17"/>
        <v/>
      </c>
    </row>
    <row r="954" spans="3:16" ht="14.25" customHeight="1" x14ac:dyDescent="0.3">
      <c r="C954" s="6" t="str">
        <f t="shared" si="18"/>
        <v/>
      </c>
      <c r="D954" s="6" t="str">
        <f t="shared" si="19"/>
        <v/>
      </c>
      <c r="F954" s="6" t="str">
        <f>IF($C954="","",COUNTIFS(Chicks!$F:$F,$C954,Chicks!$G:$G,$D954))</f>
        <v/>
      </c>
      <c r="G954" s="6" t="str">
        <f>IF($C954="","",COUNTIFS(Chicks!$F:$F,$C954,Chicks!$G:$G,$D954,Chicks!$I:$I,"Yes"))</f>
        <v/>
      </c>
      <c r="H954" s="6" t="str">
        <f>IF($C954="","",SUMIFS(Chicks!$J:$J,Chicks!$F:$F,$C954,Chicks!$G:$G,$D954))</f>
        <v/>
      </c>
      <c r="I954" s="6" t="str">
        <f>IF($C954="","",COUNTIFS(Chicks!$F:$F,$C954,Chicks!$G:$G,$D954,Chicks!$I:$I,"No"))</f>
        <v/>
      </c>
      <c r="J954" s="6" t="str">
        <f>IF($C954="","",IFERROR(AVERAGEIFS(Chicks!$M:$M,Chicks!$F:$F,$C954,Chicks!$G:$G,$D954),""))</f>
        <v/>
      </c>
      <c r="K954" s="6" t="str">
        <f>IF($C954="","",SUMIFS(Chicks!$N:$N,Chicks!$F:$F,$C954,Chicks!$G:$G,$D954))</f>
        <v/>
      </c>
      <c r="L954" s="6" t="str">
        <f>IF($C954="","",SUMIFS(Chicks!$O:$O,Chicks!$F:$F,$C954,Chicks!$G:$G,$D954))</f>
        <v/>
      </c>
      <c r="M954" s="6" t="str">
        <f>IF($C954="","",SUMIFS(Chicks!$P:$P,Chicks!$F:$F,$C954,Chicks!$G:$G,$D954))</f>
        <v/>
      </c>
      <c r="N954" s="6" t="str">
        <f t="shared" si="15"/>
        <v/>
      </c>
      <c r="O954" s="6" t="e">
        <f t="shared" ca="1" si="16"/>
        <v>#NAME?</v>
      </c>
      <c r="P954" s="6" t="str">
        <f t="shared" si="17"/>
        <v/>
      </c>
    </row>
    <row r="955" spans="3:16" ht="14.25" customHeight="1" x14ac:dyDescent="0.3">
      <c r="C955" s="6" t="str">
        <f t="shared" si="18"/>
        <v/>
      </c>
      <c r="D955" s="6" t="str">
        <f t="shared" si="19"/>
        <v/>
      </c>
      <c r="F955" s="6" t="str">
        <f>IF($C955="","",COUNTIFS(Chicks!$F:$F,$C955,Chicks!$G:$G,$D955))</f>
        <v/>
      </c>
      <c r="G955" s="6" t="str">
        <f>IF($C955="","",COUNTIFS(Chicks!$F:$F,$C955,Chicks!$G:$G,$D955,Chicks!$I:$I,"Yes"))</f>
        <v/>
      </c>
      <c r="H955" s="6" t="str">
        <f>IF($C955="","",SUMIFS(Chicks!$J:$J,Chicks!$F:$F,$C955,Chicks!$G:$G,$D955))</f>
        <v/>
      </c>
      <c r="I955" s="6" t="str">
        <f>IF($C955="","",COUNTIFS(Chicks!$F:$F,$C955,Chicks!$G:$G,$D955,Chicks!$I:$I,"No"))</f>
        <v/>
      </c>
      <c r="J955" s="6" t="str">
        <f>IF($C955="","",IFERROR(AVERAGEIFS(Chicks!$M:$M,Chicks!$F:$F,$C955,Chicks!$G:$G,$D955),""))</f>
        <v/>
      </c>
      <c r="K955" s="6" t="str">
        <f>IF($C955="","",SUMIFS(Chicks!$N:$N,Chicks!$F:$F,$C955,Chicks!$G:$G,$D955))</f>
        <v/>
      </c>
      <c r="L955" s="6" t="str">
        <f>IF($C955="","",SUMIFS(Chicks!$O:$O,Chicks!$F:$F,$C955,Chicks!$G:$G,$D955))</f>
        <v/>
      </c>
      <c r="M955" s="6" t="str">
        <f>IF($C955="","",SUMIFS(Chicks!$P:$P,Chicks!$F:$F,$C955,Chicks!$G:$G,$D955))</f>
        <v/>
      </c>
      <c r="N955" s="6" t="str">
        <f t="shared" si="15"/>
        <v/>
      </c>
      <c r="O955" s="6" t="e">
        <f t="shared" ca="1" si="16"/>
        <v>#NAME?</v>
      </c>
      <c r="P955" s="6" t="str">
        <f t="shared" si="17"/>
        <v/>
      </c>
    </row>
    <row r="956" spans="3:16" ht="14.25" customHeight="1" x14ac:dyDescent="0.3">
      <c r="C956" s="6" t="str">
        <f t="shared" si="18"/>
        <v/>
      </c>
      <c r="D956" s="6" t="str">
        <f t="shared" si="19"/>
        <v/>
      </c>
      <c r="F956" s="6" t="str">
        <f>IF($C956="","",COUNTIFS(Chicks!$F:$F,$C956,Chicks!$G:$G,$D956))</f>
        <v/>
      </c>
      <c r="G956" s="6" t="str">
        <f>IF($C956="","",COUNTIFS(Chicks!$F:$F,$C956,Chicks!$G:$G,$D956,Chicks!$I:$I,"Yes"))</f>
        <v/>
      </c>
      <c r="H956" s="6" t="str">
        <f>IF($C956="","",SUMIFS(Chicks!$J:$J,Chicks!$F:$F,$C956,Chicks!$G:$G,$D956))</f>
        <v/>
      </c>
      <c r="I956" s="6" t="str">
        <f>IF($C956="","",COUNTIFS(Chicks!$F:$F,$C956,Chicks!$G:$G,$D956,Chicks!$I:$I,"No"))</f>
        <v/>
      </c>
      <c r="J956" s="6" t="str">
        <f>IF($C956="","",IFERROR(AVERAGEIFS(Chicks!$M:$M,Chicks!$F:$F,$C956,Chicks!$G:$G,$D956),""))</f>
        <v/>
      </c>
      <c r="K956" s="6" t="str">
        <f>IF($C956="","",SUMIFS(Chicks!$N:$N,Chicks!$F:$F,$C956,Chicks!$G:$G,$D956))</f>
        <v/>
      </c>
      <c r="L956" s="6" t="str">
        <f>IF($C956="","",SUMIFS(Chicks!$O:$O,Chicks!$F:$F,$C956,Chicks!$G:$G,$D956))</f>
        <v/>
      </c>
      <c r="M956" s="6" t="str">
        <f>IF($C956="","",SUMIFS(Chicks!$P:$P,Chicks!$F:$F,$C956,Chicks!$G:$G,$D956))</f>
        <v/>
      </c>
      <c r="N956" s="6" t="str">
        <f t="shared" si="15"/>
        <v/>
      </c>
      <c r="O956" s="6" t="e">
        <f t="shared" ca="1" si="16"/>
        <v>#NAME?</v>
      </c>
      <c r="P956" s="6" t="str">
        <f t="shared" si="17"/>
        <v/>
      </c>
    </row>
    <row r="957" spans="3:16" ht="14.25" customHeight="1" x14ac:dyDescent="0.3">
      <c r="C957" s="6" t="str">
        <f t="shared" si="18"/>
        <v/>
      </c>
      <c r="D957" s="6" t="str">
        <f t="shared" si="19"/>
        <v/>
      </c>
      <c r="F957" s="6" t="str">
        <f>IF($C957="","",COUNTIFS(Chicks!$F:$F,$C957,Chicks!$G:$G,$D957))</f>
        <v/>
      </c>
      <c r="G957" s="6" t="str">
        <f>IF($C957="","",COUNTIFS(Chicks!$F:$F,$C957,Chicks!$G:$G,$D957,Chicks!$I:$I,"Yes"))</f>
        <v/>
      </c>
      <c r="H957" s="6" t="str">
        <f>IF($C957="","",SUMIFS(Chicks!$J:$J,Chicks!$F:$F,$C957,Chicks!$G:$G,$D957))</f>
        <v/>
      </c>
      <c r="I957" s="6" t="str">
        <f>IF($C957="","",COUNTIFS(Chicks!$F:$F,$C957,Chicks!$G:$G,$D957,Chicks!$I:$I,"No"))</f>
        <v/>
      </c>
      <c r="J957" s="6" t="str">
        <f>IF($C957="","",IFERROR(AVERAGEIFS(Chicks!$M:$M,Chicks!$F:$F,$C957,Chicks!$G:$G,$D957),""))</f>
        <v/>
      </c>
      <c r="K957" s="6" t="str">
        <f>IF($C957="","",SUMIFS(Chicks!$N:$N,Chicks!$F:$F,$C957,Chicks!$G:$G,$D957))</f>
        <v/>
      </c>
      <c r="L957" s="6" t="str">
        <f>IF($C957="","",SUMIFS(Chicks!$O:$O,Chicks!$F:$F,$C957,Chicks!$G:$G,$D957))</f>
        <v/>
      </c>
      <c r="M957" s="6" t="str">
        <f>IF($C957="","",SUMIFS(Chicks!$P:$P,Chicks!$F:$F,$C957,Chicks!$G:$G,$D957))</f>
        <v/>
      </c>
      <c r="N957" s="6" t="str">
        <f t="shared" si="15"/>
        <v/>
      </c>
      <c r="O957" s="6" t="e">
        <f t="shared" ca="1" si="16"/>
        <v>#NAME?</v>
      </c>
      <c r="P957" s="6" t="str">
        <f t="shared" si="17"/>
        <v/>
      </c>
    </row>
    <row r="958" spans="3:16" ht="14.25" customHeight="1" x14ac:dyDescent="0.3">
      <c r="C958" s="6" t="str">
        <f t="shared" si="18"/>
        <v/>
      </c>
      <c r="D958" s="6" t="str">
        <f t="shared" si="19"/>
        <v/>
      </c>
      <c r="F958" s="6" t="str">
        <f>IF($C958="","",COUNTIFS(Chicks!$F:$F,$C958,Chicks!$G:$G,$D958))</f>
        <v/>
      </c>
      <c r="G958" s="6" t="str">
        <f>IF($C958="","",COUNTIFS(Chicks!$F:$F,$C958,Chicks!$G:$G,$D958,Chicks!$I:$I,"Yes"))</f>
        <v/>
      </c>
      <c r="H958" s="6" t="str">
        <f>IF($C958="","",SUMIFS(Chicks!$J:$J,Chicks!$F:$F,$C958,Chicks!$G:$G,$D958))</f>
        <v/>
      </c>
      <c r="I958" s="6" t="str">
        <f>IF($C958="","",COUNTIFS(Chicks!$F:$F,$C958,Chicks!$G:$G,$D958,Chicks!$I:$I,"No"))</f>
        <v/>
      </c>
      <c r="J958" s="6" t="str">
        <f>IF($C958="","",IFERROR(AVERAGEIFS(Chicks!$M:$M,Chicks!$F:$F,$C958,Chicks!$G:$G,$D958),""))</f>
        <v/>
      </c>
      <c r="K958" s="6" t="str">
        <f>IF($C958="","",SUMIFS(Chicks!$N:$N,Chicks!$F:$F,$C958,Chicks!$G:$G,$D958))</f>
        <v/>
      </c>
      <c r="L958" s="6" t="str">
        <f>IF($C958="","",SUMIFS(Chicks!$O:$O,Chicks!$F:$F,$C958,Chicks!$G:$G,$D958))</f>
        <v/>
      </c>
      <c r="M958" s="6" t="str">
        <f>IF($C958="","",SUMIFS(Chicks!$P:$P,Chicks!$F:$F,$C958,Chicks!$G:$G,$D958))</f>
        <v/>
      </c>
      <c r="N958" s="6" t="str">
        <f t="shared" si="15"/>
        <v/>
      </c>
      <c r="O958" s="6" t="e">
        <f t="shared" ca="1" si="16"/>
        <v>#NAME?</v>
      </c>
      <c r="P958" s="6" t="str">
        <f t="shared" si="17"/>
        <v/>
      </c>
    </row>
    <row r="959" spans="3:16" ht="14.25" customHeight="1" x14ac:dyDescent="0.3">
      <c r="C959" s="6" t="str">
        <f t="shared" si="18"/>
        <v/>
      </c>
      <c r="D959" s="6" t="str">
        <f t="shared" si="19"/>
        <v/>
      </c>
      <c r="F959" s="6" t="str">
        <f>IF($C959="","",COUNTIFS(Chicks!$F:$F,$C959,Chicks!$G:$G,$D959))</f>
        <v/>
      </c>
      <c r="G959" s="6" t="str">
        <f>IF($C959="","",COUNTIFS(Chicks!$F:$F,$C959,Chicks!$G:$G,$D959,Chicks!$I:$I,"Yes"))</f>
        <v/>
      </c>
      <c r="H959" s="6" t="str">
        <f>IF($C959="","",SUMIFS(Chicks!$J:$J,Chicks!$F:$F,$C959,Chicks!$G:$G,$D959))</f>
        <v/>
      </c>
      <c r="I959" s="6" t="str">
        <f>IF($C959="","",COUNTIFS(Chicks!$F:$F,$C959,Chicks!$G:$G,$D959,Chicks!$I:$I,"No"))</f>
        <v/>
      </c>
      <c r="J959" s="6" t="str">
        <f>IF($C959="","",IFERROR(AVERAGEIFS(Chicks!$M:$M,Chicks!$F:$F,$C959,Chicks!$G:$G,$D959),""))</f>
        <v/>
      </c>
      <c r="K959" s="6" t="str">
        <f>IF($C959="","",SUMIFS(Chicks!$N:$N,Chicks!$F:$F,$C959,Chicks!$G:$G,$D959))</f>
        <v/>
      </c>
      <c r="L959" s="6" t="str">
        <f>IF($C959="","",SUMIFS(Chicks!$O:$O,Chicks!$F:$F,$C959,Chicks!$G:$G,$D959))</f>
        <v/>
      </c>
      <c r="M959" s="6" t="str">
        <f>IF($C959="","",SUMIFS(Chicks!$P:$P,Chicks!$F:$F,$C959,Chicks!$G:$G,$D959))</f>
        <v/>
      </c>
      <c r="N959" s="6" t="str">
        <f t="shared" si="15"/>
        <v/>
      </c>
      <c r="O959" s="6" t="e">
        <f t="shared" ca="1" si="16"/>
        <v>#NAME?</v>
      </c>
      <c r="P959" s="6" t="str">
        <f t="shared" si="17"/>
        <v/>
      </c>
    </row>
    <row r="960" spans="3:16" ht="14.25" customHeight="1" x14ac:dyDescent="0.3">
      <c r="C960" s="6" t="str">
        <f t="shared" si="18"/>
        <v/>
      </c>
      <c r="D960" s="6" t="str">
        <f t="shared" si="19"/>
        <v/>
      </c>
      <c r="F960" s="6" t="str">
        <f>IF($C960="","",COUNTIFS(Chicks!$F:$F,$C960,Chicks!$G:$G,$D960))</f>
        <v/>
      </c>
      <c r="G960" s="6" t="str">
        <f>IF($C960="","",COUNTIFS(Chicks!$F:$F,$C960,Chicks!$G:$G,$D960,Chicks!$I:$I,"Yes"))</f>
        <v/>
      </c>
      <c r="H960" s="6" t="str">
        <f>IF($C960="","",SUMIFS(Chicks!$J:$J,Chicks!$F:$F,$C960,Chicks!$G:$G,$D960))</f>
        <v/>
      </c>
      <c r="I960" s="6" t="str">
        <f>IF($C960="","",COUNTIFS(Chicks!$F:$F,$C960,Chicks!$G:$G,$D960,Chicks!$I:$I,"No"))</f>
        <v/>
      </c>
      <c r="J960" s="6" t="str">
        <f>IF($C960="","",IFERROR(AVERAGEIFS(Chicks!$M:$M,Chicks!$F:$F,$C960,Chicks!$G:$G,$D960),""))</f>
        <v/>
      </c>
      <c r="K960" s="6" t="str">
        <f>IF($C960="","",SUMIFS(Chicks!$N:$N,Chicks!$F:$F,$C960,Chicks!$G:$G,$D960))</f>
        <v/>
      </c>
      <c r="L960" s="6" t="str">
        <f>IF($C960="","",SUMIFS(Chicks!$O:$O,Chicks!$F:$F,$C960,Chicks!$G:$G,$D960))</f>
        <v/>
      </c>
      <c r="M960" s="6" t="str">
        <f>IF($C960="","",SUMIFS(Chicks!$P:$P,Chicks!$F:$F,$C960,Chicks!$G:$G,$D960))</f>
        <v/>
      </c>
      <c r="N960" s="6" t="str">
        <f t="shared" si="15"/>
        <v/>
      </c>
      <c r="O960" s="6" t="e">
        <f t="shared" ca="1" si="16"/>
        <v>#NAME?</v>
      </c>
      <c r="P960" s="6" t="str">
        <f t="shared" si="17"/>
        <v/>
      </c>
    </row>
    <row r="961" spans="3:16" ht="14.25" customHeight="1" x14ac:dyDescent="0.3">
      <c r="C961" s="6" t="str">
        <f t="shared" si="18"/>
        <v/>
      </c>
      <c r="D961" s="6" t="str">
        <f t="shared" si="19"/>
        <v/>
      </c>
      <c r="F961" s="6" t="str">
        <f>IF($C961="","",COUNTIFS(Chicks!$F:$F,$C961,Chicks!$G:$G,$D961))</f>
        <v/>
      </c>
      <c r="G961" s="6" t="str">
        <f>IF($C961="","",COUNTIFS(Chicks!$F:$F,$C961,Chicks!$G:$G,$D961,Chicks!$I:$I,"Yes"))</f>
        <v/>
      </c>
      <c r="H961" s="6" t="str">
        <f>IF($C961="","",SUMIFS(Chicks!$J:$J,Chicks!$F:$F,$C961,Chicks!$G:$G,$D961))</f>
        <v/>
      </c>
      <c r="I961" s="6" t="str">
        <f>IF($C961="","",COUNTIFS(Chicks!$F:$F,$C961,Chicks!$G:$G,$D961,Chicks!$I:$I,"No"))</f>
        <v/>
      </c>
      <c r="J961" s="6" t="str">
        <f>IF($C961="","",IFERROR(AVERAGEIFS(Chicks!$M:$M,Chicks!$F:$F,$C961,Chicks!$G:$G,$D961),""))</f>
        <v/>
      </c>
      <c r="K961" s="6" t="str">
        <f>IF($C961="","",SUMIFS(Chicks!$N:$N,Chicks!$F:$F,$C961,Chicks!$G:$G,$D961))</f>
        <v/>
      </c>
      <c r="L961" s="6" t="str">
        <f>IF($C961="","",SUMIFS(Chicks!$O:$O,Chicks!$F:$F,$C961,Chicks!$G:$G,$D961))</f>
        <v/>
      </c>
      <c r="M961" s="6" t="str">
        <f>IF($C961="","",SUMIFS(Chicks!$P:$P,Chicks!$F:$F,$C961,Chicks!$G:$G,$D961))</f>
        <v/>
      </c>
      <c r="N961" s="6" t="str">
        <f t="shared" si="15"/>
        <v/>
      </c>
      <c r="O961" s="6" t="e">
        <f t="shared" ca="1" si="16"/>
        <v>#NAME?</v>
      </c>
      <c r="P961" s="6" t="str">
        <f t="shared" si="17"/>
        <v/>
      </c>
    </row>
    <row r="962" spans="3:16" ht="14.25" customHeight="1" x14ac:dyDescent="0.3">
      <c r="C962" s="6" t="str">
        <f t="shared" si="18"/>
        <v/>
      </c>
      <c r="D962" s="6" t="str">
        <f t="shared" si="19"/>
        <v/>
      </c>
      <c r="F962" s="6" t="str">
        <f>IF($C962="","",COUNTIFS(Chicks!$F:$F,$C962,Chicks!$G:$G,$D962))</f>
        <v/>
      </c>
      <c r="G962" s="6" t="str">
        <f>IF($C962="","",COUNTIFS(Chicks!$F:$F,$C962,Chicks!$G:$G,$D962,Chicks!$I:$I,"Yes"))</f>
        <v/>
      </c>
      <c r="H962" s="6" t="str">
        <f>IF($C962="","",SUMIFS(Chicks!$J:$J,Chicks!$F:$F,$C962,Chicks!$G:$G,$D962))</f>
        <v/>
      </c>
      <c r="I962" s="6" t="str">
        <f>IF($C962="","",COUNTIFS(Chicks!$F:$F,$C962,Chicks!$G:$G,$D962,Chicks!$I:$I,"No"))</f>
        <v/>
      </c>
      <c r="J962" s="6" t="str">
        <f>IF($C962="","",IFERROR(AVERAGEIFS(Chicks!$M:$M,Chicks!$F:$F,$C962,Chicks!$G:$G,$D962),""))</f>
        <v/>
      </c>
      <c r="K962" s="6" t="str">
        <f>IF($C962="","",SUMIFS(Chicks!$N:$N,Chicks!$F:$F,$C962,Chicks!$G:$G,$D962))</f>
        <v/>
      </c>
      <c r="L962" s="6" t="str">
        <f>IF($C962="","",SUMIFS(Chicks!$O:$O,Chicks!$F:$F,$C962,Chicks!$G:$G,$D962))</f>
        <v/>
      </c>
      <c r="M962" s="6" t="str">
        <f>IF($C962="","",SUMIFS(Chicks!$P:$P,Chicks!$F:$F,$C962,Chicks!$G:$G,$D962))</f>
        <v/>
      </c>
      <c r="N962" s="6" t="str">
        <f t="shared" si="15"/>
        <v/>
      </c>
      <c r="O962" s="6" t="e">
        <f t="shared" ca="1" si="16"/>
        <v>#NAME?</v>
      </c>
      <c r="P962" s="6" t="str">
        <f t="shared" si="17"/>
        <v/>
      </c>
    </row>
    <row r="963" spans="3:16" ht="14.25" customHeight="1" x14ac:dyDescent="0.3">
      <c r="C963" s="6" t="str">
        <f t="shared" si="18"/>
        <v/>
      </c>
      <c r="D963" s="6" t="str">
        <f t="shared" si="19"/>
        <v/>
      </c>
      <c r="F963" s="6" t="str">
        <f>IF($C963="","",COUNTIFS(Chicks!$F:$F,$C963,Chicks!$G:$G,$D963))</f>
        <v/>
      </c>
      <c r="G963" s="6" t="str">
        <f>IF($C963="","",COUNTIFS(Chicks!$F:$F,$C963,Chicks!$G:$G,$D963,Chicks!$I:$I,"Yes"))</f>
        <v/>
      </c>
      <c r="H963" s="6" t="str">
        <f>IF($C963="","",SUMIFS(Chicks!$J:$J,Chicks!$F:$F,$C963,Chicks!$G:$G,$D963))</f>
        <v/>
      </c>
      <c r="I963" s="6" t="str">
        <f>IF($C963="","",COUNTIFS(Chicks!$F:$F,$C963,Chicks!$G:$G,$D963,Chicks!$I:$I,"No"))</f>
        <v/>
      </c>
      <c r="J963" s="6" t="str">
        <f>IF($C963="","",IFERROR(AVERAGEIFS(Chicks!$M:$M,Chicks!$F:$F,$C963,Chicks!$G:$G,$D963),""))</f>
        <v/>
      </c>
      <c r="K963" s="6" t="str">
        <f>IF($C963="","",SUMIFS(Chicks!$N:$N,Chicks!$F:$F,$C963,Chicks!$G:$G,$D963))</f>
        <v/>
      </c>
      <c r="L963" s="6" t="str">
        <f>IF($C963="","",SUMIFS(Chicks!$O:$O,Chicks!$F:$F,$C963,Chicks!$G:$G,$D963))</f>
        <v/>
      </c>
      <c r="M963" s="6" t="str">
        <f>IF($C963="","",SUMIFS(Chicks!$P:$P,Chicks!$F:$F,$C963,Chicks!$G:$G,$D963))</f>
        <v/>
      </c>
      <c r="N963" s="6" t="str">
        <f t="shared" si="15"/>
        <v/>
      </c>
      <c r="O963" s="6" t="e">
        <f t="shared" ca="1" si="16"/>
        <v>#NAME?</v>
      </c>
      <c r="P963" s="6" t="str">
        <f t="shared" si="17"/>
        <v/>
      </c>
    </row>
    <row r="964" spans="3:16" ht="14.25" customHeight="1" x14ac:dyDescent="0.3">
      <c r="C964" s="6" t="str">
        <f t="shared" si="18"/>
        <v/>
      </c>
      <c r="D964" s="6" t="str">
        <f t="shared" si="19"/>
        <v/>
      </c>
      <c r="F964" s="6" t="str">
        <f>IF($C964="","",COUNTIFS(Chicks!$F:$F,$C964,Chicks!$G:$G,$D964))</f>
        <v/>
      </c>
      <c r="G964" s="6" t="str">
        <f>IF($C964="","",COUNTIFS(Chicks!$F:$F,$C964,Chicks!$G:$G,$D964,Chicks!$I:$I,"Yes"))</f>
        <v/>
      </c>
      <c r="H964" s="6" t="str">
        <f>IF($C964="","",SUMIFS(Chicks!$J:$J,Chicks!$F:$F,$C964,Chicks!$G:$G,$D964))</f>
        <v/>
      </c>
      <c r="I964" s="6" t="str">
        <f>IF($C964="","",COUNTIFS(Chicks!$F:$F,$C964,Chicks!$G:$G,$D964,Chicks!$I:$I,"No"))</f>
        <v/>
      </c>
      <c r="J964" s="6" t="str">
        <f>IF($C964="","",IFERROR(AVERAGEIFS(Chicks!$M:$M,Chicks!$F:$F,$C964,Chicks!$G:$G,$D964),""))</f>
        <v/>
      </c>
      <c r="K964" s="6" t="str">
        <f>IF($C964="","",SUMIFS(Chicks!$N:$N,Chicks!$F:$F,$C964,Chicks!$G:$G,$D964))</f>
        <v/>
      </c>
      <c r="L964" s="6" t="str">
        <f>IF($C964="","",SUMIFS(Chicks!$O:$O,Chicks!$F:$F,$C964,Chicks!$G:$G,$D964))</f>
        <v/>
      </c>
      <c r="M964" s="6" t="str">
        <f>IF($C964="","",SUMIFS(Chicks!$P:$P,Chicks!$F:$F,$C964,Chicks!$G:$G,$D964))</f>
        <v/>
      </c>
      <c r="N964" s="6" t="str">
        <f t="shared" si="15"/>
        <v/>
      </c>
      <c r="O964" s="6" t="e">
        <f t="shared" ca="1" si="16"/>
        <v>#NAME?</v>
      </c>
      <c r="P964" s="6" t="str">
        <f t="shared" si="17"/>
        <v/>
      </c>
    </row>
    <row r="965" spans="3:16" ht="14.25" customHeight="1" x14ac:dyDescent="0.3">
      <c r="C965" s="6" t="str">
        <f t="shared" si="18"/>
        <v/>
      </c>
      <c r="D965" s="6" t="str">
        <f t="shared" si="19"/>
        <v/>
      </c>
      <c r="F965" s="6" t="str">
        <f>IF($C965="","",COUNTIFS(Chicks!$F:$F,$C965,Chicks!$G:$G,$D965))</f>
        <v/>
      </c>
      <c r="G965" s="6" t="str">
        <f>IF($C965="","",COUNTIFS(Chicks!$F:$F,$C965,Chicks!$G:$G,$D965,Chicks!$I:$I,"Yes"))</f>
        <v/>
      </c>
      <c r="H965" s="6" t="str">
        <f>IF($C965="","",SUMIFS(Chicks!$J:$J,Chicks!$F:$F,$C965,Chicks!$G:$G,$D965))</f>
        <v/>
      </c>
      <c r="I965" s="6" t="str">
        <f>IF($C965="","",COUNTIFS(Chicks!$F:$F,$C965,Chicks!$G:$G,$D965,Chicks!$I:$I,"No"))</f>
        <v/>
      </c>
      <c r="J965" s="6" t="str">
        <f>IF($C965="","",IFERROR(AVERAGEIFS(Chicks!$M:$M,Chicks!$F:$F,$C965,Chicks!$G:$G,$D965),""))</f>
        <v/>
      </c>
      <c r="K965" s="6" t="str">
        <f>IF($C965="","",SUMIFS(Chicks!$N:$N,Chicks!$F:$F,$C965,Chicks!$G:$G,$D965))</f>
        <v/>
      </c>
      <c r="L965" s="6" t="str">
        <f>IF($C965="","",SUMIFS(Chicks!$O:$O,Chicks!$F:$F,$C965,Chicks!$G:$G,$D965))</f>
        <v/>
      </c>
      <c r="M965" s="6" t="str">
        <f>IF($C965="","",SUMIFS(Chicks!$P:$P,Chicks!$F:$F,$C965,Chicks!$G:$G,$D965))</f>
        <v/>
      </c>
      <c r="N965" s="6" t="str">
        <f t="shared" si="15"/>
        <v/>
      </c>
      <c r="O965" s="6" t="e">
        <f t="shared" ca="1" si="16"/>
        <v>#NAME?</v>
      </c>
      <c r="P965" s="6" t="str">
        <f t="shared" si="17"/>
        <v/>
      </c>
    </row>
    <row r="966" spans="3:16" ht="14.25" customHeight="1" x14ac:dyDescent="0.3">
      <c r="C966" s="6" t="str">
        <f t="shared" si="18"/>
        <v/>
      </c>
      <c r="D966" s="6" t="str">
        <f t="shared" si="19"/>
        <v/>
      </c>
      <c r="F966" s="6" t="str">
        <f>IF($C966="","",COUNTIFS(Chicks!$F:$F,$C966,Chicks!$G:$G,$D966))</f>
        <v/>
      </c>
      <c r="G966" s="6" t="str">
        <f>IF($C966="","",COUNTIFS(Chicks!$F:$F,$C966,Chicks!$G:$G,$D966,Chicks!$I:$I,"Yes"))</f>
        <v/>
      </c>
      <c r="H966" s="6" t="str">
        <f>IF($C966="","",SUMIFS(Chicks!$J:$J,Chicks!$F:$F,$C966,Chicks!$G:$G,$D966))</f>
        <v/>
      </c>
      <c r="I966" s="6" t="str">
        <f>IF($C966="","",COUNTIFS(Chicks!$F:$F,$C966,Chicks!$G:$G,$D966,Chicks!$I:$I,"No"))</f>
        <v/>
      </c>
      <c r="J966" s="6" t="str">
        <f>IF($C966="","",IFERROR(AVERAGEIFS(Chicks!$M:$M,Chicks!$F:$F,$C966,Chicks!$G:$G,$D966),""))</f>
        <v/>
      </c>
      <c r="K966" s="6" t="str">
        <f>IF($C966="","",SUMIFS(Chicks!$N:$N,Chicks!$F:$F,$C966,Chicks!$G:$G,$D966))</f>
        <v/>
      </c>
      <c r="L966" s="6" t="str">
        <f>IF($C966="","",SUMIFS(Chicks!$O:$O,Chicks!$F:$F,$C966,Chicks!$G:$G,$D966))</f>
        <v/>
      </c>
      <c r="M966" s="6" t="str">
        <f>IF($C966="","",SUMIFS(Chicks!$P:$P,Chicks!$F:$F,$C966,Chicks!$G:$G,$D966))</f>
        <v/>
      </c>
      <c r="N966" s="6" t="str">
        <f t="shared" si="15"/>
        <v/>
      </c>
      <c r="O966" s="6" t="e">
        <f t="shared" ca="1" si="16"/>
        <v>#NAME?</v>
      </c>
      <c r="P966" s="6" t="str">
        <f t="shared" si="17"/>
        <v/>
      </c>
    </row>
    <row r="967" spans="3:16" ht="14.25" customHeight="1" x14ac:dyDescent="0.3">
      <c r="C967" s="6" t="str">
        <f t="shared" si="18"/>
        <v/>
      </c>
      <c r="D967" s="6" t="str">
        <f t="shared" si="19"/>
        <v/>
      </c>
      <c r="F967" s="6" t="str">
        <f>IF($C967="","",COUNTIFS(Chicks!$F:$F,$C967,Chicks!$G:$G,$D967))</f>
        <v/>
      </c>
      <c r="G967" s="6" t="str">
        <f>IF($C967="","",COUNTIFS(Chicks!$F:$F,$C967,Chicks!$G:$G,$D967,Chicks!$I:$I,"Yes"))</f>
        <v/>
      </c>
      <c r="H967" s="6" t="str">
        <f>IF($C967="","",SUMIFS(Chicks!$J:$J,Chicks!$F:$F,$C967,Chicks!$G:$G,$D967))</f>
        <v/>
      </c>
      <c r="I967" s="6" t="str">
        <f>IF($C967="","",COUNTIFS(Chicks!$F:$F,$C967,Chicks!$G:$G,$D967,Chicks!$I:$I,"No"))</f>
        <v/>
      </c>
      <c r="J967" s="6" t="str">
        <f>IF($C967="","",IFERROR(AVERAGEIFS(Chicks!$M:$M,Chicks!$F:$F,$C967,Chicks!$G:$G,$D967),""))</f>
        <v/>
      </c>
      <c r="K967" s="6" t="str">
        <f>IF($C967="","",SUMIFS(Chicks!$N:$N,Chicks!$F:$F,$C967,Chicks!$G:$G,$D967))</f>
        <v/>
      </c>
      <c r="L967" s="6" t="str">
        <f>IF($C967="","",SUMIFS(Chicks!$O:$O,Chicks!$F:$F,$C967,Chicks!$G:$G,$D967))</f>
        <v/>
      </c>
      <c r="M967" s="6" t="str">
        <f>IF($C967="","",SUMIFS(Chicks!$P:$P,Chicks!$F:$F,$C967,Chicks!$G:$G,$D967))</f>
        <v/>
      </c>
      <c r="N967" s="6" t="str">
        <f t="shared" si="15"/>
        <v/>
      </c>
      <c r="O967" s="6" t="e">
        <f t="shared" ca="1" si="16"/>
        <v>#NAME?</v>
      </c>
      <c r="P967" s="6" t="str">
        <f t="shared" si="17"/>
        <v/>
      </c>
    </row>
    <row r="968" spans="3:16" ht="14.25" customHeight="1" x14ac:dyDescent="0.3">
      <c r="C968" s="6" t="str">
        <f t="shared" si="18"/>
        <v/>
      </c>
      <c r="D968" s="6" t="str">
        <f t="shared" si="19"/>
        <v/>
      </c>
      <c r="F968" s="6" t="str">
        <f>IF($C968="","",COUNTIFS(Chicks!$F:$F,$C968,Chicks!$G:$G,$D968))</f>
        <v/>
      </c>
      <c r="G968" s="6" t="str">
        <f>IF($C968="","",COUNTIFS(Chicks!$F:$F,$C968,Chicks!$G:$G,$D968,Chicks!$I:$I,"Yes"))</f>
        <v/>
      </c>
      <c r="H968" s="6" t="str">
        <f>IF($C968="","",SUMIFS(Chicks!$J:$J,Chicks!$F:$F,$C968,Chicks!$G:$G,$D968))</f>
        <v/>
      </c>
      <c r="I968" s="6" t="str">
        <f>IF($C968="","",COUNTIFS(Chicks!$F:$F,$C968,Chicks!$G:$G,$D968,Chicks!$I:$I,"No"))</f>
        <v/>
      </c>
      <c r="J968" s="6" t="str">
        <f>IF($C968="","",IFERROR(AVERAGEIFS(Chicks!$M:$M,Chicks!$F:$F,$C968,Chicks!$G:$G,$D968),""))</f>
        <v/>
      </c>
      <c r="K968" s="6" t="str">
        <f>IF($C968="","",SUMIFS(Chicks!$N:$N,Chicks!$F:$F,$C968,Chicks!$G:$G,$D968))</f>
        <v/>
      </c>
      <c r="L968" s="6" t="str">
        <f>IF($C968="","",SUMIFS(Chicks!$O:$O,Chicks!$F:$F,$C968,Chicks!$G:$G,$D968))</f>
        <v/>
      </c>
      <c r="M968" s="6" t="str">
        <f>IF($C968="","",SUMIFS(Chicks!$P:$P,Chicks!$F:$F,$C968,Chicks!$G:$G,$D968))</f>
        <v/>
      </c>
      <c r="N968" s="6" t="str">
        <f t="shared" si="15"/>
        <v/>
      </c>
      <c r="O968" s="6" t="e">
        <f t="shared" ca="1" si="16"/>
        <v>#NAME?</v>
      </c>
      <c r="P968" s="6" t="str">
        <f t="shared" si="17"/>
        <v/>
      </c>
    </row>
    <row r="969" spans="3:16" ht="14.25" customHeight="1" x14ac:dyDescent="0.3">
      <c r="C969" s="6" t="str">
        <f t="shared" si="18"/>
        <v/>
      </c>
      <c r="D969" s="6" t="str">
        <f t="shared" si="19"/>
        <v/>
      </c>
      <c r="F969" s="6" t="str">
        <f>IF($C969="","",COUNTIFS(Chicks!$F:$F,$C969,Chicks!$G:$G,$D969))</f>
        <v/>
      </c>
      <c r="G969" s="6" t="str">
        <f>IF($C969="","",COUNTIFS(Chicks!$F:$F,$C969,Chicks!$G:$G,$D969,Chicks!$I:$I,"Yes"))</f>
        <v/>
      </c>
      <c r="H969" s="6" t="str">
        <f>IF($C969="","",SUMIFS(Chicks!$J:$J,Chicks!$F:$F,$C969,Chicks!$G:$G,$D969))</f>
        <v/>
      </c>
      <c r="I969" s="6" t="str">
        <f>IF($C969="","",COUNTIFS(Chicks!$F:$F,$C969,Chicks!$G:$G,$D969,Chicks!$I:$I,"No"))</f>
        <v/>
      </c>
      <c r="J969" s="6" t="str">
        <f>IF($C969="","",IFERROR(AVERAGEIFS(Chicks!$M:$M,Chicks!$F:$F,$C969,Chicks!$G:$G,$D969),""))</f>
        <v/>
      </c>
      <c r="K969" s="6" t="str">
        <f>IF($C969="","",SUMIFS(Chicks!$N:$N,Chicks!$F:$F,$C969,Chicks!$G:$G,$D969))</f>
        <v/>
      </c>
      <c r="L969" s="6" t="str">
        <f>IF($C969="","",SUMIFS(Chicks!$O:$O,Chicks!$F:$F,$C969,Chicks!$G:$G,$D969))</f>
        <v/>
      </c>
      <c r="M969" s="6" t="str">
        <f>IF($C969="","",SUMIFS(Chicks!$P:$P,Chicks!$F:$F,$C969,Chicks!$G:$G,$D969))</f>
        <v/>
      </c>
      <c r="N969" s="6" t="str">
        <f t="shared" si="15"/>
        <v/>
      </c>
      <c r="O969" s="6" t="e">
        <f t="shared" ca="1" si="16"/>
        <v>#NAME?</v>
      </c>
      <c r="P969" s="6" t="str">
        <f t="shared" si="17"/>
        <v/>
      </c>
    </row>
    <row r="970" spans="3:16" ht="14.25" customHeight="1" x14ac:dyDescent="0.3">
      <c r="C970" s="6" t="str">
        <f t="shared" si="18"/>
        <v/>
      </c>
      <c r="D970" s="6" t="str">
        <f t="shared" si="19"/>
        <v/>
      </c>
      <c r="F970" s="6" t="str">
        <f>IF($C970="","",COUNTIFS(Chicks!$F:$F,$C970,Chicks!$G:$G,$D970))</f>
        <v/>
      </c>
      <c r="G970" s="6" t="str">
        <f>IF($C970="","",COUNTIFS(Chicks!$F:$F,$C970,Chicks!$G:$G,$D970,Chicks!$I:$I,"Yes"))</f>
        <v/>
      </c>
      <c r="H970" s="6" t="str">
        <f>IF($C970="","",SUMIFS(Chicks!$J:$J,Chicks!$F:$F,$C970,Chicks!$G:$G,$D970))</f>
        <v/>
      </c>
      <c r="I970" s="6" t="str">
        <f>IF($C970="","",COUNTIFS(Chicks!$F:$F,$C970,Chicks!$G:$G,$D970,Chicks!$I:$I,"No"))</f>
        <v/>
      </c>
      <c r="J970" s="6" t="str">
        <f>IF($C970="","",IFERROR(AVERAGEIFS(Chicks!$M:$M,Chicks!$F:$F,$C970,Chicks!$G:$G,$D970),""))</f>
        <v/>
      </c>
      <c r="K970" s="6" t="str">
        <f>IF($C970="","",SUMIFS(Chicks!$N:$N,Chicks!$F:$F,$C970,Chicks!$G:$G,$D970))</f>
        <v/>
      </c>
      <c r="L970" s="6" t="str">
        <f>IF($C970="","",SUMIFS(Chicks!$O:$O,Chicks!$F:$F,$C970,Chicks!$G:$G,$D970))</f>
        <v/>
      </c>
      <c r="M970" s="6" t="str">
        <f>IF($C970="","",SUMIFS(Chicks!$P:$P,Chicks!$F:$F,$C970,Chicks!$G:$G,$D970))</f>
        <v/>
      </c>
      <c r="N970" s="6" t="str">
        <f t="shared" si="15"/>
        <v/>
      </c>
      <c r="O970" s="6" t="e">
        <f t="shared" ca="1" si="16"/>
        <v>#NAME?</v>
      </c>
      <c r="P970" s="6" t="str">
        <f t="shared" si="17"/>
        <v/>
      </c>
    </row>
    <row r="971" spans="3:16" ht="14.25" customHeight="1" x14ac:dyDescent="0.3">
      <c r="C971" s="6" t="str">
        <f t="shared" si="18"/>
        <v/>
      </c>
      <c r="D971" s="6" t="str">
        <f t="shared" si="19"/>
        <v/>
      </c>
      <c r="F971" s="6" t="str">
        <f>IF($C971="","",COUNTIFS(Chicks!$F:$F,$C971,Chicks!$G:$G,$D971))</f>
        <v/>
      </c>
      <c r="G971" s="6" t="str">
        <f>IF($C971="","",COUNTIFS(Chicks!$F:$F,$C971,Chicks!$G:$G,$D971,Chicks!$I:$I,"Yes"))</f>
        <v/>
      </c>
      <c r="H971" s="6" t="str">
        <f>IF($C971="","",SUMIFS(Chicks!$J:$J,Chicks!$F:$F,$C971,Chicks!$G:$G,$D971))</f>
        <v/>
      </c>
      <c r="I971" s="6" t="str">
        <f>IF($C971="","",COUNTIFS(Chicks!$F:$F,$C971,Chicks!$G:$G,$D971,Chicks!$I:$I,"No"))</f>
        <v/>
      </c>
      <c r="J971" s="6" t="str">
        <f>IF($C971="","",IFERROR(AVERAGEIFS(Chicks!$M:$M,Chicks!$F:$F,$C971,Chicks!$G:$G,$D971),""))</f>
        <v/>
      </c>
      <c r="K971" s="6" t="str">
        <f>IF($C971="","",SUMIFS(Chicks!$N:$N,Chicks!$F:$F,$C971,Chicks!$G:$G,$D971))</f>
        <v/>
      </c>
      <c r="L971" s="6" t="str">
        <f>IF($C971="","",SUMIFS(Chicks!$O:$O,Chicks!$F:$F,$C971,Chicks!$G:$G,$D971))</f>
        <v/>
      </c>
      <c r="M971" s="6" t="str">
        <f>IF($C971="","",SUMIFS(Chicks!$P:$P,Chicks!$F:$F,$C971,Chicks!$G:$G,$D971))</f>
        <v/>
      </c>
      <c r="N971" s="6" t="str">
        <f t="shared" si="15"/>
        <v/>
      </c>
      <c r="O971" s="6" t="e">
        <f t="shared" ca="1" si="16"/>
        <v>#NAME?</v>
      </c>
      <c r="P971" s="6" t="str">
        <f t="shared" si="17"/>
        <v/>
      </c>
    </row>
    <row r="972" spans="3:16" ht="14.25" customHeight="1" x14ac:dyDescent="0.3">
      <c r="C972" s="6" t="str">
        <f t="shared" si="18"/>
        <v/>
      </c>
      <c r="D972" s="6" t="str">
        <f t="shared" si="19"/>
        <v/>
      </c>
      <c r="F972" s="6" t="str">
        <f>IF($C972="","",COUNTIFS(Chicks!$F:$F,$C972,Chicks!$G:$G,$D972))</f>
        <v/>
      </c>
      <c r="G972" s="6" t="str">
        <f>IF($C972="","",COUNTIFS(Chicks!$F:$F,$C972,Chicks!$G:$G,$D972,Chicks!$I:$I,"Yes"))</f>
        <v/>
      </c>
      <c r="H972" s="6" t="str">
        <f>IF($C972="","",SUMIFS(Chicks!$J:$J,Chicks!$F:$F,$C972,Chicks!$G:$G,$D972))</f>
        <v/>
      </c>
      <c r="I972" s="6" t="str">
        <f>IF($C972="","",COUNTIFS(Chicks!$F:$F,$C972,Chicks!$G:$G,$D972,Chicks!$I:$I,"No"))</f>
        <v/>
      </c>
      <c r="J972" s="6" t="str">
        <f>IF($C972="","",IFERROR(AVERAGEIFS(Chicks!$M:$M,Chicks!$F:$F,$C972,Chicks!$G:$G,$D972),""))</f>
        <v/>
      </c>
      <c r="K972" s="6" t="str">
        <f>IF($C972="","",SUMIFS(Chicks!$N:$N,Chicks!$F:$F,$C972,Chicks!$G:$G,$D972))</f>
        <v/>
      </c>
      <c r="L972" s="6" t="str">
        <f>IF($C972="","",SUMIFS(Chicks!$O:$O,Chicks!$F:$F,$C972,Chicks!$G:$G,$D972))</f>
        <v/>
      </c>
      <c r="M972" s="6" t="str">
        <f>IF($C972="","",SUMIFS(Chicks!$P:$P,Chicks!$F:$F,$C972,Chicks!$G:$G,$D972))</f>
        <v/>
      </c>
      <c r="N972" s="6" t="str">
        <f t="shared" si="15"/>
        <v/>
      </c>
      <c r="O972" s="6" t="e">
        <f t="shared" ca="1" si="16"/>
        <v>#NAME?</v>
      </c>
      <c r="P972" s="6" t="str">
        <f t="shared" si="17"/>
        <v/>
      </c>
    </row>
    <row r="973" spans="3:16" ht="14.25" customHeight="1" x14ac:dyDescent="0.3">
      <c r="C973" s="6" t="str">
        <f t="shared" si="18"/>
        <v/>
      </c>
      <c r="D973" s="6" t="str">
        <f t="shared" si="19"/>
        <v/>
      </c>
      <c r="F973" s="6" t="str">
        <f>IF($C973="","",COUNTIFS(Chicks!$F:$F,$C973,Chicks!$G:$G,$D973))</f>
        <v/>
      </c>
      <c r="G973" s="6" t="str">
        <f>IF($C973="","",COUNTIFS(Chicks!$F:$F,$C973,Chicks!$G:$G,$D973,Chicks!$I:$I,"Yes"))</f>
        <v/>
      </c>
      <c r="H973" s="6" t="str">
        <f>IF($C973="","",SUMIFS(Chicks!$J:$J,Chicks!$F:$F,$C973,Chicks!$G:$G,$D973))</f>
        <v/>
      </c>
      <c r="I973" s="6" t="str">
        <f>IF($C973="","",COUNTIFS(Chicks!$F:$F,$C973,Chicks!$G:$G,$D973,Chicks!$I:$I,"No"))</f>
        <v/>
      </c>
      <c r="J973" s="6" t="str">
        <f>IF($C973="","",IFERROR(AVERAGEIFS(Chicks!$M:$M,Chicks!$F:$F,$C973,Chicks!$G:$G,$D973),""))</f>
        <v/>
      </c>
      <c r="K973" s="6" t="str">
        <f>IF($C973="","",SUMIFS(Chicks!$N:$N,Chicks!$F:$F,$C973,Chicks!$G:$G,$D973))</f>
        <v/>
      </c>
      <c r="L973" s="6" t="str">
        <f>IF($C973="","",SUMIFS(Chicks!$O:$O,Chicks!$F:$F,$C973,Chicks!$G:$G,$D973))</f>
        <v/>
      </c>
      <c r="M973" s="6" t="str">
        <f>IF($C973="","",SUMIFS(Chicks!$P:$P,Chicks!$F:$F,$C973,Chicks!$G:$G,$D973))</f>
        <v/>
      </c>
      <c r="N973" s="6" t="str">
        <f t="shared" si="15"/>
        <v/>
      </c>
      <c r="O973" s="6" t="e">
        <f t="shared" ca="1" si="16"/>
        <v>#NAME?</v>
      </c>
      <c r="P973" s="6" t="str">
        <f t="shared" si="17"/>
        <v/>
      </c>
    </row>
    <row r="974" spans="3:16" ht="14.25" customHeight="1" x14ac:dyDescent="0.3">
      <c r="C974" s="6" t="str">
        <f t="shared" si="18"/>
        <v/>
      </c>
      <c r="D974" s="6" t="str">
        <f t="shared" si="19"/>
        <v/>
      </c>
      <c r="F974" s="6" t="str">
        <f>IF($C974="","",COUNTIFS(Chicks!$F:$F,$C974,Chicks!$G:$G,$D974))</f>
        <v/>
      </c>
      <c r="G974" s="6" t="str">
        <f>IF($C974="","",COUNTIFS(Chicks!$F:$F,$C974,Chicks!$G:$G,$D974,Chicks!$I:$I,"Yes"))</f>
        <v/>
      </c>
      <c r="H974" s="6" t="str">
        <f>IF($C974="","",SUMIFS(Chicks!$J:$J,Chicks!$F:$F,$C974,Chicks!$G:$G,$D974))</f>
        <v/>
      </c>
      <c r="I974" s="6" t="str">
        <f>IF($C974="","",COUNTIFS(Chicks!$F:$F,$C974,Chicks!$G:$G,$D974,Chicks!$I:$I,"No"))</f>
        <v/>
      </c>
      <c r="J974" s="6" t="str">
        <f>IF($C974="","",IFERROR(AVERAGEIFS(Chicks!$M:$M,Chicks!$F:$F,$C974,Chicks!$G:$G,$D974),""))</f>
        <v/>
      </c>
      <c r="K974" s="6" t="str">
        <f>IF($C974="","",SUMIFS(Chicks!$N:$N,Chicks!$F:$F,$C974,Chicks!$G:$G,$D974))</f>
        <v/>
      </c>
      <c r="L974" s="6" t="str">
        <f>IF($C974="","",SUMIFS(Chicks!$O:$O,Chicks!$F:$F,$C974,Chicks!$G:$G,$D974))</f>
        <v/>
      </c>
      <c r="M974" s="6" t="str">
        <f>IF($C974="","",SUMIFS(Chicks!$P:$P,Chicks!$F:$F,$C974,Chicks!$G:$G,$D974))</f>
        <v/>
      </c>
      <c r="N974" s="6" t="str">
        <f t="shared" si="15"/>
        <v/>
      </c>
      <c r="O974" s="6" t="e">
        <f t="shared" ca="1" si="16"/>
        <v>#NAME?</v>
      </c>
      <c r="P974" s="6" t="str">
        <f t="shared" si="17"/>
        <v/>
      </c>
    </row>
    <row r="975" spans="3:16" ht="14.25" customHeight="1" x14ac:dyDescent="0.3">
      <c r="C975" s="6" t="str">
        <f t="shared" si="18"/>
        <v/>
      </c>
      <c r="D975" s="6" t="str">
        <f t="shared" si="19"/>
        <v/>
      </c>
      <c r="F975" s="6" t="str">
        <f>IF($C975="","",COUNTIFS(Chicks!$F:$F,$C975,Chicks!$G:$G,$D975))</f>
        <v/>
      </c>
      <c r="G975" s="6" t="str">
        <f>IF($C975="","",COUNTIFS(Chicks!$F:$F,$C975,Chicks!$G:$G,$D975,Chicks!$I:$I,"Yes"))</f>
        <v/>
      </c>
      <c r="H975" s="6" t="str">
        <f>IF($C975="","",SUMIFS(Chicks!$J:$J,Chicks!$F:$F,$C975,Chicks!$G:$G,$D975))</f>
        <v/>
      </c>
      <c r="I975" s="6" t="str">
        <f>IF($C975="","",COUNTIFS(Chicks!$F:$F,$C975,Chicks!$G:$G,$D975,Chicks!$I:$I,"No"))</f>
        <v/>
      </c>
      <c r="J975" s="6" t="str">
        <f>IF($C975="","",IFERROR(AVERAGEIFS(Chicks!$M:$M,Chicks!$F:$F,$C975,Chicks!$G:$G,$D975),""))</f>
        <v/>
      </c>
      <c r="K975" s="6" t="str">
        <f>IF($C975="","",SUMIFS(Chicks!$N:$N,Chicks!$F:$F,$C975,Chicks!$G:$G,$D975))</f>
        <v/>
      </c>
      <c r="L975" s="6" t="str">
        <f>IF($C975="","",SUMIFS(Chicks!$O:$O,Chicks!$F:$F,$C975,Chicks!$G:$G,$D975))</f>
        <v/>
      </c>
      <c r="M975" s="6" t="str">
        <f>IF($C975="","",SUMIFS(Chicks!$P:$P,Chicks!$F:$F,$C975,Chicks!$G:$G,$D975))</f>
        <v/>
      </c>
      <c r="N975" s="6" t="str">
        <f t="shared" si="15"/>
        <v/>
      </c>
      <c r="O975" s="6" t="e">
        <f t="shared" ca="1" si="16"/>
        <v>#NAME?</v>
      </c>
      <c r="P975" s="6" t="str">
        <f t="shared" si="17"/>
        <v/>
      </c>
    </row>
    <row r="976" spans="3:16" ht="14.25" customHeight="1" x14ac:dyDescent="0.3">
      <c r="C976" s="6" t="str">
        <f t="shared" si="18"/>
        <v/>
      </c>
      <c r="D976" s="6" t="str">
        <f t="shared" si="19"/>
        <v/>
      </c>
      <c r="F976" s="6" t="str">
        <f>IF($C976="","",COUNTIFS(Chicks!$F:$F,$C976,Chicks!$G:$G,$D976))</f>
        <v/>
      </c>
      <c r="G976" s="6" t="str">
        <f>IF($C976="","",COUNTIFS(Chicks!$F:$F,$C976,Chicks!$G:$G,$D976,Chicks!$I:$I,"Yes"))</f>
        <v/>
      </c>
      <c r="H976" s="6" t="str">
        <f>IF($C976="","",SUMIFS(Chicks!$J:$J,Chicks!$F:$F,$C976,Chicks!$G:$G,$D976))</f>
        <v/>
      </c>
      <c r="I976" s="6" t="str">
        <f>IF($C976="","",COUNTIFS(Chicks!$F:$F,$C976,Chicks!$G:$G,$D976,Chicks!$I:$I,"No"))</f>
        <v/>
      </c>
      <c r="J976" s="6" t="str">
        <f>IF($C976="","",IFERROR(AVERAGEIFS(Chicks!$M:$M,Chicks!$F:$F,$C976,Chicks!$G:$G,$D976),""))</f>
        <v/>
      </c>
      <c r="K976" s="6" t="str">
        <f>IF($C976="","",SUMIFS(Chicks!$N:$N,Chicks!$F:$F,$C976,Chicks!$G:$G,$D976))</f>
        <v/>
      </c>
      <c r="L976" s="6" t="str">
        <f>IF($C976="","",SUMIFS(Chicks!$O:$O,Chicks!$F:$F,$C976,Chicks!$G:$G,$D976))</f>
        <v/>
      </c>
      <c r="M976" s="6" t="str">
        <f>IF($C976="","",SUMIFS(Chicks!$P:$P,Chicks!$F:$F,$C976,Chicks!$G:$G,$D976))</f>
        <v/>
      </c>
      <c r="N976" s="6" t="str">
        <f t="shared" si="15"/>
        <v/>
      </c>
      <c r="O976" s="6" t="e">
        <f t="shared" ca="1" si="16"/>
        <v>#NAME?</v>
      </c>
      <c r="P976" s="6" t="str">
        <f t="shared" si="17"/>
        <v/>
      </c>
    </row>
    <row r="977" spans="3:16" ht="14.25" customHeight="1" x14ac:dyDescent="0.3">
      <c r="C977" s="6" t="str">
        <f t="shared" si="18"/>
        <v/>
      </c>
      <c r="D977" s="6" t="str">
        <f t="shared" si="19"/>
        <v/>
      </c>
      <c r="F977" s="6" t="str">
        <f>IF($C977="","",COUNTIFS(Chicks!$F:$F,$C977,Chicks!$G:$G,$D977))</f>
        <v/>
      </c>
      <c r="G977" s="6" t="str">
        <f>IF($C977="","",COUNTIFS(Chicks!$F:$F,$C977,Chicks!$G:$G,$D977,Chicks!$I:$I,"Yes"))</f>
        <v/>
      </c>
      <c r="H977" s="6" t="str">
        <f>IF($C977="","",SUMIFS(Chicks!$J:$J,Chicks!$F:$F,$C977,Chicks!$G:$G,$D977))</f>
        <v/>
      </c>
      <c r="I977" s="6" t="str">
        <f>IF($C977="","",COUNTIFS(Chicks!$F:$F,$C977,Chicks!$G:$G,$D977,Chicks!$I:$I,"No"))</f>
        <v/>
      </c>
      <c r="J977" s="6" t="str">
        <f>IF($C977="","",IFERROR(AVERAGEIFS(Chicks!$M:$M,Chicks!$F:$F,$C977,Chicks!$G:$G,$D977),""))</f>
        <v/>
      </c>
      <c r="K977" s="6" t="str">
        <f>IF($C977="","",SUMIFS(Chicks!$N:$N,Chicks!$F:$F,$C977,Chicks!$G:$G,$D977))</f>
        <v/>
      </c>
      <c r="L977" s="6" t="str">
        <f>IF($C977="","",SUMIFS(Chicks!$O:$O,Chicks!$F:$F,$C977,Chicks!$G:$G,$D977))</f>
        <v/>
      </c>
      <c r="M977" s="6" t="str">
        <f>IF($C977="","",SUMIFS(Chicks!$P:$P,Chicks!$F:$F,$C977,Chicks!$G:$G,$D977))</f>
        <v/>
      </c>
      <c r="N977" s="6" t="str">
        <f t="shared" si="15"/>
        <v/>
      </c>
      <c r="O977" s="6" t="e">
        <f t="shared" ca="1" si="16"/>
        <v>#NAME?</v>
      </c>
      <c r="P977" s="6" t="str">
        <f t="shared" si="17"/>
        <v/>
      </c>
    </row>
    <row r="978" spans="3:16" ht="14.25" customHeight="1" x14ac:dyDescent="0.3">
      <c r="C978" s="6" t="str">
        <f t="shared" si="18"/>
        <v/>
      </c>
      <c r="D978" s="6" t="str">
        <f t="shared" si="19"/>
        <v/>
      </c>
      <c r="F978" s="6" t="str">
        <f>IF($C978="","",COUNTIFS(Chicks!$F:$F,$C978,Chicks!$G:$G,$D978))</f>
        <v/>
      </c>
      <c r="G978" s="6" t="str">
        <f>IF($C978="","",COUNTIFS(Chicks!$F:$F,$C978,Chicks!$G:$G,$D978,Chicks!$I:$I,"Yes"))</f>
        <v/>
      </c>
      <c r="H978" s="6" t="str">
        <f>IF($C978="","",SUMIFS(Chicks!$J:$J,Chicks!$F:$F,$C978,Chicks!$G:$G,$D978))</f>
        <v/>
      </c>
      <c r="I978" s="6" t="str">
        <f>IF($C978="","",COUNTIFS(Chicks!$F:$F,$C978,Chicks!$G:$G,$D978,Chicks!$I:$I,"No"))</f>
        <v/>
      </c>
      <c r="J978" s="6" t="str">
        <f>IF($C978="","",IFERROR(AVERAGEIFS(Chicks!$M:$M,Chicks!$F:$F,$C978,Chicks!$G:$G,$D978),""))</f>
        <v/>
      </c>
      <c r="K978" s="6" t="str">
        <f>IF($C978="","",SUMIFS(Chicks!$N:$N,Chicks!$F:$F,$C978,Chicks!$G:$G,$D978))</f>
        <v/>
      </c>
      <c r="L978" s="6" t="str">
        <f>IF($C978="","",SUMIFS(Chicks!$O:$O,Chicks!$F:$F,$C978,Chicks!$G:$G,$D978))</f>
        <v/>
      </c>
      <c r="M978" s="6" t="str">
        <f>IF($C978="","",SUMIFS(Chicks!$P:$P,Chicks!$F:$F,$C978,Chicks!$G:$G,$D978))</f>
        <v/>
      </c>
      <c r="N978" s="6" t="str">
        <f t="shared" si="15"/>
        <v/>
      </c>
      <c r="O978" s="6" t="e">
        <f t="shared" ca="1" si="16"/>
        <v>#NAME?</v>
      </c>
      <c r="P978" s="6" t="str">
        <f t="shared" si="17"/>
        <v/>
      </c>
    </row>
    <row r="979" spans="3:16" ht="14.25" customHeight="1" x14ac:dyDescent="0.3">
      <c r="C979" s="6" t="str">
        <f t="shared" si="18"/>
        <v/>
      </c>
      <c r="D979" s="6" t="str">
        <f t="shared" si="19"/>
        <v/>
      </c>
      <c r="F979" s="6" t="str">
        <f>IF($C979="","",COUNTIFS(Chicks!$F:$F,$C979,Chicks!$G:$G,$D979))</f>
        <v/>
      </c>
      <c r="G979" s="6" t="str">
        <f>IF($C979="","",COUNTIFS(Chicks!$F:$F,$C979,Chicks!$G:$G,$D979,Chicks!$I:$I,"Yes"))</f>
        <v/>
      </c>
      <c r="H979" s="6" t="str">
        <f>IF($C979="","",SUMIFS(Chicks!$J:$J,Chicks!$F:$F,$C979,Chicks!$G:$G,$D979))</f>
        <v/>
      </c>
      <c r="I979" s="6" t="str">
        <f>IF($C979="","",COUNTIFS(Chicks!$F:$F,$C979,Chicks!$G:$G,$D979,Chicks!$I:$I,"No"))</f>
        <v/>
      </c>
      <c r="J979" s="6" t="str">
        <f>IF($C979="","",IFERROR(AVERAGEIFS(Chicks!$M:$M,Chicks!$F:$F,$C979,Chicks!$G:$G,$D979),""))</f>
        <v/>
      </c>
      <c r="K979" s="6" t="str">
        <f>IF($C979="","",SUMIFS(Chicks!$N:$N,Chicks!$F:$F,$C979,Chicks!$G:$G,$D979))</f>
        <v/>
      </c>
      <c r="L979" s="6" t="str">
        <f>IF($C979="","",SUMIFS(Chicks!$O:$O,Chicks!$F:$F,$C979,Chicks!$G:$G,$D979))</f>
        <v/>
      </c>
      <c r="M979" s="6" t="str">
        <f>IF($C979="","",SUMIFS(Chicks!$P:$P,Chicks!$F:$F,$C979,Chicks!$G:$G,$D979))</f>
        <v/>
      </c>
      <c r="N979" s="6" t="str">
        <f t="shared" si="15"/>
        <v/>
      </c>
      <c r="O979" s="6" t="e">
        <f t="shared" ca="1" si="16"/>
        <v>#NAME?</v>
      </c>
      <c r="P979" s="6" t="str">
        <f t="shared" si="17"/>
        <v/>
      </c>
    </row>
    <row r="980" spans="3:16" ht="14.25" customHeight="1" x14ac:dyDescent="0.3">
      <c r="C980" s="6" t="str">
        <f t="shared" si="18"/>
        <v/>
      </c>
      <c r="D980" s="6" t="str">
        <f t="shared" si="19"/>
        <v/>
      </c>
      <c r="F980" s="6" t="str">
        <f>IF($C980="","",COUNTIFS(Chicks!$F:$F,$C980,Chicks!$G:$G,$D980))</f>
        <v/>
      </c>
      <c r="G980" s="6" t="str">
        <f>IF($C980="","",COUNTIFS(Chicks!$F:$F,$C980,Chicks!$G:$G,$D980,Chicks!$I:$I,"Yes"))</f>
        <v/>
      </c>
      <c r="H980" s="6" t="str">
        <f>IF($C980="","",SUMIFS(Chicks!$J:$J,Chicks!$F:$F,$C980,Chicks!$G:$G,$D980))</f>
        <v/>
      </c>
      <c r="I980" s="6" t="str">
        <f>IF($C980="","",COUNTIFS(Chicks!$F:$F,$C980,Chicks!$G:$G,$D980,Chicks!$I:$I,"No"))</f>
        <v/>
      </c>
      <c r="J980" s="6" t="str">
        <f>IF($C980="","",IFERROR(AVERAGEIFS(Chicks!$M:$M,Chicks!$F:$F,$C980,Chicks!$G:$G,$D980),""))</f>
        <v/>
      </c>
      <c r="K980" s="6" t="str">
        <f>IF($C980="","",SUMIFS(Chicks!$N:$N,Chicks!$F:$F,$C980,Chicks!$G:$G,$D980))</f>
        <v/>
      </c>
      <c r="L980" s="6" t="str">
        <f>IF($C980="","",SUMIFS(Chicks!$O:$O,Chicks!$F:$F,$C980,Chicks!$G:$G,$D980))</f>
        <v/>
      </c>
      <c r="M980" s="6" t="str">
        <f>IF($C980="","",SUMIFS(Chicks!$P:$P,Chicks!$F:$F,$C980,Chicks!$G:$G,$D980))</f>
        <v/>
      </c>
      <c r="N980" s="6" t="str">
        <f t="shared" si="15"/>
        <v/>
      </c>
      <c r="O980" s="6" t="e">
        <f t="shared" ca="1" si="16"/>
        <v>#NAME?</v>
      </c>
      <c r="P980" s="6" t="str">
        <f t="shared" si="17"/>
        <v/>
      </c>
    </row>
    <row r="981" spans="3:16" ht="14.25" customHeight="1" x14ac:dyDescent="0.3">
      <c r="C981" s="6" t="str">
        <f t="shared" si="18"/>
        <v/>
      </c>
      <c r="D981" s="6" t="str">
        <f t="shared" si="19"/>
        <v/>
      </c>
      <c r="F981" s="6" t="str">
        <f>IF($C981="","",COUNTIFS(Chicks!$F:$F,$C981,Chicks!$G:$G,$D981))</f>
        <v/>
      </c>
      <c r="G981" s="6" t="str">
        <f>IF($C981="","",COUNTIFS(Chicks!$F:$F,$C981,Chicks!$G:$G,$D981,Chicks!$I:$I,"Yes"))</f>
        <v/>
      </c>
      <c r="H981" s="6" t="str">
        <f>IF($C981="","",SUMIFS(Chicks!$J:$J,Chicks!$F:$F,$C981,Chicks!$G:$G,$D981))</f>
        <v/>
      </c>
      <c r="I981" s="6" t="str">
        <f>IF($C981="","",COUNTIFS(Chicks!$F:$F,$C981,Chicks!$G:$G,$D981,Chicks!$I:$I,"No"))</f>
        <v/>
      </c>
      <c r="J981" s="6" t="str">
        <f>IF($C981="","",IFERROR(AVERAGEIFS(Chicks!$M:$M,Chicks!$F:$F,$C981,Chicks!$G:$G,$D981),""))</f>
        <v/>
      </c>
      <c r="K981" s="6" t="str">
        <f>IF($C981="","",SUMIFS(Chicks!$N:$N,Chicks!$F:$F,$C981,Chicks!$G:$G,$D981))</f>
        <v/>
      </c>
      <c r="L981" s="6" t="str">
        <f>IF($C981="","",SUMIFS(Chicks!$O:$O,Chicks!$F:$F,$C981,Chicks!$G:$G,$D981))</f>
        <v/>
      </c>
      <c r="M981" s="6" t="str">
        <f>IF($C981="","",SUMIFS(Chicks!$P:$P,Chicks!$F:$F,$C981,Chicks!$G:$G,$D981))</f>
        <v/>
      </c>
      <c r="N981" s="6" t="str">
        <f t="shared" si="15"/>
        <v/>
      </c>
      <c r="O981" s="6" t="e">
        <f t="shared" ca="1" si="16"/>
        <v>#NAME?</v>
      </c>
      <c r="P981" s="6" t="str">
        <f t="shared" si="17"/>
        <v/>
      </c>
    </row>
    <row r="982" spans="3:16" ht="14.25" customHeight="1" x14ac:dyDescent="0.3">
      <c r="C982" s="6" t="str">
        <f t="shared" si="18"/>
        <v/>
      </c>
      <c r="D982" s="6" t="str">
        <f t="shared" si="19"/>
        <v/>
      </c>
      <c r="F982" s="6" t="str">
        <f>IF($C982="","",COUNTIFS(Chicks!$F:$F,$C982,Chicks!$G:$G,$D982))</f>
        <v/>
      </c>
      <c r="G982" s="6" t="str">
        <f>IF($C982="","",COUNTIFS(Chicks!$F:$F,$C982,Chicks!$G:$G,$D982,Chicks!$I:$I,"Yes"))</f>
        <v/>
      </c>
      <c r="H982" s="6" t="str">
        <f>IF($C982="","",SUMIFS(Chicks!$J:$J,Chicks!$F:$F,$C982,Chicks!$G:$G,$D982))</f>
        <v/>
      </c>
      <c r="I982" s="6" t="str">
        <f>IF($C982="","",COUNTIFS(Chicks!$F:$F,$C982,Chicks!$G:$G,$D982,Chicks!$I:$I,"No"))</f>
        <v/>
      </c>
      <c r="J982" s="6" t="str">
        <f>IF($C982="","",IFERROR(AVERAGEIFS(Chicks!$M:$M,Chicks!$F:$F,$C982,Chicks!$G:$G,$D982),""))</f>
        <v/>
      </c>
      <c r="K982" s="6" t="str">
        <f>IF($C982="","",SUMIFS(Chicks!$N:$N,Chicks!$F:$F,$C982,Chicks!$G:$G,$D982))</f>
        <v/>
      </c>
      <c r="L982" s="6" t="str">
        <f>IF($C982="","",SUMIFS(Chicks!$O:$O,Chicks!$F:$F,$C982,Chicks!$G:$G,$D982))</f>
        <v/>
      </c>
      <c r="M982" s="6" t="str">
        <f>IF($C982="","",SUMIFS(Chicks!$P:$P,Chicks!$F:$F,$C982,Chicks!$G:$G,$D982))</f>
        <v/>
      </c>
      <c r="N982" s="6" t="str">
        <f t="shared" si="15"/>
        <v/>
      </c>
      <c r="O982" s="6" t="e">
        <f t="shared" ca="1" si="16"/>
        <v>#NAME?</v>
      </c>
      <c r="P982" s="6" t="str">
        <f t="shared" si="17"/>
        <v/>
      </c>
    </row>
    <row r="983" spans="3:16" ht="14.25" customHeight="1" x14ac:dyDescent="0.3">
      <c r="C983" s="6" t="str">
        <f t="shared" si="18"/>
        <v/>
      </c>
      <c r="D983" s="6" t="str">
        <f t="shared" si="19"/>
        <v/>
      </c>
      <c r="F983" s="6" t="str">
        <f>IF($C983="","",COUNTIFS(Chicks!$F:$F,$C983,Chicks!$G:$G,$D983))</f>
        <v/>
      </c>
      <c r="G983" s="6" t="str">
        <f>IF($C983="","",COUNTIFS(Chicks!$F:$F,$C983,Chicks!$G:$G,$D983,Chicks!$I:$I,"Yes"))</f>
        <v/>
      </c>
      <c r="H983" s="6" t="str">
        <f>IF($C983="","",SUMIFS(Chicks!$J:$J,Chicks!$F:$F,$C983,Chicks!$G:$G,$D983))</f>
        <v/>
      </c>
      <c r="I983" s="6" t="str">
        <f>IF($C983="","",COUNTIFS(Chicks!$F:$F,$C983,Chicks!$G:$G,$D983,Chicks!$I:$I,"No"))</f>
        <v/>
      </c>
      <c r="J983" s="6" t="str">
        <f>IF($C983="","",IFERROR(AVERAGEIFS(Chicks!$M:$M,Chicks!$F:$F,$C983,Chicks!$G:$G,$D983),""))</f>
        <v/>
      </c>
      <c r="K983" s="6" t="str">
        <f>IF($C983="","",SUMIFS(Chicks!$N:$N,Chicks!$F:$F,$C983,Chicks!$G:$G,$D983))</f>
        <v/>
      </c>
      <c r="L983" s="6" t="str">
        <f>IF($C983="","",SUMIFS(Chicks!$O:$O,Chicks!$F:$F,$C983,Chicks!$G:$G,$D983))</f>
        <v/>
      </c>
      <c r="M983" s="6" t="str">
        <f>IF($C983="","",SUMIFS(Chicks!$P:$P,Chicks!$F:$F,$C983,Chicks!$G:$G,$D983))</f>
        <v/>
      </c>
      <c r="N983" s="6" t="str">
        <f t="shared" si="15"/>
        <v/>
      </c>
      <c r="O983" s="6" t="e">
        <f t="shared" ca="1" si="16"/>
        <v>#NAME?</v>
      </c>
      <c r="P983" s="6" t="str">
        <f t="shared" si="17"/>
        <v/>
      </c>
    </row>
    <row r="984" spans="3:16" ht="14.25" customHeight="1" x14ac:dyDescent="0.3">
      <c r="C984" s="6" t="str">
        <f t="shared" si="18"/>
        <v/>
      </c>
      <c r="D984" s="6" t="str">
        <f t="shared" si="19"/>
        <v/>
      </c>
      <c r="F984" s="6" t="str">
        <f>IF($C984="","",COUNTIFS(Chicks!$F:$F,$C984,Chicks!$G:$G,$D984))</f>
        <v/>
      </c>
      <c r="G984" s="6" t="str">
        <f>IF($C984="","",COUNTIFS(Chicks!$F:$F,$C984,Chicks!$G:$G,$D984,Chicks!$I:$I,"Yes"))</f>
        <v/>
      </c>
      <c r="H984" s="6" t="str">
        <f>IF($C984="","",SUMIFS(Chicks!$J:$J,Chicks!$F:$F,$C984,Chicks!$G:$G,$D984))</f>
        <v/>
      </c>
      <c r="I984" s="6" t="str">
        <f>IF($C984="","",COUNTIFS(Chicks!$F:$F,$C984,Chicks!$G:$G,$D984,Chicks!$I:$I,"No"))</f>
        <v/>
      </c>
      <c r="J984" s="6" t="str">
        <f>IF($C984="","",IFERROR(AVERAGEIFS(Chicks!$M:$M,Chicks!$F:$F,$C984,Chicks!$G:$G,$D984),""))</f>
        <v/>
      </c>
      <c r="K984" s="6" t="str">
        <f>IF($C984="","",SUMIFS(Chicks!$N:$N,Chicks!$F:$F,$C984,Chicks!$G:$G,$D984))</f>
        <v/>
      </c>
      <c r="L984" s="6" t="str">
        <f>IF($C984="","",SUMIFS(Chicks!$O:$O,Chicks!$F:$F,$C984,Chicks!$G:$G,$D984))</f>
        <v/>
      </c>
      <c r="M984" s="6" t="str">
        <f>IF($C984="","",SUMIFS(Chicks!$P:$P,Chicks!$F:$F,$C984,Chicks!$G:$G,$D984))</f>
        <v/>
      </c>
      <c r="N984" s="6" t="str">
        <f t="shared" si="15"/>
        <v/>
      </c>
      <c r="O984" s="6" t="e">
        <f t="shared" ca="1" si="16"/>
        <v>#NAME?</v>
      </c>
      <c r="P984" s="6" t="str">
        <f t="shared" si="17"/>
        <v/>
      </c>
    </row>
    <row r="985" spans="3:16" ht="14.25" customHeight="1" x14ac:dyDescent="0.3">
      <c r="C985" s="6" t="str">
        <f t="shared" si="18"/>
        <v/>
      </c>
      <c r="D985" s="6" t="str">
        <f t="shared" si="19"/>
        <v/>
      </c>
      <c r="F985" s="6" t="str">
        <f>IF($C985="","",COUNTIFS(Chicks!$F:$F,$C985,Chicks!$G:$G,$D985))</f>
        <v/>
      </c>
      <c r="G985" s="6" t="str">
        <f>IF($C985="","",COUNTIFS(Chicks!$F:$F,$C985,Chicks!$G:$G,$D985,Chicks!$I:$I,"Yes"))</f>
        <v/>
      </c>
      <c r="H985" s="6" t="str">
        <f>IF($C985="","",SUMIFS(Chicks!$J:$J,Chicks!$F:$F,$C985,Chicks!$G:$G,$D985))</f>
        <v/>
      </c>
      <c r="I985" s="6" t="str">
        <f>IF($C985="","",COUNTIFS(Chicks!$F:$F,$C985,Chicks!$G:$G,$D985,Chicks!$I:$I,"No"))</f>
        <v/>
      </c>
      <c r="J985" s="6" t="str">
        <f>IF($C985="","",IFERROR(AVERAGEIFS(Chicks!$M:$M,Chicks!$F:$F,$C985,Chicks!$G:$G,$D985),""))</f>
        <v/>
      </c>
      <c r="K985" s="6" t="str">
        <f>IF($C985="","",SUMIFS(Chicks!$N:$N,Chicks!$F:$F,$C985,Chicks!$G:$G,$D985))</f>
        <v/>
      </c>
      <c r="L985" s="6" t="str">
        <f>IF($C985="","",SUMIFS(Chicks!$O:$O,Chicks!$F:$F,$C985,Chicks!$G:$G,$D985))</f>
        <v/>
      </c>
      <c r="M985" s="6" t="str">
        <f>IF($C985="","",SUMIFS(Chicks!$P:$P,Chicks!$F:$F,$C985,Chicks!$G:$G,$D985))</f>
        <v/>
      </c>
      <c r="N985" s="6" t="str">
        <f t="shared" si="15"/>
        <v/>
      </c>
      <c r="O985" s="6" t="e">
        <f t="shared" ca="1" si="16"/>
        <v>#NAME?</v>
      </c>
      <c r="P985" s="6" t="str">
        <f t="shared" si="17"/>
        <v/>
      </c>
    </row>
    <row r="986" spans="3:16" ht="14.25" customHeight="1" x14ac:dyDescent="0.3">
      <c r="C986" s="6" t="str">
        <f t="shared" si="18"/>
        <v/>
      </c>
      <c r="D986" s="6" t="str">
        <f t="shared" si="19"/>
        <v/>
      </c>
      <c r="F986" s="6" t="str">
        <f>IF($C986="","",COUNTIFS(Chicks!$F:$F,$C986,Chicks!$G:$G,$D986))</f>
        <v/>
      </c>
      <c r="G986" s="6" t="str">
        <f>IF($C986="","",COUNTIFS(Chicks!$F:$F,$C986,Chicks!$G:$G,$D986,Chicks!$I:$I,"Yes"))</f>
        <v/>
      </c>
      <c r="H986" s="6" t="str">
        <f>IF($C986="","",SUMIFS(Chicks!$J:$J,Chicks!$F:$F,$C986,Chicks!$G:$G,$D986))</f>
        <v/>
      </c>
      <c r="I986" s="6" t="str">
        <f>IF($C986="","",COUNTIFS(Chicks!$F:$F,$C986,Chicks!$G:$G,$D986,Chicks!$I:$I,"No"))</f>
        <v/>
      </c>
      <c r="J986" s="6" t="str">
        <f>IF($C986="","",IFERROR(AVERAGEIFS(Chicks!$M:$M,Chicks!$F:$F,$C986,Chicks!$G:$G,$D986),""))</f>
        <v/>
      </c>
      <c r="K986" s="6" t="str">
        <f>IF($C986="","",SUMIFS(Chicks!$N:$N,Chicks!$F:$F,$C986,Chicks!$G:$G,$D986))</f>
        <v/>
      </c>
      <c r="L986" s="6" t="str">
        <f>IF($C986="","",SUMIFS(Chicks!$O:$O,Chicks!$F:$F,$C986,Chicks!$G:$G,$D986))</f>
        <v/>
      </c>
      <c r="M986" s="6" t="str">
        <f>IF($C986="","",SUMIFS(Chicks!$P:$P,Chicks!$F:$F,$C986,Chicks!$G:$G,$D986))</f>
        <v/>
      </c>
      <c r="N986" s="6" t="str">
        <f t="shared" si="15"/>
        <v/>
      </c>
      <c r="O986" s="6" t="e">
        <f t="shared" ca="1" si="16"/>
        <v>#NAME?</v>
      </c>
      <c r="P986" s="6" t="str">
        <f t="shared" si="17"/>
        <v/>
      </c>
    </row>
    <row r="987" spans="3:16" ht="14.25" customHeight="1" x14ac:dyDescent="0.3">
      <c r="C987" s="6" t="str">
        <f t="shared" si="18"/>
        <v/>
      </c>
      <c r="D987" s="6" t="str">
        <f t="shared" si="19"/>
        <v/>
      </c>
      <c r="F987" s="6" t="str">
        <f>IF($C987="","",COUNTIFS(Chicks!$F:$F,$C987,Chicks!$G:$G,$D987))</f>
        <v/>
      </c>
      <c r="G987" s="6" t="str">
        <f>IF($C987="","",COUNTIFS(Chicks!$F:$F,$C987,Chicks!$G:$G,$D987,Chicks!$I:$I,"Yes"))</f>
        <v/>
      </c>
      <c r="H987" s="6" t="str">
        <f>IF($C987="","",SUMIFS(Chicks!$J:$J,Chicks!$F:$F,$C987,Chicks!$G:$G,$D987))</f>
        <v/>
      </c>
      <c r="I987" s="6" t="str">
        <f>IF($C987="","",COUNTIFS(Chicks!$F:$F,$C987,Chicks!$G:$G,$D987,Chicks!$I:$I,"No"))</f>
        <v/>
      </c>
      <c r="J987" s="6" t="str">
        <f>IF($C987="","",IFERROR(AVERAGEIFS(Chicks!$M:$M,Chicks!$F:$F,$C987,Chicks!$G:$G,$D987),""))</f>
        <v/>
      </c>
      <c r="K987" s="6" t="str">
        <f>IF($C987="","",SUMIFS(Chicks!$N:$N,Chicks!$F:$F,$C987,Chicks!$G:$G,$D987))</f>
        <v/>
      </c>
      <c r="L987" s="6" t="str">
        <f>IF($C987="","",SUMIFS(Chicks!$O:$O,Chicks!$F:$F,$C987,Chicks!$G:$G,$D987))</f>
        <v/>
      </c>
      <c r="M987" s="6" t="str">
        <f>IF($C987="","",SUMIFS(Chicks!$P:$P,Chicks!$F:$F,$C987,Chicks!$G:$G,$D987))</f>
        <v/>
      </c>
      <c r="N987" s="6" t="str">
        <f t="shared" si="15"/>
        <v/>
      </c>
      <c r="O987" s="6" t="e">
        <f t="shared" ca="1" si="16"/>
        <v>#NAME?</v>
      </c>
      <c r="P987" s="6" t="str">
        <f t="shared" si="17"/>
        <v/>
      </c>
    </row>
    <row r="988" spans="3:16" ht="14.25" customHeight="1" x14ac:dyDescent="0.3">
      <c r="C988" s="6" t="str">
        <f t="shared" si="18"/>
        <v/>
      </c>
      <c r="D988" s="6" t="str">
        <f t="shared" si="19"/>
        <v/>
      </c>
      <c r="F988" s="6" t="str">
        <f>IF($C988="","",COUNTIFS(Chicks!$F:$F,$C988,Chicks!$G:$G,$D988))</f>
        <v/>
      </c>
      <c r="G988" s="6" t="str">
        <f>IF($C988="","",COUNTIFS(Chicks!$F:$F,$C988,Chicks!$G:$G,$D988,Chicks!$I:$I,"Yes"))</f>
        <v/>
      </c>
      <c r="H988" s="6" t="str">
        <f>IF($C988="","",SUMIFS(Chicks!$J:$J,Chicks!$F:$F,$C988,Chicks!$G:$G,$D988))</f>
        <v/>
      </c>
      <c r="I988" s="6" t="str">
        <f>IF($C988="","",COUNTIFS(Chicks!$F:$F,$C988,Chicks!$G:$G,$D988,Chicks!$I:$I,"No"))</f>
        <v/>
      </c>
      <c r="J988" s="6" t="str">
        <f>IF($C988="","",IFERROR(AVERAGEIFS(Chicks!$M:$M,Chicks!$F:$F,$C988,Chicks!$G:$G,$D988),""))</f>
        <v/>
      </c>
      <c r="K988" s="6" t="str">
        <f>IF($C988="","",SUMIFS(Chicks!$N:$N,Chicks!$F:$F,$C988,Chicks!$G:$G,$D988))</f>
        <v/>
      </c>
      <c r="L988" s="6" t="str">
        <f>IF($C988="","",SUMIFS(Chicks!$O:$O,Chicks!$F:$F,$C988,Chicks!$G:$G,$D988))</f>
        <v/>
      </c>
      <c r="M988" s="6" t="str">
        <f>IF($C988="","",SUMIFS(Chicks!$P:$P,Chicks!$F:$F,$C988,Chicks!$G:$G,$D988))</f>
        <v/>
      </c>
      <c r="N988" s="6" t="str">
        <f t="shared" si="15"/>
        <v/>
      </c>
      <c r="O988" s="6" t="e">
        <f t="shared" ca="1" si="16"/>
        <v>#NAME?</v>
      </c>
      <c r="P988" s="6" t="str">
        <f t="shared" si="17"/>
        <v/>
      </c>
    </row>
    <row r="989" spans="3:16" ht="14.25" customHeight="1" x14ac:dyDescent="0.3">
      <c r="C989" s="6" t="str">
        <f t="shared" si="18"/>
        <v/>
      </c>
      <c r="D989" s="6" t="str">
        <f t="shared" si="19"/>
        <v/>
      </c>
      <c r="F989" s="6" t="str">
        <f>IF($C989="","",COUNTIFS(Chicks!$F:$F,$C989,Chicks!$G:$G,$D989))</f>
        <v/>
      </c>
      <c r="G989" s="6" t="str">
        <f>IF($C989="","",COUNTIFS(Chicks!$F:$F,$C989,Chicks!$G:$G,$D989,Chicks!$I:$I,"Yes"))</f>
        <v/>
      </c>
      <c r="H989" s="6" t="str">
        <f>IF($C989="","",SUMIFS(Chicks!$J:$J,Chicks!$F:$F,$C989,Chicks!$G:$G,$D989))</f>
        <v/>
      </c>
      <c r="I989" s="6" t="str">
        <f>IF($C989="","",COUNTIFS(Chicks!$F:$F,$C989,Chicks!$G:$G,$D989,Chicks!$I:$I,"No"))</f>
        <v/>
      </c>
      <c r="J989" s="6" t="str">
        <f>IF($C989="","",IFERROR(AVERAGEIFS(Chicks!$M:$M,Chicks!$F:$F,$C989,Chicks!$G:$G,$D989),""))</f>
        <v/>
      </c>
      <c r="K989" s="6" t="str">
        <f>IF($C989="","",SUMIFS(Chicks!$N:$N,Chicks!$F:$F,$C989,Chicks!$G:$G,$D989))</f>
        <v/>
      </c>
      <c r="L989" s="6" t="str">
        <f>IF($C989="","",SUMIFS(Chicks!$O:$O,Chicks!$F:$F,$C989,Chicks!$G:$G,$D989))</f>
        <v/>
      </c>
      <c r="M989" s="6" t="str">
        <f>IF($C989="","",SUMIFS(Chicks!$P:$P,Chicks!$F:$F,$C989,Chicks!$G:$G,$D989))</f>
        <v/>
      </c>
      <c r="N989" s="6" t="str">
        <f t="shared" si="15"/>
        <v/>
      </c>
      <c r="O989" s="6" t="e">
        <f t="shared" ca="1" si="16"/>
        <v>#NAME?</v>
      </c>
      <c r="P989" s="6" t="str">
        <f t="shared" si="17"/>
        <v/>
      </c>
    </row>
    <row r="990" spans="3:16" ht="14.25" customHeight="1" x14ac:dyDescent="0.3">
      <c r="C990" s="6" t="str">
        <f t="shared" si="18"/>
        <v/>
      </c>
      <c r="D990" s="6" t="str">
        <f t="shared" si="19"/>
        <v/>
      </c>
      <c r="F990" s="6" t="str">
        <f>IF($C990="","",COUNTIFS(Chicks!$F:$F,$C990,Chicks!$G:$G,$D990))</f>
        <v/>
      </c>
      <c r="G990" s="6" t="str">
        <f>IF($C990="","",COUNTIFS(Chicks!$F:$F,$C990,Chicks!$G:$G,$D990,Chicks!$I:$I,"Yes"))</f>
        <v/>
      </c>
      <c r="H990" s="6" t="str">
        <f>IF($C990="","",SUMIFS(Chicks!$J:$J,Chicks!$F:$F,$C990,Chicks!$G:$G,$D990))</f>
        <v/>
      </c>
      <c r="I990" s="6" t="str">
        <f>IF($C990="","",COUNTIFS(Chicks!$F:$F,$C990,Chicks!$G:$G,$D990,Chicks!$I:$I,"No"))</f>
        <v/>
      </c>
      <c r="J990" s="6" t="str">
        <f>IF($C990="","",IFERROR(AVERAGEIFS(Chicks!$M:$M,Chicks!$F:$F,$C990,Chicks!$G:$G,$D990),""))</f>
        <v/>
      </c>
      <c r="K990" s="6" t="str">
        <f>IF($C990="","",SUMIFS(Chicks!$N:$N,Chicks!$F:$F,$C990,Chicks!$G:$G,$D990))</f>
        <v/>
      </c>
      <c r="L990" s="6" t="str">
        <f>IF($C990="","",SUMIFS(Chicks!$O:$O,Chicks!$F:$F,$C990,Chicks!$G:$G,$D990))</f>
        <v/>
      </c>
      <c r="M990" s="6" t="str">
        <f>IF($C990="","",SUMIFS(Chicks!$P:$P,Chicks!$F:$F,$C990,Chicks!$G:$G,$D990))</f>
        <v/>
      </c>
      <c r="N990" s="6" t="str">
        <f t="shared" si="15"/>
        <v/>
      </c>
      <c r="O990" s="6" t="e">
        <f t="shared" ca="1" si="16"/>
        <v>#NAME?</v>
      </c>
      <c r="P990" s="6" t="str">
        <f t="shared" si="17"/>
        <v/>
      </c>
    </row>
    <row r="991" spans="3:16" ht="14.25" customHeight="1" x14ac:dyDescent="0.3">
      <c r="C991" s="6" t="str">
        <f t="shared" si="18"/>
        <v/>
      </c>
      <c r="D991" s="6" t="str">
        <f t="shared" si="19"/>
        <v/>
      </c>
      <c r="F991" s="6" t="str">
        <f>IF($C991="","",COUNTIFS(Chicks!$F:$F,$C991,Chicks!$G:$G,$D991))</f>
        <v/>
      </c>
      <c r="G991" s="6" t="str">
        <f>IF($C991="","",COUNTIFS(Chicks!$F:$F,$C991,Chicks!$G:$G,$D991,Chicks!$I:$I,"Yes"))</f>
        <v/>
      </c>
      <c r="H991" s="6" t="str">
        <f>IF($C991="","",SUMIFS(Chicks!$J:$J,Chicks!$F:$F,$C991,Chicks!$G:$G,$D991))</f>
        <v/>
      </c>
      <c r="I991" s="6" t="str">
        <f>IF($C991="","",COUNTIFS(Chicks!$F:$F,$C991,Chicks!$G:$G,$D991,Chicks!$I:$I,"No"))</f>
        <v/>
      </c>
      <c r="J991" s="6" t="str">
        <f>IF($C991="","",IFERROR(AVERAGEIFS(Chicks!$M:$M,Chicks!$F:$F,$C991,Chicks!$G:$G,$D991),""))</f>
        <v/>
      </c>
      <c r="K991" s="6" t="str">
        <f>IF($C991="","",SUMIFS(Chicks!$N:$N,Chicks!$F:$F,$C991,Chicks!$G:$G,$D991))</f>
        <v/>
      </c>
      <c r="L991" s="6" t="str">
        <f>IF($C991="","",SUMIFS(Chicks!$O:$O,Chicks!$F:$F,$C991,Chicks!$G:$G,$D991))</f>
        <v/>
      </c>
      <c r="M991" s="6" t="str">
        <f>IF($C991="","",SUMIFS(Chicks!$P:$P,Chicks!$F:$F,$C991,Chicks!$G:$G,$D991))</f>
        <v/>
      </c>
      <c r="N991" s="6" t="str">
        <f t="shared" si="15"/>
        <v/>
      </c>
      <c r="O991" s="6" t="e">
        <f t="shared" ca="1" si="16"/>
        <v>#NAME?</v>
      </c>
      <c r="P991" s="6" t="str">
        <f t="shared" si="17"/>
        <v/>
      </c>
    </row>
    <row r="992" spans="3:16" ht="14.25" customHeight="1" x14ac:dyDescent="0.3">
      <c r="C992" s="6" t="str">
        <f t="shared" si="18"/>
        <v/>
      </c>
      <c r="D992" s="6" t="str">
        <f t="shared" si="19"/>
        <v/>
      </c>
      <c r="F992" s="6" t="str">
        <f>IF($C992="","",COUNTIFS(Chicks!$F:$F,$C992,Chicks!$G:$G,$D992))</f>
        <v/>
      </c>
      <c r="G992" s="6" t="str">
        <f>IF($C992="","",COUNTIFS(Chicks!$F:$F,$C992,Chicks!$G:$G,$D992,Chicks!$I:$I,"Yes"))</f>
        <v/>
      </c>
      <c r="H992" s="6" t="str">
        <f>IF($C992="","",SUMIFS(Chicks!$J:$J,Chicks!$F:$F,$C992,Chicks!$G:$G,$D992))</f>
        <v/>
      </c>
      <c r="I992" s="6" t="str">
        <f>IF($C992="","",COUNTIFS(Chicks!$F:$F,$C992,Chicks!$G:$G,$D992,Chicks!$I:$I,"No"))</f>
        <v/>
      </c>
      <c r="J992" s="6" t="str">
        <f>IF($C992="","",IFERROR(AVERAGEIFS(Chicks!$M:$M,Chicks!$F:$F,$C992,Chicks!$G:$G,$D992),""))</f>
        <v/>
      </c>
      <c r="K992" s="6" t="str">
        <f>IF($C992="","",SUMIFS(Chicks!$N:$N,Chicks!$F:$F,$C992,Chicks!$G:$G,$D992))</f>
        <v/>
      </c>
      <c r="L992" s="6" t="str">
        <f>IF($C992="","",SUMIFS(Chicks!$O:$O,Chicks!$F:$F,$C992,Chicks!$G:$G,$D992))</f>
        <v/>
      </c>
      <c r="M992" s="6" t="str">
        <f>IF($C992="","",SUMIFS(Chicks!$P:$P,Chicks!$F:$F,$C992,Chicks!$G:$G,$D992))</f>
        <v/>
      </c>
      <c r="N992" s="6" t="str">
        <f t="shared" si="15"/>
        <v/>
      </c>
      <c r="O992" s="6" t="e">
        <f t="shared" ca="1" si="16"/>
        <v>#NAME?</v>
      </c>
      <c r="P992" s="6" t="str">
        <f t="shared" si="17"/>
        <v/>
      </c>
    </row>
    <row r="993" spans="3:16" ht="14.25" customHeight="1" x14ac:dyDescent="0.3">
      <c r="C993" s="6" t="str">
        <f t="shared" si="18"/>
        <v/>
      </c>
      <c r="D993" s="6" t="str">
        <f t="shared" si="19"/>
        <v/>
      </c>
      <c r="F993" s="6" t="str">
        <f>IF($C993="","",COUNTIFS(Chicks!$F:$F,$C993,Chicks!$G:$G,$D993))</f>
        <v/>
      </c>
      <c r="G993" s="6" t="str">
        <f>IF($C993="","",COUNTIFS(Chicks!$F:$F,$C993,Chicks!$G:$G,$D993,Chicks!$I:$I,"Yes"))</f>
        <v/>
      </c>
      <c r="H993" s="6" t="str">
        <f>IF($C993="","",SUMIFS(Chicks!$J:$J,Chicks!$F:$F,$C993,Chicks!$G:$G,$D993))</f>
        <v/>
      </c>
      <c r="I993" s="6" t="str">
        <f>IF($C993="","",COUNTIFS(Chicks!$F:$F,$C993,Chicks!$G:$G,$D993,Chicks!$I:$I,"No"))</f>
        <v/>
      </c>
      <c r="J993" s="6" t="str">
        <f>IF($C993="","",IFERROR(AVERAGEIFS(Chicks!$M:$M,Chicks!$F:$F,$C993,Chicks!$G:$G,$D993),""))</f>
        <v/>
      </c>
      <c r="K993" s="6" t="str">
        <f>IF($C993="","",SUMIFS(Chicks!$N:$N,Chicks!$F:$F,$C993,Chicks!$G:$G,$D993))</f>
        <v/>
      </c>
      <c r="L993" s="6" t="str">
        <f>IF($C993="","",SUMIFS(Chicks!$O:$O,Chicks!$F:$F,$C993,Chicks!$G:$G,$D993))</f>
        <v/>
      </c>
      <c r="M993" s="6" t="str">
        <f>IF($C993="","",SUMIFS(Chicks!$P:$P,Chicks!$F:$F,$C993,Chicks!$G:$G,$D993))</f>
        <v/>
      </c>
      <c r="N993" s="6" t="str">
        <f t="shared" si="15"/>
        <v/>
      </c>
      <c r="O993" s="6" t="e">
        <f t="shared" ca="1" si="16"/>
        <v>#NAME?</v>
      </c>
      <c r="P993" s="6" t="str">
        <f t="shared" si="17"/>
        <v/>
      </c>
    </row>
    <row r="994" spans="3:16" ht="14.25" customHeight="1" x14ac:dyDescent="0.3">
      <c r="C994" s="6" t="str">
        <f t="shared" si="18"/>
        <v/>
      </c>
      <c r="D994" s="6" t="str">
        <f t="shared" si="19"/>
        <v/>
      </c>
      <c r="F994" s="6" t="str">
        <f>IF($C994="","",COUNTIFS(Chicks!$F:$F,$C994,Chicks!$G:$G,$D994))</f>
        <v/>
      </c>
      <c r="G994" s="6" t="str">
        <f>IF($C994="","",COUNTIFS(Chicks!$F:$F,$C994,Chicks!$G:$G,$D994,Chicks!$I:$I,"Yes"))</f>
        <v/>
      </c>
      <c r="H994" s="6" t="str">
        <f>IF($C994="","",SUMIFS(Chicks!$J:$J,Chicks!$F:$F,$C994,Chicks!$G:$G,$D994))</f>
        <v/>
      </c>
      <c r="I994" s="6" t="str">
        <f>IF($C994="","",COUNTIFS(Chicks!$F:$F,$C994,Chicks!$G:$G,$D994,Chicks!$I:$I,"No"))</f>
        <v/>
      </c>
      <c r="J994" s="6" t="str">
        <f>IF($C994="","",IFERROR(AVERAGEIFS(Chicks!$M:$M,Chicks!$F:$F,$C994,Chicks!$G:$G,$D994),""))</f>
        <v/>
      </c>
      <c r="K994" s="6" t="str">
        <f>IF($C994="","",SUMIFS(Chicks!$N:$N,Chicks!$F:$F,$C994,Chicks!$G:$G,$D994))</f>
        <v/>
      </c>
      <c r="L994" s="6" t="str">
        <f>IF($C994="","",SUMIFS(Chicks!$O:$O,Chicks!$F:$F,$C994,Chicks!$G:$G,$D994))</f>
        <v/>
      </c>
      <c r="M994" s="6" t="str">
        <f>IF($C994="","",SUMIFS(Chicks!$P:$P,Chicks!$F:$F,$C994,Chicks!$G:$G,$D994))</f>
        <v/>
      </c>
      <c r="N994" s="6" t="str">
        <f t="shared" si="15"/>
        <v/>
      </c>
      <c r="O994" s="6" t="e">
        <f t="shared" ca="1" si="16"/>
        <v>#NAME?</v>
      </c>
      <c r="P994" s="6" t="str">
        <f t="shared" si="17"/>
        <v/>
      </c>
    </row>
    <row r="995" spans="3:16" ht="14.25" customHeight="1" x14ac:dyDescent="0.3">
      <c r="C995" s="6" t="str">
        <f t="shared" si="18"/>
        <v/>
      </c>
      <c r="D995" s="6" t="str">
        <f t="shared" si="19"/>
        <v/>
      </c>
      <c r="F995" s="6" t="str">
        <f>IF($C995="","",COUNTIFS(Chicks!$F:$F,$C995,Chicks!$G:$G,$D995))</f>
        <v/>
      </c>
      <c r="G995" s="6" t="str">
        <f>IF($C995="","",COUNTIFS(Chicks!$F:$F,$C995,Chicks!$G:$G,$D995,Chicks!$I:$I,"Yes"))</f>
        <v/>
      </c>
      <c r="H995" s="6" t="str">
        <f>IF($C995="","",SUMIFS(Chicks!$J:$J,Chicks!$F:$F,$C995,Chicks!$G:$G,$D995))</f>
        <v/>
      </c>
      <c r="I995" s="6" t="str">
        <f>IF($C995="","",COUNTIFS(Chicks!$F:$F,$C995,Chicks!$G:$G,$D995,Chicks!$I:$I,"No"))</f>
        <v/>
      </c>
      <c r="J995" s="6" t="str">
        <f>IF($C995="","",IFERROR(AVERAGEIFS(Chicks!$M:$M,Chicks!$F:$F,$C995,Chicks!$G:$G,$D995),""))</f>
        <v/>
      </c>
      <c r="K995" s="6" t="str">
        <f>IF($C995="","",SUMIFS(Chicks!$N:$N,Chicks!$F:$F,$C995,Chicks!$G:$G,$D995))</f>
        <v/>
      </c>
      <c r="L995" s="6" t="str">
        <f>IF($C995="","",SUMIFS(Chicks!$O:$O,Chicks!$F:$F,$C995,Chicks!$G:$G,$D995))</f>
        <v/>
      </c>
      <c r="M995" s="6" t="str">
        <f>IF($C995="","",SUMIFS(Chicks!$P:$P,Chicks!$F:$F,$C995,Chicks!$G:$G,$D995))</f>
        <v/>
      </c>
      <c r="N995" s="6" t="str">
        <f t="shared" si="15"/>
        <v/>
      </c>
      <c r="O995" s="6" t="e">
        <f t="shared" ca="1" si="16"/>
        <v>#NAME?</v>
      </c>
      <c r="P995" s="6" t="str">
        <f t="shared" si="17"/>
        <v/>
      </c>
    </row>
    <row r="996" spans="3:16" ht="14.25" customHeight="1" x14ac:dyDescent="0.3">
      <c r="C996" s="6" t="str">
        <f t="shared" si="18"/>
        <v/>
      </c>
      <c r="D996" s="6" t="str">
        <f t="shared" si="19"/>
        <v/>
      </c>
      <c r="F996" s="6" t="str">
        <f>IF($C996="","",COUNTIFS(Chicks!$F:$F,$C996,Chicks!$G:$G,$D996))</f>
        <v/>
      </c>
      <c r="G996" s="6" t="str">
        <f>IF($C996="","",COUNTIFS(Chicks!$F:$F,$C996,Chicks!$G:$G,$D996,Chicks!$I:$I,"Yes"))</f>
        <v/>
      </c>
      <c r="H996" s="6" t="str">
        <f>IF($C996="","",SUMIFS(Chicks!$J:$J,Chicks!$F:$F,$C996,Chicks!$G:$G,$D996))</f>
        <v/>
      </c>
      <c r="I996" s="6" t="str">
        <f>IF($C996="","",COUNTIFS(Chicks!$F:$F,$C996,Chicks!$G:$G,$D996,Chicks!$I:$I,"No"))</f>
        <v/>
      </c>
      <c r="J996" s="6" t="str">
        <f>IF($C996="","",IFERROR(AVERAGEIFS(Chicks!$M:$M,Chicks!$F:$F,$C996,Chicks!$G:$G,$D996),""))</f>
        <v/>
      </c>
      <c r="K996" s="6" t="str">
        <f>IF($C996="","",SUMIFS(Chicks!$N:$N,Chicks!$F:$F,$C996,Chicks!$G:$G,$D996))</f>
        <v/>
      </c>
      <c r="L996" s="6" t="str">
        <f>IF($C996="","",SUMIFS(Chicks!$O:$O,Chicks!$F:$F,$C996,Chicks!$G:$G,$D996))</f>
        <v/>
      </c>
      <c r="M996" s="6" t="str">
        <f>IF($C996="","",SUMIFS(Chicks!$P:$P,Chicks!$F:$F,$C996,Chicks!$G:$G,$D996))</f>
        <v/>
      </c>
      <c r="N996" s="6" t="str">
        <f t="shared" si="15"/>
        <v/>
      </c>
      <c r="O996" s="6" t="e">
        <f t="shared" ca="1" si="16"/>
        <v>#NAME?</v>
      </c>
      <c r="P996" s="6" t="str">
        <f t="shared" si="17"/>
        <v/>
      </c>
    </row>
    <row r="997" spans="3:16" ht="14.25" customHeight="1" x14ac:dyDescent="0.3">
      <c r="C997" s="6" t="str">
        <f t="shared" si="18"/>
        <v/>
      </c>
      <c r="D997" s="6" t="str">
        <f t="shared" si="19"/>
        <v/>
      </c>
      <c r="F997" s="6" t="str">
        <f>IF($C997="","",COUNTIFS(Chicks!$F:$F,$C997,Chicks!$G:$G,$D997))</f>
        <v/>
      </c>
      <c r="G997" s="6" t="str">
        <f>IF($C997="","",COUNTIFS(Chicks!$F:$F,$C997,Chicks!$G:$G,$D997,Chicks!$I:$I,"Yes"))</f>
        <v/>
      </c>
      <c r="H997" s="6" t="str">
        <f>IF($C997="","",SUMIFS(Chicks!$J:$J,Chicks!$F:$F,$C997,Chicks!$G:$G,$D997))</f>
        <v/>
      </c>
      <c r="I997" s="6" t="str">
        <f>IF($C997="","",COUNTIFS(Chicks!$F:$F,$C997,Chicks!$G:$G,$D997,Chicks!$I:$I,"No"))</f>
        <v/>
      </c>
      <c r="J997" s="6" t="str">
        <f>IF($C997="","",IFERROR(AVERAGEIFS(Chicks!$M:$M,Chicks!$F:$F,$C997,Chicks!$G:$G,$D997),""))</f>
        <v/>
      </c>
      <c r="K997" s="6" t="str">
        <f>IF($C997="","",SUMIFS(Chicks!$N:$N,Chicks!$F:$F,$C997,Chicks!$G:$G,$D997))</f>
        <v/>
      </c>
      <c r="L997" s="6" t="str">
        <f>IF($C997="","",SUMIFS(Chicks!$O:$O,Chicks!$F:$F,$C997,Chicks!$G:$G,$D997))</f>
        <v/>
      </c>
      <c r="M997" s="6" t="str">
        <f>IF($C997="","",SUMIFS(Chicks!$P:$P,Chicks!$F:$F,$C997,Chicks!$G:$G,$D997))</f>
        <v/>
      </c>
      <c r="N997" s="6" t="str">
        <f t="shared" si="15"/>
        <v/>
      </c>
      <c r="O997" s="6" t="e">
        <f t="shared" ca="1" si="16"/>
        <v>#NAME?</v>
      </c>
      <c r="P997" s="6" t="str">
        <f t="shared" si="17"/>
        <v/>
      </c>
    </row>
    <row r="998" spans="3:16" ht="14.25" customHeight="1" x14ac:dyDescent="0.3">
      <c r="C998" s="6" t="str">
        <f t="shared" si="18"/>
        <v/>
      </c>
      <c r="D998" s="6" t="str">
        <f t="shared" si="19"/>
        <v/>
      </c>
      <c r="F998" s="6" t="str">
        <f>IF($C998="","",COUNTIFS(Chicks!$F:$F,$C998,Chicks!$G:$G,$D998))</f>
        <v/>
      </c>
      <c r="G998" s="6" t="str">
        <f>IF($C998="","",COUNTIFS(Chicks!$F:$F,$C998,Chicks!$G:$G,$D998,Chicks!$I:$I,"Yes"))</f>
        <v/>
      </c>
      <c r="H998" s="6" t="str">
        <f>IF($C998="","",SUMIFS(Chicks!$J:$J,Chicks!$F:$F,$C998,Chicks!$G:$G,$D998))</f>
        <v/>
      </c>
      <c r="I998" s="6" t="str">
        <f>IF($C998="","",COUNTIFS(Chicks!$F:$F,$C998,Chicks!$G:$G,$D998,Chicks!$I:$I,"No"))</f>
        <v/>
      </c>
      <c r="J998" s="6" t="str">
        <f>IF($C998="","",IFERROR(AVERAGEIFS(Chicks!$M:$M,Chicks!$F:$F,$C998,Chicks!$G:$G,$D998),""))</f>
        <v/>
      </c>
      <c r="K998" s="6" t="str">
        <f>IF($C998="","",SUMIFS(Chicks!$N:$N,Chicks!$F:$F,$C998,Chicks!$G:$G,$D998))</f>
        <v/>
      </c>
      <c r="L998" s="6" t="str">
        <f>IF($C998="","",SUMIFS(Chicks!$O:$O,Chicks!$F:$F,$C998,Chicks!$G:$G,$D998))</f>
        <v/>
      </c>
      <c r="M998" s="6" t="str">
        <f>IF($C998="","",SUMIFS(Chicks!$P:$P,Chicks!$F:$F,$C998,Chicks!$G:$G,$D998))</f>
        <v/>
      </c>
      <c r="N998" s="6" t="str">
        <f t="shared" si="15"/>
        <v/>
      </c>
      <c r="O998" s="6" t="e">
        <f t="shared" ca="1" si="16"/>
        <v>#NAME?</v>
      </c>
      <c r="P998" s="6" t="str">
        <f t="shared" si="17"/>
        <v/>
      </c>
    </row>
    <row r="999" spans="3:16" ht="14.25" customHeight="1" x14ac:dyDescent="0.3">
      <c r="C999" s="6" t="str">
        <f t="shared" si="18"/>
        <v/>
      </c>
      <c r="D999" s="6" t="str">
        <f t="shared" si="19"/>
        <v/>
      </c>
      <c r="F999" s="6" t="str">
        <f>IF($C999="","",COUNTIFS(Chicks!$F:$F,$C999,Chicks!$G:$G,$D999))</f>
        <v/>
      </c>
      <c r="G999" s="6" t="str">
        <f>IF($C999="","",COUNTIFS(Chicks!$F:$F,$C999,Chicks!$G:$G,$D999,Chicks!$I:$I,"Yes"))</f>
        <v/>
      </c>
      <c r="H999" s="6" t="str">
        <f>IF($C999="","",SUMIFS(Chicks!$J:$J,Chicks!$F:$F,$C999,Chicks!$G:$G,$D999))</f>
        <v/>
      </c>
      <c r="I999" s="6" t="str">
        <f>IF($C999="","",COUNTIFS(Chicks!$F:$F,$C999,Chicks!$G:$G,$D999,Chicks!$I:$I,"No"))</f>
        <v/>
      </c>
      <c r="J999" s="6" t="str">
        <f>IF($C999="","",IFERROR(AVERAGEIFS(Chicks!$M:$M,Chicks!$F:$F,$C999,Chicks!$G:$G,$D999),""))</f>
        <v/>
      </c>
      <c r="K999" s="6" t="str">
        <f>IF($C999="","",SUMIFS(Chicks!$N:$N,Chicks!$F:$F,$C999,Chicks!$G:$G,$D999))</f>
        <v/>
      </c>
      <c r="L999" s="6" t="str">
        <f>IF($C999="","",SUMIFS(Chicks!$O:$O,Chicks!$F:$F,$C999,Chicks!$G:$G,$D999))</f>
        <v/>
      </c>
      <c r="M999" s="6" t="str">
        <f>IF($C999="","",SUMIFS(Chicks!$P:$P,Chicks!$F:$F,$C999,Chicks!$G:$G,$D999))</f>
        <v/>
      </c>
      <c r="N999" s="6" t="str">
        <f t="shared" si="15"/>
        <v/>
      </c>
      <c r="O999" s="6" t="e">
        <f t="shared" ca="1" si="16"/>
        <v>#NAME?</v>
      </c>
      <c r="P999" s="6" t="str">
        <f t="shared" si="17"/>
        <v/>
      </c>
    </row>
    <row r="1000" spans="3:16" ht="14.25" customHeight="1" x14ac:dyDescent="0.3">
      <c r="C1000" s="6" t="str">
        <f t="shared" si="18"/>
        <v/>
      </c>
      <c r="D1000" s="6" t="str">
        <f t="shared" si="19"/>
        <v/>
      </c>
      <c r="F1000" s="6" t="str">
        <f>IF($C1000="","",COUNTIFS(Chicks!$F:$F,$C1000,Chicks!$G:$G,$D1000))</f>
        <v/>
      </c>
      <c r="G1000" s="6" t="str">
        <f>IF($C1000="","",COUNTIFS(Chicks!$F:$F,$C1000,Chicks!$G:$G,$D1000,Chicks!$I:$I,"Yes"))</f>
        <v/>
      </c>
      <c r="H1000" s="6" t="str">
        <f>IF($C1000="","",SUMIFS(Chicks!$J:$J,Chicks!$F:$F,$C1000,Chicks!$G:$G,$D1000))</f>
        <v/>
      </c>
      <c r="I1000" s="6" t="str">
        <f>IF($C1000="","",COUNTIFS(Chicks!$F:$F,$C1000,Chicks!$G:$G,$D1000,Chicks!$I:$I,"No"))</f>
        <v/>
      </c>
      <c r="J1000" s="6" t="str">
        <f>IF($C1000="","",IFERROR(AVERAGEIFS(Chicks!$M:$M,Chicks!$F:$F,$C1000,Chicks!$G:$G,$D1000),""))</f>
        <v/>
      </c>
      <c r="K1000" s="6" t="str">
        <f>IF($C1000="","",SUMIFS(Chicks!$N:$N,Chicks!$F:$F,$C1000,Chicks!$G:$G,$D1000))</f>
        <v/>
      </c>
      <c r="L1000" s="6" t="str">
        <f>IF($C1000="","",SUMIFS(Chicks!$O:$O,Chicks!$F:$F,$C1000,Chicks!$G:$G,$D1000))</f>
        <v/>
      </c>
      <c r="M1000" s="6" t="str">
        <f>IF($C1000="","",SUMIFS(Chicks!$P:$P,Chicks!$F:$F,$C1000,Chicks!$G:$G,$D1000))</f>
        <v/>
      </c>
      <c r="N1000" s="6" t="str">
        <f t="shared" si="15"/>
        <v/>
      </c>
      <c r="O1000" s="6" t="e">
        <f t="shared" ca="1" si="16"/>
        <v>#NAME?</v>
      </c>
      <c r="P1000" s="6" t="str">
        <f t="shared" si="17"/>
        <v/>
      </c>
    </row>
  </sheetData>
  <autoFilter ref="A1:P1" xr:uid="{00000000-0009-0000-0000-000004000000}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/>
  </sheetViews>
  <sheetFormatPr defaultColWidth="14.44140625" defaultRowHeight="15" customHeight="1" x14ac:dyDescent="0.3"/>
  <cols>
    <col min="1" max="1" width="13.5546875" customWidth="1"/>
    <col min="2" max="2" width="10.33203125" customWidth="1"/>
    <col min="3" max="3" width="15.33203125" customWidth="1"/>
    <col min="4" max="4" width="16.33203125" customWidth="1"/>
    <col min="5" max="5" width="10.5546875" customWidth="1"/>
    <col min="6" max="6" width="16.6640625" customWidth="1"/>
    <col min="7" max="7" width="15.88671875" customWidth="1"/>
    <col min="8" max="8" width="8.109375" customWidth="1"/>
    <col min="9" max="9" width="9.109375" customWidth="1"/>
    <col min="10" max="26" width="8.6640625" customWidth="1"/>
  </cols>
  <sheetData>
    <row r="1" spans="1:9" ht="14.25" customHeight="1" x14ac:dyDescent="0.3">
      <c r="A1" s="11" t="s">
        <v>35</v>
      </c>
      <c r="B1" s="11" t="s">
        <v>131</v>
      </c>
      <c r="C1" s="11" t="s">
        <v>97</v>
      </c>
      <c r="D1" s="11" t="s">
        <v>43</v>
      </c>
      <c r="E1" s="12" t="s">
        <v>44</v>
      </c>
      <c r="F1" s="12" t="s">
        <v>45</v>
      </c>
      <c r="G1" s="12" t="s">
        <v>46</v>
      </c>
      <c r="H1" s="12" t="s">
        <v>47</v>
      </c>
      <c r="I1" s="12" t="s">
        <v>48</v>
      </c>
    </row>
    <row r="2" spans="1:9" ht="14.25" customHeight="1" x14ac:dyDescent="0.3">
      <c r="A2" s="4">
        <v>1</v>
      </c>
      <c r="B2" s="4">
        <f>IF(A2="","",COUNTIF(Chicks!$C:$C,A2))</f>
        <v>15</v>
      </c>
      <c r="C2" s="4">
        <f>IFERROR(AVERAGEIF(Chicks!$C:$C, $A2, Chicks!$H:$H), "")</f>
        <v>80.714285714285708</v>
      </c>
      <c r="D2" s="6">
        <f>IF(A2="","",IFERROR(AVERAGEIF(Chicks!$C:$C,A2,Chicks!$K:$K),""))</f>
        <v>96.166666666666671</v>
      </c>
      <c r="E2" s="6">
        <f>IF(A2="","",IFERROR(AVERAGEIF(Chicks!$C:$C,A2,Chicks!$L:$L),""))</f>
        <v>9.8333333333333339</v>
      </c>
      <c r="F2" s="7">
        <f>IF(A2="","",IFERROR(AVERAGEIF(Chicks!$C:$C,A2,Chicks!$M:$M),""))</f>
        <v>0.3930078820239003</v>
      </c>
      <c r="G2" s="6">
        <f>IF(A2="","",SUMIFS(Chicks!$N:$N,Chicks!$C:$C,A2))</f>
        <v>0</v>
      </c>
      <c r="H2" s="6">
        <f>IF(A2="","",SUMIFS(Chicks!$O:$O,Chicks!$C:$C,A2))</f>
        <v>0</v>
      </c>
      <c r="I2" s="6">
        <f>IF(A2="","",SUMIFS(Chicks!$P:$P,Chicks!$C:$C,A2))</f>
        <v>0</v>
      </c>
    </row>
    <row r="3" spans="1:9" ht="14.25" customHeight="1" x14ac:dyDescent="0.3">
      <c r="A3" s="4">
        <v>2</v>
      </c>
      <c r="B3" s="4">
        <f>IF(A3="","",COUNTIF(Chicks!$C:$C,A3))</f>
        <v>13</v>
      </c>
      <c r="C3" s="4">
        <f>IFERROR(AVERAGEIF(Chicks!$C:$C, $A3, Chicks!$H:$H), "")</f>
        <v>84.166666666666671</v>
      </c>
      <c r="D3" s="6">
        <f>IF(A3="","",IFERROR(AVERAGEIF(Chicks!$C:$C,A3,Chicks!$K:$K),""))</f>
        <v>66.875</v>
      </c>
      <c r="E3" s="6">
        <f>IF(A3="","",IFERROR(AVERAGEIF(Chicks!$C:$C,A3,Chicks!$L:$L),""))</f>
        <v>6.875</v>
      </c>
      <c r="F3" s="7">
        <f>IF(A3="","",IFERROR(AVERAGEIF(Chicks!$C:$C,A3,Chicks!$M:$M),""))</f>
        <v>0.58036433645254437</v>
      </c>
      <c r="G3" s="6">
        <f>IF(A3="","",SUMIFS(Chicks!$N:$N,Chicks!$C:$C,A3))</f>
        <v>1</v>
      </c>
      <c r="H3" s="6">
        <f>IF(A3="","",SUMIFS(Chicks!$O:$O,Chicks!$C:$C,A3))</f>
        <v>0</v>
      </c>
      <c r="I3" s="6">
        <f>IF(A3="","",SUMIFS(Chicks!$P:$P,Chicks!$C:$C,A3))</f>
        <v>2</v>
      </c>
    </row>
    <row r="4" spans="1:9" ht="14.25" customHeight="1" x14ac:dyDescent="0.3">
      <c r="A4" s="4">
        <v>3</v>
      </c>
      <c r="B4" s="4">
        <f>IF(A4="","",COUNTIF(Chicks!$C:$C,A4))</f>
        <v>7</v>
      </c>
      <c r="C4" s="4">
        <f>IFERROR(AVERAGEIF(Chicks!$C:$C, $A4, Chicks!$H:$H), "")</f>
        <v>81.428571428571431</v>
      </c>
      <c r="D4" s="6">
        <f>IF(A4="","",IFERROR(AVERAGEIF(Chicks!$C:$C,A4,Chicks!$K:$K),""))</f>
        <v>84.75</v>
      </c>
      <c r="E4" s="6">
        <f>IF(A4="","",IFERROR(AVERAGEIF(Chicks!$C:$C,A4,Chicks!$L:$L),""))</f>
        <v>9.25</v>
      </c>
      <c r="F4" s="7">
        <f>IF(A4="","",IFERROR(AVERAGEIF(Chicks!$C:$C,A4,Chicks!$M:$M),""))</f>
        <v>0.43208020050125312</v>
      </c>
      <c r="G4" s="6">
        <f>IF(A4="","",SUMIFS(Chicks!$N:$N,Chicks!$C:$C,A4))</f>
        <v>0</v>
      </c>
      <c r="H4" s="6">
        <f>IF(A4="","",SUMIFS(Chicks!$O:$O,Chicks!$C:$C,A4))</f>
        <v>0</v>
      </c>
      <c r="I4" s="6">
        <f>IF(A4="","",SUMIFS(Chicks!$P:$P,Chicks!$C:$C,A4))</f>
        <v>0</v>
      </c>
    </row>
    <row r="5" spans="1:9" ht="14.25" customHeight="1" x14ac:dyDescent="0.3">
      <c r="A5" s="4">
        <v>4</v>
      </c>
      <c r="B5" s="4">
        <f>IF(A5="","",COUNTIF(Chicks!$C:$C,A5))</f>
        <v>3</v>
      </c>
      <c r="C5" s="4">
        <f>IFERROR(AVERAGEIF(Chicks!$C:$C, $A5, Chicks!$H:$H), "")</f>
        <v>73.333333333333329</v>
      </c>
      <c r="D5" s="6">
        <f>IF(A5="","",IFERROR(AVERAGEIF(Chicks!$C:$C,A5,Chicks!$K:$K),""))</f>
        <v>53</v>
      </c>
      <c r="E5" s="6">
        <f>IF(A5="","",IFERROR(AVERAGEIF(Chicks!$C:$C,A5,Chicks!$L:$L),""))</f>
        <v>6</v>
      </c>
      <c r="F5" s="7">
        <f>IF(A5="","",IFERROR(AVERAGEIF(Chicks!$C:$C,A5,Chicks!$M:$M),""))</f>
        <v>0.6378446115288221</v>
      </c>
      <c r="G5" s="6">
        <f>IF(A5="","",SUMIFS(Chicks!$N:$N,Chicks!$C:$C,A5))</f>
        <v>0</v>
      </c>
      <c r="H5" s="6">
        <f>IF(A5="","",SUMIFS(Chicks!$O:$O,Chicks!$C:$C,A5))</f>
        <v>0</v>
      </c>
      <c r="I5" s="6">
        <f>IF(A5="","",SUMIFS(Chicks!$P:$P,Chicks!$C:$C,A5))</f>
        <v>0</v>
      </c>
    </row>
    <row r="6" spans="1:9" ht="14.25" customHeight="1" x14ac:dyDescent="0.3">
      <c r="A6" s="4">
        <v>5</v>
      </c>
      <c r="B6" s="4">
        <f>IF(A6="","",COUNTIF(Chicks!$C:$C,A6))</f>
        <v>0</v>
      </c>
      <c r="C6" s="4" t="str">
        <f>IFERROR(AVERAGEIF(Chicks!$C:$C, $A6, Chicks!$H:$H), "")</f>
        <v/>
      </c>
      <c r="D6" s="6" t="str">
        <f>IF(A6="","",IFERROR(AVERAGEIF(Chicks!$C:$C,A6,Chicks!$K:$K),""))</f>
        <v/>
      </c>
      <c r="E6" s="6" t="str">
        <f>IF(A6="","",IFERROR(AVERAGEIF(Chicks!$C:$C,A6,Chicks!$L:$L),""))</f>
        <v/>
      </c>
      <c r="F6" s="7" t="str">
        <f>IF(A6="","",IFERROR(AVERAGEIF(Chicks!$C:$C,A6,Chicks!$M:$M),""))</f>
        <v/>
      </c>
      <c r="G6" s="6">
        <f>IF(A6="","",SUMIFS(Chicks!$N:$N,Chicks!$C:$C,A6))</f>
        <v>0</v>
      </c>
      <c r="H6" s="6">
        <f>IF(A6="","",SUMIFS(Chicks!$O:$O,Chicks!$C:$C,A6))</f>
        <v>0</v>
      </c>
      <c r="I6" s="6">
        <f>IF(A6="","",SUMIFS(Chicks!$P:$P,Chicks!$C:$C,A6))</f>
        <v>0</v>
      </c>
    </row>
    <row r="7" spans="1:9" ht="14.25" customHeight="1" x14ac:dyDescent="0.3">
      <c r="A7" s="4">
        <v>6</v>
      </c>
      <c r="B7" s="4">
        <f>IF(A7="","",COUNTIF(Chicks!$C:$C,A7))</f>
        <v>0</v>
      </c>
      <c r="C7" s="4" t="str">
        <f>IFERROR(AVERAGEIF(Chicks!$C:$C, $A7, Chicks!$H:$H), "")</f>
        <v/>
      </c>
      <c r="D7" s="6" t="str">
        <f>IF(A7="","",IFERROR(AVERAGEIF(Chicks!$C:$C,A7,Chicks!$K:$K),""))</f>
        <v/>
      </c>
      <c r="E7" s="6" t="str">
        <f>IF(A7="","",IFERROR(AVERAGEIF(Chicks!$C:$C,A7,Chicks!$L:$L),""))</f>
        <v/>
      </c>
      <c r="F7" s="7" t="str">
        <f>IF(A7="","",IFERROR(AVERAGEIF(Chicks!$C:$C,A7,Chicks!$M:$M),""))</f>
        <v/>
      </c>
      <c r="G7" s="6">
        <f>IF(A7="","",SUMIFS(Chicks!$N:$N,Chicks!$C:$C,A7))</f>
        <v>0</v>
      </c>
      <c r="H7" s="6">
        <f>IF(A7="","",SUMIFS(Chicks!$O:$O,Chicks!$C:$C,A7))</f>
        <v>0</v>
      </c>
      <c r="I7" s="6">
        <f>IF(A7="","",SUMIFS(Chicks!$P:$P,Chicks!$C:$C,A7))</f>
        <v>0</v>
      </c>
    </row>
    <row r="8" spans="1:9" ht="14.25" customHeight="1" x14ac:dyDescent="0.3">
      <c r="A8" s="4">
        <v>7</v>
      </c>
      <c r="B8" s="4">
        <f>IF(A8="","",COUNTIF(Chicks!$C:$C,A8))</f>
        <v>0</v>
      </c>
      <c r="C8" s="4" t="str">
        <f>IFERROR(AVERAGEIF(Chicks!$C:$C, $A8, Chicks!$H:$H), "")</f>
        <v/>
      </c>
      <c r="D8" s="6" t="str">
        <f>IF(A8="","",IFERROR(AVERAGEIF(Chicks!$C:$C,A8,Chicks!$K:$K),""))</f>
        <v/>
      </c>
      <c r="E8" s="6" t="str">
        <f>IF(A8="","",IFERROR(AVERAGEIF(Chicks!$C:$C,A8,Chicks!$L:$L),""))</f>
        <v/>
      </c>
      <c r="F8" s="7" t="str">
        <f>IF(A8="","",IFERROR(AVERAGEIF(Chicks!$C:$C,A8,Chicks!$M:$M),""))</f>
        <v/>
      </c>
      <c r="G8" s="6">
        <f>IF(A8="","",SUMIFS(Chicks!$N:$N,Chicks!$C:$C,A8))</f>
        <v>0</v>
      </c>
      <c r="H8" s="6">
        <f>IF(A8="","",SUMIFS(Chicks!$O:$O,Chicks!$C:$C,A8))</f>
        <v>0</v>
      </c>
      <c r="I8" s="6">
        <f>IF(A8="","",SUMIFS(Chicks!$P:$P,Chicks!$C:$C,A8))</f>
        <v>0</v>
      </c>
    </row>
    <row r="9" spans="1:9" ht="14.25" customHeight="1" x14ac:dyDescent="0.3">
      <c r="A9" s="4">
        <v>8</v>
      </c>
      <c r="B9" s="4">
        <f>IF(A9="","",COUNTIF(Chicks!$C:$C,A9))</f>
        <v>0</v>
      </c>
      <c r="C9" s="4" t="str">
        <f>IFERROR(AVERAGEIF(Chicks!$C:$C, $A9, Chicks!$H:$H), "")</f>
        <v/>
      </c>
      <c r="D9" s="6" t="str">
        <f>IF(A9="","",IFERROR(AVERAGEIF(Chicks!$C:$C,A9,Chicks!$K:$K),""))</f>
        <v/>
      </c>
      <c r="E9" s="6" t="str">
        <f>IF(A9="","",IFERROR(AVERAGEIF(Chicks!$C:$C,A9,Chicks!$L:$L),""))</f>
        <v/>
      </c>
      <c r="F9" s="7" t="str">
        <f>IF(A9="","",IFERROR(AVERAGEIF(Chicks!$C:$C,A9,Chicks!$M:$M),""))</f>
        <v/>
      </c>
      <c r="G9" s="6">
        <f>IF(A9="","",SUMIFS(Chicks!$N:$N,Chicks!$C:$C,A9))</f>
        <v>0</v>
      </c>
      <c r="H9" s="6">
        <f>IF(A9="","",SUMIFS(Chicks!$O:$O,Chicks!$C:$C,A9))</f>
        <v>0</v>
      </c>
      <c r="I9" s="6">
        <f>IF(A9="","",SUMIFS(Chicks!$P:$P,Chicks!$C:$C,A9))</f>
        <v>0</v>
      </c>
    </row>
    <row r="10" spans="1:9" ht="14.25" customHeight="1" x14ac:dyDescent="0.3">
      <c r="A10" s="4"/>
      <c r="B10" s="4" t="str">
        <f>IF(A10="","",COUNTIF(Chicks!$C:$C,A10))</f>
        <v/>
      </c>
      <c r="C10" s="4"/>
      <c r="D10" s="6" t="str">
        <f>IF(A10="","",IFERROR(AVERAGEIF(Chicks!$C:$C,A10,Chicks!$K:$K),""))</f>
        <v/>
      </c>
      <c r="E10" s="6" t="str">
        <f>IF(A10="","",IFERROR(AVERAGEIF(Chicks!$C:$C,A10,Chicks!$L:$L),""))</f>
        <v/>
      </c>
      <c r="F10" s="6" t="str">
        <f>IF(A10="","",IFERROR(AVERAGEIF(Chicks!$C:$C,A10,Chicks!$M:$M),""))</f>
        <v/>
      </c>
      <c r="G10" s="6" t="str">
        <f>IF(A10="","",SUMIFS(Chicks!$N:$N,Chicks!$C:$C,A10))</f>
        <v/>
      </c>
      <c r="H10" s="6" t="str">
        <f>IF(A10="","",SUMIFS(Chicks!$O:$O,Chicks!$C:$C,A10))</f>
        <v/>
      </c>
      <c r="I10" s="6" t="str">
        <f>IF(A10="","",SUMIFS(Chicks!$P:$P,Chicks!$C:$C,A10))</f>
        <v/>
      </c>
    </row>
    <row r="11" spans="1:9" ht="14.25" customHeight="1" x14ac:dyDescent="0.3">
      <c r="A11" s="4"/>
      <c r="B11" s="4" t="str">
        <f>IF(A11="","",COUNTIF(Chicks!$C:$C,A11))</f>
        <v/>
      </c>
      <c r="C11" s="4"/>
      <c r="D11" s="6" t="str">
        <f>IF(A11="","",IFERROR(AVERAGEIF(Chicks!$C:$C,A11,Chicks!$K:$K),""))</f>
        <v/>
      </c>
      <c r="E11" s="6" t="str">
        <f>IF(A11="","",IFERROR(AVERAGEIF(Chicks!$C:$C,A11,Chicks!$L:$L),""))</f>
        <v/>
      </c>
      <c r="F11" s="6" t="str">
        <f>IF(A11="","",IFERROR(AVERAGEIF(Chicks!$C:$C,A11,Chicks!$M:$M),""))</f>
        <v/>
      </c>
      <c r="G11" s="6" t="str">
        <f>IF(A11="","",SUMIFS(Chicks!$N:$N,Chicks!$C:$C,A11))</f>
        <v/>
      </c>
      <c r="H11" s="6" t="str">
        <f>IF(A11="","",SUMIFS(Chicks!$O:$O,Chicks!$C:$C,A11))</f>
        <v/>
      </c>
      <c r="I11" s="6" t="str">
        <f>IF(A11="","",SUMIFS(Chicks!$P:$P,Chicks!$C:$C,A11))</f>
        <v/>
      </c>
    </row>
    <row r="12" spans="1:9" ht="14.25" customHeight="1" x14ac:dyDescent="0.3">
      <c r="A12" s="4"/>
      <c r="B12" s="4" t="str">
        <f>IF(A12="","",COUNTIF(Chicks!$C:$C,A12))</f>
        <v/>
      </c>
      <c r="C12" s="4"/>
      <c r="D12" s="6" t="str">
        <f>IF(A12="","",IFERROR(AVERAGEIF(Chicks!$C:$C,A12,Chicks!$K:$K),""))</f>
        <v/>
      </c>
      <c r="E12" s="6" t="str">
        <f>IF(A12="","",IFERROR(AVERAGEIF(Chicks!$C:$C,A12,Chicks!$L:$L),""))</f>
        <v/>
      </c>
      <c r="F12" s="6" t="str">
        <f>IF(A12="","",IFERROR(AVERAGEIF(Chicks!$C:$C,A12,Chicks!$M:$M),""))</f>
        <v/>
      </c>
      <c r="G12" s="6" t="str">
        <f>IF(A12="","",SUMIFS(Chicks!$N:$N,Chicks!$C:$C,A12))</f>
        <v/>
      </c>
      <c r="H12" s="6" t="str">
        <f>IF(A12="","",SUMIFS(Chicks!$O:$O,Chicks!$C:$C,A12))</f>
        <v/>
      </c>
      <c r="I12" s="6" t="str">
        <f>IF(A12="","",SUMIFS(Chicks!$P:$P,Chicks!$C:$C,A12))</f>
        <v/>
      </c>
    </row>
    <row r="13" spans="1:9" ht="14.25" customHeight="1" x14ac:dyDescent="0.3">
      <c r="A13" s="4"/>
      <c r="B13" s="4" t="str">
        <f>IF(A13="","",COUNTIF(Chicks!$C:$C,A13))</f>
        <v/>
      </c>
      <c r="C13" s="4"/>
      <c r="D13" s="6" t="str">
        <f>IF(A13="","",IFERROR(AVERAGEIF(Chicks!$C:$C,A13,Chicks!$K:$K),""))</f>
        <v/>
      </c>
      <c r="E13" s="6" t="str">
        <f>IF(A13="","",IFERROR(AVERAGEIF(Chicks!$C:$C,A13,Chicks!$L:$L),""))</f>
        <v/>
      </c>
      <c r="F13" s="6" t="str">
        <f>IF(A13="","",IFERROR(AVERAGEIF(Chicks!$C:$C,A13,Chicks!$M:$M),""))</f>
        <v/>
      </c>
      <c r="G13" s="6" t="str">
        <f>IF(A13="","",SUMIFS(Chicks!$N:$N,Chicks!$C:$C,A13))</f>
        <v/>
      </c>
      <c r="H13" s="6" t="str">
        <f>IF(A13="","",SUMIFS(Chicks!$O:$O,Chicks!$C:$C,A13))</f>
        <v/>
      </c>
      <c r="I13" s="6" t="str">
        <f>IF(A13="","",SUMIFS(Chicks!$P:$P,Chicks!$C:$C,A13))</f>
        <v/>
      </c>
    </row>
    <row r="14" spans="1:9" ht="14.25" customHeight="1" x14ac:dyDescent="0.3">
      <c r="A14" s="4"/>
      <c r="B14" s="4" t="str">
        <f>IF(A14="","",COUNTIF(Chicks!$C:$C,A14))</f>
        <v/>
      </c>
      <c r="C14" s="4"/>
      <c r="D14" s="6" t="str">
        <f>IF(A14="","",IFERROR(AVERAGEIF(Chicks!$C:$C,A14,Chicks!$K:$K),""))</f>
        <v/>
      </c>
      <c r="E14" s="6" t="str">
        <f>IF(A14="","",IFERROR(AVERAGEIF(Chicks!$C:$C,A14,Chicks!$L:$L),""))</f>
        <v/>
      </c>
      <c r="F14" s="6" t="str">
        <f>IF(A14="","",IFERROR(AVERAGEIF(Chicks!$C:$C,A14,Chicks!$M:$M),""))</f>
        <v/>
      </c>
      <c r="G14" s="6" t="str">
        <f>IF(A14="","",SUMIFS(Chicks!$N:$N,Chicks!$C:$C,A14))</f>
        <v/>
      </c>
      <c r="H14" s="6" t="str">
        <f>IF(A14="","",SUMIFS(Chicks!$O:$O,Chicks!$C:$C,A14))</f>
        <v/>
      </c>
      <c r="I14" s="6" t="str">
        <f>IF(A14="","",SUMIFS(Chicks!$P:$P,Chicks!$C:$C,A14))</f>
        <v/>
      </c>
    </row>
    <row r="15" spans="1:9" ht="14.25" customHeight="1" x14ac:dyDescent="0.3">
      <c r="A15" s="4"/>
      <c r="B15" s="4" t="str">
        <f>IF(A15="","",COUNTIF(Chicks!$C:$C,A15))</f>
        <v/>
      </c>
      <c r="C15" s="4"/>
      <c r="D15" s="6" t="str">
        <f>IF(A15="","",IFERROR(AVERAGEIF(Chicks!$C:$C,A15,Chicks!$K:$K),""))</f>
        <v/>
      </c>
      <c r="E15" s="6" t="str">
        <f>IF(A15="","",IFERROR(AVERAGEIF(Chicks!$C:$C,A15,Chicks!$L:$L),""))</f>
        <v/>
      </c>
      <c r="F15" s="6" t="str">
        <f>IF(A15="","",IFERROR(AVERAGEIF(Chicks!$C:$C,A15,Chicks!$M:$M),""))</f>
        <v/>
      </c>
      <c r="G15" s="6" t="str">
        <f>IF(A15="","",SUMIFS(Chicks!$N:$N,Chicks!$C:$C,A15))</f>
        <v/>
      </c>
      <c r="H15" s="6" t="str">
        <f>IF(A15="","",SUMIFS(Chicks!$O:$O,Chicks!$C:$C,A15))</f>
        <v/>
      </c>
      <c r="I15" s="6" t="str">
        <f>IF(A15="","",SUMIFS(Chicks!$P:$P,Chicks!$C:$C,A15))</f>
        <v/>
      </c>
    </row>
    <row r="16" spans="1:9" ht="14.25" customHeight="1" x14ac:dyDescent="0.3">
      <c r="A16" s="4"/>
      <c r="B16" s="4" t="str">
        <f>IF(A16="","",COUNTIF(Chicks!$C:$C,A16))</f>
        <v/>
      </c>
      <c r="C16" s="4"/>
      <c r="D16" s="6" t="str">
        <f>IF(A16="","",IFERROR(AVERAGEIF(Chicks!$C:$C,A16,Chicks!$K:$K),""))</f>
        <v/>
      </c>
      <c r="E16" s="6" t="str">
        <f>IF(A16="","",IFERROR(AVERAGEIF(Chicks!$C:$C,A16,Chicks!$L:$L),""))</f>
        <v/>
      </c>
      <c r="F16" s="6" t="str">
        <f>IF(A16="","",IFERROR(AVERAGEIF(Chicks!$C:$C,A16,Chicks!$M:$M),""))</f>
        <v/>
      </c>
      <c r="G16" s="6" t="str">
        <f>IF(A16="","",SUMIFS(Chicks!$N:$N,Chicks!$C:$C,A16))</f>
        <v/>
      </c>
      <c r="H16" s="6" t="str">
        <f>IF(A16="","",SUMIFS(Chicks!$O:$O,Chicks!$C:$C,A16))</f>
        <v/>
      </c>
      <c r="I16" s="6" t="str">
        <f>IF(A16="","",SUMIFS(Chicks!$P:$P,Chicks!$C:$C,A16))</f>
        <v/>
      </c>
    </row>
    <row r="17" spans="1:9" ht="14.25" customHeight="1" x14ac:dyDescent="0.3">
      <c r="A17" s="4"/>
      <c r="B17" s="4" t="str">
        <f>IF(A17="","",COUNTIF(Chicks!$C:$C,A17))</f>
        <v/>
      </c>
      <c r="C17" s="4"/>
      <c r="D17" s="6" t="str">
        <f>IF(A17="","",IFERROR(AVERAGEIF(Chicks!$C:$C,A17,Chicks!$K:$K),""))</f>
        <v/>
      </c>
      <c r="E17" s="6" t="str">
        <f>IF(A17="","",IFERROR(AVERAGEIF(Chicks!$C:$C,A17,Chicks!$L:$L),""))</f>
        <v/>
      </c>
      <c r="F17" s="6" t="str">
        <f>IF(A17="","",IFERROR(AVERAGEIF(Chicks!$C:$C,A17,Chicks!$M:$M),""))</f>
        <v/>
      </c>
      <c r="G17" s="6" t="str">
        <f>IF(A17="","",SUMIFS(Chicks!$N:$N,Chicks!$C:$C,A17))</f>
        <v/>
      </c>
      <c r="H17" s="6" t="str">
        <f>IF(A17="","",SUMIFS(Chicks!$O:$O,Chicks!$C:$C,A17))</f>
        <v/>
      </c>
      <c r="I17" s="6" t="str">
        <f>IF(A17="","",SUMIFS(Chicks!$P:$P,Chicks!$C:$C,A17))</f>
        <v/>
      </c>
    </row>
    <row r="18" spans="1:9" ht="14.25" customHeight="1" x14ac:dyDescent="0.3">
      <c r="A18" s="4"/>
      <c r="B18" s="4" t="str">
        <f>IF(A18="","",COUNTIF(Chicks!$C:$C,A18))</f>
        <v/>
      </c>
      <c r="C18" s="4"/>
      <c r="D18" s="6" t="str">
        <f>IF(A18="","",IFERROR(AVERAGEIF(Chicks!$C:$C,A18,Chicks!$K:$K),""))</f>
        <v/>
      </c>
      <c r="E18" s="6" t="str">
        <f>IF(A18="","",IFERROR(AVERAGEIF(Chicks!$C:$C,A18,Chicks!$L:$L),""))</f>
        <v/>
      </c>
      <c r="F18" s="6" t="str">
        <f>IF(A18="","",IFERROR(AVERAGEIF(Chicks!$C:$C,A18,Chicks!$M:$M),""))</f>
        <v/>
      </c>
      <c r="G18" s="6" t="str">
        <f>IF(A18="","",SUMIFS(Chicks!$N:$N,Chicks!$C:$C,A18))</f>
        <v/>
      </c>
      <c r="H18" s="6" t="str">
        <f>IF(A18="","",SUMIFS(Chicks!$O:$O,Chicks!$C:$C,A18))</f>
        <v/>
      </c>
      <c r="I18" s="6" t="str">
        <f>IF(A18="","",SUMIFS(Chicks!$P:$P,Chicks!$C:$C,A18))</f>
        <v/>
      </c>
    </row>
    <row r="19" spans="1:9" ht="14.25" customHeight="1" x14ac:dyDescent="0.3">
      <c r="A19" s="4"/>
      <c r="B19" s="4" t="str">
        <f>IF(A19="","",COUNTIF(Chicks!$C:$C,A19))</f>
        <v/>
      </c>
      <c r="C19" s="4"/>
      <c r="D19" s="6" t="str">
        <f>IF(A19="","",IFERROR(AVERAGEIF(Chicks!$C:$C,A19,Chicks!$K:$K),""))</f>
        <v/>
      </c>
      <c r="E19" s="6" t="str">
        <f>IF(A19="","",IFERROR(AVERAGEIF(Chicks!$C:$C,A19,Chicks!$L:$L),""))</f>
        <v/>
      </c>
      <c r="F19" s="6" t="str">
        <f>IF(A19="","",IFERROR(AVERAGEIF(Chicks!$C:$C,A19,Chicks!$M:$M),""))</f>
        <v/>
      </c>
      <c r="G19" s="6" t="str">
        <f>IF(A19="","",SUMIFS(Chicks!$N:$N,Chicks!$C:$C,A19))</f>
        <v/>
      </c>
      <c r="H19" s="6" t="str">
        <f>IF(A19="","",SUMIFS(Chicks!$O:$O,Chicks!$C:$C,A19))</f>
        <v/>
      </c>
      <c r="I19" s="6" t="str">
        <f>IF(A19="","",SUMIFS(Chicks!$P:$P,Chicks!$C:$C,A19))</f>
        <v/>
      </c>
    </row>
    <row r="20" spans="1:9" ht="14.25" customHeight="1" x14ac:dyDescent="0.3">
      <c r="A20" s="4"/>
      <c r="B20" s="4" t="str">
        <f>IF(A20="","",COUNTIF(Chicks!$C:$C,A20))</f>
        <v/>
      </c>
      <c r="C20" s="4"/>
      <c r="D20" s="6" t="str">
        <f>IF(A20="","",IFERROR(AVERAGEIF(Chicks!$C:$C,A20,Chicks!$K:$K),""))</f>
        <v/>
      </c>
      <c r="E20" s="6" t="str">
        <f>IF(A20="","",IFERROR(AVERAGEIF(Chicks!$C:$C,A20,Chicks!$L:$L),""))</f>
        <v/>
      </c>
      <c r="F20" s="6" t="str">
        <f>IF(A20="","",IFERROR(AVERAGEIF(Chicks!$C:$C,A20,Chicks!$M:$M),""))</f>
        <v/>
      </c>
      <c r="G20" s="6" t="str">
        <f>IF(A20="","",SUMIFS(Chicks!$N:$N,Chicks!$C:$C,A20))</f>
        <v/>
      </c>
      <c r="H20" s="6" t="str">
        <f>IF(A20="","",SUMIFS(Chicks!$O:$O,Chicks!$C:$C,A20))</f>
        <v/>
      </c>
      <c r="I20" s="6" t="str">
        <f>IF(A20="","",SUMIFS(Chicks!$P:$P,Chicks!$C:$C,A20))</f>
        <v/>
      </c>
    </row>
    <row r="21" spans="1:9" ht="14.25" customHeight="1" x14ac:dyDescent="0.3">
      <c r="A21" s="4"/>
      <c r="B21" s="4" t="str">
        <f>IF(A21="","",COUNTIF(Chicks!$C:$C,A21))</f>
        <v/>
      </c>
      <c r="C21" s="4"/>
      <c r="D21" s="6" t="str">
        <f>IF(A21="","",IFERROR(AVERAGEIF(Chicks!$C:$C,A21,Chicks!$K:$K),""))</f>
        <v/>
      </c>
      <c r="E21" s="6" t="str">
        <f>IF(A21="","",IFERROR(AVERAGEIF(Chicks!$C:$C,A21,Chicks!$L:$L),""))</f>
        <v/>
      </c>
      <c r="F21" s="6" t="str">
        <f>IF(A21="","",IFERROR(AVERAGEIF(Chicks!$C:$C,A21,Chicks!$M:$M),""))</f>
        <v/>
      </c>
      <c r="G21" s="6" t="str">
        <f>IF(A21="","",SUMIFS(Chicks!$N:$N,Chicks!$C:$C,A21))</f>
        <v/>
      </c>
      <c r="H21" s="6" t="str">
        <f>IF(A21="","",SUMIFS(Chicks!$O:$O,Chicks!$C:$C,A21))</f>
        <v/>
      </c>
      <c r="I21" s="6" t="str">
        <f>IF(A21="","",SUMIFS(Chicks!$P:$P,Chicks!$C:$C,A21))</f>
        <v/>
      </c>
    </row>
    <row r="22" spans="1:9" ht="14.25" customHeight="1" x14ac:dyDescent="0.3">
      <c r="A22" s="4"/>
      <c r="B22" s="4" t="str">
        <f>IF(A22="","",COUNTIF(Chicks!$C:$C,A22))</f>
        <v/>
      </c>
      <c r="C22" s="4"/>
      <c r="D22" s="6" t="str">
        <f>IF(A22="","",IFERROR(AVERAGEIF(Chicks!$C:$C,A22,Chicks!$K:$K),""))</f>
        <v/>
      </c>
      <c r="E22" s="6" t="str">
        <f>IF(A22="","",IFERROR(AVERAGEIF(Chicks!$C:$C,A22,Chicks!$L:$L),""))</f>
        <v/>
      </c>
      <c r="F22" s="6" t="str">
        <f>IF(A22="","",IFERROR(AVERAGEIF(Chicks!$C:$C,A22,Chicks!$M:$M),""))</f>
        <v/>
      </c>
      <c r="G22" s="6" t="str">
        <f>IF(A22="","",SUMIFS(Chicks!$N:$N,Chicks!$C:$C,A22))</f>
        <v/>
      </c>
      <c r="H22" s="6" t="str">
        <f>IF(A22="","",SUMIFS(Chicks!$O:$O,Chicks!$C:$C,A22))</f>
        <v/>
      </c>
      <c r="I22" s="6" t="str">
        <f>IF(A22="","",SUMIFS(Chicks!$P:$P,Chicks!$C:$C,A22))</f>
        <v/>
      </c>
    </row>
    <row r="23" spans="1:9" ht="14.25" customHeight="1" x14ac:dyDescent="0.3">
      <c r="A23" s="4"/>
      <c r="B23" s="4" t="str">
        <f>IF(A23="","",COUNTIF(Chicks!$C:$C,A23))</f>
        <v/>
      </c>
      <c r="C23" s="4"/>
      <c r="D23" s="6" t="str">
        <f>IF(A23="","",IFERROR(AVERAGEIF(Chicks!$C:$C,A23,Chicks!$K:$K),""))</f>
        <v/>
      </c>
      <c r="E23" s="6" t="str">
        <f>IF(A23="","",IFERROR(AVERAGEIF(Chicks!$C:$C,A23,Chicks!$L:$L),""))</f>
        <v/>
      </c>
      <c r="F23" s="6" t="str">
        <f>IF(A23="","",IFERROR(AVERAGEIF(Chicks!$C:$C,A23,Chicks!$M:$M),""))</f>
        <v/>
      </c>
      <c r="G23" s="6" t="str">
        <f>IF(A23="","",SUMIFS(Chicks!$N:$N,Chicks!$C:$C,A23))</f>
        <v/>
      </c>
      <c r="H23" s="6" t="str">
        <f>IF(A23="","",SUMIFS(Chicks!$O:$O,Chicks!$C:$C,A23))</f>
        <v/>
      </c>
      <c r="I23" s="6" t="str">
        <f>IF(A23="","",SUMIFS(Chicks!$P:$P,Chicks!$C:$C,A23))</f>
        <v/>
      </c>
    </row>
    <row r="24" spans="1:9" ht="14.25" customHeight="1" x14ac:dyDescent="0.3">
      <c r="A24" s="4"/>
      <c r="B24" s="4" t="str">
        <f>IF(A24="","",COUNTIF(Chicks!$C:$C,A24))</f>
        <v/>
      </c>
      <c r="C24" s="4"/>
      <c r="D24" s="6" t="str">
        <f>IF(A24="","",IFERROR(AVERAGEIF(Chicks!$C:$C,A24,Chicks!$K:$K),""))</f>
        <v/>
      </c>
      <c r="E24" s="6" t="str">
        <f>IF(A24="","",IFERROR(AVERAGEIF(Chicks!$C:$C,A24,Chicks!$L:$L),""))</f>
        <v/>
      </c>
      <c r="F24" s="6" t="str">
        <f>IF(A24="","",IFERROR(AVERAGEIF(Chicks!$C:$C,A24,Chicks!$M:$M),""))</f>
        <v/>
      </c>
      <c r="G24" s="6" t="str">
        <f>IF(A24="","",SUMIFS(Chicks!$N:$N,Chicks!$C:$C,A24))</f>
        <v/>
      </c>
      <c r="H24" s="6" t="str">
        <f>IF(A24="","",SUMIFS(Chicks!$O:$O,Chicks!$C:$C,A24))</f>
        <v/>
      </c>
      <c r="I24" s="6" t="str">
        <f>IF(A24="","",SUMIFS(Chicks!$P:$P,Chicks!$C:$C,A24))</f>
        <v/>
      </c>
    </row>
    <row r="25" spans="1:9" ht="14.25" customHeight="1" x14ac:dyDescent="0.3">
      <c r="A25" s="4"/>
      <c r="B25" s="4" t="str">
        <f>IF(A25="","",COUNTIF(Chicks!$C:$C,A25))</f>
        <v/>
      </c>
      <c r="C25" s="4"/>
      <c r="D25" s="6" t="str">
        <f>IF(A25="","",IFERROR(AVERAGEIF(Chicks!$C:$C,A25,Chicks!$K:$K),""))</f>
        <v/>
      </c>
      <c r="E25" s="6" t="str">
        <f>IF(A25="","",IFERROR(AVERAGEIF(Chicks!$C:$C,A25,Chicks!$L:$L),""))</f>
        <v/>
      </c>
      <c r="F25" s="6" t="str">
        <f>IF(A25="","",IFERROR(AVERAGEIF(Chicks!$C:$C,A25,Chicks!$M:$M),""))</f>
        <v/>
      </c>
      <c r="G25" s="6" t="str">
        <f>IF(A25="","",SUMIFS(Chicks!$N:$N,Chicks!$C:$C,A25))</f>
        <v/>
      </c>
      <c r="H25" s="6" t="str">
        <f>IF(A25="","",SUMIFS(Chicks!$O:$O,Chicks!$C:$C,A25))</f>
        <v/>
      </c>
      <c r="I25" s="6" t="str">
        <f>IF(A25="","",SUMIFS(Chicks!$P:$P,Chicks!$C:$C,A25))</f>
        <v/>
      </c>
    </row>
    <row r="26" spans="1:9" ht="14.25" customHeight="1" x14ac:dyDescent="0.3">
      <c r="A26" s="4"/>
      <c r="B26" s="4" t="str">
        <f>IF(A26="","",COUNTIF(Chicks!$C:$C,A26))</f>
        <v/>
      </c>
      <c r="C26" s="4"/>
      <c r="D26" s="6" t="str">
        <f>IF(A26="","",IFERROR(AVERAGEIF(Chicks!$C:$C,A26,Chicks!$K:$K),""))</f>
        <v/>
      </c>
      <c r="E26" s="6" t="str">
        <f>IF(A26="","",IFERROR(AVERAGEIF(Chicks!$C:$C,A26,Chicks!$L:$L),""))</f>
        <v/>
      </c>
      <c r="F26" s="6" t="str">
        <f>IF(A26="","",IFERROR(AVERAGEIF(Chicks!$C:$C,A26,Chicks!$M:$M),""))</f>
        <v/>
      </c>
      <c r="G26" s="6" t="str">
        <f>IF(A26="","",SUMIFS(Chicks!$N:$N,Chicks!$C:$C,A26))</f>
        <v/>
      </c>
      <c r="H26" s="6" t="str">
        <f>IF(A26="","",SUMIFS(Chicks!$O:$O,Chicks!$C:$C,A26))</f>
        <v/>
      </c>
      <c r="I26" s="6" t="str">
        <f>IF(A26="","",SUMIFS(Chicks!$P:$P,Chicks!$C:$C,A26))</f>
        <v/>
      </c>
    </row>
    <row r="27" spans="1:9" ht="14.25" customHeight="1" x14ac:dyDescent="0.3">
      <c r="A27" s="4"/>
      <c r="B27" s="4" t="str">
        <f>IF(A27="","",COUNTIF(Chicks!$C:$C,A27))</f>
        <v/>
      </c>
      <c r="C27" s="4"/>
      <c r="D27" s="6" t="str">
        <f>IF(A27="","",IFERROR(AVERAGEIF(Chicks!$C:$C,A27,Chicks!$K:$K),""))</f>
        <v/>
      </c>
      <c r="E27" s="6" t="str">
        <f>IF(A27="","",IFERROR(AVERAGEIF(Chicks!$C:$C,A27,Chicks!$L:$L),""))</f>
        <v/>
      </c>
      <c r="F27" s="6" t="str">
        <f>IF(A27="","",IFERROR(AVERAGEIF(Chicks!$C:$C,A27,Chicks!$M:$M),""))</f>
        <v/>
      </c>
      <c r="G27" s="6" t="str">
        <f>IF(A27="","",SUMIFS(Chicks!$N:$N,Chicks!$C:$C,A27))</f>
        <v/>
      </c>
      <c r="H27" s="6" t="str">
        <f>IF(A27="","",SUMIFS(Chicks!$O:$O,Chicks!$C:$C,A27))</f>
        <v/>
      </c>
      <c r="I27" s="6" t="str">
        <f>IF(A27="","",SUMIFS(Chicks!$P:$P,Chicks!$C:$C,A27))</f>
        <v/>
      </c>
    </row>
    <row r="28" spans="1:9" ht="14.25" customHeight="1" x14ac:dyDescent="0.3">
      <c r="A28" s="4"/>
      <c r="B28" s="4" t="str">
        <f>IF(A28="","",COUNTIF(Chicks!$C:$C,A28))</f>
        <v/>
      </c>
      <c r="C28" s="4"/>
      <c r="D28" s="6" t="str">
        <f>IF(A28="","",IFERROR(AVERAGEIF(Chicks!$C:$C,A28,Chicks!$K:$K),""))</f>
        <v/>
      </c>
      <c r="E28" s="6" t="str">
        <f>IF(A28="","",IFERROR(AVERAGEIF(Chicks!$C:$C,A28,Chicks!$L:$L),""))</f>
        <v/>
      </c>
      <c r="F28" s="6" t="str">
        <f>IF(A28="","",IFERROR(AVERAGEIF(Chicks!$C:$C,A28,Chicks!$M:$M),""))</f>
        <v/>
      </c>
      <c r="G28" s="6" t="str">
        <f>IF(A28="","",SUMIFS(Chicks!$N:$N,Chicks!$C:$C,A28))</f>
        <v/>
      </c>
      <c r="H28" s="6" t="str">
        <f>IF(A28="","",SUMIFS(Chicks!$O:$O,Chicks!$C:$C,A28))</f>
        <v/>
      </c>
      <c r="I28" s="6" t="str">
        <f>IF(A28="","",SUMIFS(Chicks!$P:$P,Chicks!$C:$C,A28))</f>
        <v/>
      </c>
    </row>
    <row r="29" spans="1:9" ht="14.25" customHeight="1" x14ac:dyDescent="0.3">
      <c r="A29" s="4"/>
      <c r="B29" s="4" t="str">
        <f>IF(A29="","",COUNTIF(Chicks!$C:$C,A29))</f>
        <v/>
      </c>
      <c r="C29" s="4"/>
      <c r="D29" s="6" t="str">
        <f>IF(A29="","",IFERROR(AVERAGEIF(Chicks!$C:$C,A29,Chicks!$K:$K),""))</f>
        <v/>
      </c>
      <c r="E29" s="6" t="str">
        <f>IF(A29="","",IFERROR(AVERAGEIF(Chicks!$C:$C,A29,Chicks!$L:$L),""))</f>
        <v/>
      </c>
      <c r="F29" s="6" t="str">
        <f>IF(A29="","",IFERROR(AVERAGEIF(Chicks!$C:$C,A29,Chicks!$M:$M),""))</f>
        <v/>
      </c>
      <c r="G29" s="6" t="str">
        <f>IF(A29="","",SUMIFS(Chicks!$N:$N,Chicks!$C:$C,A29))</f>
        <v/>
      </c>
      <c r="H29" s="6" t="str">
        <f>IF(A29="","",SUMIFS(Chicks!$O:$O,Chicks!$C:$C,A29))</f>
        <v/>
      </c>
      <c r="I29" s="6" t="str">
        <f>IF(A29="","",SUMIFS(Chicks!$P:$P,Chicks!$C:$C,A29))</f>
        <v/>
      </c>
    </row>
    <row r="30" spans="1:9" ht="14.25" customHeight="1" x14ac:dyDescent="0.3">
      <c r="A30" s="4"/>
      <c r="B30" s="4" t="str">
        <f>IF(A30="","",COUNTIF(Chicks!$C:$C,A30))</f>
        <v/>
      </c>
      <c r="C30" s="4"/>
      <c r="D30" s="6" t="str">
        <f>IF(A30="","",IFERROR(AVERAGEIF(Chicks!$C:$C,A30,Chicks!$K:$K),""))</f>
        <v/>
      </c>
      <c r="E30" s="6" t="str">
        <f>IF(A30="","",IFERROR(AVERAGEIF(Chicks!$C:$C,A30,Chicks!$L:$L),""))</f>
        <v/>
      </c>
      <c r="F30" s="6" t="str">
        <f>IF(A30="","",IFERROR(AVERAGEIF(Chicks!$C:$C,A30,Chicks!$M:$M),""))</f>
        <v/>
      </c>
      <c r="G30" s="6" t="str">
        <f>IF(A30="","",SUMIFS(Chicks!$N:$N,Chicks!$C:$C,A30))</f>
        <v/>
      </c>
      <c r="H30" s="6" t="str">
        <f>IF(A30="","",SUMIFS(Chicks!$O:$O,Chicks!$C:$C,A30))</f>
        <v/>
      </c>
      <c r="I30" s="6" t="str">
        <f>IF(A30="","",SUMIFS(Chicks!$P:$P,Chicks!$C:$C,A30))</f>
        <v/>
      </c>
    </row>
    <row r="31" spans="1:9" ht="14.25" customHeight="1" x14ac:dyDescent="0.3">
      <c r="A31" s="4"/>
      <c r="B31" s="4" t="str">
        <f>IF(A31="","",COUNTIF(Chicks!$C:$C,A31))</f>
        <v/>
      </c>
      <c r="C31" s="4"/>
      <c r="D31" s="6" t="str">
        <f>IF(A31="","",IFERROR(AVERAGEIF(Chicks!$C:$C,A31,Chicks!$K:$K),""))</f>
        <v/>
      </c>
      <c r="E31" s="6" t="str">
        <f>IF(A31="","",IFERROR(AVERAGEIF(Chicks!$C:$C,A31,Chicks!$L:$L),""))</f>
        <v/>
      </c>
      <c r="F31" s="6" t="str">
        <f>IF(A31="","",IFERROR(AVERAGEIF(Chicks!$C:$C,A31,Chicks!$M:$M),""))</f>
        <v/>
      </c>
      <c r="G31" s="6" t="str">
        <f>IF(A31="","",SUMIFS(Chicks!$N:$N,Chicks!$C:$C,A31))</f>
        <v/>
      </c>
      <c r="H31" s="6" t="str">
        <f>IF(A31="","",SUMIFS(Chicks!$O:$O,Chicks!$C:$C,A31))</f>
        <v/>
      </c>
      <c r="I31" s="6" t="str">
        <f>IF(A31="","",SUMIFS(Chicks!$P:$P,Chicks!$C:$C,A31))</f>
        <v/>
      </c>
    </row>
    <row r="32" spans="1:9" ht="14.25" customHeight="1" x14ac:dyDescent="0.3">
      <c r="A32" s="4"/>
      <c r="B32" s="4" t="str">
        <f>IF(A32="","",COUNTIF(Chicks!$C:$C,A32))</f>
        <v/>
      </c>
      <c r="C32" s="4"/>
      <c r="D32" s="6" t="str">
        <f>IF(A32="","",IFERROR(AVERAGEIF(Chicks!$C:$C,A32,Chicks!$K:$K),""))</f>
        <v/>
      </c>
      <c r="E32" s="6" t="str">
        <f>IF(A32="","",IFERROR(AVERAGEIF(Chicks!$C:$C,A32,Chicks!$L:$L),""))</f>
        <v/>
      </c>
      <c r="F32" s="6" t="str">
        <f>IF(A32="","",IFERROR(AVERAGEIF(Chicks!$C:$C,A32,Chicks!$M:$M),""))</f>
        <v/>
      </c>
      <c r="G32" s="6" t="str">
        <f>IF(A32="","",SUMIFS(Chicks!$N:$N,Chicks!$C:$C,A32))</f>
        <v/>
      </c>
      <c r="H32" s="6" t="str">
        <f>IF(A32="","",SUMIFS(Chicks!$O:$O,Chicks!$C:$C,A32))</f>
        <v/>
      </c>
      <c r="I32" s="6" t="str">
        <f>IF(A32="","",SUMIFS(Chicks!$P:$P,Chicks!$C:$C,A32))</f>
        <v/>
      </c>
    </row>
    <row r="33" spans="1:9" ht="14.25" customHeight="1" x14ac:dyDescent="0.3">
      <c r="A33" s="4"/>
      <c r="B33" s="4" t="str">
        <f>IF(A33="","",COUNTIF(Chicks!$C:$C,A33))</f>
        <v/>
      </c>
      <c r="C33" s="4"/>
      <c r="D33" s="6" t="str">
        <f>IF(A33="","",IFERROR(AVERAGEIF(Chicks!$C:$C,A33,Chicks!$K:$K),""))</f>
        <v/>
      </c>
      <c r="E33" s="6" t="str">
        <f>IF(A33="","",IFERROR(AVERAGEIF(Chicks!$C:$C,A33,Chicks!$L:$L),""))</f>
        <v/>
      </c>
      <c r="F33" s="6" t="str">
        <f>IF(A33="","",IFERROR(AVERAGEIF(Chicks!$C:$C,A33,Chicks!$M:$M),""))</f>
        <v/>
      </c>
      <c r="G33" s="6" t="str">
        <f>IF(A33="","",SUMIFS(Chicks!$N:$N,Chicks!$C:$C,A33))</f>
        <v/>
      </c>
      <c r="H33" s="6" t="str">
        <f>IF(A33="","",SUMIFS(Chicks!$O:$O,Chicks!$C:$C,A33))</f>
        <v/>
      </c>
      <c r="I33" s="6" t="str">
        <f>IF(A33="","",SUMIFS(Chicks!$P:$P,Chicks!$C:$C,A33))</f>
        <v/>
      </c>
    </row>
    <row r="34" spans="1:9" ht="14.25" customHeight="1" x14ac:dyDescent="0.3">
      <c r="A34" s="4"/>
      <c r="B34" s="4" t="str">
        <f>IF(A34="","",COUNTIF(Chicks!$C:$C,A34))</f>
        <v/>
      </c>
      <c r="C34" s="4"/>
      <c r="D34" s="6" t="str">
        <f>IF(A34="","",IFERROR(AVERAGEIF(Chicks!$C:$C,A34,Chicks!$K:$K),""))</f>
        <v/>
      </c>
      <c r="E34" s="6" t="str">
        <f>IF(A34="","",IFERROR(AVERAGEIF(Chicks!$C:$C,A34,Chicks!$L:$L),""))</f>
        <v/>
      </c>
      <c r="F34" s="6" t="str">
        <f>IF(A34="","",IFERROR(AVERAGEIF(Chicks!$C:$C,A34,Chicks!$M:$M),""))</f>
        <v/>
      </c>
      <c r="G34" s="6" t="str">
        <f>IF(A34="","",SUMIFS(Chicks!$N:$N,Chicks!$C:$C,A34))</f>
        <v/>
      </c>
      <c r="H34" s="6" t="str">
        <f>IF(A34="","",SUMIFS(Chicks!$O:$O,Chicks!$C:$C,A34))</f>
        <v/>
      </c>
      <c r="I34" s="6" t="str">
        <f>IF(A34="","",SUMIFS(Chicks!$P:$P,Chicks!$C:$C,A34))</f>
        <v/>
      </c>
    </row>
    <row r="35" spans="1:9" ht="14.25" customHeight="1" x14ac:dyDescent="0.3">
      <c r="A35" s="4"/>
      <c r="B35" s="4" t="str">
        <f>IF(A35="","",COUNTIF(Chicks!$C:$C,A35))</f>
        <v/>
      </c>
      <c r="C35" s="4"/>
      <c r="D35" s="6" t="str">
        <f>IF(A35="","",IFERROR(AVERAGEIF(Chicks!$C:$C,A35,Chicks!$K:$K),""))</f>
        <v/>
      </c>
      <c r="E35" s="6" t="str">
        <f>IF(A35="","",IFERROR(AVERAGEIF(Chicks!$C:$C,A35,Chicks!$L:$L),""))</f>
        <v/>
      </c>
      <c r="F35" s="6" t="str">
        <f>IF(A35="","",IFERROR(AVERAGEIF(Chicks!$C:$C,A35,Chicks!$M:$M),""))</f>
        <v/>
      </c>
      <c r="G35" s="6" t="str">
        <f>IF(A35="","",SUMIFS(Chicks!$N:$N,Chicks!$C:$C,A35))</f>
        <v/>
      </c>
      <c r="H35" s="6" t="str">
        <f>IF(A35="","",SUMIFS(Chicks!$O:$O,Chicks!$C:$C,A35))</f>
        <v/>
      </c>
      <c r="I35" s="6" t="str">
        <f>IF(A35="","",SUMIFS(Chicks!$P:$P,Chicks!$C:$C,A35))</f>
        <v/>
      </c>
    </row>
    <row r="36" spans="1:9" ht="14.25" customHeight="1" x14ac:dyDescent="0.3">
      <c r="A36" s="4"/>
      <c r="B36" s="4" t="str">
        <f>IF(A36="","",COUNTIF(Chicks!$C:$C,A36))</f>
        <v/>
      </c>
      <c r="C36" s="4"/>
      <c r="D36" s="6" t="str">
        <f>IF(A36="","",IFERROR(AVERAGEIF(Chicks!$C:$C,A36,Chicks!$K:$K),""))</f>
        <v/>
      </c>
      <c r="E36" s="6" t="str">
        <f>IF(A36="","",IFERROR(AVERAGEIF(Chicks!$C:$C,A36,Chicks!$L:$L),""))</f>
        <v/>
      </c>
      <c r="F36" s="6" t="str">
        <f>IF(A36="","",IFERROR(AVERAGEIF(Chicks!$C:$C,A36,Chicks!$M:$M),""))</f>
        <v/>
      </c>
      <c r="G36" s="6" t="str">
        <f>IF(A36="","",SUMIFS(Chicks!$N:$N,Chicks!$C:$C,A36))</f>
        <v/>
      </c>
      <c r="H36" s="6" t="str">
        <f>IF(A36="","",SUMIFS(Chicks!$O:$O,Chicks!$C:$C,A36))</f>
        <v/>
      </c>
      <c r="I36" s="6" t="str">
        <f>IF(A36="","",SUMIFS(Chicks!$P:$P,Chicks!$C:$C,A36))</f>
        <v/>
      </c>
    </row>
    <row r="37" spans="1:9" ht="14.25" customHeight="1" x14ac:dyDescent="0.3">
      <c r="A37" s="4"/>
      <c r="B37" s="4" t="str">
        <f>IF(A37="","",COUNTIF(Chicks!$C:$C,A37))</f>
        <v/>
      </c>
      <c r="C37" s="4"/>
      <c r="D37" s="6" t="str">
        <f>IF(A37="","",IFERROR(AVERAGEIF(Chicks!$C:$C,A37,Chicks!$K:$K),""))</f>
        <v/>
      </c>
      <c r="E37" s="6" t="str">
        <f>IF(A37="","",IFERROR(AVERAGEIF(Chicks!$C:$C,A37,Chicks!$L:$L),""))</f>
        <v/>
      </c>
      <c r="F37" s="6" t="str">
        <f>IF(A37="","",IFERROR(AVERAGEIF(Chicks!$C:$C,A37,Chicks!$M:$M),""))</f>
        <v/>
      </c>
      <c r="G37" s="6" t="str">
        <f>IF(A37="","",SUMIFS(Chicks!$N:$N,Chicks!$C:$C,A37))</f>
        <v/>
      </c>
      <c r="H37" s="6" t="str">
        <f>IF(A37="","",SUMIFS(Chicks!$O:$O,Chicks!$C:$C,A37))</f>
        <v/>
      </c>
      <c r="I37" s="6" t="str">
        <f>IF(A37="","",SUMIFS(Chicks!$P:$P,Chicks!$C:$C,A37))</f>
        <v/>
      </c>
    </row>
    <row r="38" spans="1:9" ht="14.25" customHeight="1" x14ac:dyDescent="0.3">
      <c r="A38" s="4"/>
      <c r="B38" s="4" t="str">
        <f>IF(A38="","",COUNTIF(Chicks!$C:$C,A38))</f>
        <v/>
      </c>
      <c r="C38" s="4"/>
      <c r="D38" s="6" t="str">
        <f>IF(A38="","",IFERROR(AVERAGEIF(Chicks!$C:$C,A38,Chicks!$K:$K),""))</f>
        <v/>
      </c>
      <c r="E38" s="6" t="str">
        <f>IF(A38="","",IFERROR(AVERAGEIF(Chicks!$C:$C,A38,Chicks!$L:$L),""))</f>
        <v/>
      </c>
      <c r="F38" s="6" t="str">
        <f>IF(A38="","",IFERROR(AVERAGEIF(Chicks!$C:$C,A38,Chicks!$M:$M),""))</f>
        <v/>
      </c>
      <c r="G38" s="6" t="str">
        <f>IF(A38="","",SUMIFS(Chicks!$N:$N,Chicks!$C:$C,A38))</f>
        <v/>
      </c>
      <c r="H38" s="6" t="str">
        <f>IF(A38="","",SUMIFS(Chicks!$O:$O,Chicks!$C:$C,A38))</f>
        <v/>
      </c>
      <c r="I38" s="6" t="str">
        <f>IF(A38="","",SUMIFS(Chicks!$P:$P,Chicks!$C:$C,A38))</f>
        <v/>
      </c>
    </row>
    <row r="39" spans="1:9" ht="14.25" customHeight="1" x14ac:dyDescent="0.3">
      <c r="A39" s="4"/>
      <c r="B39" s="4" t="str">
        <f>IF(A39="","",COUNTIF(Chicks!$C:$C,A39))</f>
        <v/>
      </c>
      <c r="C39" s="4"/>
      <c r="D39" s="6" t="str">
        <f>IF(A39="","",IFERROR(AVERAGEIF(Chicks!$C:$C,A39,Chicks!$K:$K),""))</f>
        <v/>
      </c>
      <c r="E39" s="6" t="str">
        <f>IF(A39="","",IFERROR(AVERAGEIF(Chicks!$C:$C,A39,Chicks!$L:$L),""))</f>
        <v/>
      </c>
      <c r="F39" s="6" t="str">
        <f>IF(A39="","",IFERROR(AVERAGEIF(Chicks!$C:$C,A39,Chicks!$M:$M),""))</f>
        <v/>
      </c>
      <c r="G39" s="6" t="str">
        <f>IF(A39="","",SUMIFS(Chicks!$N:$N,Chicks!$C:$C,A39))</f>
        <v/>
      </c>
      <c r="H39" s="6" t="str">
        <f>IF(A39="","",SUMIFS(Chicks!$O:$O,Chicks!$C:$C,A39))</f>
        <v/>
      </c>
      <c r="I39" s="6" t="str">
        <f>IF(A39="","",SUMIFS(Chicks!$P:$P,Chicks!$C:$C,A39))</f>
        <v/>
      </c>
    </row>
    <row r="40" spans="1:9" ht="14.25" customHeight="1" x14ac:dyDescent="0.3">
      <c r="A40" s="4"/>
      <c r="B40" s="4" t="str">
        <f>IF(A40="","",COUNTIF(Chicks!$C:$C,A40))</f>
        <v/>
      </c>
      <c r="C40" s="4"/>
      <c r="D40" s="6" t="str">
        <f>IF(A40="","",IFERROR(AVERAGEIF(Chicks!$C:$C,A40,Chicks!$K:$K),""))</f>
        <v/>
      </c>
      <c r="E40" s="6" t="str">
        <f>IF(A40="","",IFERROR(AVERAGEIF(Chicks!$C:$C,A40,Chicks!$L:$L),""))</f>
        <v/>
      </c>
      <c r="F40" s="6" t="str">
        <f>IF(A40="","",IFERROR(AVERAGEIF(Chicks!$C:$C,A40,Chicks!$M:$M),""))</f>
        <v/>
      </c>
      <c r="G40" s="6" t="str">
        <f>IF(A40="","",SUMIFS(Chicks!$N:$N,Chicks!$C:$C,A40))</f>
        <v/>
      </c>
      <c r="H40" s="6" t="str">
        <f>IF(A40="","",SUMIFS(Chicks!$O:$O,Chicks!$C:$C,A40))</f>
        <v/>
      </c>
      <c r="I40" s="6" t="str">
        <f>IF(A40="","",SUMIFS(Chicks!$P:$P,Chicks!$C:$C,A40))</f>
        <v/>
      </c>
    </row>
    <row r="41" spans="1:9" ht="14.25" customHeight="1" x14ac:dyDescent="0.3">
      <c r="A41" s="4"/>
      <c r="B41" s="4" t="str">
        <f>IF(A41="","",COUNTIF(Chicks!$C:$C,A41))</f>
        <v/>
      </c>
      <c r="C41" s="4"/>
      <c r="D41" s="6" t="str">
        <f>IF(A41="","",IFERROR(AVERAGEIF(Chicks!$C:$C,A41,Chicks!$K:$K),""))</f>
        <v/>
      </c>
      <c r="E41" s="6" t="str">
        <f>IF(A41="","",IFERROR(AVERAGEIF(Chicks!$C:$C,A41,Chicks!$L:$L),""))</f>
        <v/>
      </c>
      <c r="F41" s="6" t="str">
        <f>IF(A41="","",IFERROR(AVERAGEIF(Chicks!$C:$C,A41,Chicks!$M:$M),""))</f>
        <v/>
      </c>
      <c r="G41" s="6" t="str">
        <f>IF(A41="","",SUMIFS(Chicks!$N:$N,Chicks!$C:$C,A41))</f>
        <v/>
      </c>
      <c r="H41" s="6" t="str">
        <f>IF(A41="","",SUMIFS(Chicks!$O:$O,Chicks!$C:$C,A41))</f>
        <v/>
      </c>
      <c r="I41" s="6" t="str">
        <f>IF(A41="","",SUMIFS(Chicks!$P:$P,Chicks!$C:$C,A41))</f>
        <v/>
      </c>
    </row>
    <row r="42" spans="1:9" ht="14.25" customHeight="1" x14ac:dyDescent="0.3">
      <c r="A42" s="4"/>
      <c r="B42" s="4" t="str">
        <f>IF(A42="","",COUNTIF(Chicks!$C:$C,A42))</f>
        <v/>
      </c>
      <c r="C42" s="4"/>
      <c r="D42" s="6" t="str">
        <f>IF(A42="","",IFERROR(AVERAGEIF(Chicks!$C:$C,A42,Chicks!$K:$K),""))</f>
        <v/>
      </c>
      <c r="E42" s="6" t="str">
        <f>IF(A42="","",IFERROR(AVERAGEIF(Chicks!$C:$C,A42,Chicks!$L:$L),""))</f>
        <v/>
      </c>
      <c r="F42" s="6" t="str">
        <f>IF(A42="","",IFERROR(AVERAGEIF(Chicks!$C:$C,A42,Chicks!$M:$M),""))</f>
        <v/>
      </c>
      <c r="G42" s="6" t="str">
        <f>IF(A42="","",SUMIFS(Chicks!$N:$N,Chicks!$C:$C,A42))</f>
        <v/>
      </c>
      <c r="H42" s="6" t="str">
        <f>IF(A42="","",SUMIFS(Chicks!$O:$O,Chicks!$C:$C,A42))</f>
        <v/>
      </c>
      <c r="I42" s="6" t="str">
        <f>IF(A42="","",SUMIFS(Chicks!$P:$P,Chicks!$C:$C,A42))</f>
        <v/>
      </c>
    </row>
    <row r="43" spans="1:9" ht="14.25" customHeight="1" x14ac:dyDescent="0.3">
      <c r="A43" s="4"/>
      <c r="B43" s="4" t="str">
        <f>IF(A43="","",COUNTIF(Chicks!$C:$C,A43))</f>
        <v/>
      </c>
      <c r="C43" s="4"/>
      <c r="D43" s="6" t="str">
        <f>IF(A43="","",IFERROR(AVERAGEIF(Chicks!$C:$C,A43,Chicks!$K:$K),""))</f>
        <v/>
      </c>
      <c r="E43" s="6" t="str">
        <f>IF(A43="","",IFERROR(AVERAGEIF(Chicks!$C:$C,A43,Chicks!$L:$L),""))</f>
        <v/>
      </c>
      <c r="F43" s="6" t="str">
        <f>IF(A43="","",IFERROR(AVERAGEIF(Chicks!$C:$C,A43,Chicks!$M:$M),""))</f>
        <v/>
      </c>
      <c r="G43" s="6" t="str">
        <f>IF(A43="","",SUMIFS(Chicks!$N:$N,Chicks!$C:$C,A43))</f>
        <v/>
      </c>
      <c r="H43" s="6" t="str">
        <f>IF(A43="","",SUMIFS(Chicks!$O:$O,Chicks!$C:$C,A43))</f>
        <v/>
      </c>
      <c r="I43" s="6" t="str">
        <f>IF(A43="","",SUMIFS(Chicks!$P:$P,Chicks!$C:$C,A43))</f>
        <v/>
      </c>
    </row>
    <row r="44" spans="1:9" ht="14.25" customHeight="1" x14ac:dyDescent="0.3">
      <c r="A44" s="4"/>
      <c r="B44" s="4" t="str">
        <f>IF(A44="","",COUNTIF(Chicks!$C:$C,A44))</f>
        <v/>
      </c>
      <c r="C44" s="4"/>
      <c r="D44" s="6" t="str">
        <f>IF(A44="","",IFERROR(AVERAGEIF(Chicks!$C:$C,A44,Chicks!$K:$K),""))</f>
        <v/>
      </c>
      <c r="E44" s="6" t="str">
        <f>IF(A44="","",IFERROR(AVERAGEIF(Chicks!$C:$C,A44,Chicks!$L:$L),""))</f>
        <v/>
      </c>
      <c r="F44" s="6" t="str">
        <f>IF(A44="","",IFERROR(AVERAGEIF(Chicks!$C:$C,A44,Chicks!$M:$M),""))</f>
        <v/>
      </c>
      <c r="G44" s="6" t="str">
        <f>IF(A44="","",SUMIFS(Chicks!$N:$N,Chicks!$C:$C,A44))</f>
        <v/>
      </c>
      <c r="H44" s="6" t="str">
        <f>IF(A44="","",SUMIFS(Chicks!$O:$O,Chicks!$C:$C,A44))</f>
        <v/>
      </c>
      <c r="I44" s="6" t="str">
        <f>IF(A44="","",SUMIFS(Chicks!$P:$P,Chicks!$C:$C,A44))</f>
        <v/>
      </c>
    </row>
    <row r="45" spans="1:9" ht="14.25" customHeight="1" x14ac:dyDescent="0.3">
      <c r="A45" s="4"/>
      <c r="B45" s="4" t="str">
        <f>IF(A45="","",COUNTIF(Chicks!$C:$C,A45))</f>
        <v/>
      </c>
      <c r="C45" s="4"/>
      <c r="D45" s="6" t="str">
        <f>IF(A45="","",IFERROR(AVERAGEIF(Chicks!$C:$C,A45,Chicks!$K:$K),""))</f>
        <v/>
      </c>
      <c r="E45" s="6" t="str">
        <f>IF(A45="","",IFERROR(AVERAGEIF(Chicks!$C:$C,A45,Chicks!$L:$L),""))</f>
        <v/>
      </c>
      <c r="F45" s="6" t="str">
        <f>IF(A45="","",IFERROR(AVERAGEIF(Chicks!$C:$C,A45,Chicks!$M:$M),""))</f>
        <v/>
      </c>
      <c r="G45" s="6" t="str">
        <f>IF(A45="","",SUMIFS(Chicks!$N:$N,Chicks!$C:$C,A45))</f>
        <v/>
      </c>
      <c r="H45" s="6" t="str">
        <f>IF(A45="","",SUMIFS(Chicks!$O:$O,Chicks!$C:$C,A45))</f>
        <v/>
      </c>
      <c r="I45" s="6" t="str">
        <f>IF(A45="","",SUMIFS(Chicks!$P:$P,Chicks!$C:$C,A45))</f>
        <v/>
      </c>
    </row>
    <row r="46" spans="1:9" ht="14.25" customHeight="1" x14ac:dyDescent="0.3">
      <c r="A46" s="4"/>
      <c r="B46" s="4" t="str">
        <f>IF(A46="","",COUNTIF(Chicks!$C:$C,A46))</f>
        <v/>
      </c>
      <c r="C46" s="4"/>
      <c r="D46" s="6" t="str">
        <f>IF(A46="","",IFERROR(AVERAGEIF(Chicks!$C:$C,A46,Chicks!$K:$K),""))</f>
        <v/>
      </c>
      <c r="E46" s="6" t="str">
        <f>IF(A46="","",IFERROR(AVERAGEIF(Chicks!$C:$C,A46,Chicks!$L:$L),""))</f>
        <v/>
      </c>
      <c r="F46" s="6" t="str">
        <f>IF(A46="","",IFERROR(AVERAGEIF(Chicks!$C:$C,A46,Chicks!$M:$M),""))</f>
        <v/>
      </c>
      <c r="G46" s="6" t="str">
        <f>IF(A46="","",SUMIFS(Chicks!$N:$N,Chicks!$C:$C,A46))</f>
        <v/>
      </c>
      <c r="H46" s="6" t="str">
        <f>IF(A46="","",SUMIFS(Chicks!$O:$O,Chicks!$C:$C,A46))</f>
        <v/>
      </c>
      <c r="I46" s="6" t="str">
        <f>IF(A46="","",SUMIFS(Chicks!$P:$P,Chicks!$C:$C,A46))</f>
        <v/>
      </c>
    </row>
    <row r="47" spans="1:9" ht="14.25" customHeight="1" x14ac:dyDescent="0.3">
      <c r="A47" s="4"/>
      <c r="B47" s="4" t="str">
        <f>IF(A47="","",COUNTIF(Chicks!$C:$C,A47))</f>
        <v/>
      </c>
      <c r="C47" s="4"/>
      <c r="D47" s="6" t="str">
        <f>IF(A47="","",IFERROR(AVERAGEIF(Chicks!$C:$C,A47,Chicks!$K:$K),""))</f>
        <v/>
      </c>
      <c r="E47" s="6" t="str">
        <f>IF(A47="","",IFERROR(AVERAGEIF(Chicks!$C:$C,A47,Chicks!$L:$L),""))</f>
        <v/>
      </c>
      <c r="F47" s="6" t="str">
        <f>IF(A47="","",IFERROR(AVERAGEIF(Chicks!$C:$C,A47,Chicks!$M:$M),""))</f>
        <v/>
      </c>
      <c r="G47" s="6" t="str">
        <f>IF(A47="","",SUMIFS(Chicks!$N:$N,Chicks!$C:$C,A47))</f>
        <v/>
      </c>
      <c r="H47" s="6" t="str">
        <f>IF(A47="","",SUMIFS(Chicks!$O:$O,Chicks!$C:$C,A47))</f>
        <v/>
      </c>
      <c r="I47" s="6" t="str">
        <f>IF(A47="","",SUMIFS(Chicks!$P:$P,Chicks!$C:$C,A47))</f>
        <v/>
      </c>
    </row>
    <row r="48" spans="1:9" ht="14.25" customHeight="1" x14ac:dyDescent="0.3">
      <c r="A48" s="4"/>
      <c r="B48" s="4" t="str">
        <f>IF(A48="","",COUNTIF(Chicks!$C:$C,A48))</f>
        <v/>
      </c>
      <c r="C48" s="4"/>
      <c r="D48" s="6" t="str">
        <f>IF(A48="","",IFERROR(AVERAGEIF(Chicks!$C:$C,A48,Chicks!$K:$K),""))</f>
        <v/>
      </c>
      <c r="E48" s="6" t="str">
        <f>IF(A48="","",IFERROR(AVERAGEIF(Chicks!$C:$C,A48,Chicks!$L:$L),""))</f>
        <v/>
      </c>
      <c r="F48" s="6" t="str">
        <f>IF(A48="","",IFERROR(AVERAGEIF(Chicks!$C:$C,A48,Chicks!$M:$M),""))</f>
        <v/>
      </c>
      <c r="G48" s="6" t="str">
        <f>IF(A48="","",SUMIFS(Chicks!$N:$N,Chicks!$C:$C,A48))</f>
        <v/>
      </c>
      <c r="H48" s="6" t="str">
        <f>IF(A48="","",SUMIFS(Chicks!$O:$O,Chicks!$C:$C,A48))</f>
        <v/>
      </c>
      <c r="I48" s="6" t="str">
        <f>IF(A48="","",SUMIFS(Chicks!$P:$P,Chicks!$C:$C,A48))</f>
        <v/>
      </c>
    </row>
    <row r="49" spans="1:9" ht="14.25" customHeight="1" x14ac:dyDescent="0.3">
      <c r="A49" s="4"/>
      <c r="B49" s="4" t="str">
        <f>IF(A49="","",COUNTIF(Chicks!$C:$C,A49))</f>
        <v/>
      </c>
      <c r="C49" s="4"/>
      <c r="D49" s="6" t="str">
        <f>IF(A49="","",IFERROR(AVERAGEIF(Chicks!$C:$C,A49,Chicks!$K:$K),""))</f>
        <v/>
      </c>
      <c r="E49" s="6" t="str">
        <f>IF(A49="","",IFERROR(AVERAGEIF(Chicks!$C:$C,A49,Chicks!$L:$L),""))</f>
        <v/>
      </c>
      <c r="F49" s="6" t="str">
        <f>IF(A49="","",IFERROR(AVERAGEIF(Chicks!$C:$C,A49,Chicks!$M:$M),""))</f>
        <v/>
      </c>
      <c r="G49" s="6" t="str">
        <f>IF(A49="","",SUMIFS(Chicks!$N:$N,Chicks!$C:$C,A49))</f>
        <v/>
      </c>
      <c r="H49" s="6" t="str">
        <f>IF(A49="","",SUMIFS(Chicks!$O:$O,Chicks!$C:$C,A49))</f>
        <v/>
      </c>
      <c r="I49" s="6" t="str">
        <f>IF(A49="","",SUMIFS(Chicks!$P:$P,Chicks!$C:$C,A49))</f>
        <v/>
      </c>
    </row>
    <row r="50" spans="1:9" ht="14.25" customHeight="1" x14ac:dyDescent="0.3">
      <c r="A50" s="4"/>
      <c r="B50" s="4" t="str">
        <f>IF(A50="","",COUNTIF(Chicks!$C:$C,A50))</f>
        <v/>
      </c>
      <c r="C50" s="4"/>
      <c r="D50" s="6" t="str">
        <f>IF(A50="","",IFERROR(AVERAGEIF(Chicks!$C:$C,A50,Chicks!$K:$K),""))</f>
        <v/>
      </c>
      <c r="E50" s="6" t="str">
        <f>IF(A50="","",IFERROR(AVERAGEIF(Chicks!$C:$C,A50,Chicks!$L:$L),""))</f>
        <v/>
      </c>
      <c r="F50" s="6" t="str">
        <f>IF(A50="","",IFERROR(AVERAGEIF(Chicks!$C:$C,A50,Chicks!$M:$M),""))</f>
        <v/>
      </c>
      <c r="G50" s="6" t="str">
        <f>IF(A50="","",SUMIFS(Chicks!$N:$N,Chicks!$C:$C,A50))</f>
        <v/>
      </c>
      <c r="H50" s="6" t="str">
        <f>IF(A50="","",SUMIFS(Chicks!$O:$O,Chicks!$C:$C,A50))</f>
        <v/>
      </c>
      <c r="I50" s="6" t="str">
        <f>IF(A50="","",SUMIFS(Chicks!$P:$P,Chicks!$C:$C,A50))</f>
        <v/>
      </c>
    </row>
    <row r="51" spans="1:9" ht="14.25" customHeight="1" x14ac:dyDescent="0.3">
      <c r="A51" s="4"/>
      <c r="B51" s="4" t="str">
        <f>IF(A51="","",COUNTIF(Chicks!$C:$C,A51))</f>
        <v/>
      </c>
      <c r="C51" s="4"/>
      <c r="D51" s="6" t="str">
        <f>IF(A51="","",IFERROR(AVERAGEIF(Chicks!$C:$C,A51,Chicks!$K:$K),""))</f>
        <v/>
      </c>
      <c r="E51" s="6" t="str">
        <f>IF(A51="","",IFERROR(AVERAGEIF(Chicks!$C:$C,A51,Chicks!$L:$L),""))</f>
        <v/>
      </c>
      <c r="F51" s="6" t="str">
        <f>IF(A51="","",IFERROR(AVERAGEIF(Chicks!$C:$C,A51,Chicks!$M:$M),""))</f>
        <v/>
      </c>
      <c r="G51" s="6" t="str">
        <f>IF(A51="","",SUMIFS(Chicks!$N:$N,Chicks!$C:$C,A51))</f>
        <v/>
      </c>
      <c r="H51" s="6" t="str">
        <f>IF(A51="","",SUMIFS(Chicks!$O:$O,Chicks!$C:$C,A51))</f>
        <v/>
      </c>
      <c r="I51" s="6" t="str">
        <f>IF(A51="","",SUMIFS(Chicks!$P:$P,Chicks!$C:$C,A51))</f>
        <v/>
      </c>
    </row>
    <row r="52" spans="1:9" ht="14.25" customHeight="1" x14ac:dyDescent="0.3">
      <c r="A52" s="4"/>
      <c r="B52" s="4" t="str">
        <f>IF(A52="","",COUNTIF(Chicks!$C:$C,A52))</f>
        <v/>
      </c>
      <c r="C52" s="4"/>
      <c r="D52" s="6" t="str">
        <f>IF(A52="","",IFERROR(AVERAGEIF(Chicks!$C:$C,A52,Chicks!$K:$K),""))</f>
        <v/>
      </c>
      <c r="E52" s="6" t="str">
        <f>IF(A52="","",IFERROR(AVERAGEIF(Chicks!$C:$C,A52,Chicks!$L:$L),""))</f>
        <v/>
      </c>
      <c r="F52" s="6" t="str">
        <f>IF(A52="","",IFERROR(AVERAGEIF(Chicks!$C:$C,A52,Chicks!$M:$M),""))</f>
        <v/>
      </c>
      <c r="G52" s="6" t="str">
        <f>IF(A52="","",SUMIFS(Chicks!$N:$N,Chicks!$C:$C,A52))</f>
        <v/>
      </c>
      <c r="H52" s="6" t="str">
        <f>IF(A52="","",SUMIFS(Chicks!$O:$O,Chicks!$C:$C,A52))</f>
        <v/>
      </c>
      <c r="I52" s="6" t="str">
        <f>IF(A52="","",SUMIFS(Chicks!$P:$P,Chicks!$C:$C,A52))</f>
        <v/>
      </c>
    </row>
    <row r="53" spans="1:9" ht="14.25" customHeight="1" x14ac:dyDescent="0.3">
      <c r="A53" s="4"/>
      <c r="B53" s="4" t="str">
        <f>IF(A53="","",COUNTIF(Chicks!$C:$C,A53))</f>
        <v/>
      </c>
      <c r="C53" s="4"/>
      <c r="D53" s="6" t="str">
        <f>IF(A53="","",IFERROR(AVERAGEIF(Chicks!$C:$C,A53,Chicks!$K:$K),""))</f>
        <v/>
      </c>
      <c r="E53" s="6" t="str">
        <f>IF(A53="","",IFERROR(AVERAGEIF(Chicks!$C:$C,A53,Chicks!$L:$L),""))</f>
        <v/>
      </c>
      <c r="F53" s="6" t="str">
        <f>IF(A53="","",IFERROR(AVERAGEIF(Chicks!$C:$C,A53,Chicks!$M:$M),""))</f>
        <v/>
      </c>
      <c r="G53" s="6" t="str">
        <f>IF(A53="","",SUMIFS(Chicks!$N:$N,Chicks!$C:$C,A53))</f>
        <v/>
      </c>
      <c r="H53" s="6" t="str">
        <f>IF(A53="","",SUMIFS(Chicks!$O:$O,Chicks!$C:$C,A53))</f>
        <v/>
      </c>
      <c r="I53" s="6" t="str">
        <f>IF(A53="","",SUMIFS(Chicks!$P:$P,Chicks!$C:$C,A53))</f>
        <v/>
      </c>
    </row>
    <row r="54" spans="1:9" ht="14.25" customHeight="1" x14ac:dyDescent="0.3">
      <c r="A54" s="4"/>
      <c r="B54" s="4" t="str">
        <f>IF(A54="","",COUNTIF(Chicks!$C:$C,A54))</f>
        <v/>
      </c>
      <c r="C54" s="4"/>
      <c r="D54" s="6" t="str">
        <f>IF(A54="","",IFERROR(AVERAGEIF(Chicks!$C:$C,A54,Chicks!$K:$K),""))</f>
        <v/>
      </c>
      <c r="E54" s="6" t="str">
        <f>IF(A54="","",IFERROR(AVERAGEIF(Chicks!$C:$C,A54,Chicks!$L:$L),""))</f>
        <v/>
      </c>
      <c r="F54" s="6" t="str">
        <f>IF(A54="","",IFERROR(AVERAGEIF(Chicks!$C:$C,A54,Chicks!$M:$M),""))</f>
        <v/>
      </c>
      <c r="G54" s="6" t="str">
        <f>IF(A54="","",SUMIFS(Chicks!$N:$N,Chicks!$C:$C,A54))</f>
        <v/>
      </c>
      <c r="H54" s="6" t="str">
        <f>IF(A54="","",SUMIFS(Chicks!$O:$O,Chicks!$C:$C,A54))</f>
        <v/>
      </c>
      <c r="I54" s="6" t="str">
        <f>IF(A54="","",SUMIFS(Chicks!$P:$P,Chicks!$C:$C,A54))</f>
        <v/>
      </c>
    </row>
    <row r="55" spans="1:9" ht="14.25" customHeight="1" x14ac:dyDescent="0.3">
      <c r="A55" s="4"/>
      <c r="B55" s="4" t="str">
        <f>IF(A55="","",COUNTIF(Chicks!$C:$C,A55))</f>
        <v/>
      </c>
      <c r="C55" s="4"/>
      <c r="D55" s="6" t="str">
        <f>IF(A55="","",IFERROR(AVERAGEIF(Chicks!$C:$C,A55,Chicks!$K:$K),""))</f>
        <v/>
      </c>
      <c r="E55" s="6" t="str">
        <f>IF(A55="","",IFERROR(AVERAGEIF(Chicks!$C:$C,A55,Chicks!$L:$L),""))</f>
        <v/>
      </c>
      <c r="F55" s="6" t="str">
        <f>IF(A55="","",IFERROR(AVERAGEIF(Chicks!$C:$C,A55,Chicks!$M:$M),""))</f>
        <v/>
      </c>
      <c r="G55" s="6" t="str">
        <f>IF(A55="","",SUMIFS(Chicks!$N:$N,Chicks!$C:$C,A55))</f>
        <v/>
      </c>
      <c r="H55" s="6" t="str">
        <f>IF(A55="","",SUMIFS(Chicks!$O:$O,Chicks!$C:$C,A55))</f>
        <v/>
      </c>
      <c r="I55" s="6" t="str">
        <f>IF(A55="","",SUMIFS(Chicks!$P:$P,Chicks!$C:$C,A55))</f>
        <v/>
      </c>
    </row>
    <row r="56" spans="1:9" ht="14.25" customHeight="1" x14ac:dyDescent="0.3">
      <c r="A56" s="4"/>
      <c r="B56" s="4" t="str">
        <f>IF(A56="","",COUNTIF(Chicks!$C:$C,A56))</f>
        <v/>
      </c>
      <c r="C56" s="4"/>
      <c r="D56" s="6" t="str">
        <f>IF(A56="","",IFERROR(AVERAGEIF(Chicks!$C:$C,A56,Chicks!$K:$K),""))</f>
        <v/>
      </c>
      <c r="E56" s="6" t="str">
        <f>IF(A56="","",IFERROR(AVERAGEIF(Chicks!$C:$C,A56,Chicks!$L:$L),""))</f>
        <v/>
      </c>
      <c r="F56" s="6" t="str">
        <f>IF(A56="","",IFERROR(AVERAGEIF(Chicks!$C:$C,A56,Chicks!$M:$M),""))</f>
        <v/>
      </c>
      <c r="G56" s="6" t="str">
        <f>IF(A56="","",SUMIFS(Chicks!$N:$N,Chicks!$C:$C,A56))</f>
        <v/>
      </c>
      <c r="H56" s="6" t="str">
        <f>IF(A56="","",SUMIFS(Chicks!$O:$O,Chicks!$C:$C,A56))</f>
        <v/>
      </c>
      <c r="I56" s="6" t="str">
        <f>IF(A56="","",SUMIFS(Chicks!$P:$P,Chicks!$C:$C,A56))</f>
        <v/>
      </c>
    </row>
    <row r="57" spans="1:9" ht="14.25" customHeight="1" x14ac:dyDescent="0.3">
      <c r="A57" s="4"/>
      <c r="B57" s="4" t="str">
        <f>IF(A57="","",COUNTIF(Chicks!$C:$C,A57))</f>
        <v/>
      </c>
      <c r="C57" s="4"/>
      <c r="D57" s="6" t="str">
        <f>IF(A57="","",IFERROR(AVERAGEIF(Chicks!$C:$C,A57,Chicks!$K:$K),""))</f>
        <v/>
      </c>
      <c r="E57" s="6" t="str">
        <f>IF(A57="","",IFERROR(AVERAGEIF(Chicks!$C:$C,A57,Chicks!$L:$L),""))</f>
        <v/>
      </c>
      <c r="F57" s="6" t="str">
        <f>IF(A57="","",IFERROR(AVERAGEIF(Chicks!$C:$C,A57,Chicks!$M:$M),""))</f>
        <v/>
      </c>
      <c r="G57" s="6" t="str">
        <f>IF(A57="","",SUMIFS(Chicks!$N:$N,Chicks!$C:$C,A57))</f>
        <v/>
      </c>
      <c r="H57" s="6" t="str">
        <f>IF(A57="","",SUMIFS(Chicks!$O:$O,Chicks!$C:$C,A57))</f>
        <v/>
      </c>
      <c r="I57" s="6" t="str">
        <f>IF(A57="","",SUMIFS(Chicks!$P:$P,Chicks!$C:$C,A57))</f>
        <v/>
      </c>
    </row>
    <row r="58" spans="1:9" ht="14.25" customHeight="1" x14ac:dyDescent="0.3">
      <c r="A58" s="4"/>
      <c r="B58" s="4" t="str">
        <f>IF(A58="","",COUNTIF(Chicks!$C:$C,A58))</f>
        <v/>
      </c>
      <c r="C58" s="4"/>
      <c r="D58" s="6" t="str">
        <f>IF(A58="","",IFERROR(AVERAGEIF(Chicks!$C:$C,A58,Chicks!$K:$K),""))</f>
        <v/>
      </c>
      <c r="E58" s="6" t="str">
        <f>IF(A58="","",IFERROR(AVERAGEIF(Chicks!$C:$C,A58,Chicks!$L:$L),""))</f>
        <v/>
      </c>
      <c r="F58" s="6" t="str">
        <f>IF(A58="","",IFERROR(AVERAGEIF(Chicks!$C:$C,A58,Chicks!$M:$M),""))</f>
        <v/>
      </c>
      <c r="G58" s="6" t="str">
        <f>IF(A58="","",SUMIFS(Chicks!$N:$N,Chicks!$C:$C,A58))</f>
        <v/>
      </c>
      <c r="H58" s="6" t="str">
        <f>IF(A58="","",SUMIFS(Chicks!$O:$O,Chicks!$C:$C,A58))</f>
        <v/>
      </c>
      <c r="I58" s="6" t="str">
        <f>IF(A58="","",SUMIFS(Chicks!$P:$P,Chicks!$C:$C,A58))</f>
        <v/>
      </c>
    </row>
    <row r="59" spans="1:9" ht="14.25" customHeight="1" x14ac:dyDescent="0.3">
      <c r="A59" s="4"/>
      <c r="B59" s="4" t="str">
        <f>IF(A59="","",COUNTIF(Chicks!$C:$C,A59))</f>
        <v/>
      </c>
      <c r="C59" s="4"/>
      <c r="D59" s="6" t="str">
        <f>IF(A59="","",IFERROR(AVERAGEIF(Chicks!$C:$C,A59,Chicks!$K:$K),""))</f>
        <v/>
      </c>
      <c r="E59" s="6" t="str">
        <f>IF(A59="","",IFERROR(AVERAGEIF(Chicks!$C:$C,A59,Chicks!$L:$L),""))</f>
        <v/>
      </c>
      <c r="F59" s="6" t="str">
        <f>IF(A59="","",IFERROR(AVERAGEIF(Chicks!$C:$C,A59,Chicks!$M:$M),""))</f>
        <v/>
      </c>
      <c r="G59" s="6" t="str">
        <f>IF(A59="","",SUMIFS(Chicks!$N:$N,Chicks!$C:$C,A59))</f>
        <v/>
      </c>
      <c r="H59" s="6" t="str">
        <f>IF(A59="","",SUMIFS(Chicks!$O:$O,Chicks!$C:$C,A59))</f>
        <v/>
      </c>
      <c r="I59" s="6" t="str">
        <f>IF(A59="","",SUMIFS(Chicks!$P:$P,Chicks!$C:$C,A59))</f>
        <v/>
      </c>
    </row>
    <row r="60" spans="1:9" ht="14.25" customHeight="1" x14ac:dyDescent="0.3">
      <c r="A60" s="4"/>
      <c r="B60" s="4" t="str">
        <f>IF(A60="","",COUNTIF(Chicks!$C:$C,A60))</f>
        <v/>
      </c>
      <c r="C60" s="4"/>
      <c r="D60" s="6" t="str">
        <f>IF(A60="","",IFERROR(AVERAGEIF(Chicks!$C:$C,A60,Chicks!$K:$K),""))</f>
        <v/>
      </c>
      <c r="E60" s="6" t="str">
        <f>IF(A60="","",IFERROR(AVERAGEIF(Chicks!$C:$C,A60,Chicks!$L:$L),""))</f>
        <v/>
      </c>
      <c r="F60" s="6" t="str">
        <f>IF(A60="","",IFERROR(AVERAGEIF(Chicks!$C:$C,A60,Chicks!$M:$M),""))</f>
        <v/>
      </c>
      <c r="G60" s="6" t="str">
        <f>IF(A60="","",SUMIFS(Chicks!$N:$N,Chicks!$C:$C,A60))</f>
        <v/>
      </c>
      <c r="H60" s="6" t="str">
        <f>IF(A60="","",SUMIFS(Chicks!$O:$O,Chicks!$C:$C,A60))</f>
        <v/>
      </c>
      <c r="I60" s="6" t="str">
        <f>IF(A60="","",SUMIFS(Chicks!$P:$P,Chicks!$C:$C,A60))</f>
        <v/>
      </c>
    </row>
    <row r="61" spans="1:9" ht="14.25" customHeight="1" x14ac:dyDescent="0.3">
      <c r="A61" s="4"/>
      <c r="B61" s="4" t="str">
        <f>IF(A61="","",COUNTIF(Chicks!$C:$C,A61))</f>
        <v/>
      </c>
      <c r="C61" s="4"/>
      <c r="D61" s="6" t="str">
        <f>IF(A61="","",IFERROR(AVERAGEIF(Chicks!$C:$C,A61,Chicks!$K:$K),""))</f>
        <v/>
      </c>
      <c r="E61" s="6" t="str">
        <f>IF(A61="","",IFERROR(AVERAGEIF(Chicks!$C:$C,A61,Chicks!$L:$L),""))</f>
        <v/>
      </c>
      <c r="F61" s="6" t="str">
        <f>IF(A61="","",IFERROR(AVERAGEIF(Chicks!$C:$C,A61,Chicks!$M:$M),""))</f>
        <v/>
      </c>
      <c r="G61" s="6" t="str">
        <f>IF(A61="","",SUMIFS(Chicks!$N:$N,Chicks!$C:$C,A61))</f>
        <v/>
      </c>
      <c r="H61" s="6" t="str">
        <f>IF(A61="","",SUMIFS(Chicks!$O:$O,Chicks!$C:$C,A61))</f>
        <v/>
      </c>
      <c r="I61" s="6" t="str">
        <f>IF(A61="","",SUMIFS(Chicks!$P:$P,Chicks!$C:$C,A61))</f>
        <v/>
      </c>
    </row>
    <row r="62" spans="1:9" ht="14.25" customHeight="1" x14ac:dyDescent="0.3">
      <c r="A62" s="4"/>
      <c r="B62" s="4" t="str">
        <f>IF(A62="","",COUNTIF(Chicks!$C:$C,A62))</f>
        <v/>
      </c>
      <c r="C62" s="4"/>
      <c r="D62" s="6" t="str">
        <f>IF(A62="","",IFERROR(AVERAGEIF(Chicks!$C:$C,A62,Chicks!$K:$K),""))</f>
        <v/>
      </c>
      <c r="E62" s="6" t="str">
        <f>IF(A62="","",IFERROR(AVERAGEIF(Chicks!$C:$C,A62,Chicks!$L:$L),""))</f>
        <v/>
      </c>
      <c r="F62" s="6" t="str">
        <f>IF(A62="","",IFERROR(AVERAGEIF(Chicks!$C:$C,A62,Chicks!$M:$M),""))</f>
        <v/>
      </c>
      <c r="G62" s="6" t="str">
        <f>IF(A62="","",SUMIFS(Chicks!$N:$N,Chicks!$C:$C,A62))</f>
        <v/>
      </c>
      <c r="H62" s="6" t="str">
        <f>IF(A62="","",SUMIFS(Chicks!$O:$O,Chicks!$C:$C,A62))</f>
        <v/>
      </c>
      <c r="I62" s="6" t="str">
        <f>IF(A62="","",SUMIFS(Chicks!$P:$P,Chicks!$C:$C,A62))</f>
        <v/>
      </c>
    </row>
    <row r="63" spans="1:9" ht="14.25" customHeight="1" x14ac:dyDescent="0.3">
      <c r="A63" s="4"/>
      <c r="B63" s="4" t="str">
        <f>IF(A63="","",COUNTIF(Chicks!$C:$C,A63))</f>
        <v/>
      </c>
      <c r="C63" s="4"/>
      <c r="D63" s="6" t="str">
        <f>IF(A63="","",IFERROR(AVERAGEIF(Chicks!$C:$C,A63,Chicks!$K:$K),""))</f>
        <v/>
      </c>
      <c r="E63" s="6" t="str">
        <f>IF(A63="","",IFERROR(AVERAGEIF(Chicks!$C:$C,A63,Chicks!$L:$L),""))</f>
        <v/>
      </c>
      <c r="F63" s="6" t="str">
        <f>IF(A63="","",IFERROR(AVERAGEIF(Chicks!$C:$C,A63,Chicks!$M:$M),""))</f>
        <v/>
      </c>
      <c r="G63" s="6" t="str">
        <f>IF(A63="","",SUMIFS(Chicks!$N:$N,Chicks!$C:$C,A63))</f>
        <v/>
      </c>
      <c r="H63" s="6" t="str">
        <f>IF(A63="","",SUMIFS(Chicks!$O:$O,Chicks!$C:$C,A63))</f>
        <v/>
      </c>
      <c r="I63" s="6" t="str">
        <f>IF(A63="","",SUMIFS(Chicks!$P:$P,Chicks!$C:$C,A63))</f>
        <v/>
      </c>
    </row>
    <row r="64" spans="1:9" ht="14.25" customHeight="1" x14ac:dyDescent="0.3">
      <c r="A64" s="4"/>
      <c r="B64" s="4" t="str">
        <f>IF(A64="","",COUNTIF(Chicks!$C:$C,A64))</f>
        <v/>
      </c>
      <c r="C64" s="4"/>
      <c r="D64" s="6" t="str">
        <f>IF(A64="","",IFERROR(AVERAGEIF(Chicks!$C:$C,A64,Chicks!$K:$K),""))</f>
        <v/>
      </c>
      <c r="E64" s="6" t="str">
        <f>IF(A64="","",IFERROR(AVERAGEIF(Chicks!$C:$C,A64,Chicks!$L:$L),""))</f>
        <v/>
      </c>
      <c r="F64" s="6" t="str">
        <f>IF(A64="","",IFERROR(AVERAGEIF(Chicks!$C:$C,A64,Chicks!$M:$M),""))</f>
        <v/>
      </c>
      <c r="G64" s="6" t="str">
        <f>IF(A64="","",SUMIFS(Chicks!$N:$N,Chicks!$C:$C,A64))</f>
        <v/>
      </c>
      <c r="H64" s="6" t="str">
        <f>IF(A64="","",SUMIFS(Chicks!$O:$O,Chicks!$C:$C,A64))</f>
        <v/>
      </c>
      <c r="I64" s="6" t="str">
        <f>IF(A64="","",SUMIFS(Chicks!$P:$P,Chicks!$C:$C,A64))</f>
        <v/>
      </c>
    </row>
    <row r="65" spans="1:9" ht="14.25" customHeight="1" x14ac:dyDescent="0.3">
      <c r="A65" s="4"/>
      <c r="B65" s="4" t="str">
        <f>IF(A65="","",COUNTIF(Chicks!$C:$C,A65))</f>
        <v/>
      </c>
      <c r="C65" s="4"/>
      <c r="D65" s="6" t="str">
        <f>IF(A65="","",IFERROR(AVERAGEIF(Chicks!$C:$C,A65,Chicks!$K:$K),""))</f>
        <v/>
      </c>
      <c r="E65" s="6" t="str">
        <f>IF(A65="","",IFERROR(AVERAGEIF(Chicks!$C:$C,A65,Chicks!$L:$L),""))</f>
        <v/>
      </c>
      <c r="F65" s="6" t="str">
        <f>IF(A65="","",IFERROR(AVERAGEIF(Chicks!$C:$C,A65,Chicks!$M:$M),""))</f>
        <v/>
      </c>
      <c r="G65" s="6" t="str">
        <f>IF(A65="","",SUMIFS(Chicks!$N:$N,Chicks!$C:$C,A65))</f>
        <v/>
      </c>
      <c r="H65" s="6" t="str">
        <f>IF(A65="","",SUMIFS(Chicks!$O:$O,Chicks!$C:$C,A65))</f>
        <v/>
      </c>
      <c r="I65" s="6" t="str">
        <f>IF(A65="","",SUMIFS(Chicks!$P:$P,Chicks!$C:$C,A65))</f>
        <v/>
      </c>
    </row>
    <row r="66" spans="1:9" ht="14.25" customHeight="1" x14ac:dyDescent="0.3">
      <c r="A66" s="4"/>
      <c r="B66" s="4" t="str">
        <f>IF(A66="","",COUNTIF(Chicks!$C:$C,A66))</f>
        <v/>
      </c>
      <c r="C66" s="4"/>
      <c r="D66" s="6" t="str">
        <f>IF(A66="","",IFERROR(AVERAGEIF(Chicks!$C:$C,A66,Chicks!$K:$K),""))</f>
        <v/>
      </c>
      <c r="E66" s="6" t="str">
        <f>IF(A66="","",IFERROR(AVERAGEIF(Chicks!$C:$C,A66,Chicks!$L:$L),""))</f>
        <v/>
      </c>
      <c r="F66" s="6" t="str">
        <f>IF(A66="","",IFERROR(AVERAGEIF(Chicks!$C:$C,A66,Chicks!$M:$M),""))</f>
        <v/>
      </c>
      <c r="G66" s="6" t="str">
        <f>IF(A66="","",SUMIFS(Chicks!$N:$N,Chicks!$C:$C,A66))</f>
        <v/>
      </c>
      <c r="H66" s="6" t="str">
        <f>IF(A66="","",SUMIFS(Chicks!$O:$O,Chicks!$C:$C,A66))</f>
        <v/>
      </c>
      <c r="I66" s="6" t="str">
        <f>IF(A66="","",SUMIFS(Chicks!$P:$P,Chicks!$C:$C,A66))</f>
        <v/>
      </c>
    </row>
    <row r="67" spans="1:9" ht="14.25" customHeight="1" x14ac:dyDescent="0.3">
      <c r="A67" s="4"/>
      <c r="B67" s="4" t="str">
        <f>IF(A67="","",COUNTIF(Chicks!$C:$C,A67))</f>
        <v/>
      </c>
      <c r="C67" s="4"/>
      <c r="D67" s="6" t="str">
        <f>IF(A67="","",IFERROR(AVERAGEIF(Chicks!$C:$C,A67,Chicks!$K:$K),""))</f>
        <v/>
      </c>
      <c r="E67" s="6" t="str">
        <f>IF(A67="","",IFERROR(AVERAGEIF(Chicks!$C:$C,A67,Chicks!$L:$L),""))</f>
        <v/>
      </c>
      <c r="F67" s="6" t="str">
        <f>IF(A67="","",IFERROR(AVERAGEIF(Chicks!$C:$C,A67,Chicks!$M:$M),""))</f>
        <v/>
      </c>
      <c r="G67" s="6" t="str">
        <f>IF(A67="","",SUMIFS(Chicks!$N:$N,Chicks!$C:$C,A67))</f>
        <v/>
      </c>
      <c r="H67" s="6" t="str">
        <f>IF(A67="","",SUMIFS(Chicks!$O:$O,Chicks!$C:$C,A67))</f>
        <v/>
      </c>
      <c r="I67" s="6" t="str">
        <f>IF(A67="","",SUMIFS(Chicks!$P:$P,Chicks!$C:$C,A67))</f>
        <v/>
      </c>
    </row>
    <row r="68" spans="1:9" ht="14.25" customHeight="1" x14ac:dyDescent="0.3">
      <c r="A68" s="4"/>
      <c r="B68" s="4" t="str">
        <f>IF(A68="","",COUNTIF(Chicks!$C:$C,A68))</f>
        <v/>
      </c>
      <c r="C68" s="4"/>
      <c r="D68" s="6" t="str">
        <f>IF(A68="","",IFERROR(AVERAGEIF(Chicks!$C:$C,A68,Chicks!$K:$K),""))</f>
        <v/>
      </c>
      <c r="E68" s="6" t="str">
        <f>IF(A68="","",IFERROR(AVERAGEIF(Chicks!$C:$C,A68,Chicks!$L:$L),""))</f>
        <v/>
      </c>
      <c r="F68" s="6" t="str">
        <f>IF(A68="","",IFERROR(AVERAGEIF(Chicks!$C:$C,A68,Chicks!$M:$M),""))</f>
        <v/>
      </c>
      <c r="G68" s="6" t="str">
        <f>IF(A68="","",SUMIFS(Chicks!$N:$N,Chicks!$C:$C,A68))</f>
        <v/>
      </c>
      <c r="H68" s="6" t="str">
        <f>IF(A68="","",SUMIFS(Chicks!$O:$O,Chicks!$C:$C,A68))</f>
        <v/>
      </c>
      <c r="I68" s="6" t="str">
        <f>IF(A68="","",SUMIFS(Chicks!$P:$P,Chicks!$C:$C,A68))</f>
        <v/>
      </c>
    </row>
    <row r="69" spans="1:9" ht="14.25" customHeight="1" x14ac:dyDescent="0.3">
      <c r="A69" s="4"/>
      <c r="B69" s="4" t="str">
        <f>IF(A69="","",COUNTIF(Chicks!$C:$C,A69))</f>
        <v/>
      </c>
      <c r="C69" s="4"/>
      <c r="D69" s="6" t="str">
        <f>IF(A69="","",IFERROR(AVERAGEIF(Chicks!$C:$C,A69,Chicks!$K:$K),""))</f>
        <v/>
      </c>
      <c r="E69" s="6" t="str">
        <f>IF(A69="","",IFERROR(AVERAGEIF(Chicks!$C:$C,A69,Chicks!$L:$L),""))</f>
        <v/>
      </c>
      <c r="F69" s="6" t="str">
        <f>IF(A69="","",IFERROR(AVERAGEIF(Chicks!$C:$C,A69,Chicks!$M:$M),""))</f>
        <v/>
      </c>
      <c r="G69" s="6" t="str">
        <f>IF(A69="","",SUMIFS(Chicks!$N:$N,Chicks!$C:$C,A69))</f>
        <v/>
      </c>
      <c r="H69" s="6" t="str">
        <f>IF(A69="","",SUMIFS(Chicks!$O:$O,Chicks!$C:$C,A69))</f>
        <v/>
      </c>
      <c r="I69" s="6" t="str">
        <f>IF(A69="","",SUMIFS(Chicks!$P:$P,Chicks!$C:$C,A69))</f>
        <v/>
      </c>
    </row>
    <row r="70" spans="1:9" ht="14.25" customHeight="1" x14ac:dyDescent="0.3">
      <c r="A70" s="4"/>
      <c r="B70" s="4" t="str">
        <f>IF(A70="","",COUNTIF(Chicks!$C:$C,A70))</f>
        <v/>
      </c>
      <c r="C70" s="4"/>
      <c r="D70" s="6" t="str">
        <f>IF(A70="","",IFERROR(AVERAGEIF(Chicks!$C:$C,A70,Chicks!$K:$K),""))</f>
        <v/>
      </c>
      <c r="E70" s="6" t="str">
        <f>IF(A70="","",IFERROR(AVERAGEIF(Chicks!$C:$C,A70,Chicks!$L:$L),""))</f>
        <v/>
      </c>
      <c r="F70" s="6" t="str">
        <f>IF(A70="","",IFERROR(AVERAGEIF(Chicks!$C:$C,A70,Chicks!$M:$M),""))</f>
        <v/>
      </c>
      <c r="G70" s="6" t="str">
        <f>IF(A70="","",SUMIFS(Chicks!$N:$N,Chicks!$C:$C,A70))</f>
        <v/>
      </c>
      <c r="H70" s="6" t="str">
        <f>IF(A70="","",SUMIFS(Chicks!$O:$O,Chicks!$C:$C,A70))</f>
        <v/>
      </c>
      <c r="I70" s="6" t="str">
        <f>IF(A70="","",SUMIFS(Chicks!$P:$P,Chicks!$C:$C,A70))</f>
        <v/>
      </c>
    </row>
    <row r="71" spans="1:9" ht="14.25" customHeight="1" x14ac:dyDescent="0.3">
      <c r="A71" s="4"/>
      <c r="B71" s="4" t="str">
        <f>IF(A71="","",COUNTIF(Chicks!$C:$C,A71))</f>
        <v/>
      </c>
      <c r="C71" s="4"/>
      <c r="D71" s="6" t="str">
        <f>IF(A71="","",IFERROR(AVERAGEIF(Chicks!$C:$C,A71,Chicks!$K:$K),""))</f>
        <v/>
      </c>
      <c r="E71" s="6" t="str">
        <f>IF(A71="","",IFERROR(AVERAGEIF(Chicks!$C:$C,A71,Chicks!$L:$L),""))</f>
        <v/>
      </c>
      <c r="F71" s="6" t="str">
        <f>IF(A71="","",IFERROR(AVERAGEIF(Chicks!$C:$C,A71,Chicks!$M:$M),""))</f>
        <v/>
      </c>
      <c r="G71" s="6" t="str">
        <f>IF(A71="","",SUMIFS(Chicks!$N:$N,Chicks!$C:$C,A71))</f>
        <v/>
      </c>
      <c r="H71" s="6" t="str">
        <f>IF(A71="","",SUMIFS(Chicks!$O:$O,Chicks!$C:$C,A71))</f>
        <v/>
      </c>
      <c r="I71" s="6" t="str">
        <f>IF(A71="","",SUMIFS(Chicks!$P:$P,Chicks!$C:$C,A71))</f>
        <v/>
      </c>
    </row>
    <row r="72" spans="1:9" ht="14.25" customHeight="1" x14ac:dyDescent="0.3">
      <c r="A72" s="4"/>
      <c r="B72" s="4" t="str">
        <f>IF(A72="","",COUNTIF(Chicks!$C:$C,A72))</f>
        <v/>
      </c>
      <c r="C72" s="4"/>
      <c r="D72" s="6" t="str">
        <f>IF(A72="","",IFERROR(AVERAGEIF(Chicks!$C:$C,A72,Chicks!$K:$K),""))</f>
        <v/>
      </c>
      <c r="E72" s="6" t="str">
        <f>IF(A72="","",IFERROR(AVERAGEIF(Chicks!$C:$C,A72,Chicks!$L:$L),""))</f>
        <v/>
      </c>
      <c r="F72" s="6" t="str">
        <f>IF(A72="","",IFERROR(AVERAGEIF(Chicks!$C:$C,A72,Chicks!$M:$M),""))</f>
        <v/>
      </c>
      <c r="G72" s="6" t="str">
        <f>IF(A72="","",SUMIFS(Chicks!$N:$N,Chicks!$C:$C,A72))</f>
        <v/>
      </c>
      <c r="H72" s="6" t="str">
        <f>IF(A72="","",SUMIFS(Chicks!$O:$O,Chicks!$C:$C,A72))</f>
        <v/>
      </c>
      <c r="I72" s="6" t="str">
        <f>IF(A72="","",SUMIFS(Chicks!$P:$P,Chicks!$C:$C,A72))</f>
        <v/>
      </c>
    </row>
    <row r="73" spans="1:9" ht="14.25" customHeight="1" x14ac:dyDescent="0.3">
      <c r="A73" s="4"/>
      <c r="B73" s="4" t="str">
        <f>IF(A73="","",COUNTIF(Chicks!$C:$C,A73))</f>
        <v/>
      </c>
      <c r="C73" s="4"/>
      <c r="D73" s="6" t="str">
        <f>IF(A73="","",IFERROR(AVERAGEIF(Chicks!$C:$C,A73,Chicks!$K:$K),""))</f>
        <v/>
      </c>
      <c r="E73" s="6" t="str">
        <f>IF(A73="","",IFERROR(AVERAGEIF(Chicks!$C:$C,A73,Chicks!$L:$L),""))</f>
        <v/>
      </c>
      <c r="F73" s="6" t="str">
        <f>IF(A73="","",IFERROR(AVERAGEIF(Chicks!$C:$C,A73,Chicks!$M:$M),""))</f>
        <v/>
      </c>
      <c r="G73" s="6" t="str">
        <f>IF(A73="","",SUMIFS(Chicks!$N:$N,Chicks!$C:$C,A73))</f>
        <v/>
      </c>
      <c r="H73" s="6" t="str">
        <f>IF(A73="","",SUMIFS(Chicks!$O:$O,Chicks!$C:$C,A73))</f>
        <v/>
      </c>
      <c r="I73" s="6" t="str">
        <f>IF(A73="","",SUMIFS(Chicks!$P:$P,Chicks!$C:$C,A73))</f>
        <v/>
      </c>
    </row>
    <row r="74" spans="1:9" ht="14.25" customHeight="1" x14ac:dyDescent="0.3">
      <c r="A74" s="4"/>
      <c r="B74" s="4" t="str">
        <f>IF(A74="","",COUNTIF(Chicks!$C:$C,A74))</f>
        <v/>
      </c>
      <c r="C74" s="4"/>
      <c r="D74" s="6" t="str">
        <f>IF(A74="","",IFERROR(AVERAGEIF(Chicks!$C:$C,A74,Chicks!$K:$K),""))</f>
        <v/>
      </c>
      <c r="E74" s="6" t="str">
        <f>IF(A74="","",IFERROR(AVERAGEIF(Chicks!$C:$C,A74,Chicks!$L:$L),""))</f>
        <v/>
      </c>
      <c r="F74" s="6" t="str">
        <f>IF(A74="","",IFERROR(AVERAGEIF(Chicks!$C:$C,A74,Chicks!$M:$M),""))</f>
        <v/>
      </c>
      <c r="G74" s="6" t="str">
        <f>IF(A74="","",SUMIFS(Chicks!$N:$N,Chicks!$C:$C,A74))</f>
        <v/>
      </c>
      <c r="H74" s="6" t="str">
        <f>IF(A74="","",SUMIFS(Chicks!$O:$O,Chicks!$C:$C,A74))</f>
        <v/>
      </c>
      <c r="I74" s="6" t="str">
        <f>IF(A74="","",SUMIFS(Chicks!$P:$P,Chicks!$C:$C,A74))</f>
        <v/>
      </c>
    </row>
    <row r="75" spans="1:9" ht="14.25" customHeight="1" x14ac:dyDescent="0.3">
      <c r="A75" s="4"/>
      <c r="B75" s="4" t="str">
        <f>IF(A75="","",COUNTIF(Chicks!$C:$C,A75))</f>
        <v/>
      </c>
      <c r="C75" s="4"/>
      <c r="D75" s="6" t="str">
        <f>IF(A75="","",IFERROR(AVERAGEIF(Chicks!$C:$C,A75,Chicks!$K:$K),""))</f>
        <v/>
      </c>
      <c r="E75" s="6" t="str">
        <f>IF(A75="","",IFERROR(AVERAGEIF(Chicks!$C:$C,A75,Chicks!$L:$L),""))</f>
        <v/>
      </c>
      <c r="F75" s="6" t="str">
        <f>IF(A75="","",IFERROR(AVERAGEIF(Chicks!$C:$C,A75,Chicks!$M:$M),""))</f>
        <v/>
      </c>
      <c r="G75" s="6" t="str">
        <f>IF(A75="","",SUMIFS(Chicks!$N:$N,Chicks!$C:$C,A75))</f>
        <v/>
      </c>
      <c r="H75" s="6" t="str">
        <f>IF(A75="","",SUMIFS(Chicks!$O:$O,Chicks!$C:$C,A75))</f>
        <v/>
      </c>
      <c r="I75" s="6" t="str">
        <f>IF(A75="","",SUMIFS(Chicks!$P:$P,Chicks!$C:$C,A75))</f>
        <v/>
      </c>
    </row>
    <row r="76" spans="1:9" ht="14.25" customHeight="1" x14ac:dyDescent="0.3">
      <c r="A76" s="4"/>
      <c r="B76" s="4" t="str">
        <f>IF(A76="","",COUNTIF(Chicks!$C:$C,A76))</f>
        <v/>
      </c>
      <c r="C76" s="4"/>
      <c r="D76" s="6" t="str">
        <f>IF(A76="","",IFERROR(AVERAGEIF(Chicks!$C:$C,A76,Chicks!$K:$K),""))</f>
        <v/>
      </c>
      <c r="E76" s="6" t="str">
        <f>IF(A76="","",IFERROR(AVERAGEIF(Chicks!$C:$C,A76,Chicks!$L:$L),""))</f>
        <v/>
      </c>
      <c r="F76" s="6" t="str">
        <f>IF(A76="","",IFERROR(AVERAGEIF(Chicks!$C:$C,A76,Chicks!$M:$M),""))</f>
        <v/>
      </c>
      <c r="G76" s="6" t="str">
        <f>IF(A76="","",SUMIFS(Chicks!$N:$N,Chicks!$C:$C,A76))</f>
        <v/>
      </c>
      <c r="H76" s="6" t="str">
        <f>IF(A76="","",SUMIFS(Chicks!$O:$O,Chicks!$C:$C,A76))</f>
        <v/>
      </c>
      <c r="I76" s="6" t="str">
        <f>IF(A76="","",SUMIFS(Chicks!$P:$P,Chicks!$C:$C,A76))</f>
        <v/>
      </c>
    </row>
    <row r="77" spans="1:9" ht="14.25" customHeight="1" x14ac:dyDescent="0.3">
      <c r="A77" s="4"/>
      <c r="B77" s="4" t="str">
        <f>IF(A77="","",COUNTIF(Chicks!$C:$C,A77))</f>
        <v/>
      </c>
      <c r="C77" s="4"/>
      <c r="D77" s="6" t="str">
        <f>IF(A77="","",IFERROR(AVERAGEIF(Chicks!$C:$C,A77,Chicks!$K:$K),""))</f>
        <v/>
      </c>
      <c r="E77" s="6" t="str">
        <f>IF(A77="","",IFERROR(AVERAGEIF(Chicks!$C:$C,A77,Chicks!$L:$L),""))</f>
        <v/>
      </c>
      <c r="F77" s="6" t="str">
        <f>IF(A77="","",IFERROR(AVERAGEIF(Chicks!$C:$C,A77,Chicks!$M:$M),""))</f>
        <v/>
      </c>
      <c r="G77" s="6" t="str">
        <f>IF(A77="","",SUMIFS(Chicks!$N:$N,Chicks!$C:$C,A77))</f>
        <v/>
      </c>
      <c r="H77" s="6" t="str">
        <f>IF(A77="","",SUMIFS(Chicks!$O:$O,Chicks!$C:$C,A77))</f>
        <v/>
      </c>
      <c r="I77" s="6" t="str">
        <f>IF(A77="","",SUMIFS(Chicks!$P:$P,Chicks!$C:$C,A77))</f>
        <v/>
      </c>
    </row>
    <row r="78" spans="1:9" ht="14.25" customHeight="1" x14ac:dyDescent="0.3">
      <c r="A78" s="4"/>
      <c r="B78" s="4" t="str">
        <f>IF(A78="","",COUNTIF(Chicks!$C:$C,A78))</f>
        <v/>
      </c>
      <c r="C78" s="4"/>
      <c r="D78" s="6" t="str">
        <f>IF(A78="","",IFERROR(AVERAGEIF(Chicks!$C:$C,A78,Chicks!$K:$K),""))</f>
        <v/>
      </c>
      <c r="E78" s="6" t="str">
        <f>IF(A78="","",IFERROR(AVERAGEIF(Chicks!$C:$C,A78,Chicks!$L:$L),""))</f>
        <v/>
      </c>
      <c r="F78" s="6" t="str">
        <f>IF(A78="","",IFERROR(AVERAGEIF(Chicks!$C:$C,A78,Chicks!$M:$M),""))</f>
        <v/>
      </c>
      <c r="G78" s="6" t="str">
        <f>IF(A78="","",SUMIFS(Chicks!$N:$N,Chicks!$C:$C,A78))</f>
        <v/>
      </c>
      <c r="H78" s="6" t="str">
        <f>IF(A78="","",SUMIFS(Chicks!$O:$O,Chicks!$C:$C,A78))</f>
        <v/>
      </c>
      <c r="I78" s="6" t="str">
        <f>IF(A78="","",SUMIFS(Chicks!$P:$P,Chicks!$C:$C,A78))</f>
        <v/>
      </c>
    </row>
    <row r="79" spans="1:9" ht="14.25" customHeight="1" x14ac:dyDescent="0.3">
      <c r="A79" s="4"/>
      <c r="B79" s="4" t="str">
        <f>IF(A79="","",COUNTIF(Chicks!$C:$C,A79))</f>
        <v/>
      </c>
      <c r="C79" s="4"/>
      <c r="D79" s="6" t="str">
        <f>IF(A79="","",IFERROR(AVERAGEIF(Chicks!$C:$C,A79,Chicks!$K:$K),""))</f>
        <v/>
      </c>
      <c r="E79" s="6" t="str">
        <f>IF(A79="","",IFERROR(AVERAGEIF(Chicks!$C:$C,A79,Chicks!$L:$L),""))</f>
        <v/>
      </c>
      <c r="F79" s="6" t="str">
        <f>IF(A79="","",IFERROR(AVERAGEIF(Chicks!$C:$C,A79,Chicks!$M:$M),""))</f>
        <v/>
      </c>
      <c r="G79" s="6" t="str">
        <f>IF(A79="","",SUMIFS(Chicks!$N:$N,Chicks!$C:$C,A79))</f>
        <v/>
      </c>
      <c r="H79" s="6" t="str">
        <f>IF(A79="","",SUMIFS(Chicks!$O:$O,Chicks!$C:$C,A79))</f>
        <v/>
      </c>
      <c r="I79" s="6" t="str">
        <f>IF(A79="","",SUMIFS(Chicks!$P:$P,Chicks!$C:$C,A79))</f>
        <v/>
      </c>
    </row>
    <row r="80" spans="1:9" ht="14.25" customHeight="1" x14ac:dyDescent="0.3">
      <c r="A80" s="4"/>
      <c r="B80" s="4" t="str">
        <f>IF(A80="","",COUNTIF(Chicks!$C:$C,A80))</f>
        <v/>
      </c>
      <c r="C80" s="4"/>
      <c r="D80" s="6" t="str">
        <f>IF(A80="","",IFERROR(AVERAGEIF(Chicks!$C:$C,A80,Chicks!$K:$K),""))</f>
        <v/>
      </c>
      <c r="E80" s="6" t="str">
        <f>IF(A80="","",IFERROR(AVERAGEIF(Chicks!$C:$C,A80,Chicks!$L:$L),""))</f>
        <v/>
      </c>
      <c r="F80" s="6" t="str">
        <f>IF(A80="","",IFERROR(AVERAGEIF(Chicks!$C:$C,A80,Chicks!$M:$M),""))</f>
        <v/>
      </c>
      <c r="G80" s="6" t="str">
        <f>IF(A80="","",SUMIFS(Chicks!$N:$N,Chicks!$C:$C,A80))</f>
        <v/>
      </c>
      <c r="H80" s="6" t="str">
        <f>IF(A80="","",SUMIFS(Chicks!$O:$O,Chicks!$C:$C,A80))</f>
        <v/>
      </c>
      <c r="I80" s="6" t="str">
        <f>IF(A80="","",SUMIFS(Chicks!$P:$P,Chicks!$C:$C,A80))</f>
        <v/>
      </c>
    </row>
    <row r="81" spans="1:9" ht="14.25" customHeight="1" x14ac:dyDescent="0.3">
      <c r="A81" s="4"/>
      <c r="B81" s="4" t="str">
        <f>IF(A81="","",COUNTIF(Chicks!$C:$C,A81))</f>
        <v/>
      </c>
      <c r="C81" s="4"/>
      <c r="D81" s="6" t="str">
        <f>IF(A81="","",IFERROR(AVERAGEIF(Chicks!$C:$C,A81,Chicks!$K:$K),""))</f>
        <v/>
      </c>
      <c r="E81" s="6" t="str">
        <f>IF(A81="","",IFERROR(AVERAGEIF(Chicks!$C:$C,A81,Chicks!$L:$L),""))</f>
        <v/>
      </c>
      <c r="F81" s="6" t="str">
        <f>IF(A81="","",IFERROR(AVERAGEIF(Chicks!$C:$C,A81,Chicks!$M:$M),""))</f>
        <v/>
      </c>
      <c r="G81" s="6" t="str">
        <f>IF(A81="","",SUMIFS(Chicks!$N:$N,Chicks!$C:$C,A81))</f>
        <v/>
      </c>
      <c r="H81" s="6" t="str">
        <f>IF(A81="","",SUMIFS(Chicks!$O:$O,Chicks!$C:$C,A81))</f>
        <v/>
      </c>
      <c r="I81" s="6" t="str">
        <f>IF(A81="","",SUMIFS(Chicks!$P:$P,Chicks!$C:$C,A81))</f>
        <v/>
      </c>
    </row>
    <row r="82" spans="1:9" ht="14.25" customHeight="1" x14ac:dyDescent="0.3">
      <c r="A82" s="4"/>
      <c r="B82" s="4" t="str">
        <f>IF(A82="","",COUNTIF(Chicks!$C:$C,A82))</f>
        <v/>
      </c>
      <c r="C82" s="4"/>
      <c r="D82" s="6" t="str">
        <f>IF(A82="","",IFERROR(AVERAGEIF(Chicks!$C:$C,A82,Chicks!$K:$K),""))</f>
        <v/>
      </c>
      <c r="E82" s="6" t="str">
        <f>IF(A82="","",IFERROR(AVERAGEIF(Chicks!$C:$C,A82,Chicks!$L:$L),""))</f>
        <v/>
      </c>
      <c r="F82" s="6" t="str">
        <f>IF(A82="","",IFERROR(AVERAGEIF(Chicks!$C:$C,A82,Chicks!$M:$M),""))</f>
        <v/>
      </c>
      <c r="G82" s="6" t="str">
        <f>IF(A82="","",SUMIFS(Chicks!$N:$N,Chicks!$C:$C,A82))</f>
        <v/>
      </c>
      <c r="H82" s="6" t="str">
        <f>IF(A82="","",SUMIFS(Chicks!$O:$O,Chicks!$C:$C,A82))</f>
        <v/>
      </c>
      <c r="I82" s="6" t="str">
        <f>IF(A82="","",SUMIFS(Chicks!$P:$P,Chicks!$C:$C,A82))</f>
        <v/>
      </c>
    </row>
    <row r="83" spans="1:9" ht="14.25" customHeight="1" x14ac:dyDescent="0.3">
      <c r="A83" s="4"/>
      <c r="B83" s="4" t="str">
        <f>IF(A83="","",COUNTIF(Chicks!$C:$C,A83))</f>
        <v/>
      </c>
      <c r="C83" s="4"/>
      <c r="D83" s="6" t="str">
        <f>IF(A83="","",IFERROR(AVERAGEIF(Chicks!$C:$C,A83,Chicks!$K:$K),""))</f>
        <v/>
      </c>
      <c r="E83" s="6" t="str">
        <f>IF(A83="","",IFERROR(AVERAGEIF(Chicks!$C:$C,A83,Chicks!$L:$L),""))</f>
        <v/>
      </c>
      <c r="F83" s="6" t="str">
        <f>IF(A83="","",IFERROR(AVERAGEIF(Chicks!$C:$C,A83,Chicks!$M:$M),""))</f>
        <v/>
      </c>
      <c r="G83" s="6" t="str">
        <f>IF(A83="","",SUMIFS(Chicks!$N:$N,Chicks!$C:$C,A83))</f>
        <v/>
      </c>
      <c r="H83" s="6" t="str">
        <f>IF(A83="","",SUMIFS(Chicks!$O:$O,Chicks!$C:$C,A83))</f>
        <v/>
      </c>
      <c r="I83" s="6" t="str">
        <f>IF(A83="","",SUMIFS(Chicks!$P:$P,Chicks!$C:$C,A83))</f>
        <v/>
      </c>
    </row>
    <row r="84" spans="1:9" ht="14.25" customHeight="1" x14ac:dyDescent="0.3">
      <c r="A84" s="4"/>
      <c r="B84" s="4" t="str">
        <f>IF(A84="","",COUNTIF(Chicks!$C:$C,A84))</f>
        <v/>
      </c>
      <c r="C84" s="4"/>
      <c r="D84" s="6" t="str">
        <f>IF(A84="","",IFERROR(AVERAGEIF(Chicks!$C:$C,A84,Chicks!$K:$K),""))</f>
        <v/>
      </c>
      <c r="E84" s="6" t="str">
        <f>IF(A84="","",IFERROR(AVERAGEIF(Chicks!$C:$C,A84,Chicks!$L:$L),""))</f>
        <v/>
      </c>
      <c r="F84" s="6" t="str">
        <f>IF(A84="","",IFERROR(AVERAGEIF(Chicks!$C:$C,A84,Chicks!$M:$M),""))</f>
        <v/>
      </c>
      <c r="G84" s="6" t="str">
        <f>IF(A84="","",SUMIFS(Chicks!$N:$N,Chicks!$C:$C,A84))</f>
        <v/>
      </c>
      <c r="H84" s="6" t="str">
        <f>IF(A84="","",SUMIFS(Chicks!$O:$O,Chicks!$C:$C,A84))</f>
        <v/>
      </c>
      <c r="I84" s="6" t="str">
        <f>IF(A84="","",SUMIFS(Chicks!$P:$P,Chicks!$C:$C,A84))</f>
        <v/>
      </c>
    </row>
    <row r="85" spans="1:9" ht="14.25" customHeight="1" x14ac:dyDescent="0.3">
      <c r="A85" s="4"/>
      <c r="B85" s="4" t="str">
        <f>IF(A85="","",COUNTIF(Chicks!$C:$C,A85))</f>
        <v/>
      </c>
      <c r="C85" s="4"/>
      <c r="D85" s="6" t="str">
        <f>IF(A85="","",IFERROR(AVERAGEIF(Chicks!$C:$C,A85,Chicks!$K:$K),""))</f>
        <v/>
      </c>
      <c r="E85" s="6" t="str">
        <f>IF(A85="","",IFERROR(AVERAGEIF(Chicks!$C:$C,A85,Chicks!$L:$L),""))</f>
        <v/>
      </c>
      <c r="F85" s="6" t="str">
        <f>IF(A85="","",IFERROR(AVERAGEIF(Chicks!$C:$C,A85,Chicks!$M:$M),""))</f>
        <v/>
      </c>
      <c r="G85" s="6" t="str">
        <f>IF(A85="","",SUMIFS(Chicks!$N:$N,Chicks!$C:$C,A85))</f>
        <v/>
      </c>
      <c r="H85" s="6" t="str">
        <f>IF(A85="","",SUMIFS(Chicks!$O:$O,Chicks!$C:$C,A85))</f>
        <v/>
      </c>
      <c r="I85" s="6" t="str">
        <f>IF(A85="","",SUMIFS(Chicks!$P:$P,Chicks!$C:$C,A85))</f>
        <v/>
      </c>
    </row>
    <row r="86" spans="1:9" ht="14.25" customHeight="1" x14ac:dyDescent="0.3">
      <c r="A86" s="4"/>
      <c r="B86" s="4" t="str">
        <f>IF(A86="","",COUNTIF(Chicks!$C:$C,A86))</f>
        <v/>
      </c>
      <c r="C86" s="4"/>
      <c r="D86" s="6" t="str">
        <f>IF(A86="","",IFERROR(AVERAGEIF(Chicks!$C:$C,A86,Chicks!$K:$K),""))</f>
        <v/>
      </c>
      <c r="E86" s="6" t="str">
        <f>IF(A86="","",IFERROR(AVERAGEIF(Chicks!$C:$C,A86,Chicks!$L:$L),""))</f>
        <v/>
      </c>
      <c r="F86" s="6" t="str">
        <f>IF(A86="","",IFERROR(AVERAGEIF(Chicks!$C:$C,A86,Chicks!$M:$M),""))</f>
        <v/>
      </c>
      <c r="G86" s="6" t="str">
        <f>IF(A86="","",SUMIFS(Chicks!$N:$N,Chicks!$C:$C,A86))</f>
        <v/>
      </c>
      <c r="H86" s="6" t="str">
        <f>IF(A86="","",SUMIFS(Chicks!$O:$O,Chicks!$C:$C,A86))</f>
        <v/>
      </c>
      <c r="I86" s="6" t="str">
        <f>IF(A86="","",SUMIFS(Chicks!$P:$P,Chicks!$C:$C,A86))</f>
        <v/>
      </c>
    </row>
    <row r="87" spans="1:9" ht="14.25" customHeight="1" x14ac:dyDescent="0.3">
      <c r="A87" s="4"/>
      <c r="B87" s="4" t="str">
        <f>IF(A87="","",COUNTIF(Chicks!$C:$C,A87))</f>
        <v/>
      </c>
      <c r="C87" s="4"/>
      <c r="D87" s="6" t="str">
        <f>IF(A87="","",IFERROR(AVERAGEIF(Chicks!$C:$C,A87,Chicks!$K:$K),""))</f>
        <v/>
      </c>
      <c r="E87" s="6" t="str">
        <f>IF(A87="","",IFERROR(AVERAGEIF(Chicks!$C:$C,A87,Chicks!$L:$L),""))</f>
        <v/>
      </c>
      <c r="F87" s="6" t="str">
        <f>IF(A87="","",IFERROR(AVERAGEIF(Chicks!$C:$C,A87,Chicks!$M:$M),""))</f>
        <v/>
      </c>
      <c r="G87" s="6" t="str">
        <f>IF(A87="","",SUMIFS(Chicks!$N:$N,Chicks!$C:$C,A87))</f>
        <v/>
      </c>
      <c r="H87" s="6" t="str">
        <f>IF(A87="","",SUMIFS(Chicks!$O:$O,Chicks!$C:$C,A87))</f>
        <v/>
      </c>
      <c r="I87" s="6" t="str">
        <f>IF(A87="","",SUMIFS(Chicks!$P:$P,Chicks!$C:$C,A87))</f>
        <v/>
      </c>
    </row>
    <row r="88" spans="1:9" ht="14.25" customHeight="1" x14ac:dyDescent="0.3">
      <c r="A88" s="4"/>
      <c r="B88" s="4" t="str">
        <f>IF(A88="","",COUNTIF(Chicks!$C:$C,A88))</f>
        <v/>
      </c>
      <c r="C88" s="4"/>
      <c r="D88" s="6" t="str">
        <f>IF(A88="","",IFERROR(AVERAGEIF(Chicks!$C:$C,A88,Chicks!$K:$K),""))</f>
        <v/>
      </c>
      <c r="E88" s="6" t="str">
        <f>IF(A88="","",IFERROR(AVERAGEIF(Chicks!$C:$C,A88,Chicks!$L:$L),""))</f>
        <v/>
      </c>
      <c r="F88" s="6" t="str">
        <f>IF(A88="","",IFERROR(AVERAGEIF(Chicks!$C:$C,A88,Chicks!$M:$M),""))</f>
        <v/>
      </c>
      <c r="G88" s="6" t="str">
        <f>IF(A88="","",SUMIFS(Chicks!$N:$N,Chicks!$C:$C,A88))</f>
        <v/>
      </c>
      <c r="H88" s="6" t="str">
        <f>IF(A88="","",SUMIFS(Chicks!$O:$O,Chicks!$C:$C,A88))</f>
        <v/>
      </c>
      <c r="I88" s="6" t="str">
        <f>IF(A88="","",SUMIFS(Chicks!$P:$P,Chicks!$C:$C,A88))</f>
        <v/>
      </c>
    </row>
    <row r="89" spans="1:9" ht="14.25" customHeight="1" x14ac:dyDescent="0.3">
      <c r="A89" s="4"/>
      <c r="B89" s="4" t="str">
        <f>IF(A89="","",COUNTIF(Chicks!$C:$C,A89))</f>
        <v/>
      </c>
      <c r="C89" s="4"/>
      <c r="D89" s="6" t="str">
        <f>IF(A89="","",IFERROR(AVERAGEIF(Chicks!$C:$C,A89,Chicks!$K:$K),""))</f>
        <v/>
      </c>
      <c r="E89" s="6" t="str">
        <f>IF(A89="","",IFERROR(AVERAGEIF(Chicks!$C:$C,A89,Chicks!$L:$L),""))</f>
        <v/>
      </c>
      <c r="F89" s="6" t="str">
        <f>IF(A89="","",IFERROR(AVERAGEIF(Chicks!$C:$C,A89,Chicks!$M:$M),""))</f>
        <v/>
      </c>
      <c r="G89" s="6" t="str">
        <f>IF(A89="","",SUMIFS(Chicks!$N:$N,Chicks!$C:$C,A89))</f>
        <v/>
      </c>
      <c r="H89" s="6" t="str">
        <f>IF(A89="","",SUMIFS(Chicks!$O:$O,Chicks!$C:$C,A89))</f>
        <v/>
      </c>
      <c r="I89" s="6" t="str">
        <f>IF(A89="","",SUMIFS(Chicks!$P:$P,Chicks!$C:$C,A89))</f>
        <v/>
      </c>
    </row>
    <row r="90" spans="1:9" ht="14.25" customHeight="1" x14ac:dyDescent="0.3">
      <c r="A90" s="4"/>
      <c r="B90" s="4" t="str">
        <f>IF(A90="","",COUNTIF(Chicks!$C:$C,A90))</f>
        <v/>
      </c>
      <c r="C90" s="4"/>
      <c r="D90" s="6" t="str">
        <f>IF(A90="","",IFERROR(AVERAGEIF(Chicks!$C:$C,A90,Chicks!$K:$K),""))</f>
        <v/>
      </c>
      <c r="E90" s="6" t="str">
        <f>IF(A90="","",IFERROR(AVERAGEIF(Chicks!$C:$C,A90,Chicks!$L:$L),""))</f>
        <v/>
      </c>
      <c r="F90" s="6" t="str">
        <f>IF(A90="","",IFERROR(AVERAGEIF(Chicks!$C:$C,A90,Chicks!$M:$M),""))</f>
        <v/>
      </c>
      <c r="G90" s="6" t="str">
        <f>IF(A90="","",SUMIFS(Chicks!$N:$N,Chicks!$C:$C,A90))</f>
        <v/>
      </c>
      <c r="H90" s="6" t="str">
        <f>IF(A90="","",SUMIFS(Chicks!$O:$O,Chicks!$C:$C,A90))</f>
        <v/>
      </c>
      <c r="I90" s="6" t="str">
        <f>IF(A90="","",SUMIFS(Chicks!$P:$P,Chicks!$C:$C,A90))</f>
        <v/>
      </c>
    </row>
    <row r="91" spans="1:9" ht="14.25" customHeight="1" x14ac:dyDescent="0.3">
      <c r="A91" s="4"/>
      <c r="B91" s="4" t="str">
        <f>IF(A91="","",COUNTIF(Chicks!$C:$C,A91))</f>
        <v/>
      </c>
      <c r="C91" s="4"/>
      <c r="D91" s="6" t="str">
        <f>IF(A91="","",IFERROR(AVERAGEIF(Chicks!$C:$C,A91,Chicks!$K:$K),""))</f>
        <v/>
      </c>
      <c r="E91" s="6" t="str">
        <f>IF(A91="","",IFERROR(AVERAGEIF(Chicks!$C:$C,A91,Chicks!$L:$L),""))</f>
        <v/>
      </c>
      <c r="F91" s="6" t="str">
        <f>IF(A91="","",IFERROR(AVERAGEIF(Chicks!$C:$C,A91,Chicks!$M:$M),""))</f>
        <v/>
      </c>
      <c r="G91" s="6" t="str">
        <f>IF(A91="","",SUMIFS(Chicks!$N:$N,Chicks!$C:$C,A91))</f>
        <v/>
      </c>
      <c r="H91" s="6" t="str">
        <f>IF(A91="","",SUMIFS(Chicks!$O:$O,Chicks!$C:$C,A91))</f>
        <v/>
      </c>
      <c r="I91" s="6" t="str">
        <f>IF(A91="","",SUMIFS(Chicks!$P:$P,Chicks!$C:$C,A91))</f>
        <v/>
      </c>
    </row>
    <row r="92" spans="1:9" ht="14.25" customHeight="1" x14ac:dyDescent="0.3">
      <c r="A92" s="4"/>
      <c r="B92" s="4" t="str">
        <f>IF(A92="","",COUNTIF(Chicks!$C:$C,A92))</f>
        <v/>
      </c>
      <c r="C92" s="4"/>
      <c r="D92" s="6" t="str">
        <f>IF(A92="","",IFERROR(AVERAGEIF(Chicks!$C:$C,A92,Chicks!$K:$K),""))</f>
        <v/>
      </c>
      <c r="E92" s="6" t="str">
        <f>IF(A92="","",IFERROR(AVERAGEIF(Chicks!$C:$C,A92,Chicks!$L:$L),""))</f>
        <v/>
      </c>
      <c r="F92" s="6" t="str">
        <f>IF(A92="","",IFERROR(AVERAGEIF(Chicks!$C:$C,A92,Chicks!$M:$M),""))</f>
        <v/>
      </c>
      <c r="G92" s="6" t="str">
        <f>IF(A92="","",SUMIFS(Chicks!$N:$N,Chicks!$C:$C,A92))</f>
        <v/>
      </c>
      <c r="H92" s="6" t="str">
        <f>IF(A92="","",SUMIFS(Chicks!$O:$O,Chicks!$C:$C,A92))</f>
        <v/>
      </c>
      <c r="I92" s="6" t="str">
        <f>IF(A92="","",SUMIFS(Chicks!$P:$P,Chicks!$C:$C,A92))</f>
        <v/>
      </c>
    </row>
    <row r="93" spans="1:9" ht="14.25" customHeight="1" x14ac:dyDescent="0.3">
      <c r="A93" s="4"/>
      <c r="B93" s="4" t="str">
        <f>IF(A93="","",COUNTIF(Chicks!$C:$C,A93))</f>
        <v/>
      </c>
      <c r="C93" s="4"/>
      <c r="D93" s="6" t="str">
        <f>IF(A93="","",IFERROR(AVERAGEIF(Chicks!$C:$C,A93,Chicks!$K:$K),""))</f>
        <v/>
      </c>
      <c r="E93" s="6" t="str">
        <f>IF(A93="","",IFERROR(AVERAGEIF(Chicks!$C:$C,A93,Chicks!$L:$L),""))</f>
        <v/>
      </c>
      <c r="F93" s="6" t="str">
        <f>IF(A93="","",IFERROR(AVERAGEIF(Chicks!$C:$C,A93,Chicks!$M:$M),""))</f>
        <v/>
      </c>
      <c r="G93" s="6" t="str">
        <f>IF(A93="","",SUMIFS(Chicks!$N:$N,Chicks!$C:$C,A93))</f>
        <v/>
      </c>
      <c r="H93" s="6" t="str">
        <f>IF(A93="","",SUMIFS(Chicks!$O:$O,Chicks!$C:$C,A93))</f>
        <v/>
      </c>
      <c r="I93" s="6" t="str">
        <f>IF(A93="","",SUMIFS(Chicks!$P:$P,Chicks!$C:$C,A93))</f>
        <v/>
      </c>
    </row>
    <row r="94" spans="1:9" ht="14.25" customHeight="1" x14ac:dyDescent="0.3">
      <c r="A94" s="4"/>
      <c r="B94" s="4" t="str">
        <f>IF(A94="","",COUNTIF(Chicks!$C:$C,A94))</f>
        <v/>
      </c>
      <c r="C94" s="4"/>
      <c r="D94" s="6" t="str">
        <f>IF(A94="","",IFERROR(AVERAGEIF(Chicks!$C:$C,A94,Chicks!$K:$K),""))</f>
        <v/>
      </c>
      <c r="E94" s="6" t="str">
        <f>IF(A94="","",IFERROR(AVERAGEIF(Chicks!$C:$C,A94,Chicks!$L:$L),""))</f>
        <v/>
      </c>
      <c r="F94" s="6" t="str">
        <f>IF(A94="","",IFERROR(AVERAGEIF(Chicks!$C:$C,A94,Chicks!$M:$M),""))</f>
        <v/>
      </c>
      <c r="G94" s="6" t="str">
        <f>IF(A94="","",SUMIFS(Chicks!$N:$N,Chicks!$C:$C,A94))</f>
        <v/>
      </c>
      <c r="H94" s="6" t="str">
        <f>IF(A94="","",SUMIFS(Chicks!$O:$O,Chicks!$C:$C,A94))</f>
        <v/>
      </c>
      <c r="I94" s="6" t="str">
        <f>IF(A94="","",SUMIFS(Chicks!$P:$P,Chicks!$C:$C,A94))</f>
        <v/>
      </c>
    </row>
    <row r="95" spans="1:9" ht="14.25" customHeight="1" x14ac:dyDescent="0.3">
      <c r="A95" s="4"/>
      <c r="B95" s="4" t="str">
        <f>IF(A95="","",COUNTIF(Chicks!$C:$C,A95))</f>
        <v/>
      </c>
      <c r="C95" s="4"/>
      <c r="D95" s="6" t="str">
        <f>IF(A95="","",IFERROR(AVERAGEIF(Chicks!$C:$C,A95,Chicks!$K:$K),""))</f>
        <v/>
      </c>
      <c r="E95" s="6" t="str">
        <f>IF(A95="","",IFERROR(AVERAGEIF(Chicks!$C:$C,A95,Chicks!$L:$L),""))</f>
        <v/>
      </c>
      <c r="F95" s="6" t="str">
        <f>IF(A95="","",IFERROR(AVERAGEIF(Chicks!$C:$C,A95,Chicks!$M:$M),""))</f>
        <v/>
      </c>
      <c r="G95" s="6" t="str">
        <f>IF(A95="","",SUMIFS(Chicks!$N:$N,Chicks!$C:$C,A95))</f>
        <v/>
      </c>
      <c r="H95" s="6" t="str">
        <f>IF(A95="","",SUMIFS(Chicks!$O:$O,Chicks!$C:$C,A95))</f>
        <v/>
      </c>
      <c r="I95" s="6" t="str">
        <f>IF(A95="","",SUMIFS(Chicks!$P:$P,Chicks!$C:$C,A95))</f>
        <v/>
      </c>
    </row>
    <row r="96" spans="1:9" ht="14.25" customHeight="1" x14ac:dyDescent="0.3">
      <c r="A96" s="4"/>
      <c r="B96" s="4" t="str">
        <f>IF(A96="","",COUNTIF(Chicks!$C:$C,A96))</f>
        <v/>
      </c>
      <c r="C96" s="4"/>
      <c r="D96" s="6" t="str">
        <f>IF(A96="","",IFERROR(AVERAGEIF(Chicks!$C:$C,A96,Chicks!$K:$K),""))</f>
        <v/>
      </c>
      <c r="E96" s="6" t="str">
        <f>IF(A96="","",IFERROR(AVERAGEIF(Chicks!$C:$C,A96,Chicks!$L:$L),""))</f>
        <v/>
      </c>
      <c r="F96" s="6" t="str">
        <f>IF(A96="","",IFERROR(AVERAGEIF(Chicks!$C:$C,A96,Chicks!$M:$M),""))</f>
        <v/>
      </c>
      <c r="G96" s="6" t="str">
        <f>IF(A96="","",SUMIFS(Chicks!$N:$N,Chicks!$C:$C,A96))</f>
        <v/>
      </c>
      <c r="H96" s="6" t="str">
        <f>IF(A96="","",SUMIFS(Chicks!$O:$O,Chicks!$C:$C,A96))</f>
        <v/>
      </c>
      <c r="I96" s="6" t="str">
        <f>IF(A96="","",SUMIFS(Chicks!$P:$P,Chicks!$C:$C,A96))</f>
        <v/>
      </c>
    </row>
    <row r="97" spans="1:9" ht="14.25" customHeight="1" x14ac:dyDescent="0.3">
      <c r="A97" s="4"/>
      <c r="B97" s="4" t="str">
        <f>IF(A97="","",COUNTIF(Chicks!$C:$C,A97))</f>
        <v/>
      </c>
      <c r="C97" s="4"/>
      <c r="D97" s="6" t="str">
        <f>IF(A97="","",IFERROR(AVERAGEIF(Chicks!$C:$C,A97,Chicks!$K:$K),""))</f>
        <v/>
      </c>
      <c r="E97" s="6" t="str">
        <f>IF(A97="","",IFERROR(AVERAGEIF(Chicks!$C:$C,A97,Chicks!$L:$L),""))</f>
        <v/>
      </c>
      <c r="F97" s="6" t="str">
        <f>IF(A97="","",IFERROR(AVERAGEIF(Chicks!$C:$C,A97,Chicks!$M:$M),""))</f>
        <v/>
      </c>
      <c r="G97" s="6" t="str">
        <f>IF(A97="","",SUMIFS(Chicks!$N:$N,Chicks!$C:$C,A97))</f>
        <v/>
      </c>
      <c r="H97" s="6" t="str">
        <f>IF(A97="","",SUMIFS(Chicks!$O:$O,Chicks!$C:$C,A97))</f>
        <v/>
      </c>
      <c r="I97" s="6" t="str">
        <f>IF(A97="","",SUMIFS(Chicks!$P:$P,Chicks!$C:$C,A97))</f>
        <v/>
      </c>
    </row>
    <row r="98" spans="1:9" ht="14.25" customHeight="1" x14ac:dyDescent="0.3">
      <c r="A98" s="4"/>
      <c r="B98" s="4" t="str">
        <f>IF(A98="","",COUNTIF(Chicks!$C:$C,A98))</f>
        <v/>
      </c>
      <c r="C98" s="4"/>
      <c r="D98" s="6" t="str">
        <f>IF(A98="","",IFERROR(AVERAGEIF(Chicks!$C:$C,A98,Chicks!$K:$K),""))</f>
        <v/>
      </c>
      <c r="E98" s="6" t="str">
        <f>IF(A98="","",IFERROR(AVERAGEIF(Chicks!$C:$C,A98,Chicks!$L:$L),""))</f>
        <v/>
      </c>
      <c r="F98" s="6" t="str">
        <f>IF(A98="","",IFERROR(AVERAGEIF(Chicks!$C:$C,A98,Chicks!$M:$M),""))</f>
        <v/>
      </c>
      <c r="G98" s="6" t="str">
        <f>IF(A98="","",SUMIFS(Chicks!$N:$N,Chicks!$C:$C,A98))</f>
        <v/>
      </c>
      <c r="H98" s="6" t="str">
        <f>IF(A98="","",SUMIFS(Chicks!$O:$O,Chicks!$C:$C,A98))</f>
        <v/>
      </c>
      <c r="I98" s="6" t="str">
        <f>IF(A98="","",SUMIFS(Chicks!$P:$P,Chicks!$C:$C,A98))</f>
        <v/>
      </c>
    </row>
    <row r="99" spans="1:9" ht="14.25" customHeight="1" x14ac:dyDescent="0.3">
      <c r="A99" s="4"/>
      <c r="B99" s="4" t="str">
        <f>IF(A99="","",COUNTIF(Chicks!$C:$C,A99))</f>
        <v/>
      </c>
      <c r="C99" s="4"/>
      <c r="D99" s="6" t="str">
        <f>IF(A99="","",IFERROR(AVERAGEIF(Chicks!$C:$C,A99,Chicks!$K:$K),""))</f>
        <v/>
      </c>
      <c r="E99" s="6" t="str">
        <f>IF(A99="","",IFERROR(AVERAGEIF(Chicks!$C:$C,A99,Chicks!$L:$L),""))</f>
        <v/>
      </c>
      <c r="F99" s="6" t="str">
        <f>IF(A99="","",IFERROR(AVERAGEIF(Chicks!$C:$C,A99,Chicks!$M:$M),""))</f>
        <v/>
      </c>
      <c r="G99" s="6" t="str">
        <f>IF(A99="","",SUMIFS(Chicks!$N:$N,Chicks!$C:$C,A99))</f>
        <v/>
      </c>
      <c r="H99" s="6" t="str">
        <f>IF(A99="","",SUMIFS(Chicks!$O:$O,Chicks!$C:$C,A99))</f>
        <v/>
      </c>
      <c r="I99" s="6" t="str">
        <f>IF(A99="","",SUMIFS(Chicks!$P:$P,Chicks!$C:$C,A99))</f>
        <v/>
      </c>
    </row>
    <row r="100" spans="1:9" ht="14.25" customHeight="1" x14ac:dyDescent="0.3">
      <c r="A100" s="4"/>
      <c r="B100" s="4" t="str">
        <f>IF(A100="","",COUNTIF(Chicks!$C:$C,A100))</f>
        <v/>
      </c>
      <c r="C100" s="4"/>
      <c r="D100" s="6" t="str">
        <f>IF(A100="","",IFERROR(AVERAGEIF(Chicks!$C:$C,A100,Chicks!$K:$K),""))</f>
        <v/>
      </c>
      <c r="E100" s="6" t="str">
        <f>IF(A100="","",IFERROR(AVERAGEIF(Chicks!$C:$C,A100,Chicks!$L:$L),""))</f>
        <v/>
      </c>
      <c r="F100" s="6" t="str">
        <f>IF(A100="","",IFERROR(AVERAGEIF(Chicks!$C:$C,A100,Chicks!$M:$M),""))</f>
        <v/>
      </c>
      <c r="G100" s="6" t="str">
        <f>IF(A100="","",SUMIFS(Chicks!$N:$N,Chicks!$C:$C,A100))</f>
        <v/>
      </c>
      <c r="H100" s="6" t="str">
        <f>IF(A100="","",SUMIFS(Chicks!$O:$O,Chicks!$C:$C,A100))</f>
        <v/>
      </c>
      <c r="I100" s="6" t="str">
        <f>IF(A100="","",SUMIFS(Chicks!$P:$P,Chicks!$C:$C,A100))</f>
        <v/>
      </c>
    </row>
    <row r="101" spans="1:9" ht="14.25" customHeight="1" x14ac:dyDescent="0.3">
      <c r="A101" s="4"/>
      <c r="B101" s="4" t="str">
        <f>IF(A101="","",COUNTIF(Chicks!$C:$C,A101))</f>
        <v/>
      </c>
      <c r="C101" s="4"/>
      <c r="D101" s="6" t="str">
        <f>IF(A101="","",IFERROR(AVERAGEIF(Chicks!$C:$C,A101,Chicks!$K:$K),""))</f>
        <v/>
      </c>
      <c r="E101" s="6" t="str">
        <f>IF(A101="","",IFERROR(AVERAGEIF(Chicks!$C:$C,A101,Chicks!$L:$L),""))</f>
        <v/>
      </c>
      <c r="F101" s="6" t="str">
        <f>IF(A101="","",IFERROR(AVERAGEIF(Chicks!$C:$C,A101,Chicks!$M:$M),""))</f>
        <v/>
      </c>
      <c r="G101" s="6" t="str">
        <f>IF(A101="","",SUMIFS(Chicks!$N:$N,Chicks!$C:$C,A101))</f>
        <v/>
      </c>
      <c r="H101" s="6" t="str">
        <f>IF(A101="","",SUMIFS(Chicks!$O:$O,Chicks!$C:$C,A101))</f>
        <v/>
      </c>
      <c r="I101" s="6" t="str">
        <f>IF(A101="","",SUMIFS(Chicks!$P:$P,Chicks!$C:$C,A101))</f>
        <v/>
      </c>
    </row>
    <row r="102" spans="1:9" ht="14.25" customHeight="1" x14ac:dyDescent="0.3">
      <c r="A102" s="4"/>
      <c r="B102" s="4" t="str">
        <f>IF(A102="","",COUNTIF(Chicks!$C:$C,A102))</f>
        <v/>
      </c>
      <c r="C102" s="4"/>
      <c r="D102" s="6" t="str">
        <f>IF(A102="","",IFERROR(AVERAGEIF(Chicks!$C:$C,A102,Chicks!$K:$K),""))</f>
        <v/>
      </c>
      <c r="E102" s="6" t="str">
        <f>IF(A102="","",IFERROR(AVERAGEIF(Chicks!$C:$C,A102,Chicks!$L:$L),""))</f>
        <v/>
      </c>
      <c r="F102" s="6" t="str">
        <f>IF(A102="","",IFERROR(AVERAGEIF(Chicks!$C:$C,A102,Chicks!$M:$M),""))</f>
        <v/>
      </c>
      <c r="G102" s="6" t="str">
        <f>IF(A102="","",SUMIFS(Chicks!$N:$N,Chicks!$C:$C,A102))</f>
        <v/>
      </c>
      <c r="H102" s="6" t="str">
        <f>IF(A102="","",SUMIFS(Chicks!$O:$O,Chicks!$C:$C,A102))</f>
        <v/>
      </c>
      <c r="I102" s="6" t="str">
        <f>IF(A102="","",SUMIFS(Chicks!$P:$P,Chicks!$C:$C,A102))</f>
        <v/>
      </c>
    </row>
    <row r="103" spans="1:9" ht="14.25" customHeight="1" x14ac:dyDescent="0.3">
      <c r="A103" s="4"/>
      <c r="B103" s="4" t="str">
        <f>IF(A103="","",COUNTIF(Chicks!$C:$C,A103))</f>
        <v/>
      </c>
      <c r="C103" s="4"/>
      <c r="D103" s="6" t="str">
        <f>IF(A103="","",IFERROR(AVERAGEIF(Chicks!$C:$C,A103,Chicks!$K:$K),""))</f>
        <v/>
      </c>
      <c r="E103" s="6" t="str">
        <f>IF(A103="","",IFERROR(AVERAGEIF(Chicks!$C:$C,A103,Chicks!$L:$L),""))</f>
        <v/>
      </c>
      <c r="F103" s="6" t="str">
        <f>IF(A103="","",IFERROR(AVERAGEIF(Chicks!$C:$C,A103,Chicks!$M:$M),""))</f>
        <v/>
      </c>
      <c r="G103" s="6" t="str">
        <f>IF(A103="","",SUMIFS(Chicks!$N:$N,Chicks!$C:$C,A103))</f>
        <v/>
      </c>
      <c r="H103" s="6" t="str">
        <f>IF(A103="","",SUMIFS(Chicks!$O:$O,Chicks!$C:$C,A103))</f>
        <v/>
      </c>
      <c r="I103" s="6" t="str">
        <f>IF(A103="","",SUMIFS(Chicks!$P:$P,Chicks!$C:$C,A103))</f>
        <v/>
      </c>
    </row>
    <row r="104" spans="1:9" ht="14.25" customHeight="1" x14ac:dyDescent="0.3">
      <c r="A104" s="4"/>
      <c r="B104" s="4" t="str">
        <f>IF(A104="","",COUNTIF(Chicks!$C:$C,A104))</f>
        <v/>
      </c>
      <c r="C104" s="4"/>
      <c r="D104" s="6" t="str">
        <f>IF(A104="","",IFERROR(AVERAGEIF(Chicks!$C:$C,A104,Chicks!$K:$K),""))</f>
        <v/>
      </c>
      <c r="E104" s="6" t="str">
        <f>IF(A104="","",IFERROR(AVERAGEIF(Chicks!$C:$C,A104,Chicks!$L:$L),""))</f>
        <v/>
      </c>
      <c r="F104" s="6" t="str">
        <f>IF(A104="","",IFERROR(AVERAGEIF(Chicks!$C:$C,A104,Chicks!$M:$M),""))</f>
        <v/>
      </c>
      <c r="G104" s="6" t="str">
        <f>IF(A104="","",SUMIFS(Chicks!$N:$N,Chicks!$C:$C,A104))</f>
        <v/>
      </c>
      <c r="H104" s="6" t="str">
        <f>IF(A104="","",SUMIFS(Chicks!$O:$O,Chicks!$C:$C,A104))</f>
        <v/>
      </c>
      <c r="I104" s="6" t="str">
        <f>IF(A104="","",SUMIFS(Chicks!$P:$P,Chicks!$C:$C,A104))</f>
        <v/>
      </c>
    </row>
    <row r="105" spans="1:9" ht="14.25" customHeight="1" x14ac:dyDescent="0.3">
      <c r="A105" s="4"/>
      <c r="B105" s="4" t="str">
        <f>IF(A105="","",COUNTIF(Chicks!$C:$C,A105))</f>
        <v/>
      </c>
      <c r="C105" s="4"/>
      <c r="D105" s="6" t="str">
        <f>IF(A105="","",IFERROR(AVERAGEIF(Chicks!$C:$C,A105,Chicks!$K:$K),""))</f>
        <v/>
      </c>
      <c r="E105" s="6" t="str">
        <f>IF(A105="","",IFERROR(AVERAGEIF(Chicks!$C:$C,A105,Chicks!$L:$L),""))</f>
        <v/>
      </c>
      <c r="F105" s="6" t="str">
        <f>IF(A105="","",IFERROR(AVERAGEIF(Chicks!$C:$C,A105,Chicks!$M:$M),""))</f>
        <v/>
      </c>
      <c r="G105" s="6" t="str">
        <f>IF(A105="","",SUMIFS(Chicks!$N:$N,Chicks!$C:$C,A105))</f>
        <v/>
      </c>
      <c r="H105" s="6" t="str">
        <f>IF(A105="","",SUMIFS(Chicks!$O:$O,Chicks!$C:$C,A105))</f>
        <v/>
      </c>
      <c r="I105" s="6" t="str">
        <f>IF(A105="","",SUMIFS(Chicks!$P:$P,Chicks!$C:$C,A105))</f>
        <v/>
      </c>
    </row>
    <row r="106" spans="1:9" ht="14.25" customHeight="1" x14ac:dyDescent="0.3">
      <c r="A106" s="4"/>
      <c r="B106" s="4" t="str">
        <f>IF(A106="","",COUNTIF(Chicks!$C:$C,A106))</f>
        <v/>
      </c>
      <c r="C106" s="4"/>
      <c r="D106" s="6" t="str">
        <f>IF(A106="","",IFERROR(AVERAGEIF(Chicks!$C:$C,A106,Chicks!$K:$K),""))</f>
        <v/>
      </c>
      <c r="E106" s="6" t="str">
        <f>IF(A106="","",IFERROR(AVERAGEIF(Chicks!$C:$C,A106,Chicks!$L:$L),""))</f>
        <v/>
      </c>
      <c r="F106" s="6" t="str">
        <f>IF(A106="","",IFERROR(AVERAGEIF(Chicks!$C:$C,A106,Chicks!$M:$M),""))</f>
        <v/>
      </c>
      <c r="G106" s="6" t="str">
        <f>IF(A106="","",SUMIFS(Chicks!$N:$N,Chicks!$C:$C,A106))</f>
        <v/>
      </c>
      <c r="H106" s="6" t="str">
        <f>IF(A106="","",SUMIFS(Chicks!$O:$O,Chicks!$C:$C,A106))</f>
        <v/>
      </c>
      <c r="I106" s="6" t="str">
        <f>IF(A106="","",SUMIFS(Chicks!$P:$P,Chicks!$C:$C,A106))</f>
        <v/>
      </c>
    </row>
    <row r="107" spans="1:9" ht="14.25" customHeight="1" x14ac:dyDescent="0.3">
      <c r="A107" s="4"/>
      <c r="B107" s="4" t="str">
        <f>IF(A107="","",COUNTIF(Chicks!$C:$C,A107))</f>
        <v/>
      </c>
      <c r="C107" s="4"/>
      <c r="D107" s="6" t="str">
        <f>IF(A107="","",IFERROR(AVERAGEIF(Chicks!$C:$C,A107,Chicks!$K:$K),""))</f>
        <v/>
      </c>
      <c r="E107" s="6" t="str">
        <f>IF(A107="","",IFERROR(AVERAGEIF(Chicks!$C:$C,A107,Chicks!$L:$L),""))</f>
        <v/>
      </c>
      <c r="F107" s="6" t="str">
        <f>IF(A107="","",IFERROR(AVERAGEIF(Chicks!$C:$C,A107,Chicks!$M:$M),""))</f>
        <v/>
      </c>
      <c r="G107" s="6" t="str">
        <f>IF(A107="","",SUMIFS(Chicks!$N:$N,Chicks!$C:$C,A107))</f>
        <v/>
      </c>
      <c r="H107" s="6" t="str">
        <f>IF(A107="","",SUMIFS(Chicks!$O:$O,Chicks!$C:$C,A107))</f>
        <v/>
      </c>
      <c r="I107" s="6" t="str">
        <f>IF(A107="","",SUMIFS(Chicks!$P:$P,Chicks!$C:$C,A107))</f>
        <v/>
      </c>
    </row>
    <row r="108" spans="1:9" ht="14.25" customHeight="1" x14ac:dyDescent="0.3">
      <c r="A108" s="4"/>
      <c r="B108" s="4" t="str">
        <f>IF(A108="","",COUNTIF(Chicks!$C:$C,A108))</f>
        <v/>
      </c>
      <c r="C108" s="4"/>
      <c r="D108" s="6" t="str">
        <f>IF(A108="","",IFERROR(AVERAGEIF(Chicks!$C:$C,A108,Chicks!$K:$K),""))</f>
        <v/>
      </c>
      <c r="E108" s="6" t="str">
        <f>IF(A108="","",IFERROR(AVERAGEIF(Chicks!$C:$C,A108,Chicks!$L:$L),""))</f>
        <v/>
      </c>
      <c r="F108" s="6" t="str">
        <f>IF(A108="","",IFERROR(AVERAGEIF(Chicks!$C:$C,A108,Chicks!$M:$M),""))</f>
        <v/>
      </c>
      <c r="G108" s="6" t="str">
        <f>IF(A108="","",SUMIFS(Chicks!$N:$N,Chicks!$C:$C,A108))</f>
        <v/>
      </c>
      <c r="H108" s="6" t="str">
        <f>IF(A108="","",SUMIFS(Chicks!$O:$O,Chicks!$C:$C,A108))</f>
        <v/>
      </c>
      <c r="I108" s="6" t="str">
        <f>IF(A108="","",SUMIFS(Chicks!$P:$P,Chicks!$C:$C,A108))</f>
        <v/>
      </c>
    </row>
    <row r="109" spans="1:9" ht="14.25" customHeight="1" x14ac:dyDescent="0.3">
      <c r="A109" s="4"/>
      <c r="B109" s="4" t="str">
        <f>IF(A109="","",COUNTIF(Chicks!$C:$C,A109))</f>
        <v/>
      </c>
      <c r="C109" s="4"/>
      <c r="D109" s="6" t="str">
        <f>IF(A109="","",IFERROR(AVERAGEIF(Chicks!$C:$C,A109,Chicks!$K:$K),""))</f>
        <v/>
      </c>
      <c r="E109" s="6" t="str">
        <f>IF(A109="","",IFERROR(AVERAGEIF(Chicks!$C:$C,A109,Chicks!$L:$L),""))</f>
        <v/>
      </c>
      <c r="F109" s="6" t="str">
        <f>IF(A109="","",IFERROR(AVERAGEIF(Chicks!$C:$C,A109,Chicks!$M:$M),""))</f>
        <v/>
      </c>
      <c r="G109" s="6" t="str">
        <f>IF(A109="","",SUMIFS(Chicks!$N:$N,Chicks!$C:$C,A109))</f>
        <v/>
      </c>
      <c r="H109" s="6" t="str">
        <f>IF(A109="","",SUMIFS(Chicks!$O:$O,Chicks!$C:$C,A109))</f>
        <v/>
      </c>
      <c r="I109" s="6" t="str">
        <f>IF(A109="","",SUMIFS(Chicks!$P:$P,Chicks!$C:$C,A109))</f>
        <v/>
      </c>
    </row>
    <row r="110" spans="1:9" ht="14.25" customHeight="1" x14ac:dyDescent="0.3">
      <c r="A110" s="4"/>
      <c r="B110" s="4" t="str">
        <f>IF(A110="","",COUNTIF(Chicks!$C:$C,A110))</f>
        <v/>
      </c>
      <c r="C110" s="4"/>
      <c r="D110" s="6" t="str">
        <f>IF(A110="","",IFERROR(AVERAGEIF(Chicks!$C:$C,A110,Chicks!$K:$K),""))</f>
        <v/>
      </c>
      <c r="E110" s="6" t="str">
        <f>IF(A110="","",IFERROR(AVERAGEIF(Chicks!$C:$C,A110,Chicks!$L:$L),""))</f>
        <v/>
      </c>
      <c r="F110" s="6" t="str">
        <f>IF(A110="","",IFERROR(AVERAGEIF(Chicks!$C:$C,A110,Chicks!$M:$M),""))</f>
        <v/>
      </c>
      <c r="G110" s="6" t="str">
        <f>IF(A110="","",SUMIFS(Chicks!$N:$N,Chicks!$C:$C,A110))</f>
        <v/>
      </c>
      <c r="H110" s="6" t="str">
        <f>IF(A110="","",SUMIFS(Chicks!$O:$O,Chicks!$C:$C,A110))</f>
        <v/>
      </c>
      <c r="I110" s="6" t="str">
        <f>IF(A110="","",SUMIFS(Chicks!$P:$P,Chicks!$C:$C,A110))</f>
        <v/>
      </c>
    </row>
    <row r="111" spans="1:9" ht="14.25" customHeight="1" x14ac:dyDescent="0.3">
      <c r="A111" s="4"/>
      <c r="B111" s="4" t="str">
        <f>IF(A111="","",COUNTIF(Chicks!$C:$C,A111))</f>
        <v/>
      </c>
      <c r="C111" s="4"/>
      <c r="D111" s="6" t="str">
        <f>IF(A111="","",IFERROR(AVERAGEIF(Chicks!$C:$C,A111,Chicks!$K:$K),""))</f>
        <v/>
      </c>
      <c r="E111" s="6" t="str">
        <f>IF(A111="","",IFERROR(AVERAGEIF(Chicks!$C:$C,A111,Chicks!$L:$L),""))</f>
        <v/>
      </c>
      <c r="F111" s="6" t="str">
        <f>IF(A111="","",IFERROR(AVERAGEIF(Chicks!$C:$C,A111,Chicks!$M:$M),""))</f>
        <v/>
      </c>
      <c r="G111" s="6" t="str">
        <f>IF(A111="","",SUMIFS(Chicks!$N:$N,Chicks!$C:$C,A111))</f>
        <v/>
      </c>
      <c r="H111" s="6" t="str">
        <f>IF(A111="","",SUMIFS(Chicks!$O:$O,Chicks!$C:$C,A111))</f>
        <v/>
      </c>
      <c r="I111" s="6" t="str">
        <f>IF(A111="","",SUMIFS(Chicks!$P:$P,Chicks!$C:$C,A111))</f>
        <v/>
      </c>
    </row>
    <row r="112" spans="1:9" ht="14.25" customHeight="1" x14ac:dyDescent="0.3">
      <c r="A112" s="4"/>
      <c r="B112" s="4" t="str">
        <f>IF(A112="","",COUNTIF(Chicks!$C:$C,A112))</f>
        <v/>
      </c>
      <c r="C112" s="4"/>
      <c r="D112" s="6" t="str">
        <f>IF(A112="","",IFERROR(AVERAGEIF(Chicks!$C:$C,A112,Chicks!$K:$K),""))</f>
        <v/>
      </c>
      <c r="E112" s="6" t="str">
        <f>IF(A112="","",IFERROR(AVERAGEIF(Chicks!$C:$C,A112,Chicks!$L:$L),""))</f>
        <v/>
      </c>
      <c r="F112" s="6" t="str">
        <f>IF(A112="","",IFERROR(AVERAGEIF(Chicks!$C:$C,A112,Chicks!$M:$M),""))</f>
        <v/>
      </c>
      <c r="G112" s="6" t="str">
        <f>IF(A112="","",SUMIFS(Chicks!$N:$N,Chicks!$C:$C,A112))</f>
        <v/>
      </c>
      <c r="H112" s="6" t="str">
        <f>IF(A112="","",SUMIFS(Chicks!$O:$O,Chicks!$C:$C,A112))</f>
        <v/>
      </c>
      <c r="I112" s="6" t="str">
        <f>IF(A112="","",SUMIFS(Chicks!$P:$P,Chicks!$C:$C,A112))</f>
        <v/>
      </c>
    </row>
    <row r="113" spans="1:9" ht="14.25" customHeight="1" x14ac:dyDescent="0.3">
      <c r="A113" s="4"/>
      <c r="B113" s="4" t="str">
        <f>IF(A113="","",COUNTIF(Chicks!$C:$C,A113))</f>
        <v/>
      </c>
      <c r="C113" s="4"/>
      <c r="D113" s="6" t="str">
        <f>IF(A113="","",IFERROR(AVERAGEIF(Chicks!$C:$C,A113,Chicks!$K:$K),""))</f>
        <v/>
      </c>
      <c r="E113" s="6" t="str">
        <f>IF(A113="","",IFERROR(AVERAGEIF(Chicks!$C:$C,A113,Chicks!$L:$L),""))</f>
        <v/>
      </c>
      <c r="F113" s="6" t="str">
        <f>IF(A113="","",IFERROR(AVERAGEIF(Chicks!$C:$C,A113,Chicks!$M:$M),""))</f>
        <v/>
      </c>
      <c r="G113" s="6" t="str">
        <f>IF(A113="","",SUMIFS(Chicks!$N:$N,Chicks!$C:$C,A113))</f>
        <v/>
      </c>
      <c r="H113" s="6" t="str">
        <f>IF(A113="","",SUMIFS(Chicks!$O:$O,Chicks!$C:$C,A113))</f>
        <v/>
      </c>
      <c r="I113" s="6" t="str">
        <f>IF(A113="","",SUMIFS(Chicks!$P:$P,Chicks!$C:$C,A113))</f>
        <v/>
      </c>
    </row>
    <row r="114" spans="1:9" ht="14.25" customHeight="1" x14ac:dyDescent="0.3">
      <c r="A114" s="4"/>
      <c r="B114" s="4" t="str">
        <f>IF(A114="","",COUNTIF(Chicks!$C:$C,A114))</f>
        <v/>
      </c>
      <c r="C114" s="4"/>
      <c r="D114" s="6" t="str">
        <f>IF(A114="","",IFERROR(AVERAGEIF(Chicks!$C:$C,A114,Chicks!$K:$K),""))</f>
        <v/>
      </c>
      <c r="E114" s="6" t="str">
        <f>IF(A114="","",IFERROR(AVERAGEIF(Chicks!$C:$C,A114,Chicks!$L:$L),""))</f>
        <v/>
      </c>
      <c r="F114" s="6" t="str">
        <f>IF(A114="","",IFERROR(AVERAGEIF(Chicks!$C:$C,A114,Chicks!$M:$M),""))</f>
        <v/>
      </c>
      <c r="G114" s="6" t="str">
        <f>IF(A114="","",SUMIFS(Chicks!$N:$N,Chicks!$C:$C,A114))</f>
        <v/>
      </c>
      <c r="H114" s="6" t="str">
        <f>IF(A114="","",SUMIFS(Chicks!$O:$O,Chicks!$C:$C,A114))</f>
        <v/>
      </c>
      <c r="I114" s="6" t="str">
        <f>IF(A114="","",SUMIFS(Chicks!$P:$P,Chicks!$C:$C,A114))</f>
        <v/>
      </c>
    </row>
    <row r="115" spans="1:9" ht="14.25" customHeight="1" x14ac:dyDescent="0.3">
      <c r="A115" s="4"/>
      <c r="B115" s="4" t="str">
        <f>IF(A115="","",COUNTIF(Chicks!$C:$C,A115))</f>
        <v/>
      </c>
      <c r="C115" s="4"/>
      <c r="D115" s="6" t="str">
        <f>IF(A115="","",IFERROR(AVERAGEIF(Chicks!$C:$C,A115,Chicks!$K:$K),""))</f>
        <v/>
      </c>
      <c r="E115" s="6" t="str">
        <f>IF(A115="","",IFERROR(AVERAGEIF(Chicks!$C:$C,A115,Chicks!$L:$L),""))</f>
        <v/>
      </c>
      <c r="F115" s="6" t="str">
        <f>IF(A115="","",IFERROR(AVERAGEIF(Chicks!$C:$C,A115,Chicks!$M:$M),""))</f>
        <v/>
      </c>
      <c r="G115" s="6" t="str">
        <f>IF(A115="","",SUMIFS(Chicks!$N:$N,Chicks!$C:$C,A115))</f>
        <v/>
      </c>
      <c r="H115" s="6" t="str">
        <f>IF(A115="","",SUMIFS(Chicks!$O:$O,Chicks!$C:$C,A115))</f>
        <v/>
      </c>
      <c r="I115" s="6" t="str">
        <f>IF(A115="","",SUMIFS(Chicks!$P:$P,Chicks!$C:$C,A115))</f>
        <v/>
      </c>
    </row>
    <row r="116" spans="1:9" ht="14.25" customHeight="1" x14ac:dyDescent="0.3">
      <c r="A116" s="4"/>
      <c r="B116" s="4" t="str">
        <f>IF(A116="","",COUNTIF(Chicks!$C:$C,A116))</f>
        <v/>
      </c>
      <c r="C116" s="4"/>
      <c r="D116" s="6" t="str">
        <f>IF(A116="","",IFERROR(AVERAGEIF(Chicks!$C:$C,A116,Chicks!$K:$K),""))</f>
        <v/>
      </c>
      <c r="E116" s="6" t="str">
        <f>IF(A116="","",IFERROR(AVERAGEIF(Chicks!$C:$C,A116,Chicks!$L:$L),""))</f>
        <v/>
      </c>
      <c r="F116" s="6" t="str">
        <f>IF(A116="","",IFERROR(AVERAGEIF(Chicks!$C:$C,A116,Chicks!$M:$M),""))</f>
        <v/>
      </c>
      <c r="G116" s="6" t="str">
        <f>IF(A116="","",SUMIFS(Chicks!$N:$N,Chicks!$C:$C,A116))</f>
        <v/>
      </c>
      <c r="H116" s="6" t="str">
        <f>IF(A116="","",SUMIFS(Chicks!$O:$O,Chicks!$C:$C,A116))</f>
        <v/>
      </c>
      <c r="I116" s="6" t="str">
        <f>IF(A116="","",SUMIFS(Chicks!$P:$P,Chicks!$C:$C,A116))</f>
        <v/>
      </c>
    </row>
    <row r="117" spans="1:9" ht="14.25" customHeight="1" x14ac:dyDescent="0.3">
      <c r="A117" s="4"/>
      <c r="B117" s="4" t="str">
        <f>IF(A117="","",COUNTIF(Chicks!$C:$C,A117))</f>
        <v/>
      </c>
      <c r="C117" s="4"/>
      <c r="D117" s="6" t="str">
        <f>IF(A117="","",IFERROR(AVERAGEIF(Chicks!$C:$C,A117,Chicks!$K:$K),""))</f>
        <v/>
      </c>
      <c r="E117" s="6" t="str">
        <f>IF(A117="","",IFERROR(AVERAGEIF(Chicks!$C:$C,A117,Chicks!$L:$L),""))</f>
        <v/>
      </c>
      <c r="F117" s="6" t="str">
        <f>IF(A117="","",IFERROR(AVERAGEIF(Chicks!$C:$C,A117,Chicks!$M:$M),""))</f>
        <v/>
      </c>
      <c r="G117" s="6" t="str">
        <f>IF(A117="","",SUMIFS(Chicks!$N:$N,Chicks!$C:$C,A117))</f>
        <v/>
      </c>
      <c r="H117" s="6" t="str">
        <f>IF(A117="","",SUMIFS(Chicks!$O:$O,Chicks!$C:$C,A117))</f>
        <v/>
      </c>
      <c r="I117" s="6" t="str">
        <f>IF(A117="","",SUMIFS(Chicks!$P:$P,Chicks!$C:$C,A117))</f>
        <v/>
      </c>
    </row>
    <row r="118" spans="1:9" ht="14.25" customHeight="1" x14ac:dyDescent="0.3">
      <c r="A118" s="4"/>
      <c r="B118" s="4" t="str">
        <f>IF(A118="","",COUNTIF(Chicks!$C:$C,A118))</f>
        <v/>
      </c>
      <c r="C118" s="4"/>
      <c r="D118" s="6" t="str">
        <f>IF(A118="","",IFERROR(AVERAGEIF(Chicks!$C:$C,A118,Chicks!$K:$K),""))</f>
        <v/>
      </c>
      <c r="E118" s="6" t="str">
        <f>IF(A118="","",IFERROR(AVERAGEIF(Chicks!$C:$C,A118,Chicks!$L:$L),""))</f>
        <v/>
      </c>
      <c r="F118" s="6" t="str">
        <f>IF(A118="","",IFERROR(AVERAGEIF(Chicks!$C:$C,A118,Chicks!$M:$M),""))</f>
        <v/>
      </c>
      <c r="G118" s="6" t="str">
        <f>IF(A118="","",SUMIFS(Chicks!$N:$N,Chicks!$C:$C,A118))</f>
        <v/>
      </c>
      <c r="H118" s="6" t="str">
        <f>IF(A118="","",SUMIFS(Chicks!$O:$O,Chicks!$C:$C,A118))</f>
        <v/>
      </c>
      <c r="I118" s="6" t="str">
        <f>IF(A118="","",SUMIFS(Chicks!$P:$P,Chicks!$C:$C,A118))</f>
        <v/>
      </c>
    </row>
    <row r="119" spans="1:9" ht="14.25" customHeight="1" x14ac:dyDescent="0.3">
      <c r="A119" s="4"/>
      <c r="B119" s="4" t="str">
        <f>IF(A119="","",COUNTIF(Chicks!$C:$C,A119))</f>
        <v/>
      </c>
      <c r="C119" s="4"/>
      <c r="D119" s="6" t="str">
        <f>IF(A119="","",IFERROR(AVERAGEIF(Chicks!$C:$C,A119,Chicks!$K:$K),""))</f>
        <v/>
      </c>
      <c r="E119" s="6" t="str">
        <f>IF(A119="","",IFERROR(AVERAGEIF(Chicks!$C:$C,A119,Chicks!$L:$L),""))</f>
        <v/>
      </c>
      <c r="F119" s="6" t="str">
        <f>IF(A119="","",IFERROR(AVERAGEIF(Chicks!$C:$C,A119,Chicks!$M:$M),""))</f>
        <v/>
      </c>
      <c r="G119" s="6" t="str">
        <f>IF(A119="","",SUMIFS(Chicks!$N:$N,Chicks!$C:$C,A119))</f>
        <v/>
      </c>
      <c r="H119" s="6" t="str">
        <f>IF(A119="","",SUMIFS(Chicks!$O:$O,Chicks!$C:$C,A119))</f>
        <v/>
      </c>
      <c r="I119" s="6" t="str">
        <f>IF(A119="","",SUMIFS(Chicks!$P:$P,Chicks!$C:$C,A119))</f>
        <v/>
      </c>
    </row>
    <row r="120" spans="1:9" ht="14.25" customHeight="1" x14ac:dyDescent="0.3">
      <c r="A120" s="4"/>
      <c r="B120" s="4" t="str">
        <f>IF(A120="","",COUNTIF(Chicks!$C:$C,A120))</f>
        <v/>
      </c>
      <c r="C120" s="4"/>
      <c r="D120" s="6" t="str">
        <f>IF(A120="","",IFERROR(AVERAGEIF(Chicks!$C:$C,A120,Chicks!$K:$K),""))</f>
        <v/>
      </c>
      <c r="E120" s="6" t="str">
        <f>IF(A120="","",IFERROR(AVERAGEIF(Chicks!$C:$C,A120,Chicks!$L:$L),""))</f>
        <v/>
      </c>
      <c r="F120" s="6" t="str">
        <f>IF(A120="","",IFERROR(AVERAGEIF(Chicks!$C:$C,A120,Chicks!$M:$M),""))</f>
        <v/>
      </c>
      <c r="G120" s="6" t="str">
        <f>IF(A120="","",SUMIFS(Chicks!$N:$N,Chicks!$C:$C,A120))</f>
        <v/>
      </c>
      <c r="H120" s="6" t="str">
        <f>IF(A120="","",SUMIFS(Chicks!$O:$O,Chicks!$C:$C,A120))</f>
        <v/>
      </c>
      <c r="I120" s="6" t="str">
        <f>IF(A120="","",SUMIFS(Chicks!$P:$P,Chicks!$C:$C,A120))</f>
        <v/>
      </c>
    </row>
    <row r="121" spans="1:9" ht="14.25" customHeight="1" x14ac:dyDescent="0.3">
      <c r="A121" s="4"/>
      <c r="B121" s="4" t="str">
        <f>IF(A121="","",COUNTIF(Chicks!$C:$C,A121))</f>
        <v/>
      </c>
      <c r="C121" s="4"/>
      <c r="D121" s="6" t="str">
        <f>IF(A121="","",IFERROR(AVERAGEIF(Chicks!$C:$C,A121,Chicks!$K:$K),""))</f>
        <v/>
      </c>
      <c r="E121" s="6" t="str">
        <f>IF(A121="","",IFERROR(AVERAGEIF(Chicks!$C:$C,A121,Chicks!$L:$L),""))</f>
        <v/>
      </c>
      <c r="F121" s="6" t="str">
        <f>IF(A121="","",IFERROR(AVERAGEIF(Chicks!$C:$C,A121,Chicks!$M:$M),""))</f>
        <v/>
      </c>
      <c r="G121" s="6" t="str">
        <f>IF(A121="","",SUMIFS(Chicks!$N:$N,Chicks!$C:$C,A121))</f>
        <v/>
      </c>
      <c r="H121" s="6" t="str">
        <f>IF(A121="","",SUMIFS(Chicks!$O:$O,Chicks!$C:$C,A121))</f>
        <v/>
      </c>
      <c r="I121" s="6" t="str">
        <f>IF(A121="","",SUMIFS(Chicks!$P:$P,Chicks!$C:$C,A121))</f>
        <v/>
      </c>
    </row>
    <row r="122" spans="1:9" ht="14.25" customHeight="1" x14ac:dyDescent="0.3">
      <c r="A122" s="4"/>
      <c r="B122" s="4" t="str">
        <f>IF(A122="","",COUNTIF(Chicks!$C:$C,A122))</f>
        <v/>
      </c>
      <c r="C122" s="4"/>
      <c r="D122" s="6" t="str">
        <f>IF(A122="","",IFERROR(AVERAGEIF(Chicks!$C:$C,A122,Chicks!$K:$K),""))</f>
        <v/>
      </c>
      <c r="E122" s="6" t="str">
        <f>IF(A122="","",IFERROR(AVERAGEIF(Chicks!$C:$C,A122,Chicks!$L:$L),""))</f>
        <v/>
      </c>
      <c r="F122" s="6" t="str">
        <f>IF(A122="","",IFERROR(AVERAGEIF(Chicks!$C:$C,A122,Chicks!$M:$M),""))</f>
        <v/>
      </c>
      <c r="G122" s="6" t="str">
        <f>IF(A122="","",SUMIFS(Chicks!$N:$N,Chicks!$C:$C,A122))</f>
        <v/>
      </c>
      <c r="H122" s="6" t="str">
        <f>IF(A122="","",SUMIFS(Chicks!$O:$O,Chicks!$C:$C,A122))</f>
        <v/>
      </c>
      <c r="I122" s="6" t="str">
        <f>IF(A122="","",SUMIFS(Chicks!$P:$P,Chicks!$C:$C,A122))</f>
        <v/>
      </c>
    </row>
    <row r="123" spans="1:9" ht="14.25" customHeight="1" x14ac:dyDescent="0.3">
      <c r="A123" s="4"/>
      <c r="B123" s="4" t="str">
        <f>IF(A123="","",COUNTIF(Chicks!$C:$C,A123))</f>
        <v/>
      </c>
      <c r="C123" s="4"/>
      <c r="D123" s="6" t="str">
        <f>IF(A123="","",IFERROR(AVERAGEIF(Chicks!$C:$C,A123,Chicks!$K:$K),""))</f>
        <v/>
      </c>
      <c r="E123" s="6" t="str">
        <f>IF(A123="","",IFERROR(AVERAGEIF(Chicks!$C:$C,A123,Chicks!$L:$L),""))</f>
        <v/>
      </c>
      <c r="F123" s="6" t="str">
        <f>IF(A123="","",IFERROR(AVERAGEIF(Chicks!$C:$C,A123,Chicks!$M:$M),""))</f>
        <v/>
      </c>
      <c r="G123" s="6" t="str">
        <f>IF(A123="","",SUMIFS(Chicks!$N:$N,Chicks!$C:$C,A123))</f>
        <v/>
      </c>
      <c r="H123" s="6" t="str">
        <f>IF(A123="","",SUMIFS(Chicks!$O:$O,Chicks!$C:$C,A123))</f>
        <v/>
      </c>
      <c r="I123" s="6" t="str">
        <f>IF(A123="","",SUMIFS(Chicks!$P:$P,Chicks!$C:$C,A123))</f>
        <v/>
      </c>
    </row>
    <row r="124" spans="1:9" ht="14.25" customHeight="1" x14ac:dyDescent="0.3">
      <c r="A124" s="4"/>
      <c r="B124" s="4" t="str">
        <f>IF(A124="","",COUNTIF(Chicks!$C:$C,A124))</f>
        <v/>
      </c>
      <c r="C124" s="4"/>
      <c r="D124" s="6" t="str">
        <f>IF(A124="","",IFERROR(AVERAGEIF(Chicks!$C:$C,A124,Chicks!$K:$K),""))</f>
        <v/>
      </c>
      <c r="E124" s="6" t="str">
        <f>IF(A124="","",IFERROR(AVERAGEIF(Chicks!$C:$C,A124,Chicks!$L:$L),""))</f>
        <v/>
      </c>
      <c r="F124" s="6" t="str">
        <f>IF(A124="","",IFERROR(AVERAGEIF(Chicks!$C:$C,A124,Chicks!$M:$M),""))</f>
        <v/>
      </c>
      <c r="G124" s="6" t="str">
        <f>IF(A124="","",SUMIFS(Chicks!$N:$N,Chicks!$C:$C,A124))</f>
        <v/>
      </c>
      <c r="H124" s="6" t="str">
        <f>IF(A124="","",SUMIFS(Chicks!$O:$O,Chicks!$C:$C,A124))</f>
        <v/>
      </c>
      <c r="I124" s="6" t="str">
        <f>IF(A124="","",SUMIFS(Chicks!$P:$P,Chicks!$C:$C,A124))</f>
        <v/>
      </c>
    </row>
    <row r="125" spans="1:9" ht="14.25" customHeight="1" x14ac:dyDescent="0.3">
      <c r="A125" s="4"/>
      <c r="B125" s="4" t="str">
        <f>IF(A125="","",COUNTIF(Chicks!$C:$C,A125))</f>
        <v/>
      </c>
      <c r="C125" s="4"/>
      <c r="D125" s="6" t="str">
        <f>IF(A125="","",IFERROR(AVERAGEIF(Chicks!$C:$C,A125,Chicks!$K:$K),""))</f>
        <v/>
      </c>
      <c r="E125" s="6" t="str">
        <f>IF(A125="","",IFERROR(AVERAGEIF(Chicks!$C:$C,A125,Chicks!$L:$L),""))</f>
        <v/>
      </c>
      <c r="F125" s="6" t="str">
        <f>IF(A125="","",IFERROR(AVERAGEIF(Chicks!$C:$C,A125,Chicks!$M:$M),""))</f>
        <v/>
      </c>
      <c r="G125" s="6" t="str">
        <f>IF(A125="","",SUMIFS(Chicks!$N:$N,Chicks!$C:$C,A125))</f>
        <v/>
      </c>
      <c r="H125" s="6" t="str">
        <f>IF(A125="","",SUMIFS(Chicks!$O:$O,Chicks!$C:$C,A125))</f>
        <v/>
      </c>
      <c r="I125" s="6" t="str">
        <f>IF(A125="","",SUMIFS(Chicks!$P:$P,Chicks!$C:$C,A125))</f>
        <v/>
      </c>
    </row>
    <row r="126" spans="1:9" ht="14.25" customHeight="1" x14ac:dyDescent="0.3">
      <c r="A126" s="4"/>
      <c r="B126" s="4" t="str">
        <f>IF(A126="","",COUNTIF(Chicks!$C:$C,A126))</f>
        <v/>
      </c>
      <c r="C126" s="4"/>
      <c r="D126" s="6" t="str">
        <f>IF(A126="","",IFERROR(AVERAGEIF(Chicks!$C:$C,A126,Chicks!$K:$K),""))</f>
        <v/>
      </c>
      <c r="E126" s="6" t="str">
        <f>IF(A126="","",IFERROR(AVERAGEIF(Chicks!$C:$C,A126,Chicks!$L:$L),""))</f>
        <v/>
      </c>
      <c r="F126" s="6" t="str">
        <f>IF(A126="","",IFERROR(AVERAGEIF(Chicks!$C:$C,A126,Chicks!$M:$M),""))</f>
        <v/>
      </c>
      <c r="G126" s="6" t="str">
        <f>IF(A126="","",SUMIFS(Chicks!$N:$N,Chicks!$C:$C,A126))</f>
        <v/>
      </c>
      <c r="H126" s="6" t="str">
        <f>IF(A126="","",SUMIFS(Chicks!$O:$O,Chicks!$C:$C,A126))</f>
        <v/>
      </c>
      <c r="I126" s="6" t="str">
        <f>IF(A126="","",SUMIFS(Chicks!$P:$P,Chicks!$C:$C,A126))</f>
        <v/>
      </c>
    </row>
    <row r="127" spans="1:9" ht="14.25" customHeight="1" x14ac:dyDescent="0.3">
      <c r="A127" s="4"/>
      <c r="B127" s="4" t="str">
        <f>IF(A127="","",COUNTIF(Chicks!$C:$C,A127))</f>
        <v/>
      </c>
      <c r="C127" s="4"/>
      <c r="D127" s="6" t="str">
        <f>IF(A127="","",IFERROR(AVERAGEIF(Chicks!$C:$C,A127,Chicks!$K:$K),""))</f>
        <v/>
      </c>
      <c r="E127" s="6" t="str">
        <f>IF(A127="","",IFERROR(AVERAGEIF(Chicks!$C:$C,A127,Chicks!$L:$L),""))</f>
        <v/>
      </c>
      <c r="F127" s="6" t="str">
        <f>IF(A127="","",IFERROR(AVERAGEIF(Chicks!$C:$C,A127,Chicks!$M:$M),""))</f>
        <v/>
      </c>
      <c r="G127" s="6" t="str">
        <f>IF(A127="","",SUMIFS(Chicks!$N:$N,Chicks!$C:$C,A127))</f>
        <v/>
      </c>
      <c r="H127" s="6" t="str">
        <f>IF(A127="","",SUMIFS(Chicks!$O:$O,Chicks!$C:$C,A127))</f>
        <v/>
      </c>
      <c r="I127" s="6" t="str">
        <f>IF(A127="","",SUMIFS(Chicks!$P:$P,Chicks!$C:$C,A127))</f>
        <v/>
      </c>
    </row>
    <row r="128" spans="1:9" ht="14.25" customHeight="1" x14ac:dyDescent="0.3">
      <c r="A128" s="4"/>
      <c r="B128" s="4" t="str">
        <f>IF(A128="","",COUNTIF(Chicks!$C:$C,A128))</f>
        <v/>
      </c>
      <c r="C128" s="4"/>
      <c r="D128" s="6" t="str">
        <f>IF(A128="","",IFERROR(AVERAGEIF(Chicks!$C:$C,A128,Chicks!$K:$K),""))</f>
        <v/>
      </c>
      <c r="E128" s="6" t="str">
        <f>IF(A128="","",IFERROR(AVERAGEIF(Chicks!$C:$C,A128,Chicks!$L:$L),""))</f>
        <v/>
      </c>
      <c r="F128" s="6" t="str">
        <f>IF(A128="","",IFERROR(AVERAGEIF(Chicks!$C:$C,A128,Chicks!$M:$M),""))</f>
        <v/>
      </c>
      <c r="G128" s="6" t="str">
        <f>IF(A128="","",SUMIFS(Chicks!$N:$N,Chicks!$C:$C,A128))</f>
        <v/>
      </c>
      <c r="H128" s="6" t="str">
        <f>IF(A128="","",SUMIFS(Chicks!$O:$O,Chicks!$C:$C,A128))</f>
        <v/>
      </c>
      <c r="I128" s="6" t="str">
        <f>IF(A128="","",SUMIFS(Chicks!$P:$P,Chicks!$C:$C,A128))</f>
        <v/>
      </c>
    </row>
    <row r="129" spans="1:9" ht="14.25" customHeight="1" x14ac:dyDescent="0.3">
      <c r="A129" s="4"/>
      <c r="B129" s="4" t="str">
        <f>IF(A129="","",COUNTIF(Chicks!$C:$C,A129))</f>
        <v/>
      </c>
      <c r="C129" s="4"/>
      <c r="D129" s="6" t="str">
        <f>IF(A129="","",IFERROR(AVERAGEIF(Chicks!$C:$C,A129,Chicks!$K:$K),""))</f>
        <v/>
      </c>
      <c r="E129" s="6" t="str">
        <f>IF(A129="","",IFERROR(AVERAGEIF(Chicks!$C:$C,A129,Chicks!$L:$L),""))</f>
        <v/>
      </c>
      <c r="F129" s="6" t="str">
        <f>IF(A129="","",IFERROR(AVERAGEIF(Chicks!$C:$C,A129,Chicks!$M:$M),""))</f>
        <v/>
      </c>
      <c r="G129" s="6" t="str">
        <f>IF(A129="","",SUMIFS(Chicks!$N:$N,Chicks!$C:$C,A129))</f>
        <v/>
      </c>
      <c r="H129" s="6" t="str">
        <f>IF(A129="","",SUMIFS(Chicks!$O:$O,Chicks!$C:$C,A129))</f>
        <v/>
      </c>
      <c r="I129" s="6" t="str">
        <f>IF(A129="","",SUMIFS(Chicks!$P:$P,Chicks!$C:$C,A129))</f>
        <v/>
      </c>
    </row>
    <row r="130" spans="1:9" ht="14.25" customHeight="1" x14ac:dyDescent="0.3">
      <c r="A130" s="4"/>
      <c r="B130" s="4" t="str">
        <f>IF(A130="","",COUNTIF(Chicks!$C:$C,A130))</f>
        <v/>
      </c>
      <c r="C130" s="4"/>
      <c r="D130" s="6" t="str">
        <f>IF(A130="","",IFERROR(AVERAGEIF(Chicks!$C:$C,A130,Chicks!$K:$K),""))</f>
        <v/>
      </c>
      <c r="E130" s="6" t="str">
        <f>IF(A130="","",IFERROR(AVERAGEIF(Chicks!$C:$C,A130,Chicks!$L:$L),""))</f>
        <v/>
      </c>
      <c r="F130" s="6" t="str">
        <f>IF(A130="","",IFERROR(AVERAGEIF(Chicks!$C:$C,A130,Chicks!$M:$M),""))</f>
        <v/>
      </c>
      <c r="G130" s="6" t="str">
        <f>IF(A130="","",SUMIFS(Chicks!$N:$N,Chicks!$C:$C,A130))</f>
        <v/>
      </c>
      <c r="H130" s="6" t="str">
        <f>IF(A130="","",SUMIFS(Chicks!$O:$O,Chicks!$C:$C,A130))</f>
        <v/>
      </c>
      <c r="I130" s="6" t="str">
        <f>IF(A130="","",SUMIFS(Chicks!$P:$P,Chicks!$C:$C,A130))</f>
        <v/>
      </c>
    </row>
    <row r="131" spans="1:9" ht="14.25" customHeight="1" x14ac:dyDescent="0.3">
      <c r="A131" s="4"/>
      <c r="B131" s="4" t="str">
        <f>IF(A131="","",COUNTIF(Chicks!$C:$C,A131))</f>
        <v/>
      </c>
      <c r="C131" s="4"/>
      <c r="D131" s="6" t="str">
        <f>IF(A131="","",IFERROR(AVERAGEIF(Chicks!$C:$C,A131,Chicks!$K:$K),""))</f>
        <v/>
      </c>
      <c r="E131" s="6" t="str">
        <f>IF(A131="","",IFERROR(AVERAGEIF(Chicks!$C:$C,A131,Chicks!$L:$L),""))</f>
        <v/>
      </c>
      <c r="F131" s="6" t="str">
        <f>IF(A131="","",IFERROR(AVERAGEIF(Chicks!$C:$C,A131,Chicks!$M:$M),""))</f>
        <v/>
      </c>
      <c r="G131" s="6" t="str">
        <f>IF(A131="","",SUMIFS(Chicks!$N:$N,Chicks!$C:$C,A131))</f>
        <v/>
      </c>
      <c r="H131" s="6" t="str">
        <f>IF(A131="","",SUMIFS(Chicks!$O:$O,Chicks!$C:$C,A131))</f>
        <v/>
      </c>
      <c r="I131" s="6" t="str">
        <f>IF(A131="","",SUMIFS(Chicks!$P:$P,Chicks!$C:$C,A131))</f>
        <v/>
      </c>
    </row>
    <row r="132" spans="1:9" ht="14.25" customHeight="1" x14ac:dyDescent="0.3">
      <c r="A132" s="4"/>
      <c r="B132" s="4" t="str">
        <f>IF(A132="","",COUNTIF(Chicks!$C:$C,A132))</f>
        <v/>
      </c>
      <c r="C132" s="4"/>
      <c r="D132" s="6" t="str">
        <f>IF(A132="","",IFERROR(AVERAGEIF(Chicks!$C:$C,A132,Chicks!$K:$K),""))</f>
        <v/>
      </c>
      <c r="E132" s="6" t="str">
        <f>IF(A132="","",IFERROR(AVERAGEIF(Chicks!$C:$C,A132,Chicks!$L:$L),""))</f>
        <v/>
      </c>
      <c r="F132" s="6" t="str">
        <f>IF(A132="","",IFERROR(AVERAGEIF(Chicks!$C:$C,A132,Chicks!$M:$M),""))</f>
        <v/>
      </c>
      <c r="G132" s="6" t="str">
        <f>IF(A132="","",SUMIFS(Chicks!$N:$N,Chicks!$C:$C,A132))</f>
        <v/>
      </c>
      <c r="H132" s="6" t="str">
        <f>IF(A132="","",SUMIFS(Chicks!$O:$O,Chicks!$C:$C,A132))</f>
        <v/>
      </c>
      <c r="I132" s="6" t="str">
        <f>IF(A132="","",SUMIFS(Chicks!$P:$P,Chicks!$C:$C,A132))</f>
        <v/>
      </c>
    </row>
    <row r="133" spans="1:9" ht="14.25" customHeight="1" x14ac:dyDescent="0.3">
      <c r="A133" s="4"/>
      <c r="B133" s="4" t="str">
        <f>IF(A133="","",COUNTIF(Chicks!$C:$C,A133))</f>
        <v/>
      </c>
      <c r="C133" s="4"/>
      <c r="D133" s="6" t="str">
        <f>IF(A133="","",IFERROR(AVERAGEIF(Chicks!$C:$C,A133,Chicks!$K:$K),""))</f>
        <v/>
      </c>
      <c r="E133" s="6" t="str">
        <f>IF(A133="","",IFERROR(AVERAGEIF(Chicks!$C:$C,A133,Chicks!$L:$L),""))</f>
        <v/>
      </c>
      <c r="F133" s="6" t="str">
        <f>IF(A133="","",IFERROR(AVERAGEIF(Chicks!$C:$C,A133,Chicks!$M:$M),""))</f>
        <v/>
      </c>
      <c r="G133" s="6" t="str">
        <f>IF(A133="","",SUMIFS(Chicks!$N:$N,Chicks!$C:$C,A133))</f>
        <v/>
      </c>
      <c r="H133" s="6" t="str">
        <f>IF(A133="","",SUMIFS(Chicks!$O:$O,Chicks!$C:$C,A133))</f>
        <v/>
      </c>
      <c r="I133" s="6" t="str">
        <f>IF(A133="","",SUMIFS(Chicks!$P:$P,Chicks!$C:$C,A133))</f>
        <v/>
      </c>
    </row>
    <row r="134" spans="1:9" ht="14.25" customHeight="1" x14ac:dyDescent="0.3">
      <c r="A134" s="4"/>
      <c r="B134" s="4" t="str">
        <f>IF(A134="","",COUNTIF(Chicks!$C:$C,A134))</f>
        <v/>
      </c>
      <c r="C134" s="4"/>
      <c r="D134" s="6" t="str">
        <f>IF(A134="","",IFERROR(AVERAGEIF(Chicks!$C:$C,A134,Chicks!$K:$K),""))</f>
        <v/>
      </c>
      <c r="E134" s="6" t="str">
        <f>IF(A134="","",IFERROR(AVERAGEIF(Chicks!$C:$C,A134,Chicks!$L:$L),""))</f>
        <v/>
      </c>
      <c r="F134" s="6" t="str">
        <f>IF(A134="","",IFERROR(AVERAGEIF(Chicks!$C:$C,A134,Chicks!$M:$M),""))</f>
        <v/>
      </c>
      <c r="G134" s="6" t="str">
        <f>IF(A134="","",SUMIFS(Chicks!$N:$N,Chicks!$C:$C,A134))</f>
        <v/>
      </c>
      <c r="H134" s="6" t="str">
        <f>IF(A134="","",SUMIFS(Chicks!$O:$O,Chicks!$C:$C,A134))</f>
        <v/>
      </c>
      <c r="I134" s="6" t="str">
        <f>IF(A134="","",SUMIFS(Chicks!$P:$P,Chicks!$C:$C,A134))</f>
        <v/>
      </c>
    </row>
    <row r="135" spans="1:9" ht="14.25" customHeight="1" x14ac:dyDescent="0.3">
      <c r="A135" s="4"/>
      <c r="B135" s="4" t="str">
        <f>IF(A135="","",COUNTIF(Chicks!$C:$C,A135))</f>
        <v/>
      </c>
      <c r="C135" s="4"/>
      <c r="D135" s="6" t="str">
        <f>IF(A135="","",IFERROR(AVERAGEIF(Chicks!$C:$C,A135,Chicks!$K:$K),""))</f>
        <v/>
      </c>
      <c r="E135" s="6" t="str">
        <f>IF(A135="","",IFERROR(AVERAGEIF(Chicks!$C:$C,A135,Chicks!$L:$L),""))</f>
        <v/>
      </c>
      <c r="F135" s="6" t="str">
        <f>IF(A135="","",IFERROR(AVERAGEIF(Chicks!$C:$C,A135,Chicks!$M:$M),""))</f>
        <v/>
      </c>
      <c r="G135" s="6" t="str">
        <f>IF(A135="","",SUMIFS(Chicks!$N:$N,Chicks!$C:$C,A135))</f>
        <v/>
      </c>
      <c r="H135" s="6" t="str">
        <f>IF(A135="","",SUMIFS(Chicks!$O:$O,Chicks!$C:$C,A135))</f>
        <v/>
      </c>
      <c r="I135" s="6" t="str">
        <f>IF(A135="","",SUMIFS(Chicks!$P:$P,Chicks!$C:$C,A135))</f>
        <v/>
      </c>
    </row>
    <row r="136" spans="1:9" ht="14.25" customHeight="1" x14ac:dyDescent="0.3">
      <c r="A136" s="4"/>
      <c r="B136" s="4" t="str">
        <f>IF(A136="","",COUNTIF(Chicks!$C:$C,A136))</f>
        <v/>
      </c>
      <c r="C136" s="4"/>
      <c r="D136" s="6" t="str">
        <f>IF(A136="","",IFERROR(AVERAGEIF(Chicks!$C:$C,A136,Chicks!$K:$K),""))</f>
        <v/>
      </c>
      <c r="E136" s="6" t="str">
        <f>IF(A136="","",IFERROR(AVERAGEIF(Chicks!$C:$C,A136,Chicks!$L:$L),""))</f>
        <v/>
      </c>
      <c r="F136" s="6" t="str">
        <f>IF(A136="","",IFERROR(AVERAGEIF(Chicks!$C:$C,A136,Chicks!$M:$M),""))</f>
        <v/>
      </c>
      <c r="G136" s="6" t="str">
        <f>IF(A136="","",SUMIFS(Chicks!$N:$N,Chicks!$C:$C,A136))</f>
        <v/>
      </c>
      <c r="H136" s="6" t="str">
        <f>IF(A136="","",SUMIFS(Chicks!$O:$O,Chicks!$C:$C,A136))</f>
        <v/>
      </c>
      <c r="I136" s="6" t="str">
        <f>IF(A136="","",SUMIFS(Chicks!$P:$P,Chicks!$C:$C,A136))</f>
        <v/>
      </c>
    </row>
    <row r="137" spans="1:9" ht="14.25" customHeight="1" x14ac:dyDescent="0.3">
      <c r="A137" s="4"/>
      <c r="B137" s="4" t="str">
        <f>IF(A137="","",COUNTIF(Chicks!$C:$C,A137))</f>
        <v/>
      </c>
      <c r="C137" s="4"/>
      <c r="D137" s="6" t="str">
        <f>IF(A137="","",IFERROR(AVERAGEIF(Chicks!$C:$C,A137,Chicks!$K:$K),""))</f>
        <v/>
      </c>
      <c r="E137" s="6" t="str">
        <f>IF(A137="","",IFERROR(AVERAGEIF(Chicks!$C:$C,A137,Chicks!$L:$L),""))</f>
        <v/>
      </c>
      <c r="F137" s="6" t="str">
        <f>IF(A137="","",IFERROR(AVERAGEIF(Chicks!$C:$C,A137,Chicks!$M:$M),""))</f>
        <v/>
      </c>
      <c r="G137" s="6" t="str">
        <f>IF(A137="","",SUMIFS(Chicks!$N:$N,Chicks!$C:$C,A137))</f>
        <v/>
      </c>
      <c r="H137" s="6" t="str">
        <f>IF(A137="","",SUMIFS(Chicks!$O:$O,Chicks!$C:$C,A137))</f>
        <v/>
      </c>
      <c r="I137" s="6" t="str">
        <f>IF(A137="","",SUMIFS(Chicks!$P:$P,Chicks!$C:$C,A137))</f>
        <v/>
      </c>
    </row>
    <row r="138" spans="1:9" ht="14.25" customHeight="1" x14ac:dyDescent="0.3">
      <c r="A138" s="4"/>
      <c r="B138" s="4" t="str">
        <f>IF(A138="","",COUNTIF(Chicks!$C:$C,A138))</f>
        <v/>
      </c>
      <c r="C138" s="4"/>
      <c r="D138" s="6" t="str">
        <f>IF(A138="","",IFERROR(AVERAGEIF(Chicks!$C:$C,A138,Chicks!$K:$K),""))</f>
        <v/>
      </c>
      <c r="E138" s="6" t="str">
        <f>IF(A138="","",IFERROR(AVERAGEIF(Chicks!$C:$C,A138,Chicks!$L:$L),""))</f>
        <v/>
      </c>
      <c r="F138" s="6" t="str">
        <f>IF(A138="","",IFERROR(AVERAGEIF(Chicks!$C:$C,A138,Chicks!$M:$M),""))</f>
        <v/>
      </c>
      <c r="G138" s="6" t="str">
        <f>IF(A138="","",SUMIFS(Chicks!$N:$N,Chicks!$C:$C,A138))</f>
        <v/>
      </c>
      <c r="H138" s="6" t="str">
        <f>IF(A138="","",SUMIFS(Chicks!$O:$O,Chicks!$C:$C,A138))</f>
        <v/>
      </c>
      <c r="I138" s="6" t="str">
        <f>IF(A138="","",SUMIFS(Chicks!$P:$P,Chicks!$C:$C,A138))</f>
        <v/>
      </c>
    </row>
    <row r="139" spans="1:9" ht="14.25" customHeight="1" x14ac:dyDescent="0.3">
      <c r="A139" s="4"/>
      <c r="B139" s="4" t="str">
        <f>IF(A139="","",COUNTIF(Chicks!$C:$C,A139))</f>
        <v/>
      </c>
      <c r="C139" s="4"/>
      <c r="D139" s="6" t="str">
        <f>IF(A139="","",IFERROR(AVERAGEIF(Chicks!$C:$C,A139,Chicks!$K:$K),""))</f>
        <v/>
      </c>
      <c r="E139" s="6" t="str">
        <f>IF(A139="","",IFERROR(AVERAGEIF(Chicks!$C:$C,A139,Chicks!$L:$L),""))</f>
        <v/>
      </c>
      <c r="F139" s="6" t="str">
        <f>IF(A139="","",IFERROR(AVERAGEIF(Chicks!$C:$C,A139,Chicks!$M:$M),""))</f>
        <v/>
      </c>
      <c r="G139" s="6" t="str">
        <f>IF(A139="","",SUMIFS(Chicks!$N:$N,Chicks!$C:$C,A139))</f>
        <v/>
      </c>
      <c r="H139" s="6" t="str">
        <f>IF(A139="","",SUMIFS(Chicks!$O:$O,Chicks!$C:$C,A139))</f>
        <v/>
      </c>
      <c r="I139" s="6" t="str">
        <f>IF(A139="","",SUMIFS(Chicks!$P:$P,Chicks!$C:$C,A139))</f>
        <v/>
      </c>
    </row>
    <row r="140" spans="1:9" ht="14.25" customHeight="1" x14ac:dyDescent="0.3">
      <c r="A140" s="4"/>
      <c r="B140" s="4" t="str">
        <f>IF(A140="","",COUNTIF(Chicks!$C:$C,A140))</f>
        <v/>
      </c>
      <c r="C140" s="4"/>
      <c r="D140" s="6" t="str">
        <f>IF(A140="","",IFERROR(AVERAGEIF(Chicks!$C:$C,A140,Chicks!$K:$K),""))</f>
        <v/>
      </c>
      <c r="E140" s="6" t="str">
        <f>IF(A140="","",IFERROR(AVERAGEIF(Chicks!$C:$C,A140,Chicks!$L:$L),""))</f>
        <v/>
      </c>
      <c r="F140" s="6" t="str">
        <f>IF(A140="","",IFERROR(AVERAGEIF(Chicks!$C:$C,A140,Chicks!$M:$M),""))</f>
        <v/>
      </c>
      <c r="G140" s="6" t="str">
        <f>IF(A140="","",SUMIFS(Chicks!$N:$N,Chicks!$C:$C,A140))</f>
        <v/>
      </c>
      <c r="H140" s="6" t="str">
        <f>IF(A140="","",SUMIFS(Chicks!$O:$O,Chicks!$C:$C,A140))</f>
        <v/>
      </c>
      <c r="I140" s="6" t="str">
        <f>IF(A140="","",SUMIFS(Chicks!$P:$P,Chicks!$C:$C,A140))</f>
        <v/>
      </c>
    </row>
    <row r="141" spans="1:9" ht="14.25" customHeight="1" x14ac:dyDescent="0.3">
      <c r="A141" s="4"/>
      <c r="B141" s="4" t="str">
        <f>IF(A141="","",COUNTIF(Chicks!$C:$C,A141))</f>
        <v/>
      </c>
      <c r="C141" s="4"/>
      <c r="D141" s="6" t="str">
        <f>IF(A141="","",IFERROR(AVERAGEIF(Chicks!$C:$C,A141,Chicks!$K:$K),""))</f>
        <v/>
      </c>
      <c r="E141" s="6" t="str">
        <f>IF(A141="","",IFERROR(AVERAGEIF(Chicks!$C:$C,A141,Chicks!$L:$L),""))</f>
        <v/>
      </c>
      <c r="F141" s="6" t="str">
        <f>IF(A141="","",IFERROR(AVERAGEIF(Chicks!$C:$C,A141,Chicks!$M:$M),""))</f>
        <v/>
      </c>
      <c r="G141" s="6" t="str">
        <f>IF(A141="","",SUMIFS(Chicks!$N:$N,Chicks!$C:$C,A141))</f>
        <v/>
      </c>
      <c r="H141" s="6" t="str">
        <f>IF(A141="","",SUMIFS(Chicks!$O:$O,Chicks!$C:$C,A141))</f>
        <v/>
      </c>
      <c r="I141" s="6" t="str">
        <f>IF(A141="","",SUMIFS(Chicks!$P:$P,Chicks!$C:$C,A141))</f>
        <v/>
      </c>
    </row>
    <row r="142" spans="1:9" ht="14.25" customHeight="1" x14ac:dyDescent="0.3">
      <c r="A142" s="4"/>
      <c r="B142" s="4" t="str">
        <f>IF(A142="","",COUNTIF(Chicks!$C:$C,A142))</f>
        <v/>
      </c>
      <c r="C142" s="4"/>
      <c r="D142" s="6" t="str">
        <f>IF(A142="","",IFERROR(AVERAGEIF(Chicks!$C:$C,A142,Chicks!$K:$K),""))</f>
        <v/>
      </c>
      <c r="E142" s="6" t="str">
        <f>IF(A142="","",IFERROR(AVERAGEIF(Chicks!$C:$C,A142,Chicks!$L:$L),""))</f>
        <v/>
      </c>
      <c r="F142" s="6" t="str">
        <f>IF(A142="","",IFERROR(AVERAGEIF(Chicks!$C:$C,A142,Chicks!$M:$M),""))</f>
        <v/>
      </c>
      <c r="G142" s="6" t="str">
        <f>IF(A142="","",SUMIFS(Chicks!$N:$N,Chicks!$C:$C,A142))</f>
        <v/>
      </c>
      <c r="H142" s="6" t="str">
        <f>IF(A142="","",SUMIFS(Chicks!$O:$O,Chicks!$C:$C,A142))</f>
        <v/>
      </c>
      <c r="I142" s="6" t="str">
        <f>IF(A142="","",SUMIFS(Chicks!$P:$P,Chicks!$C:$C,A142))</f>
        <v/>
      </c>
    </row>
    <row r="143" spans="1:9" ht="14.25" customHeight="1" x14ac:dyDescent="0.3">
      <c r="A143" s="4"/>
      <c r="B143" s="4" t="str">
        <f>IF(A143="","",COUNTIF(Chicks!$C:$C,A143))</f>
        <v/>
      </c>
      <c r="C143" s="4"/>
      <c r="D143" s="6" t="str">
        <f>IF(A143="","",IFERROR(AVERAGEIF(Chicks!$C:$C,A143,Chicks!$K:$K),""))</f>
        <v/>
      </c>
      <c r="E143" s="6" t="str">
        <f>IF(A143="","",IFERROR(AVERAGEIF(Chicks!$C:$C,A143,Chicks!$L:$L),""))</f>
        <v/>
      </c>
      <c r="F143" s="6" t="str">
        <f>IF(A143="","",IFERROR(AVERAGEIF(Chicks!$C:$C,A143,Chicks!$M:$M),""))</f>
        <v/>
      </c>
      <c r="G143" s="6" t="str">
        <f>IF(A143="","",SUMIFS(Chicks!$N:$N,Chicks!$C:$C,A143))</f>
        <v/>
      </c>
      <c r="H143" s="6" t="str">
        <f>IF(A143="","",SUMIFS(Chicks!$O:$O,Chicks!$C:$C,A143))</f>
        <v/>
      </c>
      <c r="I143" s="6" t="str">
        <f>IF(A143="","",SUMIFS(Chicks!$P:$P,Chicks!$C:$C,A143))</f>
        <v/>
      </c>
    </row>
    <row r="144" spans="1:9" ht="14.25" customHeight="1" x14ac:dyDescent="0.3">
      <c r="A144" s="4"/>
      <c r="B144" s="4" t="str">
        <f>IF(A144="","",COUNTIF(Chicks!$C:$C,A144))</f>
        <v/>
      </c>
      <c r="C144" s="4"/>
      <c r="D144" s="6" t="str">
        <f>IF(A144="","",IFERROR(AVERAGEIF(Chicks!$C:$C,A144,Chicks!$K:$K),""))</f>
        <v/>
      </c>
      <c r="E144" s="6" t="str">
        <f>IF(A144="","",IFERROR(AVERAGEIF(Chicks!$C:$C,A144,Chicks!$L:$L),""))</f>
        <v/>
      </c>
      <c r="F144" s="6" t="str">
        <f>IF(A144="","",IFERROR(AVERAGEIF(Chicks!$C:$C,A144,Chicks!$M:$M),""))</f>
        <v/>
      </c>
      <c r="G144" s="6" t="str">
        <f>IF(A144="","",SUMIFS(Chicks!$N:$N,Chicks!$C:$C,A144))</f>
        <v/>
      </c>
      <c r="H144" s="6" t="str">
        <f>IF(A144="","",SUMIFS(Chicks!$O:$O,Chicks!$C:$C,A144))</f>
        <v/>
      </c>
      <c r="I144" s="6" t="str">
        <f>IF(A144="","",SUMIFS(Chicks!$P:$P,Chicks!$C:$C,A144))</f>
        <v/>
      </c>
    </row>
    <row r="145" spans="1:9" ht="14.25" customHeight="1" x14ac:dyDescent="0.3">
      <c r="A145" s="4"/>
      <c r="B145" s="4" t="str">
        <f>IF(A145="","",COUNTIF(Chicks!$C:$C,A145))</f>
        <v/>
      </c>
      <c r="C145" s="4"/>
      <c r="D145" s="6" t="str">
        <f>IF(A145="","",IFERROR(AVERAGEIF(Chicks!$C:$C,A145,Chicks!$K:$K),""))</f>
        <v/>
      </c>
      <c r="E145" s="6" t="str">
        <f>IF(A145="","",IFERROR(AVERAGEIF(Chicks!$C:$C,A145,Chicks!$L:$L),""))</f>
        <v/>
      </c>
      <c r="F145" s="6" t="str">
        <f>IF(A145="","",IFERROR(AVERAGEIF(Chicks!$C:$C,A145,Chicks!$M:$M),""))</f>
        <v/>
      </c>
      <c r="G145" s="6" t="str">
        <f>IF(A145="","",SUMIFS(Chicks!$N:$N,Chicks!$C:$C,A145))</f>
        <v/>
      </c>
      <c r="H145" s="6" t="str">
        <f>IF(A145="","",SUMIFS(Chicks!$O:$O,Chicks!$C:$C,A145))</f>
        <v/>
      </c>
      <c r="I145" s="6" t="str">
        <f>IF(A145="","",SUMIFS(Chicks!$P:$P,Chicks!$C:$C,A145))</f>
        <v/>
      </c>
    </row>
    <row r="146" spans="1:9" ht="14.25" customHeight="1" x14ac:dyDescent="0.3">
      <c r="A146" s="4"/>
      <c r="B146" s="4" t="str">
        <f>IF(A146="","",COUNTIF(Chicks!$C:$C,A146))</f>
        <v/>
      </c>
      <c r="C146" s="4"/>
      <c r="D146" s="6" t="str">
        <f>IF(A146="","",IFERROR(AVERAGEIF(Chicks!$C:$C,A146,Chicks!$K:$K),""))</f>
        <v/>
      </c>
      <c r="E146" s="6" t="str">
        <f>IF(A146="","",IFERROR(AVERAGEIF(Chicks!$C:$C,A146,Chicks!$L:$L),""))</f>
        <v/>
      </c>
      <c r="F146" s="6" t="str">
        <f>IF(A146="","",IFERROR(AVERAGEIF(Chicks!$C:$C,A146,Chicks!$M:$M),""))</f>
        <v/>
      </c>
      <c r="G146" s="6" t="str">
        <f>IF(A146="","",SUMIFS(Chicks!$N:$N,Chicks!$C:$C,A146))</f>
        <v/>
      </c>
      <c r="H146" s="6" t="str">
        <f>IF(A146="","",SUMIFS(Chicks!$O:$O,Chicks!$C:$C,A146))</f>
        <v/>
      </c>
      <c r="I146" s="6" t="str">
        <f>IF(A146="","",SUMIFS(Chicks!$P:$P,Chicks!$C:$C,A146))</f>
        <v/>
      </c>
    </row>
    <row r="147" spans="1:9" ht="14.25" customHeight="1" x14ac:dyDescent="0.3">
      <c r="A147" s="4"/>
      <c r="B147" s="4" t="str">
        <f>IF(A147="","",COUNTIF(Chicks!$C:$C,A147))</f>
        <v/>
      </c>
      <c r="C147" s="4"/>
      <c r="D147" s="6" t="str">
        <f>IF(A147="","",IFERROR(AVERAGEIF(Chicks!$C:$C,A147,Chicks!$K:$K),""))</f>
        <v/>
      </c>
      <c r="E147" s="6" t="str">
        <f>IF(A147="","",IFERROR(AVERAGEIF(Chicks!$C:$C,A147,Chicks!$L:$L),""))</f>
        <v/>
      </c>
      <c r="F147" s="6" t="str">
        <f>IF(A147="","",IFERROR(AVERAGEIF(Chicks!$C:$C,A147,Chicks!$M:$M),""))</f>
        <v/>
      </c>
      <c r="G147" s="6" t="str">
        <f>IF(A147="","",SUMIFS(Chicks!$N:$N,Chicks!$C:$C,A147))</f>
        <v/>
      </c>
      <c r="H147" s="6" t="str">
        <f>IF(A147="","",SUMIFS(Chicks!$O:$O,Chicks!$C:$C,A147))</f>
        <v/>
      </c>
      <c r="I147" s="6" t="str">
        <f>IF(A147="","",SUMIFS(Chicks!$P:$P,Chicks!$C:$C,A147))</f>
        <v/>
      </c>
    </row>
    <row r="148" spans="1:9" ht="14.25" customHeight="1" x14ac:dyDescent="0.3">
      <c r="A148" s="4"/>
      <c r="B148" s="4" t="str">
        <f>IF(A148="","",COUNTIF(Chicks!$C:$C,A148))</f>
        <v/>
      </c>
      <c r="C148" s="4"/>
      <c r="D148" s="6" t="str">
        <f>IF(A148="","",IFERROR(AVERAGEIF(Chicks!$C:$C,A148,Chicks!$K:$K),""))</f>
        <v/>
      </c>
      <c r="E148" s="6" t="str">
        <f>IF(A148="","",IFERROR(AVERAGEIF(Chicks!$C:$C,A148,Chicks!$L:$L),""))</f>
        <v/>
      </c>
      <c r="F148" s="6" t="str">
        <f>IF(A148="","",IFERROR(AVERAGEIF(Chicks!$C:$C,A148,Chicks!$M:$M),""))</f>
        <v/>
      </c>
      <c r="G148" s="6" t="str">
        <f>IF(A148="","",SUMIFS(Chicks!$N:$N,Chicks!$C:$C,A148))</f>
        <v/>
      </c>
      <c r="H148" s="6" t="str">
        <f>IF(A148="","",SUMIFS(Chicks!$O:$O,Chicks!$C:$C,A148))</f>
        <v/>
      </c>
      <c r="I148" s="6" t="str">
        <f>IF(A148="","",SUMIFS(Chicks!$P:$P,Chicks!$C:$C,A148))</f>
        <v/>
      </c>
    </row>
    <row r="149" spans="1:9" ht="14.25" customHeight="1" x14ac:dyDescent="0.3">
      <c r="A149" s="4"/>
      <c r="B149" s="4" t="str">
        <f>IF(A149="","",COUNTIF(Chicks!$C:$C,A149))</f>
        <v/>
      </c>
      <c r="C149" s="4"/>
      <c r="D149" s="6" t="str">
        <f>IF(A149="","",IFERROR(AVERAGEIF(Chicks!$C:$C,A149,Chicks!$K:$K),""))</f>
        <v/>
      </c>
      <c r="E149" s="6" t="str">
        <f>IF(A149="","",IFERROR(AVERAGEIF(Chicks!$C:$C,A149,Chicks!$L:$L),""))</f>
        <v/>
      </c>
      <c r="F149" s="6" t="str">
        <f>IF(A149="","",IFERROR(AVERAGEIF(Chicks!$C:$C,A149,Chicks!$M:$M),""))</f>
        <v/>
      </c>
      <c r="G149" s="6" t="str">
        <f>IF(A149="","",SUMIFS(Chicks!$N:$N,Chicks!$C:$C,A149))</f>
        <v/>
      </c>
      <c r="H149" s="6" t="str">
        <f>IF(A149="","",SUMIFS(Chicks!$O:$O,Chicks!$C:$C,A149))</f>
        <v/>
      </c>
      <c r="I149" s="6" t="str">
        <f>IF(A149="","",SUMIFS(Chicks!$P:$P,Chicks!$C:$C,A149))</f>
        <v/>
      </c>
    </row>
    <row r="150" spans="1:9" ht="14.25" customHeight="1" x14ac:dyDescent="0.3">
      <c r="A150" s="4"/>
      <c r="B150" s="4" t="str">
        <f>IF(A150="","",COUNTIF(Chicks!$C:$C,A150))</f>
        <v/>
      </c>
      <c r="C150" s="4"/>
      <c r="D150" s="6" t="str">
        <f>IF(A150="","",IFERROR(AVERAGEIF(Chicks!$C:$C,A150,Chicks!$K:$K),""))</f>
        <v/>
      </c>
      <c r="E150" s="6" t="str">
        <f>IF(A150="","",IFERROR(AVERAGEIF(Chicks!$C:$C,A150,Chicks!$L:$L),""))</f>
        <v/>
      </c>
      <c r="F150" s="6" t="str">
        <f>IF(A150="","",IFERROR(AVERAGEIF(Chicks!$C:$C,A150,Chicks!$M:$M),""))</f>
        <v/>
      </c>
      <c r="G150" s="6" t="str">
        <f>IF(A150="","",SUMIFS(Chicks!$N:$N,Chicks!$C:$C,A150))</f>
        <v/>
      </c>
      <c r="H150" s="6" t="str">
        <f>IF(A150="","",SUMIFS(Chicks!$O:$O,Chicks!$C:$C,A150))</f>
        <v/>
      </c>
      <c r="I150" s="6" t="str">
        <f>IF(A150="","",SUMIFS(Chicks!$P:$P,Chicks!$C:$C,A150))</f>
        <v/>
      </c>
    </row>
    <row r="151" spans="1:9" ht="14.25" customHeight="1" x14ac:dyDescent="0.3">
      <c r="A151" s="4"/>
      <c r="B151" s="4" t="str">
        <f>IF(A151="","",COUNTIF(Chicks!$C:$C,A151))</f>
        <v/>
      </c>
      <c r="C151" s="4"/>
      <c r="D151" s="6" t="str">
        <f>IF(A151="","",IFERROR(AVERAGEIF(Chicks!$C:$C,A151,Chicks!$K:$K),""))</f>
        <v/>
      </c>
      <c r="E151" s="6" t="str">
        <f>IF(A151="","",IFERROR(AVERAGEIF(Chicks!$C:$C,A151,Chicks!$L:$L),""))</f>
        <v/>
      </c>
      <c r="F151" s="6" t="str">
        <f>IF(A151="","",IFERROR(AVERAGEIF(Chicks!$C:$C,A151,Chicks!$M:$M),""))</f>
        <v/>
      </c>
      <c r="G151" s="6" t="str">
        <f>IF(A151="","",SUMIFS(Chicks!$N:$N,Chicks!$C:$C,A151))</f>
        <v/>
      </c>
      <c r="H151" s="6" t="str">
        <f>IF(A151="","",SUMIFS(Chicks!$O:$O,Chicks!$C:$C,A151))</f>
        <v/>
      </c>
      <c r="I151" s="6" t="str">
        <f>IF(A151="","",SUMIFS(Chicks!$P:$P,Chicks!$C:$C,A151))</f>
        <v/>
      </c>
    </row>
    <row r="152" spans="1:9" ht="14.25" customHeight="1" x14ac:dyDescent="0.3">
      <c r="A152" s="4"/>
      <c r="B152" s="4" t="str">
        <f>IF(A152="","",COUNTIF(Chicks!$C:$C,A152))</f>
        <v/>
      </c>
      <c r="C152" s="4"/>
      <c r="D152" s="6" t="str">
        <f>IF(A152="","",IFERROR(AVERAGEIF(Chicks!$C:$C,A152,Chicks!$K:$K),""))</f>
        <v/>
      </c>
      <c r="E152" s="6" t="str">
        <f>IF(A152="","",IFERROR(AVERAGEIF(Chicks!$C:$C,A152,Chicks!$L:$L),""))</f>
        <v/>
      </c>
      <c r="F152" s="6" t="str">
        <f>IF(A152="","",IFERROR(AVERAGEIF(Chicks!$C:$C,A152,Chicks!$M:$M),""))</f>
        <v/>
      </c>
      <c r="G152" s="6" t="str">
        <f>IF(A152="","",SUMIFS(Chicks!$N:$N,Chicks!$C:$C,A152))</f>
        <v/>
      </c>
      <c r="H152" s="6" t="str">
        <f>IF(A152="","",SUMIFS(Chicks!$O:$O,Chicks!$C:$C,A152))</f>
        <v/>
      </c>
      <c r="I152" s="6" t="str">
        <f>IF(A152="","",SUMIFS(Chicks!$P:$P,Chicks!$C:$C,A152))</f>
        <v/>
      </c>
    </row>
    <row r="153" spans="1:9" ht="14.25" customHeight="1" x14ac:dyDescent="0.3">
      <c r="A153" s="4"/>
      <c r="B153" s="4" t="str">
        <f>IF(A153="","",COUNTIF(Chicks!$C:$C,A153))</f>
        <v/>
      </c>
      <c r="C153" s="4"/>
      <c r="D153" s="6" t="str">
        <f>IF(A153="","",IFERROR(AVERAGEIF(Chicks!$C:$C,A153,Chicks!$K:$K),""))</f>
        <v/>
      </c>
      <c r="E153" s="6" t="str">
        <f>IF(A153="","",IFERROR(AVERAGEIF(Chicks!$C:$C,A153,Chicks!$L:$L),""))</f>
        <v/>
      </c>
      <c r="F153" s="6" t="str">
        <f>IF(A153="","",IFERROR(AVERAGEIF(Chicks!$C:$C,A153,Chicks!$M:$M),""))</f>
        <v/>
      </c>
      <c r="G153" s="6" t="str">
        <f>IF(A153="","",SUMIFS(Chicks!$N:$N,Chicks!$C:$C,A153))</f>
        <v/>
      </c>
      <c r="H153" s="6" t="str">
        <f>IF(A153="","",SUMIFS(Chicks!$O:$O,Chicks!$C:$C,A153))</f>
        <v/>
      </c>
      <c r="I153" s="6" t="str">
        <f>IF(A153="","",SUMIFS(Chicks!$P:$P,Chicks!$C:$C,A153))</f>
        <v/>
      </c>
    </row>
    <row r="154" spans="1:9" ht="14.25" customHeight="1" x14ac:dyDescent="0.3">
      <c r="A154" s="4"/>
      <c r="B154" s="4" t="str">
        <f>IF(A154="","",COUNTIF(Chicks!$C:$C,A154))</f>
        <v/>
      </c>
      <c r="C154" s="4"/>
      <c r="D154" s="6" t="str">
        <f>IF(A154="","",IFERROR(AVERAGEIF(Chicks!$C:$C,A154,Chicks!$K:$K),""))</f>
        <v/>
      </c>
      <c r="E154" s="6" t="str">
        <f>IF(A154="","",IFERROR(AVERAGEIF(Chicks!$C:$C,A154,Chicks!$L:$L),""))</f>
        <v/>
      </c>
      <c r="F154" s="6" t="str">
        <f>IF(A154="","",IFERROR(AVERAGEIF(Chicks!$C:$C,A154,Chicks!$M:$M),""))</f>
        <v/>
      </c>
      <c r="G154" s="6" t="str">
        <f>IF(A154="","",SUMIFS(Chicks!$N:$N,Chicks!$C:$C,A154))</f>
        <v/>
      </c>
      <c r="H154" s="6" t="str">
        <f>IF(A154="","",SUMIFS(Chicks!$O:$O,Chicks!$C:$C,A154))</f>
        <v/>
      </c>
      <c r="I154" s="6" t="str">
        <f>IF(A154="","",SUMIFS(Chicks!$P:$P,Chicks!$C:$C,A154))</f>
        <v/>
      </c>
    </row>
    <row r="155" spans="1:9" ht="14.25" customHeight="1" x14ac:dyDescent="0.3">
      <c r="A155" s="4"/>
      <c r="B155" s="4" t="str">
        <f>IF(A155="","",COUNTIF(Chicks!$C:$C,A155))</f>
        <v/>
      </c>
      <c r="C155" s="4"/>
      <c r="D155" s="6" t="str">
        <f>IF(A155="","",IFERROR(AVERAGEIF(Chicks!$C:$C,A155,Chicks!$K:$K),""))</f>
        <v/>
      </c>
      <c r="E155" s="6" t="str">
        <f>IF(A155="","",IFERROR(AVERAGEIF(Chicks!$C:$C,A155,Chicks!$L:$L),""))</f>
        <v/>
      </c>
      <c r="F155" s="6" t="str">
        <f>IF(A155="","",IFERROR(AVERAGEIF(Chicks!$C:$C,A155,Chicks!$M:$M),""))</f>
        <v/>
      </c>
      <c r="G155" s="6" t="str">
        <f>IF(A155="","",SUMIFS(Chicks!$N:$N,Chicks!$C:$C,A155))</f>
        <v/>
      </c>
      <c r="H155" s="6" t="str">
        <f>IF(A155="","",SUMIFS(Chicks!$O:$O,Chicks!$C:$C,A155))</f>
        <v/>
      </c>
      <c r="I155" s="6" t="str">
        <f>IF(A155="","",SUMIFS(Chicks!$P:$P,Chicks!$C:$C,A155))</f>
        <v/>
      </c>
    </row>
    <row r="156" spans="1:9" ht="14.25" customHeight="1" x14ac:dyDescent="0.3">
      <c r="A156" s="4"/>
      <c r="B156" s="4" t="str">
        <f>IF(A156="","",COUNTIF(Chicks!$C:$C,A156))</f>
        <v/>
      </c>
      <c r="C156" s="4"/>
      <c r="D156" s="6" t="str">
        <f>IF(A156="","",IFERROR(AVERAGEIF(Chicks!$C:$C,A156,Chicks!$K:$K),""))</f>
        <v/>
      </c>
      <c r="E156" s="6" t="str">
        <f>IF(A156="","",IFERROR(AVERAGEIF(Chicks!$C:$C,A156,Chicks!$L:$L),""))</f>
        <v/>
      </c>
      <c r="F156" s="6" t="str">
        <f>IF(A156="","",IFERROR(AVERAGEIF(Chicks!$C:$C,A156,Chicks!$M:$M),""))</f>
        <v/>
      </c>
      <c r="G156" s="6" t="str">
        <f>IF(A156="","",SUMIFS(Chicks!$N:$N,Chicks!$C:$C,A156))</f>
        <v/>
      </c>
      <c r="H156" s="6" t="str">
        <f>IF(A156="","",SUMIFS(Chicks!$O:$O,Chicks!$C:$C,A156))</f>
        <v/>
      </c>
      <c r="I156" s="6" t="str">
        <f>IF(A156="","",SUMIFS(Chicks!$P:$P,Chicks!$C:$C,A156))</f>
        <v/>
      </c>
    </row>
    <row r="157" spans="1:9" ht="14.25" customHeight="1" x14ac:dyDescent="0.3">
      <c r="A157" s="4"/>
      <c r="B157" s="4" t="str">
        <f>IF(A157="","",COUNTIF(Chicks!$C:$C,A157))</f>
        <v/>
      </c>
      <c r="C157" s="4"/>
      <c r="D157" s="6" t="str">
        <f>IF(A157="","",IFERROR(AVERAGEIF(Chicks!$C:$C,A157,Chicks!$K:$K),""))</f>
        <v/>
      </c>
      <c r="E157" s="6" t="str">
        <f>IF(A157="","",IFERROR(AVERAGEIF(Chicks!$C:$C,A157,Chicks!$L:$L),""))</f>
        <v/>
      </c>
      <c r="F157" s="6" t="str">
        <f>IF(A157="","",IFERROR(AVERAGEIF(Chicks!$C:$C,A157,Chicks!$M:$M),""))</f>
        <v/>
      </c>
      <c r="G157" s="6" t="str">
        <f>IF(A157="","",SUMIFS(Chicks!$N:$N,Chicks!$C:$C,A157))</f>
        <v/>
      </c>
      <c r="H157" s="6" t="str">
        <f>IF(A157="","",SUMIFS(Chicks!$O:$O,Chicks!$C:$C,A157))</f>
        <v/>
      </c>
      <c r="I157" s="6" t="str">
        <f>IF(A157="","",SUMIFS(Chicks!$P:$P,Chicks!$C:$C,A157))</f>
        <v/>
      </c>
    </row>
    <row r="158" spans="1:9" ht="14.25" customHeight="1" x14ac:dyDescent="0.3">
      <c r="A158" s="4"/>
      <c r="B158" s="4" t="str">
        <f>IF(A158="","",COUNTIF(Chicks!$C:$C,A158))</f>
        <v/>
      </c>
      <c r="C158" s="4"/>
      <c r="D158" s="6" t="str">
        <f>IF(A158="","",IFERROR(AVERAGEIF(Chicks!$C:$C,A158,Chicks!$K:$K),""))</f>
        <v/>
      </c>
      <c r="E158" s="6" t="str">
        <f>IF(A158="","",IFERROR(AVERAGEIF(Chicks!$C:$C,A158,Chicks!$L:$L),""))</f>
        <v/>
      </c>
      <c r="F158" s="6" t="str">
        <f>IF(A158="","",IFERROR(AVERAGEIF(Chicks!$C:$C,A158,Chicks!$M:$M),""))</f>
        <v/>
      </c>
      <c r="G158" s="6" t="str">
        <f>IF(A158="","",SUMIFS(Chicks!$N:$N,Chicks!$C:$C,A158))</f>
        <v/>
      </c>
      <c r="H158" s="6" t="str">
        <f>IF(A158="","",SUMIFS(Chicks!$O:$O,Chicks!$C:$C,A158))</f>
        <v/>
      </c>
      <c r="I158" s="6" t="str">
        <f>IF(A158="","",SUMIFS(Chicks!$P:$P,Chicks!$C:$C,A158))</f>
        <v/>
      </c>
    </row>
    <row r="159" spans="1:9" ht="14.25" customHeight="1" x14ac:dyDescent="0.3">
      <c r="A159" s="4"/>
      <c r="B159" s="4" t="str">
        <f>IF(A159="","",COUNTIF(Chicks!$C:$C,A159))</f>
        <v/>
      </c>
      <c r="C159" s="4"/>
      <c r="D159" s="6" t="str">
        <f>IF(A159="","",IFERROR(AVERAGEIF(Chicks!$C:$C,A159,Chicks!$K:$K),""))</f>
        <v/>
      </c>
      <c r="E159" s="6" t="str">
        <f>IF(A159="","",IFERROR(AVERAGEIF(Chicks!$C:$C,A159,Chicks!$L:$L),""))</f>
        <v/>
      </c>
      <c r="F159" s="6" t="str">
        <f>IF(A159="","",IFERROR(AVERAGEIF(Chicks!$C:$C,A159,Chicks!$M:$M),""))</f>
        <v/>
      </c>
      <c r="G159" s="6" t="str">
        <f>IF(A159="","",SUMIFS(Chicks!$N:$N,Chicks!$C:$C,A159))</f>
        <v/>
      </c>
      <c r="H159" s="6" t="str">
        <f>IF(A159="","",SUMIFS(Chicks!$O:$O,Chicks!$C:$C,A159))</f>
        <v/>
      </c>
      <c r="I159" s="6" t="str">
        <f>IF(A159="","",SUMIFS(Chicks!$P:$P,Chicks!$C:$C,A159))</f>
        <v/>
      </c>
    </row>
    <row r="160" spans="1:9" ht="14.25" customHeight="1" x14ac:dyDescent="0.3">
      <c r="A160" s="4"/>
      <c r="B160" s="4" t="str">
        <f>IF(A160="","",COUNTIF(Chicks!$C:$C,A160))</f>
        <v/>
      </c>
      <c r="C160" s="4"/>
      <c r="D160" s="6" t="str">
        <f>IF(A160="","",IFERROR(AVERAGEIF(Chicks!$C:$C,A160,Chicks!$K:$K),""))</f>
        <v/>
      </c>
      <c r="E160" s="6" t="str">
        <f>IF(A160="","",IFERROR(AVERAGEIF(Chicks!$C:$C,A160,Chicks!$L:$L),""))</f>
        <v/>
      </c>
      <c r="F160" s="6" t="str">
        <f>IF(A160="","",IFERROR(AVERAGEIF(Chicks!$C:$C,A160,Chicks!$M:$M),""))</f>
        <v/>
      </c>
      <c r="G160" s="6" t="str">
        <f>IF(A160="","",SUMIFS(Chicks!$N:$N,Chicks!$C:$C,A160))</f>
        <v/>
      </c>
      <c r="H160" s="6" t="str">
        <f>IF(A160="","",SUMIFS(Chicks!$O:$O,Chicks!$C:$C,A160))</f>
        <v/>
      </c>
      <c r="I160" s="6" t="str">
        <f>IF(A160="","",SUMIFS(Chicks!$P:$P,Chicks!$C:$C,A160))</f>
        <v/>
      </c>
    </row>
    <row r="161" spans="1:9" ht="14.25" customHeight="1" x14ac:dyDescent="0.3">
      <c r="A161" s="4"/>
      <c r="B161" s="4" t="str">
        <f>IF(A161="","",COUNTIF(Chicks!$C:$C,A161))</f>
        <v/>
      </c>
      <c r="C161" s="4"/>
      <c r="D161" s="6" t="str">
        <f>IF(A161="","",IFERROR(AVERAGEIF(Chicks!$C:$C,A161,Chicks!$K:$K),""))</f>
        <v/>
      </c>
      <c r="E161" s="6" t="str">
        <f>IF(A161="","",IFERROR(AVERAGEIF(Chicks!$C:$C,A161,Chicks!$L:$L),""))</f>
        <v/>
      </c>
      <c r="F161" s="6" t="str">
        <f>IF(A161="","",IFERROR(AVERAGEIF(Chicks!$C:$C,A161,Chicks!$M:$M),""))</f>
        <v/>
      </c>
      <c r="G161" s="6" t="str">
        <f>IF(A161="","",SUMIFS(Chicks!$N:$N,Chicks!$C:$C,A161))</f>
        <v/>
      </c>
      <c r="H161" s="6" t="str">
        <f>IF(A161="","",SUMIFS(Chicks!$O:$O,Chicks!$C:$C,A161))</f>
        <v/>
      </c>
      <c r="I161" s="6" t="str">
        <f>IF(A161="","",SUMIFS(Chicks!$P:$P,Chicks!$C:$C,A161))</f>
        <v/>
      </c>
    </row>
    <row r="162" spans="1:9" ht="14.25" customHeight="1" x14ac:dyDescent="0.3">
      <c r="A162" s="4"/>
      <c r="B162" s="4" t="str">
        <f>IF(A162="","",COUNTIF(Chicks!$C:$C,A162))</f>
        <v/>
      </c>
      <c r="C162" s="4"/>
      <c r="D162" s="6" t="str">
        <f>IF(A162="","",IFERROR(AVERAGEIF(Chicks!$C:$C,A162,Chicks!$K:$K),""))</f>
        <v/>
      </c>
      <c r="E162" s="6" t="str">
        <f>IF(A162="","",IFERROR(AVERAGEIF(Chicks!$C:$C,A162,Chicks!$L:$L),""))</f>
        <v/>
      </c>
      <c r="F162" s="6" t="str">
        <f>IF(A162="","",IFERROR(AVERAGEIF(Chicks!$C:$C,A162,Chicks!$M:$M),""))</f>
        <v/>
      </c>
      <c r="G162" s="6" t="str">
        <f>IF(A162="","",SUMIFS(Chicks!$N:$N,Chicks!$C:$C,A162))</f>
        <v/>
      </c>
      <c r="H162" s="6" t="str">
        <f>IF(A162="","",SUMIFS(Chicks!$O:$O,Chicks!$C:$C,A162))</f>
        <v/>
      </c>
      <c r="I162" s="6" t="str">
        <f>IF(A162="","",SUMIFS(Chicks!$P:$P,Chicks!$C:$C,A162))</f>
        <v/>
      </c>
    </row>
    <row r="163" spans="1:9" ht="14.25" customHeight="1" x14ac:dyDescent="0.3">
      <c r="A163" s="4"/>
      <c r="B163" s="4" t="str">
        <f>IF(A163="","",COUNTIF(Chicks!$C:$C,A163))</f>
        <v/>
      </c>
      <c r="C163" s="4"/>
      <c r="D163" s="6" t="str">
        <f>IF(A163="","",IFERROR(AVERAGEIF(Chicks!$C:$C,A163,Chicks!$K:$K),""))</f>
        <v/>
      </c>
      <c r="E163" s="6" t="str">
        <f>IF(A163="","",IFERROR(AVERAGEIF(Chicks!$C:$C,A163,Chicks!$L:$L),""))</f>
        <v/>
      </c>
      <c r="F163" s="6" t="str">
        <f>IF(A163="","",IFERROR(AVERAGEIF(Chicks!$C:$C,A163,Chicks!$M:$M),""))</f>
        <v/>
      </c>
      <c r="G163" s="6" t="str">
        <f>IF(A163="","",SUMIFS(Chicks!$N:$N,Chicks!$C:$C,A163))</f>
        <v/>
      </c>
      <c r="H163" s="6" t="str">
        <f>IF(A163="","",SUMIFS(Chicks!$O:$O,Chicks!$C:$C,A163))</f>
        <v/>
      </c>
      <c r="I163" s="6" t="str">
        <f>IF(A163="","",SUMIFS(Chicks!$P:$P,Chicks!$C:$C,A163))</f>
        <v/>
      </c>
    </row>
    <row r="164" spans="1:9" ht="14.25" customHeight="1" x14ac:dyDescent="0.3">
      <c r="A164" s="4"/>
      <c r="B164" s="4" t="str">
        <f>IF(A164="","",COUNTIF(Chicks!$C:$C,A164))</f>
        <v/>
      </c>
      <c r="C164" s="4"/>
      <c r="D164" s="6" t="str">
        <f>IF(A164="","",IFERROR(AVERAGEIF(Chicks!$C:$C,A164,Chicks!$K:$K),""))</f>
        <v/>
      </c>
      <c r="E164" s="6" t="str">
        <f>IF(A164="","",IFERROR(AVERAGEIF(Chicks!$C:$C,A164,Chicks!$L:$L),""))</f>
        <v/>
      </c>
      <c r="F164" s="6" t="str">
        <f>IF(A164="","",IFERROR(AVERAGEIF(Chicks!$C:$C,A164,Chicks!$M:$M),""))</f>
        <v/>
      </c>
      <c r="G164" s="6" t="str">
        <f>IF(A164="","",SUMIFS(Chicks!$N:$N,Chicks!$C:$C,A164))</f>
        <v/>
      </c>
      <c r="H164" s="6" t="str">
        <f>IF(A164="","",SUMIFS(Chicks!$O:$O,Chicks!$C:$C,A164))</f>
        <v/>
      </c>
      <c r="I164" s="6" t="str">
        <f>IF(A164="","",SUMIFS(Chicks!$P:$P,Chicks!$C:$C,A164))</f>
        <v/>
      </c>
    </row>
    <row r="165" spans="1:9" ht="14.25" customHeight="1" x14ac:dyDescent="0.3">
      <c r="A165" s="4"/>
      <c r="B165" s="4" t="str">
        <f>IF(A165="","",COUNTIF(Chicks!$C:$C,A165))</f>
        <v/>
      </c>
      <c r="C165" s="4"/>
      <c r="D165" s="6" t="str">
        <f>IF(A165="","",IFERROR(AVERAGEIF(Chicks!$C:$C,A165,Chicks!$K:$K),""))</f>
        <v/>
      </c>
      <c r="E165" s="6" t="str">
        <f>IF(A165="","",IFERROR(AVERAGEIF(Chicks!$C:$C,A165,Chicks!$L:$L),""))</f>
        <v/>
      </c>
      <c r="F165" s="6" t="str">
        <f>IF(A165="","",IFERROR(AVERAGEIF(Chicks!$C:$C,A165,Chicks!$M:$M),""))</f>
        <v/>
      </c>
      <c r="G165" s="6" t="str">
        <f>IF(A165="","",SUMIFS(Chicks!$N:$N,Chicks!$C:$C,A165))</f>
        <v/>
      </c>
      <c r="H165" s="6" t="str">
        <f>IF(A165="","",SUMIFS(Chicks!$O:$O,Chicks!$C:$C,A165))</f>
        <v/>
      </c>
      <c r="I165" s="6" t="str">
        <f>IF(A165="","",SUMIFS(Chicks!$P:$P,Chicks!$C:$C,A165))</f>
        <v/>
      </c>
    </row>
    <row r="166" spans="1:9" ht="14.25" customHeight="1" x14ac:dyDescent="0.3">
      <c r="A166" s="4"/>
      <c r="B166" s="4" t="str">
        <f>IF(A166="","",COUNTIF(Chicks!$C:$C,A166))</f>
        <v/>
      </c>
      <c r="C166" s="4"/>
      <c r="D166" s="6" t="str">
        <f>IF(A166="","",IFERROR(AVERAGEIF(Chicks!$C:$C,A166,Chicks!$K:$K),""))</f>
        <v/>
      </c>
      <c r="E166" s="6" t="str">
        <f>IF(A166="","",IFERROR(AVERAGEIF(Chicks!$C:$C,A166,Chicks!$L:$L),""))</f>
        <v/>
      </c>
      <c r="F166" s="6" t="str">
        <f>IF(A166="","",IFERROR(AVERAGEIF(Chicks!$C:$C,A166,Chicks!$M:$M),""))</f>
        <v/>
      </c>
      <c r="G166" s="6" t="str">
        <f>IF(A166="","",SUMIFS(Chicks!$N:$N,Chicks!$C:$C,A166))</f>
        <v/>
      </c>
      <c r="H166" s="6" t="str">
        <f>IF(A166="","",SUMIFS(Chicks!$O:$O,Chicks!$C:$C,A166))</f>
        <v/>
      </c>
      <c r="I166" s="6" t="str">
        <f>IF(A166="","",SUMIFS(Chicks!$P:$P,Chicks!$C:$C,A166))</f>
        <v/>
      </c>
    </row>
    <row r="167" spans="1:9" ht="14.25" customHeight="1" x14ac:dyDescent="0.3">
      <c r="A167" s="4"/>
      <c r="B167" s="4" t="str">
        <f>IF(A167="","",COUNTIF(Chicks!$C:$C,A167))</f>
        <v/>
      </c>
      <c r="C167" s="4"/>
      <c r="D167" s="6" t="str">
        <f>IF(A167="","",IFERROR(AVERAGEIF(Chicks!$C:$C,A167,Chicks!$K:$K),""))</f>
        <v/>
      </c>
      <c r="E167" s="6" t="str">
        <f>IF(A167="","",IFERROR(AVERAGEIF(Chicks!$C:$C,A167,Chicks!$L:$L),""))</f>
        <v/>
      </c>
      <c r="F167" s="6" t="str">
        <f>IF(A167="","",IFERROR(AVERAGEIF(Chicks!$C:$C,A167,Chicks!$M:$M),""))</f>
        <v/>
      </c>
      <c r="G167" s="6" t="str">
        <f>IF(A167="","",SUMIFS(Chicks!$N:$N,Chicks!$C:$C,A167))</f>
        <v/>
      </c>
      <c r="H167" s="6" t="str">
        <f>IF(A167="","",SUMIFS(Chicks!$O:$O,Chicks!$C:$C,A167))</f>
        <v/>
      </c>
      <c r="I167" s="6" t="str">
        <f>IF(A167="","",SUMIFS(Chicks!$P:$P,Chicks!$C:$C,A167))</f>
        <v/>
      </c>
    </row>
    <row r="168" spans="1:9" ht="14.25" customHeight="1" x14ac:dyDescent="0.3">
      <c r="A168" s="4"/>
      <c r="B168" s="4" t="str">
        <f>IF(A168="","",COUNTIF(Chicks!$C:$C,A168))</f>
        <v/>
      </c>
      <c r="C168" s="4"/>
      <c r="D168" s="6" t="str">
        <f>IF(A168="","",IFERROR(AVERAGEIF(Chicks!$C:$C,A168,Chicks!$K:$K),""))</f>
        <v/>
      </c>
      <c r="E168" s="6" t="str">
        <f>IF(A168="","",IFERROR(AVERAGEIF(Chicks!$C:$C,A168,Chicks!$L:$L),""))</f>
        <v/>
      </c>
      <c r="F168" s="6" t="str">
        <f>IF(A168="","",IFERROR(AVERAGEIF(Chicks!$C:$C,A168,Chicks!$M:$M),""))</f>
        <v/>
      </c>
      <c r="G168" s="6" t="str">
        <f>IF(A168="","",SUMIFS(Chicks!$N:$N,Chicks!$C:$C,A168))</f>
        <v/>
      </c>
      <c r="H168" s="6" t="str">
        <f>IF(A168="","",SUMIFS(Chicks!$O:$O,Chicks!$C:$C,A168))</f>
        <v/>
      </c>
      <c r="I168" s="6" t="str">
        <f>IF(A168="","",SUMIFS(Chicks!$P:$P,Chicks!$C:$C,A168))</f>
        <v/>
      </c>
    </row>
    <row r="169" spans="1:9" ht="14.25" customHeight="1" x14ac:dyDescent="0.3">
      <c r="A169" s="4"/>
      <c r="B169" s="4" t="str">
        <f>IF(A169="","",COUNTIF(Chicks!$C:$C,A169))</f>
        <v/>
      </c>
      <c r="C169" s="4"/>
      <c r="D169" s="6" t="str">
        <f>IF(A169="","",IFERROR(AVERAGEIF(Chicks!$C:$C,A169,Chicks!$K:$K),""))</f>
        <v/>
      </c>
      <c r="E169" s="6" t="str">
        <f>IF(A169="","",IFERROR(AVERAGEIF(Chicks!$C:$C,A169,Chicks!$L:$L),""))</f>
        <v/>
      </c>
      <c r="F169" s="6" t="str">
        <f>IF(A169="","",IFERROR(AVERAGEIF(Chicks!$C:$C,A169,Chicks!$M:$M),""))</f>
        <v/>
      </c>
      <c r="G169" s="6" t="str">
        <f>IF(A169="","",SUMIFS(Chicks!$N:$N,Chicks!$C:$C,A169))</f>
        <v/>
      </c>
      <c r="H169" s="6" t="str">
        <f>IF(A169="","",SUMIFS(Chicks!$O:$O,Chicks!$C:$C,A169))</f>
        <v/>
      </c>
      <c r="I169" s="6" t="str">
        <f>IF(A169="","",SUMIFS(Chicks!$P:$P,Chicks!$C:$C,A169))</f>
        <v/>
      </c>
    </row>
    <row r="170" spans="1:9" ht="14.25" customHeight="1" x14ac:dyDescent="0.3">
      <c r="A170" s="4"/>
      <c r="B170" s="4" t="str">
        <f>IF(A170="","",COUNTIF(Chicks!$C:$C,A170))</f>
        <v/>
      </c>
      <c r="C170" s="4"/>
      <c r="D170" s="6" t="str">
        <f>IF(A170="","",IFERROR(AVERAGEIF(Chicks!$C:$C,A170,Chicks!$K:$K),""))</f>
        <v/>
      </c>
      <c r="E170" s="6" t="str">
        <f>IF(A170="","",IFERROR(AVERAGEIF(Chicks!$C:$C,A170,Chicks!$L:$L),""))</f>
        <v/>
      </c>
      <c r="F170" s="6" t="str">
        <f>IF(A170="","",IFERROR(AVERAGEIF(Chicks!$C:$C,A170,Chicks!$M:$M),""))</f>
        <v/>
      </c>
      <c r="G170" s="6" t="str">
        <f>IF(A170="","",SUMIFS(Chicks!$N:$N,Chicks!$C:$C,A170))</f>
        <v/>
      </c>
      <c r="H170" s="6" t="str">
        <f>IF(A170="","",SUMIFS(Chicks!$O:$O,Chicks!$C:$C,A170))</f>
        <v/>
      </c>
      <c r="I170" s="6" t="str">
        <f>IF(A170="","",SUMIFS(Chicks!$P:$P,Chicks!$C:$C,A170))</f>
        <v/>
      </c>
    </row>
    <row r="171" spans="1:9" ht="14.25" customHeight="1" x14ac:dyDescent="0.3">
      <c r="A171" s="4"/>
      <c r="B171" s="4" t="str">
        <f>IF(A171="","",COUNTIF(Chicks!$C:$C,A171))</f>
        <v/>
      </c>
      <c r="C171" s="4"/>
      <c r="D171" s="6" t="str">
        <f>IF(A171="","",IFERROR(AVERAGEIF(Chicks!$C:$C,A171,Chicks!$K:$K),""))</f>
        <v/>
      </c>
      <c r="E171" s="6" t="str">
        <f>IF(A171="","",IFERROR(AVERAGEIF(Chicks!$C:$C,A171,Chicks!$L:$L),""))</f>
        <v/>
      </c>
      <c r="F171" s="6" t="str">
        <f>IF(A171="","",IFERROR(AVERAGEIF(Chicks!$C:$C,A171,Chicks!$M:$M),""))</f>
        <v/>
      </c>
      <c r="G171" s="6" t="str">
        <f>IF(A171="","",SUMIFS(Chicks!$N:$N,Chicks!$C:$C,A171))</f>
        <v/>
      </c>
      <c r="H171" s="6" t="str">
        <f>IF(A171="","",SUMIFS(Chicks!$O:$O,Chicks!$C:$C,A171))</f>
        <v/>
      </c>
      <c r="I171" s="6" t="str">
        <f>IF(A171="","",SUMIFS(Chicks!$P:$P,Chicks!$C:$C,A171))</f>
        <v/>
      </c>
    </row>
    <row r="172" spans="1:9" ht="14.25" customHeight="1" x14ac:dyDescent="0.3">
      <c r="A172" s="4"/>
      <c r="B172" s="4" t="str">
        <f>IF(A172="","",COUNTIF(Chicks!$C:$C,A172))</f>
        <v/>
      </c>
      <c r="C172" s="4"/>
      <c r="D172" s="6" t="str">
        <f>IF(A172="","",IFERROR(AVERAGEIF(Chicks!$C:$C,A172,Chicks!$K:$K),""))</f>
        <v/>
      </c>
      <c r="E172" s="6" t="str">
        <f>IF(A172="","",IFERROR(AVERAGEIF(Chicks!$C:$C,A172,Chicks!$L:$L),""))</f>
        <v/>
      </c>
      <c r="F172" s="6" t="str">
        <f>IF(A172="","",IFERROR(AVERAGEIF(Chicks!$C:$C,A172,Chicks!$M:$M),""))</f>
        <v/>
      </c>
      <c r="G172" s="6" t="str">
        <f>IF(A172="","",SUMIFS(Chicks!$N:$N,Chicks!$C:$C,A172))</f>
        <v/>
      </c>
      <c r="H172" s="6" t="str">
        <f>IF(A172="","",SUMIFS(Chicks!$O:$O,Chicks!$C:$C,A172))</f>
        <v/>
      </c>
      <c r="I172" s="6" t="str">
        <f>IF(A172="","",SUMIFS(Chicks!$P:$P,Chicks!$C:$C,A172))</f>
        <v/>
      </c>
    </row>
    <row r="173" spans="1:9" ht="14.25" customHeight="1" x14ac:dyDescent="0.3">
      <c r="A173" s="4"/>
      <c r="B173" s="4" t="str">
        <f>IF(A173="","",COUNTIF(Chicks!$C:$C,A173))</f>
        <v/>
      </c>
      <c r="C173" s="4"/>
      <c r="D173" s="6" t="str">
        <f>IF(A173="","",IFERROR(AVERAGEIF(Chicks!$C:$C,A173,Chicks!$K:$K),""))</f>
        <v/>
      </c>
      <c r="E173" s="6" t="str">
        <f>IF(A173="","",IFERROR(AVERAGEIF(Chicks!$C:$C,A173,Chicks!$L:$L),""))</f>
        <v/>
      </c>
      <c r="F173" s="6" t="str">
        <f>IF(A173="","",IFERROR(AVERAGEIF(Chicks!$C:$C,A173,Chicks!$M:$M),""))</f>
        <v/>
      </c>
      <c r="G173" s="6" t="str">
        <f>IF(A173="","",SUMIFS(Chicks!$N:$N,Chicks!$C:$C,A173))</f>
        <v/>
      </c>
      <c r="H173" s="6" t="str">
        <f>IF(A173="","",SUMIFS(Chicks!$O:$O,Chicks!$C:$C,A173))</f>
        <v/>
      </c>
      <c r="I173" s="6" t="str">
        <f>IF(A173="","",SUMIFS(Chicks!$P:$P,Chicks!$C:$C,A173))</f>
        <v/>
      </c>
    </row>
    <row r="174" spans="1:9" ht="14.25" customHeight="1" x14ac:dyDescent="0.3">
      <c r="A174" s="4"/>
      <c r="B174" s="4" t="str">
        <f>IF(A174="","",COUNTIF(Chicks!$C:$C,A174))</f>
        <v/>
      </c>
      <c r="C174" s="4"/>
      <c r="D174" s="6" t="str">
        <f>IF(A174="","",IFERROR(AVERAGEIF(Chicks!$C:$C,A174,Chicks!$K:$K),""))</f>
        <v/>
      </c>
      <c r="E174" s="6" t="str">
        <f>IF(A174="","",IFERROR(AVERAGEIF(Chicks!$C:$C,A174,Chicks!$L:$L),""))</f>
        <v/>
      </c>
      <c r="F174" s="6" t="str">
        <f>IF(A174="","",IFERROR(AVERAGEIF(Chicks!$C:$C,A174,Chicks!$M:$M),""))</f>
        <v/>
      </c>
      <c r="G174" s="6" t="str">
        <f>IF(A174="","",SUMIFS(Chicks!$N:$N,Chicks!$C:$C,A174))</f>
        <v/>
      </c>
      <c r="H174" s="6" t="str">
        <f>IF(A174="","",SUMIFS(Chicks!$O:$O,Chicks!$C:$C,A174))</f>
        <v/>
      </c>
      <c r="I174" s="6" t="str">
        <f>IF(A174="","",SUMIFS(Chicks!$P:$P,Chicks!$C:$C,A174))</f>
        <v/>
      </c>
    </row>
    <row r="175" spans="1:9" ht="14.25" customHeight="1" x14ac:dyDescent="0.3">
      <c r="A175" s="4"/>
      <c r="B175" s="4" t="str">
        <f>IF(A175="","",COUNTIF(Chicks!$C:$C,A175))</f>
        <v/>
      </c>
      <c r="C175" s="4"/>
      <c r="D175" s="6" t="str">
        <f>IF(A175="","",IFERROR(AVERAGEIF(Chicks!$C:$C,A175,Chicks!$K:$K),""))</f>
        <v/>
      </c>
      <c r="E175" s="6" t="str">
        <f>IF(A175="","",IFERROR(AVERAGEIF(Chicks!$C:$C,A175,Chicks!$L:$L),""))</f>
        <v/>
      </c>
      <c r="F175" s="6" t="str">
        <f>IF(A175="","",IFERROR(AVERAGEIF(Chicks!$C:$C,A175,Chicks!$M:$M),""))</f>
        <v/>
      </c>
      <c r="G175" s="6" t="str">
        <f>IF(A175="","",SUMIFS(Chicks!$N:$N,Chicks!$C:$C,A175))</f>
        <v/>
      </c>
      <c r="H175" s="6" t="str">
        <f>IF(A175="","",SUMIFS(Chicks!$O:$O,Chicks!$C:$C,A175))</f>
        <v/>
      </c>
      <c r="I175" s="6" t="str">
        <f>IF(A175="","",SUMIFS(Chicks!$P:$P,Chicks!$C:$C,A175))</f>
        <v/>
      </c>
    </row>
    <row r="176" spans="1:9" ht="14.25" customHeight="1" x14ac:dyDescent="0.3">
      <c r="A176" s="4"/>
      <c r="B176" s="4" t="str">
        <f>IF(A176="","",COUNTIF(Chicks!$C:$C,A176))</f>
        <v/>
      </c>
      <c r="C176" s="4"/>
      <c r="D176" s="6" t="str">
        <f>IF(A176="","",IFERROR(AVERAGEIF(Chicks!$C:$C,A176,Chicks!$K:$K),""))</f>
        <v/>
      </c>
      <c r="E176" s="6" t="str">
        <f>IF(A176="","",IFERROR(AVERAGEIF(Chicks!$C:$C,A176,Chicks!$L:$L),""))</f>
        <v/>
      </c>
      <c r="F176" s="6" t="str">
        <f>IF(A176="","",IFERROR(AVERAGEIF(Chicks!$C:$C,A176,Chicks!$M:$M),""))</f>
        <v/>
      </c>
      <c r="G176" s="6" t="str">
        <f>IF(A176="","",SUMIFS(Chicks!$N:$N,Chicks!$C:$C,A176))</f>
        <v/>
      </c>
      <c r="H176" s="6" t="str">
        <f>IF(A176="","",SUMIFS(Chicks!$O:$O,Chicks!$C:$C,A176))</f>
        <v/>
      </c>
      <c r="I176" s="6" t="str">
        <f>IF(A176="","",SUMIFS(Chicks!$P:$P,Chicks!$C:$C,A176))</f>
        <v/>
      </c>
    </row>
    <row r="177" spans="1:9" ht="14.25" customHeight="1" x14ac:dyDescent="0.3">
      <c r="A177" s="4"/>
      <c r="B177" s="4" t="str">
        <f>IF(A177="","",COUNTIF(Chicks!$C:$C,A177))</f>
        <v/>
      </c>
      <c r="C177" s="4"/>
      <c r="D177" s="6" t="str">
        <f>IF(A177="","",IFERROR(AVERAGEIF(Chicks!$C:$C,A177,Chicks!$K:$K),""))</f>
        <v/>
      </c>
      <c r="E177" s="6" t="str">
        <f>IF(A177="","",IFERROR(AVERAGEIF(Chicks!$C:$C,A177,Chicks!$L:$L),""))</f>
        <v/>
      </c>
      <c r="F177" s="6" t="str">
        <f>IF(A177="","",IFERROR(AVERAGEIF(Chicks!$C:$C,A177,Chicks!$M:$M),""))</f>
        <v/>
      </c>
      <c r="G177" s="6" t="str">
        <f>IF(A177="","",SUMIFS(Chicks!$N:$N,Chicks!$C:$C,A177))</f>
        <v/>
      </c>
      <c r="H177" s="6" t="str">
        <f>IF(A177="","",SUMIFS(Chicks!$O:$O,Chicks!$C:$C,A177))</f>
        <v/>
      </c>
      <c r="I177" s="6" t="str">
        <f>IF(A177="","",SUMIFS(Chicks!$P:$P,Chicks!$C:$C,A177))</f>
        <v/>
      </c>
    </row>
    <row r="178" spans="1:9" ht="14.25" customHeight="1" x14ac:dyDescent="0.3">
      <c r="A178" s="4"/>
      <c r="B178" s="4" t="str">
        <f>IF(A178="","",COUNTIF(Chicks!$C:$C,A178))</f>
        <v/>
      </c>
      <c r="C178" s="4"/>
      <c r="D178" s="6" t="str">
        <f>IF(A178="","",IFERROR(AVERAGEIF(Chicks!$C:$C,A178,Chicks!$K:$K),""))</f>
        <v/>
      </c>
      <c r="E178" s="6" t="str">
        <f>IF(A178="","",IFERROR(AVERAGEIF(Chicks!$C:$C,A178,Chicks!$L:$L),""))</f>
        <v/>
      </c>
      <c r="F178" s="6" t="str">
        <f>IF(A178="","",IFERROR(AVERAGEIF(Chicks!$C:$C,A178,Chicks!$M:$M),""))</f>
        <v/>
      </c>
      <c r="G178" s="6" t="str">
        <f>IF(A178="","",SUMIFS(Chicks!$N:$N,Chicks!$C:$C,A178))</f>
        <v/>
      </c>
      <c r="H178" s="6" t="str">
        <f>IF(A178="","",SUMIFS(Chicks!$O:$O,Chicks!$C:$C,A178))</f>
        <v/>
      </c>
      <c r="I178" s="6" t="str">
        <f>IF(A178="","",SUMIFS(Chicks!$P:$P,Chicks!$C:$C,A178))</f>
        <v/>
      </c>
    </row>
    <row r="179" spans="1:9" ht="14.25" customHeight="1" x14ac:dyDescent="0.3">
      <c r="A179" s="4"/>
      <c r="B179" s="4" t="str">
        <f>IF(A179="","",COUNTIF(Chicks!$C:$C,A179))</f>
        <v/>
      </c>
      <c r="C179" s="4"/>
      <c r="D179" s="6" t="str">
        <f>IF(A179="","",IFERROR(AVERAGEIF(Chicks!$C:$C,A179,Chicks!$K:$K),""))</f>
        <v/>
      </c>
      <c r="E179" s="6" t="str">
        <f>IF(A179="","",IFERROR(AVERAGEIF(Chicks!$C:$C,A179,Chicks!$L:$L),""))</f>
        <v/>
      </c>
      <c r="F179" s="6" t="str">
        <f>IF(A179="","",IFERROR(AVERAGEIF(Chicks!$C:$C,A179,Chicks!$M:$M),""))</f>
        <v/>
      </c>
      <c r="G179" s="6" t="str">
        <f>IF(A179="","",SUMIFS(Chicks!$N:$N,Chicks!$C:$C,A179))</f>
        <v/>
      </c>
      <c r="H179" s="6" t="str">
        <f>IF(A179="","",SUMIFS(Chicks!$O:$O,Chicks!$C:$C,A179))</f>
        <v/>
      </c>
      <c r="I179" s="6" t="str">
        <f>IF(A179="","",SUMIFS(Chicks!$P:$P,Chicks!$C:$C,A179))</f>
        <v/>
      </c>
    </row>
    <row r="180" spans="1:9" ht="14.25" customHeight="1" x14ac:dyDescent="0.3">
      <c r="A180" s="4"/>
      <c r="B180" s="4" t="str">
        <f>IF(A180="","",COUNTIF(Chicks!$C:$C,A180))</f>
        <v/>
      </c>
      <c r="C180" s="4"/>
      <c r="D180" s="6" t="str">
        <f>IF(A180="","",IFERROR(AVERAGEIF(Chicks!$C:$C,A180,Chicks!$K:$K),""))</f>
        <v/>
      </c>
      <c r="E180" s="6" t="str">
        <f>IF(A180="","",IFERROR(AVERAGEIF(Chicks!$C:$C,A180,Chicks!$L:$L),""))</f>
        <v/>
      </c>
      <c r="F180" s="6" t="str">
        <f>IF(A180="","",IFERROR(AVERAGEIF(Chicks!$C:$C,A180,Chicks!$M:$M),""))</f>
        <v/>
      </c>
      <c r="G180" s="6" t="str">
        <f>IF(A180="","",SUMIFS(Chicks!$N:$N,Chicks!$C:$C,A180))</f>
        <v/>
      </c>
      <c r="H180" s="6" t="str">
        <f>IF(A180="","",SUMIFS(Chicks!$O:$O,Chicks!$C:$C,A180))</f>
        <v/>
      </c>
      <c r="I180" s="6" t="str">
        <f>IF(A180="","",SUMIFS(Chicks!$P:$P,Chicks!$C:$C,A180))</f>
        <v/>
      </c>
    </row>
    <row r="181" spans="1:9" ht="14.25" customHeight="1" x14ac:dyDescent="0.3">
      <c r="A181" s="4"/>
      <c r="B181" s="4" t="str">
        <f>IF(A181="","",COUNTIF(Chicks!$C:$C,A181))</f>
        <v/>
      </c>
      <c r="C181" s="4"/>
      <c r="D181" s="6" t="str">
        <f>IF(A181="","",IFERROR(AVERAGEIF(Chicks!$C:$C,A181,Chicks!$K:$K),""))</f>
        <v/>
      </c>
      <c r="E181" s="6" t="str">
        <f>IF(A181="","",IFERROR(AVERAGEIF(Chicks!$C:$C,A181,Chicks!$L:$L),""))</f>
        <v/>
      </c>
      <c r="F181" s="6" t="str">
        <f>IF(A181="","",IFERROR(AVERAGEIF(Chicks!$C:$C,A181,Chicks!$M:$M),""))</f>
        <v/>
      </c>
      <c r="G181" s="6" t="str">
        <f>IF(A181="","",SUMIFS(Chicks!$N:$N,Chicks!$C:$C,A181))</f>
        <v/>
      </c>
      <c r="H181" s="6" t="str">
        <f>IF(A181="","",SUMIFS(Chicks!$O:$O,Chicks!$C:$C,A181))</f>
        <v/>
      </c>
      <c r="I181" s="6" t="str">
        <f>IF(A181="","",SUMIFS(Chicks!$P:$P,Chicks!$C:$C,A181))</f>
        <v/>
      </c>
    </row>
    <row r="182" spans="1:9" ht="14.25" customHeight="1" x14ac:dyDescent="0.3">
      <c r="A182" s="4"/>
      <c r="B182" s="4" t="str">
        <f>IF(A182="","",COUNTIF(Chicks!$C:$C,A182))</f>
        <v/>
      </c>
      <c r="C182" s="4"/>
      <c r="D182" s="6" t="str">
        <f>IF(A182="","",IFERROR(AVERAGEIF(Chicks!$C:$C,A182,Chicks!$K:$K),""))</f>
        <v/>
      </c>
      <c r="E182" s="6" t="str">
        <f>IF(A182="","",IFERROR(AVERAGEIF(Chicks!$C:$C,A182,Chicks!$L:$L),""))</f>
        <v/>
      </c>
      <c r="F182" s="6" t="str">
        <f>IF(A182="","",IFERROR(AVERAGEIF(Chicks!$C:$C,A182,Chicks!$M:$M),""))</f>
        <v/>
      </c>
      <c r="G182" s="6" t="str">
        <f>IF(A182="","",SUMIFS(Chicks!$N:$N,Chicks!$C:$C,A182))</f>
        <v/>
      </c>
      <c r="H182" s="6" t="str">
        <f>IF(A182="","",SUMIFS(Chicks!$O:$O,Chicks!$C:$C,A182))</f>
        <v/>
      </c>
      <c r="I182" s="6" t="str">
        <f>IF(A182="","",SUMIFS(Chicks!$P:$P,Chicks!$C:$C,A182))</f>
        <v/>
      </c>
    </row>
    <row r="183" spans="1:9" ht="14.25" customHeight="1" x14ac:dyDescent="0.3">
      <c r="A183" s="4"/>
      <c r="B183" s="4" t="str">
        <f>IF(A183="","",COUNTIF(Chicks!$C:$C,A183))</f>
        <v/>
      </c>
      <c r="C183" s="4"/>
      <c r="D183" s="6" t="str">
        <f>IF(A183="","",IFERROR(AVERAGEIF(Chicks!$C:$C,A183,Chicks!$K:$K),""))</f>
        <v/>
      </c>
      <c r="E183" s="6" t="str">
        <f>IF(A183="","",IFERROR(AVERAGEIF(Chicks!$C:$C,A183,Chicks!$L:$L),""))</f>
        <v/>
      </c>
      <c r="F183" s="6" t="str">
        <f>IF(A183="","",IFERROR(AVERAGEIF(Chicks!$C:$C,A183,Chicks!$M:$M),""))</f>
        <v/>
      </c>
      <c r="G183" s="6" t="str">
        <f>IF(A183="","",SUMIFS(Chicks!$N:$N,Chicks!$C:$C,A183))</f>
        <v/>
      </c>
      <c r="H183" s="6" t="str">
        <f>IF(A183="","",SUMIFS(Chicks!$O:$O,Chicks!$C:$C,A183))</f>
        <v/>
      </c>
      <c r="I183" s="6" t="str">
        <f>IF(A183="","",SUMIFS(Chicks!$P:$P,Chicks!$C:$C,A183))</f>
        <v/>
      </c>
    </row>
    <row r="184" spans="1:9" ht="14.25" customHeight="1" x14ac:dyDescent="0.3">
      <c r="A184" s="4"/>
      <c r="B184" s="4" t="str">
        <f>IF(A184="","",COUNTIF(Chicks!$C:$C,A184))</f>
        <v/>
      </c>
      <c r="C184" s="4"/>
      <c r="D184" s="6" t="str">
        <f>IF(A184="","",IFERROR(AVERAGEIF(Chicks!$C:$C,A184,Chicks!$K:$K),""))</f>
        <v/>
      </c>
      <c r="E184" s="6" t="str">
        <f>IF(A184="","",IFERROR(AVERAGEIF(Chicks!$C:$C,A184,Chicks!$L:$L),""))</f>
        <v/>
      </c>
      <c r="F184" s="6" t="str">
        <f>IF(A184="","",IFERROR(AVERAGEIF(Chicks!$C:$C,A184,Chicks!$M:$M),""))</f>
        <v/>
      </c>
      <c r="G184" s="6" t="str">
        <f>IF(A184="","",SUMIFS(Chicks!$N:$N,Chicks!$C:$C,A184))</f>
        <v/>
      </c>
      <c r="H184" s="6" t="str">
        <f>IF(A184="","",SUMIFS(Chicks!$O:$O,Chicks!$C:$C,A184))</f>
        <v/>
      </c>
      <c r="I184" s="6" t="str">
        <f>IF(A184="","",SUMIFS(Chicks!$P:$P,Chicks!$C:$C,A184))</f>
        <v/>
      </c>
    </row>
    <row r="185" spans="1:9" ht="14.25" customHeight="1" x14ac:dyDescent="0.3">
      <c r="A185" s="4"/>
      <c r="B185" s="4" t="str">
        <f>IF(A185="","",COUNTIF(Chicks!$C:$C,A185))</f>
        <v/>
      </c>
      <c r="C185" s="4"/>
      <c r="D185" s="6" t="str">
        <f>IF(A185="","",IFERROR(AVERAGEIF(Chicks!$C:$C,A185,Chicks!$K:$K),""))</f>
        <v/>
      </c>
      <c r="E185" s="6" t="str">
        <f>IF(A185="","",IFERROR(AVERAGEIF(Chicks!$C:$C,A185,Chicks!$L:$L),""))</f>
        <v/>
      </c>
      <c r="F185" s="6" t="str">
        <f>IF(A185="","",IFERROR(AVERAGEIF(Chicks!$C:$C,A185,Chicks!$M:$M),""))</f>
        <v/>
      </c>
      <c r="G185" s="6" t="str">
        <f>IF(A185="","",SUMIFS(Chicks!$N:$N,Chicks!$C:$C,A185))</f>
        <v/>
      </c>
      <c r="H185" s="6" t="str">
        <f>IF(A185="","",SUMIFS(Chicks!$O:$O,Chicks!$C:$C,A185))</f>
        <v/>
      </c>
      <c r="I185" s="6" t="str">
        <f>IF(A185="","",SUMIFS(Chicks!$P:$P,Chicks!$C:$C,A185))</f>
        <v/>
      </c>
    </row>
    <row r="186" spans="1:9" ht="14.25" customHeight="1" x14ac:dyDescent="0.3">
      <c r="A186" s="4"/>
      <c r="B186" s="4" t="str">
        <f>IF(A186="","",COUNTIF(Chicks!$C:$C,A186))</f>
        <v/>
      </c>
      <c r="C186" s="4"/>
      <c r="D186" s="6" t="str">
        <f>IF(A186="","",IFERROR(AVERAGEIF(Chicks!$C:$C,A186,Chicks!$K:$K),""))</f>
        <v/>
      </c>
      <c r="E186" s="6" t="str">
        <f>IF(A186="","",IFERROR(AVERAGEIF(Chicks!$C:$C,A186,Chicks!$L:$L),""))</f>
        <v/>
      </c>
      <c r="F186" s="6" t="str">
        <f>IF(A186="","",IFERROR(AVERAGEIF(Chicks!$C:$C,A186,Chicks!$M:$M),""))</f>
        <v/>
      </c>
      <c r="G186" s="6" t="str">
        <f>IF(A186="","",SUMIFS(Chicks!$N:$N,Chicks!$C:$C,A186))</f>
        <v/>
      </c>
      <c r="H186" s="6" t="str">
        <f>IF(A186="","",SUMIFS(Chicks!$O:$O,Chicks!$C:$C,A186))</f>
        <v/>
      </c>
      <c r="I186" s="6" t="str">
        <f>IF(A186="","",SUMIFS(Chicks!$P:$P,Chicks!$C:$C,A186))</f>
        <v/>
      </c>
    </row>
    <row r="187" spans="1:9" ht="14.25" customHeight="1" x14ac:dyDescent="0.3">
      <c r="A187" s="4"/>
      <c r="B187" s="4" t="str">
        <f>IF(A187="","",COUNTIF(Chicks!$C:$C,A187))</f>
        <v/>
      </c>
      <c r="C187" s="4"/>
      <c r="D187" s="6" t="str">
        <f>IF(A187="","",IFERROR(AVERAGEIF(Chicks!$C:$C,A187,Chicks!$K:$K),""))</f>
        <v/>
      </c>
      <c r="E187" s="6" t="str">
        <f>IF(A187="","",IFERROR(AVERAGEIF(Chicks!$C:$C,A187,Chicks!$L:$L),""))</f>
        <v/>
      </c>
      <c r="F187" s="6" t="str">
        <f>IF(A187="","",IFERROR(AVERAGEIF(Chicks!$C:$C,A187,Chicks!$M:$M),""))</f>
        <v/>
      </c>
      <c r="G187" s="6" t="str">
        <f>IF(A187="","",SUMIFS(Chicks!$N:$N,Chicks!$C:$C,A187))</f>
        <v/>
      </c>
      <c r="H187" s="6" t="str">
        <f>IF(A187="","",SUMIFS(Chicks!$O:$O,Chicks!$C:$C,A187))</f>
        <v/>
      </c>
      <c r="I187" s="6" t="str">
        <f>IF(A187="","",SUMIFS(Chicks!$P:$P,Chicks!$C:$C,A187))</f>
        <v/>
      </c>
    </row>
    <row r="188" spans="1:9" ht="14.25" customHeight="1" x14ac:dyDescent="0.3">
      <c r="A188" s="4"/>
      <c r="B188" s="4" t="str">
        <f>IF(A188="","",COUNTIF(Chicks!$C:$C,A188))</f>
        <v/>
      </c>
      <c r="C188" s="4"/>
      <c r="D188" s="6" t="str">
        <f>IF(A188="","",IFERROR(AVERAGEIF(Chicks!$C:$C,A188,Chicks!$K:$K),""))</f>
        <v/>
      </c>
      <c r="E188" s="6" t="str">
        <f>IF(A188="","",IFERROR(AVERAGEIF(Chicks!$C:$C,A188,Chicks!$L:$L),""))</f>
        <v/>
      </c>
      <c r="F188" s="6" t="str">
        <f>IF(A188="","",IFERROR(AVERAGEIF(Chicks!$C:$C,A188,Chicks!$M:$M),""))</f>
        <v/>
      </c>
      <c r="G188" s="6" t="str">
        <f>IF(A188="","",SUMIFS(Chicks!$N:$N,Chicks!$C:$C,A188))</f>
        <v/>
      </c>
      <c r="H188" s="6" t="str">
        <f>IF(A188="","",SUMIFS(Chicks!$O:$O,Chicks!$C:$C,A188))</f>
        <v/>
      </c>
      <c r="I188" s="6" t="str">
        <f>IF(A188="","",SUMIFS(Chicks!$P:$P,Chicks!$C:$C,A188))</f>
        <v/>
      </c>
    </row>
    <row r="189" spans="1:9" ht="14.25" customHeight="1" x14ac:dyDescent="0.3">
      <c r="A189" s="4"/>
      <c r="B189" s="4" t="str">
        <f>IF(A189="","",COUNTIF(Chicks!$C:$C,A189))</f>
        <v/>
      </c>
      <c r="C189" s="4"/>
      <c r="D189" s="6" t="str">
        <f>IF(A189="","",IFERROR(AVERAGEIF(Chicks!$C:$C,A189,Chicks!$K:$K),""))</f>
        <v/>
      </c>
      <c r="E189" s="6" t="str">
        <f>IF(A189="","",IFERROR(AVERAGEIF(Chicks!$C:$C,A189,Chicks!$L:$L),""))</f>
        <v/>
      </c>
      <c r="F189" s="6" t="str">
        <f>IF(A189="","",IFERROR(AVERAGEIF(Chicks!$C:$C,A189,Chicks!$M:$M),""))</f>
        <v/>
      </c>
      <c r="G189" s="6" t="str">
        <f>IF(A189="","",SUMIFS(Chicks!$N:$N,Chicks!$C:$C,A189))</f>
        <v/>
      </c>
      <c r="H189" s="6" t="str">
        <f>IF(A189="","",SUMIFS(Chicks!$O:$O,Chicks!$C:$C,A189))</f>
        <v/>
      </c>
      <c r="I189" s="6" t="str">
        <f>IF(A189="","",SUMIFS(Chicks!$P:$P,Chicks!$C:$C,A189))</f>
        <v/>
      </c>
    </row>
    <row r="190" spans="1:9" ht="14.25" customHeight="1" x14ac:dyDescent="0.3">
      <c r="A190" s="4"/>
      <c r="B190" s="4" t="str">
        <f>IF(A190="","",COUNTIF(Chicks!$C:$C,A190))</f>
        <v/>
      </c>
      <c r="C190" s="4"/>
      <c r="D190" s="6" t="str">
        <f>IF(A190="","",IFERROR(AVERAGEIF(Chicks!$C:$C,A190,Chicks!$K:$K),""))</f>
        <v/>
      </c>
      <c r="E190" s="6" t="str">
        <f>IF(A190="","",IFERROR(AVERAGEIF(Chicks!$C:$C,A190,Chicks!$L:$L),""))</f>
        <v/>
      </c>
      <c r="F190" s="6" t="str">
        <f>IF(A190="","",IFERROR(AVERAGEIF(Chicks!$C:$C,A190,Chicks!$M:$M),""))</f>
        <v/>
      </c>
      <c r="G190" s="6" t="str">
        <f>IF(A190="","",SUMIFS(Chicks!$N:$N,Chicks!$C:$C,A190))</f>
        <v/>
      </c>
      <c r="H190" s="6" t="str">
        <f>IF(A190="","",SUMIFS(Chicks!$O:$O,Chicks!$C:$C,A190))</f>
        <v/>
      </c>
      <c r="I190" s="6" t="str">
        <f>IF(A190="","",SUMIFS(Chicks!$P:$P,Chicks!$C:$C,A190))</f>
        <v/>
      </c>
    </row>
    <row r="191" spans="1:9" ht="14.25" customHeight="1" x14ac:dyDescent="0.3">
      <c r="A191" s="4"/>
      <c r="B191" s="4" t="str">
        <f>IF(A191="","",COUNTIF(Chicks!$C:$C,A191))</f>
        <v/>
      </c>
      <c r="C191" s="4"/>
      <c r="D191" s="6" t="str">
        <f>IF(A191="","",IFERROR(AVERAGEIF(Chicks!$C:$C,A191,Chicks!$K:$K),""))</f>
        <v/>
      </c>
      <c r="E191" s="6" t="str">
        <f>IF(A191="","",IFERROR(AVERAGEIF(Chicks!$C:$C,A191,Chicks!$L:$L),""))</f>
        <v/>
      </c>
      <c r="F191" s="6" t="str">
        <f>IF(A191="","",IFERROR(AVERAGEIF(Chicks!$C:$C,A191,Chicks!$M:$M),""))</f>
        <v/>
      </c>
      <c r="G191" s="6" t="str">
        <f>IF(A191="","",SUMIFS(Chicks!$N:$N,Chicks!$C:$C,A191))</f>
        <v/>
      </c>
      <c r="H191" s="6" t="str">
        <f>IF(A191="","",SUMIFS(Chicks!$O:$O,Chicks!$C:$C,A191))</f>
        <v/>
      </c>
      <c r="I191" s="6" t="str">
        <f>IF(A191="","",SUMIFS(Chicks!$P:$P,Chicks!$C:$C,A191))</f>
        <v/>
      </c>
    </row>
    <row r="192" spans="1:9" ht="14.25" customHeight="1" x14ac:dyDescent="0.3">
      <c r="A192" s="4"/>
      <c r="B192" s="4" t="str">
        <f>IF(A192="","",COUNTIF(Chicks!$C:$C,A192))</f>
        <v/>
      </c>
      <c r="C192" s="4"/>
      <c r="D192" s="6" t="str">
        <f>IF(A192="","",IFERROR(AVERAGEIF(Chicks!$C:$C,A192,Chicks!$K:$K),""))</f>
        <v/>
      </c>
      <c r="E192" s="6" t="str">
        <f>IF(A192="","",IFERROR(AVERAGEIF(Chicks!$C:$C,A192,Chicks!$L:$L),""))</f>
        <v/>
      </c>
      <c r="F192" s="6" t="str">
        <f>IF(A192="","",IFERROR(AVERAGEIF(Chicks!$C:$C,A192,Chicks!$M:$M),""))</f>
        <v/>
      </c>
      <c r="G192" s="6" t="str">
        <f>IF(A192="","",SUMIFS(Chicks!$N:$N,Chicks!$C:$C,A192))</f>
        <v/>
      </c>
      <c r="H192" s="6" t="str">
        <f>IF(A192="","",SUMIFS(Chicks!$O:$O,Chicks!$C:$C,A192))</f>
        <v/>
      </c>
      <c r="I192" s="6" t="str">
        <f>IF(A192="","",SUMIFS(Chicks!$P:$P,Chicks!$C:$C,A192))</f>
        <v/>
      </c>
    </row>
    <row r="193" spans="1:9" ht="14.25" customHeight="1" x14ac:dyDescent="0.3">
      <c r="A193" s="4"/>
      <c r="B193" s="4" t="str">
        <f>IF(A193="","",COUNTIF(Chicks!$C:$C,A193))</f>
        <v/>
      </c>
      <c r="C193" s="4"/>
      <c r="D193" s="6" t="str">
        <f>IF(A193="","",IFERROR(AVERAGEIF(Chicks!$C:$C,A193,Chicks!$K:$K),""))</f>
        <v/>
      </c>
      <c r="E193" s="6" t="str">
        <f>IF(A193="","",IFERROR(AVERAGEIF(Chicks!$C:$C,A193,Chicks!$L:$L),""))</f>
        <v/>
      </c>
      <c r="F193" s="6" t="str">
        <f>IF(A193="","",IFERROR(AVERAGEIF(Chicks!$C:$C,A193,Chicks!$M:$M),""))</f>
        <v/>
      </c>
      <c r="G193" s="6" t="str">
        <f>IF(A193="","",SUMIFS(Chicks!$N:$N,Chicks!$C:$C,A193))</f>
        <v/>
      </c>
      <c r="H193" s="6" t="str">
        <f>IF(A193="","",SUMIFS(Chicks!$O:$O,Chicks!$C:$C,A193))</f>
        <v/>
      </c>
      <c r="I193" s="6" t="str">
        <f>IF(A193="","",SUMIFS(Chicks!$P:$P,Chicks!$C:$C,A193))</f>
        <v/>
      </c>
    </row>
    <row r="194" spans="1:9" ht="14.25" customHeight="1" x14ac:dyDescent="0.3">
      <c r="A194" s="4"/>
      <c r="B194" s="4" t="str">
        <f>IF(A194="","",COUNTIF(Chicks!$C:$C,A194))</f>
        <v/>
      </c>
      <c r="C194" s="4"/>
      <c r="D194" s="6" t="str">
        <f>IF(A194="","",IFERROR(AVERAGEIF(Chicks!$C:$C,A194,Chicks!$K:$K),""))</f>
        <v/>
      </c>
      <c r="E194" s="6" t="str">
        <f>IF(A194="","",IFERROR(AVERAGEIF(Chicks!$C:$C,A194,Chicks!$L:$L),""))</f>
        <v/>
      </c>
      <c r="F194" s="6" t="str">
        <f>IF(A194="","",IFERROR(AVERAGEIF(Chicks!$C:$C,A194,Chicks!$M:$M),""))</f>
        <v/>
      </c>
      <c r="G194" s="6" t="str">
        <f>IF(A194="","",SUMIFS(Chicks!$N:$N,Chicks!$C:$C,A194))</f>
        <v/>
      </c>
      <c r="H194" s="6" t="str">
        <f>IF(A194="","",SUMIFS(Chicks!$O:$O,Chicks!$C:$C,A194))</f>
        <v/>
      </c>
      <c r="I194" s="6" t="str">
        <f>IF(A194="","",SUMIFS(Chicks!$P:$P,Chicks!$C:$C,A194))</f>
        <v/>
      </c>
    </row>
    <row r="195" spans="1:9" ht="14.25" customHeight="1" x14ac:dyDescent="0.3">
      <c r="A195" s="4"/>
      <c r="B195" s="4" t="str">
        <f>IF(A195="","",COUNTIF(Chicks!$C:$C,A195))</f>
        <v/>
      </c>
      <c r="C195" s="4"/>
      <c r="D195" s="6" t="str">
        <f>IF(A195="","",IFERROR(AVERAGEIF(Chicks!$C:$C,A195,Chicks!$K:$K),""))</f>
        <v/>
      </c>
      <c r="E195" s="6" t="str">
        <f>IF(A195="","",IFERROR(AVERAGEIF(Chicks!$C:$C,A195,Chicks!$L:$L),""))</f>
        <v/>
      </c>
      <c r="F195" s="6" t="str">
        <f>IF(A195="","",IFERROR(AVERAGEIF(Chicks!$C:$C,A195,Chicks!$M:$M),""))</f>
        <v/>
      </c>
      <c r="G195" s="6" t="str">
        <f>IF(A195="","",SUMIFS(Chicks!$N:$N,Chicks!$C:$C,A195))</f>
        <v/>
      </c>
      <c r="H195" s="6" t="str">
        <f>IF(A195="","",SUMIFS(Chicks!$O:$O,Chicks!$C:$C,A195))</f>
        <v/>
      </c>
      <c r="I195" s="6" t="str">
        <f>IF(A195="","",SUMIFS(Chicks!$P:$P,Chicks!$C:$C,A195))</f>
        <v/>
      </c>
    </row>
    <row r="196" spans="1:9" ht="14.25" customHeight="1" x14ac:dyDescent="0.3">
      <c r="A196" s="4"/>
      <c r="B196" s="4" t="str">
        <f>IF(A196="","",COUNTIF(Chicks!$C:$C,A196))</f>
        <v/>
      </c>
      <c r="C196" s="4"/>
      <c r="D196" s="6" t="str">
        <f>IF(A196="","",IFERROR(AVERAGEIF(Chicks!$C:$C,A196,Chicks!$K:$K),""))</f>
        <v/>
      </c>
      <c r="E196" s="6" t="str">
        <f>IF(A196="","",IFERROR(AVERAGEIF(Chicks!$C:$C,A196,Chicks!$L:$L),""))</f>
        <v/>
      </c>
      <c r="F196" s="6" t="str">
        <f>IF(A196="","",IFERROR(AVERAGEIF(Chicks!$C:$C,A196,Chicks!$M:$M),""))</f>
        <v/>
      </c>
      <c r="G196" s="6" t="str">
        <f>IF(A196="","",SUMIFS(Chicks!$N:$N,Chicks!$C:$C,A196))</f>
        <v/>
      </c>
      <c r="H196" s="6" t="str">
        <f>IF(A196="","",SUMIFS(Chicks!$O:$O,Chicks!$C:$C,A196))</f>
        <v/>
      </c>
      <c r="I196" s="6" t="str">
        <f>IF(A196="","",SUMIFS(Chicks!$P:$P,Chicks!$C:$C,A196))</f>
        <v/>
      </c>
    </row>
    <row r="197" spans="1:9" ht="14.25" customHeight="1" x14ac:dyDescent="0.3">
      <c r="A197" s="4"/>
      <c r="B197" s="4" t="str">
        <f>IF(A197="","",COUNTIF(Chicks!$C:$C,A197))</f>
        <v/>
      </c>
      <c r="C197" s="4"/>
      <c r="D197" s="6" t="str">
        <f>IF(A197="","",IFERROR(AVERAGEIF(Chicks!$C:$C,A197,Chicks!$K:$K),""))</f>
        <v/>
      </c>
      <c r="E197" s="6" t="str">
        <f>IF(A197="","",IFERROR(AVERAGEIF(Chicks!$C:$C,A197,Chicks!$L:$L),""))</f>
        <v/>
      </c>
      <c r="F197" s="6" t="str">
        <f>IF(A197="","",IFERROR(AVERAGEIF(Chicks!$C:$C,A197,Chicks!$M:$M),""))</f>
        <v/>
      </c>
      <c r="G197" s="6" t="str">
        <f>IF(A197="","",SUMIFS(Chicks!$N:$N,Chicks!$C:$C,A197))</f>
        <v/>
      </c>
      <c r="H197" s="6" t="str">
        <f>IF(A197="","",SUMIFS(Chicks!$O:$O,Chicks!$C:$C,A197))</f>
        <v/>
      </c>
      <c r="I197" s="6" t="str">
        <f>IF(A197="","",SUMIFS(Chicks!$P:$P,Chicks!$C:$C,A197))</f>
        <v/>
      </c>
    </row>
    <row r="198" spans="1:9" ht="14.25" customHeight="1" x14ac:dyDescent="0.3">
      <c r="A198" s="4"/>
      <c r="B198" s="4" t="str">
        <f>IF(A198="","",COUNTIF(Chicks!$C:$C,A198))</f>
        <v/>
      </c>
      <c r="C198" s="4"/>
      <c r="D198" s="6" t="str">
        <f>IF(A198="","",IFERROR(AVERAGEIF(Chicks!$C:$C,A198,Chicks!$K:$K),""))</f>
        <v/>
      </c>
      <c r="E198" s="6" t="str">
        <f>IF(A198="","",IFERROR(AVERAGEIF(Chicks!$C:$C,A198,Chicks!$L:$L),""))</f>
        <v/>
      </c>
      <c r="F198" s="6" t="str">
        <f>IF(A198="","",IFERROR(AVERAGEIF(Chicks!$C:$C,A198,Chicks!$M:$M),""))</f>
        <v/>
      </c>
      <c r="G198" s="6" t="str">
        <f>IF(A198="","",SUMIFS(Chicks!$N:$N,Chicks!$C:$C,A198))</f>
        <v/>
      </c>
      <c r="H198" s="6" t="str">
        <f>IF(A198="","",SUMIFS(Chicks!$O:$O,Chicks!$C:$C,A198))</f>
        <v/>
      </c>
      <c r="I198" s="6" t="str">
        <f>IF(A198="","",SUMIFS(Chicks!$P:$P,Chicks!$C:$C,A198))</f>
        <v/>
      </c>
    </row>
    <row r="199" spans="1:9" ht="14.25" customHeight="1" x14ac:dyDescent="0.3">
      <c r="A199" s="4"/>
      <c r="B199" s="4" t="str">
        <f>IF(A199="","",COUNTIF(Chicks!$C:$C,A199))</f>
        <v/>
      </c>
      <c r="C199" s="4"/>
      <c r="D199" s="6" t="str">
        <f>IF(A199="","",IFERROR(AVERAGEIF(Chicks!$C:$C,A199,Chicks!$K:$K),""))</f>
        <v/>
      </c>
      <c r="E199" s="6" t="str">
        <f>IF(A199="","",IFERROR(AVERAGEIF(Chicks!$C:$C,A199,Chicks!$L:$L),""))</f>
        <v/>
      </c>
      <c r="F199" s="6" t="str">
        <f>IF(A199="","",IFERROR(AVERAGEIF(Chicks!$C:$C,A199,Chicks!$M:$M),""))</f>
        <v/>
      </c>
      <c r="G199" s="6" t="str">
        <f>IF(A199="","",SUMIFS(Chicks!$N:$N,Chicks!$C:$C,A199))</f>
        <v/>
      </c>
      <c r="H199" s="6" t="str">
        <f>IF(A199="","",SUMIFS(Chicks!$O:$O,Chicks!$C:$C,A199))</f>
        <v/>
      </c>
      <c r="I199" s="6" t="str">
        <f>IF(A199="","",SUMIFS(Chicks!$P:$P,Chicks!$C:$C,A199))</f>
        <v/>
      </c>
    </row>
    <row r="200" spans="1:9" ht="14.25" customHeight="1" x14ac:dyDescent="0.3">
      <c r="A200" s="4"/>
      <c r="B200" s="4" t="str">
        <f>IF(A200="","",COUNTIF(Chicks!$C:$C,A200))</f>
        <v/>
      </c>
      <c r="C200" s="4"/>
      <c r="D200" s="6" t="str">
        <f>IF(A200="","",IFERROR(AVERAGEIF(Chicks!$C:$C,A200,Chicks!$K:$K),""))</f>
        <v/>
      </c>
      <c r="E200" s="6" t="str">
        <f>IF(A200="","",IFERROR(AVERAGEIF(Chicks!$C:$C,A200,Chicks!$L:$L),""))</f>
        <v/>
      </c>
      <c r="F200" s="6" t="str">
        <f>IF(A200="","",IFERROR(AVERAGEIF(Chicks!$C:$C,A200,Chicks!$M:$M),""))</f>
        <v/>
      </c>
      <c r="G200" s="6" t="str">
        <f>IF(A200="","",SUMIFS(Chicks!$N:$N,Chicks!$C:$C,A200))</f>
        <v/>
      </c>
      <c r="H200" s="6" t="str">
        <f>IF(A200="","",SUMIFS(Chicks!$O:$O,Chicks!$C:$C,A200))</f>
        <v/>
      </c>
      <c r="I200" s="6" t="str">
        <f>IF(A200="","",SUMIFS(Chicks!$P:$P,Chicks!$C:$C,A200))</f>
        <v/>
      </c>
    </row>
    <row r="201" spans="1:9" ht="14.25" customHeight="1" x14ac:dyDescent="0.3">
      <c r="A201" s="4"/>
      <c r="B201" s="4" t="str">
        <f>IF(A201="","",COUNTIF(Chicks!$C:$C,A201))</f>
        <v/>
      </c>
      <c r="C201" s="4"/>
      <c r="D201" s="6" t="str">
        <f>IF(A201="","",IFERROR(AVERAGEIF(Chicks!$C:$C,A201,Chicks!$K:$K),""))</f>
        <v/>
      </c>
      <c r="E201" s="6" t="str">
        <f>IF(A201="","",IFERROR(AVERAGEIF(Chicks!$C:$C,A201,Chicks!$L:$L),""))</f>
        <v/>
      </c>
      <c r="F201" s="6" t="str">
        <f>IF(A201="","",IFERROR(AVERAGEIF(Chicks!$C:$C,A201,Chicks!$M:$M),""))</f>
        <v/>
      </c>
      <c r="G201" s="6" t="str">
        <f>IF(A201="","",SUMIFS(Chicks!$N:$N,Chicks!$C:$C,A201))</f>
        <v/>
      </c>
      <c r="H201" s="6" t="str">
        <f>IF(A201="","",SUMIFS(Chicks!$O:$O,Chicks!$C:$C,A201))</f>
        <v/>
      </c>
      <c r="I201" s="6" t="str">
        <f>IF(A201="","",SUMIFS(Chicks!$P:$P,Chicks!$C:$C,A201))</f>
        <v/>
      </c>
    </row>
    <row r="202" spans="1:9" ht="14.25" customHeight="1" x14ac:dyDescent="0.3">
      <c r="A202" s="4"/>
      <c r="B202" s="4" t="str">
        <f>IF(A202="","",COUNTIF(Chicks!$C:$C,A202))</f>
        <v/>
      </c>
      <c r="C202" s="4"/>
      <c r="D202" s="6" t="str">
        <f>IF(A202="","",IFERROR(AVERAGEIF(Chicks!$C:$C,A202,Chicks!$K:$K),""))</f>
        <v/>
      </c>
      <c r="E202" s="6" t="str">
        <f>IF(A202="","",IFERROR(AVERAGEIF(Chicks!$C:$C,A202,Chicks!$L:$L),""))</f>
        <v/>
      </c>
      <c r="F202" s="6" t="str">
        <f>IF(A202="","",IFERROR(AVERAGEIF(Chicks!$C:$C,A202,Chicks!$M:$M),""))</f>
        <v/>
      </c>
      <c r="G202" s="6" t="str">
        <f>IF(A202="","",SUMIFS(Chicks!$N:$N,Chicks!$C:$C,A202))</f>
        <v/>
      </c>
      <c r="H202" s="6" t="str">
        <f>IF(A202="","",SUMIFS(Chicks!$O:$O,Chicks!$C:$C,A202))</f>
        <v/>
      </c>
      <c r="I202" s="6" t="str">
        <f>IF(A202="","",SUMIFS(Chicks!$P:$P,Chicks!$C:$C,A202))</f>
        <v/>
      </c>
    </row>
    <row r="203" spans="1:9" ht="14.25" customHeight="1" x14ac:dyDescent="0.3">
      <c r="A203" s="4"/>
      <c r="B203" s="4" t="str">
        <f>IF(A203="","",COUNTIF(Chicks!$C:$C,A203))</f>
        <v/>
      </c>
      <c r="C203" s="4"/>
      <c r="D203" s="6" t="str">
        <f>IF(A203="","",IFERROR(AVERAGEIF(Chicks!$C:$C,A203,Chicks!$K:$K),""))</f>
        <v/>
      </c>
      <c r="E203" s="6" t="str">
        <f>IF(A203="","",IFERROR(AVERAGEIF(Chicks!$C:$C,A203,Chicks!$L:$L),""))</f>
        <v/>
      </c>
      <c r="F203" s="6" t="str">
        <f>IF(A203="","",IFERROR(AVERAGEIF(Chicks!$C:$C,A203,Chicks!$M:$M),""))</f>
        <v/>
      </c>
      <c r="G203" s="6" t="str">
        <f>IF(A203="","",SUMIFS(Chicks!$N:$N,Chicks!$C:$C,A203))</f>
        <v/>
      </c>
      <c r="H203" s="6" t="str">
        <f>IF(A203="","",SUMIFS(Chicks!$O:$O,Chicks!$C:$C,A203))</f>
        <v/>
      </c>
      <c r="I203" s="6" t="str">
        <f>IF(A203="","",SUMIFS(Chicks!$P:$P,Chicks!$C:$C,A203))</f>
        <v/>
      </c>
    </row>
    <row r="204" spans="1:9" ht="14.25" customHeight="1" x14ac:dyDescent="0.3">
      <c r="A204" s="4"/>
      <c r="B204" s="4" t="str">
        <f>IF(A204="","",COUNTIF(Chicks!$C:$C,A204))</f>
        <v/>
      </c>
      <c r="C204" s="4"/>
      <c r="D204" s="6" t="str">
        <f>IF(A204="","",IFERROR(AVERAGEIF(Chicks!$C:$C,A204,Chicks!$K:$K),""))</f>
        <v/>
      </c>
      <c r="E204" s="6" t="str">
        <f>IF(A204="","",IFERROR(AVERAGEIF(Chicks!$C:$C,A204,Chicks!$L:$L),""))</f>
        <v/>
      </c>
      <c r="F204" s="6" t="str">
        <f>IF(A204="","",IFERROR(AVERAGEIF(Chicks!$C:$C,A204,Chicks!$M:$M),""))</f>
        <v/>
      </c>
      <c r="G204" s="6" t="str">
        <f>IF(A204="","",SUMIFS(Chicks!$N:$N,Chicks!$C:$C,A204))</f>
        <v/>
      </c>
      <c r="H204" s="6" t="str">
        <f>IF(A204="","",SUMIFS(Chicks!$O:$O,Chicks!$C:$C,A204))</f>
        <v/>
      </c>
      <c r="I204" s="6" t="str">
        <f>IF(A204="","",SUMIFS(Chicks!$P:$P,Chicks!$C:$C,A204))</f>
        <v/>
      </c>
    </row>
    <row r="205" spans="1:9" ht="14.25" customHeight="1" x14ac:dyDescent="0.3">
      <c r="A205" s="4"/>
      <c r="B205" s="4" t="str">
        <f>IF(A205="","",COUNTIF(Chicks!$C:$C,A205))</f>
        <v/>
      </c>
      <c r="C205" s="4"/>
      <c r="D205" s="6" t="str">
        <f>IF(A205="","",IFERROR(AVERAGEIF(Chicks!$C:$C,A205,Chicks!$K:$K),""))</f>
        <v/>
      </c>
      <c r="E205" s="6" t="str">
        <f>IF(A205="","",IFERROR(AVERAGEIF(Chicks!$C:$C,A205,Chicks!$L:$L),""))</f>
        <v/>
      </c>
      <c r="F205" s="6" t="str">
        <f>IF(A205="","",IFERROR(AVERAGEIF(Chicks!$C:$C,A205,Chicks!$M:$M),""))</f>
        <v/>
      </c>
      <c r="G205" s="6" t="str">
        <f>IF(A205="","",SUMIFS(Chicks!$N:$N,Chicks!$C:$C,A205))</f>
        <v/>
      </c>
      <c r="H205" s="6" t="str">
        <f>IF(A205="","",SUMIFS(Chicks!$O:$O,Chicks!$C:$C,A205))</f>
        <v/>
      </c>
      <c r="I205" s="6" t="str">
        <f>IF(A205="","",SUMIFS(Chicks!$P:$P,Chicks!$C:$C,A205))</f>
        <v/>
      </c>
    </row>
    <row r="206" spans="1:9" ht="14.25" customHeight="1" x14ac:dyDescent="0.3">
      <c r="A206" s="4"/>
      <c r="B206" s="4" t="str">
        <f>IF(A206="","",COUNTIF(Chicks!$C:$C,A206))</f>
        <v/>
      </c>
      <c r="C206" s="4"/>
      <c r="D206" s="6" t="str">
        <f>IF(A206="","",IFERROR(AVERAGEIF(Chicks!$C:$C,A206,Chicks!$K:$K),""))</f>
        <v/>
      </c>
      <c r="E206" s="6" t="str">
        <f>IF(A206="","",IFERROR(AVERAGEIF(Chicks!$C:$C,A206,Chicks!$L:$L),""))</f>
        <v/>
      </c>
      <c r="F206" s="6" t="str">
        <f>IF(A206="","",IFERROR(AVERAGEIF(Chicks!$C:$C,A206,Chicks!$M:$M),""))</f>
        <v/>
      </c>
      <c r="G206" s="6" t="str">
        <f>IF(A206="","",SUMIFS(Chicks!$N:$N,Chicks!$C:$C,A206))</f>
        <v/>
      </c>
      <c r="H206" s="6" t="str">
        <f>IF(A206="","",SUMIFS(Chicks!$O:$O,Chicks!$C:$C,A206))</f>
        <v/>
      </c>
      <c r="I206" s="6" t="str">
        <f>IF(A206="","",SUMIFS(Chicks!$P:$P,Chicks!$C:$C,A206))</f>
        <v/>
      </c>
    </row>
    <row r="207" spans="1:9" ht="14.25" customHeight="1" x14ac:dyDescent="0.3">
      <c r="A207" s="4"/>
      <c r="B207" s="4" t="str">
        <f>IF(A207="","",COUNTIF(Chicks!$C:$C,A207))</f>
        <v/>
      </c>
      <c r="C207" s="4"/>
      <c r="D207" s="6" t="str">
        <f>IF(A207="","",IFERROR(AVERAGEIF(Chicks!$C:$C,A207,Chicks!$K:$K),""))</f>
        <v/>
      </c>
      <c r="E207" s="6" t="str">
        <f>IF(A207="","",IFERROR(AVERAGEIF(Chicks!$C:$C,A207,Chicks!$L:$L),""))</f>
        <v/>
      </c>
      <c r="F207" s="6" t="str">
        <f>IF(A207="","",IFERROR(AVERAGEIF(Chicks!$C:$C,A207,Chicks!$M:$M),""))</f>
        <v/>
      </c>
      <c r="G207" s="6" t="str">
        <f>IF(A207="","",SUMIFS(Chicks!$N:$N,Chicks!$C:$C,A207))</f>
        <v/>
      </c>
      <c r="H207" s="6" t="str">
        <f>IF(A207="","",SUMIFS(Chicks!$O:$O,Chicks!$C:$C,A207))</f>
        <v/>
      </c>
      <c r="I207" s="6" t="str">
        <f>IF(A207="","",SUMIFS(Chicks!$P:$P,Chicks!$C:$C,A207))</f>
        <v/>
      </c>
    </row>
    <row r="208" spans="1:9" ht="14.25" customHeight="1" x14ac:dyDescent="0.3">
      <c r="A208" s="4"/>
      <c r="B208" s="4" t="str">
        <f>IF(A208="","",COUNTIF(Chicks!$C:$C,A208))</f>
        <v/>
      </c>
      <c r="C208" s="4"/>
      <c r="D208" s="6" t="str">
        <f>IF(A208="","",IFERROR(AVERAGEIF(Chicks!$C:$C,A208,Chicks!$K:$K),""))</f>
        <v/>
      </c>
      <c r="E208" s="6" t="str">
        <f>IF(A208="","",IFERROR(AVERAGEIF(Chicks!$C:$C,A208,Chicks!$L:$L),""))</f>
        <v/>
      </c>
      <c r="F208" s="6" t="str">
        <f>IF(A208="","",IFERROR(AVERAGEIF(Chicks!$C:$C,A208,Chicks!$M:$M),""))</f>
        <v/>
      </c>
      <c r="G208" s="6" t="str">
        <f>IF(A208="","",SUMIFS(Chicks!$N:$N,Chicks!$C:$C,A208))</f>
        <v/>
      </c>
      <c r="H208" s="6" t="str">
        <f>IF(A208="","",SUMIFS(Chicks!$O:$O,Chicks!$C:$C,A208))</f>
        <v/>
      </c>
      <c r="I208" s="6" t="str">
        <f>IF(A208="","",SUMIFS(Chicks!$P:$P,Chicks!$C:$C,A208))</f>
        <v/>
      </c>
    </row>
    <row r="209" spans="1:9" ht="14.25" customHeight="1" x14ac:dyDescent="0.3">
      <c r="A209" s="4"/>
      <c r="B209" s="4" t="str">
        <f>IF(A209="","",COUNTIF(Chicks!$C:$C,A209))</f>
        <v/>
      </c>
      <c r="C209" s="4"/>
      <c r="D209" s="6" t="str">
        <f>IF(A209="","",IFERROR(AVERAGEIF(Chicks!$C:$C,A209,Chicks!$K:$K),""))</f>
        <v/>
      </c>
      <c r="E209" s="6" t="str">
        <f>IF(A209="","",IFERROR(AVERAGEIF(Chicks!$C:$C,A209,Chicks!$L:$L),""))</f>
        <v/>
      </c>
      <c r="F209" s="6" t="str">
        <f>IF(A209="","",IFERROR(AVERAGEIF(Chicks!$C:$C,A209,Chicks!$M:$M),""))</f>
        <v/>
      </c>
      <c r="G209" s="6" t="str">
        <f>IF(A209="","",SUMIFS(Chicks!$N:$N,Chicks!$C:$C,A209))</f>
        <v/>
      </c>
      <c r="H209" s="6" t="str">
        <f>IF(A209="","",SUMIFS(Chicks!$O:$O,Chicks!$C:$C,A209))</f>
        <v/>
      </c>
      <c r="I209" s="6" t="str">
        <f>IF(A209="","",SUMIFS(Chicks!$P:$P,Chicks!$C:$C,A209))</f>
        <v/>
      </c>
    </row>
    <row r="210" spans="1:9" ht="14.25" customHeight="1" x14ac:dyDescent="0.3">
      <c r="A210" s="4"/>
      <c r="B210" s="4" t="str">
        <f>IF(A210="","",COUNTIF(Chicks!$C:$C,A210))</f>
        <v/>
      </c>
      <c r="C210" s="4"/>
      <c r="D210" s="6" t="str">
        <f>IF(A210="","",IFERROR(AVERAGEIF(Chicks!$C:$C,A210,Chicks!$K:$K),""))</f>
        <v/>
      </c>
      <c r="E210" s="6" t="str">
        <f>IF(A210="","",IFERROR(AVERAGEIF(Chicks!$C:$C,A210,Chicks!$L:$L),""))</f>
        <v/>
      </c>
      <c r="F210" s="6" t="str">
        <f>IF(A210="","",IFERROR(AVERAGEIF(Chicks!$C:$C,A210,Chicks!$M:$M),""))</f>
        <v/>
      </c>
      <c r="G210" s="6" t="str">
        <f>IF(A210="","",SUMIFS(Chicks!$N:$N,Chicks!$C:$C,A210))</f>
        <v/>
      </c>
      <c r="H210" s="6" t="str">
        <f>IF(A210="","",SUMIFS(Chicks!$O:$O,Chicks!$C:$C,A210))</f>
        <v/>
      </c>
      <c r="I210" s="6" t="str">
        <f>IF(A210="","",SUMIFS(Chicks!$P:$P,Chicks!$C:$C,A210))</f>
        <v/>
      </c>
    </row>
    <row r="211" spans="1:9" ht="14.25" customHeight="1" x14ac:dyDescent="0.3">
      <c r="A211" s="4"/>
      <c r="B211" s="4" t="str">
        <f>IF(A211="","",COUNTIF(Chicks!$C:$C,A211))</f>
        <v/>
      </c>
      <c r="C211" s="4"/>
      <c r="D211" s="6" t="str">
        <f>IF(A211="","",IFERROR(AVERAGEIF(Chicks!$C:$C,A211,Chicks!$K:$K),""))</f>
        <v/>
      </c>
      <c r="E211" s="6" t="str">
        <f>IF(A211="","",IFERROR(AVERAGEIF(Chicks!$C:$C,A211,Chicks!$L:$L),""))</f>
        <v/>
      </c>
      <c r="F211" s="6" t="str">
        <f>IF(A211="","",IFERROR(AVERAGEIF(Chicks!$C:$C,A211,Chicks!$M:$M),""))</f>
        <v/>
      </c>
      <c r="G211" s="6" t="str">
        <f>IF(A211="","",SUMIFS(Chicks!$N:$N,Chicks!$C:$C,A211))</f>
        <v/>
      </c>
      <c r="H211" s="6" t="str">
        <f>IF(A211="","",SUMIFS(Chicks!$O:$O,Chicks!$C:$C,A211))</f>
        <v/>
      </c>
      <c r="I211" s="6" t="str">
        <f>IF(A211="","",SUMIFS(Chicks!$P:$P,Chicks!$C:$C,A211))</f>
        <v/>
      </c>
    </row>
    <row r="212" spans="1:9" ht="14.25" customHeight="1" x14ac:dyDescent="0.3">
      <c r="A212" s="4"/>
      <c r="B212" s="4" t="str">
        <f>IF(A212="","",COUNTIF(Chicks!$C:$C,A212))</f>
        <v/>
      </c>
      <c r="C212" s="4"/>
      <c r="D212" s="6" t="str">
        <f>IF(A212="","",IFERROR(AVERAGEIF(Chicks!$C:$C,A212,Chicks!$K:$K),""))</f>
        <v/>
      </c>
      <c r="E212" s="6" t="str">
        <f>IF(A212="","",IFERROR(AVERAGEIF(Chicks!$C:$C,A212,Chicks!$L:$L),""))</f>
        <v/>
      </c>
      <c r="F212" s="6" t="str">
        <f>IF(A212="","",IFERROR(AVERAGEIF(Chicks!$C:$C,A212,Chicks!$M:$M),""))</f>
        <v/>
      </c>
      <c r="G212" s="6" t="str">
        <f>IF(A212="","",SUMIFS(Chicks!$N:$N,Chicks!$C:$C,A212))</f>
        <v/>
      </c>
      <c r="H212" s="6" t="str">
        <f>IF(A212="","",SUMIFS(Chicks!$O:$O,Chicks!$C:$C,A212))</f>
        <v/>
      </c>
      <c r="I212" s="6" t="str">
        <f>IF(A212="","",SUMIFS(Chicks!$P:$P,Chicks!$C:$C,A212))</f>
        <v/>
      </c>
    </row>
    <row r="213" spans="1:9" ht="14.25" customHeight="1" x14ac:dyDescent="0.3">
      <c r="A213" s="4"/>
      <c r="B213" s="4" t="str">
        <f>IF(A213="","",COUNTIF(Chicks!$C:$C,A213))</f>
        <v/>
      </c>
      <c r="C213" s="4"/>
      <c r="D213" s="6" t="str">
        <f>IF(A213="","",IFERROR(AVERAGEIF(Chicks!$C:$C,A213,Chicks!$K:$K),""))</f>
        <v/>
      </c>
      <c r="E213" s="6" t="str">
        <f>IF(A213="","",IFERROR(AVERAGEIF(Chicks!$C:$C,A213,Chicks!$L:$L),""))</f>
        <v/>
      </c>
      <c r="F213" s="6" t="str">
        <f>IF(A213="","",IFERROR(AVERAGEIF(Chicks!$C:$C,A213,Chicks!$M:$M),""))</f>
        <v/>
      </c>
      <c r="G213" s="6" t="str">
        <f>IF(A213="","",SUMIFS(Chicks!$N:$N,Chicks!$C:$C,A213))</f>
        <v/>
      </c>
      <c r="H213" s="6" t="str">
        <f>IF(A213="","",SUMIFS(Chicks!$O:$O,Chicks!$C:$C,A213))</f>
        <v/>
      </c>
      <c r="I213" s="6" t="str">
        <f>IF(A213="","",SUMIFS(Chicks!$P:$P,Chicks!$C:$C,A213))</f>
        <v/>
      </c>
    </row>
    <row r="214" spans="1:9" ht="14.25" customHeight="1" x14ac:dyDescent="0.3">
      <c r="A214" s="4"/>
      <c r="B214" s="4" t="str">
        <f>IF(A214="","",COUNTIF(Chicks!$C:$C,A214))</f>
        <v/>
      </c>
      <c r="C214" s="4"/>
      <c r="D214" s="6" t="str">
        <f>IF(A214="","",IFERROR(AVERAGEIF(Chicks!$C:$C,A214,Chicks!$K:$K),""))</f>
        <v/>
      </c>
      <c r="E214" s="6" t="str">
        <f>IF(A214="","",IFERROR(AVERAGEIF(Chicks!$C:$C,A214,Chicks!$L:$L),""))</f>
        <v/>
      </c>
      <c r="F214" s="6" t="str">
        <f>IF(A214="","",IFERROR(AVERAGEIF(Chicks!$C:$C,A214,Chicks!$M:$M),""))</f>
        <v/>
      </c>
      <c r="G214" s="6" t="str">
        <f>IF(A214="","",SUMIFS(Chicks!$N:$N,Chicks!$C:$C,A214))</f>
        <v/>
      </c>
      <c r="H214" s="6" t="str">
        <f>IF(A214="","",SUMIFS(Chicks!$O:$O,Chicks!$C:$C,A214))</f>
        <v/>
      </c>
      <c r="I214" s="6" t="str">
        <f>IF(A214="","",SUMIFS(Chicks!$P:$P,Chicks!$C:$C,A214))</f>
        <v/>
      </c>
    </row>
    <row r="215" spans="1:9" ht="14.25" customHeight="1" x14ac:dyDescent="0.3">
      <c r="A215" s="4"/>
      <c r="B215" s="4" t="str">
        <f>IF(A215="","",COUNTIF(Chicks!$C:$C,A215))</f>
        <v/>
      </c>
      <c r="C215" s="4"/>
      <c r="D215" s="6" t="str">
        <f>IF(A215="","",IFERROR(AVERAGEIF(Chicks!$C:$C,A215,Chicks!$K:$K),""))</f>
        <v/>
      </c>
      <c r="E215" s="6" t="str">
        <f>IF(A215="","",IFERROR(AVERAGEIF(Chicks!$C:$C,A215,Chicks!$L:$L),""))</f>
        <v/>
      </c>
      <c r="F215" s="6" t="str">
        <f>IF(A215="","",IFERROR(AVERAGEIF(Chicks!$C:$C,A215,Chicks!$M:$M),""))</f>
        <v/>
      </c>
      <c r="G215" s="6" t="str">
        <f>IF(A215="","",SUMIFS(Chicks!$N:$N,Chicks!$C:$C,A215))</f>
        <v/>
      </c>
      <c r="H215" s="6" t="str">
        <f>IF(A215="","",SUMIFS(Chicks!$O:$O,Chicks!$C:$C,A215))</f>
        <v/>
      </c>
      <c r="I215" s="6" t="str">
        <f>IF(A215="","",SUMIFS(Chicks!$P:$P,Chicks!$C:$C,A215))</f>
        <v/>
      </c>
    </row>
    <row r="216" spans="1:9" ht="14.25" customHeight="1" x14ac:dyDescent="0.3">
      <c r="A216" s="4"/>
      <c r="B216" s="4" t="str">
        <f>IF(A216="","",COUNTIF(Chicks!$C:$C,A216))</f>
        <v/>
      </c>
      <c r="C216" s="4"/>
      <c r="D216" s="6" t="str">
        <f>IF(A216="","",IFERROR(AVERAGEIF(Chicks!$C:$C,A216,Chicks!$K:$K),""))</f>
        <v/>
      </c>
      <c r="E216" s="6" t="str">
        <f>IF(A216="","",IFERROR(AVERAGEIF(Chicks!$C:$C,A216,Chicks!$L:$L),""))</f>
        <v/>
      </c>
      <c r="F216" s="6" t="str">
        <f>IF(A216="","",IFERROR(AVERAGEIF(Chicks!$C:$C,A216,Chicks!$M:$M),""))</f>
        <v/>
      </c>
      <c r="G216" s="6" t="str">
        <f>IF(A216="","",SUMIFS(Chicks!$N:$N,Chicks!$C:$C,A216))</f>
        <v/>
      </c>
      <c r="H216" s="6" t="str">
        <f>IF(A216="","",SUMIFS(Chicks!$O:$O,Chicks!$C:$C,A216))</f>
        <v/>
      </c>
      <c r="I216" s="6" t="str">
        <f>IF(A216="","",SUMIFS(Chicks!$P:$P,Chicks!$C:$C,A216))</f>
        <v/>
      </c>
    </row>
    <row r="217" spans="1:9" ht="14.25" customHeight="1" x14ac:dyDescent="0.3">
      <c r="A217" s="4"/>
      <c r="B217" s="4" t="str">
        <f>IF(A217="","",COUNTIF(Chicks!$C:$C,A217))</f>
        <v/>
      </c>
      <c r="C217" s="4"/>
      <c r="D217" s="6" t="str">
        <f>IF(A217="","",IFERROR(AVERAGEIF(Chicks!$C:$C,A217,Chicks!$K:$K),""))</f>
        <v/>
      </c>
      <c r="E217" s="6" t="str">
        <f>IF(A217="","",IFERROR(AVERAGEIF(Chicks!$C:$C,A217,Chicks!$L:$L),""))</f>
        <v/>
      </c>
      <c r="F217" s="6" t="str">
        <f>IF(A217="","",IFERROR(AVERAGEIF(Chicks!$C:$C,A217,Chicks!$M:$M),""))</f>
        <v/>
      </c>
      <c r="G217" s="6" t="str">
        <f>IF(A217="","",SUMIFS(Chicks!$N:$N,Chicks!$C:$C,A217))</f>
        <v/>
      </c>
      <c r="H217" s="6" t="str">
        <f>IF(A217="","",SUMIFS(Chicks!$O:$O,Chicks!$C:$C,A217))</f>
        <v/>
      </c>
      <c r="I217" s="6" t="str">
        <f>IF(A217="","",SUMIFS(Chicks!$P:$P,Chicks!$C:$C,A217))</f>
        <v/>
      </c>
    </row>
    <row r="218" spans="1:9" ht="14.25" customHeight="1" x14ac:dyDescent="0.3">
      <c r="A218" s="4"/>
      <c r="B218" s="4" t="str">
        <f>IF(A218="","",COUNTIF(Chicks!$C:$C,A218))</f>
        <v/>
      </c>
      <c r="C218" s="4"/>
      <c r="D218" s="6" t="str">
        <f>IF(A218="","",IFERROR(AVERAGEIF(Chicks!$C:$C,A218,Chicks!$K:$K),""))</f>
        <v/>
      </c>
      <c r="E218" s="6" t="str">
        <f>IF(A218="","",IFERROR(AVERAGEIF(Chicks!$C:$C,A218,Chicks!$L:$L),""))</f>
        <v/>
      </c>
      <c r="F218" s="6" t="str">
        <f>IF(A218="","",IFERROR(AVERAGEIF(Chicks!$C:$C,A218,Chicks!$M:$M),""))</f>
        <v/>
      </c>
      <c r="G218" s="6" t="str">
        <f>IF(A218="","",SUMIFS(Chicks!$N:$N,Chicks!$C:$C,A218))</f>
        <v/>
      </c>
      <c r="H218" s="6" t="str">
        <f>IF(A218="","",SUMIFS(Chicks!$O:$O,Chicks!$C:$C,A218))</f>
        <v/>
      </c>
      <c r="I218" s="6" t="str">
        <f>IF(A218="","",SUMIFS(Chicks!$P:$P,Chicks!$C:$C,A218))</f>
        <v/>
      </c>
    </row>
    <row r="219" spans="1:9" ht="14.25" customHeight="1" x14ac:dyDescent="0.3">
      <c r="A219" s="4"/>
      <c r="B219" s="4" t="str">
        <f>IF(A219="","",COUNTIF(Chicks!$C:$C,A219))</f>
        <v/>
      </c>
      <c r="C219" s="4"/>
      <c r="D219" s="6" t="str">
        <f>IF(A219="","",IFERROR(AVERAGEIF(Chicks!$C:$C,A219,Chicks!$K:$K),""))</f>
        <v/>
      </c>
      <c r="E219" s="6" t="str">
        <f>IF(A219="","",IFERROR(AVERAGEIF(Chicks!$C:$C,A219,Chicks!$L:$L),""))</f>
        <v/>
      </c>
      <c r="F219" s="6" t="str">
        <f>IF(A219="","",IFERROR(AVERAGEIF(Chicks!$C:$C,A219,Chicks!$M:$M),""))</f>
        <v/>
      </c>
      <c r="G219" s="6" t="str">
        <f>IF(A219="","",SUMIFS(Chicks!$N:$N,Chicks!$C:$C,A219))</f>
        <v/>
      </c>
      <c r="H219" s="6" t="str">
        <f>IF(A219="","",SUMIFS(Chicks!$O:$O,Chicks!$C:$C,A219))</f>
        <v/>
      </c>
      <c r="I219" s="6" t="str">
        <f>IF(A219="","",SUMIFS(Chicks!$P:$P,Chicks!$C:$C,A219))</f>
        <v/>
      </c>
    </row>
    <row r="220" spans="1:9" ht="14.25" customHeight="1" x14ac:dyDescent="0.3">
      <c r="A220" s="4"/>
      <c r="B220" s="4" t="str">
        <f>IF(A220="","",COUNTIF(Chicks!$C:$C,A220))</f>
        <v/>
      </c>
      <c r="C220" s="4"/>
      <c r="D220" s="6" t="str">
        <f>IF(A220="","",IFERROR(AVERAGEIF(Chicks!$C:$C,A220,Chicks!$K:$K),""))</f>
        <v/>
      </c>
      <c r="E220" s="6" t="str">
        <f>IF(A220="","",IFERROR(AVERAGEIF(Chicks!$C:$C,A220,Chicks!$L:$L),""))</f>
        <v/>
      </c>
      <c r="F220" s="6" t="str">
        <f>IF(A220="","",IFERROR(AVERAGEIF(Chicks!$C:$C,A220,Chicks!$M:$M),""))</f>
        <v/>
      </c>
      <c r="G220" s="6" t="str">
        <f>IF(A220="","",SUMIFS(Chicks!$N:$N,Chicks!$C:$C,A220))</f>
        <v/>
      </c>
      <c r="H220" s="6" t="str">
        <f>IF(A220="","",SUMIFS(Chicks!$O:$O,Chicks!$C:$C,A220))</f>
        <v/>
      </c>
      <c r="I220" s="6" t="str">
        <f>IF(A220="","",SUMIFS(Chicks!$P:$P,Chicks!$C:$C,A220))</f>
        <v/>
      </c>
    </row>
    <row r="221" spans="1:9" ht="14.25" customHeight="1" x14ac:dyDescent="0.3">
      <c r="A221" s="4"/>
      <c r="B221" s="4" t="str">
        <f>IF(A221="","",COUNTIF(Chicks!$C:$C,A221))</f>
        <v/>
      </c>
      <c r="C221" s="4"/>
      <c r="D221" s="6" t="str">
        <f>IF(A221="","",IFERROR(AVERAGEIF(Chicks!$C:$C,A221,Chicks!$K:$K),""))</f>
        <v/>
      </c>
      <c r="E221" s="6" t="str">
        <f>IF(A221="","",IFERROR(AVERAGEIF(Chicks!$C:$C,A221,Chicks!$L:$L),""))</f>
        <v/>
      </c>
      <c r="F221" s="6" t="str">
        <f>IF(A221="","",IFERROR(AVERAGEIF(Chicks!$C:$C,A221,Chicks!$M:$M),""))</f>
        <v/>
      </c>
      <c r="G221" s="6" t="str">
        <f>IF(A221="","",SUMIFS(Chicks!$N:$N,Chicks!$C:$C,A221))</f>
        <v/>
      </c>
      <c r="H221" s="6" t="str">
        <f>IF(A221="","",SUMIFS(Chicks!$O:$O,Chicks!$C:$C,A221))</f>
        <v/>
      </c>
      <c r="I221" s="6" t="str">
        <f>IF(A221="","",SUMIFS(Chicks!$P:$P,Chicks!$C:$C,A221))</f>
        <v/>
      </c>
    </row>
    <row r="222" spans="1:9" ht="14.25" customHeight="1" x14ac:dyDescent="0.3">
      <c r="A222" s="4"/>
      <c r="B222" s="4" t="str">
        <f>IF(A222="","",COUNTIF(Chicks!$C:$C,A222))</f>
        <v/>
      </c>
      <c r="C222" s="4"/>
      <c r="D222" s="6" t="str">
        <f>IF(A222="","",IFERROR(AVERAGEIF(Chicks!$C:$C,A222,Chicks!$K:$K),""))</f>
        <v/>
      </c>
      <c r="E222" s="6" t="str">
        <f>IF(A222="","",IFERROR(AVERAGEIF(Chicks!$C:$C,A222,Chicks!$L:$L),""))</f>
        <v/>
      </c>
      <c r="F222" s="6" t="str">
        <f>IF(A222="","",IFERROR(AVERAGEIF(Chicks!$C:$C,A222,Chicks!$M:$M),""))</f>
        <v/>
      </c>
      <c r="G222" s="6" t="str">
        <f>IF(A222="","",SUMIFS(Chicks!$N:$N,Chicks!$C:$C,A222))</f>
        <v/>
      </c>
      <c r="H222" s="6" t="str">
        <f>IF(A222="","",SUMIFS(Chicks!$O:$O,Chicks!$C:$C,A222))</f>
        <v/>
      </c>
      <c r="I222" s="6" t="str">
        <f>IF(A222="","",SUMIFS(Chicks!$P:$P,Chicks!$C:$C,A222))</f>
        <v/>
      </c>
    </row>
    <row r="223" spans="1:9" ht="14.25" customHeight="1" x14ac:dyDescent="0.3">
      <c r="A223" s="4"/>
      <c r="B223" s="4" t="str">
        <f>IF(A223="","",COUNTIF(Chicks!$C:$C,A223))</f>
        <v/>
      </c>
      <c r="C223" s="4"/>
      <c r="D223" s="6" t="str">
        <f>IF(A223="","",IFERROR(AVERAGEIF(Chicks!$C:$C,A223,Chicks!$K:$K),""))</f>
        <v/>
      </c>
      <c r="E223" s="6" t="str">
        <f>IF(A223="","",IFERROR(AVERAGEIF(Chicks!$C:$C,A223,Chicks!$L:$L),""))</f>
        <v/>
      </c>
      <c r="F223" s="6" t="str">
        <f>IF(A223="","",IFERROR(AVERAGEIF(Chicks!$C:$C,A223,Chicks!$M:$M),""))</f>
        <v/>
      </c>
      <c r="G223" s="6" t="str">
        <f>IF(A223="","",SUMIFS(Chicks!$N:$N,Chicks!$C:$C,A223))</f>
        <v/>
      </c>
      <c r="H223" s="6" t="str">
        <f>IF(A223="","",SUMIFS(Chicks!$O:$O,Chicks!$C:$C,A223))</f>
        <v/>
      </c>
      <c r="I223" s="6" t="str">
        <f>IF(A223="","",SUMIFS(Chicks!$P:$P,Chicks!$C:$C,A223))</f>
        <v/>
      </c>
    </row>
    <row r="224" spans="1:9" ht="14.25" customHeight="1" x14ac:dyDescent="0.3">
      <c r="A224" s="4"/>
      <c r="B224" s="4" t="str">
        <f>IF(A224="","",COUNTIF(Chicks!$C:$C,A224))</f>
        <v/>
      </c>
      <c r="C224" s="4"/>
      <c r="D224" s="6" t="str">
        <f>IF(A224="","",IFERROR(AVERAGEIF(Chicks!$C:$C,A224,Chicks!$K:$K),""))</f>
        <v/>
      </c>
      <c r="E224" s="6" t="str">
        <f>IF(A224="","",IFERROR(AVERAGEIF(Chicks!$C:$C,A224,Chicks!$L:$L),""))</f>
        <v/>
      </c>
      <c r="F224" s="6" t="str">
        <f>IF(A224="","",IFERROR(AVERAGEIF(Chicks!$C:$C,A224,Chicks!$M:$M),""))</f>
        <v/>
      </c>
      <c r="G224" s="6" t="str">
        <f>IF(A224="","",SUMIFS(Chicks!$N:$N,Chicks!$C:$C,A224))</f>
        <v/>
      </c>
      <c r="H224" s="6" t="str">
        <f>IF(A224="","",SUMIFS(Chicks!$O:$O,Chicks!$C:$C,A224))</f>
        <v/>
      </c>
      <c r="I224" s="6" t="str">
        <f>IF(A224="","",SUMIFS(Chicks!$P:$P,Chicks!$C:$C,A224))</f>
        <v/>
      </c>
    </row>
    <row r="225" spans="1:9" ht="14.25" customHeight="1" x14ac:dyDescent="0.3">
      <c r="A225" s="4"/>
      <c r="B225" s="4" t="str">
        <f>IF(A225="","",COUNTIF(Chicks!$C:$C,A225))</f>
        <v/>
      </c>
      <c r="C225" s="4"/>
      <c r="D225" s="6" t="str">
        <f>IF(A225="","",IFERROR(AVERAGEIF(Chicks!$C:$C,A225,Chicks!$K:$K),""))</f>
        <v/>
      </c>
      <c r="E225" s="6" t="str">
        <f>IF(A225="","",IFERROR(AVERAGEIF(Chicks!$C:$C,A225,Chicks!$L:$L),""))</f>
        <v/>
      </c>
      <c r="F225" s="6" t="str">
        <f>IF(A225="","",IFERROR(AVERAGEIF(Chicks!$C:$C,A225,Chicks!$M:$M),""))</f>
        <v/>
      </c>
      <c r="G225" s="6" t="str">
        <f>IF(A225="","",SUMIFS(Chicks!$N:$N,Chicks!$C:$C,A225))</f>
        <v/>
      </c>
      <c r="H225" s="6" t="str">
        <f>IF(A225="","",SUMIFS(Chicks!$O:$O,Chicks!$C:$C,A225))</f>
        <v/>
      </c>
      <c r="I225" s="6" t="str">
        <f>IF(A225="","",SUMIFS(Chicks!$P:$P,Chicks!$C:$C,A225))</f>
        <v/>
      </c>
    </row>
    <row r="226" spans="1:9" ht="14.25" customHeight="1" x14ac:dyDescent="0.3">
      <c r="A226" s="4"/>
      <c r="B226" s="4" t="str">
        <f>IF(A226="","",COUNTIF(Chicks!$C:$C,A226))</f>
        <v/>
      </c>
      <c r="C226" s="4"/>
      <c r="D226" s="6" t="str">
        <f>IF(A226="","",IFERROR(AVERAGEIF(Chicks!$C:$C,A226,Chicks!$K:$K),""))</f>
        <v/>
      </c>
      <c r="E226" s="6" t="str">
        <f>IF(A226="","",IFERROR(AVERAGEIF(Chicks!$C:$C,A226,Chicks!$L:$L),""))</f>
        <v/>
      </c>
      <c r="F226" s="6" t="str">
        <f>IF(A226="","",IFERROR(AVERAGEIF(Chicks!$C:$C,A226,Chicks!$M:$M),""))</f>
        <v/>
      </c>
      <c r="G226" s="6" t="str">
        <f>IF(A226="","",SUMIFS(Chicks!$N:$N,Chicks!$C:$C,A226))</f>
        <v/>
      </c>
      <c r="H226" s="6" t="str">
        <f>IF(A226="","",SUMIFS(Chicks!$O:$O,Chicks!$C:$C,A226))</f>
        <v/>
      </c>
      <c r="I226" s="6" t="str">
        <f>IF(A226="","",SUMIFS(Chicks!$P:$P,Chicks!$C:$C,A226))</f>
        <v/>
      </c>
    </row>
    <row r="227" spans="1:9" ht="14.25" customHeight="1" x14ac:dyDescent="0.3">
      <c r="A227" s="4"/>
      <c r="B227" s="4" t="str">
        <f>IF(A227="","",COUNTIF(Chicks!$C:$C,A227))</f>
        <v/>
      </c>
      <c r="C227" s="4"/>
      <c r="D227" s="6" t="str">
        <f>IF(A227="","",IFERROR(AVERAGEIF(Chicks!$C:$C,A227,Chicks!$K:$K),""))</f>
        <v/>
      </c>
      <c r="E227" s="6" t="str">
        <f>IF(A227="","",IFERROR(AVERAGEIF(Chicks!$C:$C,A227,Chicks!$L:$L),""))</f>
        <v/>
      </c>
      <c r="F227" s="6" t="str">
        <f>IF(A227="","",IFERROR(AVERAGEIF(Chicks!$C:$C,A227,Chicks!$M:$M),""))</f>
        <v/>
      </c>
      <c r="G227" s="6" t="str">
        <f>IF(A227="","",SUMIFS(Chicks!$N:$N,Chicks!$C:$C,A227))</f>
        <v/>
      </c>
      <c r="H227" s="6" t="str">
        <f>IF(A227="","",SUMIFS(Chicks!$O:$O,Chicks!$C:$C,A227))</f>
        <v/>
      </c>
      <c r="I227" s="6" t="str">
        <f>IF(A227="","",SUMIFS(Chicks!$P:$P,Chicks!$C:$C,A227))</f>
        <v/>
      </c>
    </row>
    <row r="228" spans="1:9" ht="14.25" customHeight="1" x14ac:dyDescent="0.3">
      <c r="A228" s="4"/>
      <c r="B228" s="4" t="str">
        <f>IF(A228="","",COUNTIF(Chicks!$C:$C,A228))</f>
        <v/>
      </c>
      <c r="C228" s="4"/>
      <c r="D228" s="6" t="str">
        <f>IF(A228="","",IFERROR(AVERAGEIF(Chicks!$C:$C,A228,Chicks!$K:$K),""))</f>
        <v/>
      </c>
      <c r="E228" s="6" t="str">
        <f>IF(A228="","",IFERROR(AVERAGEIF(Chicks!$C:$C,A228,Chicks!$L:$L),""))</f>
        <v/>
      </c>
      <c r="F228" s="6" t="str">
        <f>IF(A228="","",IFERROR(AVERAGEIF(Chicks!$C:$C,A228,Chicks!$M:$M),""))</f>
        <v/>
      </c>
      <c r="G228" s="6" t="str">
        <f>IF(A228="","",SUMIFS(Chicks!$N:$N,Chicks!$C:$C,A228))</f>
        <v/>
      </c>
      <c r="H228" s="6" t="str">
        <f>IF(A228="","",SUMIFS(Chicks!$O:$O,Chicks!$C:$C,A228))</f>
        <v/>
      </c>
      <c r="I228" s="6" t="str">
        <f>IF(A228="","",SUMIFS(Chicks!$P:$P,Chicks!$C:$C,A228))</f>
        <v/>
      </c>
    </row>
    <row r="229" spans="1:9" ht="14.25" customHeight="1" x14ac:dyDescent="0.3">
      <c r="A229" s="4"/>
      <c r="B229" s="4" t="str">
        <f>IF(A229="","",COUNTIF(Chicks!$C:$C,A229))</f>
        <v/>
      </c>
      <c r="C229" s="4"/>
      <c r="D229" s="6" t="str">
        <f>IF(A229="","",IFERROR(AVERAGEIF(Chicks!$C:$C,A229,Chicks!$K:$K),""))</f>
        <v/>
      </c>
      <c r="E229" s="6" t="str">
        <f>IF(A229="","",IFERROR(AVERAGEIF(Chicks!$C:$C,A229,Chicks!$L:$L),""))</f>
        <v/>
      </c>
      <c r="F229" s="6" t="str">
        <f>IF(A229="","",IFERROR(AVERAGEIF(Chicks!$C:$C,A229,Chicks!$M:$M),""))</f>
        <v/>
      </c>
      <c r="G229" s="6" t="str">
        <f>IF(A229="","",SUMIFS(Chicks!$N:$N,Chicks!$C:$C,A229))</f>
        <v/>
      </c>
      <c r="H229" s="6" t="str">
        <f>IF(A229="","",SUMIFS(Chicks!$O:$O,Chicks!$C:$C,A229))</f>
        <v/>
      </c>
      <c r="I229" s="6" t="str">
        <f>IF(A229="","",SUMIFS(Chicks!$P:$P,Chicks!$C:$C,A229))</f>
        <v/>
      </c>
    </row>
    <row r="230" spans="1:9" ht="14.25" customHeight="1" x14ac:dyDescent="0.3">
      <c r="A230" s="4"/>
      <c r="B230" s="4" t="str">
        <f>IF(A230="","",COUNTIF(Chicks!$C:$C,A230))</f>
        <v/>
      </c>
      <c r="C230" s="4"/>
      <c r="D230" s="6" t="str">
        <f>IF(A230="","",IFERROR(AVERAGEIF(Chicks!$C:$C,A230,Chicks!$K:$K),""))</f>
        <v/>
      </c>
      <c r="E230" s="6" t="str">
        <f>IF(A230="","",IFERROR(AVERAGEIF(Chicks!$C:$C,A230,Chicks!$L:$L),""))</f>
        <v/>
      </c>
      <c r="F230" s="6" t="str">
        <f>IF(A230="","",IFERROR(AVERAGEIF(Chicks!$C:$C,A230,Chicks!$M:$M),""))</f>
        <v/>
      </c>
      <c r="G230" s="6" t="str">
        <f>IF(A230="","",SUMIFS(Chicks!$N:$N,Chicks!$C:$C,A230))</f>
        <v/>
      </c>
      <c r="H230" s="6" t="str">
        <f>IF(A230="","",SUMIFS(Chicks!$O:$O,Chicks!$C:$C,A230))</f>
        <v/>
      </c>
      <c r="I230" s="6" t="str">
        <f>IF(A230="","",SUMIFS(Chicks!$P:$P,Chicks!$C:$C,A230))</f>
        <v/>
      </c>
    </row>
    <row r="231" spans="1:9" ht="14.25" customHeight="1" x14ac:dyDescent="0.3">
      <c r="A231" s="4"/>
      <c r="B231" s="4" t="str">
        <f>IF(A231="","",COUNTIF(Chicks!$C:$C,A231))</f>
        <v/>
      </c>
      <c r="C231" s="4"/>
      <c r="D231" s="6" t="str">
        <f>IF(A231="","",IFERROR(AVERAGEIF(Chicks!$C:$C,A231,Chicks!$K:$K),""))</f>
        <v/>
      </c>
      <c r="E231" s="6" t="str">
        <f>IF(A231="","",IFERROR(AVERAGEIF(Chicks!$C:$C,A231,Chicks!$L:$L),""))</f>
        <v/>
      </c>
      <c r="F231" s="6" t="str">
        <f>IF(A231="","",IFERROR(AVERAGEIF(Chicks!$C:$C,A231,Chicks!$M:$M),""))</f>
        <v/>
      </c>
      <c r="G231" s="6" t="str">
        <f>IF(A231="","",SUMIFS(Chicks!$N:$N,Chicks!$C:$C,A231))</f>
        <v/>
      </c>
      <c r="H231" s="6" t="str">
        <f>IF(A231="","",SUMIFS(Chicks!$O:$O,Chicks!$C:$C,A231))</f>
        <v/>
      </c>
      <c r="I231" s="6" t="str">
        <f>IF(A231="","",SUMIFS(Chicks!$P:$P,Chicks!$C:$C,A231))</f>
        <v/>
      </c>
    </row>
    <row r="232" spans="1:9" ht="14.25" customHeight="1" x14ac:dyDescent="0.3">
      <c r="A232" s="4"/>
      <c r="B232" s="4" t="str">
        <f>IF(A232="","",COUNTIF(Chicks!$C:$C,A232))</f>
        <v/>
      </c>
      <c r="C232" s="4"/>
      <c r="D232" s="6" t="str">
        <f>IF(A232="","",IFERROR(AVERAGEIF(Chicks!$C:$C,A232,Chicks!$K:$K),""))</f>
        <v/>
      </c>
      <c r="E232" s="6" t="str">
        <f>IF(A232="","",IFERROR(AVERAGEIF(Chicks!$C:$C,A232,Chicks!$L:$L),""))</f>
        <v/>
      </c>
      <c r="F232" s="6" t="str">
        <f>IF(A232="","",IFERROR(AVERAGEIF(Chicks!$C:$C,A232,Chicks!$M:$M),""))</f>
        <v/>
      </c>
      <c r="G232" s="6" t="str">
        <f>IF(A232="","",SUMIFS(Chicks!$N:$N,Chicks!$C:$C,A232))</f>
        <v/>
      </c>
      <c r="H232" s="6" t="str">
        <f>IF(A232="","",SUMIFS(Chicks!$O:$O,Chicks!$C:$C,A232))</f>
        <v/>
      </c>
      <c r="I232" s="6" t="str">
        <f>IF(A232="","",SUMIFS(Chicks!$P:$P,Chicks!$C:$C,A232))</f>
        <v/>
      </c>
    </row>
    <row r="233" spans="1:9" ht="14.25" customHeight="1" x14ac:dyDescent="0.3">
      <c r="A233" s="4"/>
      <c r="B233" s="4" t="str">
        <f>IF(A233="","",COUNTIF(Chicks!$C:$C,A233))</f>
        <v/>
      </c>
      <c r="C233" s="4"/>
      <c r="D233" s="6" t="str">
        <f>IF(A233="","",IFERROR(AVERAGEIF(Chicks!$C:$C,A233,Chicks!$K:$K),""))</f>
        <v/>
      </c>
      <c r="E233" s="6" t="str">
        <f>IF(A233="","",IFERROR(AVERAGEIF(Chicks!$C:$C,A233,Chicks!$L:$L),""))</f>
        <v/>
      </c>
      <c r="F233" s="6" t="str">
        <f>IF(A233="","",IFERROR(AVERAGEIF(Chicks!$C:$C,A233,Chicks!$M:$M),""))</f>
        <v/>
      </c>
      <c r="G233" s="6" t="str">
        <f>IF(A233="","",SUMIFS(Chicks!$N:$N,Chicks!$C:$C,A233))</f>
        <v/>
      </c>
      <c r="H233" s="6" t="str">
        <f>IF(A233="","",SUMIFS(Chicks!$O:$O,Chicks!$C:$C,A233))</f>
        <v/>
      </c>
      <c r="I233" s="6" t="str">
        <f>IF(A233="","",SUMIFS(Chicks!$P:$P,Chicks!$C:$C,A233))</f>
        <v/>
      </c>
    </row>
    <row r="234" spans="1:9" ht="14.25" customHeight="1" x14ac:dyDescent="0.3">
      <c r="A234" s="4"/>
      <c r="B234" s="4" t="str">
        <f>IF(A234="","",COUNTIF(Chicks!$C:$C,A234))</f>
        <v/>
      </c>
      <c r="C234" s="4"/>
      <c r="D234" s="6" t="str">
        <f>IF(A234="","",IFERROR(AVERAGEIF(Chicks!$C:$C,A234,Chicks!$K:$K),""))</f>
        <v/>
      </c>
      <c r="E234" s="6" t="str">
        <f>IF(A234="","",IFERROR(AVERAGEIF(Chicks!$C:$C,A234,Chicks!$L:$L),""))</f>
        <v/>
      </c>
      <c r="F234" s="6" t="str">
        <f>IF(A234="","",IFERROR(AVERAGEIF(Chicks!$C:$C,A234,Chicks!$M:$M),""))</f>
        <v/>
      </c>
      <c r="G234" s="6" t="str">
        <f>IF(A234="","",SUMIFS(Chicks!$N:$N,Chicks!$C:$C,A234))</f>
        <v/>
      </c>
      <c r="H234" s="6" t="str">
        <f>IF(A234="","",SUMIFS(Chicks!$O:$O,Chicks!$C:$C,A234))</f>
        <v/>
      </c>
      <c r="I234" s="6" t="str">
        <f>IF(A234="","",SUMIFS(Chicks!$P:$P,Chicks!$C:$C,A234))</f>
        <v/>
      </c>
    </row>
    <row r="235" spans="1:9" ht="14.25" customHeight="1" x14ac:dyDescent="0.3">
      <c r="A235" s="4"/>
      <c r="B235" s="4" t="str">
        <f>IF(A235="","",COUNTIF(Chicks!$C:$C,A235))</f>
        <v/>
      </c>
      <c r="C235" s="4"/>
      <c r="D235" s="6" t="str">
        <f>IF(A235="","",IFERROR(AVERAGEIF(Chicks!$C:$C,A235,Chicks!$K:$K),""))</f>
        <v/>
      </c>
      <c r="E235" s="6" t="str">
        <f>IF(A235="","",IFERROR(AVERAGEIF(Chicks!$C:$C,A235,Chicks!$L:$L),""))</f>
        <v/>
      </c>
      <c r="F235" s="6" t="str">
        <f>IF(A235="","",IFERROR(AVERAGEIF(Chicks!$C:$C,A235,Chicks!$M:$M),""))</f>
        <v/>
      </c>
      <c r="G235" s="6" t="str">
        <f>IF(A235="","",SUMIFS(Chicks!$N:$N,Chicks!$C:$C,A235))</f>
        <v/>
      </c>
      <c r="H235" s="6" t="str">
        <f>IF(A235="","",SUMIFS(Chicks!$O:$O,Chicks!$C:$C,A235))</f>
        <v/>
      </c>
      <c r="I235" s="6" t="str">
        <f>IF(A235="","",SUMIFS(Chicks!$P:$P,Chicks!$C:$C,A235))</f>
        <v/>
      </c>
    </row>
    <row r="236" spans="1:9" ht="14.25" customHeight="1" x14ac:dyDescent="0.3">
      <c r="A236" s="4"/>
      <c r="B236" s="4" t="str">
        <f>IF(A236="","",COUNTIF(Chicks!$C:$C,A236))</f>
        <v/>
      </c>
      <c r="C236" s="4"/>
      <c r="D236" s="6" t="str">
        <f>IF(A236="","",IFERROR(AVERAGEIF(Chicks!$C:$C,A236,Chicks!$K:$K),""))</f>
        <v/>
      </c>
      <c r="E236" s="6" t="str">
        <f>IF(A236="","",IFERROR(AVERAGEIF(Chicks!$C:$C,A236,Chicks!$L:$L),""))</f>
        <v/>
      </c>
      <c r="F236" s="6" t="str">
        <f>IF(A236="","",IFERROR(AVERAGEIF(Chicks!$C:$C,A236,Chicks!$M:$M),""))</f>
        <v/>
      </c>
      <c r="G236" s="6" t="str">
        <f>IF(A236="","",SUMIFS(Chicks!$N:$N,Chicks!$C:$C,A236))</f>
        <v/>
      </c>
      <c r="H236" s="6" t="str">
        <f>IF(A236="","",SUMIFS(Chicks!$O:$O,Chicks!$C:$C,A236))</f>
        <v/>
      </c>
      <c r="I236" s="6" t="str">
        <f>IF(A236="","",SUMIFS(Chicks!$P:$P,Chicks!$C:$C,A236))</f>
        <v/>
      </c>
    </row>
    <row r="237" spans="1:9" ht="14.25" customHeight="1" x14ac:dyDescent="0.3">
      <c r="A237" s="4"/>
      <c r="B237" s="4" t="str">
        <f>IF(A237="","",COUNTIF(Chicks!$C:$C,A237))</f>
        <v/>
      </c>
      <c r="C237" s="4"/>
      <c r="D237" s="6" t="str">
        <f>IF(A237="","",IFERROR(AVERAGEIF(Chicks!$C:$C,A237,Chicks!$K:$K),""))</f>
        <v/>
      </c>
      <c r="E237" s="6" t="str">
        <f>IF(A237="","",IFERROR(AVERAGEIF(Chicks!$C:$C,A237,Chicks!$L:$L),""))</f>
        <v/>
      </c>
      <c r="F237" s="6" t="str">
        <f>IF(A237="","",IFERROR(AVERAGEIF(Chicks!$C:$C,A237,Chicks!$M:$M),""))</f>
        <v/>
      </c>
      <c r="G237" s="6" t="str">
        <f>IF(A237="","",SUMIFS(Chicks!$N:$N,Chicks!$C:$C,A237))</f>
        <v/>
      </c>
      <c r="H237" s="6" t="str">
        <f>IF(A237="","",SUMIFS(Chicks!$O:$O,Chicks!$C:$C,A237))</f>
        <v/>
      </c>
      <c r="I237" s="6" t="str">
        <f>IF(A237="","",SUMIFS(Chicks!$P:$P,Chicks!$C:$C,A237))</f>
        <v/>
      </c>
    </row>
    <row r="238" spans="1:9" ht="14.25" customHeight="1" x14ac:dyDescent="0.3">
      <c r="A238" s="4"/>
      <c r="B238" s="4" t="str">
        <f>IF(A238="","",COUNTIF(Chicks!$C:$C,A238))</f>
        <v/>
      </c>
      <c r="C238" s="4"/>
      <c r="D238" s="6" t="str">
        <f>IF(A238="","",IFERROR(AVERAGEIF(Chicks!$C:$C,A238,Chicks!$K:$K),""))</f>
        <v/>
      </c>
      <c r="E238" s="6" t="str">
        <f>IF(A238="","",IFERROR(AVERAGEIF(Chicks!$C:$C,A238,Chicks!$L:$L),""))</f>
        <v/>
      </c>
      <c r="F238" s="6" t="str">
        <f>IF(A238="","",IFERROR(AVERAGEIF(Chicks!$C:$C,A238,Chicks!$M:$M),""))</f>
        <v/>
      </c>
      <c r="G238" s="6" t="str">
        <f>IF(A238="","",SUMIFS(Chicks!$N:$N,Chicks!$C:$C,A238))</f>
        <v/>
      </c>
      <c r="H238" s="6" t="str">
        <f>IF(A238="","",SUMIFS(Chicks!$O:$O,Chicks!$C:$C,A238))</f>
        <v/>
      </c>
      <c r="I238" s="6" t="str">
        <f>IF(A238="","",SUMIFS(Chicks!$P:$P,Chicks!$C:$C,A238))</f>
        <v/>
      </c>
    </row>
    <row r="239" spans="1:9" ht="14.25" customHeight="1" x14ac:dyDescent="0.3">
      <c r="A239" s="4"/>
      <c r="B239" s="4" t="str">
        <f>IF(A239="","",COUNTIF(Chicks!$C:$C,A239))</f>
        <v/>
      </c>
      <c r="C239" s="4"/>
      <c r="D239" s="6" t="str">
        <f>IF(A239="","",IFERROR(AVERAGEIF(Chicks!$C:$C,A239,Chicks!$K:$K),""))</f>
        <v/>
      </c>
      <c r="E239" s="6" t="str">
        <f>IF(A239="","",IFERROR(AVERAGEIF(Chicks!$C:$C,A239,Chicks!$L:$L),""))</f>
        <v/>
      </c>
      <c r="F239" s="6" t="str">
        <f>IF(A239="","",IFERROR(AVERAGEIF(Chicks!$C:$C,A239,Chicks!$M:$M),""))</f>
        <v/>
      </c>
      <c r="G239" s="6" t="str">
        <f>IF(A239="","",SUMIFS(Chicks!$N:$N,Chicks!$C:$C,A239))</f>
        <v/>
      </c>
      <c r="H239" s="6" t="str">
        <f>IF(A239="","",SUMIFS(Chicks!$O:$O,Chicks!$C:$C,A239))</f>
        <v/>
      </c>
      <c r="I239" s="6" t="str">
        <f>IF(A239="","",SUMIFS(Chicks!$P:$P,Chicks!$C:$C,A239))</f>
        <v/>
      </c>
    </row>
    <row r="240" spans="1:9" ht="14.25" customHeight="1" x14ac:dyDescent="0.3">
      <c r="A240" s="4"/>
      <c r="B240" s="4" t="str">
        <f>IF(A240="","",COUNTIF(Chicks!$C:$C,A240))</f>
        <v/>
      </c>
      <c r="C240" s="4"/>
      <c r="D240" s="6" t="str">
        <f>IF(A240="","",IFERROR(AVERAGEIF(Chicks!$C:$C,A240,Chicks!$K:$K),""))</f>
        <v/>
      </c>
      <c r="E240" s="6" t="str">
        <f>IF(A240="","",IFERROR(AVERAGEIF(Chicks!$C:$C,A240,Chicks!$L:$L),""))</f>
        <v/>
      </c>
      <c r="F240" s="6" t="str">
        <f>IF(A240="","",IFERROR(AVERAGEIF(Chicks!$C:$C,A240,Chicks!$M:$M),""))</f>
        <v/>
      </c>
      <c r="G240" s="6" t="str">
        <f>IF(A240="","",SUMIFS(Chicks!$N:$N,Chicks!$C:$C,A240))</f>
        <v/>
      </c>
      <c r="H240" s="6" t="str">
        <f>IF(A240="","",SUMIFS(Chicks!$O:$O,Chicks!$C:$C,A240))</f>
        <v/>
      </c>
      <c r="I240" s="6" t="str">
        <f>IF(A240="","",SUMIFS(Chicks!$P:$P,Chicks!$C:$C,A240))</f>
        <v/>
      </c>
    </row>
    <row r="241" spans="1:9" ht="14.25" customHeight="1" x14ac:dyDescent="0.3">
      <c r="A241" s="4"/>
      <c r="B241" s="4" t="str">
        <f>IF(A241="","",COUNTIF(Chicks!$C:$C,A241))</f>
        <v/>
      </c>
      <c r="C241" s="4"/>
      <c r="D241" s="6" t="str">
        <f>IF(A241="","",IFERROR(AVERAGEIF(Chicks!$C:$C,A241,Chicks!$K:$K),""))</f>
        <v/>
      </c>
      <c r="E241" s="6" t="str">
        <f>IF(A241="","",IFERROR(AVERAGEIF(Chicks!$C:$C,A241,Chicks!$L:$L),""))</f>
        <v/>
      </c>
      <c r="F241" s="6" t="str">
        <f>IF(A241="","",IFERROR(AVERAGEIF(Chicks!$C:$C,A241,Chicks!$M:$M),""))</f>
        <v/>
      </c>
      <c r="G241" s="6" t="str">
        <f>IF(A241="","",SUMIFS(Chicks!$N:$N,Chicks!$C:$C,A241))</f>
        <v/>
      </c>
      <c r="H241" s="6" t="str">
        <f>IF(A241="","",SUMIFS(Chicks!$O:$O,Chicks!$C:$C,A241))</f>
        <v/>
      </c>
      <c r="I241" s="6" t="str">
        <f>IF(A241="","",SUMIFS(Chicks!$P:$P,Chicks!$C:$C,A241))</f>
        <v/>
      </c>
    </row>
    <row r="242" spans="1:9" ht="14.25" customHeight="1" x14ac:dyDescent="0.3">
      <c r="A242" s="4"/>
      <c r="B242" s="4" t="str">
        <f>IF(A242="","",COUNTIF(Chicks!$C:$C,A242))</f>
        <v/>
      </c>
      <c r="C242" s="4"/>
      <c r="D242" s="6" t="str">
        <f>IF(A242="","",IFERROR(AVERAGEIF(Chicks!$C:$C,A242,Chicks!$K:$K),""))</f>
        <v/>
      </c>
      <c r="E242" s="6" t="str">
        <f>IF(A242="","",IFERROR(AVERAGEIF(Chicks!$C:$C,A242,Chicks!$L:$L),""))</f>
        <v/>
      </c>
      <c r="F242" s="6" t="str">
        <f>IF(A242="","",IFERROR(AVERAGEIF(Chicks!$C:$C,A242,Chicks!$M:$M),""))</f>
        <v/>
      </c>
      <c r="G242" s="6" t="str">
        <f>IF(A242="","",SUMIFS(Chicks!$N:$N,Chicks!$C:$C,A242))</f>
        <v/>
      </c>
      <c r="H242" s="6" t="str">
        <f>IF(A242="","",SUMIFS(Chicks!$O:$O,Chicks!$C:$C,A242))</f>
        <v/>
      </c>
      <c r="I242" s="6" t="str">
        <f>IF(A242="","",SUMIFS(Chicks!$P:$P,Chicks!$C:$C,A242))</f>
        <v/>
      </c>
    </row>
    <row r="243" spans="1:9" ht="14.25" customHeight="1" x14ac:dyDescent="0.3">
      <c r="A243" s="4"/>
      <c r="B243" s="4" t="str">
        <f>IF(A243="","",COUNTIF(Chicks!$C:$C,A243))</f>
        <v/>
      </c>
      <c r="C243" s="4"/>
      <c r="D243" s="6" t="str">
        <f>IF(A243="","",IFERROR(AVERAGEIF(Chicks!$C:$C,A243,Chicks!$K:$K),""))</f>
        <v/>
      </c>
      <c r="E243" s="6" t="str">
        <f>IF(A243="","",IFERROR(AVERAGEIF(Chicks!$C:$C,A243,Chicks!$L:$L),""))</f>
        <v/>
      </c>
      <c r="F243" s="6" t="str">
        <f>IF(A243="","",IFERROR(AVERAGEIF(Chicks!$C:$C,A243,Chicks!$M:$M),""))</f>
        <v/>
      </c>
      <c r="G243" s="6" t="str">
        <f>IF(A243="","",SUMIFS(Chicks!$N:$N,Chicks!$C:$C,A243))</f>
        <v/>
      </c>
      <c r="H243" s="6" t="str">
        <f>IF(A243="","",SUMIFS(Chicks!$O:$O,Chicks!$C:$C,A243))</f>
        <v/>
      </c>
      <c r="I243" s="6" t="str">
        <f>IF(A243="","",SUMIFS(Chicks!$P:$P,Chicks!$C:$C,A243))</f>
        <v/>
      </c>
    </row>
    <row r="244" spans="1:9" ht="14.25" customHeight="1" x14ac:dyDescent="0.3">
      <c r="A244" s="4"/>
      <c r="B244" s="4" t="str">
        <f>IF(A244="","",COUNTIF(Chicks!$C:$C,A244))</f>
        <v/>
      </c>
      <c r="C244" s="4"/>
      <c r="D244" s="6" t="str">
        <f>IF(A244="","",IFERROR(AVERAGEIF(Chicks!$C:$C,A244,Chicks!$K:$K),""))</f>
        <v/>
      </c>
      <c r="E244" s="6" t="str">
        <f>IF(A244="","",IFERROR(AVERAGEIF(Chicks!$C:$C,A244,Chicks!$L:$L),""))</f>
        <v/>
      </c>
      <c r="F244" s="6" t="str">
        <f>IF(A244="","",IFERROR(AVERAGEIF(Chicks!$C:$C,A244,Chicks!$M:$M),""))</f>
        <v/>
      </c>
      <c r="G244" s="6" t="str">
        <f>IF(A244="","",SUMIFS(Chicks!$N:$N,Chicks!$C:$C,A244))</f>
        <v/>
      </c>
      <c r="H244" s="6" t="str">
        <f>IF(A244="","",SUMIFS(Chicks!$O:$O,Chicks!$C:$C,A244))</f>
        <v/>
      </c>
      <c r="I244" s="6" t="str">
        <f>IF(A244="","",SUMIFS(Chicks!$P:$P,Chicks!$C:$C,A244))</f>
        <v/>
      </c>
    </row>
    <row r="245" spans="1:9" ht="14.25" customHeight="1" x14ac:dyDescent="0.3">
      <c r="A245" s="4"/>
      <c r="B245" s="4" t="str">
        <f>IF(A245="","",COUNTIF(Chicks!$C:$C,A245))</f>
        <v/>
      </c>
      <c r="C245" s="4"/>
      <c r="D245" s="6" t="str">
        <f>IF(A245="","",IFERROR(AVERAGEIF(Chicks!$C:$C,A245,Chicks!$K:$K),""))</f>
        <v/>
      </c>
      <c r="E245" s="6" t="str">
        <f>IF(A245="","",IFERROR(AVERAGEIF(Chicks!$C:$C,A245,Chicks!$L:$L),""))</f>
        <v/>
      </c>
      <c r="F245" s="6" t="str">
        <f>IF(A245="","",IFERROR(AVERAGEIF(Chicks!$C:$C,A245,Chicks!$M:$M),""))</f>
        <v/>
      </c>
      <c r="G245" s="6" t="str">
        <f>IF(A245="","",SUMIFS(Chicks!$N:$N,Chicks!$C:$C,A245))</f>
        <v/>
      </c>
      <c r="H245" s="6" t="str">
        <f>IF(A245="","",SUMIFS(Chicks!$O:$O,Chicks!$C:$C,A245))</f>
        <v/>
      </c>
      <c r="I245" s="6" t="str">
        <f>IF(A245="","",SUMIFS(Chicks!$P:$P,Chicks!$C:$C,A245))</f>
        <v/>
      </c>
    </row>
    <row r="246" spans="1:9" ht="14.25" customHeight="1" x14ac:dyDescent="0.3">
      <c r="A246" s="4"/>
      <c r="B246" s="4" t="str">
        <f>IF(A246="","",COUNTIF(Chicks!$C:$C,A246))</f>
        <v/>
      </c>
      <c r="C246" s="4"/>
      <c r="D246" s="6" t="str">
        <f>IF(A246="","",IFERROR(AVERAGEIF(Chicks!$C:$C,A246,Chicks!$K:$K),""))</f>
        <v/>
      </c>
      <c r="E246" s="6" t="str">
        <f>IF(A246="","",IFERROR(AVERAGEIF(Chicks!$C:$C,A246,Chicks!$L:$L),""))</f>
        <v/>
      </c>
      <c r="F246" s="6" t="str">
        <f>IF(A246="","",IFERROR(AVERAGEIF(Chicks!$C:$C,A246,Chicks!$M:$M),""))</f>
        <v/>
      </c>
      <c r="G246" s="6" t="str">
        <f>IF(A246="","",SUMIFS(Chicks!$N:$N,Chicks!$C:$C,A246))</f>
        <v/>
      </c>
      <c r="H246" s="6" t="str">
        <f>IF(A246="","",SUMIFS(Chicks!$O:$O,Chicks!$C:$C,A246))</f>
        <v/>
      </c>
      <c r="I246" s="6" t="str">
        <f>IF(A246="","",SUMIFS(Chicks!$P:$P,Chicks!$C:$C,A246))</f>
        <v/>
      </c>
    </row>
    <row r="247" spans="1:9" ht="14.25" customHeight="1" x14ac:dyDescent="0.3">
      <c r="A247" s="4"/>
      <c r="B247" s="4" t="str">
        <f>IF(A247="","",COUNTIF(Chicks!$C:$C,A247))</f>
        <v/>
      </c>
      <c r="C247" s="4"/>
      <c r="D247" s="6" t="str">
        <f>IF(A247="","",IFERROR(AVERAGEIF(Chicks!$C:$C,A247,Chicks!$K:$K),""))</f>
        <v/>
      </c>
      <c r="E247" s="6" t="str">
        <f>IF(A247="","",IFERROR(AVERAGEIF(Chicks!$C:$C,A247,Chicks!$L:$L),""))</f>
        <v/>
      </c>
      <c r="F247" s="6" t="str">
        <f>IF(A247="","",IFERROR(AVERAGEIF(Chicks!$C:$C,A247,Chicks!$M:$M),""))</f>
        <v/>
      </c>
      <c r="G247" s="6" t="str">
        <f>IF(A247="","",SUMIFS(Chicks!$N:$N,Chicks!$C:$C,A247))</f>
        <v/>
      </c>
      <c r="H247" s="6" t="str">
        <f>IF(A247="","",SUMIFS(Chicks!$O:$O,Chicks!$C:$C,A247))</f>
        <v/>
      </c>
      <c r="I247" s="6" t="str">
        <f>IF(A247="","",SUMIFS(Chicks!$P:$P,Chicks!$C:$C,A247))</f>
        <v/>
      </c>
    </row>
    <row r="248" spans="1:9" ht="14.25" customHeight="1" x14ac:dyDescent="0.3">
      <c r="A248" s="4"/>
      <c r="B248" s="4" t="str">
        <f>IF(A248="","",COUNTIF(Chicks!$C:$C,A248))</f>
        <v/>
      </c>
      <c r="C248" s="4"/>
      <c r="D248" s="6" t="str">
        <f>IF(A248="","",IFERROR(AVERAGEIF(Chicks!$C:$C,A248,Chicks!$K:$K),""))</f>
        <v/>
      </c>
      <c r="E248" s="6" t="str">
        <f>IF(A248="","",IFERROR(AVERAGEIF(Chicks!$C:$C,A248,Chicks!$L:$L),""))</f>
        <v/>
      </c>
      <c r="F248" s="6" t="str">
        <f>IF(A248="","",IFERROR(AVERAGEIF(Chicks!$C:$C,A248,Chicks!$M:$M),""))</f>
        <v/>
      </c>
      <c r="G248" s="6" t="str">
        <f>IF(A248="","",SUMIFS(Chicks!$N:$N,Chicks!$C:$C,A248))</f>
        <v/>
      </c>
      <c r="H248" s="6" t="str">
        <f>IF(A248="","",SUMIFS(Chicks!$O:$O,Chicks!$C:$C,A248))</f>
        <v/>
      </c>
      <c r="I248" s="6" t="str">
        <f>IF(A248="","",SUMIFS(Chicks!$P:$P,Chicks!$C:$C,A248))</f>
        <v/>
      </c>
    </row>
    <row r="249" spans="1:9" ht="14.25" customHeight="1" x14ac:dyDescent="0.3">
      <c r="A249" s="4"/>
      <c r="B249" s="4" t="str">
        <f>IF(A249="","",COUNTIF(Chicks!$C:$C,A249))</f>
        <v/>
      </c>
      <c r="C249" s="4"/>
      <c r="D249" s="6" t="str">
        <f>IF(A249="","",IFERROR(AVERAGEIF(Chicks!$C:$C,A249,Chicks!$K:$K),""))</f>
        <v/>
      </c>
      <c r="E249" s="6" t="str">
        <f>IF(A249="","",IFERROR(AVERAGEIF(Chicks!$C:$C,A249,Chicks!$L:$L),""))</f>
        <v/>
      </c>
      <c r="F249" s="6" t="str">
        <f>IF(A249="","",IFERROR(AVERAGEIF(Chicks!$C:$C,A249,Chicks!$M:$M),""))</f>
        <v/>
      </c>
      <c r="G249" s="6" t="str">
        <f>IF(A249="","",SUMIFS(Chicks!$N:$N,Chicks!$C:$C,A249))</f>
        <v/>
      </c>
      <c r="H249" s="6" t="str">
        <f>IF(A249="","",SUMIFS(Chicks!$O:$O,Chicks!$C:$C,A249))</f>
        <v/>
      </c>
      <c r="I249" s="6" t="str">
        <f>IF(A249="","",SUMIFS(Chicks!$P:$P,Chicks!$C:$C,A249))</f>
        <v/>
      </c>
    </row>
    <row r="250" spans="1:9" ht="14.25" customHeight="1" x14ac:dyDescent="0.3">
      <c r="A250" s="4"/>
      <c r="B250" s="4" t="str">
        <f>IF(A250="","",COUNTIF(Chicks!$C:$C,A250))</f>
        <v/>
      </c>
      <c r="C250" s="4"/>
      <c r="D250" s="6" t="str">
        <f>IF(A250="","",IFERROR(AVERAGEIF(Chicks!$C:$C,A250,Chicks!$K:$K),""))</f>
        <v/>
      </c>
      <c r="E250" s="6" t="str">
        <f>IF(A250="","",IFERROR(AVERAGEIF(Chicks!$C:$C,A250,Chicks!$L:$L),""))</f>
        <v/>
      </c>
      <c r="F250" s="6" t="str">
        <f>IF(A250="","",IFERROR(AVERAGEIF(Chicks!$C:$C,A250,Chicks!$M:$M),""))</f>
        <v/>
      </c>
      <c r="G250" s="6" t="str">
        <f>IF(A250="","",SUMIFS(Chicks!$N:$N,Chicks!$C:$C,A250))</f>
        <v/>
      </c>
      <c r="H250" s="6" t="str">
        <f>IF(A250="","",SUMIFS(Chicks!$O:$O,Chicks!$C:$C,A250))</f>
        <v/>
      </c>
      <c r="I250" s="6" t="str">
        <f>IF(A250="","",SUMIFS(Chicks!$P:$P,Chicks!$C:$C,A250))</f>
        <v/>
      </c>
    </row>
    <row r="251" spans="1:9" ht="14.25" customHeight="1" x14ac:dyDescent="0.3">
      <c r="A251" s="4"/>
      <c r="B251" s="4" t="str">
        <f>IF(A251="","",COUNTIF(Chicks!$C:$C,A251))</f>
        <v/>
      </c>
      <c r="C251" s="4"/>
      <c r="D251" s="6" t="str">
        <f>IF(A251="","",IFERROR(AVERAGEIF(Chicks!$C:$C,A251,Chicks!$K:$K),""))</f>
        <v/>
      </c>
      <c r="E251" s="6" t="str">
        <f>IF(A251="","",IFERROR(AVERAGEIF(Chicks!$C:$C,A251,Chicks!$L:$L),""))</f>
        <v/>
      </c>
      <c r="F251" s="6" t="str">
        <f>IF(A251="","",IFERROR(AVERAGEIF(Chicks!$C:$C,A251,Chicks!$M:$M),""))</f>
        <v/>
      </c>
      <c r="G251" s="6" t="str">
        <f>IF(A251="","",SUMIFS(Chicks!$N:$N,Chicks!$C:$C,A251))</f>
        <v/>
      </c>
      <c r="H251" s="6" t="str">
        <f>IF(A251="","",SUMIFS(Chicks!$O:$O,Chicks!$C:$C,A251))</f>
        <v/>
      </c>
      <c r="I251" s="6" t="str">
        <f>IF(A251="","",SUMIFS(Chicks!$P:$P,Chicks!$C:$C,A251))</f>
        <v/>
      </c>
    </row>
    <row r="252" spans="1:9" ht="14.25" customHeight="1" x14ac:dyDescent="0.3">
      <c r="A252" s="4"/>
      <c r="B252" s="4" t="str">
        <f>IF(A252="","",COUNTIF(Chicks!$C:$C,A252))</f>
        <v/>
      </c>
      <c r="C252" s="4"/>
      <c r="D252" s="6" t="str">
        <f>IF(A252="","",IFERROR(AVERAGEIF(Chicks!$C:$C,A252,Chicks!$K:$K),""))</f>
        <v/>
      </c>
      <c r="E252" s="6" t="str">
        <f>IF(A252="","",IFERROR(AVERAGEIF(Chicks!$C:$C,A252,Chicks!$L:$L),""))</f>
        <v/>
      </c>
      <c r="F252" s="6" t="str">
        <f>IF(A252="","",IFERROR(AVERAGEIF(Chicks!$C:$C,A252,Chicks!$M:$M),""))</f>
        <v/>
      </c>
      <c r="G252" s="6" t="str">
        <f>IF(A252="","",SUMIFS(Chicks!$N:$N,Chicks!$C:$C,A252))</f>
        <v/>
      </c>
      <c r="H252" s="6" t="str">
        <f>IF(A252="","",SUMIFS(Chicks!$O:$O,Chicks!$C:$C,A252))</f>
        <v/>
      </c>
      <c r="I252" s="6" t="str">
        <f>IF(A252="","",SUMIFS(Chicks!$P:$P,Chicks!$C:$C,A252))</f>
        <v/>
      </c>
    </row>
    <row r="253" spans="1:9" ht="14.25" customHeight="1" x14ac:dyDescent="0.3">
      <c r="A253" s="4"/>
      <c r="B253" s="4" t="str">
        <f>IF(A253="","",COUNTIF(Chicks!$C:$C,A253))</f>
        <v/>
      </c>
      <c r="C253" s="4"/>
      <c r="D253" s="6" t="str">
        <f>IF(A253="","",IFERROR(AVERAGEIF(Chicks!$C:$C,A253,Chicks!$K:$K),""))</f>
        <v/>
      </c>
      <c r="E253" s="6" t="str">
        <f>IF(A253="","",IFERROR(AVERAGEIF(Chicks!$C:$C,A253,Chicks!$L:$L),""))</f>
        <v/>
      </c>
      <c r="F253" s="6" t="str">
        <f>IF(A253="","",IFERROR(AVERAGEIF(Chicks!$C:$C,A253,Chicks!$M:$M),""))</f>
        <v/>
      </c>
      <c r="G253" s="6" t="str">
        <f>IF(A253="","",SUMIFS(Chicks!$N:$N,Chicks!$C:$C,A253))</f>
        <v/>
      </c>
      <c r="H253" s="6" t="str">
        <f>IF(A253="","",SUMIFS(Chicks!$O:$O,Chicks!$C:$C,A253))</f>
        <v/>
      </c>
      <c r="I253" s="6" t="str">
        <f>IF(A253="","",SUMIFS(Chicks!$P:$P,Chicks!$C:$C,A253))</f>
        <v/>
      </c>
    </row>
    <row r="254" spans="1:9" ht="14.25" customHeight="1" x14ac:dyDescent="0.3">
      <c r="A254" s="4"/>
      <c r="B254" s="4" t="str">
        <f>IF(A254="","",COUNTIF(Chicks!$C:$C,A254))</f>
        <v/>
      </c>
      <c r="C254" s="4"/>
      <c r="D254" s="6" t="str">
        <f>IF(A254="","",IFERROR(AVERAGEIF(Chicks!$C:$C,A254,Chicks!$K:$K),""))</f>
        <v/>
      </c>
      <c r="E254" s="6" t="str">
        <f>IF(A254="","",IFERROR(AVERAGEIF(Chicks!$C:$C,A254,Chicks!$L:$L),""))</f>
        <v/>
      </c>
      <c r="F254" s="6" t="str">
        <f>IF(A254="","",IFERROR(AVERAGEIF(Chicks!$C:$C,A254,Chicks!$M:$M),""))</f>
        <v/>
      </c>
      <c r="G254" s="6" t="str">
        <f>IF(A254="","",SUMIFS(Chicks!$N:$N,Chicks!$C:$C,A254))</f>
        <v/>
      </c>
      <c r="H254" s="6" t="str">
        <f>IF(A254="","",SUMIFS(Chicks!$O:$O,Chicks!$C:$C,A254))</f>
        <v/>
      </c>
      <c r="I254" s="6" t="str">
        <f>IF(A254="","",SUMIFS(Chicks!$P:$P,Chicks!$C:$C,A254))</f>
        <v/>
      </c>
    </row>
    <row r="255" spans="1:9" ht="14.25" customHeight="1" x14ac:dyDescent="0.3">
      <c r="A255" s="4"/>
      <c r="B255" s="4" t="str">
        <f>IF(A255="","",COUNTIF(Chicks!$C:$C,A255))</f>
        <v/>
      </c>
      <c r="C255" s="4"/>
      <c r="D255" s="6" t="str">
        <f>IF(A255="","",IFERROR(AVERAGEIF(Chicks!$C:$C,A255,Chicks!$K:$K),""))</f>
        <v/>
      </c>
      <c r="E255" s="6" t="str">
        <f>IF(A255="","",IFERROR(AVERAGEIF(Chicks!$C:$C,A255,Chicks!$L:$L),""))</f>
        <v/>
      </c>
      <c r="F255" s="6" t="str">
        <f>IF(A255="","",IFERROR(AVERAGEIF(Chicks!$C:$C,A255,Chicks!$M:$M),""))</f>
        <v/>
      </c>
      <c r="G255" s="6" t="str">
        <f>IF(A255="","",SUMIFS(Chicks!$N:$N,Chicks!$C:$C,A255))</f>
        <v/>
      </c>
      <c r="H255" s="6" t="str">
        <f>IF(A255="","",SUMIFS(Chicks!$O:$O,Chicks!$C:$C,A255))</f>
        <v/>
      </c>
      <c r="I255" s="6" t="str">
        <f>IF(A255="","",SUMIFS(Chicks!$P:$P,Chicks!$C:$C,A255))</f>
        <v/>
      </c>
    </row>
    <row r="256" spans="1:9" ht="14.25" customHeight="1" x14ac:dyDescent="0.3">
      <c r="A256" s="4"/>
      <c r="B256" s="4" t="str">
        <f>IF(A256="","",COUNTIF(Chicks!$C:$C,A256))</f>
        <v/>
      </c>
      <c r="C256" s="4"/>
      <c r="D256" s="6" t="str">
        <f>IF(A256="","",IFERROR(AVERAGEIF(Chicks!$C:$C,A256,Chicks!$K:$K),""))</f>
        <v/>
      </c>
      <c r="E256" s="6" t="str">
        <f>IF(A256="","",IFERROR(AVERAGEIF(Chicks!$C:$C,A256,Chicks!$L:$L),""))</f>
        <v/>
      </c>
      <c r="F256" s="6" t="str">
        <f>IF(A256="","",IFERROR(AVERAGEIF(Chicks!$C:$C,A256,Chicks!$M:$M),""))</f>
        <v/>
      </c>
      <c r="G256" s="6" t="str">
        <f>IF(A256="","",SUMIFS(Chicks!$N:$N,Chicks!$C:$C,A256))</f>
        <v/>
      </c>
      <c r="H256" s="6" t="str">
        <f>IF(A256="","",SUMIFS(Chicks!$O:$O,Chicks!$C:$C,A256))</f>
        <v/>
      </c>
      <c r="I256" s="6" t="str">
        <f>IF(A256="","",SUMIFS(Chicks!$P:$P,Chicks!$C:$C,A256))</f>
        <v/>
      </c>
    </row>
    <row r="257" spans="1:9" ht="14.25" customHeight="1" x14ac:dyDescent="0.3">
      <c r="A257" s="4"/>
      <c r="B257" s="4" t="str">
        <f>IF(A257="","",COUNTIF(Chicks!$C:$C,A257))</f>
        <v/>
      </c>
      <c r="C257" s="4"/>
      <c r="D257" s="6" t="str">
        <f>IF(A257="","",IFERROR(AVERAGEIF(Chicks!$C:$C,A257,Chicks!$K:$K),""))</f>
        <v/>
      </c>
      <c r="E257" s="6" t="str">
        <f>IF(A257="","",IFERROR(AVERAGEIF(Chicks!$C:$C,A257,Chicks!$L:$L),""))</f>
        <v/>
      </c>
      <c r="F257" s="6" t="str">
        <f>IF(A257="","",IFERROR(AVERAGEIF(Chicks!$C:$C,A257,Chicks!$M:$M),""))</f>
        <v/>
      </c>
      <c r="G257" s="6" t="str">
        <f>IF(A257="","",SUMIFS(Chicks!$N:$N,Chicks!$C:$C,A257))</f>
        <v/>
      </c>
      <c r="H257" s="6" t="str">
        <f>IF(A257="","",SUMIFS(Chicks!$O:$O,Chicks!$C:$C,A257))</f>
        <v/>
      </c>
      <c r="I257" s="6" t="str">
        <f>IF(A257="","",SUMIFS(Chicks!$P:$P,Chicks!$C:$C,A257))</f>
        <v/>
      </c>
    </row>
    <row r="258" spans="1:9" ht="14.25" customHeight="1" x14ac:dyDescent="0.3">
      <c r="A258" s="4"/>
      <c r="B258" s="4" t="str">
        <f>IF(A258="","",COUNTIF(Chicks!$C:$C,A258))</f>
        <v/>
      </c>
      <c r="C258" s="4"/>
      <c r="D258" s="6" t="str">
        <f>IF(A258="","",IFERROR(AVERAGEIF(Chicks!$C:$C,A258,Chicks!$K:$K),""))</f>
        <v/>
      </c>
      <c r="E258" s="6" t="str">
        <f>IF(A258="","",IFERROR(AVERAGEIF(Chicks!$C:$C,A258,Chicks!$L:$L),""))</f>
        <v/>
      </c>
      <c r="F258" s="6" t="str">
        <f>IF(A258="","",IFERROR(AVERAGEIF(Chicks!$C:$C,A258,Chicks!$M:$M),""))</f>
        <v/>
      </c>
      <c r="G258" s="6" t="str">
        <f>IF(A258="","",SUMIFS(Chicks!$N:$N,Chicks!$C:$C,A258))</f>
        <v/>
      </c>
      <c r="H258" s="6" t="str">
        <f>IF(A258="","",SUMIFS(Chicks!$O:$O,Chicks!$C:$C,A258))</f>
        <v/>
      </c>
      <c r="I258" s="6" t="str">
        <f>IF(A258="","",SUMIFS(Chicks!$P:$P,Chicks!$C:$C,A258))</f>
        <v/>
      </c>
    </row>
    <row r="259" spans="1:9" ht="14.25" customHeight="1" x14ac:dyDescent="0.3">
      <c r="A259" s="4"/>
      <c r="B259" s="4" t="str">
        <f>IF(A259="","",COUNTIF(Chicks!$C:$C,A259))</f>
        <v/>
      </c>
      <c r="C259" s="4"/>
      <c r="D259" s="6" t="str">
        <f>IF(A259="","",IFERROR(AVERAGEIF(Chicks!$C:$C,A259,Chicks!$K:$K),""))</f>
        <v/>
      </c>
      <c r="E259" s="6" t="str">
        <f>IF(A259="","",IFERROR(AVERAGEIF(Chicks!$C:$C,A259,Chicks!$L:$L),""))</f>
        <v/>
      </c>
      <c r="F259" s="6" t="str">
        <f>IF(A259="","",IFERROR(AVERAGEIF(Chicks!$C:$C,A259,Chicks!$M:$M),""))</f>
        <v/>
      </c>
      <c r="G259" s="6" t="str">
        <f>IF(A259="","",SUMIFS(Chicks!$N:$N,Chicks!$C:$C,A259))</f>
        <v/>
      </c>
      <c r="H259" s="6" t="str">
        <f>IF(A259="","",SUMIFS(Chicks!$O:$O,Chicks!$C:$C,A259))</f>
        <v/>
      </c>
      <c r="I259" s="6" t="str">
        <f>IF(A259="","",SUMIFS(Chicks!$P:$P,Chicks!$C:$C,A259))</f>
        <v/>
      </c>
    </row>
    <row r="260" spans="1:9" ht="14.25" customHeight="1" x14ac:dyDescent="0.3">
      <c r="A260" s="4"/>
      <c r="B260" s="4" t="str">
        <f>IF(A260="","",COUNTIF(Chicks!$C:$C,A260))</f>
        <v/>
      </c>
      <c r="C260" s="4"/>
      <c r="D260" s="6" t="str">
        <f>IF(A260="","",IFERROR(AVERAGEIF(Chicks!$C:$C,A260,Chicks!$K:$K),""))</f>
        <v/>
      </c>
      <c r="E260" s="6" t="str">
        <f>IF(A260="","",IFERROR(AVERAGEIF(Chicks!$C:$C,A260,Chicks!$L:$L),""))</f>
        <v/>
      </c>
      <c r="F260" s="6" t="str">
        <f>IF(A260="","",IFERROR(AVERAGEIF(Chicks!$C:$C,A260,Chicks!$M:$M),""))</f>
        <v/>
      </c>
      <c r="G260" s="6" t="str">
        <f>IF(A260="","",SUMIFS(Chicks!$N:$N,Chicks!$C:$C,A260))</f>
        <v/>
      </c>
      <c r="H260" s="6" t="str">
        <f>IF(A260="","",SUMIFS(Chicks!$O:$O,Chicks!$C:$C,A260))</f>
        <v/>
      </c>
      <c r="I260" s="6" t="str">
        <f>IF(A260="","",SUMIFS(Chicks!$P:$P,Chicks!$C:$C,A260))</f>
        <v/>
      </c>
    </row>
    <row r="261" spans="1:9" ht="14.25" customHeight="1" x14ac:dyDescent="0.3">
      <c r="A261" s="4"/>
      <c r="B261" s="4" t="str">
        <f>IF(A261="","",COUNTIF(Chicks!$C:$C,A261))</f>
        <v/>
      </c>
      <c r="C261" s="4"/>
      <c r="D261" s="6" t="str">
        <f>IF(A261="","",IFERROR(AVERAGEIF(Chicks!$C:$C,A261,Chicks!$K:$K),""))</f>
        <v/>
      </c>
      <c r="E261" s="6" t="str">
        <f>IF(A261="","",IFERROR(AVERAGEIF(Chicks!$C:$C,A261,Chicks!$L:$L),""))</f>
        <v/>
      </c>
      <c r="F261" s="6" t="str">
        <f>IF(A261="","",IFERROR(AVERAGEIF(Chicks!$C:$C,A261,Chicks!$M:$M),""))</f>
        <v/>
      </c>
      <c r="G261" s="6" t="str">
        <f>IF(A261="","",SUMIFS(Chicks!$N:$N,Chicks!$C:$C,A261))</f>
        <v/>
      </c>
      <c r="H261" s="6" t="str">
        <f>IF(A261="","",SUMIFS(Chicks!$O:$O,Chicks!$C:$C,A261))</f>
        <v/>
      </c>
      <c r="I261" s="6" t="str">
        <f>IF(A261="","",SUMIFS(Chicks!$P:$P,Chicks!$C:$C,A261))</f>
        <v/>
      </c>
    </row>
    <row r="262" spans="1:9" ht="14.25" customHeight="1" x14ac:dyDescent="0.3">
      <c r="A262" s="4"/>
      <c r="B262" s="4" t="str">
        <f>IF(A262="","",COUNTIF(Chicks!$C:$C,A262))</f>
        <v/>
      </c>
      <c r="C262" s="4"/>
      <c r="D262" s="6" t="str">
        <f>IF(A262="","",IFERROR(AVERAGEIF(Chicks!$C:$C,A262,Chicks!$K:$K),""))</f>
        <v/>
      </c>
      <c r="E262" s="6" t="str">
        <f>IF(A262="","",IFERROR(AVERAGEIF(Chicks!$C:$C,A262,Chicks!$L:$L),""))</f>
        <v/>
      </c>
      <c r="F262" s="6" t="str">
        <f>IF(A262="","",IFERROR(AVERAGEIF(Chicks!$C:$C,A262,Chicks!$M:$M),""))</f>
        <v/>
      </c>
      <c r="G262" s="6" t="str">
        <f>IF(A262="","",SUMIFS(Chicks!$N:$N,Chicks!$C:$C,A262))</f>
        <v/>
      </c>
      <c r="H262" s="6" t="str">
        <f>IF(A262="","",SUMIFS(Chicks!$O:$O,Chicks!$C:$C,A262))</f>
        <v/>
      </c>
      <c r="I262" s="6" t="str">
        <f>IF(A262="","",SUMIFS(Chicks!$P:$P,Chicks!$C:$C,A262))</f>
        <v/>
      </c>
    </row>
    <row r="263" spans="1:9" ht="14.25" customHeight="1" x14ac:dyDescent="0.3">
      <c r="A263" s="4"/>
      <c r="B263" s="4" t="str">
        <f>IF(A263="","",COUNTIF(Chicks!$C:$C,A263))</f>
        <v/>
      </c>
      <c r="C263" s="4"/>
      <c r="D263" s="6" t="str">
        <f>IF(A263="","",IFERROR(AVERAGEIF(Chicks!$C:$C,A263,Chicks!$K:$K),""))</f>
        <v/>
      </c>
      <c r="E263" s="6" t="str">
        <f>IF(A263="","",IFERROR(AVERAGEIF(Chicks!$C:$C,A263,Chicks!$L:$L),""))</f>
        <v/>
      </c>
      <c r="F263" s="6" t="str">
        <f>IF(A263="","",IFERROR(AVERAGEIF(Chicks!$C:$C,A263,Chicks!$M:$M),""))</f>
        <v/>
      </c>
      <c r="G263" s="6" t="str">
        <f>IF(A263="","",SUMIFS(Chicks!$N:$N,Chicks!$C:$C,A263))</f>
        <v/>
      </c>
      <c r="H263" s="6" t="str">
        <f>IF(A263="","",SUMIFS(Chicks!$O:$O,Chicks!$C:$C,A263))</f>
        <v/>
      </c>
      <c r="I263" s="6" t="str">
        <f>IF(A263="","",SUMIFS(Chicks!$P:$P,Chicks!$C:$C,A263))</f>
        <v/>
      </c>
    </row>
    <row r="264" spans="1:9" ht="14.25" customHeight="1" x14ac:dyDescent="0.3">
      <c r="A264" s="4"/>
      <c r="B264" s="4" t="str">
        <f>IF(A264="","",COUNTIF(Chicks!$C:$C,A264))</f>
        <v/>
      </c>
      <c r="C264" s="4"/>
      <c r="D264" s="6" t="str">
        <f>IF(A264="","",IFERROR(AVERAGEIF(Chicks!$C:$C,A264,Chicks!$K:$K),""))</f>
        <v/>
      </c>
      <c r="E264" s="6" t="str">
        <f>IF(A264="","",IFERROR(AVERAGEIF(Chicks!$C:$C,A264,Chicks!$L:$L),""))</f>
        <v/>
      </c>
      <c r="F264" s="6" t="str">
        <f>IF(A264="","",IFERROR(AVERAGEIF(Chicks!$C:$C,A264,Chicks!$M:$M),""))</f>
        <v/>
      </c>
      <c r="G264" s="6" t="str">
        <f>IF(A264="","",SUMIFS(Chicks!$N:$N,Chicks!$C:$C,A264))</f>
        <v/>
      </c>
      <c r="H264" s="6" t="str">
        <f>IF(A264="","",SUMIFS(Chicks!$O:$O,Chicks!$C:$C,A264))</f>
        <v/>
      </c>
      <c r="I264" s="6" t="str">
        <f>IF(A264="","",SUMIFS(Chicks!$P:$P,Chicks!$C:$C,A264))</f>
        <v/>
      </c>
    </row>
    <row r="265" spans="1:9" ht="14.25" customHeight="1" x14ac:dyDescent="0.3">
      <c r="A265" s="4"/>
      <c r="B265" s="4" t="str">
        <f>IF(A265="","",COUNTIF(Chicks!$C:$C,A265))</f>
        <v/>
      </c>
      <c r="C265" s="4"/>
      <c r="D265" s="6" t="str">
        <f>IF(A265="","",IFERROR(AVERAGEIF(Chicks!$C:$C,A265,Chicks!$K:$K),""))</f>
        <v/>
      </c>
      <c r="E265" s="6" t="str">
        <f>IF(A265="","",IFERROR(AVERAGEIF(Chicks!$C:$C,A265,Chicks!$L:$L),""))</f>
        <v/>
      </c>
      <c r="F265" s="6" t="str">
        <f>IF(A265="","",IFERROR(AVERAGEIF(Chicks!$C:$C,A265,Chicks!$M:$M),""))</f>
        <v/>
      </c>
      <c r="G265" s="6" t="str">
        <f>IF(A265="","",SUMIFS(Chicks!$N:$N,Chicks!$C:$C,A265))</f>
        <v/>
      </c>
      <c r="H265" s="6" t="str">
        <f>IF(A265="","",SUMIFS(Chicks!$O:$O,Chicks!$C:$C,A265))</f>
        <v/>
      </c>
      <c r="I265" s="6" t="str">
        <f>IF(A265="","",SUMIFS(Chicks!$P:$P,Chicks!$C:$C,A265))</f>
        <v/>
      </c>
    </row>
    <row r="266" spans="1:9" ht="14.25" customHeight="1" x14ac:dyDescent="0.3">
      <c r="A266" s="4"/>
      <c r="B266" s="4" t="str">
        <f>IF(A266="","",COUNTIF(Chicks!$C:$C,A266))</f>
        <v/>
      </c>
      <c r="C266" s="4"/>
      <c r="D266" s="6" t="str">
        <f>IF(A266="","",IFERROR(AVERAGEIF(Chicks!$C:$C,A266,Chicks!$K:$K),""))</f>
        <v/>
      </c>
      <c r="E266" s="6" t="str">
        <f>IF(A266="","",IFERROR(AVERAGEIF(Chicks!$C:$C,A266,Chicks!$L:$L),""))</f>
        <v/>
      </c>
      <c r="F266" s="6" t="str">
        <f>IF(A266="","",IFERROR(AVERAGEIF(Chicks!$C:$C,A266,Chicks!$M:$M),""))</f>
        <v/>
      </c>
      <c r="G266" s="6" t="str">
        <f>IF(A266="","",SUMIFS(Chicks!$N:$N,Chicks!$C:$C,A266))</f>
        <v/>
      </c>
      <c r="H266" s="6" t="str">
        <f>IF(A266="","",SUMIFS(Chicks!$O:$O,Chicks!$C:$C,A266))</f>
        <v/>
      </c>
      <c r="I266" s="6" t="str">
        <f>IF(A266="","",SUMIFS(Chicks!$P:$P,Chicks!$C:$C,A266))</f>
        <v/>
      </c>
    </row>
    <row r="267" spans="1:9" ht="14.25" customHeight="1" x14ac:dyDescent="0.3">
      <c r="A267" s="4"/>
      <c r="B267" s="4" t="str">
        <f>IF(A267="","",COUNTIF(Chicks!$C:$C,A267))</f>
        <v/>
      </c>
      <c r="C267" s="4"/>
      <c r="D267" s="6" t="str">
        <f>IF(A267="","",IFERROR(AVERAGEIF(Chicks!$C:$C,A267,Chicks!$K:$K),""))</f>
        <v/>
      </c>
      <c r="E267" s="6" t="str">
        <f>IF(A267="","",IFERROR(AVERAGEIF(Chicks!$C:$C,A267,Chicks!$L:$L),""))</f>
        <v/>
      </c>
      <c r="F267" s="6" t="str">
        <f>IF(A267="","",IFERROR(AVERAGEIF(Chicks!$C:$C,A267,Chicks!$M:$M),""))</f>
        <v/>
      </c>
      <c r="G267" s="6" t="str">
        <f>IF(A267="","",SUMIFS(Chicks!$N:$N,Chicks!$C:$C,A267))</f>
        <v/>
      </c>
      <c r="H267" s="6" t="str">
        <f>IF(A267="","",SUMIFS(Chicks!$O:$O,Chicks!$C:$C,A267))</f>
        <v/>
      </c>
      <c r="I267" s="6" t="str">
        <f>IF(A267="","",SUMIFS(Chicks!$P:$P,Chicks!$C:$C,A267))</f>
        <v/>
      </c>
    </row>
    <row r="268" spans="1:9" ht="14.25" customHeight="1" x14ac:dyDescent="0.3">
      <c r="A268" s="4"/>
      <c r="B268" s="4" t="str">
        <f>IF(A268="","",COUNTIF(Chicks!$C:$C,A268))</f>
        <v/>
      </c>
      <c r="C268" s="4"/>
      <c r="D268" s="6" t="str">
        <f>IF(A268="","",IFERROR(AVERAGEIF(Chicks!$C:$C,A268,Chicks!$K:$K),""))</f>
        <v/>
      </c>
      <c r="E268" s="6" t="str">
        <f>IF(A268="","",IFERROR(AVERAGEIF(Chicks!$C:$C,A268,Chicks!$L:$L),""))</f>
        <v/>
      </c>
      <c r="F268" s="6" t="str">
        <f>IF(A268="","",IFERROR(AVERAGEIF(Chicks!$C:$C,A268,Chicks!$M:$M),""))</f>
        <v/>
      </c>
      <c r="G268" s="6" t="str">
        <f>IF(A268="","",SUMIFS(Chicks!$N:$N,Chicks!$C:$C,A268))</f>
        <v/>
      </c>
      <c r="H268" s="6" t="str">
        <f>IF(A268="","",SUMIFS(Chicks!$O:$O,Chicks!$C:$C,A268))</f>
        <v/>
      </c>
      <c r="I268" s="6" t="str">
        <f>IF(A268="","",SUMIFS(Chicks!$P:$P,Chicks!$C:$C,A268))</f>
        <v/>
      </c>
    </row>
    <row r="269" spans="1:9" ht="14.25" customHeight="1" x14ac:dyDescent="0.3">
      <c r="A269" s="4"/>
      <c r="B269" s="4" t="str">
        <f>IF(A269="","",COUNTIF(Chicks!$C:$C,A269))</f>
        <v/>
      </c>
      <c r="C269" s="4"/>
      <c r="D269" s="6" t="str">
        <f>IF(A269="","",IFERROR(AVERAGEIF(Chicks!$C:$C,A269,Chicks!$K:$K),""))</f>
        <v/>
      </c>
      <c r="E269" s="6" t="str">
        <f>IF(A269="","",IFERROR(AVERAGEIF(Chicks!$C:$C,A269,Chicks!$L:$L),""))</f>
        <v/>
      </c>
      <c r="F269" s="6" t="str">
        <f>IF(A269="","",IFERROR(AVERAGEIF(Chicks!$C:$C,A269,Chicks!$M:$M),""))</f>
        <v/>
      </c>
      <c r="G269" s="6" t="str">
        <f>IF(A269="","",SUMIFS(Chicks!$N:$N,Chicks!$C:$C,A269))</f>
        <v/>
      </c>
      <c r="H269" s="6" t="str">
        <f>IF(A269="","",SUMIFS(Chicks!$O:$O,Chicks!$C:$C,A269))</f>
        <v/>
      </c>
      <c r="I269" s="6" t="str">
        <f>IF(A269="","",SUMIFS(Chicks!$P:$P,Chicks!$C:$C,A269))</f>
        <v/>
      </c>
    </row>
    <row r="270" spans="1:9" ht="14.25" customHeight="1" x14ac:dyDescent="0.3">
      <c r="A270" s="4"/>
      <c r="B270" s="4" t="str">
        <f>IF(A270="","",COUNTIF(Chicks!$C:$C,A270))</f>
        <v/>
      </c>
      <c r="C270" s="4"/>
      <c r="D270" s="6" t="str">
        <f>IF(A270="","",IFERROR(AVERAGEIF(Chicks!$C:$C,A270,Chicks!$K:$K),""))</f>
        <v/>
      </c>
      <c r="E270" s="6" t="str">
        <f>IF(A270="","",IFERROR(AVERAGEIF(Chicks!$C:$C,A270,Chicks!$L:$L),""))</f>
        <v/>
      </c>
      <c r="F270" s="6" t="str">
        <f>IF(A270="","",IFERROR(AVERAGEIF(Chicks!$C:$C,A270,Chicks!$M:$M),""))</f>
        <v/>
      </c>
      <c r="G270" s="6" t="str">
        <f>IF(A270="","",SUMIFS(Chicks!$N:$N,Chicks!$C:$C,A270))</f>
        <v/>
      </c>
      <c r="H270" s="6" t="str">
        <f>IF(A270="","",SUMIFS(Chicks!$O:$O,Chicks!$C:$C,A270))</f>
        <v/>
      </c>
      <c r="I270" s="6" t="str">
        <f>IF(A270="","",SUMIFS(Chicks!$P:$P,Chicks!$C:$C,A270))</f>
        <v/>
      </c>
    </row>
    <row r="271" spans="1:9" ht="14.25" customHeight="1" x14ac:dyDescent="0.3">
      <c r="A271" s="4"/>
      <c r="B271" s="4" t="str">
        <f>IF(A271="","",COUNTIF(Chicks!$C:$C,A271))</f>
        <v/>
      </c>
      <c r="C271" s="4"/>
      <c r="D271" s="6" t="str">
        <f>IF(A271="","",IFERROR(AVERAGEIF(Chicks!$C:$C,A271,Chicks!$K:$K),""))</f>
        <v/>
      </c>
      <c r="E271" s="6" t="str">
        <f>IF(A271="","",IFERROR(AVERAGEIF(Chicks!$C:$C,A271,Chicks!$L:$L),""))</f>
        <v/>
      </c>
      <c r="F271" s="6" t="str">
        <f>IF(A271="","",IFERROR(AVERAGEIF(Chicks!$C:$C,A271,Chicks!$M:$M),""))</f>
        <v/>
      </c>
      <c r="G271" s="6" t="str">
        <f>IF(A271="","",SUMIFS(Chicks!$N:$N,Chicks!$C:$C,A271))</f>
        <v/>
      </c>
      <c r="H271" s="6" t="str">
        <f>IF(A271="","",SUMIFS(Chicks!$O:$O,Chicks!$C:$C,A271))</f>
        <v/>
      </c>
      <c r="I271" s="6" t="str">
        <f>IF(A271="","",SUMIFS(Chicks!$P:$P,Chicks!$C:$C,A271))</f>
        <v/>
      </c>
    </row>
    <row r="272" spans="1:9" ht="14.25" customHeight="1" x14ac:dyDescent="0.3">
      <c r="A272" s="4"/>
      <c r="B272" s="4" t="str">
        <f>IF(A272="","",COUNTIF(Chicks!$C:$C,A272))</f>
        <v/>
      </c>
      <c r="C272" s="4"/>
      <c r="D272" s="6" t="str">
        <f>IF(A272="","",IFERROR(AVERAGEIF(Chicks!$C:$C,A272,Chicks!$K:$K),""))</f>
        <v/>
      </c>
      <c r="E272" s="6" t="str">
        <f>IF(A272="","",IFERROR(AVERAGEIF(Chicks!$C:$C,A272,Chicks!$L:$L),""))</f>
        <v/>
      </c>
      <c r="F272" s="6" t="str">
        <f>IF(A272="","",IFERROR(AVERAGEIF(Chicks!$C:$C,A272,Chicks!$M:$M),""))</f>
        <v/>
      </c>
      <c r="G272" s="6" t="str">
        <f>IF(A272="","",SUMIFS(Chicks!$N:$N,Chicks!$C:$C,A272))</f>
        <v/>
      </c>
      <c r="H272" s="6" t="str">
        <f>IF(A272="","",SUMIFS(Chicks!$O:$O,Chicks!$C:$C,A272))</f>
        <v/>
      </c>
      <c r="I272" s="6" t="str">
        <f>IF(A272="","",SUMIFS(Chicks!$P:$P,Chicks!$C:$C,A272))</f>
        <v/>
      </c>
    </row>
    <row r="273" spans="1:9" ht="14.25" customHeight="1" x14ac:dyDescent="0.3">
      <c r="A273" s="4"/>
      <c r="B273" s="4" t="str">
        <f>IF(A273="","",COUNTIF(Chicks!$C:$C,A273))</f>
        <v/>
      </c>
      <c r="C273" s="4"/>
      <c r="D273" s="6" t="str">
        <f>IF(A273="","",IFERROR(AVERAGEIF(Chicks!$C:$C,A273,Chicks!$K:$K),""))</f>
        <v/>
      </c>
      <c r="E273" s="6" t="str">
        <f>IF(A273="","",IFERROR(AVERAGEIF(Chicks!$C:$C,A273,Chicks!$L:$L),""))</f>
        <v/>
      </c>
      <c r="F273" s="6" t="str">
        <f>IF(A273="","",IFERROR(AVERAGEIF(Chicks!$C:$C,A273,Chicks!$M:$M),""))</f>
        <v/>
      </c>
      <c r="G273" s="6" t="str">
        <f>IF(A273="","",SUMIFS(Chicks!$N:$N,Chicks!$C:$C,A273))</f>
        <v/>
      </c>
      <c r="H273" s="6" t="str">
        <f>IF(A273="","",SUMIFS(Chicks!$O:$O,Chicks!$C:$C,A273))</f>
        <v/>
      </c>
      <c r="I273" s="6" t="str">
        <f>IF(A273="","",SUMIFS(Chicks!$P:$P,Chicks!$C:$C,A273))</f>
        <v/>
      </c>
    </row>
    <row r="274" spans="1:9" ht="14.25" customHeight="1" x14ac:dyDescent="0.3">
      <c r="A274" s="4"/>
      <c r="B274" s="4" t="str">
        <f>IF(A274="","",COUNTIF(Chicks!$C:$C,A274))</f>
        <v/>
      </c>
      <c r="C274" s="4"/>
      <c r="D274" s="6" t="str">
        <f>IF(A274="","",IFERROR(AVERAGEIF(Chicks!$C:$C,A274,Chicks!$K:$K),""))</f>
        <v/>
      </c>
      <c r="E274" s="6" t="str">
        <f>IF(A274="","",IFERROR(AVERAGEIF(Chicks!$C:$C,A274,Chicks!$L:$L),""))</f>
        <v/>
      </c>
      <c r="F274" s="6" t="str">
        <f>IF(A274="","",IFERROR(AVERAGEIF(Chicks!$C:$C,A274,Chicks!$M:$M),""))</f>
        <v/>
      </c>
      <c r="G274" s="6" t="str">
        <f>IF(A274="","",SUMIFS(Chicks!$N:$N,Chicks!$C:$C,A274))</f>
        <v/>
      </c>
      <c r="H274" s="6" t="str">
        <f>IF(A274="","",SUMIFS(Chicks!$O:$O,Chicks!$C:$C,A274))</f>
        <v/>
      </c>
      <c r="I274" s="6" t="str">
        <f>IF(A274="","",SUMIFS(Chicks!$P:$P,Chicks!$C:$C,A274))</f>
        <v/>
      </c>
    </row>
    <row r="275" spans="1:9" ht="14.25" customHeight="1" x14ac:dyDescent="0.3">
      <c r="A275" s="4"/>
      <c r="B275" s="4" t="str">
        <f>IF(A275="","",COUNTIF(Chicks!$C:$C,A275))</f>
        <v/>
      </c>
      <c r="C275" s="4"/>
      <c r="D275" s="6" t="str">
        <f>IF(A275="","",IFERROR(AVERAGEIF(Chicks!$C:$C,A275,Chicks!$K:$K),""))</f>
        <v/>
      </c>
      <c r="E275" s="6" t="str">
        <f>IF(A275="","",IFERROR(AVERAGEIF(Chicks!$C:$C,A275,Chicks!$L:$L),""))</f>
        <v/>
      </c>
      <c r="F275" s="6" t="str">
        <f>IF(A275="","",IFERROR(AVERAGEIF(Chicks!$C:$C,A275,Chicks!$M:$M),""))</f>
        <v/>
      </c>
      <c r="G275" s="6" t="str">
        <f>IF(A275="","",SUMIFS(Chicks!$N:$N,Chicks!$C:$C,A275))</f>
        <v/>
      </c>
      <c r="H275" s="6" t="str">
        <f>IF(A275="","",SUMIFS(Chicks!$O:$O,Chicks!$C:$C,A275))</f>
        <v/>
      </c>
      <c r="I275" s="6" t="str">
        <f>IF(A275="","",SUMIFS(Chicks!$P:$P,Chicks!$C:$C,A275))</f>
        <v/>
      </c>
    </row>
    <row r="276" spans="1:9" ht="14.25" customHeight="1" x14ac:dyDescent="0.3">
      <c r="A276" s="4"/>
      <c r="B276" s="4" t="str">
        <f>IF(A276="","",COUNTIF(Chicks!$C:$C,A276))</f>
        <v/>
      </c>
      <c r="C276" s="4"/>
      <c r="D276" s="6" t="str">
        <f>IF(A276="","",IFERROR(AVERAGEIF(Chicks!$C:$C,A276,Chicks!$K:$K),""))</f>
        <v/>
      </c>
      <c r="E276" s="6" t="str">
        <f>IF(A276="","",IFERROR(AVERAGEIF(Chicks!$C:$C,A276,Chicks!$L:$L),""))</f>
        <v/>
      </c>
      <c r="F276" s="6" t="str">
        <f>IF(A276="","",IFERROR(AVERAGEIF(Chicks!$C:$C,A276,Chicks!$M:$M),""))</f>
        <v/>
      </c>
      <c r="G276" s="6" t="str">
        <f>IF(A276="","",SUMIFS(Chicks!$N:$N,Chicks!$C:$C,A276))</f>
        <v/>
      </c>
      <c r="H276" s="6" t="str">
        <f>IF(A276="","",SUMIFS(Chicks!$O:$O,Chicks!$C:$C,A276))</f>
        <v/>
      </c>
      <c r="I276" s="6" t="str">
        <f>IF(A276="","",SUMIFS(Chicks!$P:$P,Chicks!$C:$C,A276))</f>
        <v/>
      </c>
    </row>
    <row r="277" spans="1:9" ht="14.25" customHeight="1" x14ac:dyDescent="0.3">
      <c r="A277" s="4"/>
      <c r="B277" s="4" t="str">
        <f>IF(A277="","",COUNTIF(Chicks!$C:$C,A277))</f>
        <v/>
      </c>
      <c r="C277" s="4"/>
      <c r="D277" s="6" t="str">
        <f>IF(A277="","",IFERROR(AVERAGEIF(Chicks!$C:$C,A277,Chicks!$K:$K),""))</f>
        <v/>
      </c>
      <c r="E277" s="6" t="str">
        <f>IF(A277="","",IFERROR(AVERAGEIF(Chicks!$C:$C,A277,Chicks!$L:$L),""))</f>
        <v/>
      </c>
      <c r="F277" s="6" t="str">
        <f>IF(A277="","",IFERROR(AVERAGEIF(Chicks!$C:$C,A277,Chicks!$M:$M),""))</f>
        <v/>
      </c>
      <c r="G277" s="6" t="str">
        <f>IF(A277="","",SUMIFS(Chicks!$N:$N,Chicks!$C:$C,A277))</f>
        <v/>
      </c>
      <c r="H277" s="6" t="str">
        <f>IF(A277="","",SUMIFS(Chicks!$O:$O,Chicks!$C:$C,A277))</f>
        <v/>
      </c>
      <c r="I277" s="6" t="str">
        <f>IF(A277="","",SUMIFS(Chicks!$P:$P,Chicks!$C:$C,A277))</f>
        <v/>
      </c>
    </row>
    <row r="278" spans="1:9" ht="14.25" customHeight="1" x14ac:dyDescent="0.3">
      <c r="A278" s="4"/>
      <c r="B278" s="4" t="str">
        <f>IF(A278="","",COUNTIF(Chicks!$C:$C,A278))</f>
        <v/>
      </c>
      <c r="C278" s="4"/>
      <c r="D278" s="6" t="str">
        <f>IF(A278="","",IFERROR(AVERAGEIF(Chicks!$C:$C,A278,Chicks!$K:$K),""))</f>
        <v/>
      </c>
      <c r="E278" s="6" t="str">
        <f>IF(A278="","",IFERROR(AVERAGEIF(Chicks!$C:$C,A278,Chicks!$L:$L),""))</f>
        <v/>
      </c>
      <c r="F278" s="6" t="str">
        <f>IF(A278="","",IFERROR(AVERAGEIF(Chicks!$C:$C,A278,Chicks!$M:$M),""))</f>
        <v/>
      </c>
      <c r="G278" s="6" t="str">
        <f>IF(A278="","",SUMIFS(Chicks!$N:$N,Chicks!$C:$C,A278))</f>
        <v/>
      </c>
      <c r="H278" s="6" t="str">
        <f>IF(A278="","",SUMIFS(Chicks!$O:$O,Chicks!$C:$C,A278))</f>
        <v/>
      </c>
      <c r="I278" s="6" t="str">
        <f>IF(A278="","",SUMIFS(Chicks!$P:$P,Chicks!$C:$C,A278))</f>
        <v/>
      </c>
    </row>
    <row r="279" spans="1:9" ht="14.25" customHeight="1" x14ac:dyDescent="0.3">
      <c r="A279" s="4"/>
      <c r="B279" s="4" t="str">
        <f>IF(A279="","",COUNTIF(Chicks!$C:$C,A279))</f>
        <v/>
      </c>
      <c r="C279" s="4"/>
      <c r="D279" s="6" t="str">
        <f>IF(A279="","",IFERROR(AVERAGEIF(Chicks!$C:$C,A279,Chicks!$K:$K),""))</f>
        <v/>
      </c>
      <c r="E279" s="6" t="str">
        <f>IF(A279="","",IFERROR(AVERAGEIF(Chicks!$C:$C,A279,Chicks!$L:$L),""))</f>
        <v/>
      </c>
      <c r="F279" s="6" t="str">
        <f>IF(A279="","",IFERROR(AVERAGEIF(Chicks!$C:$C,A279,Chicks!$M:$M),""))</f>
        <v/>
      </c>
      <c r="G279" s="6" t="str">
        <f>IF(A279="","",SUMIFS(Chicks!$N:$N,Chicks!$C:$C,A279))</f>
        <v/>
      </c>
      <c r="H279" s="6" t="str">
        <f>IF(A279="","",SUMIFS(Chicks!$O:$O,Chicks!$C:$C,A279))</f>
        <v/>
      </c>
      <c r="I279" s="6" t="str">
        <f>IF(A279="","",SUMIFS(Chicks!$P:$P,Chicks!$C:$C,A279))</f>
        <v/>
      </c>
    </row>
    <row r="280" spans="1:9" ht="14.25" customHeight="1" x14ac:dyDescent="0.3">
      <c r="A280" s="4"/>
      <c r="B280" s="4" t="str">
        <f>IF(A280="","",COUNTIF(Chicks!$C:$C,A280))</f>
        <v/>
      </c>
      <c r="C280" s="4"/>
      <c r="D280" s="6" t="str">
        <f>IF(A280="","",IFERROR(AVERAGEIF(Chicks!$C:$C,A280,Chicks!$K:$K),""))</f>
        <v/>
      </c>
      <c r="E280" s="6" t="str">
        <f>IF(A280="","",IFERROR(AVERAGEIF(Chicks!$C:$C,A280,Chicks!$L:$L),""))</f>
        <v/>
      </c>
      <c r="F280" s="6" t="str">
        <f>IF(A280="","",IFERROR(AVERAGEIF(Chicks!$C:$C,A280,Chicks!$M:$M),""))</f>
        <v/>
      </c>
      <c r="G280" s="6" t="str">
        <f>IF(A280="","",SUMIFS(Chicks!$N:$N,Chicks!$C:$C,A280))</f>
        <v/>
      </c>
      <c r="H280" s="6" t="str">
        <f>IF(A280="","",SUMIFS(Chicks!$O:$O,Chicks!$C:$C,A280))</f>
        <v/>
      </c>
      <c r="I280" s="6" t="str">
        <f>IF(A280="","",SUMIFS(Chicks!$P:$P,Chicks!$C:$C,A280))</f>
        <v/>
      </c>
    </row>
    <row r="281" spans="1:9" ht="14.25" customHeight="1" x14ac:dyDescent="0.3">
      <c r="A281" s="4"/>
      <c r="B281" s="4" t="str">
        <f>IF(A281="","",COUNTIF(Chicks!$C:$C,A281))</f>
        <v/>
      </c>
      <c r="C281" s="4"/>
      <c r="D281" s="6" t="str">
        <f>IF(A281="","",IFERROR(AVERAGEIF(Chicks!$C:$C,A281,Chicks!$K:$K),""))</f>
        <v/>
      </c>
      <c r="E281" s="6" t="str">
        <f>IF(A281="","",IFERROR(AVERAGEIF(Chicks!$C:$C,A281,Chicks!$L:$L),""))</f>
        <v/>
      </c>
      <c r="F281" s="6" t="str">
        <f>IF(A281="","",IFERROR(AVERAGEIF(Chicks!$C:$C,A281,Chicks!$M:$M),""))</f>
        <v/>
      </c>
      <c r="G281" s="6" t="str">
        <f>IF(A281="","",SUMIFS(Chicks!$N:$N,Chicks!$C:$C,A281))</f>
        <v/>
      </c>
      <c r="H281" s="6" t="str">
        <f>IF(A281="","",SUMIFS(Chicks!$O:$O,Chicks!$C:$C,A281))</f>
        <v/>
      </c>
      <c r="I281" s="6" t="str">
        <f>IF(A281="","",SUMIFS(Chicks!$P:$P,Chicks!$C:$C,A281))</f>
        <v/>
      </c>
    </row>
    <row r="282" spans="1:9" ht="14.25" customHeight="1" x14ac:dyDescent="0.3">
      <c r="A282" s="4"/>
      <c r="B282" s="4" t="str">
        <f>IF(A282="","",COUNTIF(Chicks!$C:$C,A282))</f>
        <v/>
      </c>
      <c r="C282" s="4"/>
      <c r="D282" s="6" t="str">
        <f>IF(A282="","",IFERROR(AVERAGEIF(Chicks!$C:$C,A282,Chicks!$K:$K),""))</f>
        <v/>
      </c>
      <c r="E282" s="6" t="str">
        <f>IF(A282="","",IFERROR(AVERAGEIF(Chicks!$C:$C,A282,Chicks!$L:$L),""))</f>
        <v/>
      </c>
      <c r="F282" s="6" t="str">
        <f>IF(A282="","",IFERROR(AVERAGEIF(Chicks!$C:$C,A282,Chicks!$M:$M),""))</f>
        <v/>
      </c>
      <c r="G282" s="6" t="str">
        <f>IF(A282="","",SUMIFS(Chicks!$N:$N,Chicks!$C:$C,A282))</f>
        <v/>
      </c>
      <c r="H282" s="6" t="str">
        <f>IF(A282="","",SUMIFS(Chicks!$O:$O,Chicks!$C:$C,A282))</f>
        <v/>
      </c>
      <c r="I282" s="6" t="str">
        <f>IF(A282="","",SUMIFS(Chicks!$P:$P,Chicks!$C:$C,A282))</f>
        <v/>
      </c>
    </row>
    <row r="283" spans="1:9" ht="14.25" customHeight="1" x14ac:dyDescent="0.3">
      <c r="A283" s="4"/>
      <c r="B283" s="4" t="str">
        <f>IF(A283="","",COUNTIF(Chicks!$C:$C,A283))</f>
        <v/>
      </c>
      <c r="C283" s="4"/>
      <c r="D283" s="6" t="str">
        <f>IF(A283="","",IFERROR(AVERAGEIF(Chicks!$C:$C,A283,Chicks!$K:$K),""))</f>
        <v/>
      </c>
      <c r="E283" s="6" t="str">
        <f>IF(A283="","",IFERROR(AVERAGEIF(Chicks!$C:$C,A283,Chicks!$L:$L),""))</f>
        <v/>
      </c>
      <c r="F283" s="6" t="str">
        <f>IF(A283="","",IFERROR(AVERAGEIF(Chicks!$C:$C,A283,Chicks!$M:$M),""))</f>
        <v/>
      </c>
      <c r="G283" s="6" t="str">
        <f>IF(A283="","",SUMIFS(Chicks!$N:$N,Chicks!$C:$C,A283))</f>
        <v/>
      </c>
      <c r="H283" s="6" t="str">
        <f>IF(A283="","",SUMIFS(Chicks!$O:$O,Chicks!$C:$C,A283))</f>
        <v/>
      </c>
      <c r="I283" s="6" t="str">
        <f>IF(A283="","",SUMIFS(Chicks!$P:$P,Chicks!$C:$C,A283))</f>
        <v/>
      </c>
    </row>
    <row r="284" spans="1:9" ht="14.25" customHeight="1" x14ac:dyDescent="0.3">
      <c r="A284" s="4"/>
      <c r="B284" s="4" t="str">
        <f>IF(A284="","",COUNTIF(Chicks!$C:$C,A284))</f>
        <v/>
      </c>
      <c r="C284" s="4"/>
      <c r="D284" s="6" t="str">
        <f>IF(A284="","",IFERROR(AVERAGEIF(Chicks!$C:$C,A284,Chicks!$K:$K),""))</f>
        <v/>
      </c>
      <c r="E284" s="6" t="str">
        <f>IF(A284="","",IFERROR(AVERAGEIF(Chicks!$C:$C,A284,Chicks!$L:$L),""))</f>
        <v/>
      </c>
      <c r="F284" s="6" t="str">
        <f>IF(A284="","",IFERROR(AVERAGEIF(Chicks!$C:$C,A284,Chicks!$M:$M),""))</f>
        <v/>
      </c>
      <c r="G284" s="6" t="str">
        <f>IF(A284="","",SUMIFS(Chicks!$N:$N,Chicks!$C:$C,A284))</f>
        <v/>
      </c>
      <c r="H284" s="6" t="str">
        <f>IF(A284="","",SUMIFS(Chicks!$O:$O,Chicks!$C:$C,A284))</f>
        <v/>
      </c>
      <c r="I284" s="6" t="str">
        <f>IF(A284="","",SUMIFS(Chicks!$P:$P,Chicks!$C:$C,A284))</f>
        <v/>
      </c>
    </row>
    <row r="285" spans="1:9" ht="14.25" customHeight="1" x14ac:dyDescent="0.3">
      <c r="A285" s="4"/>
      <c r="B285" s="4" t="str">
        <f>IF(A285="","",COUNTIF(Chicks!$C:$C,A285))</f>
        <v/>
      </c>
      <c r="C285" s="4"/>
      <c r="D285" s="6" t="str">
        <f>IF(A285="","",IFERROR(AVERAGEIF(Chicks!$C:$C,A285,Chicks!$K:$K),""))</f>
        <v/>
      </c>
      <c r="E285" s="6" t="str">
        <f>IF(A285="","",IFERROR(AVERAGEIF(Chicks!$C:$C,A285,Chicks!$L:$L),""))</f>
        <v/>
      </c>
      <c r="F285" s="6" t="str">
        <f>IF(A285="","",IFERROR(AVERAGEIF(Chicks!$C:$C,A285,Chicks!$M:$M),""))</f>
        <v/>
      </c>
      <c r="G285" s="6" t="str">
        <f>IF(A285="","",SUMIFS(Chicks!$N:$N,Chicks!$C:$C,A285))</f>
        <v/>
      </c>
      <c r="H285" s="6" t="str">
        <f>IF(A285="","",SUMIFS(Chicks!$O:$O,Chicks!$C:$C,A285))</f>
        <v/>
      </c>
      <c r="I285" s="6" t="str">
        <f>IF(A285="","",SUMIFS(Chicks!$P:$P,Chicks!$C:$C,A285))</f>
        <v/>
      </c>
    </row>
    <row r="286" spans="1:9" ht="14.25" customHeight="1" x14ac:dyDescent="0.3">
      <c r="A286" s="4"/>
      <c r="B286" s="4" t="str">
        <f>IF(A286="","",COUNTIF(Chicks!$C:$C,A286))</f>
        <v/>
      </c>
      <c r="C286" s="4"/>
      <c r="D286" s="6" t="str">
        <f>IF(A286="","",IFERROR(AVERAGEIF(Chicks!$C:$C,A286,Chicks!$K:$K),""))</f>
        <v/>
      </c>
      <c r="E286" s="6" t="str">
        <f>IF(A286="","",IFERROR(AVERAGEIF(Chicks!$C:$C,A286,Chicks!$L:$L),""))</f>
        <v/>
      </c>
      <c r="F286" s="6" t="str">
        <f>IF(A286="","",IFERROR(AVERAGEIF(Chicks!$C:$C,A286,Chicks!$M:$M),""))</f>
        <v/>
      </c>
      <c r="G286" s="6" t="str">
        <f>IF(A286="","",SUMIFS(Chicks!$N:$N,Chicks!$C:$C,A286))</f>
        <v/>
      </c>
      <c r="H286" s="6" t="str">
        <f>IF(A286="","",SUMIFS(Chicks!$O:$O,Chicks!$C:$C,A286))</f>
        <v/>
      </c>
      <c r="I286" s="6" t="str">
        <f>IF(A286="","",SUMIFS(Chicks!$P:$P,Chicks!$C:$C,A286))</f>
        <v/>
      </c>
    </row>
    <row r="287" spans="1:9" ht="14.25" customHeight="1" x14ac:dyDescent="0.3">
      <c r="A287" s="4"/>
      <c r="B287" s="4" t="str">
        <f>IF(A287="","",COUNTIF(Chicks!$C:$C,A287))</f>
        <v/>
      </c>
      <c r="C287" s="4"/>
      <c r="D287" s="6" t="str">
        <f>IF(A287="","",IFERROR(AVERAGEIF(Chicks!$C:$C,A287,Chicks!$K:$K),""))</f>
        <v/>
      </c>
      <c r="E287" s="6" t="str">
        <f>IF(A287="","",IFERROR(AVERAGEIF(Chicks!$C:$C,A287,Chicks!$L:$L),""))</f>
        <v/>
      </c>
      <c r="F287" s="6" t="str">
        <f>IF(A287="","",IFERROR(AVERAGEIF(Chicks!$C:$C,A287,Chicks!$M:$M),""))</f>
        <v/>
      </c>
      <c r="G287" s="6" t="str">
        <f>IF(A287="","",SUMIFS(Chicks!$N:$N,Chicks!$C:$C,A287))</f>
        <v/>
      </c>
      <c r="H287" s="6" t="str">
        <f>IF(A287="","",SUMIFS(Chicks!$O:$O,Chicks!$C:$C,A287))</f>
        <v/>
      </c>
      <c r="I287" s="6" t="str">
        <f>IF(A287="","",SUMIFS(Chicks!$P:$P,Chicks!$C:$C,A287))</f>
        <v/>
      </c>
    </row>
    <row r="288" spans="1:9" ht="14.25" customHeight="1" x14ac:dyDescent="0.3">
      <c r="A288" s="4"/>
      <c r="B288" s="4" t="str">
        <f>IF(A288="","",COUNTIF(Chicks!$C:$C,A288))</f>
        <v/>
      </c>
      <c r="C288" s="4"/>
      <c r="D288" s="6" t="str">
        <f>IF(A288="","",IFERROR(AVERAGEIF(Chicks!$C:$C,A288,Chicks!$K:$K),""))</f>
        <v/>
      </c>
      <c r="E288" s="6" t="str">
        <f>IF(A288="","",IFERROR(AVERAGEIF(Chicks!$C:$C,A288,Chicks!$L:$L),""))</f>
        <v/>
      </c>
      <c r="F288" s="6" t="str">
        <f>IF(A288="","",IFERROR(AVERAGEIF(Chicks!$C:$C,A288,Chicks!$M:$M),""))</f>
        <v/>
      </c>
      <c r="G288" s="6" t="str">
        <f>IF(A288="","",SUMIFS(Chicks!$N:$N,Chicks!$C:$C,A288))</f>
        <v/>
      </c>
      <c r="H288" s="6" t="str">
        <f>IF(A288="","",SUMIFS(Chicks!$O:$O,Chicks!$C:$C,A288))</f>
        <v/>
      </c>
      <c r="I288" s="6" t="str">
        <f>IF(A288="","",SUMIFS(Chicks!$P:$P,Chicks!$C:$C,A288))</f>
        <v/>
      </c>
    </row>
    <row r="289" spans="1:9" ht="14.25" customHeight="1" x14ac:dyDescent="0.3">
      <c r="A289" s="4"/>
      <c r="B289" s="4" t="str">
        <f>IF(A289="","",COUNTIF(Chicks!$C:$C,A289))</f>
        <v/>
      </c>
      <c r="C289" s="4"/>
      <c r="D289" s="6" t="str">
        <f>IF(A289="","",IFERROR(AVERAGEIF(Chicks!$C:$C,A289,Chicks!$K:$K),""))</f>
        <v/>
      </c>
      <c r="E289" s="6" t="str">
        <f>IF(A289="","",IFERROR(AVERAGEIF(Chicks!$C:$C,A289,Chicks!$L:$L),""))</f>
        <v/>
      </c>
      <c r="F289" s="6" t="str">
        <f>IF(A289="","",IFERROR(AVERAGEIF(Chicks!$C:$C,A289,Chicks!$M:$M),""))</f>
        <v/>
      </c>
      <c r="G289" s="6" t="str">
        <f>IF(A289="","",SUMIFS(Chicks!$N:$N,Chicks!$C:$C,A289))</f>
        <v/>
      </c>
      <c r="H289" s="6" t="str">
        <f>IF(A289="","",SUMIFS(Chicks!$O:$O,Chicks!$C:$C,A289))</f>
        <v/>
      </c>
      <c r="I289" s="6" t="str">
        <f>IF(A289="","",SUMIFS(Chicks!$P:$P,Chicks!$C:$C,A289))</f>
        <v/>
      </c>
    </row>
    <row r="290" spans="1:9" ht="14.25" customHeight="1" x14ac:dyDescent="0.3">
      <c r="A290" s="4"/>
      <c r="B290" s="4" t="str">
        <f>IF(A290="","",COUNTIF(Chicks!$C:$C,A290))</f>
        <v/>
      </c>
      <c r="C290" s="4"/>
      <c r="D290" s="6" t="str">
        <f>IF(A290="","",IFERROR(AVERAGEIF(Chicks!$C:$C,A290,Chicks!$K:$K),""))</f>
        <v/>
      </c>
      <c r="E290" s="6" t="str">
        <f>IF(A290="","",IFERROR(AVERAGEIF(Chicks!$C:$C,A290,Chicks!$L:$L),""))</f>
        <v/>
      </c>
      <c r="F290" s="6" t="str">
        <f>IF(A290="","",IFERROR(AVERAGEIF(Chicks!$C:$C,A290,Chicks!$M:$M),""))</f>
        <v/>
      </c>
      <c r="G290" s="6" t="str">
        <f>IF(A290="","",SUMIFS(Chicks!$N:$N,Chicks!$C:$C,A290))</f>
        <v/>
      </c>
      <c r="H290" s="6" t="str">
        <f>IF(A290="","",SUMIFS(Chicks!$O:$O,Chicks!$C:$C,A290))</f>
        <v/>
      </c>
      <c r="I290" s="6" t="str">
        <f>IF(A290="","",SUMIFS(Chicks!$P:$P,Chicks!$C:$C,A290))</f>
        <v/>
      </c>
    </row>
    <row r="291" spans="1:9" ht="14.25" customHeight="1" x14ac:dyDescent="0.3">
      <c r="A291" s="4"/>
      <c r="B291" s="4" t="str">
        <f>IF(A291="","",COUNTIF(Chicks!$C:$C,A291))</f>
        <v/>
      </c>
      <c r="C291" s="4"/>
      <c r="D291" s="6" t="str">
        <f>IF(A291="","",IFERROR(AVERAGEIF(Chicks!$C:$C,A291,Chicks!$K:$K),""))</f>
        <v/>
      </c>
      <c r="E291" s="6" t="str">
        <f>IF(A291="","",IFERROR(AVERAGEIF(Chicks!$C:$C,A291,Chicks!$L:$L),""))</f>
        <v/>
      </c>
      <c r="F291" s="6" t="str">
        <f>IF(A291="","",IFERROR(AVERAGEIF(Chicks!$C:$C,A291,Chicks!$M:$M),""))</f>
        <v/>
      </c>
      <c r="G291" s="6" t="str">
        <f>IF(A291="","",SUMIFS(Chicks!$N:$N,Chicks!$C:$C,A291))</f>
        <v/>
      </c>
      <c r="H291" s="6" t="str">
        <f>IF(A291="","",SUMIFS(Chicks!$O:$O,Chicks!$C:$C,A291))</f>
        <v/>
      </c>
      <c r="I291" s="6" t="str">
        <f>IF(A291="","",SUMIFS(Chicks!$P:$P,Chicks!$C:$C,A291))</f>
        <v/>
      </c>
    </row>
    <row r="292" spans="1:9" ht="14.25" customHeight="1" x14ac:dyDescent="0.3">
      <c r="A292" s="4"/>
      <c r="B292" s="4" t="str">
        <f>IF(A292="","",COUNTIF(Chicks!$C:$C,A292))</f>
        <v/>
      </c>
      <c r="C292" s="4"/>
      <c r="D292" s="6" t="str">
        <f>IF(A292="","",IFERROR(AVERAGEIF(Chicks!$C:$C,A292,Chicks!$K:$K),""))</f>
        <v/>
      </c>
      <c r="E292" s="6" t="str">
        <f>IF(A292="","",IFERROR(AVERAGEIF(Chicks!$C:$C,A292,Chicks!$L:$L),""))</f>
        <v/>
      </c>
      <c r="F292" s="6" t="str">
        <f>IF(A292="","",IFERROR(AVERAGEIF(Chicks!$C:$C,A292,Chicks!$M:$M),""))</f>
        <v/>
      </c>
      <c r="G292" s="6" t="str">
        <f>IF(A292="","",SUMIFS(Chicks!$N:$N,Chicks!$C:$C,A292))</f>
        <v/>
      </c>
      <c r="H292" s="6" t="str">
        <f>IF(A292="","",SUMIFS(Chicks!$O:$O,Chicks!$C:$C,A292))</f>
        <v/>
      </c>
      <c r="I292" s="6" t="str">
        <f>IF(A292="","",SUMIFS(Chicks!$P:$P,Chicks!$C:$C,A292))</f>
        <v/>
      </c>
    </row>
    <row r="293" spans="1:9" ht="14.25" customHeight="1" x14ac:dyDescent="0.3">
      <c r="A293" s="4"/>
      <c r="B293" s="4" t="str">
        <f>IF(A293="","",COUNTIF(Chicks!$C:$C,A293))</f>
        <v/>
      </c>
      <c r="C293" s="4"/>
      <c r="D293" s="6" t="str">
        <f>IF(A293="","",IFERROR(AVERAGEIF(Chicks!$C:$C,A293,Chicks!$K:$K),""))</f>
        <v/>
      </c>
      <c r="E293" s="6" t="str">
        <f>IF(A293="","",IFERROR(AVERAGEIF(Chicks!$C:$C,A293,Chicks!$L:$L),""))</f>
        <v/>
      </c>
      <c r="F293" s="6" t="str">
        <f>IF(A293="","",IFERROR(AVERAGEIF(Chicks!$C:$C,A293,Chicks!$M:$M),""))</f>
        <v/>
      </c>
      <c r="G293" s="6" t="str">
        <f>IF(A293="","",SUMIFS(Chicks!$N:$N,Chicks!$C:$C,A293))</f>
        <v/>
      </c>
      <c r="H293" s="6" t="str">
        <f>IF(A293="","",SUMIFS(Chicks!$O:$O,Chicks!$C:$C,A293))</f>
        <v/>
      </c>
      <c r="I293" s="6" t="str">
        <f>IF(A293="","",SUMIFS(Chicks!$P:$P,Chicks!$C:$C,A293))</f>
        <v/>
      </c>
    </row>
    <row r="294" spans="1:9" ht="14.25" customHeight="1" x14ac:dyDescent="0.3">
      <c r="A294" s="4"/>
      <c r="B294" s="4" t="str">
        <f>IF(A294="","",COUNTIF(Chicks!$C:$C,A294))</f>
        <v/>
      </c>
      <c r="C294" s="4"/>
      <c r="D294" s="6" t="str">
        <f>IF(A294="","",IFERROR(AVERAGEIF(Chicks!$C:$C,A294,Chicks!$K:$K),""))</f>
        <v/>
      </c>
      <c r="E294" s="6" t="str">
        <f>IF(A294="","",IFERROR(AVERAGEIF(Chicks!$C:$C,A294,Chicks!$L:$L),""))</f>
        <v/>
      </c>
      <c r="F294" s="6" t="str">
        <f>IF(A294="","",IFERROR(AVERAGEIF(Chicks!$C:$C,A294,Chicks!$M:$M),""))</f>
        <v/>
      </c>
      <c r="G294" s="6" t="str">
        <f>IF(A294="","",SUMIFS(Chicks!$N:$N,Chicks!$C:$C,A294))</f>
        <v/>
      </c>
      <c r="H294" s="6" t="str">
        <f>IF(A294="","",SUMIFS(Chicks!$O:$O,Chicks!$C:$C,A294))</f>
        <v/>
      </c>
      <c r="I294" s="6" t="str">
        <f>IF(A294="","",SUMIFS(Chicks!$P:$P,Chicks!$C:$C,A294))</f>
        <v/>
      </c>
    </row>
    <row r="295" spans="1:9" ht="14.25" customHeight="1" x14ac:dyDescent="0.3">
      <c r="A295" s="4"/>
      <c r="B295" s="4" t="str">
        <f>IF(A295="","",COUNTIF(Chicks!$C:$C,A295))</f>
        <v/>
      </c>
      <c r="C295" s="4"/>
      <c r="D295" s="6" t="str">
        <f>IF(A295="","",IFERROR(AVERAGEIF(Chicks!$C:$C,A295,Chicks!$K:$K),""))</f>
        <v/>
      </c>
      <c r="E295" s="6" t="str">
        <f>IF(A295="","",IFERROR(AVERAGEIF(Chicks!$C:$C,A295,Chicks!$L:$L),""))</f>
        <v/>
      </c>
      <c r="F295" s="6" t="str">
        <f>IF(A295="","",IFERROR(AVERAGEIF(Chicks!$C:$C,A295,Chicks!$M:$M),""))</f>
        <v/>
      </c>
      <c r="G295" s="6" t="str">
        <f>IF(A295="","",SUMIFS(Chicks!$N:$N,Chicks!$C:$C,A295))</f>
        <v/>
      </c>
      <c r="H295" s="6" t="str">
        <f>IF(A295="","",SUMIFS(Chicks!$O:$O,Chicks!$C:$C,A295))</f>
        <v/>
      </c>
      <c r="I295" s="6" t="str">
        <f>IF(A295="","",SUMIFS(Chicks!$P:$P,Chicks!$C:$C,A295))</f>
        <v/>
      </c>
    </row>
    <row r="296" spans="1:9" ht="14.25" customHeight="1" x14ac:dyDescent="0.3">
      <c r="A296" s="4"/>
      <c r="B296" s="4" t="str">
        <f>IF(A296="","",COUNTIF(Chicks!$C:$C,A296))</f>
        <v/>
      </c>
      <c r="C296" s="4"/>
      <c r="D296" s="6" t="str">
        <f>IF(A296="","",IFERROR(AVERAGEIF(Chicks!$C:$C,A296,Chicks!$K:$K),""))</f>
        <v/>
      </c>
      <c r="E296" s="6" t="str">
        <f>IF(A296="","",IFERROR(AVERAGEIF(Chicks!$C:$C,A296,Chicks!$L:$L),""))</f>
        <v/>
      </c>
      <c r="F296" s="6" t="str">
        <f>IF(A296="","",IFERROR(AVERAGEIF(Chicks!$C:$C,A296,Chicks!$M:$M),""))</f>
        <v/>
      </c>
      <c r="G296" s="6" t="str">
        <f>IF(A296="","",SUMIFS(Chicks!$N:$N,Chicks!$C:$C,A296))</f>
        <v/>
      </c>
      <c r="H296" s="6" t="str">
        <f>IF(A296="","",SUMIFS(Chicks!$O:$O,Chicks!$C:$C,A296))</f>
        <v/>
      </c>
      <c r="I296" s="6" t="str">
        <f>IF(A296="","",SUMIFS(Chicks!$P:$P,Chicks!$C:$C,A296))</f>
        <v/>
      </c>
    </row>
    <row r="297" spans="1:9" ht="14.25" customHeight="1" x14ac:dyDescent="0.3">
      <c r="A297" s="4"/>
      <c r="B297" s="4" t="str">
        <f>IF(A297="","",COUNTIF(Chicks!$C:$C,A297))</f>
        <v/>
      </c>
      <c r="C297" s="4"/>
      <c r="D297" s="6" t="str">
        <f>IF(A297="","",IFERROR(AVERAGEIF(Chicks!$C:$C,A297,Chicks!$K:$K),""))</f>
        <v/>
      </c>
      <c r="E297" s="6" t="str">
        <f>IF(A297="","",IFERROR(AVERAGEIF(Chicks!$C:$C,A297,Chicks!$L:$L),""))</f>
        <v/>
      </c>
      <c r="F297" s="6" t="str">
        <f>IF(A297="","",IFERROR(AVERAGEIF(Chicks!$C:$C,A297,Chicks!$M:$M),""))</f>
        <v/>
      </c>
      <c r="G297" s="6" t="str">
        <f>IF(A297="","",SUMIFS(Chicks!$N:$N,Chicks!$C:$C,A297))</f>
        <v/>
      </c>
      <c r="H297" s="6" t="str">
        <f>IF(A297="","",SUMIFS(Chicks!$O:$O,Chicks!$C:$C,A297))</f>
        <v/>
      </c>
      <c r="I297" s="6" t="str">
        <f>IF(A297="","",SUMIFS(Chicks!$P:$P,Chicks!$C:$C,A297))</f>
        <v/>
      </c>
    </row>
    <row r="298" spans="1:9" ht="14.25" customHeight="1" x14ac:dyDescent="0.3">
      <c r="A298" s="4"/>
      <c r="B298" s="4" t="str">
        <f>IF(A298="","",COUNTIF(Chicks!$C:$C,A298))</f>
        <v/>
      </c>
      <c r="C298" s="4"/>
      <c r="D298" s="6" t="str">
        <f>IF(A298="","",IFERROR(AVERAGEIF(Chicks!$C:$C,A298,Chicks!$K:$K),""))</f>
        <v/>
      </c>
      <c r="E298" s="6" t="str">
        <f>IF(A298="","",IFERROR(AVERAGEIF(Chicks!$C:$C,A298,Chicks!$L:$L),""))</f>
        <v/>
      </c>
      <c r="F298" s="6" t="str">
        <f>IF(A298="","",IFERROR(AVERAGEIF(Chicks!$C:$C,A298,Chicks!$M:$M),""))</f>
        <v/>
      </c>
      <c r="G298" s="6" t="str">
        <f>IF(A298="","",SUMIFS(Chicks!$N:$N,Chicks!$C:$C,A298))</f>
        <v/>
      </c>
      <c r="H298" s="6" t="str">
        <f>IF(A298="","",SUMIFS(Chicks!$O:$O,Chicks!$C:$C,A298))</f>
        <v/>
      </c>
      <c r="I298" s="6" t="str">
        <f>IF(A298="","",SUMIFS(Chicks!$P:$P,Chicks!$C:$C,A298))</f>
        <v/>
      </c>
    </row>
    <row r="299" spans="1:9" ht="14.25" customHeight="1" x14ac:dyDescent="0.3">
      <c r="A299" s="4"/>
      <c r="B299" s="4" t="str">
        <f>IF(A299="","",COUNTIF(Chicks!$C:$C,A299))</f>
        <v/>
      </c>
      <c r="C299" s="4"/>
      <c r="D299" s="6" t="str">
        <f>IF(A299="","",IFERROR(AVERAGEIF(Chicks!$C:$C,A299,Chicks!$K:$K),""))</f>
        <v/>
      </c>
      <c r="E299" s="6" t="str">
        <f>IF(A299="","",IFERROR(AVERAGEIF(Chicks!$C:$C,A299,Chicks!$L:$L),""))</f>
        <v/>
      </c>
      <c r="F299" s="6" t="str">
        <f>IF(A299="","",IFERROR(AVERAGEIF(Chicks!$C:$C,A299,Chicks!$M:$M),""))</f>
        <v/>
      </c>
      <c r="G299" s="6" t="str">
        <f>IF(A299="","",SUMIFS(Chicks!$N:$N,Chicks!$C:$C,A299))</f>
        <v/>
      </c>
      <c r="H299" s="6" t="str">
        <f>IF(A299="","",SUMIFS(Chicks!$O:$O,Chicks!$C:$C,A299))</f>
        <v/>
      </c>
      <c r="I299" s="6" t="str">
        <f>IF(A299="","",SUMIFS(Chicks!$P:$P,Chicks!$C:$C,A299))</f>
        <v/>
      </c>
    </row>
    <row r="300" spans="1:9" ht="14.25" customHeight="1" x14ac:dyDescent="0.3">
      <c r="A300" s="4"/>
      <c r="B300" s="4" t="str">
        <f>IF(A300="","",COUNTIF(Chicks!$C:$C,A300))</f>
        <v/>
      </c>
      <c r="C300" s="4"/>
      <c r="D300" s="6" t="str">
        <f>IF(A300="","",IFERROR(AVERAGEIF(Chicks!$C:$C,A300,Chicks!$K:$K),""))</f>
        <v/>
      </c>
      <c r="E300" s="6" t="str">
        <f>IF(A300="","",IFERROR(AVERAGEIF(Chicks!$C:$C,A300,Chicks!$L:$L),""))</f>
        <v/>
      </c>
      <c r="F300" s="6" t="str">
        <f>IF(A300="","",IFERROR(AVERAGEIF(Chicks!$C:$C,A300,Chicks!$M:$M),""))</f>
        <v/>
      </c>
      <c r="G300" s="6" t="str">
        <f>IF(A300="","",SUMIFS(Chicks!$N:$N,Chicks!$C:$C,A300))</f>
        <v/>
      </c>
      <c r="H300" s="6" t="str">
        <f>IF(A300="","",SUMIFS(Chicks!$O:$O,Chicks!$C:$C,A300))</f>
        <v/>
      </c>
      <c r="I300" s="6" t="str">
        <f>IF(A300="","",SUMIFS(Chicks!$P:$P,Chicks!$C:$C,A300))</f>
        <v/>
      </c>
    </row>
    <row r="301" spans="1:9" ht="14.25" customHeight="1" x14ac:dyDescent="0.3">
      <c r="A301" s="4"/>
      <c r="B301" s="4" t="str">
        <f>IF(A301="","",COUNTIF(Chicks!$C:$C,A301))</f>
        <v/>
      </c>
      <c r="C301" s="4"/>
      <c r="D301" s="6" t="str">
        <f>IF(A301="","",IFERROR(AVERAGEIF(Chicks!$C:$C,A301,Chicks!$K:$K),""))</f>
        <v/>
      </c>
      <c r="E301" s="6" t="str">
        <f>IF(A301="","",IFERROR(AVERAGEIF(Chicks!$C:$C,A301,Chicks!$L:$L),""))</f>
        <v/>
      </c>
      <c r="F301" s="6" t="str">
        <f>IF(A301="","",IFERROR(AVERAGEIF(Chicks!$C:$C,A301,Chicks!$M:$M),""))</f>
        <v/>
      </c>
      <c r="G301" s="6" t="str">
        <f>IF(A301="","",SUMIFS(Chicks!$N:$N,Chicks!$C:$C,A301))</f>
        <v/>
      </c>
      <c r="H301" s="6" t="str">
        <f>IF(A301="","",SUMIFS(Chicks!$O:$O,Chicks!$C:$C,A301))</f>
        <v/>
      </c>
      <c r="I301" s="6" t="str">
        <f>IF(A301="","",SUMIFS(Chicks!$P:$P,Chicks!$C:$C,A301))</f>
        <v/>
      </c>
    </row>
    <row r="302" spans="1:9" ht="14.25" customHeight="1" x14ac:dyDescent="0.3">
      <c r="A302" s="4"/>
      <c r="B302" s="4" t="str">
        <f>IF(A302="","",COUNTIF(Chicks!$C:$C,A302))</f>
        <v/>
      </c>
      <c r="C302" s="4"/>
      <c r="D302" s="6" t="str">
        <f>IF(A302="","",IFERROR(AVERAGEIF(Chicks!$C:$C,A302,Chicks!$K:$K),""))</f>
        <v/>
      </c>
      <c r="E302" s="6" t="str">
        <f>IF(A302="","",IFERROR(AVERAGEIF(Chicks!$C:$C,A302,Chicks!$L:$L),""))</f>
        <v/>
      </c>
      <c r="F302" s="6" t="str">
        <f>IF(A302="","",IFERROR(AVERAGEIF(Chicks!$C:$C,A302,Chicks!$M:$M),""))</f>
        <v/>
      </c>
      <c r="G302" s="6" t="str">
        <f>IF(A302="","",SUMIFS(Chicks!$N:$N,Chicks!$C:$C,A302))</f>
        <v/>
      </c>
      <c r="H302" s="6" t="str">
        <f>IF(A302="","",SUMIFS(Chicks!$O:$O,Chicks!$C:$C,A302))</f>
        <v/>
      </c>
      <c r="I302" s="6" t="str">
        <f>IF(A302="","",SUMIFS(Chicks!$P:$P,Chicks!$C:$C,A302))</f>
        <v/>
      </c>
    </row>
    <row r="303" spans="1:9" ht="14.25" customHeight="1" x14ac:dyDescent="0.3">
      <c r="A303" s="4"/>
      <c r="B303" s="4" t="str">
        <f>IF(A303="","",COUNTIF(Chicks!$C:$C,A303))</f>
        <v/>
      </c>
      <c r="C303" s="4"/>
      <c r="D303" s="6" t="str">
        <f>IF(A303="","",IFERROR(AVERAGEIF(Chicks!$C:$C,A303,Chicks!$K:$K),""))</f>
        <v/>
      </c>
      <c r="E303" s="6" t="str">
        <f>IF(A303="","",IFERROR(AVERAGEIF(Chicks!$C:$C,A303,Chicks!$L:$L),""))</f>
        <v/>
      </c>
      <c r="F303" s="6" t="str">
        <f>IF(A303="","",IFERROR(AVERAGEIF(Chicks!$C:$C,A303,Chicks!$M:$M),""))</f>
        <v/>
      </c>
      <c r="G303" s="6" t="str">
        <f>IF(A303="","",SUMIFS(Chicks!$N:$N,Chicks!$C:$C,A303))</f>
        <v/>
      </c>
      <c r="H303" s="6" t="str">
        <f>IF(A303="","",SUMIFS(Chicks!$O:$O,Chicks!$C:$C,A303))</f>
        <v/>
      </c>
      <c r="I303" s="6" t="str">
        <f>IF(A303="","",SUMIFS(Chicks!$P:$P,Chicks!$C:$C,A303))</f>
        <v/>
      </c>
    </row>
    <row r="304" spans="1:9" ht="14.25" customHeight="1" x14ac:dyDescent="0.3">
      <c r="A304" s="4"/>
      <c r="B304" s="4" t="str">
        <f>IF(A304="","",COUNTIF(Chicks!$C:$C,A304))</f>
        <v/>
      </c>
      <c r="C304" s="4"/>
      <c r="D304" s="6" t="str">
        <f>IF(A304="","",IFERROR(AVERAGEIF(Chicks!$C:$C,A304,Chicks!$K:$K),""))</f>
        <v/>
      </c>
      <c r="E304" s="6" t="str">
        <f>IF(A304="","",IFERROR(AVERAGEIF(Chicks!$C:$C,A304,Chicks!$L:$L),""))</f>
        <v/>
      </c>
      <c r="F304" s="6" t="str">
        <f>IF(A304="","",IFERROR(AVERAGEIF(Chicks!$C:$C,A304,Chicks!$M:$M),""))</f>
        <v/>
      </c>
      <c r="G304" s="6" t="str">
        <f>IF(A304="","",SUMIFS(Chicks!$N:$N,Chicks!$C:$C,A304))</f>
        <v/>
      </c>
      <c r="H304" s="6" t="str">
        <f>IF(A304="","",SUMIFS(Chicks!$O:$O,Chicks!$C:$C,A304))</f>
        <v/>
      </c>
      <c r="I304" s="6" t="str">
        <f>IF(A304="","",SUMIFS(Chicks!$P:$P,Chicks!$C:$C,A304))</f>
        <v/>
      </c>
    </row>
    <row r="305" spans="1:9" ht="14.25" customHeight="1" x14ac:dyDescent="0.3">
      <c r="A305" s="4"/>
      <c r="B305" s="4" t="str">
        <f>IF(A305="","",COUNTIF(Chicks!$C:$C,A305))</f>
        <v/>
      </c>
      <c r="C305" s="4"/>
      <c r="D305" s="6" t="str">
        <f>IF(A305="","",IFERROR(AVERAGEIF(Chicks!$C:$C,A305,Chicks!$K:$K),""))</f>
        <v/>
      </c>
      <c r="E305" s="6" t="str">
        <f>IF(A305="","",IFERROR(AVERAGEIF(Chicks!$C:$C,A305,Chicks!$L:$L),""))</f>
        <v/>
      </c>
      <c r="F305" s="6" t="str">
        <f>IF(A305="","",IFERROR(AVERAGEIF(Chicks!$C:$C,A305,Chicks!$M:$M),""))</f>
        <v/>
      </c>
      <c r="G305" s="6" t="str">
        <f>IF(A305="","",SUMIFS(Chicks!$N:$N,Chicks!$C:$C,A305))</f>
        <v/>
      </c>
      <c r="H305" s="6" t="str">
        <f>IF(A305="","",SUMIFS(Chicks!$O:$O,Chicks!$C:$C,A305))</f>
        <v/>
      </c>
      <c r="I305" s="6" t="str">
        <f>IF(A305="","",SUMIFS(Chicks!$P:$P,Chicks!$C:$C,A305))</f>
        <v/>
      </c>
    </row>
    <row r="306" spans="1:9" ht="14.25" customHeight="1" x14ac:dyDescent="0.3">
      <c r="A306" s="4"/>
      <c r="B306" s="4" t="str">
        <f>IF(A306="","",COUNTIF(Chicks!$C:$C,A306))</f>
        <v/>
      </c>
      <c r="C306" s="4"/>
      <c r="D306" s="6" t="str">
        <f>IF(A306="","",IFERROR(AVERAGEIF(Chicks!$C:$C,A306,Chicks!$K:$K),""))</f>
        <v/>
      </c>
      <c r="E306" s="6" t="str">
        <f>IF(A306="","",IFERROR(AVERAGEIF(Chicks!$C:$C,A306,Chicks!$L:$L),""))</f>
        <v/>
      </c>
      <c r="F306" s="6" t="str">
        <f>IF(A306="","",IFERROR(AVERAGEIF(Chicks!$C:$C,A306,Chicks!$M:$M),""))</f>
        <v/>
      </c>
      <c r="G306" s="6" t="str">
        <f>IF(A306="","",SUMIFS(Chicks!$N:$N,Chicks!$C:$C,A306))</f>
        <v/>
      </c>
      <c r="H306" s="6" t="str">
        <f>IF(A306="","",SUMIFS(Chicks!$O:$O,Chicks!$C:$C,A306))</f>
        <v/>
      </c>
      <c r="I306" s="6" t="str">
        <f>IF(A306="","",SUMIFS(Chicks!$P:$P,Chicks!$C:$C,A306))</f>
        <v/>
      </c>
    </row>
    <row r="307" spans="1:9" ht="14.25" customHeight="1" x14ac:dyDescent="0.3">
      <c r="A307" s="4"/>
      <c r="B307" s="4" t="str">
        <f>IF(A307="","",COUNTIF(Chicks!$C:$C,A307))</f>
        <v/>
      </c>
      <c r="C307" s="4"/>
      <c r="D307" s="6" t="str">
        <f>IF(A307="","",IFERROR(AVERAGEIF(Chicks!$C:$C,A307,Chicks!$K:$K),""))</f>
        <v/>
      </c>
      <c r="E307" s="6" t="str">
        <f>IF(A307="","",IFERROR(AVERAGEIF(Chicks!$C:$C,A307,Chicks!$L:$L),""))</f>
        <v/>
      </c>
      <c r="F307" s="6" t="str">
        <f>IF(A307="","",IFERROR(AVERAGEIF(Chicks!$C:$C,A307,Chicks!$M:$M),""))</f>
        <v/>
      </c>
      <c r="G307" s="6" t="str">
        <f>IF(A307="","",SUMIFS(Chicks!$N:$N,Chicks!$C:$C,A307))</f>
        <v/>
      </c>
      <c r="H307" s="6" t="str">
        <f>IF(A307="","",SUMIFS(Chicks!$O:$O,Chicks!$C:$C,A307))</f>
        <v/>
      </c>
      <c r="I307" s="6" t="str">
        <f>IF(A307="","",SUMIFS(Chicks!$P:$P,Chicks!$C:$C,A307))</f>
        <v/>
      </c>
    </row>
    <row r="308" spans="1:9" ht="14.25" customHeight="1" x14ac:dyDescent="0.3">
      <c r="A308" s="4"/>
      <c r="B308" s="4" t="str">
        <f>IF(A308="","",COUNTIF(Chicks!$C:$C,A308))</f>
        <v/>
      </c>
      <c r="C308" s="4"/>
      <c r="D308" s="6" t="str">
        <f>IF(A308="","",IFERROR(AVERAGEIF(Chicks!$C:$C,A308,Chicks!$K:$K),""))</f>
        <v/>
      </c>
      <c r="E308" s="6" t="str">
        <f>IF(A308="","",IFERROR(AVERAGEIF(Chicks!$C:$C,A308,Chicks!$L:$L),""))</f>
        <v/>
      </c>
      <c r="F308" s="6" t="str">
        <f>IF(A308="","",IFERROR(AVERAGEIF(Chicks!$C:$C,A308,Chicks!$M:$M),""))</f>
        <v/>
      </c>
      <c r="G308" s="6" t="str">
        <f>IF(A308="","",SUMIFS(Chicks!$N:$N,Chicks!$C:$C,A308))</f>
        <v/>
      </c>
      <c r="H308" s="6" t="str">
        <f>IF(A308="","",SUMIFS(Chicks!$O:$O,Chicks!$C:$C,A308))</f>
        <v/>
      </c>
      <c r="I308" s="6" t="str">
        <f>IF(A308="","",SUMIFS(Chicks!$P:$P,Chicks!$C:$C,A308))</f>
        <v/>
      </c>
    </row>
    <row r="309" spans="1:9" ht="14.25" customHeight="1" x14ac:dyDescent="0.3">
      <c r="A309" s="4"/>
      <c r="B309" s="4" t="str">
        <f>IF(A309="","",COUNTIF(Chicks!$C:$C,A309))</f>
        <v/>
      </c>
      <c r="C309" s="4"/>
      <c r="D309" s="6" t="str">
        <f>IF(A309="","",IFERROR(AVERAGEIF(Chicks!$C:$C,A309,Chicks!$K:$K),""))</f>
        <v/>
      </c>
      <c r="E309" s="6" t="str">
        <f>IF(A309="","",IFERROR(AVERAGEIF(Chicks!$C:$C,A309,Chicks!$L:$L),""))</f>
        <v/>
      </c>
      <c r="F309" s="6" t="str">
        <f>IF(A309="","",IFERROR(AVERAGEIF(Chicks!$C:$C,A309,Chicks!$M:$M),""))</f>
        <v/>
      </c>
      <c r="G309" s="6" t="str">
        <f>IF(A309="","",SUMIFS(Chicks!$N:$N,Chicks!$C:$C,A309))</f>
        <v/>
      </c>
      <c r="H309" s="6" t="str">
        <f>IF(A309="","",SUMIFS(Chicks!$O:$O,Chicks!$C:$C,A309))</f>
        <v/>
      </c>
      <c r="I309" s="6" t="str">
        <f>IF(A309="","",SUMIFS(Chicks!$P:$P,Chicks!$C:$C,A309))</f>
        <v/>
      </c>
    </row>
    <row r="310" spans="1:9" ht="14.25" customHeight="1" x14ac:dyDescent="0.3">
      <c r="A310" s="4"/>
      <c r="B310" s="4" t="str">
        <f>IF(A310="","",COUNTIF(Chicks!$C:$C,A310))</f>
        <v/>
      </c>
      <c r="C310" s="4"/>
      <c r="D310" s="6" t="str">
        <f>IF(A310="","",IFERROR(AVERAGEIF(Chicks!$C:$C,A310,Chicks!$K:$K),""))</f>
        <v/>
      </c>
      <c r="E310" s="6" t="str">
        <f>IF(A310="","",IFERROR(AVERAGEIF(Chicks!$C:$C,A310,Chicks!$L:$L),""))</f>
        <v/>
      </c>
      <c r="F310" s="6" t="str">
        <f>IF(A310="","",IFERROR(AVERAGEIF(Chicks!$C:$C,A310,Chicks!$M:$M),""))</f>
        <v/>
      </c>
      <c r="G310" s="6" t="str">
        <f>IF(A310="","",SUMIFS(Chicks!$N:$N,Chicks!$C:$C,A310))</f>
        <v/>
      </c>
      <c r="H310" s="6" t="str">
        <f>IF(A310="","",SUMIFS(Chicks!$O:$O,Chicks!$C:$C,A310))</f>
        <v/>
      </c>
      <c r="I310" s="6" t="str">
        <f>IF(A310="","",SUMIFS(Chicks!$P:$P,Chicks!$C:$C,A310))</f>
        <v/>
      </c>
    </row>
    <row r="311" spans="1:9" ht="14.25" customHeight="1" x14ac:dyDescent="0.3">
      <c r="A311" s="4"/>
      <c r="B311" s="4" t="str">
        <f>IF(A311="","",COUNTIF(Chicks!$C:$C,A311))</f>
        <v/>
      </c>
      <c r="C311" s="4"/>
      <c r="D311" s="6" t="str">
        <f>IF(A311="","",IFERROR(AVERAGEIF(Chicks!$C:$C,A311,Chicks!$K:$K),""))</f>
        <v/>
      </c>
      <c r="E311" s="6" t="str">
        <f>IF(A311="","",IFERROR(AVERAGEIF(Chicks!$C:$C,A311,Chicks!$L:$L),""))</f>
        <v/>
      </c>
      <c r="F311" s="6" t="str">
        <f>IF(A311="","",IFERROR(AVERAGEIF(Chicks!$C:$C,A311,Chicks!$M:$M),""))</f>
        <v/>
      </c>
      <c r="G311" s="6" t="str">
        <f>IF(A311="","",SUMIFS(Chicks!$N:$N,Chicks!$C:$C,A311))</f>
        <v/>
      </c>
      <c r="H311" s="6" t="str">
        <f>IF(A311="","",SUMIFS(Chicks!$O:$O,Chicks!$C:$C,A311))</f>
        <v/>
      </c>
      <c r="I311" s="6" t="str">
        <f>IF(A311="","",SUMIFS(Chicks!$P:$P,Chicks!$C:$C,A311))</f>
        <v/>
      </c>
    </row>
    <row r="312" spans="1:9" ht="14.25" customHeight="1" x14ac:dyDescent="0.3">
      <c r="A312" s="4"/>
      <c r="B312" s="4" t="str">
        <f>IF(A312="","",COUNTIF(Chicks!$C:$C,A312))</f>
        <v/>
      </c>
      <c r="C312" s="4"/>
      <c r="D312" s="6" t="str">
        <f>IF(A312="","",IFERROR(AVERAGEIF(Chicks!$C:$C,A312,Chicks!$K:$K),""))</f>
        <v/>
      </c>
      <c r="E312" s="6" t="str">
        <f>IF(A312="","",IFERROR(AVERAGEIF(Chicks!$C:$C,A312,Chicks!$L:$L),""))</f>
        <v/>
      </c>
      <c r="F312" s="6" t="str">
        <f>IF(A312="","",IFERROR(AVERAGEIF(Chicks!$C:$C,A312,Chicks!$M:$M),""))</f>
        <v/>
      </c>
      <c r="G312" s="6" t="str">
        <f>IF(A312="","",SUMIFS(Chicks!$N:$N,Chicks!$C:$C,A312))</f>
        <v/>
      </c>
      <c r="H312" s="6" t="str">
        <f>IF(A312="","",SUMIFS(Chicks!$O:$O,Chicks!$C:$C,A312))</f>
        <v/>
      </c>
      <c r="I312" s="6" t="str">
        <f>IF(A312="","",SUMIFS(Chicks!$P:$P,Chicks!$C:$C,A312))</f>
        <v/>
      </c>
    </row>
    <row r="313" spans="1:9" ht="14.25" customHeight="1" x14ac:dyDescent="0.3">
      <c r="A313" s="4"/>
      <c r="B313" s="4" t="str">
        <f>IF(A313="","",COUNTIF(Chicks!$C:$C,A313))</f>
        <v/>
      </c>
      <c r="C313" s="4"/>
      <c r="D313" s="6" t="str">
        <f>IF(A313="","",IFERROR(AVERAGEIF(Chicks!$C:$C,A313,Chicks!$K:$K),""))</f>
        <v/>
      </c>
      <c r="E313" s="6" t="str">
        <f>IF(A313="","",IFERROR(AVERAGEIF(Chicks!$C:$C,A313,Chicks!$L:$L),""))</f>
        <v/>
      </c>
      <c r="F313" s="6" t="str">
        <f>IF(A313="","",IFERROR(AVERAGEIF(Chicks!$C:$C,A313,Chicks!$M:$M),""))</f>
        <v/>
      </c>
      <c r="G313" s="6" t="str">
        <f>IF(A313="","",SUMIFS(Chicks!$N:$N,Chicks!$C:$C,A313))</f>
        <v/>
      </c>
      <c r="H313" s="6" t="str">
        <f>IF(A313="","",SUMIFS(Chicks!$O:$O,Chicks!$C:$C,A313))</f>
        <v/>
      </c>
      <c r="I313" s="6" t="str">
        <f>IF(A313="","",SUMIFS(Chicks!$P:$P,Chicks!$C:$C,A313))</f>
        <v/>
      </c>
    </row>
    <row r="314" spans="1:9" ht="14.25" customHeight="1" x14ac:dyDescent="0.3">
      <c r="A314" s="4"/>
      <c r="B314" s="4" t="str">
        <f>IF(A314="","",COUNTIF(Chicks!$C:$C,A314))</f>
        <v/>
      </c>
      <c r="C314" s="4"/>
      <c r="D314" s="6" t="str">
        <f>IF(A314="","",IFERROR(AVERAGEIF(Chicks!$C:$C,A314,Chicks!$K:$K),""))</f>
        <v/>
      </c>
      <c r="E314" s="6" t="str">
        <f>IF(A314="","",IFERROR(AVERAGEIF(Chicks!$C:$C,A314,Chicks!$L:$L),""))</f>
        <v/>
      </c>
      <c r="F314" s="6" t="str">
        <f>IF(A314="","",IFERROR(AVERAGEIF(Chicks!$C:$C,A314,Chicks!$M:$M),""))</f>
        <v/>
      </c>
      <c r="G314" s="6" t="str">
        <f>IF(A314="","",SUMIFS(Chicks!$N:$N,Chicks!$C:$C,A314))</f>
        <v/>
      </c>
      <c r="H314" s="6" t="str">
        <f>IF(A314="","",SUMIFS(Chicks!$O:$O,Chicks!$C:$C,A314))</f>
        <v/>
      </c>
      <c r="I314" s="6" t="str">
        <f>IF(A314="","",SUMIFS(Chicks!$P:$P,Chicks!$C:$C,A314))</f>
        <v/>
      </c>
    </row>
    <row r="315" spans="1:9" ht="14.25" customHeight="1" x14ac:dyDescent="0.3">
      <c r="A315" s="4"/>
      <c r="B315" s="4" t="str">
        <f>IF(A315="","",COUNTIF(Chicks!$C:$C,A315))</f>
        <v/>
      </c>
      <c r="C315" s="4"/>
      <c r="D315" s="6" t="str">
        <f>IF(A315="","",IFERROR(AVERAGEIF(Chicks!$C:$C,A315,Chicks!$K:$K),""))</f>
        <v/>
      </c>
      <c r="E315" s="6" t="str">
        <f>IF(A315="","",IFERROR(AVERAGEIF(Chicks!$C:$C,A315,Chicks!$L:$L),""))</f>
        <v/>
      </c>
      <c r="F315" s="6" t="str">
        <f>IF(A315="","",IFERROR(AVERAGEIF(Chicks!$C:$C,A315,Chicks!$M:$M),""))</f>
        <v/>
      </c>
      <c r="G315" s="6" t="str">
        <f>IF(A315="","",SUMIFS(Chicks!$N:$N,Chicks!$C:$C,A315))</f>
        <v/>
      </c>
      <c r="H315" s="6" t="str">
        <f>IF(A315="","",SUMIFS(Chicks!$O:$O,Chicks!$C:$C,A315))</f>
        <v/>
      </c>
      <c r="I315" s="6" t="str">
        <f>IF(A315="","",SUMIFS(Chicks!$P:$P,Chicks!$C:$C,A315))</f>
        <v/>
      </c>
    </row>
    <row r="316" spans="1:9" ht="14.25" customHeight="1" x14ac:dyDescent="0.3">
      <c r="A316" s="4"/>
      <c r="B316" s="4" t="str">
        <f>IF(A316="","",COUNTIF(Chicks!$C:$C,A316))</f>
        <v/>
      </c>
      <c r="C316" s="4"/>
      <c r="D316" s="6" t="str">
        <f>IF(A316="","",IFERROR(AVERAGEIF(Chicks!$C:$C,A316,Chicks!$K:$K),""))</f>
        <v/>
      </c>
      <c r="E316" s="6" t="str">
        <f>IF(A316="","",IFERROR(AVERAGEIF(Chicks!$C:$C,A316,Chicks!$L:$L),""))</f>
        <v/>
      </c>
      <c r="F316" s="6" t="str">
        <f>IF(A316="","",IFERROR(AVERAGEIF(Chicks!$C:$C,A316,Chicks!$M:$M),""))</f>
        <v/>
      </c>
      <c r="G316" s="6" t="str">
        <f>IF(A316="","",SUMIFS(Chicks!$N:$N,Chicks!$C:$C,A316))</f>
        <v/>
      </c>
      <c r="H316" s="6" t="str">
        <f>IF(A316="","",SUMIFS(Chicks!$O:$O,Chicks!$C:$C,A316))</f>
        <v/>
      </c>
      <c r="I316" s="6" t="str">
        <f>IF(A316="","",SUMIFS(Chicks!$P:$P,Chicks!$C:$C,A316))</f>
        <v/>
      </c>
    </row>
    <row r="317" spans="1:9" ht="14.25" customHeight="1" x14ac:dyDescent="0.3">
      <c r="A317" s="4"/>
      <c r="B317" s="4" t="str">
        <f>IF(A317="","",COUNTIF(Chicks!$C:$C,A317))</f>
        <v/>
      </c>
      <c r="C317" s="4"/>
      <c r="D317" s="6" t="str">
        <f>IF(A317="","",IFERROR(AVERAGEIF(Chicks!$C:$C,A317,Chicks!$K:$K),""))</f>
        <v/>
      </c>
      <c r="E317" s="6" t="str">
        <f>IF(A317="","",IFERROR(AVERAGEIF(Chicks!$C:$C,A317,Chicks!$L:$L),""))</f>
        <v/>
      </c>
      <c r="F317" s="6" t="str">
        <f>IF(A317="","",IFERROR(AVERAGEIF(Chicks!$C:$C,A317,Chicks!$M:$M),""))</f>
        <v/>
      </c>
      <c r="G317" s="6" t="str">
        <f>IF(A317="","",SUMIFS(Chicks!$N:$N,Chicks!$C:$C,A317))</f>
        <v/>
      </c>
      <c r="H317" s="6" t="str">
        <f>IF(A317="","",SUMIFS(Chicks!$O:$O,Chicks!$C:$C,A317))</f>
        <v/>
      </c>
      <c r="I317" s="6" t="str">
        <f>IF(A317="","",SUMIFS(Chicks!$P:$P,Chicks!$C:$C,A317))</f>
        <v/>
      </c>
    </row>
    <row r="318" spans="1:9" ht="14.25" customHeight="1" x14ac:dyDescent="0.3">
      <c r="A318" s="4"/>
      <c r="B318" s="4" t="str">
        <f>IF(A318="","",COUNTIF(Chicks!$C:$C,A318))</f>
        <v/>
      </c>
      <c r="C318" s="4"/>
      <c r="D318" s="6" t="str">
        <f>IF(A318="","",IFERROR(AVERAGEIF(Chicks!$C:$C,A318,Chicks!$K:$K),""))</f>
        <v/>
      </c>
      <c r="E318" s="6" t="str">
        <f>IF(A318="","",IFERROR(AVERAGEIF(Chicks!$C:$C,A318,Chicks!$L:$L),""))</f>
        <v/>
      </c>
      <c r="F318" s="6" t="str">
        <f>IF(A318="","",IFERROR(AVERAGEIF(Chicks!$C:$C,A318,Chicks!$M:$M),""))</f>
        <v/>
      </c>
      <c r="G318" s="6" t="str">
        <f>IF(A318="","",SUMIFS(Chicks!$N:$N,Chicks!$C:$C,A318))</f>
        <v/>
      </c>
      <c r="H318" s="6" t="str">
        <f>IF(A318="","",SUMIFS(Chicks!$O:$O,Chicks!$C:$C,A318))</f>
        <v/>
      </c>
      <c r="I318" s="6" t="str">
        <f>IF(A318="","",SUMIFS(Chicks!$P:$P,Chicks!$C:$C,A318))</f>
        <v/>
      </c>
    </row>
    <row r="319" spans="1:9" ht="14.25" customHeight="1" x14ac:dyDescent="0.3">
      <c r="A319" s="4"/>
      <c r="B319" s="4" t="str">
        <f>IF(A319="","",COUNTIF(Chicks!$C:$C,A319))</f>
        <v/>
      </c>
      <c r="C319" s="4"/>
      <c r="D319" s="6" t="str">
        <f>IF(A319="","",IFERROR(AVERAGEIF(Chicks!$C:$C,A319,Chicks!$K:$K),""))</f>
        <v/>
      </c>
      <c r="E319" s="6" t="str">
        <f>IF(A319="","",IFERROR(AVERAGEIF(Chicks!$C:$C,A319,Chicks!$L:$L),""))</f>
        <v/>
      </c>
      <c r="F319" s="6" t="str">
        <f>IF(A319="","",IFERROR(AVERAGEIF(Chicks!$C:$C,A319,Chicks!$M:$M),""))</f>
        <v/>
      </c>
      <c r="G319" s="6" t="str">
        <f>IF(A319="","",SUMIFS(Chicks!$N:$N,Chicks!$C:$C,A319))</f>
        <v/>
      </c>
      <c r="H319" s="6" t="str">
        <f>IF(A319="","",SUMIFS(Chicks!$O:$O,Chicks!$C:$C,A319))</f>
        <v/>
      </c>
      <c r="I319" s="6" t="str">
        <f>IF(A319="","",SUMIFS(Chicks!$P:$P,Chicks!$C:$C,A319))</f>
        <v/>
      </c>
    </row>
    <row r="320" spans="1:9" ht="14.25" customHeight="1" x14ac:dyDescent="0.3">
      <c r="A320" s="4"/>
      <c r="B320" s="4" t="str">
        <f>IF(A320="","",COUNTIF(Chicks!$C:$C,A320))</f>
        <v/>
      </c>
      <c r="C320" s="4"/>
      <c r="D320" s="6" t="str">
        <f>IF(A320="","",IFERROR(AVERAGEIF(Chicks!$C:$C,A320,Chicks!$K:$K),""))</f>
        <v/>
      </c>
      <c r="E320" s="6" t="str">
        <f>IF(A320="","",IFERROR(AVERAGEIF(Chicks!$C:$C,A320,Chicks!$L:$L),""))</f>
        <v/>
      </c>
      <c r="F320" s="6" t="str">
        <f>IF(A320="","",IFERROR(AVERAGEIF(Chicks!$C:$C,A320,Chicks!$M:$M),""))</f>
        <v/>
      </c>
      <c r="G320" s="6" t="str">
        <f>IF(A320="","",SUMIFS(Chicks!$N:$N,Chicks!$C:$C,A320))</f>
        <v/>
      </c>
      <c r="H320" s="6" t="str">
        <f>IF(A320="","",SUMIFS(Chicks!$O:$O,Chicks!$C:$C,A320))</f>
        <v/>
      </c>
      <c r="I320" s="6" t="str">
        <f>IF(A320="","",SUMIFS(Chicks!$P:$P,Chicks!$C:$C,A320))</f>
        <v/>
      </c>
    </row>
    <row r="321" spans="1:9" ht="14.25" customHeight="1" x14ac:dyDescent="0.3">
      <c r="A321" s="4"/>
      <c r="B321" s="4" t="str">
        <f>IF(A321="","",COUNTIF(Chicks!$C:$C,A321))</f>
        <v/>
      </c>
      <c r="C321" s="4"/>
      <c r="D321" s="6" t="str">
        <f>IF(A321="","",IFERROR(AVERAGEIF(Chicks!$C:$C,A321,Chicks!$K:$K),""))</f>
        <v/>
      </c>
      <c r="E321" s="6" t="str">
        <f>IF(A321="","",IFERROR(AVERAGEIF(Chicks!$C:$C,A321,Chicks!$L:$L),""))</f>
        <v/>
      </c>
      <c r="F321" s="6" t="str">
        <f>IF(A321="","",IFERROR(AVERAGEIF(Chicks!$C:$C,A321,Chicks!$M:$M),""))</f>
        <v/>
      </c>
      <c r="G321" s="6" t="str">
        <f>IF(A321="","",SUMIFS(Chicks!$N:$N,Chicks!$C:$C,A321))</f>
        <v/>
      </c>
      <c r="H321" s="6" t="str">
        <f>IF(A321="","",SUMIFS(Chicks!$O:$O,Chicks!$C:$C,A321))</f>
        <v/>
      </c>
      <c r="I321" s="6" t="str">
        <f>IF(A321="","",SUMIFS(Chicks!$P:$P,Chicks!$C:$C,A321))</f>
        <v/>
      </c>
    </row>
    <row r="322" spans="1:9" ht="14.25" customHeight="1" x14ac:dyDescent="0.3">
      <c r="A322" s="4"/>
      <c r="B322" s="4" t="str">
        <f>IF(A322="","",COUNTIF(Chicks!$C:$C,A322))</f>
        <v/>
      </c>
      <c r="C322" s="4"/>
      <c r="D322" s="6" t="str">
        <f>IF(A322="","",IFERROR(AVERAGEIF(Chicks!$C:$C,A322,Chicks!$K:$K),""))</f>
        <v/>
      </c>
      <c r="E322" s="6" t="str">
        <f>IF(A322="","",IFERROR(AVERAGEIF(Chicks!$C:$C,A322,Chicks!$L:$L),""))</f>
        <v/>
      </c>
      <c r="F322" s="6" t="str">
        <f>IF(A322="","",IFERROR(AVERAGEIF(Chicks!$C:$C,A322,Chicks!$M:$M),""))</f>
        <v/>
      </c>
      <c r="G322" s="6" t="str">
        <f>IF(A322="","",SUMIFS(Chicks!$N:$N,Chicks!$C:$C,A322))</f>
        <v/>
      </c>
      <c r="H322" s="6" t="str">
        <f>IF(A322="","",SUMIFS(Chicks!$O:$O,Chicks!$C:$C,A322))</f>
        <v/>
      </c>
      <c r="I322" s="6" t="str">
        <f>IF(A322="","",SUMIFS(Chicks!$P:$P,Chicks!$C:$C,A322))</f>
        <v/>
      </c>
    </row>
    <row r="323" spans="1:9" ht="14.25" customHeight="1" x14ac:dyDescent="0.3">
      <c r="A323" s="4"/>
      <c r="B323" s="4" t="str">
        <f>IF(A323="","",COUNTIF(Chicks!$C:$C,A323))</f>
        <v/>
      </c>
      <c r="C323" s="4"/>
      <c r="D323" s="6" t="str">
        <f>IF(A323="","",IFERROR(AVERAGEIF(Chicks!$C:$C,A323,Chicks!$K:$K),""))</f>
        <v/>
      </c>
      <c r="E323" s="6" t="str">
        <f>IF(A323="","",IFERROR(AVERAGEIF(Chicks!$C:$C,A323,Chicks!$L:$L),""))</f>
        <v/>
      </c>
      <c r="F323" s="6" t="str">
        <f>IF(A323="","",IFERROR(AVERAGEIF(Chicks!$C:$C,A323,Chicks!$M:$M),""))</f>
        <v/>
      </c>
      <c r="G323" s="6" t="str">
        <f>IF(A323="","",SUMIFS(Chicks!$N:$N,Chicks!$C:$C,A323))</f>
        <v/>
      </c>
      <c r="H323" s="6" t="str">
        <f>IF(A323="","",SUMIFS(Chicks!$O:$O,Chicks!$C:$C,A323))</f>
        <v/>
      </c>
      <c r="I323" s="6" t="str">
        <f>IF(A323="","",SUMIFS(Chicks!$P:$P,Chicks!$C:$C,A323))</f>
        <v/>
      </c>
    </row>
    <row r="324" spans="1:9" ht="14.25" customHeight="1" x14ac:dyDescent="0.3">
      <c r="A324" s="4"/>
      <c r="B324" s="4" t="str">
        <f>IF(A324="","",COUNTIF(Chicks!$C:$C,A324))</f>
        <v/>
      </c>
      <c r="C324" s="4"/>
      <c r="D324" s="6" t="str">
        <f>IF(A324="","",IFERROR(AVERAGEIF(Chicks!$C:$C,A324,Chicks!$K:$K),""))</f>
        <v/>
      </c>
      <c r="E324" s="6" t="str">
        <f>IF(A324="","",IFERROR(AVERAGEIF(Chicks!$C:$C,A324,Chicks!$L:$L),""))</f>
        <v/>
      </c>
      <c r="F324" s="6" t="str">
        <f>IF(A324="","",IFERROR(AVERAGEIF(Chicks!$C:$C,A324,Chicks!$M:$M),""))</f>
        <v/>
      </c>
      <c r="G324" s="6" t="str">
        <f>IF(A324="","",SUMIFS(Chicks!$N:$N,Chicks!$C:$C,A324))</f>
        <v/>
      </c>
      <c r="H324" s="6" t="str">
        <f>IF(A324="","",SUMIFS(Chicks!$O:$O,Chicks!$C:$C,A324))</f>
        <v/>
      </c>
      <c r="I324" s="6" t="str">
        <f>IF(A324="","",SUMIFS(Chicks!$P:$P,Chicks!$C:$C,A324))</f>
        <v/>
      </c>
    </row>
    <row r="325" spans="1:9" ht="14.25" customHeight="1" x14ac:dyDescent="0.3">
      <c r="A325" s="4"/>
      <c r="B325" s="4" t="str">
        <f>IF(A325="","",COUNTIF(Chicks!$C:$C,A325))</f>
        <v/>
      </c>
      <c r="C325" s="4"/>
      <c r="D325" s="6" t="str">
        <f>IF(A325="","",IFERROR(AVERAGEIF(Chicks!$C:$C,A325,Chicks!$K:$K),""))</f>
        <v/>
      </c>
      <c r="E325" s="6" t="str">
        <f>IF(A325="","",IFERROR(AVERAGEIF(Chicks!$C:$C,A325,Chicks!$L:$L),""))</f>
        <v/>
      </c>
      <c r="F325" s="6" t="str">
        <f>IF(A325="","",IFERROR(AVERAGEIF(Chicks!$C:$C,A325,Chicks!$M:$M),""))</f>
        <v/>
      </c>
      <c r="G325" s="6" t="str">
        <f>IF(A325="","",SUMIFS(Chicks!$N:$N,Chicks!$C:$C,A325))</f>
        <v/>
      </c>
      <c r="H325" s="6" t="str">
        <f>IF(A325="","",SUMIFS(Chicks!$O:$O,Chicks!$C:$C,A325))</f>
        <v/>
      </c>
      <c r="I325" s="6" t="str">
        <f>IF(A325="","",SUMIFS(Chicks!$P:$P,Chicks!$C:$C,A325))</f>
        <v/>
      </c>
    </row>
    <row r="326" spans="1:9" ht="14.25" customHeight="1" x14ac:dyDescent="0.3">
      <c r="A326" s="4"/>
      <c r="B326" s="4" t="str">
        <f>IF(A326="","",COUNTIF(Chicks!$C:$C,A326))</f>
        <v/>
      </c>
      <c r="C326" s="4"/>
      <c r="D326" s="6" t="str">
        <f>IF(A326="","",IFERROR(AVERAGEIF(Chicks!$C:$C,A326,Chicks!$K:$K),""))</f>
        <v/>
      </c>
      <c r="E326" s="6" t="str">
        <f>IF(A326="","",IFERROR(AVERAGEIF(Chicks!$C:$C,A326,Chicks!$L:$L),""))</f>
        <v/>
      </c>
      <c r="F326" s="6" t="str">
        <f>IF(A326="","",IFERROR(AVERAGEIF(Chicks!$C:$C,A326,Chicks!$M:$M),""))</f>
        <v/>
      </c>
      <c r="G326" s="6" t="str">
        <f>IF(A326="","",SUMIFS(Chicks!$N:$N,Chicks!$C:$C,A326))</f>
        <v/>
      </c>
      <c r="H326" s="6" t="str">
        <f>IF(A326="","",SUMIFS(Chicks!$O:$O,Chicks!$C:$C,A326))</f>
        <v/>
      </c>
      <c r="I326" s="6" t="str">
        <f>IF(A326="","",SUMIFS(Chicks!$P:$P,Chicks!$C:$C,A326))</f>
        <v/>
      </c>
    </row>
    <row r="327" spans="1:9" ht="14.25" customHeight="1" x14ac:dyDescent="0.3">
      <c r="A327" s="4"/>
      <c r="B327" s="4" t="str">
        <f>IF(A327="","",COUNTIF(Chicks!$C:$C,A327))</f>
        <v/>
      </c>
      <c r="C327" s="4"/>
      <c r="D327" s="6" t="str">
        <f>IF(A327="","",IFERROR(AVERAGEIF(Chicks!$C:$C,A327,Chicks!$K:$K),""))</f>
        <v/>
      </c>
      <c r="E327" s="6" t="str">
        <f>IF(A327="","",IFERROR(AVERAGEIF(Chicks!$C:$C,A327,Chicks!$L:$L),""))</f>
        <v/>
      </c>
      <c r="F327" s="6" t="str">
        <f>IF(A327="","",IFERROR(AVERAGEIF(Chicks!$C:$C,A327,Chicks!$M:$M),""))</f>
        <v/>
      </c>
      <c r="G327" s="6" t="str">
        <f>IF(A327="","",SUMIFS(Chicks!$N:$N,Chicks!$C:$C,A327))</f>
        <v/>
      </c>
      <c r="H327" s="6" t="str">
        <f>IF(A327="","",SUMIFS(Chicks!$O:$O,Chicks!$C:$C,A327))</f>
        <v/>
      </c>
      <c r="I327" s="6" t="str">
        <f>IF(A327="","",SUMIFS(Chicks!$P:$P,Chicks!$C:$C,A327))</f>
        <v/>
      </c>
    </row>
    <row r="328" spans="1:9" ht="14.25" customHeight="1" x14ac:dyDescent="0.3">
      <c r="A328" s="4"/>
      <c r="B328" s="4" t="str">
        <f>IF(A328="","",COUNTIF(Chicks!$C:$C,A328))</f>
        <v/>
      </c>
      <c r="C328" s="4"/>
      <c r="D328" s="6" t="str">
        <f>IF(A328="","",IFERROR(AVERAGEIF(Chicks!$C:$C,A328,Chicks!$K:$K),""))</f>
        <v/>
      </c>
      <c r="E328" s="6" t="str">
        <f>IF(A328="","",IFERROR(AVERAGEIF(Chicks!$C:$C,A328,Chicks!$L:$L),""))</f>
        <v/>
      </c>
      <c r="F328" s="6" t="str">
        <f>IF(A328="","",IFERROR(AVERAGEIF(Chicks!$C:$C,A328,Chicks!$M:$M),""))</f>
        <v/>
      </c>
      <c r="G328" s="6" t="str">
        <f>IF(A328="","",SUMIFS(Chicks!$N:$N,Chicks!$C:$C,A328))</f>
        <v/>
      </c>
      <c r="H328" s="6" t="str">
        <f>IF(A328="","",SUMIFS(Chicks!$O:$O,Chicks!$C:$C,A328))</f>
        <v/>
      </c>
      <c r="I328" s="6" t="str">
        <f>IF(A328="","",SUMIFS(Chicks!$P:$P,Chicks!$C:$C,A328))</f>
        <v/>
      </c>
    </row>
    <row r="329" spans="1:9" ht="14.25" customHeight="1" x14ac:dyDescent="0.3">
      <c r="A329" s="4"/>
      <c r="B329" s="4" t="str">
        <f>IF(A329="","",COUNTIF(Chicks!$C:$C,A329))</f>
        <v/>
      </c>
      <c r="C329" s="4"/>
      <c r="D329" s="6" t="str">
        <f>IF(A329="","",IFERROR(AVERAGEIF(Chicks!$C:$C,A329,Chicks!$K:$K),""))</f>
        <v/>
      </c>
      <c r="E329" s="6" t="str">
        <f>IF(A329="","",IFERROR(AVERAGEIF(Chicks!$C:$C,A329,Chicks!$L:$L),""))</f>
        <v/>
      </c>
      <c r="F329" s="6" t="str">
        <f>IF(A329="","",IFERROR(AVERAGEIF(Chicks!$C:$C,A329,Chicks!$M:$M),""))</f>
        <v/>
      </c>
      <c r="G329" s="6" t="str">
        <f>IF(A329="","",SUMIFS(Chicks!$N:$N,Chicks!$C:$C,A329))</f>
        <v/>
      </c>
      <c r="H329" s="6" t="str">
        <f>IF(A329="","",SUMIFS(Chicks!$O:$O,Chicks!$C:$C,A329))</f>
        <v/>
      </c>
      <c r="I329" s="6" t="str">
        <f>IF(A329="","",SUMIFS(Chicks!$P:$P,Chicks!$C:$C,A329))</f>
        <v/>
      </c>
    </row>
    <row r="330" spans="1:9" ht="14.25" customHeight="1" x14ac:dyDescent="0.3">
      <c r="A330" s="4"/>
      <c r="B330" s="4" t="str">
        <f>IF(A330="","",COUNTIF(Chicks!$C:$C,A330))</f>
        <v/>
      </c>
      <c r="C330" s="4"/>
      <c r="D330" s="6" t="str">
        <f>IF(A330="","",IFERROR(AVERAGEIF(Chicks!$C:$C,A330,Chicks!$K:$K),""))</f>
        <v/>
      </c>
      <c r="E330" s="6" t="str">
        <f>IF(A330="","",IFERROR(AVERAGEIF(Chicks!$C:$C,A330,Chicks!$L:$L),""))</f>
        <v/>
      </c>
      <c r="F330" s="6" t="str">
        <f>IF(A330="","",IFERROR(AVERAGEIF(Chicks!$C:$C,A330,Chicks!$M:$M),""))</f>
        <v/>
      </c>
      <c r="G330" s="6" t="str">
        <f>IF(A330="","",SUMIFS(Chicks!$N:$N,Chicks!$C:$C,A330))</f>
        <v/>
      </c>
      <c r="H330" s="6" t="str">
        <f>IF(A330="","",SUMIFS(Chicks!$O:$O,Chicks!$C:$C,A330))</f>
        <v/>
      </c>
      <c r="I330" s="6" t="str">
        <f>IF(A330="","",SUMIFS(Chicks!$P:$P,Chicks!$C:$C,A330))</f>
        <v/>
      </c>
    </row>
    <row r="331" spans="1:9" ht="14.25" customHeight="1" x14ac:dyDescent="0.3">
      <c r="A331" s="4"/>
      <c r="B331" s="4" t="str">
        <f>IF(A331="","",COUNTIF(Chicks!$C:$C,A331))</f>
        <v/>
      </c>
      <c r="C331" s="4"/>
      <c r="D331" s="6" t="str">
        <f>IF(A331="","",IFERROR(AVERAGEIF(Chicks!$C:$C,A331,Chicks!$K:$K),""))</f>
        <v/>
      </c>
      <c r="E331" s="6" t="str">
        <f>IF(A331="","",IFERROR(AVERAGEIF(Chicks!$C:$C,A331,Chicks!$L:$L),""))</f>
        <v/>
      </c>
      <c r="F331" s="6" t="str">
        <f>IF(A331="","",IFERROR(AVERAGEIF(Chicks!$C:$C,A331,Chicks!$M:$M),""))</f>
        <v/>
      </c>
      <c r="G331" s="6" t="str">
        <f>IF(A331="","",SUMIFS(Chicks!$N:$N,Chicks!$C:$C,A331))</f>
        <v/>
      </c>
      <c r="H331" s="6" t="str">
        <f>IF(A331="","",SUMIFS(Chicks!$O:$O,Chicks!$C:$C,A331))</f>
        <v/>
      </c>
      <c r="I331" s="6" t="str">
        <f>IF(A331="","",SUMIFS(Chicks!$P:$P,Chicks!$C:$C,A331))</f>
        <v/>
      </c>
    </row>
    <row r="332" spans="1:9" ht="14.25" customHeight="1" x14ac:dyDescent="0.3">
      <c r="A332" s="4"/>
      <c r="B332" s="4" t="str">
        <f>IF(A332="","",COUNTIF(Chicks!$C:$C,A332))</f>
        <v/>
      </c>
      <c r="C332" s="4"/>
      <c r="D332" s="6" t="str">
        <f>IF(A332="","",IFERROR(AVERAGEIF(Chicks!$C:$C,A332,Chicks!$K:$K),""))</f>
        <v/>
      </c>
      <c r="E332" s="6" t="str">
        <f>IF(A332="","",IFERROR(AVERAGEIF(Chicks!$C:$C,A332,Chicks!$L:$L),""))</f>
        <v/>
      </c>
      <c r="F332" s="6" t="str">
        <f>IF(A332="","",IFERROR(AVERAGEIF(Chicks!$C:$C,A332,Chicks!$M:$M),""))</f>
        <v/>
      </c>
      <c r="G332" s="6" t="str">
        <f>IF(A332="","",SUMIFS(Chicks!$N:$N,Chicks!$C:$C,A332))</f>
        <v/>
      </c>
      <c r="H332" s="6" t="str">
        <f>IF(A332="","",SUMIFS(Chicks!$O:$O,Chicks!$C:$C,A332))</f>
        <v/>
      </c>
      <c r="I332" s="6" t="str">
        <f>IF(A332="","",SUMIFS(Chicks!$P:$P,Chicks!$C:$C,A332))</f>
        <v/>
      </c>
    </row>
    <row r="333" spans="1:9" ht="14.25" customHeight="1" x14ac:dyDescent="0.3">
      <c r="A333" s="4"/>
      <c r="B333" s="4" t="str">
        <f>IF(A333="","",COUNTIF(Chicks!$C:$C,A333))</f>
        <v/>
      </c>
      <c r="C333" s="4"/>
      <c r="D333" s="6" t="str">
        <f>IF(A333="","",IFERROR(AVERAGEIF(Chicks!$C:$C,A333,Chicks!$K:$K),""))</f>
        <v/>
      </c>
      <c r="E333" s="6" t="str">
        <f>IF(A333="","",IFERROR(AVERAGEIF(Chicks!$C:$C,A333,Chicks!$L:$L),""))</f>
        <v/>
      </c>
      <c r="F333" s="6" t="str">
        <f>IF(A333="","",IFERROR(AVERAGEIF(Chicks!$C:$C,A333,Chicks!$M:$M),""))</f>
        <v/>
      </c>
      <c r="G333" s="6" t="str">
        <f>IF(A333="","",SUMIFS(Chicks!$N:$N,Chicks!$C:$C,A333))</f>
        <v/>
      </c>
      <c r="H333" s="6" t="str">
        <f>IF(A333="","",SUMIFS(Chicks!$O:$O,Chicks!$C:$C,A333))</f>
        <v/>
      </c>
      <c r="I333" s="6" t="str">
        <f>IF(A333="","",SUMIFS(Chicks!$P:$P,Chicks!$C:$C,A333))</f>
        <v/>
      </c>
    </row>
    <row r="334" spans="1:9" ht="14.25" customHeight="1" x14ac:dyDescent="0.3">
      <c r="A334" s="4"/>
      <c r="B334" s="4" t="str">
        <f>IF(A334="","",COUNTIF(Chicks!$C:$C,A334))</f>
        <v/>
      </c>
      <c r="C334" s="4"/>
      <c r="D334" s="6" t="str">
        <f>IF(A334="","",IFERROR(AVERAGEIF(Chicks!$C:$C,A334,Chicks!$K:$K),""))</f>
        <v/>
      </c>
      <c r="E334" s="6" t="str">
        <f>IF(A334="","",IFERROR(AVERAGEIF(Chicks!$C:$C,A334,Chicks!$L:$L),""))</f>
        <v/>
      </c>
      <c r="F334" s="6" t="str">
        <f>IF(A334="","",IFERROR(AVERAGEIF(Chicks!$C:$C,A334,Chicks!$M:$M),""))</f>
        <v/>
      </c>
      <c r="G334" s="6" t="str">
        <f>IF(A334="","",SUMIFS(Chicks!$N:$N,Chicks!$C:$C,A334))</f>
        <v/>
      </c>
      <c r="H334" s="6" t="str">
        <f>IF(A334="","",SUMIFS(Chicks!$O:$O,Chicks!$C:$C,A334))</f>
        <v/>
      </c>
      <c r="I334" s="6" t="str">
        <f>IF(A334="","",SUMIFS(Chicks!$P:$P,Chicks!$C:$C,A334))</f>
        <v/>
      </c>
    </row>
    <row r="335" spans="1:9" ht="14.25" customHeight="1" x14ac:dyDescent="0.3">
      <c r="A335" s="4"/>
      <c r="B335" s="4" t="str">
        <f>IF(A335="","",COUNTIF(Chicks!$C:$C,A335))</f>
        <v/>
      </c>
      <c r="C335" s="4"/>
      <c r="D335" s="6" t="str">
        <f>IF(A335="","",IFERROR(AVERAGEIF(Chicks!$C:$C,A335,Chicks!$K:$K),""))</f>
        <v/>
      </c>
      <c r="E335" s="6" t="str">
        <f>IF(A335="","",IFERROR(AVERAGEIF(Chicks!$C:$C,A335,Chicks!$L:$L),""))</f>
        <v/>
      </c>
      <c r="F335" s="6" t="str">
        <f>IF(A335="","",IFERROR(AVERAGEIF(Chicks!$C:$C,A335,Chicks!$M:$M),""))</f>
        <v/>
      </c>
      <c r="G335" s="6" t="str">
        <f>IF(A335="","",SUMIFS(Chicks!$N:$N,Chicks!$C:$C,A335))</f>
        <v/>
      </c>
      <c r="H335" s="6" t="str">
        <f>IF(A335="","",SUMIFS(Chicks!$O:$O,Chicks!$C:$C,A335))</f>
        <v/>
      </c>
      <c r="I335" s="6" t="str">
        <f>IF(A335="","",SUMIFS(Chicks!$P:$P,Chicks!$C:$C,A335))</f>
        <v/>
      </c>
    </row>
    <row r="336" spans="1:9" ht="14.25" customHeight="1" x14ac:dyDescent="0.3">
      <c r="A336" s="4"/>
      <c r="B336" s="4" t="str">
        <f>IF(A336="","",COUNTIF(Chicks!$C:$C,A336))</f>
        <v/>
      </c>
      <c r="C336" s="4"/>
      <c r="D336" s="6" t="str">
        <f>IF(A336="","",IFERROR(AVERAGEIF(Chicks!$C:$C,A336,Chicks!$K:$K),""))</f>
        <v/>
      </c>
      <c r="E336" s="6" t="str">
        <f>IF(A336="","",IFERROR(AVERAGEIF(Chicks!$C:$C,A336,Chicks!$L:$L),""))</f>
        <v/>
      </c>
      <c r="F336" s="6" t="str">
        <f>IF(A336="","",IFERROR(AVERAGEIF(Chicks!$C:$C,A336,Chicks!$M:$M),""))</f>
        <v/>
      </c>
      <c r="G336" s="6" t="str">
        <f>IF(A336="","",SUMIFS(Chicks!$N:$N,Chicks!$C:$C,A336))</f>
        <v/>
      </c>
      <c r="H336" s="6" t="str">
        <f>IF(A336="","",SUMIFS(Chicks!$O:$O,Chicks!$C:$C,A336))</f>
        <v/>
      </c>
      <c r="I336" s="6" t="str">
        <f>IF(A336="","",SUMIFS(Chicks!$P:$P,Chicks!$C:$C,A336))</f>
        <v/>
      </c>
    </row>
    <row r="337" spans="1:9" ht="14.25" customHeight="1" x14ac:dyDescent="0.3">
      <c r="A337" s="4"/>
      <c r="B337" s="4" t="str">
        <f>IF(A337="","",COUNTIF(Chicks!$C:$C,A337))</f>
        <v/>
      </c>
      <c r="C337" s="4"/>
      <c r="D337" s="6" t="str">
        <f>IF(A337="","",IFERROR(AVERAGEIF(Chicks!$C:$C,A337,Chicks!$K:$K),""))</f>
        <v/>
      </c>
      <c r="E337" s="6" t="str">
        <f>IF(A337="","",IFERROR(AVERAGEIF(Chicks!$C:$C,A337,Chicks!$L:$L),""))</f>
        <v/>
      </c>
      <c r="F337" s="6" t="str">
        <f>IF(A337="","",IFERROR(AVERAGEIF(Chicks!$C:$C,A337,Chicks!$M:$M),""))</f>
        <v/>
      </c>
      <c r="G337" s="6" t="str">
        <f>IF(A337="","",SUMIFS(Chicks!$N:$N,Chicks!$C:$C,A337))</f>
        <v/>
      </c>
      <c r="H337" s="6" t="str">
        <f>IF(A337="","",SUMIFS(Chicks!$O:$O,Chicks!$C:$C,A337))</f>
        <v/>
      </c>
      <c r="I337" s="6" t="str">
        <f>IF(A337="","",SUMIFS(Chicks!$P:$P,Chicks!$C:$C,A337))</f>
        <v/>
      </c>
    </row>
    <row r="338" spans="1:9" ht="14.25" customHeight="1" x14ac:dyDescent="0.3">
      <c r="A338" s="4"/>
      <c r="B338" s="4" t="str">
        <f>IF(A338="","",COUNTIF(Chicks!$C:$C,A338))</f>
        <v/>
      </c>
      <c r="C338" s="4"/>
      <c r="D338" s="6" t="str">
        <f>IF(A338="","",IFERROR(AVERAGEIF(Chicks!$C:$C,A338,Chicks!$K:$K),""))</f>
        <v/>
      </c>
      <c r="E338" s="6" t="str">
        <f>IF(A338="","",IFERROR(AVERAGEIF(Chicks!$C:$C,A338,Chicks!$L:$L),""))</f>
        <v/>
      </c>
      <c r="F338" s="6" t="str">
        <f>IF(A338="","",IFERROR(AVERAGEIF(Chicks!$C:$C,A338,Chicks!$M:$M),""))</f>
        <v/>
      </c>
      <c r="G338" s="6" t="str">
        <f>IF(A338="","",SUMIFS(Chicks!$N:$N,Chicks!$C:$C,A338))</f>
        <v/>
      </c>
      <c r="H338" s="6" t="str">
        <f>IF(A338="","",SUMIFS(Chicks!$O:$O,Chicks!$C:$C,A338))</f>
        <v/>
      </c>
      <c r="I338" s="6" t="str">
        <f>IF(A338="","",SUMIFS(Chicks!$P:$P,Chicks!$C:$C,A338))</f>
        <v/>
      </c>
    </row>
    <row r="339" spans="1:9" ht="14.25" customHeight="1" x14ac:dyDescent="0.3">
      <c r="A339" s="4"/>
      <c r="B339" s="4" t="str">
        <f>IF(A339="","",COUNTIF(Chicks!$C:$C,A339))</f>
        <v/>
      </c>
      <c r="C339" s="4"/>
      <c r="D339" s="6" t="str">
        <f>IF(A339="","",IFERROR(AVERAGEIF(Chicks!$C:$C,A339,Chicks!$K:$K),""))</f>
        <v/>
      </c>
      <c r="E339" s="6" t="str">
        <f>IF(A339="","",IFERROR(AVERAGEIF(Chicks!$C:$C,A339,Chicks!$L:$L),""))</f>
        <v/>
      </c>
      <c r="F339" s="6" t="str">
        <f>IF(A339="","",IFERROR(AVERAGEIF(Chicks!$C:$C,A339,Chicks!$M:$M),""))</f>
        <v/>
      </c>
      <c r="G339" s="6" t="str">
        <f>IF(A339="","",SUMIFS(Chicks!$N:$N,Chicks!$C:$C,A339))</f>
        <v/>
      </c>
      <c r="H339" s="6" t="str">
        <f>IF(A339="","",SUMIFS(Chicks!$O:$O,Chicks!$C:$C,A339))</f>
        <v/>
      </c>
      <c r="I339" s="6" t="str">
        <f>IF(A339="","",SUMIFS(Chicks!$P:$P,Chicks!$C:$C,A339))</f>
        <v/>
      </c>
    </row>
    <row r="340" spans="1:9" ht="14.25" customHeight="1" x14ac:dyDescent="0.3">
      <c r="A340" s="4"/>
      <c r="B340" s="4" t="str">
        <f>IF(A340="","",COUNTIF(Chicks!$C:$C,A340))</f>
        <v/>
      </c>
      <c r="C340" s="4"/>
      <c r="D340" s="6" t="str">
        <f>IF(A340="","",IFERROR(AVERAGEIF(Chicks!$C:$C,A340,Chicks!$K:$K),""))</f>
        <v/>
      </c>
      <c r="E340" s="6" t="str">
        <f>IF(A340="","",IFERROR(AVERAGEIF(Chicks!$C:$C,A340,Chicks!$L:$L),""))</f>
        <v/>
      </c>
      <c r="F340" s="6" t="str">
        <f>IF(A340="","",IFERROR(AVERAGEIF(Chicks!$C:$C,A340,Chicks!$M:$M),""))</f>
        <v/>
      </c>
      <c r="G340" s="6" t="str">
        <f>IF(A340="","",SUMIFS(Chicks!$N:$N,Chicks!$C:$C,A340))</f>
        <v/>
      </c>
      <c r="H340" s="6" t="str">
        <f>IF(A340="","",SUMIFS(Chicks!$O:$O,Chicks!$C:$C,A340))</f>
        <v/>
      </c>
      <c r="I340" s="6" t="str">
        <f>IF(A340="","",SUMIFS(Chicks!$P:$P,Chicks!$C:$C,A340))</f>
        <v/>
      </c>
    </row>
    <row r="341" spans="1:9" ht="14.25" customHeight="1" x14ac:dyDescent="0.3">
      <c r="A341" s="4"/>
      <c r="B341" s="4" t="str">
        <f>IF(A341="","",COUNTIF(Chicks!$C:$C,A341))</f>
        <v/>
      </c>
      <c r="C341" s="4"/>
      <c r="D341" s="6" t="str">
        <f>IF(A341="","",IFERROR(AVERAGEIF(Chicks!$C:$C,A341,Chicks!$K:$K),""))</f>
        <v/>
      </c>
      <c r="E341" s="6" t="str">
        <f>IF(A341="","",IFERROR(AVERAGEIF(Chicks!$C:$C,A341,Chicks!$L:$L),""))</f>
        <v/>
      </c>
      <c r="F341" s="6" t="str">
        <f>IF(A341="","",IFERROR(AVERAGEIF(Chicks!$C:$C,A341,Chicks!$M:$M),""))</f>
        <v/>
      </c>
      <c r="G341" s="6" t="str">
        <f>IF(A341="","",SUMIFS(Chicks!$N:$N,Chicks!$C:$C,A341))</f>
        <v/>
      </c>
      <c r="H341" s="6" t="str">
        <f>IF(A341="","",SUMIFS(Chicks!$O:$O,Chicks!$C:$C,A341))</f>
        <v/>
      </c>
      <c r="I341" s="6" t="str">
        <f>IF(A341="","",SUMIFS(Chicks!$P:$P,Chicks!$C:$C,A341))</f>
        <v/>
      </c>
    </row>
    <row r="342" spans="1:9" ht="14.25" customHeight="1" x14ac:dyDescent="0.3">
      <c r="A342" s="4"/>
      <c r="B342" s="4" t="str">
        <f>IF(A342="","",COUNTIF(Chicks!$C:$C,A342))</f>
        <v/>
      </c>
      <c r="C342" s="4"/>
      <c r="D342" s="6" t="str">
        <f>IF(A342="","",IFERROR(AVERAGEIF(Chicks!$C:$C,A342,Chicks!$K:$K),""))</f>
        <v/>
      </c>
      <c r="E342" s="6" t="str">
        <f>IF(A342="","",IFERROR(AVERAGEIF(Chicks!$C:$C,A342,Chicks!$L:$L),""))</f>
        <v/>
      </c>
      <c r="F342" s="6" t="str">
        <f>IF(A342="","",IFERROR(AVERAGEIF(Chicks!$C:$C,A342,Chicks!$M:$M),""))</f>
        <v/>
      </c>
      <c r="G342" s="6" t="str">
        <f>IF(A342="","",SUMIFS(Chicks!$N:$N,Chicks!$C:$C,A342))</f>
        <v/>
      </c>
      <c r="H342" s="6" t="str">
        <f>IF(A342="","",SUMIFS(Chicks!$O:$O,Chicks!$C:$C,A342))</f>
        <v/>
      </c>
      <c r="I342" s="6" t="str">
        <f>IF(A342="","",SUMIFS(Chicks!$P:$P,Chicks!$C:$C,A342))</f>
        <v/>
      </c>
    </row>
    <row r="343" spans="1:9" ht="14.25" customHeight="1" x14ac:dyDescent="0.3">
      <c r="A343" s="4"/>
      <c r="B343" s="4" t="str">
        <f>IF(A343="","",COUNTIF(Chicks!$C:$C,A343))</f>
        <v/>
      </c>
      <c r="C343" s="4"/>
      <c r="D343" s="6" t="str">
        <f>IF(A343="","",IFERROR(AVERAGEIF(Chicks!$C:$C,A343,Chicks!$K:$K),""))</f>
        <v/>
      </c>
      <c r="E343" s="6" t="str">
        <f>IF(A343="","",IFERROR(AVERAGEIF(Chicks!$C:$C,A343,Chicks!$L:$L),""))</f>
        <v/>
      </c>
      <c r="F343" s="6" t="str">
        <f>IF(A343="","",IFERROR(AVERAGEIF(Chicks!$C:$C,A343,Chicks!$M:$M),""))</f>
        <v/>
      </c>
      <c r="G343" s="6" t="str">
        <f>IF(A343="","",SUMIFS(Chicks!$N:$N,Chicks!$C:$C,A343))</f>
        <v/>
      </c>
      <c r="H343" s="6" t="str">
        <f>IF(A343="","",SUMIFS(Chicks!$O:$O,Chicks!$C:$C,A343))</f>
        <v/>
      </c>
      <c r="I343" s="6" t="str">
        <f>IF(A343="","",SUMIFS(Chicks!$P:$P,Chicks!$C:$C,A343))</f>
        <v/>
      </c>
    </row>
    <row r="344" spans="1:9" ht="14.25" customHeight="1" x14ac:dyDescent="0.3">
      <c r="A344" s="4"/>
      <c r="B344" s="4" t="str">
        <f>IF(A344="","",COUNTIF(Chicks!$C:$C,A344))</f>
        <v/>
      </c>
      <c r="C344" s="4"/>
      <c r="D344" s="6" t="str">
        <f>IF(A344="","",IFERROR(AVERAGEIF(Chicks!$C:$C,A344,Chicks!$K:$K),""))</f>
        <v/>
      </c>
      <c r="E344" s="6" t="str">
        <f>IF(A344="","",IFERROR(AVERAGEIF(Chicks!$C:$C,A344,Chicks!$L:$L),""))</f>
        <v/>
      </c>
      <c r="F344" s="6" t="str">
        <f>IF(A344="","",IFERROR(AVERAGEIF(Chicks!$C:$C,A344,Chicks!$M:$M),""))</f>
        <v/>
      </c>
      <c r="G344" s="6" t="str">
        <f>IF(A344="","",SUMIFS(Chicks!$N:$N,Chicks!$C:$C,A344))</f>
        <v/>
      </c>
      <c r="H344" s="6" t="str">
        <f>IF(A344="","",SUMIFS(Chicks!$O:$O,Chicks!$C:$C,A344))</f>
        <v/>
      </c>
      <c r="I344" s="6" t="str">
        <f>IF(A344="","",SUMIFS(Chicks!$P:$P,Chicks!$C:$C,A344))</f>
        <v/>
      </c>
    </row>
    <row r="345" spans="1:9" ht="14.25" customHeight="1" x14ac:dyDescent="0.3">
      <c r="A345" s="4"/>
      <c r="B345" s="4" t="str">
        <f>IF(A345="","",COUNTIF(Chicks!$C:$C,A345))</f>
        <v/>
      </c>
      <c r="C345" s="4"/>
      <c r="D345" s="6" t="str">
        <f>IF(A345="","",IFERROR(AVERAGEIF(Chicks!$C:$C,A345,Chicks!$K:$K),""))</f>
        <v/>
      </c>
      <c r="E345" s="6" t="str">
        <f>IF(A345="","",IFERROR(AVERAGEIF(Chicks!$C:$C,A345,Chicks!$L:$L),""))</f>
        <v/>
      </c>
      <c r="F345" s="6" t="str">
        <f>IF(A345="","",IFERROR(AVERAGEIF(Chicks!$C:$C,A345,Chicks!$M:$M),""))</f>
        <v/>
      </c>
      <c r="G345" s="6" t="str">
        <f>IF(A345="","",SUMIFS(Chicks!$N:$N,Chicks!$C:$C,A345))</f>
        <v/>
      </c>
      <c r="H345" s="6" t="str">
        <f>IF(A345="","",SUMIFS(Chicks!$O:$O,Chicks!$C:$C,A345))</f>
        <v/>
      </c>
      <c r="I345" s="6" t="str">
        <f>IF(A345="","",SUMIFS(Chicks!$P:$P,Chicks!$C:$C,A345))</f>
        <v/>
      </c>
    </row>
    <row r="346" spans="1:9" ht="14.25" customHeight="1" x14ac:dyDescent="0.3">
      <c r="A346" s="4"/>
      <c r="B346" s="4" t="str">
        <f>IF(A346="","",COUNTIF(Chicks!$C:$C,A346))</f>
        <v/>
      </c>
      <c r="C346" s="4"/>
      <c r="D346" s="6" t="str">
        <f>IF(A346="","",IFERROR(AVERAGEIF(Chicks!$C:$C,A346,Chicks!$K:$K),""))</f>
        <v/>
      </c>
      <c r="E346" s="6" t="str">
        <f>IF(A346="","",IFERROR(AVERAGEIF(Chicks!$C:$C,A346,Chicks!$L:$L),""))</f>
        <v/>
      </c>
      <c r="F346" s="6" t="str">
        <f>IF(A346="","",IFERROR(AVERAGEIF(Chicks!$C:$C,A346,Chicks!$M:$M),""))</f>
        <v/>
      </c>
      <c r="G346" s="6" t="str">
        <f>IF(A346="","",SUMIFS(Chicks!$N:$N,Chicks!$C:$C,A346))</f>
        <v/>
      </c>
      <c r="H346" s="6" t="str">
        <f>IF(A346="","",SUMIFS(Chicks!$O:$O,Chicks!$C:$C,A346))</f>
        <v/>
      </c>
      <c r="I346" s="6" t="str">
        <f>IF(A346="","",SUMIFS(Chicks!$P:$P,Chicks!$C:$C,A346))</f>
        <v/>
      </c>
    </row>
    <row r="347" spans="1:9" ht="14.25" customHeight="1" x14ac:dyDescent="0.3">
      <c r="A347" s="4"/>
      <c r="B347" s="4" t="str">
        <f>IF(A347="","",COUNTIF(Chicks!$C:$C,A347))</f>
        <v/>
      </c>
      <c r="C347" s="4"/>
      <c r="D347" s="6" t="str">
        <f>IF(A347="","",IFERROR(AVERAGEIF(Chicks!$C:$C,A347,Chicks!$K:$K),""))</f>
        <v/>
      </c>
      <c r="E347" s="6" t="str">
        <f>IF(A347="","",IFERROR(AVERAGEIF(Chicks!$C:$C,A347,Chicks!$L:$L),""))</f>
        <v/>
      </c>
      <c r="F347" s="6" t="str">
        <f>IF(A347="","",IFERROR(AVERAGEIF(Chicks!$C:$C,A347,Chicks!$M:$M),""))</f>
        <v/>
      </c>
      <c r="G347" s="6" t="str">
        <f>IF(A347="","",SUMIFS(Chicks!$N:$N,Chicks!$C:$C,A347))</f>
        <v/>
      </c>
      <c r="H347" s="6" t="str">
        <f>IF(A347="","",SUMIFS(Chicks!$O:$O,Chicks!$C:$C,A347))</f>
        <v/>
      </c>
      <c r="I347" s="6" t="str">
        <f>IF(A347="","",SUMIFS(Chicks!$P:$P,Chicks!$C:$C,A347))</f>
        <v/>
      </c>
    </row>
    <row r="348" spans="1:9" ht="14.25" customHeight="1" x14ac:dyDescent="0.3">
      <c r="A348" s="4"/>
      <c r="B348" s="4" t="str">
        <f>IF(A348="","",COUNTIF(Chicks!$C:$C,A348))</f>
        <v/>
      </c>
      <c r="C348" s="4"/>
      <c r="D348" s="6" t="str">
        <f>IF(A348="","",IFERROR(AVERAGEIF(Chicks!$C:$C,A348,Chicks!$K:$K),""))</f>
        <v/>
      </c>
      <c r="E348" s="6" t="str">
        <f>IF(A348="","",IFERROR(AVERAGEIF(Chicks!$C:$C,A348,Chicks!$L:$L),""))</f>
        <v/>
      </c>
      <c r="F348" s="6" t="str">
        <f>IF(A348="","",IFERROR(AVERAGEIF(Chicks!$C:$C,A348,Chicks!$M:$M),""))</f>
        <v/>
      </c>
      <c r="G348" s="6" t="str">
        <f>IF(A348="","",SUMIFS(Chicks!$N:$N,Chicks!$C:$C,A348))</f>
        <v/>
      </c>
      <c r="H348" s="6" t="str">
        <f>IF(A348="","",SUMIFS(Chicks!$O:$O,Chicks!$C:$C,A348))</f>
        <v/>
      </c>
      <c r="I348" s="6" t="str">
        <f>IF(A348="","",SUMIFS(Chicks!$P:$P,Chicks!$C:$C,A348))</f>
        <v/>
      </c>
    </row>
    <row r="349" spans="1:9" ht="14.25" customHeight="1" x14ac:dyDescent="0.3">
      <c r="A349" s="4"/>
      <c r="B349" s="4" t="str">
        <f>IF(A349="","",COUNTIF(Chicks!$C:$C,A349))</f>
        <v/>
      </c>
      <c r="C349" s="4"/>
      <c r="D349" s="6" t="str">
        <f>IF(A349="","",IFERROR(AVERAGEIF(Chicks!$C:$C,A349,Chicks!$K:$K),""))</f>
        <v/>
      </c>
      <c r="E349" s="6" t="str">
        <f>IF(A349="","",IFERROR(AVERAGEIF(Chicks!$C:$C,A349,Chicks!$L:$L),""))</f>
        <v/>
      </c>
      <c r="F349" s="6" t="str">
        <f>IF(A349="","",IFERROR(AVERAGEIF(Chicks!$C:$C,A349,Chicks!$M:$M),""))</f>
        <v/>
      </c>
      <c r="G349" s="6" t="str">
        <f>IF(A349="","",SUMIFS(Chicks!$N:$N,Chicks!$C:$C,A349))</f>
        <v/>
      </c>
      <c r="H349" s="6" t="str">
        <f>IF(A349="","",SUMIFS(Chicks!$O:$O,Chicks!$C:$C,A349))</f>
        <v/>
      </c>
      <c r="I349" s="6" t="str">
        <f>IF(A349="","",SUMIFS(Chicks!$P:$P,Chicks!$C:$C,A349))</f>
        <v/>
      </c>
    </row>
    <row r="350" spans="1:9" ht="14.25" customHeight="1" x14ac:dyDescent="0.3">
      <c r="A350" s="4"/>
      <c r="B350" s="4" t="str">
        <f>IF(A350="","",COUNTIF(Chicks!$C:$C,A350))</f>
        <v/>
      </c>
      <c r="C350" s="4"/>
      <c r="D350" s="6" t="str">
        <f>IF(A350="","",IFERROR(AVERAGEIF(Chicks!$C:$C,A350,Chicks!$K:$K),""))</f>
        <v/>
      </c>
      <c r="E350" s="6" t="str">
        <f>IF(A350="","",IFERROR(AVERAGEIF(Chicks!$C:$C,A350,Chicks!$L:$L),""))</f>
        <v/>
      </c>
      <c r="F350" s="6" t="str">
        <f>IF(A350="","",IFERROR(AVERAGEIF(Chicks!$C:$C,A350,Chicks!$M:$M),""))</f>
        <v/>
      </c>
      <c r="G350" s="6" t="str">
        <f>IF(A350="","",SUMIFS(Chicks!$N:$N,Chicks!$C:$C,A350))</f>
        <v/>
      </c>
      <c r="H350" s="6" t="str">
        <f>IF(A350="","",SUMIFS(Chicks!$O:$O,Chicks!$C:$C,A350))</f>
        <v/>
      </c>
      <c r="I350" s="6" t="str">
        <f>IF(A350="","",SUMIFS(Chicks!$P:$P,Chicks!$C:$C,A350))</f>
        <v/>
      </c>
    </row>
    <row r="351" spans="1:9" ht="14.25" customHeight="1" x14ac:dyDescent="0.3">
      <c r="A351" s="4"/>
      <c r="B351" s="4" t="str">
        <f>IF(A351="","",COUNTIF(Chicks!$C:$C,A351))</f>
        <v/>
      </c>
      <c r="C351" s="4"/>
      <c r="D351" s="6" t="str">
        <f>IF(A351="","",IFERROR(AVERAGEIF(Chicks!$C:$C,A351,Chicks!$K:$K),""))</f>
        <v/>
      </c>
      <c r="E351" s="6" t="str">
        <f>IF(A351="","",IFERROR(AVERAGEIF(Chicks!$C:$C,A351,Chicks!$L:$L),""))</f>
        <v/>
      </c>
      <c r="F351" s="6" t="str">
        <f>IF(A351="","",IFERROR(AVERAGEIF(Chicks!$C:$C,A351,Chicks!$M:$M),""))</f>
        <v/>
      </c>
      <c r="G351" s="6" t="str">
        <f>IF(A351="","",SUMIFS(Chicks!$N:$N,Chicks!$C:$C,A351))</f>
        <v/>
      </c>
      <c r="H351" s="6" t="str">
        <f>IF(A351="","",SUMIFS(Chicks!$O:$O,Chicks!$C:$C,A351))</f>
        <v/>
      </c>
      <c r="I351" s="6" t="str">
        <f>IF(A351="","",SUMIFS(Chicks!$P:$P,Chicks!$C:$C,A351))</f>
        <v/>
      </c>
    </row>
    <row r="352" spans="1:9" ht="14.25" customHeight="1" x14ac:dyDescent="0.3">
      <c r="A352" s="4"/>
      <c r="B352" s="4" t="str">
        <f>IF(A352="","",COUNTIF(Chicks!$C:$C,A352))</f>
        <v/>
      </c>
      <c r="C352" s="4"/>
      <c r="D352" s="6" t="str">
        <f>IF(A352="","",IFERROR(AVERAGEIF(Chicks!$C:$C,A352,Chicks!$K:$K),""))</f>
        <v/>
      </c>
      <c r="E352" s="6" t="str">
        <f>IF(A352="","",IFERROR(AVERAGEIF(Chicks!$C:$C,A352,Chicks!$L:$L),""))</f>
        <v/>
      </c>
      <c r="F352" s="6" t="str">
        <f>IF(A352="","",IFERROR(AVERAGEIF(Chicks!$C:$C,A352,Chicks!$M:$M),""))</f>
        <v/>
      </c>
      <c r="G352" s="6" t="str">
        <f>IF(A352="","",SUMIFS(Chicks!$N:$N,Chicks!$C:$C,A352))</f>
        <v/>
      </c>
      <c r="H352" s="6" t="str">
        <f>IF(A352="","",SUMIFS(Chicks!$O:$O,Chicks!$C:$C,A352))</f>
        <v/>
      </c>
      <c r="I352" s="6" t="str">
        <f>IF(A352="","",SUMIFS(Chicks!$P:$P,Chicks!$C:$C,A352))</f>
        <v/>
      </c>
    </row>
    <row r="353" spans="1:9" ht="14.25" customHeight="1" x14ac:dyDescent="0.3">
      <c r="A353" s="4"/>
      <c r="B353" s="4" t="str">
        <f>IF(A353="","",COUNTIF(Chicks!$C:$C,A353))</f>
        <v/>
      </c>
      <c r="C353" s="4"/>
      <c r="D353" s="6" t="str">
        <f>IF(A353="","",IFERROR(AVERAGEIF(Chicks!$C:$C,A353,Chicks!$K:$K),""))</f>
        <v/>
      </c>
      <c r="E353" s="6" t="str">
        <f>IF(A353="","",IFERROR(AVERAGEIF(Chicks!$C:$C,A353,Chicks!$L:$L),""))</f>
        <v/>
      </c>
      <c r="F353" s="6" t="str">
        <f>IF(A353="","",IFERROR(AVERAGEIF(Chicks!$C:$C,A353,Chicks!$M:$M),""))</f>
        <v/>
      </c>
      <c r="G353" s="6" t="str">
        <f>IF(A353="","",SUMIFS(Chicks!$N:$N,Chicks!$C:$C,A353))</f>
        <v/>
      </c>
      <c r="H353" s="6" t="str">
        <f>IF(A353="","",SUMIFS(Chicks!$O:$O,Chicks!$C:$C,A353))</f>
        <v/>
      </c>
      <c r="I353" s="6" t="str">
        <f>IF(A353="","",SUMIFS(Chicks!$P:$P,Chicks!$C:$C,A353))</f>
        <v/>
      </c>
    </row>
    <row r="354" spans="1:9" ht="14.25" customHeight="1" x14ac:dyDescent="0.3">
      <c r="A354" s="4"/>
      <c r="B354" s="4" t="str">
        <f>IF(A354="","",COUNTIF(Chicks!$C:$C,A354))</f>
        <v/>
      </c>
      <c r="C354" s="4"/>
      <c r="D354" s="6" t="str">
        <f>IF(A354="","",IFERROR(AVERAGEIF(Chicks!$C:$C,A354,Chicks!$K:$K),""))</f>
        <v/>
      </c>
      <c r="E354" s="6" t="str">
        <f>IF(A354="","",IFERROR(AVERAGEIF(Chicks!$C:$C,A354,Chicks!$L:$L),""))</f>
        <v/>
      </c>
      <c r="F354" s="6" t="str">
        <f>IF(A354="","",IFERROR(AVERAGEIF(Chicks!$C:$C,A354,Chicks!$M:$M),""))</f>
        <v/>
      </c>
      <c r="G354" s="6" t="str">
        <f>IF(A354="","",SUMIFS(Chicks!$N:$N,Chicks!$C:$C,A354))</f>
        <v/>
      </c>
      <c r="H354" s="6" t="str">
        <f>IF(A354="","",SUMIFS(Chicks!$O:$O,Chicks!$C:$C,A354))</f>
        <v/>
      </c>
      <c r="I354" s="6" t="str">
        <f>IF(A354="","",SUMIFS(Chicks!$P:$P,Chicks!$C:$C,A354))</f>
        <v/>
      </c>
    </row>
    <row r="355" spans="1:9" ht="14.25" customHeight="1" x14ac:dyDescent="0.3">
      <c r="A355" s="4"/>
      <c r="B355" s="4" t="str">
        <f>IF(A355="","",COUNTIF(Chicks!$C:$C,A355))</f>
        <v/>
      </c>
      <c r="C355" s="4"/>
      <c r="D355" s="6" t="str">
        <f>IF(A355="","",IFERROR(AVERAGEIF(Chicks!$C:$C,A355,Chicks!$K:$K),""))</f>
        <v/>
      </c>
      <c r="E355" s="6" t="str">
        <f>IF(A355="","",IFERROR(AVERAGEIF(Chicks!$C:$C,A355,Chicks!$L:$L),""))</f>
        <v/>
      </c>
      <c r="F355" s="6" t="str">
        <f>IF(A355="","",IFERROR(AVERAGEIF(Chicks!$C:$C,A355,Chicks!$M:$M),""))</f>
        <v/>
      </c>
      <c r="G355" s="6" t="str">
        <f>IF(A355="","",SUMIFS(Chicks!$N:$N,Chicks!$C:$C,A355))</f>
        <v/>
      </c>
      <c r="H355" s="6" t="str">
        <f>IF(A355="","",SUMIFS(Chicks!$O:$O,Chicks!$C:$C,A355))</f>
        <v/>
      </c>
      <c r="I355" s="6" t="str">
        <f>IF(A355="","",SUMIFS(Chicks!$P:$P,Chicks!$C:$C,A355))</f>
        <v/>
      </c>
    </row>
    <row r="356" spans="1:9" ht="14.25" customHeight="1" x14ac:dyDescent="0.3">
      <c r="A356" s="4"/>
      <c r="B356" s="4" t="str">
        <f>IF(A356="","",COUNTIF(Chicks!$C:$C,A356))</f>
        <v/>
      </c>
      <c r="C356" s="4"/>
      <c r="D356" s="6" t="str">
        <f>IF(A356="","",IFERROR(AVERAGEIF(Chicks!$C:$C,A356,Chicks!$K:$K),""))</f>
        <v/>
      </c>
      <c r="E356" s="6" t="str">
        <f>IF(A356="","",IFERROR(AVERAGEIF(Chicks!$C:$C,A356,Chicks!$L:$L),""))</f>
        <v/>
      </c>
      <c r="F356" s="6" t="str">
        <f>IF(A356="","",IFERROR(AVERAGEIF(Chicks!$C:$C,A356,Chicks!$M:$M),""))</f>
        <v/>
      </c>
      <c r="G356" s="6" t="str">
        <f>IF(A356="","",SUMIFS(Chicks!$N:$N,Chicks!$C:$C,A356))</f>
        <v/>
      </c>
      <c r="H356" s="6" t="str">
        <f>IF(A356="","",SUMIFS(Chicks!$O:$O,Chicks!$C:$C,A356))</f>
        <v/>
      </c>
      <c r="I356" s="6" t="str">
        <f>IF(A356="","",SUMIFS(Chicks!$P:$P,Chicks!$C:$C,A356))</f>
        <v/>
      </c>
    </row>
    <row r="357" spans="1:9" ht="14.25" customHeight="1" x14ac:dyDescent="0.3">
      <c r="A357" s="4"/>
      <c r="B357" s="4" t="str">
        <f>IF(A357="","",COUNTIF(Chicks!$C:$C,A357))</f>
        <v/>
      </c>
      <c r="C357" s="4"/>
      <c r="D357" s="6" t="str">
        <f>IF(A357="","",IFERROR(AVERAGEIF(Chicks!$C:$C,A357,Chicks!$K:$K),""))</f>
        <v/>
      </c>
      <c r="E357" s="6" t="str">
        <f>IF(A357="","",IFERROR(AVERAGEIF(Chicks!$C:$C,A357,Chicks!$L:$L),""))</f>
        <v/>
      </c>
      <c r="F357" s="6" t="str">
        <f>IF(A357="","",IFERROR(AVERAGEIF(Chicks!$C:$C,A357,Chicks!$M:$M),""))</f>
        <v/>
      </c>
      <c r="G357" s="6" t="str">
        <f>IF(A357="","",SUMIFS(Chicks!$N:$N,Chicks!$C:$C,A357))</f>
        <v/>
      </c>
      <c r="H357" s="6" t="str">
        <f>IF(A357="","",SUMIFS(Chicks!$O:$O,Chicks!$C:$C,A357))</f>
        <v/>
      </c>
      <c r="I357" s="6" t="str">
        <f>IF(A357="","",SUMIFS(Chicks!$P:$P,Chicks!$C:$C,A357))</f>
        <v/>
      </c>
    </row>
    <row r="358" spans="1:9" ht="14.25" customHeight="1" x14ac:dyDescent="0.3">
      <c r="A358" s="4"/>
      <c r="B358" s="4" t="str">
        <f>IF(A358="","",COUNTIF(Chicks!$C:$C,A358))</f>
        <v/>
      </c>
      <c r="C358" s="4"/>
      <c r="D358" s="6" t="str">
        <f>IF(A358="","",IFERROR(AVERAGEIF(Chicks!$C:$C,A358,Chicks!$K:$K),""))</f>
        <v/>
      </c>
      <c r="E358" s="6" t="str">
        <f>IF(A358="","",IFERROR(AVERAGEIF(Chicks!$C:$C,A358,Chicks!$L:$L),""))</f>
        <v/>
      </c>
      <c r="F358" s="6" t="str">
        <f>IF(A358="","",IFERROR(AVERAGEIF(Chicks!$C:$C,A358,Chicks!$M:$M),""))</f>
        <v/>
      </c>
      <c r="G358" s="6" t="str">
        <f>IF(A358="","",SUMIFS(Chicks!$N:$N,Chicks!$C:$C,A358))</f>
        <v/>
      </c>
      <c r="H358" s="6" t="str">
        <f>IF(A358="","",SUMIFS(Chicks!$O:$O,Chicks!$C:$C,A358))</f>
        <v/>
      </c>
      <c r="I358" s="6" t="str">
        <f>IF(A358="","",SUMIFS(Chicks!$P:$P,Chicks!$C:$C,A358))</f>
        <v/>
      </c>
    </row>
    <row r="359" spans="1:9" ht="14.25" customHeight="1" x14ac:dyDescent="0.3">
      <c r="A359" s="4"/>
      <c r="B359" s="4" t="str">
        <f>IF(A359="","",COUNTIF(Chicks!$C:$C,A359))</f>
        <v/>
      </c>
      <c r="C359" s="4"/>
      <c r="D359" s="6" t="str">
        <f>IF(A359="","",IFERROR(AVERAGEIF(Chicks!$C:$C,A359,Chicks!$K:$K),""))</f>
        <v/>
      </c>
      <c r="E359" s="6" t="str">
        <f>IF(A359="","",IFERROR(AVERAGEIF(Chicks!$C:$C,A359,Chicks!$L:$L),""))</f>
        <v/>
      </c>
      <c r="F359" s="6" t="str">
        <f>IF(A359="","",IFERROR(AVERAGEIF(Chicks!$C:$C,A359,Chicks!$M:$M),""))</f>
        <v/>
      </c>
      <c r="G359" s="6" t="str">
        <f>IF(A359="","",SUMIFS(Chicks!$N:$N,Chicks!$C:$C,A359))</f>
        <v/>
      </c>
      <c r="H359" s="6" t="str">
        <f>IF(A359="","",SUMIFS(Chicks!$O:$O,Chicks!$C:$C,A359))</f>
        <v/>
      </c>
      <c r="I359" s="6" t="str">
        <f>IF(A359="","",SUMIFS(Chicks!$P:$P,Chicks!$C:$C,A359))</f>
        <v/>
      </c>
    </row>
    <row r="360" spans="1:9" ht="14.25" customHeight="1" x14ac:dyDescent="0.3">
      <c r="A360" s="4"/>
      <c r="B360" s="4" t="str">
        <f>IF(A360="","",COUNTIF(Chicks!$C:$C,A360))</f>
        <v/>
      </c>
      <c r="C360" s="4"/>
      <c r="D360" s="6" t="str">
        <f>IF(A360="","",IFERROR(AVERAGEIF(Chicks!$C:$C,A360,Chicks!$K:$K),""))</f>
        <v/>
      </c>
      <c r="E360" s="6" t="str">
        <f>IF(A360="","",IFERROR(AVERAGEIF(Chicks!$C:$C,A360,Chicks!$L:$L),""))</f>
        <v/>
      </c>
      <c r="F360" s="6" t="str">
        <f>IF(A360="","",IFERROR(AVERAGEIF(Chicks!$C:$C,A360,Chicks!$M:$M),""))</f>
        <v/>
      </c>
      <c r="G360" s="6" t="str">
        <f>IF(A360="","",SUMIFS(Chicks!$N:$N,Chicks!$C:$C,A360))</f>
        <v/>
      </c>
      <c r="H360" s="6" t="str">
        <f>IF(A360="","",SUMIFS(Chicks!$O:$O,Chicks!$C:$C,A360))</f>
        <v/>
      </c>
      <c r="I360" s="6" t="str">
        <f>IF(A360="","",SUMIFS(Chicks!$P:$P,Chicks!$C:$C,A360))</f>
        <v/>
      </c>
    </row>
    <row r="361" spans="1:9" ht="14.25" customHeight="1" x14ac:dyDescent="0.3">
      <c r="A361" s="4"/>
      <c r="B361" s="4" t="str">
        <f>IF(A361="","",COUNTIF(Chicks!$C:$C,A361))</f>
        <v/>
      </c>
      <c r="C361" s="4"/>
      <c r="D361" s="6" t="str">
        <f>IF(A361="","",IFERROR(AVERAGEIF(Chicks!$C:$C,A361,Chicks!$K:$K),""))</f>
        <v/>
      </c>
      <c r="E361" s="6" t="str">
        <f>IF(A361="","",IFERROR(AVERAGEIF(Chicks!$C:$C,A361,Chicks!$L:$L),""))</f>
        <v/>
      </c>
      <c r="F361" s="6" t="str">
        <f>IF(A361="","",IFERROR(AVERAGEIF(Chicks!$C:$C,A361,Chicks!$M:$M),""))</f>
        <v/>
      </c>
      <c r="G361" s="6" t="str">
        <f>IF(A361="","",SUMIFS(Chicks!$N:$N,Chicks!$C:$C,A361))</f>
        <v/>
      </c>
      <c r="H361" s="6" t="str">
        <f>IF(A361="","",SUMIFS(Chicks!$O:$O,Chicks!$C:$C,A361))</f>
        <v/>
      </c>
      <c r="I361" s="6" t="str">
        <f>IF(A361="","",SUMIFS(Chicks!$P:$P,Chicks!$C:$C,A361))</f>
        <v/>
      </c>
    </row>
    <row r="362" spans="1:9" ht="14.25" customHeight="1" x14ac:dyDescent="0.3">
      <c r="A362" s="4"/>
      <c r="B362" s="4" t="str">
        <f>IF(A362="","",COUNTIF(Chicks!$C:$C,A362))</f>
        <v/>
      </c>
      <c r="C362" s="4"/>
      <c r="D362" s="6" t="str">
        <f>IF(A362="","",IFERROR(AVERAGEIF(Chicks!$C:$C,A362,Chicks!$K:$K),""))</f>
        <v/>
      </c>
      <c r="E362" s="6" t="str">
        <f>IF(A362="","",IFERROR(AVERAGEIF(Chicks!$C:$C,A362,Chicks!$L:$L),""))</f>
        <v/>
      </c>
      <c r="F362" s="6" t="str">
        <f>IF(A362="","",IFERROR(AVERAGEIF(Chicks!$C:$C,A362,Chicks!$M:$M),""))</f>
        <v/>
      </c>
      <c r="G362" s="6" t="str">
        <f>IF(A362="","",SUMIFS(Chicks!$N:$N,Chicks!$C:$C,A362))</f>
        <v/>
      </c>
      <c r="H362" s="6" t="str">
        <f>IF(A362="","",SUMIFS(Chicks!$O:$O,Chicks!$C:$C,A362))</f>
        <v/>
      </c>
      <c r="I362" s="6" t="str">
        <f>IF(A362="","",SUMIFS(Chicks!$P:$P,Chicks!$C:$C,A362))</f>
        <v/>
      </c>
    </row>
    <row r="363" spans="1:9" ht="14.25" customHeight="1" x14ac:dyDescent="0.3">
      <c r="A363" s="4"/>
      <c r="B363" s="4" t="str">
        <f>IF(A363="","",COUNTIF(Chicks!$C:$C,A363))</f>
        <v/>
      </c>
      <c r="C363" s="4"/>
      <c r="D363" s="6" t="str">
        <f>IF(A363="","",IFERROR(AVERAGEIF(Chicks!$C:$C,A363,Chicks!$K:$K),""))</f>
        <v/>
      </c>
      <c r="E363" s="6" t="str">
        <f>IF(A363="","",IFERROR(AVERAGEIF(Chicks!$C:$C,A363,Chicks!$L:$L),""))</f>
        <v/>
      </c>
      <c r="F363" s="6" t="str">
        <f>IF(A363="","",IFERROR(AVERAGEIF(Chicks!$C:$C,A363,Chicks!$M:$M),""))</f>
        <v/>
      </c>
      <c r="G363" s="6" t="str">
        <f>IF(A363="","",SUMIFS(Chicks!$N:$N,Chicks!$C:$C,A363))</f>
        <v/>
      </c>
      <c r="H363" s="6" t="str">
        <f>IF(A363="","",SUMIFS(Chicks!$O:$O,Chicks!$C:$C,A363))</f>
        <v/>
      </c>
      <c r="I363" s="6" t="str">
        <f>IF(A363="","",SUMIFS(Chicks!$P:$P,Chicks!$C:$C,A363))</f>
        <v/>
      </c>
    </row>
    <row r="364" spans="1:9" ht="14.25" customHeight="1" x14ac:dyDescent="0.3">
      <c r="A364" s="4"/>
      <c r="B364" s="4" t="str">
        <f>IF(A364="","",COUNTIF(Chicks!$C:$C,A364))</f>
        <v/>
      </c>
      <c r="C364" s="4"/>
      <c r="D364" s="6" t="str">
        <f>IF(A364="","",IFERROR(AVERAGEIF(Chicks!$C:$C,A364,Chicks!$K:$K),""))</f>
        <v/>
      </c>
      <c r="E364" s="6" t="str">
        <f>IF(A364="","",IFERROR(AVERAGEIF(Chicks!$C:$C,A364,Chicks!$L:$L),""))</f>
        <v/>
      </c>
      <c r="F364" s="6" t="str">
        <f>IF(A364="","",IFERROR(AVERAGEIF(Chicks!$C:$C,A364,Chicks!$M:$M),""))</f>
        <v/>
      </c>
      <c r="G364" s="6" t="str">
        <f>IF(A364="","",SUMIFS(Chicks!$N:$N,Chicks!$C:$C,A364))</f>
        <v/>
      </c>
      <c r="H364" s="6" t="str">
        <f>IF(A364="","",SUMIFS(Chicks!$O:$O,Chicks!$C:$C,A364))</f>
        <v/>
      </c>
      <c r="I364" s="6" t="str">
        <f>IF(A364="","",SUMIFS(Chicks!$P:$P,Chicks!$C:$C,A364))</f>
        <v/>
      </c>
    </row>
    <row r="365" spans="1:9" ht="14.25" customHeight="1" x14ac:dyDescent="0.3">
      <c r="A365" s="4"/>
      <c r="B365" s="4" t="str">
        <f>IF(A365="","",COUNTIF(Chicks!$C:$C,A365))</f>
        <v/>
      </c>
      <c r="C365" s="4"/>
      <c r="D365" s="6" t="str">
        <f>IF(A365="","",IFERROR(AVERAGEIF(Chicks!$C:$C,A365,Chicks!$K:$K),""))</f>
        <v/>
      </c>
      <c r="E365" s="6" t="str">
        <f>IF(A365="","",IFERROR(AVERAGEIF(Chicks!$C:$C,A365,Chicks!$L:$L),""))</f>
        <v/>
      </c>
      <c r="F365" s="6" t="str">
        <f>IF(A365="","",IFERROR(AVERAGEIF(Chicks!$C:$C,A365,Chicks!$M:$M),""))</f>
        <v/>
      </c>
      <c r="G365" s="6" t="str">
        <f>IF(A365="","",SUMIFS(Chicks!$N:$N,Chicks!$C:$C,A365))</f>
        <v/>
      </c>
      <c r="H365" s="6" t="str">
        <f>IF(A365="","",SUMIFS(Chicks!$O:$O,Chicks!$C:$C,A365))</f>
        <v/>
      </c>
      <c r="I365" s="6" t="str">
        <f>IF(A365="","",SUMIFS(Chicks!$P:$P,Chicks!$C:$C,A365))</f>
        <v/>
      </c>
    </row>
    <row r="366" spans="1:9" ht="14.25" customHeight="1" x14ac:dyDescent="0.3">
      <c r="A366" s="4"/>
      <c r="B366" s="4" t="str">
        <f>IF(A366="","",COUNTIF(Chicks!$C:$C,A366))</f>
        <v/>
      </c>
      <c r="C366" s="4"/>
      <c r="D366" s="6" t="str">
        <f>IF(A366="","",IFERROR(AVERAGEIF(Chicks!$C:$C,A366,Chicks!$K:$K),""))</f>
        <v/>
      </c>
      <c r="E366" s="6" t="str">
        <f>IF(A366="","",IFERROR(AVERAGEIF(Chicks!$C:$C,A366,Chicks!$L:$L),""))</f>
        <v/>
      </c>
      <c r="F366" s="6" t="str">
        <f>IF(A366="","",IFERROR(AVERAGEIF(Chicks!$C:$C,A366,Chicks!$M:$M),""))</f>
        <v/>
      </c>
      <c r="G366" s="6" t="str">
        <f>IF(A366="","",SUMIFS(Chicks!$N:$N,Chicks!$C:$C,A366))</f>
        <v/>
      </c>
      <c r="H366" s="6" t="str">
        <f>IF(A366="","",SUMIFS(Chicks!$O:$O,Chicks!$C:$C,A366))</f>
        <v/>
      </c>
      <c r="I366" s="6" t="str">
        <f>IF(A366="","",SUMIFS(Chicks!$P:$P,Chicks!$C:$C,A366))</f>
        <v/>
      </c>
    </row>
    <row r="367" spans="1:9" ht="14.25" customHeight="1" x14ac:dyDescent="0.3">
      <c r="A367" s="4"/>
      <c r="B367" s="4" t="str">
        <f>IF(A367="","",COUNTIF(Chicks!$C:$C,A367))</f>
        <v/>
      </c>
      <c r="C367" s="4"/>
      <c r="D367" s="6" t="str">
        <f>IF(A367="","",IFERROR(AVERAGEIF(Chicks!$C:$C,A367,Chicks!$K:$K),""))</f>
        <v/>
      </c>
      <c r="E367" s="6" t="str">
        <f>IF(A367="","",IFERROR(AVERAGEIF(Chicks!$C:$C,A367,Chicks!$L:$L),""))</f>
        <v/>
      </c>
      <c r="F367" s="6" t="str">
        <f>IF(A367="","",IFERROR(AVERAGEIF(Chicks!$C:$C,A367,Chicks!$M:$M),""))</f>
        <v/>
      </c>
      <c r="G367" s="6" t="str">
        <f>IF(A367="","",SUMIFS(Chicks!$N:$N,Chicks!$C:$C,A367))</f>
        <v/>
      </c>
      <c r="H367" s="6" t="str">
        <f>IF(A367="","",SUMIFS(Chicks!$O:$O,Chicks!$C:$C,A367))</f>
        <v/>
      </c>
      <c r="I367" s="6" t="str">
        <f>IF(A367="","",SUMIFS(Chicks!$P:$P,Chicks!$C:$C,A367))</f>
        <v/>
      </c>
    </row>
    <row r="368" spans="1:9" ht="14.25" customHeight="1" x14ac:dyDescent="0.3">
      <c r="A368" s="4"/>
      <c r="B368" s="4" t="str">
        <f>IF(A368="","",COUNTIF(Chicks!$C:$C,A368))</f>
        <v/>
      </c>
      <c r="C368" s="4"/>
      <c r="D368" s="6" t="str">
        <f>IF(A368="","",IFERROR(AVERAGEIF(Chicks!$C:$C,A368,Chicks!$K:$K),""))</f>
        <v/>
      </c>
      <c r="E368" s="6" t="str">
        <f>IF(A368="","",IFERROR(AVERAGEIF(Chicks!$C:$C,A368,Chicks!$L:$L),""))</f>
        <v/>
      </c>
      <c r="F368" s="6" t="str">
        <f>IF(A368="","",IFERROR(AVERAGEIF(Chicks!$C:$C,A368,Chicks!$M:$M),""))</f>
        <v/>
      </c>
      <c r="G368" s="6" t="str">
        <f>IF(A368="","",SUMIFS(Chicks!$N:$N,Chicks!$C:$C,A368))</f>
        <v/>
      </c>
      <c r="H368" s="6" t="str">
        <f>IF(A368="","",SUMIFS(Chicks!$O:$O,Chicks!$C:$C,A368))</f>
        <v/>
      </c>
      <c r="I368" s="6" t="str">
        <f>IF(A368="","",SUMIFS(Chicks!$P:$P,Chicks!$C:$C,A368))</f>
        <v/>
      </c>
    </row>
    <row r="369" spans="1:9" ht="14.25" customHeight="1" x14ac:dyDescent="0.3">
      <c r="A369" s="4"/>
      <c r="B369" s="4" t="str">
        <f>IF(A369="","",COUNTIF(Chicks!$C:$C,A369))</f>
        <v/>
      </c>
      <c r="C369" s="4"/>
      <c r="D369" s="6" t="str">
        <f>IF(A369="","",IFERROR(AVERAGEIF(Chicks!$C:$C,A369,Chicks!$K:$K),""))</f>
        <v/>
      </c>
      <c r="E369" s="6" t="str">
        <f>IF(A369="","",IFERROR(AVERAGEIF(Chicks!$C:$C,A369,Chicks!$L:$L),""))</f>
        <v/>
      </c>
      <c r="F369" s="6" t="str">
        <f>IF(A369="","",IFERROR(AVERAGEIF(Chicks!$C:$C,A369,Chicks!$M:$M),""))</f>
        <v/>
      </c>
      <c r="G369" s="6" t="str">
        <f>IF(A369="","",SUMIFS(Chicks!$N:$N,Chicks!$C:$C,A369))</f>
        <v/>
      </c>
      <c r="H369" s="6" t="str">
        <f>IF(A369="","",SUMIFS(Chicks!$O:$O,Chicks!$C:$C,A369))</f>
        <v/>
      </c>
      <c r="I369" s="6" t="str">
        <f>IF(A369="","",SUMIFS(Chicks!$P:$P,Chicks!$C:$C,A369))</f>
        <v/>
      </c>
    </row>
    <row r="370" spans="1:9" ht="14.25" customHeight="1" x14ac:dyDescent="0.3">
      <c r="A370" s="4"/>
      <c r="B370" s="4" t="str">
        <f>IF(A370="","",COUNTIF(Chicks!$C:$C,A370))</f>
        <v/>
      </c>
      <c r="C370" s="4"/>
      <c r="D370" s="6" t="str">
        <f>IF(A370="","",IFERROR(AVERAGEIF(Chicks!$C:$C,A370,Chicks!$K:$K),""))</f>
        <v/>
      </c>
      <c r="E370" s="6" t="str">
        <f>IF(A370="","",IFERROR(AVERAGEIF(Chicks!$C:$C,A370,Chicks!$L:$L),""))</f>
        <v/>
      </c>
      <c r="F370" s="6" t="str">
        <f>IF(A370="","",IFERROR(AVERAGEIF(Chicks!$C:$C,A370,Chicks!$M:$M),""))</f>
        <v/>
      </c>
      <c r="G370" s="6" t="str">
        <f>IF(A370="","",SUMIFS(Chicks!$N:$N,Chicks!$C:$C,A370))</f>
        <v/>
      </c>
      <c r="H370" s="6" t="str">
        <f>IF(A370="","",SUMIFS(Chicks!$O:$O,Chicks!$C:$C,A370))</f>
        <v/>
      </c>
      <c r="I370" s="6" t="str">
        <f>IF(A370="","",SUMIFS(Chicks!$P:$P,Chicks!$C:$C,A370))</f>
        <v/>
      </c>
    </row>
    <row r="371" spans="1:9" ht="14.25" customHeight="1" x14ac:dyDescent="0.3">
      <c r="A371" s="4"/>
      <c r="B371" s="4" t="str">
        <f>IF(A371="","",COUNTIF(Chicks!$C:$C,A371))</f>
        <v/>
      </c>
      <c r="C371" s="4"/>
      <c r="D371" s="6" t="str">
        <f>IF(A371="","",IFERROR(AVERAGEIF(Chicks!$C:$C,A371,Chicks!$K:$K),""))</f>
        <v/>
      </c>
      <c r="E371" s="6" t="str">
        <f>IF(A371="","",IFERROR(AVERAGEIF(Chicks!$C:$C,A371,Chicks!$L:$L),""))</f>
        <v/>
      </c>
      <c r="F371" s="6" t="str">
        <f>IF(A371="","",IFERROR(AVERAGEIF(Chicks!$C:$C,A371,Chicks!$M:$M),""))</f>
        <v/>
      </c>
      <c r="G371" s="6" t="str">
        <f>IF(A371="","",SUMIFS(Chicks!$N:$N,Chicks!$C:$C,A371))</f>
        <v/>
      </c>
      <c r="H371" s="6" t="str">
        <f>IF(A371="","",SUMIFS(Chicks!$O:$O,Chicks!$C:$C,A371))</f>
        <v/>
      </c>
      <c r="I371" s="6" t="str">
        <f>IF(A371="","",SUMIFS(Chicks!$P:$P,Chicks!$C:$C,A371))</f>
        <v/>
      </c>
    </row>
    <row r="372" spans="1:9" ht="14.25" customHeight="1" x14ac:dyDescent="0.3">
      <c r="A372" s="4"/>
      <c r="B372" s="4" t="str">
        <f>IF(A372="","",COUNTIF(Chicks!$C:$C,A372))</f>
        <v/>
      </c>
      <c r="C372" s="4"/>
      <c r="D372" s="6" t="str">
        <f>IF(A372="","",IFERROR(AVERAGEIF(Chicks!$C:$C,A372,Chicks!$K:$K),""))</f>
        <v/>
      </c>
      <c r="E372" s="6" t="str">
        <f>IF(A372="","",IFERROR(AVERAGEIF(Chicks!$C:$C,A372,Chicks!$L:$L),""))</f>
        <v/>
      </c>
      <c r="F372" s="6" t="str">
        <f>IF(A372="","",IFERROR(AVERAGEIF(Chicks!$C:$C,A372,Chicks!$M:$M),""))</f>
        <v/>
      </c>
      <c r="G372" s="6" t="str">
        <f>IF(A372="","",SUMIFS(Chicks!$N:$N,Chicks!$C:$C,A372))</f>
        <v/>
      </c>
      <c r="H372" s="6" t="str">
        <f>IF(A372="","",SUMIFS(Chicks!$O:$O,Chicks!$C:$C,A372))</f>
        <v/>
      </c>
      <c r="I372" s="6" t="str">
        <f>IF(A372="","",SUMIFS(Chicks!$P:$P,Chicks!$C:$C,A372))</f>
        <v/>
      </c>
    </row>
    <row r="373" spans="1:9" ht="14.25" customHeight="1" x14ac:dyDescent="0.3">
      <c r="A373" s="4"/>
      <c r="B373" s="4" t="str">
        <f>IF(A373="","",COUNTIF(Chicks!$C:$C,A373))</f>
        <v/>
      </c>
      <c r="C373" s="4"/>
      <c r="D373" s="6" t="str">
        <f>IF(A373="","",IFERROR(AVERAGEIF(Chicks!$C:$C,A373,Chicks!$K:$K),""))</f>
        <v/>
      </c>
      <c r="E373" s="6" t="str">
        <f>IF(A373="","",IFERROR(AVERAGEIF(Chicks!$C:$C,A373,Chicks!$L:$L),""))</f>
        <v/>
      </c>
      <c r="F373" s="6" t="str">
        <f>IF(A373="","",IFERROR(AVERAGEIF(Chicks!$C:$C,A373,Chicks!$M:$M),""))</f>
        <v/>
      </c>
      <c r="G373" s="6" t="str">
        <f>IF(A373="","",SUMIFS(Chicks!$N:$N,Chicks!$C:$C,A373))</f>
        <v/>
      </c>
      <c r="H373" s="6" t="str">
        <f>IF(A373="","",SUMIFS(Chicks!$O:$O,Chicks!$C:$C,A373))</f>
        <v/>
      </c>
      <c r="I373" s="6" t="str">
        <f>IF(A373="","",SUMIFS(Chicks!$P:$P,Chicks!$C:$C,A373))</f>
        <v/>
      </c>
    </row>
    <row r="374" spans="1:9" ht="14.25" customHeight="1" x14ac:dyDescent="0.3">
      <c r="A374" s="4"/>
      <c r="B374" s="4" t="str">
        <f>IF(A374="","",COUNTIF(Chicks!$C:$C,A374))</f>
        <v/>
      </c>
      <c r="C374" s="4"/>
      <c r="D374" s="6" t="str">
        <f>IF(A374="","",IFERROR(AVERAGEIF(Chicks!$C:$C,A374,Chicks!$K:$K),""))</f>
        <v/>
      </c>
      <c r="E374" s="6" t="str">
        <f>IF(A374="","",IFERROR(AVERAGEIF(Chicks!$C:$C,A374,Chicks!$L:$L),""))</f>
        <v/>
      </c>
      <c r="F374" s="6" t="str">
        <f>IF(A374="","",IFERROR(AVERAGEIF(Chicks!$C:$C,A374,Chicks!$M:$M),""))</f>
        <v/>
      </c>
      <c r="G374" s="6" t="str">
        <f>IF(A374="","",SUMIFS(Chicks!$N:$N,Chicks!$C:$C,A374))</f>
        <v/>
      </c>
      <c r="H374" s="6" t="str">
        <f>IF(A374="","",SUMIFS(Chicks!$O:$O,Chicks!$C:$C,A374))</f>
        <v/>
      </c>
      <c r="I374" s="6" t="str">
        <f>IF(A374="","",SUMIFS(Chicks!$P:$P,Chicks!$C:$C,A374))</f>
        <v/>
      </c>
    </row>
    <row r="375" spans="1:9" ht="14.25" customHeight="1" x14ac:dyDescent="0.3">
      <c r="A375" s="4"/>
      <c r="B375" s="4" t="str">
        <f>IF(A375="","",COUNTIF(Chicks!$C:$C,A375))</f>
        <v/>
      </c>
      <c r="C375" s="4"/>
      <c r="D375" s="6" t="str">
        <f>IF(A375="","",IFERROR(AVERAGEIF(Chicks!$C:$C,A375,Chicks!$K:$K),""))</f>
        <v/>
      </c>
      <c r="E375" s="6" t="str">
        <f>IF(A375="","",IFERROR(AVERAGEIF(Chicks!$C:$C,A375,Chicks!$L:$L),""))</f>
        <v/>
      </c>
      <c r="F375" s="6" t="str">
        <f>IF(A375="","",IFERROR(AVERAGEIF(Chicks!$C:$C,A375,Chicks!$M:$M),""))</f>
        <v/>
      </c>
      <c r="G375" s="6" t="str">
        <f>IF(A375="","",SUMIFS(Chicks!$N:$N,Chicks!$C:$C,A375))</f>
        <v/>
      </c>
      <c r="H375" s="6" t="str">
        <f>IF(A375="","",SUMIFS(Chicks!$O:$O,Chicks!$C:$C,A375))</f>
        <v/>
      </c>
      <c r="I375" s="6" t="str">
        <f>IF(A375="","",SUMIFS(Chicks!$P:$P,Chicks!$C:$C,A375))</f>
        <v/>
      </c>
    </row>
    <row r="376" spans="1:9" ht="14.25" customHeight="1" x14ac:dyDescent="0.3">
      <c r="A376" s="4"/>
      <c r="B376" s="4" t="str">
        <f>IF(A376="","",COUNTIF(Chicks!$C:$C,A376))</f>
        <v/>
      </c>
      <c r="C376" s="4"/>
      <c r="D376" s="6" t="str">
        <f>IF(A376="","",IFERROR(AVERAGEIF(Chicks!$C:$C,A376,Chicks!$K:$K),""))</f>
        <v/>
      </c>
      <c r="E376" s="6" t="str">
        <f>IF(A376="","",IFERROR(AVERAGEIF(Chicks!$C:$C,A376,Chicks!$L:$L),""))</f>
        <v/>
      </c>
      <c r="F376" s="6" t="str">
        <f>IF(A376="","",IFERROR(AVERAGEIF(Chicks!$C:$C,A376,Chicks!$M:$M),""))</f>
        <v/>
      </c>
      <c r="G376" s="6" t="str">
        <f>IF(A376="","",SUMIFS(Chicks!$N:$N,Chicks!$C:$C,A376))</f>
        <v/>
      </c>
      <c r="H376" s="6" t="str">
        <f>IF(A376="","",SUMIFS(Chicks!$O:$O,Chicks!$C:$C,A376))</f>
        <v/>
      </c>
      <c r="I376" s="6" t="str">
        <f>IF(A376="","",SUMIFS(Chicks!$P:$P,Chicks!$C:$C,A376))</f>
        <v/>
      </c>
    </row>
    <row r="377" spans="1:9" ht="14.25" customHeight="1" x14ac:dyDescent="0.3">
      <c r="A377" s="4"/>
      <c r="B377" s="4" t="str">
        <f>IF(A377="","",COUNTIF(Chicks!$C:$C,A377))</f>
        <v/>
      </c>
      <c r="C377" s="4"/>
      <c r="D377" s="6" t="str">
        <f>IF(A377="","",IFERROR(AVERAGEIF(Chicks!$C:$C,A377,Chicks!$K:$K),""))</f>
        <v/>
      </c>
      <c r="E377" s="6" t="str">
        <f>IF(A377="","",IFERROR(AVERAGEIF(Chicks!$C:$C,A377,Chicks!$L:$L),""))</f>
        <v/>
      </c>
      <c r="F377" s="6" t="str">
        <f>IF(A377="","",IFERROR(AVERAGEIF(Chicks!$C:$C,A377,Chicks!$M:$M),""))</f>
        <v/>
      </c>
      <c r="G377" s="6" t="str">
        <f>IF(A377="","",SUMIFS(Chicks!$N:$N,Chicks!$C:$C,A377))</f>
        <v/>
      </c>
      <c r="H377" s="6" t="str">
        <f>IF(A377="","",SUMIFS(Chicks!$O:$O,Chicks!$C:$C,A377))</f>
        <v/>
      </c>
      <c r="I377" s="6" t="str">
        <f>IF(A377="","",SUMIFS(Chicks!$P:$P,Chicks!$C:$C,A377))</f>
        <v/>
      </c>
    </row>
    <row r="378" spans="1:9" ht="14.25" customHeight="1" x14ac:dyDescent="0.3">
      <c r="A378" s="4"/>
      <c r="B378" s="4" t="str">
        <f>IF(A378="","",COUNTIF(Chicks!$C:$C,A378))</f>
        <v/>
      </c>
      <c r="C378" s="4"/>
      <c r="D378" s="6" t="str">
        <f>IF(A378="","",IFERROR(AVERAGEIF(Chicks!$C:$C,A378,Chicks!$K:$K),""))</f>
        <v/>
      </c>
      <c r="E378" s="6" t="str">
        <f>IF(A378="","",IFERROR(AVERAGEIF(Chicks!$C:$C,A378,Chicks!$L:$L),""))</f>
        <v/>
      </c>
      <c r="F378" s="6" t="str">
        <f>IF(A378="","",IFERROR(AVERAGEIF(Chicks!$C:$C,A378,Chicks!$M:$M),""))</f>
        <v/>
      </c>
      <c r="G378" s="6" t="str">
        <f>IF(A378="","",SUMIFS(Chicks!$N:$N,Chicks!$C:$C,A378))</f>
        <v/>
      </c>
      <c r="H378" s="6" t="str">
        <f>IF(A378="","",SUMIFS(Chicks!$O:$O,Chicks!$C:$C,A378))</f>
        <v/>
      </c>
      <c r="I378" s="6" t="str">
        <f>IF(A378="","",SUMIFS(Chicks!$P:$P,Chicks!$C:$C,A378))</f>
        <v/>
      </c>
    </row>
    <row r="379" spans="1:9" ht="14.25" customHeight="1" x14ac:dyDescent="0.3">
      <c r="A379" s="4"/>
      <c r="B379" s="4" t="str">
        <f>IF(A379="","",COUNTIF(Chicks!$C:$C,A379))</f>
        <v/>
      </c>
      <c r="C379" s="4"/>
      <c r="D379" s="6" t="str">
        <f>IF(A379="","",IFERROR(AVERAGEIF(Chicks!$C:$C,A379,Chicks!$K:$K),""))</f>
        <v/>
      </c>
      <c r="E379" s="6" t="str">
        <f>IF(A379="","",IFERROR(AVERAGEIF(Chicks!$C:$C,A379,Chicks!$L:$L),""))</f>
        <v/>
      </c>
      <c r="F379" s="6" t="str">
        <f>IF(A379="","",IFERROR(AVERAGEIF(Chicks!$C:$C,A379,Chicks!$M:$M),""))</f>
        <v/>
      </c>
      <c r="G379" s="6" t="str">
        <f>IF(A379="","",SUMIFS(Chicks!$N:$N,Chicks!$C:$C,A379))</f>
        <v/>
      </c>
      <c r="H379" s="6" t="str">
        <f>IF(A379="","",SUMIFS(Chicks!$O:$O,Chicks!$C:$C,A379))</f>
        <v/>
      </c>
      <c r="I379" s="6" t="str">
        <f>IF(A379="","",SUMIFS(Chicks!$P:$P,Chicks!$C:$C,A379))</f>
        <v/>
      </c>
    </row>
    <row r="380" spans="1:9" ht="14.25" customHeight="1" x14ac:dyDescent="0.3">
      <c r="A380" s="4"/>
      <c r="B380" s="4" t="str">
        <f>IF(A380="","",COUNTIF(Chicks!$C:$C,A380))</f>
        <v/>
      </c>
      <c r="C380" s="4"/>
      <c r="D380" s="6" t="str">
        <f>IF(A380="","",IFERROR(AVERAGEIF(Chicks!$C:$C,A380,Chicks!$K:$K),""))</f>
        <v/>
      </c>
      <c r="E380" s="6" t="str">
        <f>IF(A380="","",IFERROR(AVERAGEIF(Chicks!$C:$C,A380,Chicks!$L:$L),""))</f>
        <v/>
      </c>
      <c r="F380" s="6" t="str">
        <f>IF(A380="","",IFERROR(AVERAGEIF(Chicks!$C:$C,A380,Chicks!$M:$M),""))</f>
        <v/>
      </c>
      <c r="G380" s="6" t="str">
        <f>IF(A380="","",SUMIFS(Chicks!$N:$N,Chicks!$C:$C,A380))</f>
        <v/>
      </c>
      <c r="H380" s="6" t="str">
        <f>IF(A380="","",SUMIFS(Chicks!$O:$O,Chicks!$C:$C,A380))</f>
        <v/>
      </c>
      <c r="I380" s="6" t="str">
        <f>IF(A380="","",SUMIFS(Chicks!$P:$P,Chicks!$C:$C,A380))</f>
        <v/>
      </c>
    </row>
    <row r="381" spans="1:9" ht="14.25" customHeight="1" x14ac:dyDescent="0.3">
      <c r="A381" s="4"/>
      <c r="B381" s="4" t="str">
        <f>IF(A381="","",COUNTIF(Chicks!$C:$C,A381))</f>
        <v/>
      </c>
      <c r="C381" s="4"/>
      <c r="D381" s="6" t="str">
        <f>IF(A381="","",IFERROR(AVERAGEIF(Chicks!$C:$C,A381,Chicks!$K:$K),""))</f>
        <v/>
      </c>
      <c r="E381" s="6" t="str">
        <f>IF(A381="","",IFERROR(AVERAGEIF(Chicks!$C:$C,A381,Chicks!$L:$L),""))</f>
        <v/>
      </c>
      <c r="F381" s="6" t="str">
        <f>IF(A381="","",IFERROR(AVERAGEIF(Chicks!$C:$C,A381,Chicks!$M:$M),""))</f>
        <v/>
      </c>
      <c r="G381" s="6" t="str">
        <f>IF(A381="","",SUMIFS(Chicks!$N:$N,Chicks!$C:$C,A381))</f>
        <v/>
      </c>
      <c r="H381" s="6" t="str">
        <f>IF(A381="","",SUMIFS(Chicks!$O:$O,Chicks!$C:$C,A381))</f>
        <v/>
      </c>
      <c r="I381" s="6" t="str">
        <f>IF(A381="","",SUMIFS(Chicks!$P:$P,Chicks!$C:$C,A381))</f>
        <v/>
      </c>
    </row>
    <row r="382" spans="1:9" ht="14.25" customHeight="1" x14ac:dyDescent="0.3">
      <c r="A382" s="4"/>
      <c r="B382" s="4" t="str">
        <f>IF(A382="","",COUNTIF(Chicks!$C:$C,A382))</f>
        <v/>
      </c>
      <c r="C382" s="4"/>
      <c r="D382" s="6" t="str">
        <f>IF(A382="","",IFERROR(AVERAGEIF(Chicks!$C:$C,A382,Chicks!$K:$K),""))</f>
        <v/>
      </c>
      <c r="E382" s="6" t="str">
        <f>IF(A382="","",IFERROR(AVERAGEIF(Chicks!$C:$C,A382,Chicks!$L:$L),""))</f>
        <v/>
      </c>
      <c r="F382" s="6" t="str">
        <f>IF(A382="","",IFERROR(AVERAGEIF(Chicks!$C:$C,A382,Chicks!$M:$M),""))</f>
        <v/>
      </c>
      <c r="G382" s="6" t="str">
        <f>IF(A382="","",SUMIFS(Chicks!$N:$N,Chicks!$C:$C,A382))</f>
        <v/>
      </c>
      <c r="H382" s="6" t="str">
        <f>IF(A382="","",SUMIFS(Chicks!$O:$O,Chicks!$C:$C,A382))</f>
        <v/>
      </c>
      <c r="I382" s="6" t="str">
        <f>IF(A382="","",SUMIFS(Chicks!$P:$P,Chicks!$C:$C,A382))</f>
        <v/>
      </c>
    </row>
    <row r="383" spans="1:9" ht="14.25" customHeight="1" x14ac:dyDescent="0.3">
      <c r="A383" s="4"/>
      <c r="B383" s="4" t="str">
        <f>IF(A383="","",COUNTIF(Chicks!$C:$C,A383))</f>
        <v/>
      </c>
      <c r="C383" s="4"/>
      <c r="D383" s="6" t="str">
        <f>IF(A383="","",IFERROR(AVERAGEIF(Chicks!$C:$C,A383,Chicks!$K:$K),""))</f>
        <v/>
      </c>
      <c r="E383" s="6" t="str">
        <f>IF(A383="","",IFERROR(AVERAGEIF(Chicks!$C:$C,A383,Chicks!$L:$L),""))</f>
        <v/>
      </c>
      <c r="F383" s="6" t="str">
        <f>IF(A383="","",IFERROR(AVERAGEIF(Chicks!$C:$C,A383,Chicks!$M:$M),""))</f>
        <v/>
      </c>
      <c r="G383" s="6" t="str">
        <f>IF(A383="","",SUMIFS(Chicks!$N:$N,Chicks!$C:$C,A383))</f>
        <v/>
      </c>
      <c r="H383" s="6" t="str">
        <f>IF(A383="","",SUMIFS(Chicks!$O:$O,Chicks!$C:$C,A383))</f>
        <v/>
      </c>
      <c r="I383" s="6" t="str">
        <f>IF(A383="","",SUMIFS(Chicks!$P:$P,Chicks!$C:$C,A383))</f>
        <v/>
      </c>
    </row>
    <row r="384" spans="1:9" ht="14.25" customHeight="1" x14ac:dyDescent="0.3">
      <c r="A384" s="4"/>
      <c r="B384" s="4" t="str">
        <f>IF(A384="","",COUNTIF(Chicks!$C:$C,A384))</f>
        <v/>
      </c>
      <c r="C384" s="4"/>
      <c r="D384" s="6" t="str">
        <f>IF(A384="","",IFERROR(AVERAGEIF(Chicks!$C:$C,A384,Chicks!$K:$K),""))</f>
        <v/>
      </c>
      <c r="E384" s="6" t="str">
        <f>IF(A384="","",IFERROR(AVERAGEIF(Chicks!$C:$C,A384,Chicks!$L:$L),""))</f>
        <v/>
      </c>
      <c r="F384" s="6" t="str">
        <f>IF(A384="","",IFERROR(AVERAGEIF(Chicks!$C:$C,A384,Chicks!$M:$M),""))</f>
        <v/>
      </c>
      <c r="G384" s="6" t="str">
        <f>IF(A384="","",SUMIFS(Chicks!$N:$N,Chicks!$C:$C,A384))</f>
        <v/>
      </c>
      <c r="H384" s="6" t="str">
        <f>IF(A384="","",SUMIFS(Chicks!$O:$O,Chicks!$C:$C,A384))</f>
        <v/>
      </c>
      <c r="I384" s="6" t="str">
        <f>IF(A384="","",SUMIFS(Chicks!$P:$P,Chicks!$C:$C,A384))</f>
        <v/>
      </c>
    </row>
    <row r="385" spans="1:9" ht="14.25" customHeight="1" x14ac:dyDescent="0.3">
      <c r="A385" s="4"/>
      <c r="B385" s="4" t="str">
        <f>IF(A385="","",COUNTIF(Chicks!$C:$C,A385))</f>
        <v/>
      </c>
      <c r="C385" s="4"/>
      <c r="D385" s="6" t="str">
        <f>IF(A385="","",IFERROR(AVERAGEIF(Chicks!$C:$C,A385,Chicks!$K:$K),""))</f>
        <v/>
      </c>
      <c r="E385" s="6" t="str">
        <f>IF(A385="","",IFERROR(AVERAGEIF(Chicks!$C:$C,A385,Chicks!$L:$L),""))</f>
        <v/>
      </c>
      <c r="F385" s="6" t="str">
        <f>IF(A385="","",IFERROR(AVERAGEIF(Chicks!$C:$C,A385,Chicks!$M:$M),""))</f>
        <v/>
      </c>
      <c r="G385" s="6" t="str">
        <f>IF(A385="","",SUMIFS(Chicks!$N:$N,Chicks!$C:$C,A385))</f>
        <v/>
      </c>
      <c r="H385" s="6" t="str">
        <f>IF(A385="","",SUMIFS(Chicks!$O:$O,Chicks!$C:$C,A385))</f>
        <v/>
      </c>
      <c r="I385" s="6" t="str">
        <f>IF(A385="","",SUMIFS(Chicks!$P:$P,Chicks!$C:$C,A385))</f>
        <v/>
      </c>
    </row>
    <row r="386" spans="1:9" ht="14.25" customHeight="1" x14ac:dyDescent="0.3">
      <c r="A386" s="4"/>
      <c r="B386" s="4" t="str">
        <f>IF(A386="","",COUNTIF(Chicks!$C:$C,A386))</f>
        <v/>
      </c>
      <c r="C386" s="4"/>
      <c r="D386" s="6" t="str">
        <f>IF(A386="","",IFERROR(AVERAGEIF(Chicks!$C:$C,A386,Chicks!$K:$K),""))</f>
        <v/>
      </c>
      <c r="E386" s="6" t="str">
        <f>IF(A386="","",IFERROR(AVERAGEIF(Chicks!$C:$C,A386,Chicks!$L:$L),""))</f>
        <v/>
      </c>
      <c r="F386" s="6" t="str">
        <f>IF(A386="","",IFERROR(AVERAGEIF(Chicks!$C:$C,A386,Chicks!$M:$M),""))</f>
        <v/>
      </c>
      <c r="G386" s="6" t="str">
        <f>IF(A386="","",SUMIFS(Chicks!$N:$N,Chicks!$C:$C,A386))</f>
        <v/>
      </c>
      <c r="H386" s="6" t="str">
        <f>IF(A386="","",SUMIFS(Chicks!$O:$O,Chicks!$C:$C,A386))</f>
        <v/>
      </c>
      <c r="I386" s="6" t="str">
        <f>IF(A386="","",SUMIFS(Chicks!$P:$P,Chicks!$C:$C,A386))</f>
        <v/>
      </c>
    </row>
    <row r="387" spans="1:9" ht="14.25" customHeight="1" x14ac:dyDescent="0.3">
      <c r="A387" s="4"/>
      <c r="B387" s="4" t="str">
        <f>IF(A387="","",COUNTIF(Chicks!$C:$C,A387))</f>
        <v/>
      </c>
      <c r="C387" s="4"/>
      <c r="D387" s="6" t="str">
        <f>IF(A387="","",IFERROR(AVERAGEIF(Chicks!$C:$C,A387,Chicks!$K:$K),""))</f>
        <v/>
      </c>
      <c r="E387" s="6" t="str">
        <f>IF(A387="","",IFERROR(AVERAGEIF(Chicks!$C:$C,A387,Chicks!$L:$L),""))</f>
        <v/>
      </c>
      <c r="F387" s="6" t="str">
        <f>IF(A387="","",IFERROR(AVERAGEIF(Chicks!$C:$C,A387,Chicks!$M:$M),""))</f>
        <v/>
      </c>
      <c r="G387" s="6" t="str">
        <f>IF(A387="","",SUMIFS(Chicks!$N:$N,Chicks!$C:$C,A387))</f>
        <v/>
      </c>
      <c r="H387" s="6" t="str">
        <f>IF(A387="","",SUMIFS(Chicks!$O:$O,Chicks!$C:$C,A387))</f>
        <v/>
      </c>
      <c r="I387" s="6" t="str">
        <f>IF(A387="","",SUMIFS(Chicks!$P:$P,Chicks!$C:$C,A387))</f>
        <v/>
      </c>
    </row>
    <row r="388" spans="1:9" ht="14.25" customHeight="1" x14ac:dyDescent="0.3">
      <c r="A388" s="4"/>
      <c r="B388" s="4" t="str">
        <f>IF(A388="","",COUNTIF(Chicks!$C:$C,A388))</f>
        <v/>
      </c>
      <c r="C388" s="4"/>
      <c r="D388" s="6" t="str">
        <f>IF(A388="","",IFERROR(AVERAGEIF(Chicks!$C:$C,A388,Chicks!$K:$K),""))</f>
        <v/>
      </c>
      <c r="E388" s="6" t="str">
        <f>IF(A388="","",IFERROR(AVERAGEIF(Chicks!$C:$C,A388,Chicks!$L:$L),""))</f>
        <v/>
      </c>
      <c r="F388" s="6" t="str">
        <f>IF(A388="","",IFERROR(AVERAGEIF(Chicks!$C:$C,A388,Chicks!$M:$M),""))</f>
        <v/>
      </c>
      <c r="G388" s="6" t="str">
        <f>IF(A388="","",SUMIFS(Chicks!$N:$N,Chicks!$C:$C,A388))</f>
        <v/>
      </c>
      <c r="H388" s="6" t="str">
        <f>IF(A388="","",SUMIFS(Chicks!$O:$O,Chicks!$C:$C,A388))</f>
        <v/>
      </c>
      <c r="I388" s="6" t="str">
        <f>IF(A388="","",SUMIFS(Chicks!$P:$P,Chicks!$C:$C,A388))</f>
        <v/>
      </c>
    </row>
    <row r="389" spans="1:9" ht="14.25" customHeight="1" x14ac:dyDescent="0.3">
      <c r="A389" s="4"/>
      <c r="B389" s="4" t="str">
        <f>IF(A389="","",COUNTIF(Chicks!$C:$C,A389))</f>
        <v/>
      </c>
      <c r="C389" s="4"/>
      <c r="D389" s="6" t="str">
        <f>IF(A389="","",IFERROR(AVERAGEIF(Chicks!$C:$C,A389,Chicks!$K:$K),""))</f>
        <v/>
      </c>
      <c r="E389" s="6" t="str">
        <f>IF(A389="","",IFERROR(AVERAGEIF(Chicks!$C:$C,A389,Chicks!$L:$L),""))</f>
        <v/>
      </c>
      <c r="F389" s="6" t="str">
        <f>IF(A389="","",IFERROR(AVERAGEIF(Chicks!$C:$C,A389,Chicks!$M:$M),""))</f>
        <v/>
      </c>
      <c r="G389" s="6" t="str">
        <f>IF(A389="","",SUMIFS(Chicks!$N:$N,Chicks!$C:$C,A389))</f>
        <v/>
      </c>
      <c r="H389" s="6" t="str">
        <f>IF(A389="","",SUMIFS(Chicks!$O:$O,Chicks!$C:$C,A389))</f>
        <v/>
      </c>
      <c r="I389" s="6" t="str">
        <f>IF(A389="","",SUMIFS(Chicks!$P:$P,Chicks!$C:$C,A389))</f>
        <v/>
      </c>
    </row>
    <row r="390" spans="1:9" ht="14.25" customHeight="1" x14ac:dyDescent="0.3">
      <c r="A390" s="4"/>
      <c r="B390" s="4" t="str">
        <f>IF(A390="","",COUNTIF(Chicks!$C:$C,A390))</f>
        <v/>
      </c>
      <c r="C390" s="4"/>
      <c r="D390" s="6" t="str">
        <f>IF(A390="","",IFERROR(AVERAGEIF(Chicks!$C:$C,A390,Chicks!$K:$K),""))</f>
        <v/>
      </c>
      <c r="E390" s="6" t="str">
        <f>IF(A390="","",IFERROR(AVERAGEIF(Chicks!$C:$C,A390,Chicks!$L:$L),""))</f>
        <v/>
      </c>
      <c r="F390" s="6" t="str">
        <f>IF(A390="","",IFERROR(AVERAGEIF(Chicks!$C:$C,A390,Chicks!$M:$M),""))</f>
        <v/>
      </c>
      <c r="G390" s="6" t="str">
        <f>IF(A390="","",SUMIFS(Chicks!$N:$N,Chicks!$C:$C,A390))</f>
        <v/>
      </c>
      <c r="H390" s="6" t="str">
        <f>IF(A390="","",SUMIFS(Chicks!$O:$O,Chicks!$C:$C,A390))</f>
        <v/>
      </c>
      <c r="I390" s="6" t="str">
        <f>IF(A390="","",SUMIFS(Chicks!$P:$P,Chicks!$C:$C,A390))</f>
        <v/>
      </c>
    </row>
    <row r="391" spans="1:9" ht="14.25" customHeight="1" x14ac:dyDescent="0.3">
      <c r="A391" s="4"/>
      <c r="B391" s="4" t="str">
        <f>IF(A391="","",COUNTIF(Chicks!$C:$C,A391))</f>
        <v/>
      </c>
      <c r="C391" s="4"/>
      <c r="D391" s="6" t="str">
        <f>IF(A391="","",IFERROR(AVERAGEIF(Chicks!$C:$C,A391,Chicks!$K:$K),""))</f>
        <v/>
      </c>
      <c r="E391" s="6" t="str">
        <f>IF(A391="","",IFERROR(AVERAGEIF(Chicks!$C:$C,A391,Chicks!$L:$L),""))</f>
        <v/>
      </c>
      <c r="F391" s="6" t="str">
        <f>IF(A391="","",IFERROR(AVERAGEIF(Chicks!$C:$C,A391,Chicks!$M:$M),""))</f>
        <v/>
      </c>
      <c r="G391" s="6" t="str">
        <f>IF(A391="","",SUMIFS(Chicks!$N:$N,Chicks!$C:$C,A391))</f>
        <v/>
      </c>
      <c r="H391" s="6" t="str">
        <f>IF(A391="","",SUMIFS(Chicks!$O:$O,Chicks!$C:$C,A391))</f>
        <v/>
      </c>
      <c r="I391" s="6" t="str">
        <f>IF(A391="","",SUMIFS(Chicks!$P:$P,Chicks!$C:$C,A391))</f>
        <v/>
      </c>
    </row>
    <row r="392" spans="1:9" ht="14.25" customHeight="1" x14ac:dyDescent="0.3">
      <c r="A392" s="4"/>
      <c r="B392" s="4" t="str">
        <f>IF(A392="","",COUNTIF(Chicks!$C:$C,A392))</f>
        <v/>
      </c>
      <c r="C392" s="4"/>
      <c r="D392" s="6" t="str">
        <f>IF(A392="","",IFERROR(AVERAGEIF(Chicks!$C:$C,A392,Chicks!$K:$K),""))</f>
        <v/>
      </c>
      <c r="E392" s="6" t="str">
        <f>IF(A392="","",IFERROR(AVERAGEIF(Chicks!$C:$C,A392,Chicks!$L:$L),""))</f>
        <v/>
      </c>
      <c r="F392" s="6" t="str">
        <f>IF(A392="","",IFERROR(AVERAGEIF(Chicks!$C:$C,A392,Chicks!$M:$M),""))</f>
        <v/>
      </c>
      <c r="G392" s="6" t="str">
        <f>IF(A392="","",SUMIFS(Chicks!$N:$N,Chicks!$C:$C,A392))</f>
        <v/>
      </c>
      <c r="H392" s="6" t="str">
        <f>IF(A392="","",SUMIFS(Chicks!$O:$O,Chicks!$C:$C,A392))</f>
        <v/>
      </c>
      <c r="I392" s="6" t="str">
        <f>IF(A392="","",SUMIFS(Chicks!$P:$P,Chicks!$C:$C,A392))</f>
        <v/>
      </c>
    </row>
    <row r="393" spans="1:9" ht="14.25" customHeight="1" x14ac:dyDescent="0.3">
      <c r="A393" s="4"/>
      <c r="B393" s="4" t="str">
        <f>IF(A393="","",COUNTIF(Chicks!$C:$C,A393))</f>
        <v/>
      </c>
      <c r="C393" s="4"/>
      <c r="D393" s="6" t="str">
        <f>IF(A393="","",IFERROR(AVERAGEIF(Chicks!$C:$C,A393,Chicks!$K:$K),""))</f>
        <v/>
      </c>
      <c r="E393" s="6" t="str">
        <f>IF(A393="","",IFERROR(AVERAGEIF(Chicks!$C:$C,A393,Chicks!$L:$L),""))</f>
        <v/>
      </c>
      <c r="F393" s="6" t="str">
        <f>IF(A393="","",IFERROR(AVERAGEIF(Chicks!$C:$C,A393,Chicks!$M:$M),""))</f>
        <v/>
      </c>
      <c r="G393" s="6" t="str">
        <f>IF(A393="","",SUMIFS(Chicks!$N:$N,Chicks!$C:$C,A393))</f>
        <v/>
      </c>
      <c r="H393" s="6" t="str">
        <f>IF(A393="","",SUMIFS(Chicks!$O:$O,Chicks!$C:$C,A393))</f>
        <v/>
      </c>
      <c r="I393" s="6" t="str">
        <f>IF(A393="","",SUMIFS(Chicks!$P:$P,Chicks!$C:$C,A393))</f>
        <v/>
      </c>
    </row>
    <row r="394" spans="1:9" ht="14.25" customHeight="1" x14ac:dyDescent="0.3">
      <c r="A394" s="4"/>
      <c r="B394" s="4" t="str">
        <f>IF(A394="","",COUNTIF(Chicks!$C:$C,A394))</f>
        <v/>
      </c>
      <c r="C394" s="4"/>
      <c r="D394" s="6" t="str">
        <f>IF(A394="","",IFERROR(AVERAGEIF(Chicks!$C:$C,A394,Chicks!$K:$K),""))</f>
        <v/>
      </c>
      <c r="E394" s="6" t="str">
        <f>IF(A394="","",IFERROR(AVERAGEIF(Chicks!$C:$C,A394,Chicks!$L:$L),""))</f>
        <v/>
      </c>
      <c r="F394" s="6" t="str">
        <f>IF(A394="","",IFERROR(AVERAGEIF(Chicks!$C:$C,A394,Chicks!$M:$M),""))</f>
        <v/>
      </c>
      <c r="G394" s="6" t="str">
        <f>IF(A394="","",SUMIFS(Chicks!$N:$N,Chicks!$C:$C,A394))</f>
        <v/>
      </c>
      <c r="H394" s="6" t="str">
        <f>IF(A394="","",SUMIFS(Chicks!$O:$O,Chicks!$C:$C,A394))</f>
        <v/>
      </c>
      <c r="I394" s="6" t="str">
        <f>IF(A394="","",SUMIFS(Chicks!$P:$P,Chicks!$C:$C,A394))</f>
        <v/>
      </c>
    </row>
    <row r="395" spans="1:9" ht="14.25" customHeight="1" x14ac:dyDescent="0.3">
      <c r="A395" s="4"/>
      <c r="B395" s="4" t="str">
        <f>IF(A395="","",COUNTIF(Chicks!$C:$C,A395))</f>
        <v/>
      </c>
      <c r="C395" s="4"/>
      <c r="D395" s="6" t="str">
        <f>IF(A395="","",IFERROR(AVERAGEIF(Chicks!$C:$C,A395,Chicks!$K:$K),""))</f>
        <v/>
      </c>
      <c r="E395" s="6" t="str">
        <f>IF(A395="","",IFERROR(AVERAGEIF(Chicks!$C:$C,A395,Chicks!$L:$L),""))</f>
        <v/>
      </c>
      <c r="F395" s="6" t="str">
        <f>IF(A395="","",IFERROR(AVERAGEIF(Chicks!$C:$C,A395,Chicks!$M:$M),""))</f>
        <v/>
      </c>
      <c r="G395" s="6" t="str">
        <f>IF(A395="","",SUMIFS(Chicks!$N:$N,Chicks!$C:$C,A395))</f>
        <v/>
      </c>
      <c r="H395" s="6" t="str">
        <f>IF(A395="","",SUMIFS(Chicks!$O:$O,Chicks!$C:$C,A395))</f>
        <v/>
      </c>
      <c r="I395" s="6" t="str">
        <f>IF(A395="","",SUMIFS(Chicks!$P:$P,Chicks!$C:$C,A395))</f>
        <v/>
      </c>
    </row>
    <row r="396" spans="1:9" ht="14.25" customHeight="1" x14ac:dyDescent="0.3">
      <c r="A396" s="4"/>
      <c r="B396" s="4" t="str">
        <f>IF(A396="","",COUNTIF(Chicks!$C:$C,A396))</f>
        <v/>
      </c>
      <c r="C396" s="4"/>
      <c r="D396" s="6" t="str">
        <f>IF(A396="","",IFERROR(AVERAGEIF(Chicks!$C:$C,A396,Chicks!$K:$K),""))</f>
        <v/>
      </c>
      <c r="E396" s="6" t="str">
        <f>IF(A396="","",IFERROR(AVERAGEIF(Chicks!$C:$C,A396,Chicks!$L:$L),""))</f>
        <v/>
      </c>
      <c r="F396" s="6" t="str">
        <f>IF(A396="","",IFERROR(AVERAGEIF(Chicks!$C:$C,A396,Chicks!$M:$M),""))</f>
        <v/>
      </c>
      <c r="G396" s="6" t="str">
        <f>IF(A396="","",SUMIFS(Chicks!$N:$N,Chicks!$C:$C,A396))</f>
        <v/>
      </c>
      <c r="H396" s="6" t="str">
        <f>IF(A396="","",SUMIFS(Chicks!$O:$O,Chicks!$C:$C,A396))</f>
        <v/>
      </c>
      <c r="I396" s="6" t="str">
        <f>IF(A396="","",SUMIFS(Chicks!$P:$P,Chicks!$C:$C,A396))</f>
        <v/>
      </c>
    </row>
    <row r="397" spans="1:9" ht="14.25" customHeight="1" x14ac:dyDescent="0.3">
      <c r="A397" s="4"/>
      <c r="B397" s="4" t="str">
        <f>IF(A397="","",COUNTIF(Chicks!$C:$C,A397))</f>
        <v/>
      </c>
      <c r="C397" s="4"/>
      <c r="D397" s="6" t="str">
        <f>IF(A397="","",IFERROR(AVERAGEIF(Chicks!$C:$C,A397,Chicks!$K:$K),""))</f>
        <v/>
      </c>
      <c r="E397" s="6" t="str">
        <f>IF(A397="","",IFERROR(AVERAGEIF(Chicks!$C:$C,A397,Chicks!$L:$L),""))</f>
        <v/>
      </c>
      <c r="F397" s="6" t="str">
        <f>IF(A397="","",IFERROR(AVERAGEIF(Chicks!$C:$C,A397,Chicks!$M:$M),""))</f>
        <v/>
      </c>
      <c r="G397" s="6" t="str">
        <f>IF(A397="","",SUMIFS(Chicks!$N:$N,Chicks!$C:$C,A397))</f>
        <v/>
      </c>
      <c r="H397" s="6" t="str">
        <f>IF(A397="","",SUMIFS(Chicks!$O:$O,Chicks!$C:$C,A397))</f>
        <v/>
      </c>
      <c r="I397" s="6" t="str">
        <f>IF(A397="","",SUMIFS(Chicks!$P:$P,Chicks!$C:$C,A397))</f>
        <v/>
      </c>
    </row>
    <row r="398" spans="1:9" ht="14.25" customHeight="1" x14ac:dyDescent="0.3">
      <c r="A398" s="4"/>
      <c r="B398" s="4" t="str">
        <f>IF(A398="","",COUNTIF(Chicks!$C:$C,A398))</f>
        <v/>
      </c>
      <c r="C398" s="4"/>
      <c r="D398" s="6" t="str">
        <f>IF(A398="","",IFERROR(AVERAGEIF(Chicks!$C:$C,A398,Chicks!$K:$K),""))</f>
        <v/>
      </c>
      <c r="E398" s="6" t="str">
        <f>IF(A398="","",IFERROR(AVERAGEIF(Chicks!$C:$C,A398,Chicks!$L:$L),""))</f>
        <v/>
      </c>
      <c r="F398" s="6" t="str">
        <f>IF(A398="","",IFERROR(AVERAGEIF(Chicks!$C:$C,A398,Chicks!$M:$M),""))</f>
        <v/>
      </c>
      <c r="G398" s="6" t="str">
        <f>IF(A398="","",SUMIFS(Chicks!$N:$N,Chicks!$C:$C,A398))</f>
        <v/>
      </c>
      <c r="H398" s="6" t="str">
        <f>IF(A398="","",SUMIFS(Chicks!$O:$O,Chicks!$C:$C,A398))</f>
        <v/>
      </c>
      <c r="I398" s="6" t="str">
        <f>IF(A398="","",SUMIFS(Chicks!$P:$P,Chicks!$C:$C,A398))</f>
        <v/>
      </c>
    </row>
    <row r="399" spans="1:9" ht="14.25" customHeight="1" x14ac:dyDescent="0.3">
      <c r="A399" s="4"/>
      <c r="B399" s="4" t="str">
        <f>IF(A399="","",COUNTIF(Chicks!$C:$C,A399))</f>
        <v/>
      </c>
      <c r="C399" s="4"/>
      <c r="D399" s="6" t="str">
        <f>IF(A399="","",IFERROR(AVERAGEIF(Chicks!$C:$C,A399,Chicks!$K:$K),""))</f>
        <v/>
      </c>
      <c r="E399" s="6" t="str">
        <f>IF(A399="","",IFERROR(AVERAGEIF(Chicks!$C:$C,A399,Chicks!$L:$L),""))</f>
        <v/>
      </c>
      <c r="F399" s="6" t="str">
        <f>IF(A399="","",IFERROR(AVERAGEIF(Chicks!$C:$C,A399,Chicks!$M:$M),""))</f>
        <v/>
      </c>
      <c r="G399" s="6" t="str">
        <f>IF(A399="","",SUMIFS(Chicks!$N:$N,Chicks!$C:$C,A399))</f>
        <v/>
      </c>
      <c r="H399" s="6" t="str">
        <f>IF(A399="","",SUMIFS(Chicks!$O:$O,Chicks!$C:$C,A399))</f>
        <v/>
      </c>
      <c r="I399" s="6" t="str">
        <f>IF(A399="","",SUMIFS(Chicks!$P:$P,Chicks!$C:$C,A399))</f>
        <v/>
      </c>
    </row>
    <row r="400" spans="1:9" ht="14.25" customHeight="1" x14ac:dyDescent="0.3">
      <c r="A400" s="4"/>
      <c r="B400" s="4" t="str">
        <f>IF(A400="","",COUNTIF(Chicks!$C:$C,A400))</f>
        <v/>
      </c>
      <c r="C400" s="4"/>
      <c r="D400" s="6" t="str">
        <f>IF(A400="","",IFERROR(AVERAGEIF(Chicks!$C:$C,A400,Chicks!$K:$K),""))</f>
        <v/>
      </c>
      <c r="E400" s="6" t="str">
        <f>IF(A400="","",IFERROR(AVERAGEIF(Chicks!$C:$C,A400,Chicks!$L:$L),""))</f>
        <v/>
      </c>
      <c r="F400" s="6" t="str">
        <f>IF(A400="","",IFERROR(AVERAGEIF(Chicks!$C:$C,A400,Chicks!$M:$M),""))</f>
        <v/>
      </c>
      <c r="G400" s="6" t="str">
        <f>IF(A400="","",SUMIFS(Chicks!$N:$N,Chicks!$C:$C,A400))</f>
        <v/>
      </c>
      <c r="H400" s="6" t="str">
        <f>IF(A400="","",SUMIFS(Chicks!$O:$O,Chicks!$C:$C,A400))</f>
        <v/>
      </c>
      <c r="I400" s="6" t="str">
        <f>IF(A400="","",SUMIFS(Chicks!$P:$P,Chicks!$C:$C,A400))</f>
        <v/>
      </c>
    </row>
    <row r="401" spans="1:9" ht="14.25" customHeight="1" x14ac:dyDescent="0.3">
      <c r="A401" s="4"/>
      <c r="B401" s="4" t="str">
        <f>IF(A401="","",COUNTIF(Chicks!$C:$C,A401))</f>
        <v/>
      </c>
      <c r="C401" s="4"/>
      <c r="D401" s="6" t="str">
        <f>IF(A401="","",IFERROR(AVERAGEIF(Chicks!$C:$C,A401,Chicks!$K:$K),""))</f>
        <v/>
      </c>
      <c r="E401" s="6" t="str">
        <f>IF(A401="","",IFERROR(AVERAGEIF(Chicks!$C:$C,A401,Chicks!$L:$L),""))</f>
        <v/>
      </c>
      <c r="F401" s="6" t="str">
        <f>IF(A401="","",IFERROR(AVERAGEIF(Chicks!$C:$C,A401,Chicks!$M:$M),""))</f>
        <v/>
      </c>
      <c r="G401" s="6" t="str">
        <f>IF(A401="","",SUMIFS(Chicks!$N:$N,Chicks!$C:$C,A401))</f>
        <v/>
      </c>
      <c r="H401" s="6" t="str">
        <f>IF(A401="","",SUMIFS(Chicks!$O:$O,Chicks!$C:$C,A401))</f>
        <v/>
      </c>
      <c r="I401" s="6" t="str">
        <f>IF(A401="","",SUMIFS(Chicks!$P:$P,Chicks!$C:$C,A401))</f>
        <v/>
      </c>
    </row>
    <row r="402" spans="1:9" ht="14.25" customHeight="1" x14ac:dyDescent="0.3">
      <c r="A402" s="4"/>
      <c r="B402" s="4" t="str">
        <f>IF(A402="","",COUNTIF(Chicks!$C:$C,A402))</f>
        <v/>
      </c>
      <c r="C402" s="4"/>
      <c r="D402" s="6" t="str">
        <f>IF(A402="","",IFERROR(AVERAGEIF(Chicks!$C:$C,A402,Chicks!$K:$K),""))</f>
        <v/>
      </c>
      <c r="E402" s="6" t="str">
        <f>IF(A402="","",IFERROR(AVERAGEIF(Chicks!$C:$C,A402,Chicks!$L:$L),""))</f>
        <v/>
      </c>
      <c r="F402" s="6" t="str">
        <f>IF(A402="","",IFERROR(AVERAGEIF(Chicks!$C:$C,A402,Chicks!$M:$M),""))</f>
        <v/>
      </c>
      <c r="G402" s="6" t="str">
        <f>IF(A402="","",SUMIFS(Chicks!$N:$N,Chicks!$C:$C,A402))</f>
        <v/>
      </c>
      <c r="H402" s="6" t="str">
        <f>IF(A402="","",SUMIFS(Chicks!$O:$O,Chicks!$C:$C,A402))</f>
        <v/>
      </c>
      <c r="I402" s="6" t="str">
        <f>IF(A402="","",SUMIFS(Chicks!$P:$P,Chicks!$C:$C,A402))</f>
        <v/>
      </c>
    </row>
    <row r="403" spans="1:9" ht="14.25" customHeight="1" x14ac:dyDescent="0.3">
      <c r="A403" s="4"/>
      <c r="B403" s="4" t="str">
        <f>IF(A403="","",COUNTIF(Chicks!$C:$C,A403))</f>
        <v/>
      </c>
      <c r="C403" s="4"/>
      <c r="D403" s="6" t="str">
        <f>IF(A403="","",IFERROR(AVERAGEIF(Chicks!$C:$C,A403,Chicks!$K:$K),""))</f>
        <v/>
      </c>
      <c r="E403" s="6" t="str">
        <f>IF(A403="","",IFERROR(AVERAGEIF(Chicks!$C:$C,A403,Chicks!$L:$L),""))</f>
        <v/>
      </c>
      <c r="F403" s="6" t="str">
        <f>IF(A403="","",IFERROR(AVERAGEIF(Chicks!$C:$C,A403,Chicks!$M:$M),""))</f>
        <v/>
      </c>
      <c r="G403" s="6" t="str">
        <f>IF(A403="","",SUMIFS(Chicks!$N:$N,Chicks!$C:$C,A403))</f>
        <v/>
      </c>
      <c r="H403" s="6" t="str">
        <f>IF(A403="","",SUMIFS(Chicks!$O:$O,Chicks!$C:$C,A403))</f>
        <v/>
      </c>
      <c r="I403" s="6" t="str">
        <f>IF(A403="","",SUMIFS(Chicks!$P:$P,Chicks!$C:$C,A403))</f>
        <v/>
      </c>
    </row>
    <row r="404" spans="1:9" ht="14.25" customHeight="1" x14ac:dyDescent="0.3">
      <c r="A404" s="4"/>
      <c r="B404" s="4" t="str">
        <f>IF(A404="","",COUNTIF(Chicks!$C:$C,A404))</f>
        <v/>
      </c>
      <c r="C404" s="4"/>
      <c r="D404" s="6" t="str">
        <f>IF(A404="","",IFERROR(AVERAGEIF(Chicks!$C:$C,A404,Chicks!$K:$K),""))</f>
        <v/>
      </c>
      <c r="E404" s="6" t="str">
        <f>IF(A404="","",IFERROR(AVERAGEIF(Chicks!$C:$C,A404,Chicks!$L:$L),""))</f>
        <v/>
      </c>
      <c r="F404" s="6" t="str">
        <f>IF(A404="","",IFERROR(AVERAGEIF(Chicks!$C:$C,A404,Chicks!$M:$M),""))</f>
        <v/>
      </c>
      <c r="G404" s="6" t="str">
        <f>IF(A404="","",SUMIFS(Chicks!$N:$N,Chicks!$C:$C,A404))</f>
        <v/>
      </c>
      <c r="H404" s="6" t="str">
        <f>IF(A404="","",SUMIFS(Chicks!$O:$O,Chicks!$C:$C,A404))</f>
        <v/>
      </c>
      <c r="I404" s="6" t="str">
        <f>IF(A404="","",SUMIFS(Chicks!$P:$P,Chicks!$C:$C,A404))</f>
        <v/>
      </c>
    </row>
    <row r="405" spans="1:9" ht="14.25" customHeight="1" x14ac:dyDescent="0.3">
      <c r="A405" s="4"/>
      <c r="B405" s="4" t="str">
        <f>IF(A405="","",COUNTIF(Chicks!$C:$C,A405))</f>
        <v/>
      </c>
      <c r="C405" s="4"/>
      <c r="D405" s="6" t="str">
        <f>IF(A405="","",IFERROR(AVERAGEIF(Chicks!$C:$C,A405,Chicks!$K:$K),""))</f>
        <v/>
      </c>
      <c r="E405" s="6" t="str">
        <f>IF(A405="","",IFERROR(AVERAGEIF(Chicks!$C:$C,A405,Chicks!$L:$L),""))</f>
        <v/>
      </c>
      <c r="F405" s="6" t="str">
        <f>IF(A405="","",IFERROR(AVERAGEIF(Chicks!$C:$C,A405,Chicks!$M:$M),""))</f>
        <v/>
      </c>
      <c r="G405" s="6" t="str">
        <f>IF(A405="","",SUMIFS(Chicks!$N:$N,Chicks!$C:$C,A405))</f>
        <v/>
      </c>
      <c r="H405" s="6" t="str">
        <f>IF(A405="","",SUMIFS(Chicks!$O:$O,Chicks!$C:$C,A405))</f>
        <v/>
      </c>
      <c r="I405" s="6" t="str">
        <f>IF(A405="","",SUMIFS(Chicks!$P:$P,Chicks!$C:$C,A405))</f>
        <v/>
      </c>
    </row>
    <row r="406" spans="1:9" ht="14.25" customHeight="1" x14ac:dyDescent="0.3">
      <c r="A406" s="4"/>
      <c r="B406" s="4" t="str">
        <f>IF(A406="","",COUNTIF(Chicks!$C:$C,A406))</f>
        <v/>
      </c>
      <c r="C406" s="4"/>
      <c r="D406" s="6" t="str">
        <f>IF(A406="","",IFERROR(AVERAGEIF(Chicks!$C:$C,A406,Chicks!$K:$K),""))</f>
        <v/>
      </c>
      <c r="E406" s="6" t="str">
        <f>IF(A406="","",IFERROR(AVERAGEIF(Chicks!$C:$C,A406,Chicks!$L:$L),""))</f>
        <v/>
      </c>
      <c r="F406" s="6" t="str">
        <f>IF(A406="","",IFERROR(AVERAGEIF(Chicks!$C:$C,A406,Chicks!$M:$M),""))</f>
        <v/>
      </c>
      <c r="G406" s="6" t="str">
        <f>IF(A406="","",SUMIFS(Chicks!$N:$N,Chicks!$C:$C,A406))</f>
        <v/>
      </c>
      <c r="H406" s="6" t="str">
        <f>IF(A406="","",SUMIFS(Chicks!$O:$O,Chicks!$C:$C,A406))</f>
        <v/>
      </c>
      <c r="I406" s="6" t="str">
        <f>IF(A406="","",SUMIFS(Chicks!$P:$P,Chicks!$C:$C,A406))</f>
        <v/>
      </c>
    </row>
    <row r="407" spans="1:9" ht="14.25" customHeight="1" x14ac:dyDescent="0.3">
      <c r="A407" s="4"/>
      <c r="B407" s="4" t="str">
        <f>IF(A407="","",COUNTIF(Chicks!$C:$C,A407))</f>
        <v/>
      </c>
      <c r="C407" s="4"/>
      <c r="D407" s="6" t="str">
        <f>IF(A407="","",IFERROR(AVERAGEIF(Chicks!$C:$C,A407,Chicks!$K:$K),""))</f>
        <v/>
      </c>
      <c r="E407" s="6" t="str">
        <f>IF(A407="","",IFERROR(AVERAGEIF(Chicks!$C:$C,A407,Chicks!$L:$L),""))</f>
        <v/>
      </c>
      <c r="F407" s="6" t="str">
        <f>IF(A407="","",IFERROR(AVERAGEIF(Chicks!$C:$C,A407,Chicks!$M:$M),""))</f>
        <v/>
      </c>
      <c r="G407" s="6" t="str">
        <f>IF(A407="","",SUMIFS(Chicks!$N:$N,Chicks!$C:$C,A407))</f>
        <v/>
      </c>
      <c r="H407" s="6" t="str">
        <f>IF(A407="","",SUMIFS(Chicks!$O:$O,Chicks!$C:$C,A407))</f>
        <v/>
      </c>
      <c r="I407" s="6" t="str">
        <f>IF(A407="","",SUMIFS(Chicks!$P:$P,Chicks!$C:$C,A407))</f>
        <v/>
      </c>
    </row>
    <row r="408" spans="1:9" ht="14.25" customHeight="1" x14ac:dyDescent="0.3">
      <c r="A408" s="4"/>
      <c r="B408" s="4" t="str">
        <f>IF(A408="","",COUNTIF(Chicks!$C:$C,A408))</f>
        <v/>
      </c>
      <c r="C408" s="4"/>
      <c r="D408" s="6" t="str">
        <f>IF(A408="","",IFERROR(AVERAGEIF(Chicks!$C:$C,A408,Chicks!$K:$K),""))</f>
        <v/>
      </c>
      <c r="E408" s="6" t="str">
        <f>IF(A408="","",IFERROR(AVERAGEIF(Chicks!$C:$C,A408,Chicks!$L:$L),""))</f>
        <v/>
      </c>
      <c r="F408" s="6" t="str">
        <f>IF(A408="","",IFERROR(AVERAGEIF(Chicks!$C:$C,A408,Chicks!$M:$M),""))</f>
        <v/>
      </c>
      <c r="G408" s="6" t="str">
        <f>IF(A408="","",SUMIFS(Chicks!$N:$N,Chicks!$C:$C,A408))</f>
        <v/>
      </c>
      <c r="H408" s="6" t="str">
        <f>IF(A408="","",SUMIFS(Chicks!$O:$O,Chicks!$C:$C,A408))</f>
        <v/>
      </c>
      <c r="I408" s="6" t="str">
        <f>IF(A408="","",SUMIFS(Chicks!$P:$P,Chicks!$C:$C,A408))</f>
        <v/>
      </c>
    </row>
    <row r="409" spans="1:9" ht="14.25" customHeight="1" x14ac:dyDescent="0.3">
      <c r="A409" s="4"/>
      <c r="B409" s="4" t="str">
        <f>IF(A409="","",COUNTIF(Chicks!$C:$C,A409))</f>
        <v/>
      </c>
      <c r="C409" s="4"/>
      <c r="D409" s="6" t="str">
        <f>IF(A409="","",IFERROR(AVERAGEIF(Chicks!$C:$C,A409,Chicks!$K:$K),""))</f>
        <v/>
      </c>
      <c r="E409" s="6" t="str">
        <f>IF(A409="","",IFERROR(AVERAGEIF(Chicks!$C:$C,A409,Chicks!$L:$L),""))</f>
        <v/>
      </c>
      <c r="F409" s="6" t="str">
        <f>IF(A409="","",IFERROR(AVERAGEIF(Chicks!$C:$C,A409,Chicks!$M:$M),""))</f>
        <v/>
      </c>
      <c r="G409" s="6" t="str">
        <f>IF(A409="","",SUMIFS(Chicks!$N:$N,Chicks!$C:$C,A409))</f>
        <v/>
      </c>
      <c r="H409" s="6" t="str">
        <f>IF(A409="","",SUMIFS(Chicks!$O:$O,Chicks!$C:$C,A409))</f>
        <v/>
      </c>
      <c r="I409" s="6" t="str">
        <f>IF(A409="","",SUMIFS(Chicks!$P:$P,Chicks!$C:$C,A409))</f>
        <v/>
      </c>
    </row>
    <row r="410" spans="1:9" ht="14.25" customHeight="1" x14ac:dyDescent="0.3">
      <c r="A410" s="4"/>
      <c r="B410" s="4" t="str">
        <f>IF(A410="","",COUNTIF(Chicks!$C:$C,A410))</f>
        <v/>
      </c>
      <c r="C410" s="4"/>
      <c r="D410" s="6" t="str">
        <f>IF(A410="","",IFERROR(AVERAGEIF(Chicks!$C:$C,A410,Chicks!$K:$K),""))</f>
        <v/>
      </c>
      <c r="E410" s="6" t="str">
        <f>IF(A410="","",IFERROR(AVERAGEIF(Chicks!$C:$C,A410,Chicks!$L:$L),""))</f>
        <v/>
      </c>
      <c r="F410" s="6" t="str">
        <f>IF(A410="","",IFERROR(AVERAGEIF(Chicks!$C:$C,A410,Chicks!$M:$M),""))</f>
        <v/>
      </c>
      <c r="G410" s="6" t="str">
        <f>IF(A410="","",SUMIFS(Chicks!$N:$N,Chicks!$C:$C,A410))</f>
        <v/>
      </c>
      <c r="H410" s="6" t="str">
        <f>IF(A410="","",SUMIFS(Chicks!$O:$O,Chicks!$C:$C,A410))</f>
        <v/>
      </c>
      <c r="I410" s="6" t="str">
        <f>IF(A410="","",SUMIFS(Chicks!$P:$P,Chicks!$C:$C,A410))</f>
        <v/>
      </c>
    </row>
    <row r="411" spans="1:9" ht="14.25" customHeight="1" x14ac:dyDescent="0.3">
      <c r="A411" s="4"/>
      <c r="B411" s="4" t="str">
        <f>IF(A411="","",COUNTIF(Chicks!$C:$C,A411))</f>
        <v/>
      </c>
      <c r="C411" s="4"/>
      <c r="D411" s="6" t="str">
        <f>IF(A411="","",IFERROR(AVERAGEIF(Chicks!$C:$C,A411,Chicks!$K:$K),""))</f>
        <v/>
      </c>
      <c r="E411" s="6" t="str">
        <f>IF(A411="","",IFERROR(AVERAGEIF(Chicks!$C:$C,A411,Chicks!$L:$L),""))</f>
        <v/>
      </c>
      <c r="F411" s="6" t="str">
        <f>IF(A411="","",IFERROR(AVERAGEIF(Chicks!$C:$C,A411,Chicks!$M:$M),""))</f>
        <v/>
      </c>
      <c r="G411" s="6" t="str">
        <f>IF(A411="","",SUMIFS(Chicks!$N:$N,Chicks!$C:$C,A411))</f>
        <v/>
      </c>
      <c r="H411" s="6" t="str">
        <f>IF(A411="","",SUMIFS(Chicks!$O:$O,Chicks!$C:$C,A411))</f>
        <v/>
      </c>
      <c r="I411" s="6" t="str">
        <f>IF(A411="","",SUMIFS(Chicks!$P:$P,Chicks!$C:$C,A411))</f>
        <v/>
      </c>
    </row>
    <row r="412" spans="1:9" ht="14.25" customHeight="1" x14ac:dyDescent="0.3">
      <c r="A412" s="4"/>
      <c r="B412" s="4" t="str">
        <f>IF(A412="","",COUNTIF(Chicks!$C:$C,A412))</f>
        <v/>
      </c>
      <c r="C412" s="4"/>
      <c r="D412" s="6" t="str">
        <f>IF(A412="","",IFERROR(AVERAGEIF(Chicks!$C:$C,A412,Chicks!$K:$K),""))</f>
        <v/>
      </c>
      <c r="E412" s="6" t="str">
        <f>IF(A412="","",IFERROR(AVERAGEIF(Chicks!$C:$C,A412,Chicks!$L:$L),""))</f>
        <v/>
      </c>
      <c r="F412" s="6" t="str">
        <f>IF(A412="","",IFERROR(AVERAGEIF(Chicks!$C:$C,A412,Chicks!$M:$M),""))</f>
        <v/>
      </c>
      <c r="G412" s="6" t="str">
        <f>IF(A412="","",SUMIFS(Chicks!$N:$N,Chicks!$C:$C,A412))</f>
        <v/>
      </c>
      <c r="H412" s="6" t="str">
        <f>IF(A412="","",SUMIFS(Chicks!$O:$O,Chicks!$C:$C,A412))</f>
        <v/>
      </c>
      <c r="I412" s="6" t="str">
        <f>IF(A412="","",SUMIFS(Chicks!$P:$P,Chicks!$C:$C,A412))</f>
        <v/>
      </c>
    </row>
    <row r="413" spans="1:9" ht="14.25" customHeight="1" x14ac:dyDescent="0.3">
      <c r="A413" s="4"/>
      <c r="B413" s="4" t="str">
        <f>IF(A413="","",COUNTIF(Chicks!$C:$C,A413))</f>
        <v/>
      </c>
      <c r="C413" s="4"/>
      <c r="D413" s="6" t="str">
        <f>IF(A413="","",IFERROR(AVERAGEIF(Chicks!$C:$C,A413,Chicks!$K:$K),""))</f>
        <v/>
      </c>
      <c r="E413" s="6" t="str">
        <f>IF(A413="","",IFERROR(AVERAGEIF(Chicks!$C:$C,A413,Chicks!$L:$L),""))</f>
        <v/>
      </c>
      <c r="F413" s="6" t="str">
        <f>IF(A413="","",IFERROR(AVERAGEIF(Chicks!$C:$C,A413,Chicks!$M:$M),""))</f>
        <v/>
      </c>
      <c r="G413" s="6" t="str">
        <f>IF(A413="","",SUMIFS(Chicks!$N:$N,Chicks!$C:$C,A413))</f>
        <v/>
      </c>
      <c r="H413" s="6" t="str">
        <f>IF(A413="","",SUMIFS(Chicks!$O:$O,Chicks!$C:$C,A413))</f>
        <v/>
      </c>
      <c r="I413" s="6" t="str">
        <f>IF(A413="","",SUMIFS(Chicks!$P:$P,Chicks!$C:$C,A413))</f>
        <v/>
      </c>
    </row>
    <row r="414" spans="1:9" ht="14.25" customHeight="1" x14ac:dyDescent="0.3">
      <c r="A414" s="4"/>
      <c r="B414" s="4" t="str">
        <f>IF(A414="","",COUNTIF(Chicks!$C:$C,A414))</f>
        <v/>
      </c>
      <c r="C414" s="4"/>
      <c r="D414" s="6" t="str">
        <f>IF(A414="","",IFERROR(AVERAGEIF(Chicks!$C:$C,A414,Chicks!$K:$K),""))</f>
        <v/>
      </c>
      <c r="E414" s="6" t="str">
        <f>IF(A414="","",IFERROR(AVERAGEIF(Chicks!$C:$C,A414,Chicks!$L:$L),""))</f>
        <v/>
      </c>
      <c r="F414" s="6" t="str">
        <f>IF(A414="","",IFERROR(AVERAGEIF(Chicks!$C:$C,A414,Chicks!$M:$M),""))</f>
        <v/>
      </c>
      <c r="G414" s="6" t="str">
        <f>IF(A414="","",SUMIFS(Chicks!$N:$N,Chicks!$C:$C,A414))</f>
        <v/>
      </c>
      <c r="H414" s="6" t="str">
        <f>IF(A414="","",SUMIFS(Chicks!$O:$O,Chicks!$C:$C,A414))</f>
        <v/>
      </c>
      <c r="I414" s="6" t="str">
        <f>IF(A414="","",SUMIFS(Chicks!$P:$P,Chicks!$C:$C,A414))</f>
        <v/>
      </c>
    </row>
    <row r="415" spans="1:9" ht="14.25" customHeight="1" x14ac:dyDescent="0.3">
      <c r="A415" s="4"/>
      <c r="B415" s="4" t="str">
        <f>IF(A415="","",COUNTIF(Chicks!$C:$C,A415))</f>
        <v/>
      </c>
      <c r="C415" s="4"/>
      <c r="D415" s="6" t="str">
        <f>IF(A415="","",IFERROR(AVERAGEIF(Chicks!$C:$C,A415,Chicks!$K:$K),""))</f>
        <v/>
      </c>
      <c r="E415" s="6" t="str">
        <f>IF(A415="","",IFERROR(AVERAGEIF(Chicks!$C:$C,A415,Chicks!$L:$L),""))</f>
        <v/>
      </c>
      <c r="F415" s="6" t="str">
        <f>IF(A415="","",IFERROR(AVERAGEIF(Chicks!$C:$C,A415,Chicks!$M:$M),""))</f>
        <v/>
      </c>
      <c r="G415" s="6" t="str">
        <f>IF(A415="","",SUMIFS(Chicks!$N:$N,Chicks!$C:$C,A415))</f>
        <v/>
      </c>
      <c r="H415" s="6" t="str">
        <f>IF(A415="","",SUMIFS(Chicks!$O:$O,Chicks!$C:$C,A415))</f>
        <v/>
      </c>
      <c r="I415" s="6" t="str">
        <f>IF(A415="","",SUMIFS(Chicks!$P:$P,Chicks!$C:$C,A415))</f>
        <v/>
      </c>
    </row>
    <row r="416" spans="1:9" ht="14.25" customHeight="1" x14ac:dyDescent="0.3">
      <c r="A416" s="4"/>
      <c r="B416" s="4" t="str">
        <f>IF(A416="","",COUNTIF(Chicks!$C:$C,A416))</f>
        <v/>
      </c>
      <c r="C416" s="4"/>
      <c r="D416" s="6" t="str">
        <f>IF(A416="","",IFERROR(AVERAGEIF(Chicks!$C:$C,A416,Chicks!$K:$K),""))</f>
        <v/>
      </c>
      <c r="E416" s="6" t="str">
        <f>IF(A416="","",IFERROR(AVERAGEIF(Chicks!$C:$C,A416,Chicks!$L:$L),""))</f>
        <v/>
      </c>
      <c r="F416" s="6" t="str">
        <f>IF(A416="","",IFERROR(AVERAGEIF(Chicks!$C:$C,A416,Chicks!$M:$M),""))</f>
        <v/>
      </c>
      <c r="G416" s="6" t="str">
        <f>IF(A416="","",SUMIFS(Chicks!$N:$N,Chicks!$C:$C,A416))</f>
        <v/>
      </c>
      <c r="H416" s="6" t="str">
        <f>IF(A416="","",SUMIFS(Chicks!$O:$O,Chicks!$C:$C,A416))</f>
        <v/>
      </c>
      <c r="I416" s="6" t="str">
        <f>IF(A416="","",SUMIFS(Chicks!$P:$P,Chicks!$C:$C,A416))</f>
        <v/>
      </c>
    </row>
    <row r="417" spans="1:9" ht="14.25" customHeight="1" x14ac:dyDescent="0.3">
      <c r="A417" s="4"/>
      <c r="B417" s="4" t="str">
        <f>IF(A417="","",COUNTIF(Chicks!$C:$C,A417))</f>
        <v/>
      </c>
      <c r="C417" s="4"/>
      <c r="D417" s="6" t="str">
        <f>IF(A417="","",IFERROR(AVERAGEIF(Chicks!$C:$C,A417,Chicks!$K:$K),""))</f>
        <v/>
      </c>
      <c r="E417" s="6" t="str">
        <f>IF(A417="","",IFERROR(AVERAGEIF(Chicks!$C:$C,A417,Chicks!$L:$L),""))</f>
        <v/>
      </c>
      <c r="F417" s="6" t="str">
        <f>IF(A417="","",IFERROR(AVERAGEIF(Chicks!$C:$C,A417,Chicks!$M:$M),""))</f>
        <v/>
      </c>
      <c r="G417" s="6" t="str">
        <f>IF(A417="","",SUMIFS(Chicks!$N:$N,Chicks!$C:$C,A417))</f>
        <v/>
      </c>
      <c r="H417" s="6" t="str">
        <f>IF(A417="","",SUMIFS(Chicks!$O:$O,Chicks!$C:$C,A417))</f>
        <v/>
      </c>
      <c r="I417" s="6" t="str">
        <f>IF(A417="","",SUMIFS(Chicks!$P:$P,Chicks!$C:$C,A417))</f>
        <v/>
      </c>
    </row>
    <row r="418" spans="1:9" ht="14.25" customHeight="1" x14ac:dyDescent="0.3">
      <c r="A418" s="4"/>
      <c r="B418" s="4" t="str">
        <f>IF(A418="","",COUNTIF(Chicks!$C:$C,A418))</f>
        <v/>
      </c>
      <c r="C418" s="4"/>
      <c r="D418" s="6" t="str">
        <f>IF(A418="","",IFERROR(AVERAGEIF(Chicks!$C:$C,A418,Chicks!$K:$K),""))</f>
        <v/>
      </c>
      <c r="E418" s="6" t="str">
        <f>IF(A418="","",IFERROR(AVERAGEIF(Chicks!$C:$C,A418,Chicks!$L:$L),""))</f>
        <v/>
      </c>
      <c r="F418" s="6" t="str">
        <f>IF(A418="","",IFERROR(AVERAGEIF(Chicks!$C:$C,A418,Chicks!$M:$M),""))</f>
        <v/>
      </c>
      <c r="G418" s="6" t="str">
        <f>IF(A418="","",SUMIFS(Chicks!$N:$N,Chicks!$C:$C,A418))</f>
        <v/>
      </c>
      <c r="H418" s="6" t="str">
        <f>IF(A418="","",SUMIFS(Chicks!$O:$O,Chicks!$C:$C,A418))</f>
        <v/>
      </c>
      <c r="I418" s="6" t="str">
        <f>IF(A418="","",SUMIFS(Chicks!$P:$P,Chicks!$C:$C,A418))</f>
        <v/>
      </c>
    </row>
    <row r="419" spans="1:9" ht="14.25" customHeight="1" x14ac:dyDescent="0.3">
      <c r="A419" s="4"/>
      <c r="B419" s="4" t="str">
        <f>IF(A419="","",COUNTIF(Chicks!$C:$C,A419))</f>
        <v/>
      </c>
      <c r="C419" s="4"/>
      <c r="D419" s="6" t="str">
        <f>IF(A419="","",IFERROR(AVERAGEIF(Chicks!$C:$C,A419,Chicks!$K:$K),""))</f>
        <v/>
      </c>
      <c r="E419" s="6" t="str">
        <f>IF(A419="","",IFERROR(AVERAGEIF(Chicks!$C:$C,A419,Chicks!$L:$L),""))</f>
        <v/>
      </c>
      <c r="F419" s="6" t="str">
        <f>IF(A419="","",IFERROR(AVERAGEIF(Chicks!$C:$C,A419,Chicks!$M:$M),""))</f>
        <v/>
      </c>
      <c r="G419" s="6" t="str">
        <f>IF(A419="","",SUMIFS(Chicks!$N:$N,Chicks!$C:$C,A419))</f>
        <v/>
      </c>
      <c r="H419" s="6" t="str">
        <f>IF(A419="","",SUMIFS(Chicks!$O:$O,Chicks!$C:$C,A419))</f>
        <v/>
      </c>
      <c r="I419" s="6" t="str">
        <f>IF(A419="","",SUMIFS(Chicks!$P:$P,Chicks!$C:$C,A419))</f>
        <v/>
      </c>
    </row>
    <row r="420" spans="1:9" ht="14.25" customHeight="1" x14ac:dyDescent="0.3">
      <c r="A420" s="4"/>
      <c r="B420" s="4" t="str">
        <f>IF(A420="","",COUNTIF(Chicks!$C:$C,A420))</f>
        <v/>
      </c>
      <c r="C420" s="4"/>
      <c r="D420" s="6" t="str">
        <f>IF(A420="","",IFERROR(AVERAGEIF(Chicks!$C:$C,A420,Chicks!$K:$K),""))</f>
        <v/>
      </c>
      <c r="E420" s="6" t="str">
        <f>IF(A420="","",IFERROR(AVERAGEIF(Chicks!$C:$C,A420,Chicks!$L:$L),""))</f>
        <v/>
      </c>
      <c r="F420" s="6" t="str">
        <f>IF(A420="","",IFERROR(AVERAGEIF(Chicks!$C:$C,A420,Chicks!$M:$M),""))</f>
        <v/>
      </c>
      <c r="G420" s="6" t="str">
        <f>IF(A420="","",SUMIFS(Chicks!$N:$N,Chicks!$C:$C,A420))</f>
        <v/>
      </c>
      <c r="H420" s="6" t="str">
        <f>IF(A420="","",SUMIFS(Chicks!$O:$O,Chicks!$C:$C,A420))</f>
        <v/>
      </c>
      <c r="I420" s="6" t="str">
        <f>IF(A420="","",SUMIFS(Chicks!$P:$P,Chicks!$C:$C,A420))</f>
        <v/>
      </c>
    </row>
    <row r="421" spans="1:9" ht="14.25" customHeight="1" x14ac:dyDescent="0.3">
      <c r="A421" s="4"/>
      <c r="B421" s="4" t="str">
        <f>IF(A421="","",COUNTIF(Chicks!$C:$C,A421))</f>
        <v/>
      </c>
      <c r="C421" s="4"/>
      <c r="D421" s="6" t="str">
        <f>IF(A421="","",IFERROR(AVERAGEIF(Chicks!$C:$C,A421,Chicks!$K:$K),""))</f>
        <v/>
      </c>
      <c r="E421" s="6" t="str">
        <f>IF(A421="","",IFERROR(AVERAGEIF(Chicks!$C:$C,A421,Chicks!$L:$L),""))</f>
        <v/>
      </c>
      <c r="F421" s="6" t="str">
        <f>IF(A421="","",IFERROR(AVERAGEIF(Chicks!$C:$C,A421,Chicks!$M:$M),""))</f>
        <v/>
      </c>
      <c r="G421" s="6" t="str">
        <f>IF(A421="","",SUMIFS(Chicks!$N:$N,Chicks!$C:$C,A421))</f>
        <v/>
      </c>
      <c r="H421" s="6" t="str">
        <f>IF(A421="","",SUMIFS(Chicks!$O:$O,Chicks!$C:$C,A421))</f>
        <v/>
      </c>
      <c r="I421" s="6" t="str">
        <f>IF(A421="","",SUMIFS(Chicks!$P:$P,Chicks!$C:$C,A421))</f>
        <v/>
      </c>
    </row>
    <row r="422" spans="1:9" ht="14.25" customHeight="1" x14ac:dyDescent="0.3">
      <c r="A422" s="4"/>
      <c r="B422" s="4" t="str">
        <f>IF(A422="","",COUNTIF(Chicks!$C:$C,A422))</f>
        <v/>
      </c>
      <c r="C422" s="4"/>
      <c r="D422" s="6" t="str">
        <f>IF(A422="","",IFERROR(AVERAGEIF(Chicks!$C:$C,A422,Chicks!$K:$K),""))</f>
        <v/>
      </c>
      <c r="E422" s="6" t="str">
        <f>IF(A422="","",IFERROR(AVERAGEIF(Chicks!$C:$C,A422,Chicks!$L:$L),""))</f>
        <v/>
      </c>
      <c r="F422" s="6" t="str">
        <f>IF(A422="","",IFERROR(AVERAGEIF(Chicks!$C:$C,A422,Chicks!$M:$M),""))</f>
        <v/>
      </c>
      <c r="G422" s="6" t="str">
        <f>IF(A422="","",SUMIFS(Chicks!$N:$N,Chicks!$C:$C,A422))</f>
        <v/>
      </c>
      <c r="H422" s="6" t="str">
        <f>IF(A422="","",SUMIFS(Chicks!$O:$O,Chicks!$C:$C,A422))</f>
        <v/>
      </c>
      <c r="I422" s="6" t="str">
        <f>IF(A422="","",SUMIFS(Chicks!$P:$P,Chicks!$C:$C,A422))</f>
        <v/>
      </c>
    </row>
    <row r="423" spans="1:9" ht="14.25" customHeight="1" x14ac:dyDescent="0.3">
      <c r="A423" s="4"/>
      <c r="B423" s="4" t="str">
        <f>IF(A423="","",COUNTIF(Chicks!$C:$C,A423))</f>
        <v/>
      </c>
      <c r="C423" s="4"/>
      <c r="D423" s="6" t="str">
        <f>IF(A423="","",IFERROR(AVERAGEIF(Chicks!$C:$C,A423,Chicks!$K:$K),""))</f>
        <v/>
      </c>
      <c r="E423" s="6" t="str">
        <f>IF(A423="","",IFERROR(AVERAGEIF(Chicks!$C:$C,A423,Chicks!$L:$L),""))</f>
        <v/>
      </c>
      <c r="F423" s="6" t="str">
        <f>IF(A423="","",IFERROR(AVERAGEIF(Chicks!$C:$C,A423,Chicks!$M:$M),""))</f>
        <v/>
      </c>
      <c r="G423" s="6" t="str">
        <f>IF(A423="","",SUMIFS(Chicks!$N:$N,Chicks!$C:$C,A423))</f>
        <v/>
      </c>
      <c r="H423" s="6" t="str">
        <f>IF(A423="","",SUMIFS(Chicks!$O:$O,Chicks!$C:$C,A423))</f>
        <v/>
      </c>
      <c r="I423" s="6" t="str">
        <f>IF(A423="","",SUMIFS(Chicks!$P:$P,Chicks!$C:$C,A423))</f>
        <v/>
      </c>
    </row>
    <row r="424" spans="1:9" ht="14.25" customHeight="1" x14ac:dyDescent="0.3">
      <c r="A424" s="4"/>
      <c r="B424" s="4" t="str">
        <f>IF(A424="","",COUNTIF(Chicks!$C:$C,A424))</f>
        <v/>
      </c>
      <c r="C424" s="4"/>
      <c r="D424" s="6" t="str">
        <f>IF(A424="","",IFERROR(AVERAGEIF(Chicks!$C:$C,A424,Chicks!$K:$K),""))</f>
        <v/>
      </c>
      <c r="E424" s="6" t="str">
        <f>IF(A424="","",IFERROR(AVERAGEIF(Chicks!$C:$C,A424,Chicks!$L:$L),""))</f>
        <v/>
      </c>
      <c r="F424" s="6" t="str">
        <f>IF(A424="","",IFERROR(AVERAGEIF(Chicks!$C:$C,A424,Chicks!$M:$M),""))</f>
        <v/>
      </c>
      <c r="G424" s="6" t="str">
        <f>IF(A424="","",SUMIFS(Chicks!$N:$N,Chicks!$C:$C,A424))</f>
        <v/>
      </c>
      <c r="H424" s="6" t="str">
        <f>IF(A424="","",SUMIFS(Chicks!$O:$O,Chicks!$C:$C,A424))</f>
        <v/>
      </c>
      <c r="I424" s="6" t="str">
        <f>IF(A424="","",SUMIFS(Chicks!$P:$P,Chicks!$C:$C,A424))</f>
        <v/>
      </c>
    </row>
    <row r="425" spans="1:9" ht="14.25" customHeight="1" x14ac:dyDescent="0.3">
      <c r="A425" s="4"/>
      <c r="B425" s="4" t="str">
        <f>IF(A425="","",COUNTIF(Chicks!$C:$C,A425))</f>
        <v/>
      </c>
      <c r="C425" s="4"/>
      <c r="D425" s="6" t="str">
        <f>IF(A425="","",IFERROR(AVERAGEIF(Chicks!$C:$C,A425,Chicks!$K:$K),""))</f>
        <v/>
      </c>
      <c r="E425" s="6" t="str">
        <f>IF(A425="","",IFERROR(AVERAGEIF(Chicks!$C:$C,A425,Chicks!$L:$L),""))</f>
        <v/>
      </c>
      <c r="F425" s="6" t="str">
        <f>IF(A425="","",IFERROR(AVERAGEIF(Chicks!$C:$C,A425,Chicks!$M:$M),""))</f>
        <v/>
      </c>
      <c r="G425" s="6" t="str">
        <f>IF(A425="","",SUMIFS(Chicks!$N:$N,Chicks!$C:$C,A425))</f>
        <v/>
      </c>
      <c r="H425" s="6" t="str">
        <f>IF(A425="","",SUMIFS(Chicks!$O:$O,Chicks!$C:$C,A425))</f>
        <v/>
      </c>
      <c r="I425" s="6" t="str">
        <f>IF(A425="","",SUMIFS(Chicks!$P:$P,Chicks!$C:$C,A425))</f>
        <v/>
      </c>
    </row>
    <row r="426" spans="1:9" ht="14.25" customHeight="1" x14ac:dyDescent="0.3">
      <c r="A426" s="4"/>
      <c r="B426" s="4" t="str">
        <f>IF(A426="","",COUNTIF(Chicks!$C:$C,A426))</f>
        <v/>
      </c>
      <c r="C426" s="4"/>
      <c r="D426" s="6" t="str">
        <f>IF(A426="","",IFERROR(AVERAGEIF(Chicks!$C:$C,A426,Chicks!$K:$K),""))</f>
        <v/>
      </c>
      <c r="E426" s="6" t="str">
        <f>IF(A426="","",IFERROR(AVERAGEIF(Chicks!$C:$C,A426,Chicks!$L:$L),""))</f>
        <v/>
      </c>
      <c r="F426" s="6" t="str">
        <f>IF(A426="","",IFERROR(AVERAGEIF(Chicks!$C:$C,A426,Chicks!$M:$M),""))</f>
        <v/>
      </c>
      <c r="G426" s="6" t="str">
        <f>IF(A426="","",SUMIFS(Chicks!$N:$N,Chicks!$C:$C,A426))</f>
        <v/>
      </c>
      <c r="H426" s="6" t="str">
        <f>IF(A426="","",SUMIFS(Chicks!$O:$O,Chicks!$C:$C,A426))</f>
        <v/>
      </c>
      <c r="I426" s="6" t="str">
        <f>IF(A426="","",SUMIFS(Chicks!$P:$P,Chicks!$C:$C,A426))</f>
        <v/>
      </c>
    </row>
    <row r="427" spans="1:9" ht="14.25" customHeight="1" x14ac:dyDescent="0.3">
      <c r="A427" s="4"/>
      <c r="B427" s="4" t="str">
        <f>IF(A427="","",COUNTIF(Chicks!$C:$C,A427))</f>
        <v/>
      </c>
      <c r="C427" s="4"/>
      <c r="D427" s="6" t="str">
        <f>IF(A427="","",IFERROR(AVERAGEIF(Chicks!$C:$C,A427,Chicks!$K:$K),""))</f>
        <v/>
      </c>
      <c r="E427" s="6" t="str">
        <f>IF(A427="","",IFERROR(AVERAGEIF(Chicks!$C:$C,A427,Chicks!$L:$L),""))</f>
        <v/>
      </c>
      <c r="F427" s="6" t="str">
        <f>IF(A427="","",IFERROR(AVERAGEIF(Chicks!$C:$C,A427,Chicks!$M:$M),""))</f>
        <v/>
      </c>
      <c r="G427" s="6" t="str">
        <f>IF(A427="","",SUMIFS(Chicks!$N:$N,Chicks!$C:$C,A427))</f>
        <v/>
      </c>
      <c r="H427" s="6" t="str">
        <f>IF(A427="","",SUMIFS(Chicks!$O:$O,Chicks!$C:$C,A427))</f>
        <v/>
      </c>
      <c r="I427" s="6" t="str">
        <f>IF(A427="","",SUMIFS(Chicks!$P:$P,Chicks!$C:$C,A427))</f>
        <v/>
      </c>
    </row>
    <row r="428" spans="1:9" ht="14.25" customHeight="1" x14ac:dyDescent="0.3">
      <c r="A428" s="4"/>
      <c r="B428" s="4" t="str">
        <f>IF(A428="","",COUNTIF(Chicks!$C:$C,A428))</f>
        <v/>
      </c>
      <c r="C428" s="4"/>
      <c r="D428" s="6" t="str">
        <f>IF(A428="","",IFERROR(AVERAGEIF(Chicks!$C:$C,A428,Chicks!$K:$K),""))</f>
        <v/>
      </c>
      <c r="E428" s="6" t="str">
        <f>IF(A428="","",IFERROR(AVERAGEIF(Chicks!$C:$C,A428,Chicks!$L:$L),""))</f>
        <v/>
      </c>
      <c r="F428" s="6" t="str">
        <f>IF(A428="","",IFERROR(AVERAGEIF(Chicks!$C:$C,A428,Chicks!$M:$M),""))</f>
        <v/>
      </c>
      <c r="G428" s="6" t="str">
        <f>IF(A428="","",SUMIFS(Chicks!$N:$N,Chicks!$C:$C,A428))</f>
        <v/>
      </c>
      <c r="H428" s="6" t="str">
        <f>IF(A428="","",SUMIFS(Chicks!$O:$O,Chicks!$C:$C,A428))</f>
        <v/>
      </c>
      <c r="I428" s="6" t="str">
        <f>IF(A428="","",SUMIFS(Chicks!$P:$P,Chicks!$C:$C,A428))</f>
        <v/>
      </c>
    </row>
    <row r="429" spans="1:9" ht="14.25" customHeight="1" x14ac:dyDescent="0.3">
      <c r="A429" s="4"/>
      <c r="B429" s="4" t="str">
        <f>IF(A429="","",COUNTIF(Chicks!$C:$C,A429))</f>
        <v/>
      </c>
      <c r="C429" s="4"/>
      <c r="D429" s="6" t="str">
        <f>IF(A429="","",IFERROR(AVERAGEIF(Chicks!$C:$C,A429,Chicks!$K:$K),""))</f>
        <v/>
      </c>
      <c r="E429" s="6" t="str">
        <f>IF(A429="","",IFERROR(AVERAGEIF(Chicks!$C:$C,A429,Chicks!$L:$L),""))</f>
        <v/>
      </c>
      <c r="F429" s="6" t="str">
        <f>IF(A429="","",IFERROR(AVERAGEIF(Chicks!$C:$C,A429,Chicks!$M:$M),""))</f>
        <v/>
      </c>
      <c r="G429" s="6" t="str">
        <f>IF(A429="","",SUMIFS(Chicks!$N:$N,Chicks!$C:$C,A429))</f>
        <v/>
      </c>
      <c r="H429" s="6" t="str">
        <f>IF(A429="","",SUMIFS(Chicks!$O:$O,Chicks!$C:$C,A429))</f>
        <v/>
      </c>
      <c r="I429" s="6" t="str">
        <f>IF(A429="","",SUMIFS(Chicks!$P:$P,Chicks!$C:$C,A429))</f>
        <v/>
      </c>
    </row>
    <row r="430" spans="1:9" ht="14.25" customHeight="1" x14ac:dyDescent="0.3">
      <c r="A430" s="4"/>
      <c r="B430" s="4" t="str">
        <f>IF(A430="","",COUNTIF(Chicks!$C:$C,A430))</f>
        <v/>
      </c>
      <c r="C430" s="4"/>
      <c r="D430" s="6" t="str">
        <f>IF(A430="","",IFERROR(AVERAGEIF(Chicks!$C:$C,A430,Chicks!$K:$K),""))</f>
        <v/>
      </c>
      <c r="E430" s="6" t="str">
        <f>IF(A430="","",IFERROR(AVERAGEIF(Chicks!$C:$C,A430,Chicks!$L:$L),""))</f>
        <v/>
      </c>
      <c r="F430" s="6" t="str">
        <f>IF(A430="","",IFERROR(AVERAGEIF(Chicks!$C:$C,A430,Chicks!$M:$M),""))</f>
        <v/>
      </c>
      <c r="G430" s="6" t="str">
        <f>IF(A430="","",SUMIFS(Chicks!$N:$N,Chicks!$C:$C,A430))</f>
        <v/>
      </c>
      <c r="H430" s="6" t="str">
        <f>IF(A430="","",SUMIFS(Chicks!$O:$O,Chicks!$C:$C,A430))</f>
        <v/>
      </c>
      <c r="I430" s="6" t="str">
        <f>IF(A430="","",SUMIFS(Chicks!$P:$P,Chicks!$C:$C,A430))</f>
        <v/>
      </c>
    </row>
    <row r="431" spans="1:9" ht="14.25" customHeight="1" x14ac:dyDescent="0.3">
      <c r="A431" s="4"/>
      <c r="B431" s="4" t="str">
        <f>IF(A431="","",COUNTIF(Chicks!$C:$C,A431))</f>
        <v/>
      </c>
      <c r="C431" s="4"/>
      <c r="D431" s="6" t="str">
        <f>IF(A431="","",IFERROR(AVERAGEIF(Chicks!$C:$C,A431,Chicks!$K:$K),""))</f>
        <v/>
      </c>
      <c r="E431" s="6" t="str">
        <f>IF(A431="","",IFERROR(AVERAGEIF(Chicks!$C:$C,A431,Chicks!$L:$L),""))</f>
        <v/>
      </c>
      <c r="F431" s="6" t="str">
        <f>IF(A431="","",IFERROR(AVERAGEIF(Chicks!$C:$C,A431,Chicks!$M:$M),""))</f>
        <v/>
      </c>
      <c r="G431" s="6" t="str">
        <f>IF(A431="","",SUMIFS(Chicks!$N:$N,Chicks!$C:$C,A431))</f>
        <v/>
      </c>
      <c r="H431" s="6" t="str">
        <f>IF(A431="","",SUMIFS(Chicks!$O:$O,Chicks!$C:$C,A431))</f>
        <v/>
      </c>
      <c r="I431" s="6" t="str">
        <f>IF(A431="","",SUMIFS(Chicks!$P:$P,Chicks!$C:$C,A431))</f>
        <v/>
      </c>
    </row>
    <row r="432" spans="1:9" ht="14.25" customHeight="1" x14ac:dyDescent="0.3">
      <c r="A432" s="4"/>
      <c r="B432" s="4" t="str">
        <f>IF(A432="","",COUNTIF(Chicks!$C:$C,A432))</f>
        <v/>
      </c>
      <c r="C432" s="4"/>
      <c r="D432" s="6" t="str">
        <f>IF(A432="","",IFERROR(AVERAGEIF(Chicks!$C:$C,A432,Chicks!$K:$K),""))</f>
        <v/>
      </c>
      <c r="E432" s="6" t="str">
        <f>IF(A432="","",IFERROR(AVERAGEIF(Chicks!$C:$C,A432,Chicks!$L:$L),""))</f>
        <v/>
      </c>
      <c r="F432" s="6" t="str">
        <f>IF(A432="","",IFERROR(AVERAGEIF(Chicks!$C:$C,A432,Chicks!$M:$M),""))</f>
        <v/>
      </c>
      <c r="G432" s="6" t="str">
        <f>IF(A432="","",SUMIFS(Chicks!$N:$N,Chicks!$C:$C,A432))</f>
        <v/>
      </c>
      <c r="H432" s="6" t="str">
        <f>IF(A432="","",SUMIFS(Chicks!$O:$O,Chicks!$C:$C,A432))</f>
        <v/>
      </c>
      <c r="I432" s="6" t="str">
        <f>IF(A432="","",SUMIFS(Chicks!$P:$P,Chicks!$C:$C,A432))</f>
        <v/>
      </c>
    </row>
    <row r="433" spans="1:9" ht="14.25" customHeight="1" x14ac:dyDescent="0.3">
      <c r="A433" s="4"/>
      <c r="B433" s="4" t="str">
        <f>IF(A433="","",COUNTIF(Chicks!$C:$C,A433))</f>
        <v/>
      </c>
      <c r="C433" s="4"/>
      <c r="D433" s="6" t="str">
        <f>IF(A433="","",IFERROR(AVERAGEIF(Chicks!$C:$C,A433,Chicks!$K:$K),""))</f>
        <v/>
      </c>
      <c r="E433" s="6" t="str">
        <f>IF(A433="","",IFERROR(AVERAGEIF(Chicks!$C:$C,A433,Chicks!$L:$L),""))</f>
        <v/>
      </c>
      <c r="F433" s="6" t="str">
        <f>IF(A433="","",IFERROR(AVERAGEIF(Chicks!$C:$C,A433,Chicks!$M:$M),""))</f>
        <v/>
      </c>
      <c r="G433" s="6" t="str">
        <f>IF(A433="","",SUMIFS(Chicks!$N:$N,Chicks!$C:$C,A433))</f>
        <v/>
      </c>
      <c r="H433" s="6" t="str">
        <f>IF(A433="","",SUMIFS(Chicks!$O:$O,Chicks!$C:$C,A433))</f>
        <v/>
      </c>
      <c r="I433" s="6" t="str">
        <f>IF(A433="","",SUMIFS(Chicks!$P:$P,Chicks!$C:$C,A433))</f>
        <v/>
      </c>
    </row>
    <row r="434" spans="1:9" ht="14.25" customHeight="1" x14ac:dyDescent="0.3">
      <c r="A434" s="4"/>
      <c r="B434" s="4" t="str">
        <f>IF(A434="","",COUNTIF(Chicks!$C:$C,A434))</f>
        <v/>
      </c>
      <c r="C434" s="4"/>
      <c r="D434" s="6" t="str">
        <f>IF(A434="","",IFERROR(AVERAGEIF(Chicks!$C:$C,A434,Chicks!$K:$K),""))</f>
        <v/>
      </c>
      <c r="E434" s="6" t="str">
        <f>IF(A434="","",IFERROR(AVERAGEIF(Chicks!$C:$C,A434,Chicks!$L:$L),""))</f>
        <v/>
      </c>
      <c r="F434" s="6" t="str">
        <f>IF(A434="","",IFERROR(AVERAGEIF(Chicks!$C:$C,A434,Chicks!$M:$M),""))</f>
        <v/>
      </c>
      <c r="G434" s="6" t="str">
        <f>IF(A434="","",SUMIFS(Chicks!$N:$N,Chicks!$C:$C,A434))</f>
        <v/>
      </c>
      <c r="H434" s="6" t="str">
        <f>IF(A434="","",SUMIFS(Chicks!$O:$O,Chicks!$C:$C,A434))</f>
        <v/>
      </c>
      <c r="I434" s="6" t="str">
        <f>IF(A434="","",SUMIFS(Chicks!$P:$P,Chicks!$C:$C,A434))</f>
        <v/>
      </c>
    </row>
    <row r="435" spans="1:9" ht="14.25" customHeight="1" x14ac:dyDescent="0.3">
      <c r="A435" s="4"/>
      <c r="B435" s="4" t="str">
        <f>IF(A435="","",COUNTIF(Chicks!$C:$C,A435))</f>
        <v/>
      </c>
      <c r="C435" s="4"/>
      <c r="D435" s="6" t="str">
        <f>IF(A435="","",IFERROR(AVERAGEIF(Chicks!$C:$C,A435,Chicks!$K:$K),""))</f>
        <v/>
      </c>
      <c r="E435" s="6" t="str">
        <f>IF(A435="","",IFERROR(AVERAGEIF(Chicks!$C:$C,A435,Chicks!$L:$L),""))</f>
        <v/>
      </c>
      <c r="F435" s="6" t="str">
        <f>IF(A435="","",IFERROR(AVERAGEIF(Chicks!$C:$C,A435,Chicks!$M:$M),""))</f>
        <v/>
      </c>
      <c r="G435" s="6" t="str">
        <f>IF(A435="","",SUMIFS(Chicks!$N:$N,Chicks!$C:$C,A435))</f>
        <v/>
      </c>
      <c r="H435" s="6" t="str">
        <f>IF(A435="","",SUMIFS(Chicks!$O:$O,Chicks!$C:$C,A435))</f>
        <v/>
      </c>
      <c r="I435" s="6" t="str">
        <f>IF(A435="","",SUMIFS(Chicks!$P:$P,Chicks!$C:$C,A435))</f>
        <v/>
      </c>
    </row>
    <row r="436" spans="1:9" ht="14.25" customHeight="1" x14ac:dyDescent="0.3">
      <c r="A436" s="4"/>
      <c r="B436" s="4" t="str">
        <f>IF(A436="","",COUNTIF(Chicks!$C:$C,A436))</f>
        <v/>
      </c>
      <c r="C436" s="4"/>
      <c r="D436" s="6" t="str">
        <f>IF(A436="","",IFERROR(AVERAGEIF(Chicks!$C:$C,A436,Chicks!$K:$K),""))</f>
        <v/>
      </c>
      <c r="E436" s="6" t="str">
        <f>IF(A436="","",IFERROR(AVERAGEIF(Chicks!$C:$C,A436,Chicks!$L:$L),""))</f>
        <v/>
      </c>
      <c r="F436" s="6" t="str">
        <f>IF(A436="","",IFERROR(AVERAGEIF(Chicks!$C:$C,A436,Chicks!$M:$M),""))</f>
        <v/>
      </c>
      <c r="G436" s="6" t="str">
        <f>IF(A436="","",SUMIFS(Chicks!$N:$N,Chicks!$C:$C,A436))</f>
        <v/>
      </c>
      <c r="H436" s="6" t="str">
        <f>IF(A436="","",SUMIFS(Chicks!$O:$O,Chicks!$C:$C,A436))</f>
        <v/>
      </c>
      <c r="I436" s="6" t="str">
        <f>IF(A436="","",SUMIFS(Chicks!$P:$P,Chicks!$C:$C,A436))</f>
        <v/>
      </c>
    </row>
    <row r="437" spans="1:9" ht="14.25" customHeight="1" x14ac:dyDescent="0.3">
      <c r="A437" s="4"/>
      <c r="B437" s="4" t="str">
        <f>IF(A437="","",COUNTIF(Chicks!$C:$C,A437))</f>
        <v/>
      </c>
      <c r="C437" s="4"/>
      <c r="D437" s="6" t="str">
        <f>IF(A437="","",IFERROR(AVERAGEIF(Chicks!$C:$C,A437,Chicks!$K:$K),""))</f>
        <v/>
      </c>
      <c r="E437" s="6" t="str">
        <f>IF(A437="","",IFERROR(AVERAGEIF(Chicks!$C:$C,A437,Chicks!$L:$L),""))</f>
        <v/>
      </c>
      <c r="F437" s="6" t="str">
        <f>IF(A437="","",IFERROR(AVERAGEIF(Chicks!$C:$C,A437,Chicks!$M:$M),""))</f>
        <v/>
      </c>
      <c r="G437" s="6" t="str">
        <f>IF(A437="","",SUMIFS(Chicks!$N:$N,Chicks!$C:$C,A437))</f>
        <v/>
      </c>
      <c r="H437" s="6" t="str">
        <f>IF(A437="","",SUMIFS(Chicks!$O:$O,Chicks!$C:$C,A437))</f>
        <v/>
      </c>
      <c r="I437" s="6" t="str">
        <f>IF(A437="","",SUMIFS(Chicks!$P:$P,Chicks!$C:$C,A437))</f>
        <v/>
      </c>
    </row>
    <row r="438" spans="1:9" ht="14.25" customHeight="1" x14ac:dyDescent="0.3">
      <c r="A438" s="4"/>
      <c r="B438" s="4" t="str">
        <f>IF(A438="","",COUNTIF(Chicks!$C:$C,A438))</f>
        <v/>
      </c>
      <c r="C438" s="4"/>
      <c r="D438" s="6" t="str">
        <f>IF(A438="","",IFERROR(AVERAGEIF(Chicks!$C:$C,A438,Chicks!$K:$K),""))</f>
        <v/>
      </c>
      <c r="E438" s="6" t="str">
        <f>IF(A438="","",IFERROR(AVERAGEIF(Chicks!$C:$C,A438,Chicks!$L:$L),""))</f>
        <v/>
      </c>
      <c r="F438" s="6" t="str">
        <f>IF(A438="","",IFERROR(AVERAGEIF(Chicks!$C:$C,A438,Chicks!$M:$M),""))</f>
        <v/>
      </c>
      <c r="G438" s="6" t="str">
        <f>IF(A438="","",SUMIFS(Chicks!$N:$N,Chicks!$C:$C,A438))</f>
        <v/>
      </c>
      <c r="H438" s="6" t="str">
        <f>IF(A438="","",SUMIFS(Chicks!$O:$O,Chicks!$C:$C,A438))</f>
        <v/>
      </c>
      <c r="I438" s="6" t="str">
        <f>IF(A438="","",SUMIFS(Chicks!$P:$P,Chicks!$C:$C,A438))</f>
        <v/>
      </c>
    </row>
    <row r="439" spans="1:9" ht="14.25" customHeight="1" x14ac:dyDescent="0.3">
      <c r="A439" s="4"/>
      <c r="B439" s="4" t="str">
        <f>IF(A439="","",COUNTIF(Chicks!$C:$C,A439))</f>
        <v/>
      </c>
      <c r="C439" s="4"/>
      <c r="D439" s="6" t="str">
        <f>IF(A439="","",IFERROR(AVERAGEIF(Chicks!$C:$C,A439,Chicks!$K:$K),""))</f>
        <v/>
      </c>
      <c r="E439" s="6" t="str">
        <f>IF(A439="","",IFERROR(AVERAGEIF(Chicks!$C:$C,A439,Chicks!$L:$L),""))</f>
        <v/>
      </c>
      <c r="F439" s="6" t="str">
        <f>IF(A439="","",IFERROR(AVERAGEIF(Chicks!$C:$C,A439,Chicks!$M:$M),""))</f>
        <v/>
      </c>
      <c r="G439" s="6" t="str">
        <f>IF(A439="","",SUMIFS(Chicks!$N:$N,Chicks!$C:$C,A439))</f>
        <v/>
      </c>
      <c r="H439" s="6" t="str">
        <f>IF(A439="","",SUMIFS(Chicks!$O:$O,Chicks!$C:$C,A439))</f>
        <v/>
      </c>
      <c r="I439" s="6" t="str">
        <f>IF(A439="","",SUMIFS(Chicks!$P:$P,Chicks!$C:$C,A439))</f>
        <v/>
      </c>
    </row>
    <row r="440" spans="1:9" ht="14.25" customHeight="1" x14ac:dyDescent="0.3">
      <c r="A440" s="4"/>
      <c r="B440" s="4" t="str">
        <f>IF(A440="","",COUNTIF(Chicks!$C:$C,A440))</f>
        <v/>
      </c>
      <c r="C440" s="4"/>
      <c r="D440" s="6" t="str">
        <f>IF(A440="","",IFERROR(AVERAGEIF(Chicks!$C:$C,A440,Chicks!$K:$K),""))</f>
        <v/>
      </c>
      <c r="E440" s="6" t="str">
        <f>IF(A440="","",IFERROR(AVERAGEIF(Chicks!$C:$C,A440,Chicks!$L:$L),""))</f>
        <v/>
      </c>
      <c r="F440" s="6" t="str">
        <f>IF(A440="","",IFERROR(AVERAGEIF(Chicks!$C:$C,A440,Chicks!$M:$M),""))</f>
        <v/>
      </c>
      <c r="G440" s="6" t="str">
        <f>IF(A440="","",SUMIFS(Chicks!$N:$N,Chicks!$C:$C,A440))</f>
        <v/>
      </c>
      <c r="H440" s="6" t="str">
        <f>IF(A440="","",SUMIFS(Chicks!$O:$O,Chicks!$C:$C,A440))</f>
        <v/>
      </c>
      <c r="I440" s="6" t="str">
        <f>IF(A440="","",SUMIFS(Chicks!$P:$P,Chicks!$C:$C,A440))</f>
        <v/>
      </c>
    </row>
    <row r="441" spans="1:9" ht="14.25" customHeight="1" x14ac:dyDescent="0.3">
      <c r="A441" s="4"/>
      <c r="B441" s="4" t="str">
        <f>IF(A441="","",COUNTIF(Chicks!$C:$C,A441))</f>
        <v/>
      </c>
      <c r="C441" s="4"/>
      <c r="D441" s="6" t="str">
        <f>IF(A441="","",IFERROR(AVERAGEIF(Chicks!$C:$C,A441,Chicks!$K:$K),""))</f>
        <v/>
      </c>
      <c r="E441" s="6" t="str">
        <f>IF(A441="","",IFERROR(AVERAGEIF(Chicks!$C:$C,A441,Chicks!$L:$L),""))</f>
        <v/>
      </c>
      <c r="F441" s="6" t="str">
        <f>IF(A441="","",IFERROR(AVERAGEIF(Chicks!$C:$C,A441,Chicks!$M:$M),""))</f>
        <v/>
      </c>
      <c r="G441" s="6" t="str">
        <f>IF(A441="","",SUMIFS(Chicks!$N:$N,Chicks!$C:$C,A441))</f>
        <v/>
      </c>
      <c r="H441" s="6" t="str">
        <f>IF(A441="","",SUMIFS(Chicks!$O:$O,Chicks!$C:$C,A441))</f>
        <v/>
      </c>
      <c r="I441" s="6" t="str">
        <f>IF(A441="","",SUMIFS(Chicks!$P:$P,Chicks!$C:$C,A441))</f>
        <v/>
      </c>
    </row>
    <row r="442" spans="1:9" ht="14.25" customHeight="1" x14ac:dyDescent="0.3">
      <c r="A442" s="4"/>
      <c r="B442" s="4" t="str">
        <f>IF(A442="","",COUNTIF(Chicks!$C:$C,A442))</f>
        <v/>
      </c>
      <c r="C442" s="4"/>
      <c r="D442" s="6" t="str">
        <f>IF(A442="","",IFERROR(AVERAGEIF(Chicks!$C:$C,A442,Chicks!$K:$K),""))</f>
        <v/>
      </c>
      <c r="E442" s="6" t="str">
        <f>IF(A442="","",IFERROR(AVERAGEIF(Chicks!$C:$C,A442,Chicks!$L:$L),""))</f>
        <v/>
      </c>
      <c r="F442" s="6" t="str">
        <f>IF(A442="","",IFERROR(AVERAGEIF(Chicks!$C:$C,A442,Chicks!$M:$M),""))</f>
        <v/>
      </c>
      <c r="G442" s="6" t="str">
        <f>IF(A442="","",SUMIFS(Chicks!$N:$N,Chicks!$C:$C,A442))</f>
        <v/>
      </c>
      <c r="H442" s="6" t="str">
        <f>IF(A442="","",SUMIFS(Chicks!$O:$O,Chicks!$C:$C,A442))</f>
        <v/>
      </c>
      <c r="I442" s="6" t="str">
        <f>IF(A442="","",SUMIFS(Chicks!$P:$P,Chicks!$C:$C,A442))</f>
        <v/>
      </c>
    </row>
    <row r="443" spans="1:9" ht="14.25" customHeight="1" x14ac:dyDescent="0.3">
      <c r="A443" s="4"/>
      <c r="B443" s="4" t="str">
        <f>IF(A443="","",COUNTIF(Chicks!$C:$C,A443))</f>
        <v/>
      </c>
      <c r="C443" s="4"/>
      <c r="D443" s="6" t="str">
        <f>IF(A443="","",IFERROR(AVERAGEIF(Chicks!$C:$C,A443,Chicks!$K:$K),""))</f>
        <v/>
      </c>
      <c r="E443" s="6" t="str">
        <f>IF(A443="","",IFERROR(AVERAGEIF(Chicks!$C:$C,A443,Chicks!$L:$L),""))</f>
        <v/>
      </c>
      <c r="F443" s="6" t="str">
        <f>IF(A443="","",IFERROR(AVERAGEIF(Chicks!$C:$C,A443,Chicks!$M:$M),""))</f>
        <v/>
      </c>
      <c r="G443" s="6" t="str">
        <f>IF(A443="","",SUMIFS(Chicks!$N:$N,Chicks!$C:$C,A443))</f>
        <v/>
      </c>
      <c r="H443" s="6" t="str">
        <f>IF(A443="","",SUMIFS(Chicks!$O:$O,Chicks!$C:$C,A443))</f>
        <v/>
      </c>
      <c r="I443" s="6" t="str">
        <f>IF(A443="","",SUMIFS(Chicks!$P:$P,Chicks!$C:$C,A443))</f>
        <v/>
      </c>
    </row>
    <row r="444" spans="1:9" ht="14.25" customHeight="1" x14ac:dyDescent="0.3">
      <c r="A444" s="4"/>
      <c r="B444" s="4" t="str">
        <f>IF(A444="","",COUNTIF(Chicks!$C:$C,A444))</f>
        <v/>
      </c>
      <c r="C444" s="4"/>
      <c r="D444" s="6" t="str">
        <f>IF(A444="","",IFERROR(AVERAGEIF(Chicks!$C:$C,A444,Chicks!$K:$K),""))</f>
        <v/>
      </c>
      <c r="E444" s="6" t="str">
        <f>IF(A444="","",IFERROR(AVERAGEIF(Chicks!$C:$C,A444,Chicks!$L:$L),""))</f>
        <v/>
      </c>
      <c r="F444" s="6" t="str">
        <f>IF(A444="","",IFERROR(AVERAGEIF(Chicks!$C:$C,A444,Chicks!$M:$M),""))</f>
        <v/>
      </c>
      <c r="G444" s="6" t="str">
        <f>IF(A444="","",SUMIFS(Chicks!$N:$N,Chicks!$C:$C,A444))</f>
        <v/>
      </c>
      <c r="H444" s="6" t="str">
        <f>IF(A444="","",SUMIFS(Chicks!$O:$O,Chicks!$C:$C,A444))</f>
        <v/>
      </c>
      <c r="I444" s="6" t="str">
        <f>IF(A444="","",SUMIFS(Chicks!$P:$P,Chicks!$C:$C,A444))</f>
        <v/>
      </c>
    </row>
    <row r="445" spans="1:9" ht="14.25" customHeight="1" x14ac:dyDescent="0.3">
      <c r="A445" s="4"/>
      <c r="B445" s="4" t="str">
        <f>IF(A445="","",COUNTIF(Chicks!$C:$C,A445))</f>
        <v/>
      </c>
      <c r="C445" s="4"/>
      <c r="D445" s="6" t="str">
        <f>IF(A445="","",IFERROR(AVERAGEIF(Chicks!$C:$C,A445,Chicks!$K:$K),""))</f>
        <v/>
      </c>
      <c r="E445" s="6" t="str">
        <f>IF(A445="","",IFERROR(AVERAGEIF(Chicks!$C:$C,A445,Chicks!$L:$L),""))</f>
        <v/>
      </c>
      <c r="F445" s="6" t="str">
        <f>IF(A445="","",IFERROR(AVERAGEIF(Chicks!$C:$C,A445,Chicks!$M:$M),""))</f>
        <v/>
      </c>
      <c r="G445" s="6" t="str">
        <f>IF(A445="","",SUMIFS(Chicks!$N:$N,Chicks!$C:$C,A445))</f>
        <v/>
      </c>
      <c r="H445" s="6" t="str">
        <f>IF(A445="","",SUMIFS(Chicks!$O:$O,Chicks!$C:$C,A445))</f>
        <v/>
      </c>
      <c r="I445" s="6" t="str">
        <f>IF(A445="","",SUMIFS(Chicks!$P:$P,Chicks!$C:$C,A445))</f>
        <v/>
      </c>
    </row>
    <row r="446" spans="1:9" ht="14.25" customHeight="1" x14ac:dyDescent="0.3">
      <c r="A446" s="4"/>
      <c r="B446" s="4" t="str">
        <f>IF(A446="","",COUNTIF(Chicks!$C:$C,A446))</f>
        <v/>
      </c>
      <c r="C446" s="4"/>
      <c r="D446" s="6" t="str">
        <f>IF(A446="","",IFERROR(AVERAGEIF(Chicks!$C:$C,A446,Chicks!$K:$K),""))</f>
        <v/>
      </c>
      <c r="E446" s="6" t="str">
        <f>IF(A446="","",IFERROR(AVERAGEIF(Chicks!$C:$C,A446,Chicks!$L:$L),""))</f>
        <v/>
      </c>
      <c r="F446" s="6" t="str">
        <f>IF(A446="","",IFERROR(AVERAGEIF(Chicks!$C:$C,A446,Chicks!$M:$M),""))</f>
        <v/>
      </c>
      <c r="G446" s="6" t="str">
        <f>IF(A446="","",SUMIFS(Chicks!$N:$N,Chicks!$C:$C,A446))</f>
        <v/>
      </c>
      <c r="H446" s="6" t="str">
        <f>IF(A446="","",SUMIFS(Chicks!$O:$O,Chicks!$C:$C,A446))</f>
        <v/>
      </c>
      <c r="I446" s="6" t="str">
        <f>IF(A446="","",SUMIFS(Chicks!$P:$P,Chicks!$C:$C,A446))</f>
        <v/>
      </c>
    </row>
    <row r="447" spans="1:9" ht="14.25" customHeight="1" x14ac:dyDescent="0.3">
      <c r="A447" s="4"/>
      <c r="B447" s="4" t="str">
        <f>IF(A447="","",COUNTIF(Chicks!$C:$C,A447))</f>
        <v/>
      </c>
      <c r="C447" s="4"/>
      <c r="D447" s="6" t="str">
        <f>IF(A447="","",IFERROR(AVERAGEIF(Chicks!$C:$C,A447,Chicks!$K:$K),""))</f>
        <v/>
      </c>
      <c r="E447" s="6" t="str">
        <f>IF(A447="","",IFERROR(AVERAGEIF(Chicks!$C:$C,A447,Chicks!$L:$L),""))</f>
        <v/>
      </c>
      <c r="F447" s="6" t="str">
        <f>IF(A447="","",IFERROR(AVERAGEIF(Chicks!$C:$C,A447,Chicks!$M:$M),""))</f>
        <v/>
      </c>
      <c r="G447" s="6" t="str">
        <f>IF(A447="","",SUMIFS(Chicks!$N:$N,Chicks!$C:$C,A447))</f>
        <v/>
      </c>
      <c r="H447" s="6" t="str">
        <f>IF(A447="","",SUMIFS(Chicks!$O:$O,Chicks!$C:$C,A447))</f>
        <v/>
      </c>
      <c r="I447" s="6" t="str">
        <f>IF(A447="","",SUMIFS(Chicks!$P:$P,Chicks!$C:$C,A447))</f>
        <v/>
      </c>
    </row>
    <row r="448" spans="1:9" ht="14.25" customHeight="1" x14ac:dyDescent="0.3">
      <c r="A448" s="4"/>
      <c r="B448" s="4" t="str">
        <f>IF(A448="","",COUNTIF(Chicks!$C:$C,A448))</f>
        <v/>
      </c>
      <c r="C448" s="4"/>
      <c r="D448" s="6" t="str">
        <f>IF(A448="","",IFERROR(AVERAGEIF(Chicks!$C:$C,A448,Chicks!$K:$K),""))</f>
        <v/>
      </c>
      <c r="E448" s="6" t="str">
        <f>IF(A448="","",IFERROR(AVERAGEIF(Chicks!$C:$C,A448,Chicks!$L:$L),""))</f>
        <v/>
      </c>
      <c r="F448" s="6" t="str">
        <f>IF(A448="","",IFERROR(AVERAGEIF(Chicks!$C:$C,A448,Chicks!$M:$M),""))</f>
        <v/>
      </c>
      <c r="G448" s="6" t="str">
        <f>IF(A448="","",SUMIFS(Chicks!$N:$N,Chicks!$C:$C,A448))</f>
        <v/>
      </c>
      <c r="H448" s="6" t="str">
        <f>IF(A448="","",SUMIFS(Chicks!$O:$O,Chicks!$C:$C,A448))</f>
        <v/>
      </c>
      <c r="I448" s="6" t="str">
        <f>IF(A448="","",SUMIFS(Chicks!$P:$P,Chicks!$C:$C,A448))</f>
        <v/>
      </c>
    </row>
    <row r="449" spans="1:9" ht="14.25" customHeight="1" x14ac:dyDescent="0.3">
      <c r="A449" s="4"/>
      <c r="B449" s="4" t="str">
        <f>IF(A449="","",COUNTIF(Chicks!$C:$C,A449))</f>
        <v/>
      </c>
      <c r="C449" s="4"/>
      <c r="D449" s="6" t="str">
        <f>IF(A449="","",IFERROR(AVERAGEIF(Chicks!$C:$C,A449,Chicks!$K:$K),""))</f>
        <v/>
      </c>
      <c r="E449" s="6" t="str">
        <f>IF(A449="","",IFERROR(AVERAGEIF(Chicks!$C:$C,A449,Chicks!$L:$L),""))</f>
        <v/>
      </c>
      <c r="F449" s="6" t="str">
        <f>IF(A449="","",IFERROR(AVERAGEIF(Chicks!$C:$C,A449,Chicks!$M:$M),""))</f>
        <v/>
      </c>
      <c r="G449" s="6" t="str">
        <f>IF(A449="","",SUMIFS(Chicks!$N:$N,Chicks!$C:$C,A449))</f>
        <v/>
      </c>
      <c r="H449" s="6" t="str">
        <f>IF(A449="","",SUMIFS(Chicks!$O:$O,Chicks!$C:$C,A449))</f>
        <v/>
      </c>
      <c r="I449" s="6" t="str">
        <f>IF(A449="","",SUMIFS(Chicks!$P:$P,Chicks!$C:$C,A449))</f>
        <v/>
      </c>
    </row>
    <row r="450" spans="1:9" ht="14.25" customHeight="1" x14ac:dyDescent="0.3">
      <c r="A450" s="4"/>
      <c r="B450" s="4" t="str">
        <f>IF(A450="","",COUNTIF(Chicks!$C:$C,A450))</f>
        <v/>
      </c>
      <c r="C450" s="4"/>
      <c r="D450" s="6" t="str">
        <f>IF(A450="","",IFERROR(AVERAGEIF(Chicks!$C:$C,A450,Chicks!$K:$K),""))</f>
        <v/>
      </c>
      <c r="E450" s="6" t="str">
        <f>IF(A450="","",IFERROR(AVERAGEIF(Chicks!$C:$C,A450,Chicks!$L:$L),""))</f>
        <v/>
      </c>
      <c r="F450" s="6" t="str">
        <f>IF(A450="","",IFERROR(AVERAGEIF(Chicks!$C:$C,A450,Chicks!$M:$M),""))</f>
        <v/>
      </c>
      <c r="G450" s="6" t="str">
        <f>IF(A450="","",SUMIFS(Chicks!$N:$N,Chicks!$C:$C,A450))</f>
        <v/>
      </c>
      <c r="H450" s="6" t="str">
        <f>IF(A450="","",SUMIFS(Chicks!$O:$O,Chicks!$C:$C,A450))</f>
        <v/>
      </c>
      <c r="I450" s="6" t="str">
        <f>IF(A450="","",SUMIFS(Chicks!$P:$P,Chicks!$C:$C,A450))</f>
        <v/>
      </c>
    </row>
    <row r="451" spans="1:9" ht="14.25" customHeight="1" x14ac:dyDescent="0.3">
      <c r="A451" s="4"/>
      <c r="B451" s="4" t="str">
        <f>IF(A451="","",COUNTIF(Chicks!$C:$C,A451))</f>
        <v/>
      </c>
      <c r="C451" s="4"/>
      <c r="D451" s="6" t="str">
        <f>IF(A451="","",IFERROR(AVERAGEIF(Chicks!$C:$C,A451,Chicks!$K:$K),""))</f>
        <v/>
      </c>
      <c r="E451" s="6" t="str">
        <f>IF(A451="","",IFERROR(AVERAGEIF(Chicks!$C:$C,A451,Chicks!$L:$L),""))</f>
        <v/>
      </c>
      <c r="F451" s="6" t="str">
        <f>IF(A451="","",IFERROR(AVERAGEIF(Chicks!$C:$C,A451,Chicks!$M:$M),""))</f>
        <v/>
      </c>
      <c r="G451" s="6" t="str">
        <f>IF(A451="","",SUMIFS(Chicks!$N:$N,Chicks!$C:$C,A451))</f>
        <v/>
      </c>
      <c r="H451" s="6" t="str">
        <f>IF(A451="","",SUMIFS(Chicks!$O:$O,Chicks!$C:$C,A451))</f>
        <v/>
      </c>
      <c r="I451" s="6" t="str">
        <f>IF(A451="","",SUMIFS(Chicks!$P:$P,Chicks!$C:$C,A451))</f>
        <v/>
      </c>
    </row>
    <row r="452" spans="1:9" ht="14.25" customHeight="1" x14ac:dyDescent="0.3">
      <c r="A452" s="4"/>
      <c r="B452" s="4" t="str">
        <f>IF(A452="","",COUNTIF(Chicks!$C:$C,A452))</f>
        <v/>
      </c>
      <c r="C452" s="4"/>
      <c r="D452" s="6" t="str">
        <f>IF(A452="","",IFERROR(AVERAGEIF(Chicks!$C:$C,A452,Chicks!$K:$K),""))</f>
        <v/>
      </c>
      <c r="E452" s="6" t="str">
        <f>IF(A452="","",IFERROR(AVERAGEIF(Chicks!$C:$C,A452,Chicks!$L:$L),""))</f>
        <v/>
      </c>
      <c r="F452" s="6" t="str">
        <f>IF(A452="","",IFERROR(AVERAGEIF(Chicks!$C:$C,A452,Chicks!$M:$M),""))</f>
        <v/>
      </c>
      <c r="G452" s="6" t="str">
        <f>IF(A452="","",SUMIFS(Chicks!$N:$N,Chicks!$C:$C,A452))</f>
        <v/>
      </c>
      <c r="H452" s="6" t="str">
        <f>IF(A452="","",SUMIFS(Chicks!$O:$O,Chicks!$C:$C,A452))</f>
        <v/>
      </c>
      <c r="I452" s="6" t="str">
        <f>IF(A452="","",SUMIFS(Chicks!$P:$P,Chicks!$C:$C,A452))</f>
        <v/>
      </c>
    </row>
    <row r="453" spans="1:9" ht="14.25" customHeight="1" x14ac:dyDescent="0.3">
      <c r="A453" s="4"/>
      <c r="B453" s="4" t="str">
        <f>IF(A453="","",COUNTIF(Chicks!$C:$C,A453))</f>
        <v/>
      </c>
      <c r="C453" s="4"/>
      <c r="D453" s="6" t="str">
        <f>IF(A453="","",IFERROR(AVERAGEIF(Chicks!$C:$C,A453,Chicks!$K:$K),""))</f>
        <v/>
      </c>
      <c r="E453" s="6" t="str">
        <f>IF(A453="","",IFERROR(AVERAGEIF(Chicks!$C:$C,A453,Chicks!$L:$L),""))</f>
        <v/>
      </c>
      <c r="F453" s="6" t="str">
        <f>IF(A453="","",IFERROR(AVERAGEIF(Chicks!$C:$C,A453,Chicks!$M:$M),""))</f>
        <v/>
      </c>
      <c r="G453" s="6" t="str">
        <f>IF(A453="","",SUMIFS(Chicks!$N:$N,Chicks!$C:$C,A453))</f>
        <v/>
      </c>
      <c r="H453" s="6" t="str">
        <f>IF(A453="","",SUMIFS(Chicks!$O:$O,Chicks!$C:$C,A453))</f>
        <v/>
      </c>
      <c r="I453" s="6" t="str">
        <f>IF(A453="","",SUMIFS(Chicks!$P:$P,Chicks!$C:$C,A453))</f>
        <v/>
      </c>
    </row>
    <row r="454" spans="1:9" ht="14.25" customHeight="1" x14ac:dyDescent="0.3">
      <c r="A454" s="4"/>
      <c r="B454" s="4" t="str">
        <f>IF(A454="","",COUNTIF(Chicks!$C:$C,A454))</f>
        <v/>
      </c>
      <c r="C454" s="4"/>
      <c r="D454" s="6" t="str">
        <f>IF(A454="","",IFERROR(AVERAGEIF(Chicks!$C:$C,A454,Chicks!$K:$K),""))</f>
        <v/>
      </c>
      <c r="E454" s="6" t="str">
        <f>IF(A454="","",IFERROR(AVERAGEIF(Chicks!$C:$C,A454,Chicks!$L:$L),""))</f>
        <v/>
      </c>
      <c r="F454" s="6" t="str">
        <f>IF(A454="","",IFERROR(AVERAGEIF(Chicks!$C:$C,A454,Chicks!$M:$M),""))</f>
        <v/>
      </c>
      <c r="G454" s="6" t="str">
        <f>IF(A454="","",SUMIFS(Chicks!$N:$N,Chicks!$C:$C,A454))</f>
        <v/>
      </c>
      <c r="H454" s="6" t="str">
        <f>IF(A454="","",SUMIFS(Chicks!$O:$O,Chicks!$C:$C,A454))</f>
        <v/>
      </c>
      <c r="I454" s="6" t="str">
        <f>IF(A454="","",SUMIFS(Chicks!$P:$P,Chicks!$C:$C,A454))</f>
        <v/>
      </c>
    </row>
    <row r="455" spans="1:9" ht="14.25" customHeight="1" x14ac:dyDescent="0.3">
      <c r="A455" s="4"/>
      <c r="B455" s="4" t="str">
        <f>IF(A455="","",COUNTIF(Chicks!$C:$C,A455))</f>
        <v/>
      </c>
      <c r="C455" s="4"/>
      <c r="D455" s="6" t="str">
        <f>IF(A455="","",IFERROR(AVERAGEIF(Chicks!$C:$C,A455,Chicks!$K:$K),""))</f>
        <v/>
      </c>
      <c r="E455" s="6" t="str">
        <f>IF(A455="","",IFERROR(AVERAGEIF(Chicks!$C:$C,A455,Chicks!$L:$L),""))</f>
        <v/>
      </c>
      <c r="F455" s="6" t="str">
        <f>IF(A455="","",IFERROR(AVERAGEIF(Chicks!$C:$C,A455,Chicks!$M:$M),""))</f>
        <v/>
      </c>
      <c r="G455" s="6" t="str">
        <f>IF(A455="","",SUMIFS(Chicks!$N:$N,Chicks!$C:$C,A455))</f>
        <v/>
      </c>
      <c r="H455" s="6" t="str">
        <f>IF(A455="","",SUMIFS(Chicks!$O:$O,Chicks!$C:$C,A455))</f>
        <v/>
      </c>
      <c r="I455" s="6" t="str">
        <f>IF(A455="","",SUMIFS(Chicks!$P:$P,Chicks!$C:$C,A455))</f>
        <v/>
      </c>
    </row>
    <row r="456" spans="1:9" ht="14.25" customHeight="1" x14ac:dyDescent="0.3">
      <c r="A456" s="4"/>
      <c r="B456" s="4" t="str">
        <f>IF(A456="","",COUNTIF(Chicks!$C:$C,A456))</f>
        <v/>
      </c>
      <c r="C456" s="4"/>
      <c r="D456" s="6" t="str">
        <f>IF(A456="","",IFERROR(AVERAGEIF(Chicks!$C:$C,A456,Chicks!$K:$K),""))</f>
        <v/>
      </c>
      <c r="E456" s="6" t="str">
        <f>IF(A456="","",IFERROR(AVERAGEIF(Chicks!$C:$C,A456,Chicks!$L:$L),""))</f>
        <v/>
      </c>
      <c r="F456" s="6" t="str">
        <f>IF(A456="","",IFERROR(AVERAGEIF(Chicks!$C:$C,A456,Chicks!$M:$M),""))</f>
        <v/>
      </c>
      <c r="G456" s="6" t="str">
        <f>IF(A456="","",SUMIFS(Chicks!$N:$N,Chicks!$C:$C,A456))</f>
        <v/>
      </c>
      <c r="H456" s="6" t="str">
        <f>IF(A456="","",SUMIFS(Chicks!$O:$O,Chicks!$C:$C,A456))</f>
        <v/>
      </c>
      <c r="I456" s="6" t="str">
        <f>IF(A456="","",SUMIFS(Chicks!$P:$P,Chicks!$C:$C,A456))</f>
        <v/>
      </c>
    </row>
    <row r="457" spans="1:9" ht="14.25" customHeight="1" x14ac:dyDescent="0.3">
      <c r="A457" s="4"/>
      <c r="B457" s="4" t="str">
        <f>IF(A457="","",COUNTIF(Chicks!$C:$C,A457))</f>
        <v/>
      </c>
      <c r="C457" s="4"/>
      <c r="D457" s="6" t="str">
        <f>IF(A457="","",IFERROR(AVERAGEIF(Chicks!$C:$C,A457,Chicks!$K:$K),""))</f>
        <v/>
      </c>
      <c r="E457" s="6" t="str">
        <f>IF(A457="","",IFERROR(AVERAGEIF(Chicks!$C:$C,A457,Chicks!$L:$L),""))</f>
        <v/>
      </c>
      <c r="F457" s="6" t="str">
        <f>IF(A457="","",IFERROR(AVERAGEIF(Chicks!$C:$C,A457,Chicks!$M:$M),""))</f>
        <v/>
      </c>
      <c r="G457" s="6" t="str">
        <f>IF(A457="","",SUMIFS(Chicks!$N:$N,Chicks!$C:$C,A457))</f>
        <v/>
      </c>
      <c r="H457" s="6" t="str">
        <f>IF(A457="","",SUMIFS(Chicks!$O:$O,Chicks!$C:$C,A457))</f>
        <v/>
      </c>
      <c r="I457" s="6" t="str">
        <f>IF(A457="","",SUMIFS(Chicks!$P:$P,Chicks!$C:$C,A457))</f>
        <v/>
      </c>
    </row>
    <row r="458" spans="1:9" ht="14.25" customHeight="1" x14ac:dyDescent="0.3">
      <c r="A458" s="4"/>
      <c r="B458" s="4" t="str">
        <f>IF(A458="","",COUNTIF(Chicks!$C:$C,A458))</f>
        <v/>
      </c>
      <c r="C458" s="4"/>
      <c r="D458" s="6" t="str">
        <f>IF(A458="","",IFERROR(AVERAGEIF(Chicks!$C:$C,A458,Chicks!$K:$K),""))</f>
        <v/>
      </c>
      <c r="E458" s="6" t="str">
        <f>IF(A458="","",IFERROR(AVERAGEIF(Chicks!$C:$C,A458,Chicks!$L:$L),""))</f>
        <v/>
      </c>
      <c r="F458" s="6" t="str">
        <f>IF(A458="","",IFERROR(AVERAGEIF(Chicks!$C:$C,A458,Chicks!$M:$M),""))</f>
        <v/>
      </c>
      <c r="G458" s="6" t="str">
        <f>IF(A458="","",SUMIFS(Chicks!$N:$N,Chicks!$C:$C,A458))</f>
        <v/>
      </c>
      <c r="H458" s="6" t="str">
        <f>IF(A458="","",SUMIFS(Chicks!$O:$O,Chicks!$C:$C,A458))</f>
        <v/>
      </c>
      <c r="I458" s="6" t="str">
        <f>IF(A458="","",SUMIFS(Chicks!$P:$P,Chicks!$C:$C,A458))</f>
        <v/>
      </c>
    </row>
    <row r="459" spans="1:9" ht="14.25" customHeight="1" x14ac:dyDescent="0.3">
      <c r="A459" s="4"/>
      <c r="B459" s="4" t="str">
        <f>IF(A459="","",COUNTIF(Chicks!$C:$C,A459))</f>
        <v/>
      </c>
      <c r="C459" s="4"/>
      <c r="D459" s="6" t="str">
        <f>IF(A459="","",IFERROR(AVERAGEIF(Chicks!$C:$C,A459,Chicks!$K:$K),""))</f>
        <v/>
      </c>
      <c r="E459" s="6" t="str">
        <f>IF(A459="","",IFERROR(AVERAGEIF(Chicks!$C:$C,A459,Chicks!$L:$L),""))</f>
        <v/>
      </c>
      <c r="F459" s="6" t="str">
        <f>IF(A459="","",IFERROR(AVERAGEIF(Chicks!$C:$C,A459,Chicks!$M:$M),""))</f>
        <v/>
      </c>
      <c r="G459" s="6" t="str">
        <f>IF(A459="","",SUMIFS(Chicks!$N:$N,Chicks!$C:$C,A459))</f>
        <v/>
      </c>
      <c r="H459" s="6" t="str">
        <f>IF(A459="","",SUMIFS(Chicks!$O:$O,Chicks!$C:$C,A459))</f>
        <v/>
      </c>
      <c r="I459" s="6" t="str">
        <f>IF(A459="","",SUMIFS(Chicks!$P:$P,Chicks!$C:$C,A459))</f>
        <v/>
      </c>
    </row>
    <row r="460" spans="1:9" ht="14.25" customHeight="1" x14ac:dyDescent="0.3">
      <c r="A460" s="4"/>
      <c r="B460" s="4" t="str">
        <f>IF(A460="","",COUNTIF(Chicks!$C:$C,A460))</f>
        <v/>
      </c>
      <c r="C460" s="4"/>
      <c r="D460" s="6" t="str">
        <f>IF(A460="","",IFERROR(AVERAGEIF(Chicks!$C:$C,A460,Chicks!$K:$K),""))</f>
        <v/>
      </c>
      <c r="E460" s="6" t="str">
        <f>IF(A460="","",IFERROR(AVERAGEIF(Chicks!$C:$C,A460,Chicks!$L:$L),""))</f>
        <v/>
      </c>
      <c r="F460" s="6" t="str">
        <f>IF(A460="","",IFERROR(AVERAGEIF(Chicks!$C:$C,A460,Chicks!$M:$M),""))</f>
        <v/>
      </c>
      <c r="G460" s="6" t="str">
        <f>IF(A460="","",SUMIFS(Chicks!$N:$N,Chicks!$C:$C,A460))</f>
        <v/>
      </c>
      <c r="H460" s="6" t="str">
        <f>IF(A460="","",SUMIFS(Chicks!$O:$O,Chicks!$C:$C,A460))</f>
        <v/>
      </c>
      <c r="I460" s="6" t="str">
        <f>IF(A460="","",SUMIFS(Chicks!$P:$P,Chicks!$C:$C,A460))</f>
        <v/>
      </c>
    </row>
    <row r="461" spans="1:9" ht="14.25" customHeight="1" x14ac:dyDescent="0.3">
      <c r="A461" s="4"/>
      <c r="B461" s="4" t="str">
        <f>IF(A461="","",COUNTIF(Chicks!$C:$C,A461))</f>
        <v/>
      </c>
      <c r="C461" s="4"/>
      <c r="D461" s="6" t="str">
        <f>IF(A461="","",IFERROR(AVERAGEIF(Chicks!$C:$C,A461,Chicks!$K:$K),""))</f>
        <v/>
      </c>
      <c r="E461" s="6" t="str">
        <f>IF(A461="","",IFERROR(AVERAGEIF(Chicks!$C:$C,A461,Chicks!$L:$L),""))</f>
        <v/>
      </c>
      <c r="F461" s="6" t="str">
        <f>IF(A461="","",IFERROR(AVERAGEIF(Chicks!$C:$C,A461,Chicks!$M:$M),""))</f>
        <v/>
      </c>
      <c r="G461" s="6" t="str">
        <f>IF(A461="","",SUMIFS(Chicks!$N:$N,Chicks!$C:$C,A461))</f>
        <v/>
      </c>
      <c r="H461" s="6" t="str">
        <f>IF(A461="","",SUMIFS(Chicks!$O:$O,Chicks!$C:$C,A461))</f>
        <v/>
      </c>
      <c r="I461" s="6" t="str">
        <f>IF(A461="","",SUMIFS(Chicks!$P:$P,Chicks!$C:$C,A461))</f>
        <v/>
      </c>
    </row>
    <row r="462" spans="1:9" ht="14.25" customHeight="1" x14ac:dyDescent="0.3">
      <c r="A462" s="4"/>
      <c r="B462" s="4" t="str">
        <f>IF(A462="","",COUNTIF(Chicks!$C:$C,A462))</f>
        <v/>
      </c>
      <c r="C462" s="4"/>
      <c r="D462" s="6" t="str">
        <f>IF(A462="","",IFERROR(AVERAGEIF(Chicks!$C:$C,A462,Chicks!$K:$K),""))</f>
        <v/>
      </c>
      <c r="E462" s="6" t="str">
        <f>IF(A462="","",IFERROR(AVERAGEIF(Chicks!$C:$C,A462,Chicks!$L:$L),""))</f>
        <v/>
      </c>
      <c r="F462" s="6" t="str">
        <f>IF(A462="","",IFERROR(AVERAGEIF(Chicks!$C:$C,A462,Chicks!$M:$M),""))</f>
        <v/>
      </c>
      <c r="G462" s="6" t="str">
        <f>IF(A462="","",SUMIFS(Chicks!$N:$N,Chicks!$C:$C,A462))</f>
        <v/>
      </c>
      <c r="H462" s="6" t="str">
        <f>IF(A462="","",SUMIFS(Chicks!$O:$O,Chicks!$C:$C,A462))</f>
        <v/>
      </c>
      <c r="I462" s="6" t="str">
        <f>IF(A462="","",SUMIFS(Chicks!$P:$P,Chicks!$C:$C,A462))</f>
        <v/>
      </c>
    </row>
    <row r="463" spans="1:9" ht="14.25" customHeight="1" x14ac:dyDescent="0.3">
      <c r="A463" s="4"/>
      <c r="B463" s="4" t="str">
        <f>IF(A463="","",COUNTIF(Chicks!$C:$C,A463))</f>
        <v/>
      </c>
      <c r="C463" s="4"/>
      <c r="D463" s="6" t="str">
        <f>IF(A463="","",IFERROR(AVERAGEIF(Chicks!$C:$C,A463,Chicks!$K:$K),""))</f>
        <v/>
      </c>
      <c r="E463" s="6" t="str">
        <f>IF(A463="","",IFERROR(AVERAGEIF(Chicks!$C:$C,A463,Chicks!$L:$L),""))</f>
        <v/>
      </c>
      <c r="F463" s="6" t="str">
        <f>IF(A463="","",IFERROR(AVERAGEIF(Chicks!$C:$C,A463,Chicks!$M:$M),""))</f>
        <v/>
      </c>
      <c r="G463" s="6" t="str">
        <f>IF(A463="","",SUMIFS(Chicks!$N:$N,Chicks!$C:$C,A463))</f>
        <v/>
      </c>
      <c r="H463" s="6" t="str">
        <f>IF(A463="","",SUMIFS(Chicks!$O:$O,Chicks!$C:$C,A463))</f>
        <v/>
      </c>
      <c r="I463" s="6" t="str">
        <f>IF(A463="","",SUMIFS(Chicks!$P:$P,Chicks!$C:$C,A463))</f>
        <v/>
      </c>
    </row>
    <row r="464" spans="1:9" ht="14.25" customHeight="1" x14ac:dyDescent="0.3">
      <c r="A464" s="4"/>
      <c r="B464" s="4" t="str">
        <f>IF(A464="","",COUNTIF(Chicks!$C:$C,A464))</f>
        <v/>
      </c>
      <c r="C464" s="4"/>
      <c r="D464" s="6" t="str">
        <f>IF(A464="","",IFERROR(AVERAGEIF(Chicks!$C:$C,A464,Chicks!$K:$K),""))</f>
        <v/>
      </c>
      <c r="E464" s="6" t="str">
        <f>IF(A464="","",IFERROR(AVERAGEIF(Chicks!$C:$C,A464,Chicks!$L:$L),""))</f>
        <v/>
      </c>
      <c r="F464" s="6" t="str">
        <f>IF(A464="","",IFERROR(AVERAGEIF(Chicks!$C:$C,A464,Chicks!$M:$M),""))</f>
        <v/>
      </c>
      <c r="G464" s="6" t="str">
        <f>IF(A464="","",SUMIFS(Chicks!$N:$N,Chicks!$C:$C,A464))</f>
        <v/>
      </c>
      <c r="H464" s="6" t="str">
        <f>IF(A464="","",SUMIFS(Chicks!$O:$O,Chicks!$C:$C,A464))</f>
        <v/>
      </c>
      <c r="I464" s="6" t="str">
        <f>IF(A464="","",SUMIFS(Chicks!$P:$P,Chicks!$C:$C,A464))</f>
        <v/>
      </c>
    </row>
    <row r="465" spans="1:9" ht="14.25" customHeight="1" x14ac:dyDescent="0.3">
      <c r="A465" s="4"/>
      <c r="B465" s="4" t="str">
        <f>IF(A465="","",COUNTIF(Chicks!$C:$C,A465))</f>
        <v/>
      </c>
      <c r="C465" s="4"/>
      <c r="D465" s="6" t="str">
        <f>IF(A465="","",IFERROR(AVERAGEIF(Chicks!$C:$C,A465,Chicks!$K:$K),""))</f>
        <v/>
      </c>
      <c r="E465" s="6" t="str">
        <f>IF(A465="","",IFERROR(AVERAGEIF(Chicks!$C:$C,A465,Chicks!$L:$L),""))</f>
        <v/>
      </c>
      <c r="F465" s="6" t="str">
        <f>IF(A465="","",IFERROR(AVERAGEIF(Chicks!$C:$C,A465,Chicks!$M:$M),""))</f>
        <v/>
      </c>
      <c r="G465" s="6" t="str">
        <f>IF(A465="","",SUMIFS(Chicks!$N:$N,Chicks!$C:$C,A465))</f>
        <v/>
      </c>
      <c r="H465" s="6" t="str">
        <f>IF(A465="","",SUMIFS(Chicks!$O:$O,Chicks!$C:$C,A465))</f>
        <v/>
      </c>
      <c r="I465" s="6" t="str">
        <f>IF(A465="","",SUMIFS(Chicks!$P:$P,Chicks!$C:$C,A465))</f>
        <v/>
      </c>
    </row>
    <row r="466" spans="1:9" ht="14.25" customHeight="1" x14ac:dyDescent="0.3">
      <c r="A466" s="4"/>
      <c r="B466" s="4" t="str">
        <f>IF(A466="","",COUNTIF(Chicks!$C:$C,A466))</f>
        <v/>
      </c>
      <c r="C466" s="4"/>
      <c r="D466" s="6" t="str">
        <f>IF(A466="","",IFERROR(AVERAGEIF(Chicks!$C:$C,A466,Chicks!$K:$K),""))</f>
        <v/>
      </c>
      <c r="E466" s="6" t="str">
        <f>IF(A466="","",IFERROR(AVERAGEIF(Chicks!$C:$C,A466,Chicks!$L:$L),""))</f>
        <v/>
      </c>
      <c r="F466" s="6" t="str">
        <f>IF(A466="","",IFERROR(AVERAGEIF(Chicks!$C:$C,A466,Chicks!$M:$M),""))</f>
        <v/>
      </c>
      <c r="G466" s="6" t="str">
        <f>IF(A466="","",SUMIFS(Chicks!$N:$N,Chicks!$C:$C,A466))</f>
        <v/>
      </c>
      <c r="H466" s="6" t="str">
        <f>IF(A466="","",SUMIFS(Chicks!$O:$O,Chicks!$C:$C,A466))</f>
        <v/>
      </c>
      <c r="I466" s="6" t="str">
        <f>IF(A466="","",SUMIFS(Chicks!$P:$P,Chicks!$C:$C,A466))</f>
        <v/>
      </c>
    </row>
    <row r="467" spans="1:9" ht="14.25" customHeight="1" x14ac:dyDescent="0.3">
      <c r="A467" s="4"/>
      <c r="B467" s="4" t="str">
        <f>IF(A467="","",COUNTIF(Chicks!$C:$C,A467))</f>
        <v/>
      </c>
      <c r="C467" s="4"/>
      <c r="D467" s="6" t="str">
        <f>IF(A467="","",IFERROR(AVERAGEIF(Chicks!$C:$C,A467,Chicks!$K:$K),""))</f>
        <v/>
      </c>
      <c r="E467" s="6" t="str">
        <f>IF(A467="","",IFERROR(AVERAGEIF(Chicks!$C:$C,A467,Chicks!$L:$L),""))</f>
        <v/>
      </c>
      <c r="F467" s="6" t="str">
        <f>IF(A467="","",IFERROR(AVERAGEIF(Chicks!$C:$C,A467,Chicks!$M:$M),""))</f>
        <v/>
      </c>
      <c r="G467" s="6" t="str">
        <f>IF(A467="","",SUMIFS(Chicks!$N:$N,Chicks!$C:$C,A467))</f>
        <v/>
      </c>
      <c r="H467" s="6" t="str">
        <f>IF(A467="","",SUMIFS(Chicks!$O:$O,Chicks!$C:$C,A467))</f>
        <v/>
      </c>
      <c r="I467" s="6" t="str">
        <f>IF(A467="","",SUMIFS(Chicks!$P:$P,Chicks!$C:$C,A467))</f>
        <v/>
      </c>
    </row>
    <row r="468" spans="1:9" ht="14.25" customHeight="1" x14ac:dyDescent="0.3">
      <c r="A468" s="4"/>
      <c r="B468" s="4" t="str">
        <f>IF(A468="","",COUNTIF(Chicks!$C:$C,A468))</f>
        <v/>
      </c>
      <c r="C468" s="4"/>
      <c r="D468" s="6" t="str">
        <f>IF(A468="","",IFERROR(AVERAGEIF(Chicks!$C:$C,A468,Chicks!$K:$K),""))</f>
        <v/>
      </c>
      <c r="E468" s="6" t="str">
        <f>IF(A468="","",IFERROR(AVERAGEIF(Chicks!$C:$C,A468,Chicks!$L:$L),""))</f>
        <v/>
      </c>
      <c r="F468" s="6" t="str">
        <f>IF(A468="","",IFERROR(AVERAGEIF(Chicks!$C:$C,A468,Chicks!$M:$M),""))</f>
        <v/>
      </c>
      <c r="G468" s="6" t="str">
        <f>IF(A468="","",SUMIFS(Chicks!$N:$N,Chicks!$C:$C,A468))</f>
        <v/>
      </c>
      <c r="H468" s="6" t="str">
        <f>IF(A468="","",SUMIFS(Chicks!$O:$O,Chicks!$C:$C,A468))</f>
        <v/>
      </c>
      <c r="I468" s="6" t="str">
        <f>IF(A468="","",SUMIFS(Chicks!$P:$P,Chicks!$C:$C,A468))</f>
        <v/>
      </c>
    </row>
    <row r="469" spans="1:9" ht="14.25" customHeight="1" x14ac:dyDescent="0.3">
      <c r="A469" s="4"/>
      <c r="B469" s="4" t="str">
        <f>IF(A469="","",COUNTIF(Chicks!$C:$C,A469))</f>
        <v/>
      </c>
      <c r="C469" s="4"/>
      <c r="D469" s="6" t="str">
        <f>IF(A469="","",IFERROR(AVERAGEIF(Chicks!$C:$C,A469,Chicks!$K:$K),""))</f>
        <v/>
      </c>
      <c r="E469" s="6" t="str">
        <f>IF(A469="","",IFERROR(AVERAGEIF(Chicks!$C:$C,A469,Chicks!$L:$L),""))</f>
        <v/>
      </c>
      <c r="F469" s="6" t="str">
        <f>IF(A469="","",IFERROR(AVERAGEIF(Chicks!$C:$C,A469,Chicks!$M:$M),""))</f>
        <v/>
      </c>
      <c r="G469" s="6" t="str">
        <f>IF(A469="","",SUMIFS(Chicks!$N:$N,Chicks!$C:$C,A469))</f>
        <v/>
      </c>
      <c r="H469" s="6" t="str">
        <f>IF(A469="","",SUMIFS(Chicks!$O:$O,Chicks!$C:$C,A469))</f>
        <v/>
      </c>
      <c r="I469" s="6" t="str">
        <f>IF(A469="","",SUMIFS(Chicks!$P:$P,Chicks!$C:$C,A469))</f>
        <v/>
      </c>
    </row>
    <row r="470" spans="1:9" ht="14.25" customHeight="1" x14ac:dyDescent="0.3">
      <c r="A470" s="4"/>
      <c r="B470" s="4" t="str">
        <f>IF(A470="","",COUNTIF(Chicks!$C:$C,A470))</f>
        <v/>
      </c>
      <c r="C470" s="4"/>
      <c r="D470" s="6" t="str">
        <f>IF(A470="","",IFERROR(AVERAGEIF(Chicks!$C:$C,A470,Chicks!$K:$K),""))</f>
        <v/>
      </c>
      <c r="E470" s="6" t="str">
        <f>IF(A470="","",IFERROR(AVERAGEIF(Chicks!$C:$C,A470,Chicks!$L:$L),""))</f>
        <v/>
      </c>
      <c r="F470" s="6" t="str">
        <f>IF(A470="","",IFERROR(AVERAGEIF(Chicks!$C:$C,A470,Chicks!$M:$M),""))</f>
        <v/>
      </c>
      <c r="G470" s="6" t="str">
        <f>IF(A470="","",SUMIFS(Chicks!$N:$N,Chicks!$C:$C,A470))</f>
        <v/>
      </c>
      <c r="H470" s="6" t="str">
        <f>IF(A470="","",SUMIFS(Chicks!$O:$O,Chicks!$C:$C,A470))</f>
        <v/>
      </c>
      <c r="I470" s="6" t="str">
        <f>IF(A470="","",SUMIFS(Chicks!$P:$P,Chicks!$C:$C,A470))</f>
        <v/>
      </c>
    </row>
    <row r="471" spans="1:9" ht="14.25" customHeight="1" x14ac:dyDescent="0.3">
      <c r="A471" s="4"/>
      <c r="B471" s="4" t="str">
        <f>IF(A471="","",COUNTIF(Chicks!$C:$C,A471))</f>
        <v/>
      </c>
      <c r="C471" s="4"/>
      <c r="D471" s="6" t="str">
        <f>IF(A471="","",IFERROR(AVERAGEIF(Chicks!$C:$C,A471,Chicks!$K:$K),""))</f>
        <v/>
      </c>
      <c r="E471" s="6" t="str">
        <f>IF(A471="","",IFERROR(AVERAGEIF(Chicks!$C:$C,A471,Chicks!$L:$L),""))</f>
        <v/>
      </c>
      <c r="F471" s="6" t="str">
        <f>IF(A471="","",IFERROR(AVERAGEIF(Chicks!$C:$C,A471,Chicks!$M:$M),""))</f>
        <v/>
      </c>
      <c r="G471" s="6" t="str">
        <f>IF(A471="","",SUMIFS(Chicks!$N:$N,Chicks!$C:$C,A471))</f>
        <v/>
      </c>
      <c r="H471" s="6" t="str">
        <f>IF(A471="","",SUMIFS(Chicks!$O:$O,Chicks!$C:$C,A471))</f>
        <v/>
      </c>
      <c r="I471" s="6" t="str">
        <f>IF(A471="","",SUMIFS(Chicks!$P:$P,Chicks!$C:$C,A471))</f>
        <v/>
      </c>
    </row>
    <row r="472" spans="1:9" ht="14.25" customHeight="1" x14ac:dyDescent="0.3">
      <c r="A472" s="4"/>
      <c r="B472" s="4" t="str">
        <f>IF(A472="","",COUNTIF(Chicks!$C:$C,A472))</f>
        <v/>
      </c>
      <c r="C472" s="4"/>
      <c r="D472" s="6" t="str">
        <f>IF(A472="","",IFERROR(AVERAGEIF(Chicks!$C:$C,A472,Chicks!$K:$K),""))</f>
        <v/>
      </c>
      <c r="E472" s="6" t="str">
        <f>IF(A472="","",IFERROR(AVERAGEIF(Chicks!$C:$C,A472,Chicks!$L:$L),""))</f>
        <v/>
      </c>
      <c r="F472" s="6" t="str">
        <f>IF(A472="","",IFERROR(AVERAGEIF(Chicks!$C:$C,A472,Chicks!$M:$M),""))</f>
        <v/>
      </c>
      <c r="G472" s="6" t="str">
        <f>IF(A472="","",SUMIFS(Chicks!$N:$N,Chicks!$C:$C,A472))</f>
        <v/>
      </c>
      <c r="H472" s="6" t="str">
        <f>IF(A472="","",SUMIFS(Chicks!$O:$O,Chicks!$C:$C,A472))</f>
        <v/>
      </c>
      <c r="I472" s="6" t="str">
        <f>IF(A472="","",SUMIFS(Chicks!$P:$P,Chicks!$C:$C,A472))</f>
        <v/>
      </c>
    </row>
    <row r="473" spans="1:9" ht="14.25" customHeight="1" x14ac:dyDescent="0.3">
      <c r="A473" s="4"/>
      <c r="B473" s="4" t="str">
        <f>IF(A473="","",COUNTIF(Chicks!$C:$C,A473))</f>
        <v/>
      </c>
      <c r="C473" s="4"/>
      <c r="D473" s="6" t="str">
        <f>IF(A473="","",IFERROR(AVERAGEIF(Chicks!$C:$C,A473,Chicks!$K:$K),""))</f>
        <v/>
      </c>
      <c r="E473" s="6" t="str">
        <f>IF(A473="","",IFERROR(AVERAGEIF(Chicks!$C:$C,A473,Chicks!$L:$L),""))</f>
        <v/>
      </c>
      <c r="F473" s="6" t="str">
        <f>IF(A473="","",IFERROR(AVERAGEIF(Chicks!$C:$C,A473,Chicks!$M:$M),""))</f>
        <v/>
      </c>
      <c r="G473" s="6" t="str">
        <f>IF(A473="","",SUMIFS(Chicks!$N:$N,Chicks!$C:$C,A473))</f>
        <v/>
      </c>
      <c r="H473" s="6" t="str">
        <f>IF(A473="","",SUMIFS(Chicks!$O:$O,Chicks!$C:$C,A473))</f>
        <v/>
      </c>
      <c r="I473" s="6" t="str">
        <f>IF(A473="","",SUMIFS(Chicks!$P:$P,Chicks!$C:$C,A473))</f>
        <v/>
      </c>
    </row>
    <row r="474" spans="1:9" ht="14.25" customHeight="1" x14ac:dyDescent="0.3">
      <c r="A474" s="4"/>
      <c r="B474" s="4" t="str">
        <f>IF(A474="","",COUNTIF(Chicks!$C:$C,A474))</f>
        <v/>
      </c>
      <c r="C474" s="4"/>
      <c r="D474" s="6" t="str">
        <f>IF(A474="","",IFERROR(AVERAGEIF(Chicks!$C:$C,A474,Chicks!$K:$K),""))</f>
        <v/>
      </c>
      <c r="E474" s="6" t="str">
        <f>IF(A474="","",IFERROR(AVERAGEIF(Chicks!$C:$C,A474,Chicks!$L:$L),""))</f>
        <v/>
      </c>
      <c r="F474" s="6" t="str">
        <f>IF(A474="","",IFERROR(AVERAGEIF(Chicks!$C:$C,A474,Chicks!$M:$M),""))</f>
        <v/>
      </c>
      <c r="G474" s="6" t="str">
        <f>IF(A474="","",SUMIFS(Chicks!$N:$N,Chicks!$C:$C,A474))</f>
        <v/>
      </c>
      <c r="H474" s="6" t="str">
        <f>IF(A474="","",SUMIFS(Chicks!$O:$O,Chicks!$C:$C,A474))</f>
        <v/>
      </c>
      <c r="I474" s="6" t="str">
        <f>IF(A474="","",SUMIFS(Chicks!$P:$P,Chicks!$C:$C,A474))</f>
        <v/>
      </c>
    </row>
    <row r="475" spans="1:9" ht="14.25" customHeight="1" x14ac:dyDescent="0.3">
      <c r="A475" s="4"/>
      <c r="B475" s="4" t="str">
        <f>IF(A475="","",COUNTIF(Chicks!$C:$C,A475))</f>
        <v/>
      </c>
      <c r="C475" s="4"/>
      <c r="D475" s="6" t="str">
        <f>IF(A475="","",IFERROR(AVERAGEIF(Chicks!$C:$C,A475,Chicks!$K:$K),""))</f>
        <v/>
      </c>
      <c r="E475" s="6" t="str">
        <f>IF(A475="","",IFERROR(AVERAGEIF(Chicks!$C:$C,A475,Chicks!$L:$L),""))</f>
        <v/>
      </c>
      <c r="F475" s="6" t="str">
        <f>IF(A475="","",IFERROR(AVERAGEIF(Chicks!$C:$C,A475,Chicks!$M:$M),""))</f>
        <v/>
      </c>
      <c r="G475" s="6" t="str">
        <f>IF(A475="","",SUMIFS(Chicks!$N:$N,Chicks!$C:$C,A475))</f>
        <v/>
      </c>
      <c r="H475" s="6" t="str">
        <f>IF(A475="","",SUMIFS(Chicks!$O:$O,Chicks!$C:$C,A475))</f>
        <v/>
      </c>
      <c r="I475" s="6" t="str">
        <f>IF(A475="","",SUMIFS(Chicks!$P:$P,Chicks!$C:$C,A475))</f>
        <v/>
      </c>
    </row>
    <row r="476" spans="1:9" ht="14.25" customHeight="1" x14ac:dyDescent="0.3">
      <c r="A476" s="4"/>
      <c r="B476" s="4" t="str">
        <f>IF(A476="","",COUNTIF(Chicks!$C:$C,A476))</f>
        <v/>
      </c>
      <c r="C476" s="4"/>
      <c r="D476" s="6" t="str">
        <f>IF(A476="","",IFERROR(AVERAGEIF(Chicks!$C:$C,A476,Chicks!$K:$K),""))</f>
        <v/>
      </c>
      <c r="E476" s="6" t="str">
        <f>IF(A476="","",IFERROR(AVERAGEIF(Chicks!$C:$C,A476,Chicks!$L:$L),""))</f>
        <v/>
      </c>
      <c r="F476" s="6" t="str">
        <f>IF(A476="","",IFERROR(AVERAGEIF(Chicks!$C:$C,A476,Chicks!$M:$M),""))</f>
        <v/>
      </c>
      <c r="G476" s="6" t="str">
        <f>IF(A476="","",SUMIFS(Chicks!$N:$N,Chicks!$C:$C,A476))</f>
        <v/>
      </c>
      <c r="H476" s="6" t="str">
        <f>IF(A476="","",SUMIFS(Chicks!$O:$O,Chicks!$C:$C,A476))</f>
        <v/>
      </c>
      <c r="I476" s="6" t="str">
        <f>IF(A476="","",SUMIFS(Chicks!$P:$P,Chicks!$C:$C,A476))</f>
        <v/>
      </c>
    </row>
    <row r="477" spans="1:9" ht="14.25" customHeight="1" x14ac:dyDescent="0.3">
      <c r="A477" s="4"/>
      <c r="B477" s="4" t="str">
        <f>IF(A477="","",COUNTIF(Chicks!$C:$C,A477))</f>
        <v/>
      </c>
      <c r="C477" s="4"/>
      <c r="D477" s="6" t="str">
        <f>IF(A477="","",IFERROR(AVERAGEIF(Chicks!$C:$C,A477,Chicks!$K:$K),""))</f>
        <v/>
      </c>
      <c r="E477" s="6" t="str">
        <f>IF(A477="","",IFERROR(AVERAGEIF(Chicks!$C:$C,A477,Chicks!$L:$L),""))</f>
        <v/>
      </c>
      <c r="F477" s="6" t="str">
        <f>IF(A477="","",IFERROR(AVERAGEIF(Chicks!$C:$C,A477,Chicks!$M:$M),""))</f>
        <v/>
      </c>
      <c r="G477" s="6" t="str">
        <f>IF(A477="","",SUMIFS(Chicks!$N:$N,Chicks!$C:$C,A477))</f>
        <v/>
      </c>
      <c r="H477" s="6" t="str">
        <f>IF(A477="","",SUMIFS(Chicks!$O:$O,Chicks!$C:$C,A477))</f>
        <v/>
      </c>
      <c r="I477" s="6" t="str">
        <f>IF(A477="","",SUMIFS(Chicks!$P:$P,Chicks!$C:$C,A477))</f>
        <v/>
      </c>
    </row>
    <row r="478" spans="1:9" ht="14.25" customHeight="1" x14ac:dyDescent="0.3">
      <c r="A478" s="4"/>
      <c r="B478" s="4" t="str">
        <f>IF(A478="","",COUNTIF(Chicks!$C:$C,A478))</f>
        <v/>
      </c>
      <c r="C478" s="4"/>
      <c r="D478" s="6" t="str">
        <f>IF(A478="","",IFERROR(AVERAGEIF(Chicks!$C:$C,A478,Chicks!$K:$K),""))</f>
        <v/>
      </c>
      <c r="E478" s="6" t="str">
        <f>IF(A478="","",IFERROR(AVERAGEIF(Chicks!$C:$C,A478,Chicks!$L:$L),""))</f>
        <v/>
      </c>
      <c r="F478" s="6" t="str">
        <f>IF(A478="","",IFERROR(AVERAGEIF(Chicks!$C:$C,A478,Chicks!$M:$M),""))</f>
        <v/>
      </c>
      <c r="G478" s="6" t="str">
        <f>IF(A478="","",SUMIFS(Chicks!$N:$N,Chicks!$C:$C,A478))</f>
        <v/>
      </c>
      <c r="H478" s="6" t="str">
        <f>IF(A478="","",SUMIFS(Chicks!$O:$O,Chicks!$C:$C,A478))</f>
        <v/>
      </c>
      <c r="I478" s="6" t="str">
        <f>IF(A478="","",SUMIFS(Chicks!$P:$P,Chicks!$C:$C,A478))</f>
        <v/>
      </c>
    </row>
    <row r="479" spans="1:9" ht="14.25" customHeight="1" x14ac:dyDescent="0.3">
      <c r="A479" s="4"/>
      <c r="B479" s="4" t="str">
        <f>IF(A479="","",COUNTIF(Chicks!$C:$C,A479))</f>
        <v/>
      </c>
      <c r="C479" s="4"/>
      <c r="D479" s="6" t="str">
        <f>IF(A479="","",IFERROR(AVERAGEIF(Chicks!$C:$C,A479,Chicks!$K:$K),""))</f>
        <v/>
      </c>
      <c r="E479" s="6" t="str">
        <f>IF(A479="","",IFERROR(AVERAGEIF(Chicks!$C:$C,A479,Chicks!$L:$L),""))</f>
        <v/>
      </c>
      <c r="F479" s="6" t="str">
        <f>IF(A479="","",IFERROR(AVERAGEIF(Chicks!$C:$C,A479,Chicks!$M:$M),""))</f>
        <v/>
      </c>
      <c r="G479" s="6" t="str">
        <f>IF(A479="","",SUMIFS(Chicks!$N:$N,Chicks!$C:$C,A479))</f>
        <v/>
      </c>
      <c r="H479" s="6" t="str">
        <f>IF(A479="","",SUMIFS(Chicks!$O:$O,Chicks!$C:$C,A479))</f>
        <v/>
      </c>
      <c r="I479" s="6" t="str">
        <f>IF(A479="","",SUMIFS(Chicks!$P:$P,Chicks!$C:$C,A479))</f>
        <v/>
      </c>
    </row>
    <row r="480" spans="1:9" ht="14.25" customHeight="1" x14ac:dyDescent="0.3">
      <c r="A480" s="4"/>
      <c r="B480" s="4" t="str">
        <f>IF(A480="","",COUNTIF(Chicks!$C:$C,A480))</f>
        <v/>
      </c>
      <c r="C480" s="4"/>
      <c r="D480" s="6" t="str">
        <f>IF(A480="","",IFERROR(AVERAGEIF(Chicks!$C:$C,A480,Chicks!$K:$K),""))</f>
        <v/>
      </c>
      <c r="E480" s="6" t="str">
        <f>IF(A480="","",IFERROR(AVERAGEIF(Chicks!$C:$C,A480,Chicks!$L:$L),""))</f>
        <v/>
      </c>
      <c r="F480" s="6" t="str">
        <f>IF(A480="","",IFERROR(AVERAGEIF(Chicks!$C:$C,A480,Chicks!$M:$M),""))</f>
        <v/>
      </c>
      <c r="G480" s="6" t="str">
        <f>IF(A480="","",SUMIFS(Chicks!$N:$N,Chicks!$C:$C,A480))</f>
        <v/>
      </c>
      <c r="H480" s="6" t="str">
        <f>IF(A480="","",SUMIFS(Chicks!$O:$O,Chicks!$C:$C,A480))</f>
        <v/>
      </c>
      <c r="I480" s="6" t="str">
        <f>IF(A480="","",SUMIFS(Chicks!$P:$P,Chicks!$C:$C,A480))</f>
        <v/>
      </c>
    </row>
    <row r="481" spans="1:9" ht="14.25" customHeight="1" x14ac:dyDescent="0.3">
      <c r="A481" s="4"/>
      <c r="B481" s="4" t="str">
        <f>IF(A481="","",COUNTIF(Chicks!$C:$C,A481))</f>
        <v/>
      </c>
      <c r="C481" s="4"/>
      <c r="D481" s="6" t="str">
        <f>IF(A481="","",IFERROR(AVERAGEIF(Chicks!$C:$C,A481,Chicks!$K:$K),""))</f>
        <v/>
      </c>
      <c r="E481" s="6" t="str">
        <f>IF(A481="","",IFERROR(AVERAGEIF(Chicks!$C:$C,A481,Chicks!$L:$L),""))</f>
        <v/>
      </c>
      <c r="F481" s="6" t="str">
        <f>IF(A481="","",IFERROR(AVERAGEIF(Chicks!$C:$C,A481,Chicks!$M:$M),""))</f>
        <v/>
      </c>
      <c r="G481" s="6" t="str">
        <f>IF(A481="","",SUMIFS(Chicks!$N:$N,Chicks!$C:$C,A481))</f>
        <v/>
      </c>
      <c r="H481" s="6" t="str">
        <f>IF(A481="","",SUMIFS(Chicks!$O:$O,Chicks!$C:$C,A481))</f>
        <v/>
      </c>
      <c r="I481" s="6" t="str">
        <f>IF(A481="","",SUMIFS(Chicks!$P:$P,Chicks!$C:$C,A481))</f>
        <v/>
      </c>
    </row>
    <row r="482" spans="1:9" ht="14.25" customHeight="1" x14ac:dyDescent="0.3">
      <c r="A482" s="4"/>
      <c r="B482" s="4" t="str">
        <f>IF(A482="","",COUNTIF(Chicks!$C:$C,A482))</f>
        <v/>
      </c>
      <c r="C482" s="4"/>
      <c r="D482" s="6" t="str">
        <f>IF(A482="","",IFERROR(AVERAGEIF(Chicks!$C:$C,A482,Chicks!$K:$K),""))</f>
        <v/>
      </c>
      <c r="E482" s="6" t="str">
        <f>IF(A482="","",IFERROR(AVERAGEIF(Chicks!$C:$C,A482,Chicks!$L:$L),""))</f>
        <v/>
      </c>
      <c r="F482" s="6" t="str">
        <f>IF(A482="","",IFERROR(AVERAGEIF(Chicks!$C:$C,A482,Chicks!$M:$M),""))</f>
        <v/>
      </c>
      <c r="G482" s="6" t="str">
        <f>IF(A482="","",SUMIFS(Chicks!$N:$N,Chicks!$C:$C,A482))</f>
        <v/>
      </c>
      <c r="H482" s="6" t="str">
        <f>IF(A482="","",SUMIFS(Chicks!$O:$O,Chicks!$C:$C,A482))</f>
        <v/>
      </c>
      <c r="I482" s="6" t="str">
        <f>IF(A482="","",SUMIFS(Chicks!$P:$P,Chicks!$C:$C,A482))</f>
        <v/>
      </c>
    </row>
    <row r="483" spans="1:9" ht="14.25" customHeight="1" x14ac:dyDescent="0.3">
      <c r="A483" s="4"/>
      <c r="B483" s="4" t="str">
        <f>IF(A483="","",COUNTIF(Chicks!$C:$C,A483))</f>
        <v/>
      </c>
      <c r="C483" s="4"/>
      <c r="D483" s="6" t="str">
        <f>IF(A483="","",IFERROR(AVERAGEIF(Chicks!$C:$C,A483,Chicks!$K:$K),""))</f>
        <v/>
      </c>
      <c r="E483" s="6" t="str">
        <f>IF(A483="","",IFERROR(AVERAGEIF(Chicks!$C:$C,A483,Chicks!$L:$L),""))</f>
        <v/>
      </c>
      <c r="F483" s="6" t="str">
        <f>IF(A483="","",IFERROR(AVERAGEIF(Chicks!$C:$C,A483,Chicks!$M:$M),""))</f>
        <v/>
      </c>
      <c r="G483" s="6" t="str">
        <f>IF(A483="","",SUMIFS(Chicks!$N:$N,Chicks!$C:$C,A483))</f>
        <v/>
      </c>
      <c r="H483" s="6" t="str">
        <f>IF(A483="","",SUMIFS(Chicks!$O:$O,Chicks!$C:$C,A483))</f>
        <v/>
      </c>
      <c r="I483" s="6" t="str">
        <f>IF(A483="","",SUMIFS(Chicks!$P:$P,Chicks!$C:$C,A483))</f>
        <v/>
      </c>
    </row>
    <row r="484" spans="1:9" ht="14.25" customHeight="1" x14ac:dyDescent="0.3">
      <c r="A484" s="4"/>
      <c r="B484" s="4" t="str">
        <f>IF(A484="","",COUNTIF(Chicks!$C:$C,A484))</f>
        <v/>
      </c>
      <c r="C484" s="4"/>
      <c r="D484" s="6" t="str">
        <f>IF(A484="","",IFERROR(AVERAGEIF(Chicks!$C:$C,A484,Chicks!$K:$K),""))</f>
        <v/>
      </c>
      <c r="E484" s="6" t="str">
        <f>IF(A484="","",IFERROR(AVERAGEIF(Chicks!$C:$C,A484,Chicks!$L:$L),""))</f>
        <v/>
      </c>
      <c r="F484" s="6" t="str">
        <f>IF(A484="","",IFERROR(AVERAGEIF(Chicks!$C:$C,A484,Chicks!$M:$M),""))</f>
        <v/>
      </c>
      <c r="G484" s="6" t="str">
        <f>IF(A484="","",SUMIFS(Chicks!$N:$N,Chicks!$C:$C,A484))</f>
        <v/>
      </c>
      <c r="H484" s="6" t="str">
        <f>IF(A484="","",SUMIFS(Chicks!$O:$O,Chicks!$C:$C,A484))</f>
        <v/>
      </c>
      <c r="I484" s="6" t="str">
        <f>IF(A484="","",SUMIFS(Chicks!$P:$P,Chicks!$C:$C,A484))</f>
        <v/>
      </c>
    </row>
    <row r="485" spans="1:9" ht="14.25" customHeight="1" x14ac:dyDescent="0.3">
      <c r="A485" s="4"/>
      <c r="B485" s="4" t="str">
        <f>IF(A485="","",COUNTIF(Chicks!$C:$C,A485))</f>
        <v/>
      </c>
      <c r="C485" s="4"/>
      <c r="D485" s="6" t="str">
        <f>IF(A485="","",IFERROR(AVERAGEIF(Chicks!$C:$C,A485,Chicks!$K:$K),""))</f>
        <v/>
      </c>
      <c r="E485" s="6" t="str">
        <f>IF(A485="","",IFERROR(AVERAGEIF(Chicks!$C:$C,A485,Chicks!$L:$L),""))</f>
        <v/>
      </c>
      <c r="F485" s="6" t="str">
        <f>IF(A485="","",IFERROR(AVERAGEIF(Chicks!$C:$C,A485,Chicks!$M:$M),""))</f>
        <v/>
      </c>
      <c r="G485" s="6" t="str">
        <f>IF(A485="","",SUMIFS(Chicks!$N:$N,Chicks!$C:$C,A485))</f>
        <v/>
      </c>
      <c r="H485" s="6" t="str">
        <f>IF(A485="","",SUMIFS(Chicks!$O:$O,Chicks!$C:$C,A485))</f>
        <v/>
      </c>
      <c r="I485" s="6" t="str">
        <f>IF(A485="","",SUMIFS(Chicks!$P:$P,Chicks!$C:$C,A485))</f>
        <v/>
      </c>
    </row>
    <row r="486" spans="1:9" ht="14.25" customHeight="1" x14ac:dyDescent="0.3">
      <c r="A486" s="4"/>
      <c r="B486" s="4" t="str">
        <f>IF(A486="","",COUNTIF(Chicks!$C:$C,A486))</f>
        <v/>
      </c>
      <c r="C486" s="4"/>
      <c r="D486" s="6" t="str">
        <f>IF(A486="","",IFERROR(AVERAGEIF(Chicks!$C:$C,A486,Chicks!$K:$K),""))</f>
        <v/>
      </c>
      <c r="E486" s="6" t="str">
        <f>IF(A486="","",IFERROR(AVERAGEIF(Chicks!$C:$C,A486,Chicks!$L:$L),""))</f>
        <v/>
      </c>
      <c r="F486" s="6" t="str">
        <f>IF(A486="","",IFERROR(AVERAGEIF(Chicks!$C:$C,A486,Chicks!$M:$M),""))</f>
        <v/>
      </c>
      <c r="G486" s="6" t="str">
        <f>IF(A486="","",SUMIFS(Chicks!$N:$N,Chicks!$C:$C,A486))</f>
        <v/>
      </c>
      <c r="H486" s="6" t="str">
        <f>IF(A486="","",SUMIFS(Chicks!$O:$O,Chicks!$C:$C,A486))</f>
        <v/>
      </c>
      <c r="I486" s="6" t="str">
        <f>IF(A486="","",SUMIFS(Chicks!$P:$P,Chicks!$C:$C,A486))</f>
        <v/>
      </c>
    </row>
    <row r="487" spans="1:9" ht="14.25" customHeight="1" x14ac:dyDescent="0.3">
      <c r="A487" s="4"/>
      <c r="B487" s="4" t="str">
        <f>IF(A487="","",COUNTIF(Chicks!$C:$C,A487))</f>
        <v/>
      </c>
      <c r="C487" s="4"/>
      <c r="D487" s="6" t="str">
        <f>IF(A487="","",IFERROR(AVERAGEIF(Chicks!$C:$C,A487,Chicks!$K:$K),""))</f>
        <v/>
      </c>
      <c r="E487" s="6" t="str">
        <f>IF(A487="","",IFERROR(AVERAGEIF(Chicks!$C:$C,A487,Chicks!$L:$L),""))</f>
        <v/>
      </c>
      <c r="F487" s="6" t="str">
        <f>IF(A487="","",IFERROR(AVERAGEIF(Chicks!$C:$C,A487,Chicks!$M:$M),""))</f>
        <v/>
      </c>
      <c r="G487" s="6" t="str">
        <f>IF(A487="","",SUMIFS(Chicks!$N:$N,Chicks!$C:$C,A487))</f>
        <v/>
      </c>
      <c r="H487" s="6" t="str">
        <f>IF(A487="","",SUMIFS(Chicks!$O:$O,Chicks!$C:$C,A487))</f>
        <v/>
      </c>
      <c r="I487" s="6" t="str">
        <f>IF(A487="","",SUMIFS(Chicks!$P:$P,Chicks!$C:$C,A487))</f>
        <v/>
      </c>
    </row>
    <row r="488" spans="1:9" ht="14.25" customHeight="1" x14ac:dyDescent="0.3">
      <c r="A488" s="4"/>
      <c r="B488" s="4" t="str">
        <f>IF(A488="","",COUNTIF(Chicks!$C:$C,A488))</f>
        <v/>
      </c>
      <c r="C488" s="4"/>
      <c r="D488" s="6" t="str">
        <f>IF(A488="","",IFERROR(AVERAGEIF(Chicks!$C:$C,A488,Chicks!$K:$K),""))</f>
        <v/>
      </c>
      <c r="E488" s="6" t="str">
        <f>IF(A488="","",IFERROR(AVERAGEIF(Chicks!$C:$C,A488,Chicks!$L:$L),""))</f>
        <v/>
      </c>
      <c r="F488" s="6" t="str">
        <f>IF(A488="","",IFERROR(AVERAGEIF(Chicks!$C:$C,A488,Chicks!$M:$M),""))</f>
        <v/>
      </c>
      <c r="G488" s="6" t="str">
        <f>IF(A488="","",SUMIFS(Chicks!$N:$N,Chicks!$C:$C,A488))</f>
        <v/>
      </c>
      <c r="H488" s="6" t="str">
        <f>IF(A488="","",SUMIFS(Chicks!$O:$O,Chicks!$C:$C,A488))</f>
        <v/>
      </c>
      <c r="I488" s="6" t="str">
        <f>IF(A488="","",SUMIFS(Chicks!$P:$P,Chicks!$C:$C,A488))</f>
        <v/>
      </c>
    </row>
    <row r="489" spans="1:9" ht="14.25" customHeight="1" x14ac:dyDescent="0.3">
      <c r="A489" s="4"/>
      <c r="B489" s="4" t="str">
        <f>IF(A489="","",COUNTIF(Chicks!$C:$C,A489))</f>
        <v/>
      </c>
      <c r="C489" s="4"/>
      <c r="D489" s="6" t="str">
        <f>IF(A489="","",IFERROR(AVERAGEIF(Chicks!$C:$C,A489,Chicks!$K:$K),""))</f>
        <v/>
      </c>
      <c r="E489" s="6" t="str">
        <f>IF(A489="","",IFERROR(AVERAGEIF(Chicks!$C:$C,A489,Chicks!$L:$L),""))</f>
        <v/>
      </c>
      <c r="F489" s="6" t="str">
        <f>IF(A489="","",IFERROR(AVERAGEIF(Chicks!$C:$C,A489,Chicks!$M:$M),""))</f>
        <v/>
      </c>
      <c r="G489" s="6" t="str">
        <f>IF(A489="","",SUMIFS(Chicks!$N:$N,Chicks!$C:$C,A489))</f>
        <v/>
      </c>
      <c r="H489" s="6" t="str">
        <f>IF(A489="","",SUMIFS(Chicks!$O:$O,Chicks!$C:$C,A489))</f>
        <v/>
      </c>
      <c r="I489" s="6" t="str">
        <f>IF(A489="","",SUMIFS(Chicks!$P:$P,Chicks!$C:$C,A489))</f>
        <v/>
      </c>
    </row>
    <row r="490" spans="1:9" ht="14.25" customHeight="1" x14ac:dyDescent="0.3">
      <c r="A490" s="4"/>
      <c r="B490" s="4" t="str">
        <f>IF(A490="","",COUNTIF(Chicks!$C:$C,A490))</f>
        <v/>
      </c>
      <c r="C490" s="4"/>
      <c r="D490" s="6" t="str">
        <f>IF(A490="","",IFERROR(AVERAGEIF(Chicks!$C:$C,A490,Chicks!$K:$K),""))</f>
        <v/>
      </c>
      <c r="E490" s="6" t="str">
        <f>IF(A490="","",IFERROR(AVERAGEIF(Chicks!$C:$C,A490,Chicks!$L:$L),""))</f>
        <v/>
      </c>
      <c r="F490" s="6" t="str">
        <f>IF(A490="","",IFERROR(AVERAGEIF(Chicks!$C:$C,A490,Chicks!$M:$M),""))</f>
        <v/>
      </c>
      <c r="G490" s="6" t="str">
        <f>IF(A490="","",SUMIFS(Chicks!$N:$N,Chicks!$C:$C,A490))</f>
        <v/>
      </c>
      <c r="H490" s="6" t="str">
        <f>IF(A490="","",SUMIFS(Chicks!$O:$O,Chicks!$C:$C,A490))</f>
        <v/>
      </c>
      <c r="I490" s="6" t="str">
        <f>IF(A490="","",SUMIFS(Chicks!$P:$P,Chicks!$C:$C,A490))</f>
        <v/>
      </c>
    </row>
    <row r="491" spans="1:9" ht="14.25" customHeight="1" x14ac:dyDescent="0.3">
      <c r="A491" s="4"/>
      <c r="B491" s="4" t="str">
        <f>IF(A491="","",COUNTIF(Chicks!$C:$C,A491))</f>
        <v/>
      </c>
      <c r="C491" s="4"/>
      <c r="D491" s="6" t="str">
        <f>IF(A491="","",IFERROR(AVERAGEIF(Chicks!$C:$C,A491,Chicks!$K:$K),""))</f>
        <v/>
      </c>
      <c r="E491" s="6" t="str">
        <f>IF(A491="","",IFERROR(AVERAGEIF(Chicks!$C:$C,A491,Chicks!$L:$L),""))</f>
        <v/>
      </c>
      <c r="F491" s="6" t="str">
        <f>IF(A491="","",IFERROR(AVERAGEIF(Chicks!$C:$C,A491,Chicks!$M:$M),""))</f>
        <v/>
      </c>
      <c r="G491" s="6" t="str">
        <f>IF(A491="","",SUMIFS(Chicks!$N:$N,Chicks!$C:$C,A491))</f>
        <v/>
      </c>
      <c r="H491" s="6" t="str">
        <f>IF(A491="","",SUMIFS(Chicks!$O:$O,Chicks!$C:$C,A491))</f>
        <v/>
      </c>
      <c r="I491" s="6" t="str">
        <f>IF(A491="","",SUMIFS(Chicks!$P:$P,Chicks!$C:$C,A491))</f>
        <v/>
      </c>
    </row>
    <row r="492" spans="1:9" ht="14.25" customHeight="1" x14ac:dyDescent="0.3">
      <c r="A492" s="4"/>
      <c r="B492" s="4" t="str">
        <f>IF(A492="","",COUNTIF(Chicks!$C:$C,A492))</f>
        <v/>
      </c>
      <c r="C492" s="4"/>
      <c r="D492" s="6" t="str">
        <f>IF(A492="","",IFERROR(AVERAGEIF(Chicks!$C:$C,A492,Chicks!$K:$K),""))</f>
        <v/>
      </c>
      <c r="E492" s="6" t="str">
        <f>IF(A492="","",IFERROR(AVERAGEIF(Chicks!$C:$C,A492,Chicks!$L:$L),""))</f>
        <v/>
      </c>
      <c r="F492" s="6" t="str">
        <f>IF(A492="","",IFERROR(AVERAGEIF(Chicks!$C:$C,A492,Chicks!$M:$M),""))</f>
        <v/>
      </c>
      <c r="G492" s="6" t="str">
        <f>IF(A492="","",SUMIFS(Chicks!$N:$N,Chicks!$C:$C,A492))</f>
        <v/>
      </c>
      <c r="H492" s="6" t="str">
        <f>IF(A492="","",SUMIFS(Chicks!$O:$O,Chicks!$C:$C,A492))</f>
        <v/>
      </c>
      <c r="I492" s="6" t="str">
        <f>IF(A492="","",SUMIFS(Chicks!$P:$P,Chicks!$C:$C,A492))</f>
        <v/>
      </c>
    </row>
    <row r="493" spans="1:9" ht="14.25" customHeight="1" x14ac:dyDescent="0.3">
      <c r="A493" s="4"/>
      <c r="B493" s="4" t="str">
        <f>IF(A493="","",COUNTIF(Chicks!$C:$C,A493))</f>
        <v/>
      </c>
      <c r="C493" s="4"/>
      <c r="D493" s="6" t="str">
        <f>IF(A493="","",IFERROR(AVERAGEIF(Chicks!$C:$C,A493,Chicks!$K:$K),""))</f>
        <v/>
      </c>
      <c r="E493" s="6" t="str">
        <f>IF(A493="","",IFERROR(AVERAGEIF(Chicks!$C:$C,A493,Chicks!$L:$L),""))</f>
        <v/>
      </c>
      <c r="F493" s="6" t="str">
        <f>IF(A493="","",IFERROR(AVERAGEIF(Chicks!$C:$C,A493,Chicks!$M:$M),""))</f>
        <v/>
      </c>
      <c r="G493" s="6" t="str">
        <f>IF(A493="","",SUMIFS(Chicks!$N:$N,Chicks!$C:$C,A493))</f>
        <v/>
      </c>
      <c r="H493" s="6" t="str">
        <f>IF(A493="","",SUMIFS(Chicks!$O:$O,Chicks!$C:$C,A493))</f>
        <v/>
      </c>
      <c r="I493" s="6" t="str">
        <f>IF(A493="","",SUMIFS(Chicks!$P:$P,Chicks!$C:$C,A493))</f>
        <v/>
      </c>
    </row>
    <row r="494" spans="1:9" ht="14.25" customHeight="1" x14ac:dyDescent="0.3">
      <c r="A494" s="4"/>
      <c r="B494" s="4" t="str">
        <f>IF(A494="","",COUNTIF(Chicks!$C:$C,A494))</f>
        <v/>
      </c>
      <c r="C494" s="4"/>
      <c r="D494" s="6" t="str">
        <f>IF(A494="","",IFERROR(AVERAGEIF(Chicks!$C:$C,A494,Chicks!$K:$K),""))</f>
        <v/>
      </c>
      <c r="E494" s="6" t="str">
        <f>IF(A494="","",IFERROR(AVERAGEIF(Chicks!$C:$C,A494,Chicks!$L:$L),""))</f>
        <v/>
      </c>
      <c r="F494" s="6" t="str">
        <f>IF(A494="","",IFERROR(AVERAGEIF(Chicks!$C:$C,A494,Chicks!$M:$M),""))</f>
        <v/>
      </c>
      <c r="G494" s="6" t="str">
        <f>IF(A494="","",SUMIFS(Chicks!$N:$N,Chicks!$C:$C,A494))</f>
        <v/>
      </c>
      <c r="H494" s="6" t="str">
        <f>IF(A494="","",SUMIFS(Chicks!$O:$O,Chicks!$C:$C,A494))</f>
        <v/>
      </c>
      <c r="I494" s="6" t="str">
        <f>IF(A494="","",SUMIFS(Chicks!$P:$P,Chicks!$C:$C,A494))</f>
        <v/>
      </c>
    </row>
    <row r="495" spans="1:9" ht="14.25" customHeight="1" x14ac:dyDescent="0.3">
      <c r="A495" s="4"/>
      <c r="B495" s="4" t="str">
        <f>IF(A495="","",COUNTIF(Chicks!$C:$C,A495))</f>
        <v/>
      </c>
      <c r="C495" s="4"/>
      <c r="D495" s="6" t="str">
        <f>IF(A495="","",IFERROR(AVERAGEIF(Chicks!$C:$C,A495,Chicks!$K:$K),""))</f>
        <v/>
      </c>
      <c r="E495" s="6" t="str">
        <f>IF(A495="","",IFERROR(AVERAGEIF(Chicks!$C:$C,A495,Chicks!$L:$L),""))</f>
        <v/>
      </c>
      <c r="F495" s="6" t="str">
        <f>IF(A495="","",IFERROR(AVERAGEIF(Chicks!$C:$C,A495,Chicks!$M:$M),""))</f>
        <v/>
      </c>
      <c r="G495" s="6" t="str">
        <f>IF(A495="","",SUMIFS(Chicks!$N:$N,Chicks!$C:$C,A495))</f>
        <v/>
      </c>
      <c r="H495" s="6" t="str">
        <f>IF(A495="","",SUMIFS(Chicks!$O:$O,Chicks!$C:$C,A495))</f>
        <v/>
      </c>
      <c r="I495" s="6" t="str">
        <f>IF(A495="","",SUMIFS(Chicks!$P:$P,Chicks!$C:$C,A495))</f>
        <v/>
      </c>
    </row>
    <row r="496" spans="1:9" ht="14.25" customHeight="1" x14ac:dyDescent="0.3">
      <c r="A496" s="4"/>
      <c r="B496" s="4" t="str">
        <f>IF(A496="","",COUNTIF(Chicks!$C:$C,A496))</f>
        <v/>
      </c>
      <c r="C496" s="4"/>
      <c r="D496" s="6" t="str">
        <f>IF(A496="","",IFERROR(AVERAGEIF(Chicks!$C:$C,A496,Chicks!$K:$K),""))</f>
        <v/>
      </c>
      <c r="E496" s="6" t="str">
        <f>IF(A496="","",IFERROR(AVERAGEIF(Chicks!$C:$C,A496,Chicks!$L:$L),""))</f>
        <v/>
      </c>
      <c r="F496" s="6" t="str">
        <f>IF(A496="","",IFERROR(AVERAGEIF(Chicks!$C:$C,A496,Chicks!$M:$M),""))</f>
        <v/>
      </c>
      <c r="G496" s="6" t="str">
        <f>IF(A496="","",SUMIFS(Chicks!$N:$N,Chicks!$C:$C,A496))</f>
        <v/>
      </c>
      <c r="H496" s="6" t="str">
        <f>IF(A496="","",SUMIFS(Chicks!$O:$O,Chicks!$C:$C,A496))</f>
        <v/>
      </c>
      <c r="I496" s="6" t="str">
        <f>IF(A496="","",SUMIFS(Chicks!$P:$P,Chicks!$C:$C,A496))</f>
        <v/>
      </c>
    </row>
    <row r="497" spans="1:9" ht="14.25" customHeight="1" x14ac:dyDescent="0.3">
      <c r="A497" s="4"/>
      <c r="B497" s="4" t="str">
        <f>IF(A497="","",COUNTIF(Chicks!$C:$C,A497))</f>
        <v/>
      </c>
      <c r="C497" s="4"/>
      <c r="D497" s="6" t="str">
        <f>IF(A497="","",IFERROR(AVERAGEIF(Chicks!$C:$C,A497,Chicks!$K:$K),""))</f>
        <v/>
      </c>
      <c r="E497" s="6" t="str">
        <f>IF(A497="","",IFERROR(AVERAGEIF(Chicks!$C:$C,A497,Chicks!$L:$L),""))</f>
        <v/>
      </c>
      <c r="F497" s="6" t="str">
        <f>IF(A497="","",IFERROR(AVERAGEIF(Chicks!$C:$C,A497,Chicks!$M:$M),""))</f>
        <v/>
      </c>
      <c r="G497" s="6" t="str">
        <f>IF(A497="","",SUMIFS(Chicks!$N:$N,Chicks!$C:$C,A497))</f>
        <v/>
      </c>
      <c r="H497" s="6" t="str">
        <f>IF(A497="","",SUMIFS(Chicks!$O:$O,Chicks!$C:$C,A497))</f>
        <v/>
      </c>
      <c r="I497" s="6" t="str">
        <f>IF(A497="","",SUMIFS(Chicks!$P:$P,Chicks!$C:$C,A497))</f>
        <v/>
      </c>
    </row>
    <row r="498" spans="1:9" ht="14.25" customHeight="1" x14ac:dyDescent="0.3">
      <c r="A498" s="4"/>
      <c r="B498" s="4" t="str">
        <f>IF(A498="","",COUNTIF(Chicks!$C:$C,A498))</f>
        <v/>
      </c>
      <c r="C498" s="4"/>
      <c r="D498" s="6" t="str">
        <f>IF(A498="","",IFERROR(AVERAGEIF(Chicks!$C:$C,A498,Chicks!$K:$K),""))</f>
        <v/>
      </c>
      <c r="E498" s="6" t="str">
        <f>IF(A498="","",IFERROR(AVERAGEIF(Chicks!$C:$C,A498,Chicks!$L:$L),""))</f>
        <v/>
      </c>
      <c r="F498" s="6" t="str">
        <f>IF(A498="","",IFERROR(AVERAGEIF(Chicks!$C:$C,A498,Chicks!$M:$M),""))</f>
        <v/>
      </c>
      <c r="G498" s="6" t="str">
        <f>IF(A498="","",SUMIFS(Chicks!$N:$N,Chicks!$C:$C,A498))</f>
        <v/>
      </c>
      <c r="H498" s="6" t="str">
        <f>IF(A498="","",SUMIFS(Chicks!$O:$O,Chicks!$C:$C,A498))</f>
        <v/>
      </c>
      <c r="I498" s="6" t="str">
        <f>IF(A498="","",SUMIFS(Chicks!$P:$P,Chicks!$C:$C,A498))</f>
        <v/>
      </c>
    </row>
    <row r="499" spans="1:9" ht="14.25" customHeight="1" x14ac:dyDescent="0.3">
      <c r="A499" s="4"/>
      <c r="B499" s="4" t="str">
        <f>IF(A499="","",COUNTIF(Chicks!$C:$C,A499))</f>
        <v/>
      </c>
      <c r="C499" s="4"/>
      <c r="D499" s="6" t="str">
        <f>IF(A499="","",IFERROR(AVERAGEIF(Chicks!$C:$C,A499,Chicks!$K:$K),""))</f>
        <v/>
      </c>
      <c r="E499" s="6" t="str">
        <f>IF(A499="","",IFERROR(AVERAGEIF(Chicks!$C:$C,A499,Chicks!$L:$L),""))</f>
        <v/>
      </c>
      <c r="F499" s="6" t="str">
        <f>IF(A499="","",IFERROR(AVERAGEIF(Chicks!$C:$C,A499,Chicks!$M:$M),""))</f>
        <v/>
      </c>
      <c r="G499" s="6" t="str">
        <f>IF(A499="","",SUMIFS(Chicks!$N:$N,Chicks!$C:$C,A499))</f>
        <v/>
      </c>
      <c r="H499" s="6" t="str">
        <f>IF(A499="","",SUMIFS(Chicks!$O:$O,Chicks!$C:$C,A499))</f>
        <v/>
      </c>
      <c r="I499" s="6" t="str">
        <f>IF(A499="","",SUMIFS(Chicks!$P:$P,Chicks!$C:$C,A499))</f>
        <v/>
      </c>
    </row>
    <row r="500" spans="1:9" ht="14.25" customHeight="1" x14ac:dyDescent="0.3">
      <c r="A500" s="4"/>
      <c r="B500" s="4" t="str">
        <f>IF(A500="","",COUNTIF(Chicks!$C:$C,A500))</f>
        <v/>
      </c>
      <c r="C500" s="4"/>
      <c r="D500" s="6" t="str">
        <f>IF(A500="","",IFERROR(AVERAGEIF(Chicks!$C:$C,A500,Chicks!$K:$K),""))</f>
        <v/>
      </c>
      <c r="E500" s="6" t="str">
        <f>IF(A500="","",IFERROR(AVERAGEIF(Chicks!$C:$C,A500,Chicks!$L:$L),""))</f>
        <v/>
      </c>
      <c r="F500" s="6" t="str">
        <f>IF(A500="","",IFERROR(AVERAGEIF(Chicks!$C:$C,A500,Chicks!$M:$M),""))</f>
        <v/>
      </c>
      <c r="G500" s="6" t="str">
        <f>IF(A500="","",SUMIFS(Chicks!$N:$N,Chicks!$C:$C,A500))</f>
        <v/>
      </c>
      <c r="H500" s="6" t="str">
        <f>IF(A500="","",SUMIFS(Chicks!$O:$O,Chicks!$C:$C,A500))</f>
        <v/>
      </c>
      <c r="I500" s="6" t="str">
        <f>IF(A500="","",SUMIFS(Chicks!$P:$P,Chicks!$C:$C,A500))</f>
        <v/>
      </c>
    </row>
    <row r="501" spans="1:9" ht="14.25" customHeight="1" x14ac:dyDescent="0.3">
      <c r="B501" s="6" t="str">
        <f>IF(A501="","",COUNTIF(Chicks!$C:$C,A501))</f>
        <v/>
      </c>
      <c r="D501" s="6" t="str">
        <f>IF(A501="","",IFERROR(AVERAGEIF(Chicks!$C:$C,A501,Chicks!$K:$K),""))</f>
        <v/>
      </c>
      <c r="E501" s="6" t="str">
        <f>IF(A501="","",IFERROR(AVERAGEIF(Chicks!$C:$C,A501,Chicks!$L:$L),""))</f>
        <v/>
      </c>
      <c r="F501" s="6" t="str">
        <f>IF(A501="","",IFERROR(AVERAGEIF(Chicks!$C:$C,A501,Chicks!$M:$M),""))</f>
        <v/>
      </c>
      <c r="G501" s="6" t="str">
        <f>IF(A501="","",SUMIFS(Chicks!$N:$N,Chicks!$C:$C,A501))</f>
        <v/>
      </c>
      <c r="H501" s="6" t="str">
        <f>IF(A501="","",SUMIFS(Chicks!$O:$O,Chicks!$C:$C,A501))</f>
        <v/>
      </c>
      <c r="I501" s="6" t="str">
        <f>IF(A501="","",SUMIFS(Chicks!$P:$P,Chicks!$C:$C,A501))</f>
        <v/>
      </c>
    </row>
    <row r="502" spans="1:9" ht="14.25" customHeight="1" x14ac:dyDescent="0.3">
      <c r="B502" s="6" t="str">
        <f>IF(A502="","",COUNTIF(Chicks!$C:$C,A502))</f>
        <v/>
      </c>
      <c r="D502" s="6" t="str">
        <f>IF(A502="","",IFERROR(AVERAGEIF(Chicks!$C:$C,A502,Chicks!$K:$K),""))</f>
        <v/>
      </c>
      <c r="E502" s="6" t="str">
        <f>IF(A502="","",IFERROR(AVERAGEIF(Chicks!$C:$C,A502,Chicks!$L:$L),""))</f>
        <v/>
      </c>
      <c r="F502" s="6" t="str">
        <f>IF(A502="","",IFERROR(AVERAGEIF(Chicks!$C:$C,A502,Chicks!$M:$M),""))</f>
        <v/>
      </c>
      <c r="G502" s="6" t="str">
        <f>IF(A502="","",SUMIFS(Chicks!$N:$N,Chicks!$C:$C,A502))</f>
        <v/>
      </c>
      <c r="H502" s="6" t="str">
        <f>IF(A502="","",SUMIFS(Chicks!$O:$O,Chicks!$C:$C,A502))</f>
        <v/>
      </c>
      <c r="I502" s="6" t="str">
        <f>IF(A502="","",SUMIFS(Chicks!$P:$P,Chicks!$C:$C,A502))</f>
        <v/>
      </c>
    </row>
    <row r="503" spans="1:9" ht="14.25" customHeight="1" x14ac:dyDescent="0.3">
      <c r="B503" s="6" t="str">
        <f>IF(A503="","",COUNTIF(Chicks!$C:$C,A503))</f>
        <v/>
      </c>
      <c r="D503" s="6" t="str">
        <f>IF(A503="","",IFERROR(AVERAGEIF(Chicks!$C:$C,A503,Chicks!$K:$K),""))</f>
        <v/>
      </c>
      <c r="E503" s="6" t="str">
        <f>IF(A503="","",IFERROR(AVERAGEIF(Chicks!$C:$C,A503,Chicks!$L:$L),""))</f>
        <v/>
      </c>
      <c r="F503" s="6" t="str">
        <f>IF(A503="","",IFERROR(AVERAGEIF(Chicks!$C:$C,A503,Chicks!$M:$M),""))</f>
        <v/>
      </c>
      <c r="G503" s="6" t="str">
        <f>IF(A503="","",SUMIFS(Chicks!$N:$N,Chicks!$C:$C,A503))</f>
        <v/>
      </c>
      <c r="H503" s="6" t="str">
        <f>IF(A503="","",SUMIFS(Chicks!$O:$O,Chicks!$C:$C,A503))</f>
        <v/>
      </c>
      <c r="I503" s="6" t="str">
        <f>IF(A503="","",SUMIFS(Chicks!$P:$P,Chicks!$C:$C,A503))</f>
        <v/>
      </c>
    </row>
    <row r="504" spans="1:9" ht="14.25" customHeight="1" x14ac:dyDescent="0.3">
      <c r="B504" s="6" t="str">
        <f>IF(A504="","",COUNTIF(Chicks!$C:$C,A504))</f>
        <v/>
      </c>
      <c r="D504" s="6" t="str">
        <f>IF(A504="","",IFERROR(AVERAGEIF(Chicks!$C:$C,A504,Chicks!$K:$K),""))</f>
        <v/>
      </c>
      <c r="E504" s="6" t="str">
        <f>IF(A504="","",IFERROR(AVERAGEIF(Chicks!$C:$C,A504,Chicks!$L:$L),""))</f>
        <v/>
      </c>
      <c r="F504" s="6" t="str">
        <f>IF(A504="","",IFERROR(AVERAGEIF(Chicks!$C:$C,A504,Chicks!$M:$M),""))</f>
        <v/>
      </c>
      <c r="G504" s="6" t="str">
        <f>IF(A504="","",SUMIFS(Chicks!$N:$N,Chicks!$C:$C,A504))</f>
        <v/>
      </c>
      <c r="H504" s="6" t="str">
        <f>IF(A504="","",SUMIFS(Chicks!$O:$O,Chicks!$C:$C,A504))</f>
        <v/>
      </c>
      <c r="I504" s="6" t="str">
        <f>IF(A504="","",SUMIFS(Chicks!$P:$P,Chicks!$C:$C,A504))</f>
        <v/>
      </c>
    </row>
    <row r="505" spans="1:9" ht="14.25" customHeight="1" x14ac:dyDescent="0.3">
      <c r="B505" s="6" t="str">
        <f>IF(A505="","",COUNTIF(Chicks!$C:$C,A505))</f>
        <v/>
      </c>
      <c r="D505" s="6" t="str">
        <f>IF(A505="","",IFERROR(AVERAGEIF(Chicks!$C:$C,A505,Chicks!$K:$K),""))</f>
        <v/>
      </c>
      <c r="E505" s="6" t="str">
        <f>IF(A505="","",IFERROR(AVERAGEIF(Chicks!$C:$C,A505,Chicks!$L:$L),""))</f>
        <v/>
      </c>
      <c r="F505" s="6" t="str">
        <f>IF(A505="","",IFERROR(AVERAGEIF(Chicks!$C:$C,A505,Chicks!$M:$M),""))</f>
        <v/>
      </c>
      <c r="G505" s="6" t="str">
        <f>IF(A505="","",SUMIFS(Chicks!$N:$N,Chicks!$C:$C,A505))</f>
        <v/>
      </c>
      <c r="H505" s="6" t="str">
        <f>IF(A505="","",SUMIFS(Chicks!$O:$O,Chicks!$C:$C,A505))</f>
        <v/>
      </c>
      <c r="I505" s="6" t="str">
        <f>IF(A505="","",SUMIFS(Chicks!$P:$P,Chicks!$C:$C,A505))</f>
        <v/>
      </c>
    </row>
    <row r="506" spans="1:9" ht="14.25" customHeight="1" x14ac:dyDescent="0.3">
      <c r="B506" s="6" t="str">
        <f>IF(A506="","",COUNTIF(Chicks!$C:$C,A506))</f>
        <v/>
      </c>
      <c r="D506" s="6" t="str">
        <f>IF(A506="","",IFERROR(AVERAGEIF(Chicks!$C:$C,A506,Chicks!$K:$K),""))</f>
        <v/>
      </c>
      <c r="E506" s="6" t="str">
        <f>IF(A506="","",IFERROR(AVERAGEIF(Chicks!$C:$C,A506,Chicks!$L:$L),""))</f>
        <v/>
      </c>
      <c r="F506" s="6" t="str">
        <f>IF(A506="","",IFERROR(AVERAGEIF(Chicks!$C:$C,A506,Chicks!$M:$M),""))</f>
        <v/>
      </c>
      <c r="G506" s="6" t="str">
        <f>IF(A506="","",SUMIFS(Chicks!$N:$N,Chicks!$C:$C,A506))</f>
        <v/>
      </c>
      <c r="H506" s="6" t="str">
        <f>IF(A506="","",SUMIFS(Chicks!$O:$O,Chicks!$C:$C,A506))</f>
        <v/>
      </c>
      <c r="I506" s="6" t="str">
        <f>IF(A506="","",SUMIFS(Chicks!$P:$P,Chicks!$C:$C,A506))</f>
        <v/>
      </c>
    </row>
    <row r="507" spans="1:9" ht="14.25" customHeight="1" x14ac:dyDescent="0.3">
      <c r="B507" s="6" t="str">
        <f>IF(A507="","",COUNTIF(Chicks!$C:$C,A507))</f>
        <v/>
      </c>
      <c r="D507" s="6" t="str">
        <f>IF(A507="","",IFERROR(AVERAGEIF(Chicks!$C:$C,A507,Chicks!$K:$K),""))</f>
        <v/>
      </c>
      <c r="E507" s="6" t="str">
        <f>IF(A507="","",IFERROR(AVERAGEIF(Chicks!$C:$C,A507,Chicks!$L:$L),""))</f>
        <v/>
      </c>
      <c r="F507" s="6" t="str">
        <f>IF(A507="","",IFERROR(AVERAGEIF(Chicks!$C:$C,A507,Chicks!$M:$M),""))</f>
        <v/>
      </c>
      <c r="G507" s="6" t="str">
        <f>IF(A507="","",SUMIFS(Chicks!$N:$N,Chicks!$C:$C,A507))</f>
        <v/>
      </c>
      <c r="H507" s="6" t="str">
        <f>IF(A507="","",SUMIFS(Chicks!$O:$O,Chicks!$C:$C,A507))</f>
        <v/>
      </c>
      <c r="I507" s="6" t="str">
        <f>IF(A507="","",SUMIFS(Chicks!$P:$P,Chicks!$C:$C,A507))</f>
        <v/>
      </c>
    </row>
    <row r="508" spans="1:9" ht="14.25" customHeight="1" x14ac:dyDescent="0.3">
      <c r="B508" s="6" t="str">
        <f>IF(A508="","",COUNTIF(Chicks!$C:$C,A508))</f>
        <v/>
      </c>
      <c r="D508" s="6" t="str">
        <f>IF(A508="","",IFERROR(AVERAGEIF(Chicks!$C:$C,A508,Chicks!$K:$K),""))</f>
        <v/>
      </c>
      <c r="E508" s="6" t="str">
        <f>IF(A508="","",IFERROR(AVERAGEIF(Chicks!$C:$C,A508,Chicks!$L:$L),""))</f>
        <v/>
      </c>
      <c r="F508" s="6" t="str">
        <f>IF(A508="","",IFERROR(AVERAGEIF(Chicks!$C:$C,A508,Chicks!$M:$M),""))</f>
        <v/>
      </c>
      <c r="G508" s="6" t="str">
        <f>IF(A508="","",SUMIFS(Chicks!$N:$N,Chicks!$C:$C,A508))</f>
        <v/>
      </c>
      <c r="H508" s="6" t="str">
        <f>IF(A508="","",SUMIFS(Chicks!$O:$O,Chicks!$C:$C,A508))</f>
        <v/>
      </c>
      <c r="I508" s="6" t="str">
        <f>IF(A508="","",SUMIFS(Chicks!$P:$P,Chicks!$C:$C,A508))</f>
        <v/>
      </c>
    </row>
    <row r="509" spans="1:9" ht="14.25" customHeight="1" x14ac:dyDescent="0.3">
      <c r="B509" s="6" t="str">
        <f>IF(A509="","",COUNTIF(Chicks!$C:$C,A509))</f>
        <v/>
      </c>
      <c r="D509" s="6" t="str">
        <f>IF(A509="","",IFERROR(AVERAGEIF(Chicks!$C:$C,A509,Chicks!$K:$K),""))</f>
        <v/>
      </c>
      <c r="E509" s="6" t="str">
        <f>IF(A509="","",IFERROR(AVERAGEIF(Chicks!$C:$C,A509,Chicks!$L:$L),""))</f>
        <v/>
      </c>
      <c r="F509" s="6" t="str">
        <f>IF(A509="","",IFERROR(AVERAGEIF(Chicks!$C:$C,A509,Chicks!$M:$M),""))</f>
        <v/>
      </c>
      <c r="G509" s="6" t="str">
        <f>IF(A509="","",SUMIFS(Chicks!$N:$N,Chicks!$C:$C,A509))</f>
        <v/>
      </c>
      <c r="H509" s="6" t="str">
        <f>IF(A509="","",SUMIFS(Chicks!$O:$O,Chicks!$C:$C,A509))</f>
        <v/>
      </c>
      <c r="I509" s="6" t="str">
        <f>IF(A509="","",SUMIFS(Chicks!$P:$P,Chicks!$C:$C,A509))</f>
        <v/>
      </c>
    </row>
    <row r="510" spans="1:9" ht="14.25" customHeight="1" x14ac:dyDescent="0.3">
      <c r="B510" s="6" t="str">
        <f>IF(A510="","",COUNTIF(Chicks!$C:$C,A510))</f>
        <v/>
      </c>
      <c r="D510" s="6" t="str">
        <f>IF(A510="","",IFERROR(AVERAGEIF(Chicks!$C:$C,A510,Chicks!$K:$K),""))</f>
        <v/>
      </c>
      <c r="E510" s="6" t="str">
        <f>IF(A510="","",IFERROR(AVERAGEIF(Chicks!$C:$C,A510,Chicks!$L:$L),""))</f>
        <v/>
      </c>
      <c r="F510" s="6" t="str">
        <f>IF(A510="","",IFERROR(AVERAGEIF(Chicks!$C:$C,A510,Chicks!$M:$M),""))</f>
        <v/>
      </c>
      <c r="G510" s="6" t="str">
        <f>IF(A510="","",SUMIFS(Chicks!$N:$N,Chicks!$C:$C,A510))</f>
        <v/>
      </c>
      <c r="H510" s="6" t="str">
        <f>IF(A510="","",SUMIFS(Chicks!$O:$O,Chicks!$C:$C,A510))</f>
        <v/>
      </c>
      <c r="I510" s="6" t="str">
        <f>IF(A510="","",SUMIFS(Chicks!$P:$P,Chicks!$C:$C,A510))</f>
        <v/>
      </c>
    </row>
    <row r="511" spans="1:9" ht="14.25" customHeight="1" x14ac:dyDescent="0.3">
      <c r="B511" s="6" t="str">
        <f>IF(A511="","",COUNTIF(Chicks!$C:$C,A511))</f>
        <v/>
      </c>
      <c r="D511" s="6" t="str">
        <f>IF(A511="","",IFERROR(AVERAGEIF(Chicks!$C:$C,A511,Chicks!$K:$K),""))</f>
        <v/>
      </c>
      <c r="E511" s="6" t="str">
        <f>IF(A511="","",IFERROR(AVERAGEIF(Chicks!$C:$C,A511,Chicks!$L:$L),""))</f>
        <v/>
      </c>
      <c r="F511" s="6" t="str">
        <f>IF(A511="","",IFERROR(AVERAGEIF(Chicks!$C:$C,A511,Chicks!$M:$M),""))</f>
        <v/>
      </c>
      <c r="G511" s="6" t="str">
        <f>IF(A511="","",SUMIFS(Chicks!$N:$N,Chicks!$C:$C,A511))</f>
        <v/>
      </c>
      <c r="H511" s="6" t="str">
        <f>IF(A511="","",SUMIFS(Chicks!$O:$O,Chicks!$C:$C,A511))</f>
        <v/>
      </c>
      <c r="I511" s="6" t="str">
        <f>IF(A511="","",SUMIFS(Chicks!$P:$P,Chicks!$C:$C,A511))</f>
        <v/>
      </c>
    </row>
    <row r="512" spans="1:9" ht="14.25" customHeight="1" x14ac:dyDescent="0.3">
      <c r="B512" s="6" t="str">
        <f>IF(A512="","",COUNTIF(Chicks!$C:$C,A512))</f>
        <v/>
      </c>
      <c r="D512" s="6" t="str">
        <f>IF(A512="","",IFERROR(AVERAGEIF(Chicks!$C:$C,A512,Chicks!$K:$K),""))</f>
        <v/>
      </c>
      <c r="E512" s="6" t="str">
        <f>IF(A512="","",IFERROR(AVERAGEIF(Chicks!$C:$C,A512,Chicks!$L:$L),""))</f>
        <v/>
      </c>
      <c r="F512" s="6" t="str">
        <f>IF(A512="","",IFERROR(AVERAGEIF(Chicks!$C:$C,A512,Chicks!$M:$M),""))</f>
        <v/>
      </c>
      <c r="G512" s="6" t="str">
        <f>IF(A512="","",SUMIFS(Chicks!$N:$N,Chicks!$C:$C,A512))</f>
        <v/>
      </c>
      <c r="H512" s="6" t="str">
        <f>IF(A512="","",SUMIFS(Chicks!$O:$O,Chicks!$C:$C,A512))</f>
        <v/>
      </c>
      <c r="I512" s="6" t="str">
        <f>IF(A512="","",SUMIFS(Chicks!$P:$P,Chicks!$C:$C,A512))</f>
        <v/>
      </c>
    </row>
    <row r="513" spans="2:9" ht="14.25" customHeight="1" x14ac:dyDescent="0.3">
      <c r="B513" s="6" t="str">
        <f>IF(A513="","",COUNTIF(Chicks!$C:$C,A513))</f>
        <v/>
      </c>
      <c r="D513" s="6" t="str">
        <f>IF(A513="","",IFERROR(AVERAGEIF(Chicks!$C:$C,A513,Chicks!$K:$K),""))</f>
        <v/>
      </c>
      <c r="E513" s="6" t="str">
        <f>IF(A513="","",IFERROR(AVERAGEIF(Chicks!$C:$C,A513,Chicks!$L:$L),""))</f>
        <v/>
      </c>
      <c r="F513" s="6" t="str">
        <f>IF(A513="","",IFERROR(AVERAGEIF(Chicks!$C:$C,A513,Chicks!$M:$M),""))</f>
        <v/>
      </c>
      <c r="G513" s="6" t="str">
        <f>IF(A513="","",SUMIFS(Chicks!$N:$N,Chicks!$C:$C,A513))</f>
        <v/>
      </c>
      <c r="H513" s="6" t="str">
        <f>IF(A513="","",SUMIFS(Chicks!$O:$O,Chicks!$C:$C,A513))</f>
        <v/>
      </c>
      <c r="I513" s="6" t="str">
        <f>IF(A513="","",SUMIFS(Chicks!$P:$P,Chicks!$C:$C,A513))</f>
        <v/>
      </c>
    </row>
    <row r="514" spans="2:9" ht="14.25" customHeight="1" x14ac:dyDescent="0.3">
      <c r="B514" s="6" t="str">
        <f>IF(A514="","",COUNTIF(Chicks!$C:$C,A514))</f>
        <v/>
      </c>
      <c r="D514" s="6" t="str">
        <f>IF(A514="","",IFERROR(AVERAGEIF(Chicks!$C:$C,A514,Chicks!$K:$K),""))</f>
        <v/>
      </c>
      <c r="E514" s="6" t="str">
        <f>IF(A514="","",IFERROR(AVERAGEIF(Chicks!$C:$C,A514,Chicks!$L:$L),""))</f>
        <v/>
      </c>
      <c r="F514" s="6" t="str">
        <f>IF(A514="","",IFERROR(AVERAGEIF(Chicks!$C:$C,A514,Chicks!$M:$M),""))</f>
        <v/>
      </c>
      <c r="G514" s="6" t="str">
        <f>IF(A514="","",SUMIFS(Chicks!$N:$N,Chicks!$C:$C,A514))</f>
        <v/>
      </c>
      <c r="H514" s="6" t="str">
        <f>IF(A514="","",SUMIFS(Chicks!$O:$O,Chicks!$C:$C,A514))</f>
        <v/>
      </c>
      <c r="I514" s="6" t="str">
        <f>IF(A514="","",SUMIFS(Chicks!$P:$P,Chicks!$C:$C,A514))</f>
        <v/>
      </c>
    </row>
    <row r="515" spans="2:9" ht="14.25" customHeight="1" x14ac:dyDescent="0.3">
      <c r="B515" s="6" t="str">
        <f>IF(A515="","",COUNTIF(Chicks!$C:$C,A515))</f>
        <v/>
      </c>
      <c r="D515" s="6" t="str">
        <f>IF(A515="","",IFERROR(AVERAGEIF(Chicks!$C:$C,A515,Chicks!$K:$K),""))</f>
        <v/>
      </c>
      <c r="E515" s="6" t="str">
        <f>IF(A515="","",IFERROR(AVERAGEIF(Chicks!$C:$C,A515,Chicks!$L:$L),""))</f>
        <v/>
      </c>
      <c r="F515" s="6" t="str">
        <f>IF(A515="","",IFERROR(AVERAGEIF(Chicks!$C:$C,A515,Chicks!$M:$M),""))</f>
        <v/>
      </c>
      <c r="G515" s="6" t="str">
        <f>IF(A515="","",SUMIFS(Chicks!$N:$N,Chicks!$C:$C,A515))</f>
        <v/>
      </c>
      <c r="H515" s="6" t="str">
        <f>IF(A515="","",SUMIFS(Chicks!$O:$O,Chicks!$C:$C,A515))</f>
        <v/>
      </c>
      <c r="I515" s="6" t="str">
        <f>IF(A515="","",SUMIFS(Chicks!$P:$P,Chicks!$C:$C,A515))</f>
        <v/>
      </c>
    </row>
    <row r="516" spans="2:9" ht="14.25" customHeight="1" x14ac:dyDescent="0.3">
      <c r="B516" s="6" t="str">
        <f>IF(A516="","",COUNTIF(Chicks!$C:$C,A516))</f>
        <v/>
      </c>
      <c r="D516" s="6" t="str">
        <f>IF(A516="","",IFERROR(AVERAGEIF(Chicks!$C:$C,A516,Chicks!$K:$K),""))</f>
        <v/>
      </c>
      <c r="E516" s="6" t="str">
        <f>IF(A516="","",IFERROR(AVERAGEIF(Chicks!$C:$C,A516,Chicks!$L:$L),""))</f>
        <v/>
      </c>
      <c r="F516" s="6" t="str">
        <f>IF(A516="","",IFERROR(AVERAGEIF(Chicks!$C:$C,A516,Chicks!$M:$M),""))</f>
        <v/>
      </c>
      <c r="G516" s="6" t="str">
        <f>IF(A516="","",SUMIFS(Chicks!$N:$N,Chicks!$C:$C,A516))</f>
        <v/>
      </c>
      <c r="H516" s="6" t="str">
        <f>IF(A516="","",SUMIFS(Chicks!$O:$O,Chicks!$C:$C,A516))</f>
        <v/>
      </c>
      <c r="I516" s="6" t="str">
        <f>IF(A516="","",SUMIFS(Chicks!$P:$P,Chicks!$C:$C,A516))</f>
        <v/>
      </c>
    </row>
    <row r="517" spans="2:9" ht="14.25" customHeight="1" x14ac:dyDescent="0.3">
      <c r="B517" s="6" t="str">
        <f>IF(A517="","",COUNTIF(Chicks!$C:$C,A517))</f>
        <v/>
      </c>
      <c r="D517" s="6" t="str">
        <f>IF(A517="","",IFERROR(AVERAGEIF(Chicks!$C:$C,A517,Chicks!$K:$K),""))</f>
        <v/>
      </c>
      <c r="E517" s="6" t="str">
        <f>IF(A517="","",IFERROR(AVERAGEIF(Chicks!$C:$C,A517,Chicks!$L:$L),""))</f>
        <v/>
      </c>
      <c r="F517" s="6" t="str">
        <f>IF(A517="","",IFERROR(AVERAGEIF(Chicks!$C:$C,A517,Chicks!$M:$M),""))</f>
        <v/>
      </c>
      <c r="G517" s="6" t="str">
        <f>IF(A517="","",SUMIFS(Chicks!$N:$N,Chicks!$C:$C,A517))</f>
        <v/>
      </c>
      <c r="H517" s="6" t="str">
        <f>IF(A517="","",SUMIFS(Chicks!$O:$O,Chicks!$C:$C,A517))</f>
        <v/>
      </c>
      <c r="I517" s="6" t="str">
        <f>IF(A517="","",SUMIFS(Chicks!$P:$P,Chicks!$C:$C,A517))</f>
        <v/>
      </c>
    </row>
    <row r="518" spans="2:9" ht="14.25" customHeight="1" x14ac:dyDescent="0.3">
      <c r="B518" s="6" t="str">
        <f>IF(A518="","",COUNTIF(Chicks!$C:$C,A518))</f>
        <v/>
      </c>
      <c r="D518" s="6" t="str">
        <f>IF(A518="","",IFERROR(AVERAGEIF(Chicks!$C:$C,A518,Chicks!$K:$K),""))</f>
        <v/>
      </c>
      <c r="E518" s="6" t="str">
        <f>IF(A518="","",IFERROR(AVERAGEIF(Chicks!$C:$C,A518,Chicks!$L:$L),""))</f>
        <v/>
      </c>
      <c r="F518" s="6" t="str">
        <f>IF(A518="","",IFERROR(AVERAGEIF(Chicks!$C:$C,A518,Chicks!$M:$M),""))</f>
        <v/>
      </c>
      <c r="G518" s="6" t="str">
        <f>IF(A518="","",SUMIFS(Chicks!$N:$N,Chicks!$C:$C,A518))</f>
        <v/>
      </c>
      <c r="H518" s="6" t="str">
        <f>IF(A518="","",SUMIFS(Chicks!$O:$O,Chicks!$C:$C,A518))</f>
        <v/>
      </c>
      <c r="I518" s="6" t="str">
        <f>IF(A518="","",SUMIFS(Chicks!$P:$P,Chicks!$C:$C,A518))</f>
        <v/>
      </c>
    </row>
    <row r="519" spans="2:9" ht="14.25" customHeight="1" x14ac:dyDescent="0.3">
      <c r="B519" s="6" t="str">
        <f>IF(A519="","",COUNTIF(Chicks!$C:$C,A519))</f>
        <v/>
      </c>
      <c r="D519" s="6" t="str">
        <f>IF(A519="","",IFERROR(AVERAGEIF(Chicks!$C:$C,A519,Chicks!$K:$K),""))</f>
        <v/>
      </c>
      <c r="E519" s="6" t="str">
        <f>IF(A519="","",IFERROR(AVERAGEIF(Chicks!$C:$C,A519,Chicks!$L:$L),""))</f>
        <v/>
      </c>
      <c r="F519" s="6" t="str">
        <f>IF(A519="","",IFERROR(AVERAGEIF(Chicks!$C:$C,A519,Chicks!$M:$M),""))</f>
        <v/>
      </c>
      <c r="G519" s="6" t="str">
        <f>IF(A519="","",SUMIFS(Chicks!$N:$N,Chicks!$C:$C,A519))</f>
        <v/>
      </c>
      <c r="H519" s="6" t="str">
        <f>IF(A519="","",SUMIFS(Chicks!$O:$O,Chicks!$C:$C,A519))</f>
        <v/>
      </c>
      <c r="I519" s="6" t="str">
        <f>IF(A519="","",SUMIFS(Chicks!$P:$P,Chicks!$C:$C,A519))</f>
        <v/>
      </c>
    </row>
    <row r="520" spans="2:9" ht="14.25" customHeight="1" x14ac:dyDescent="0.3">
      <c r="B520" s="6" t="str">
        <f>IF(A520="","",COUNTIF(Chicks!$C:$C,A520))</f>
        <v/>
      </c>
      <c r="D520" s="6" t="str">
        <f>IF(A520="","",IFERROR(AVERAGEIF(Chicks!$C:$C,A520,Chicks!$K:$K),""))</f>
        <v/>
      </c>
      <c r="E520" s="6" t="str">
        <f>IF(A520="","",IFERROR(AVERAGEIF(Chicks!$C:$C,A520,Chicks!$L:$L),""))</f>
        <v/>
      </c>
      <c r="F520" s="6" t="str">
        <f>IF(A520="","",IFERROR(AVERAGEIF(Chicks!$C:$C,A520,Chicks!$M:$M),""))</f>
        <v/>
      </c>
      <c r="G520" s="6" t="str">
        <f>IF(A520="","",SUMIFS(Chicks!$N:$N,Chicks!$C:$C,A520))</f>
        <v/>
      </c>
      <c r="H520" s="6" t="str">
        <f>IF(A520="","",SUMIFS(Chicks!$O:$O,Chicks!$C:$C,A520))</f>
        <v/>
      </c>
      <c r="I520" s="6" t="str">
        <f>IF(A520="","",SUMIFS(Chicks!$P:$P,Chicks!$C:$C,A520))</f>
        <v/>
      </c>
    </row>
    <row r="521" spans="2:9" ht="14.25" customHeight="1" x14ac:dyDescent="0.3">
      <c r="B521" s="6" t="str">
        <f>IF(A521="","",COUNTIF(Chicks!$C:$C,A521))</f>
        <v/>
      </c>
      <c r="D521" s="6" t="str">
        <f>IF(A521="","",IFERROR(AVERAGEIF(Chicks!$C:$C,A521,Chicks!$K:$K),""))</f>
        <v/>
      </c>
      <c r="E521" s="6" t="str">
        <f>IF(A521="","",IFERROR(AVERAGEIF(Chicks!$C:$C,A521,Chicks!$L:$L),""))</f>
        <v/>
      </c>
      <c r="F521" s="6" t="str">
        <f>IF(A521="","",IFERROR(AVERAGEIF(Chicks!$C:$C,A521,Chicks!$M:$M),""))</f>
        <v/>
      </c>
      <c r="G521" s="6" t="str">
        <f>IF(A521="","",SUMIFS(Chicks!$N:$N,Chicks!$C:$C,A521))</f>
        <v/>
      </c>
      <c r="H521" s="6" t="str">
        <f>IF(A521="","",SUMIFS(Chicks!$O:$O,Chicks!$C:$C,A521))</f>
        <v/>
      </c>
      <c r="I521" s="6" t="str">
        <f>IF(A521="","",SUMIFS(Chicks!$P:$P,Chicks!$C:$C,A521))</f>
        <v/>
      </c>
    </row>
    <row r="522" spans="2:9" ht="14.25" customHeight="1" x14ac:dyDescent="0.3">
      <c r="B522" s="6" t="str">
        <f>IF(A522="","",COUNTIF(Chicks!$C:$C,A522))</f>
        <v/>
      </c>
      <c r="D522" s="6" t="str">
        <f>IF(A522="","",IFERROR(AVERAGEIF(Chicks!$C:$C,A522,Chicks!$K:$K),""))</f>
        <v/>
      </c>
      <c r="E522" s="6" t="str">
        <f>IF(A522="","",IFERROR(AVERAGEIF(Chicks!$C:$C,A522,Chicks!$L:$L),""))</f>
        <v/>
      </c>
      <c r="F522" s="6" t="str">
        <f>IF(A522="","",IFERROR(AVERAGEIF(Chicks!$C:$C,A522,Chicks!$M:$M),""))</f>
        <v/>
      </c>
      <c r="G522" s="6" t="str">
        <f>IF(A522="","",SUMIFS(Chicks!$N:$N,Chicks!$C:$C,A522))</f>
        <v/>
      </c>
      <c r="H522" s="6" t="str">
        <f>IF(A522="","",SUMIFS(Chicks!$O:$O,Chicks!$C:$C,A522))</f>
        <v/>
      </c>
      <c r="I522" s="6" t="str">
        <f>IF(A522="","",SUMIFS(Chicks!$P:$P,Chicks!$C:$C,A522))</f>
        <v/>
      </c>
    </row>
    <row r="523" spans="2:9" ht="14.25" customHeight="1" x14ac:dyDescent="0.3">
      <c r="B523" s="6" t="str">
        <f>IF(A523="","",COUNTIF(Chicks!$C:$C,A523))</f>
        <v/>
      </c>
      <c r="D523" s="6" t="str">
        <f>IF(A523="","",IFERROR(AVERAGEIF(Chicks!$C:$C,A523,Chicks!$K:$K),""))</f>
        <v/>
      </c>
      <c r="E523" s="6" t="str">
        <f>IF(A523="","",IFERROR(AVERAGEIF(Chicks!$C:$C,A523,Chicks!$L:$L),""))</f>
        <v/>
      </c>
      <c r="F523" s="6" t="str">
        <f>IF(A523="","",IFERROR(AVERAGEIF(Chicks!$C:$C,A523,Chicks!$M:$M),""))</f>
        <v/>
      </c>
      <c r="G523" s="6" t="str">
        <f>IF(A523="","",SUMIFS(Chicks!$N:$N,Chicks!$C:$C,A523))</f>
        <v/>
      </c>
      <c r="H523" s="6" t="str">
        <f>IF(A523="","",SUMIFS(Chicks!$O:$O,Chicks!$C:$C,A523))</f>
        <v/>
      </c>
      <c r="I523" s="6" t="str">
        <f>IF(A523="","",SUMIFS(Chicks!$P:$P,Chicks!$C:$C,A523))</f>
        <v/>
      </c>
    </row>
    <row r="524" spans="2:9" ht="14.25" customHeight="1" x14ac:dyDescent="0.3">
      <c r="B524" s="6" t="str">
        <f>IF(A524="","",COUNTIF(Chicks!$C:$C,A524))</f>
        <v/>
      </c>
      <c r="D524" s="6" t="str">
        <f>IF(A524="","",IFERROR(AVERAGEIF(Chicks!$C:$C,A524,Chicks!$K:$K),""))</f>
        <v/>
      </c>
      <c r="E524" s="6" t="str">
        <f>IF(A524="","",IFERROR(AVERAGEIF(Chicks!$C:$C,A524,Chicks!$L:$L),""))</f>
        <v/>
      </c>
      <c r="F524" s="6" t="str">
        <f>IF(A524="","",IFERROR(AVERAGEIF(Chicks!$C:$C,A524,Chicks!$M:$M),""))</f>
        <v/>
      </c>
      <c r="G524" s="6" t="str">
        <f>IF(A524="","",SUMIFS(Chicks!$N:$N,Chicks!$C:$C,A524))</f>
        <v/>
      </c>
      <c r="H524" s="6" t="str">
        <f>IF(A524="","",SUMIFS(Chicks!$O:$O,Chicks!$C:$C,A524))</f>
        <v/>
      </c>
      <c r="I524" s="6" t="str">
        <f>IF(A524="","",SUMIFS(Chicks!$P:$P,Chicks!$C:$C,A524))</f>
        <v/>
      </c>
    </row>
    <row r="525" spans="2:9" ht="14.25" customHeight="1" x14ac:dyDescent="0.3">
      <c r="B525" s="6" t="str">
        <f>IF(A525="","",COUNTIF(Chicks!$C:$C,A525))</f>
        <v/>
      </c>
      <c r="D525" s="6" t="str">
        <f>IF(A525="","",IFERROR(AVERAGEIF(Chicks!$C:$C,A525,Chicks!$K:$K),""))</f>
        <v/>
      </c>
      <c r="E525" s="6" t="str">
        <f>IF(A525="","",IFERROR(AVERAGEIF(Chicks!$C:$C,A525,Chicks!$L:$L),""))</f>
        <v/>
      </c>
      <c r="F525" s="6" t="str">
        <f>IF(A525="","",IFERROR(AVERAGEIF(Chicks!$C:$C,A525,Chicks!$M:$M),""))</f>
        <v/>
      </c>
      <c r="G525" s="6" t="str">
        <f>IF(A525="","",SUMIFS(Chicks!$N:$N,Chicks!$C:$C,A525))</f>
        <v/>
      </c>
      <c r="H525" s="6" t="str">
        <f>IF(A525="","",SUMIFS(Chicks!$O:$O,Chicks!$C:$C,A525))</f>
        <v/>
      </c>
      <c r="I525" s="6" t="str">
        <f>IF(A525="","",SUMIFS(Chicks!$P:$P,Chicks!$C:$C,A525))</f>
        <v/>
      </c>
    </row>
    <row r="526" spans="2:9" ht="14.25" customHeight="1" x14ac:dyDescent="0.3">
      <c r="B526" s="6" t="str">
        <f>IF(A526="","",COUNTIF(Chicks!$C:$C,A526))</f>
        <v/>
      </c>
      <c r="D526" s="6" t="str">
        <f>IF(A526="","",IFERROR(AVERAGEIF(Chicks!$C:$C,A526,Chicks!$K:$K),""))</f>
        <v/>
      </c>
      <c r="E526" s="6" t="str">
        <f>IF(A526="","",IFERROR(AVERAGEIF(Chicks!$C:$C,A526,Chicks!$L:$L),""))</f>
        <v/>
      </c>
      <c r="F526" s="6" t="str">
        <f>IF(A526="","",IFERROR(AVERAGEIF(Chicks!$C:$C,A526,Chicks!$M:$M),""))</f>
        <v/>
      </c>
      <c r="G526" s="6" t="str">
        <f>IF(A526="","",SUMIFS(Chicks!$N:$N,Chicks!$C:$C,A526))</f>
        <v/>
      </c>
      <c r="H526" s="6" t="str">
        <f>IF(A526="","",SUMIFS(Chicks!$O:$O,Chicks!$C:$C,A526))</f>
        <v/>
      </c>
      <c r="I526" s="6" t="str">
        <f>IF(A526="","",SUMIFS(Chicks!$P:$P,Chicks!$C:$C,A526))</f>
        <v/>
      </c>
    </row>
    <row r="527" spans="2:9" ht="14.25" customHeight="1" x14ac:dyDescent="0.3">
      <c r="B527" s="6" t="str">
        <f>IF(A527="","",COUNTIF(Chicks!$C:$C,A527))</f>
        <v/>
      </c>
      <c r="D527" s="6" t="str">
        <f>IF(A527="","",IFERROR(AVERAGEIF(Chicks!$C:$C,A527,Chicks!$K:$K),""))</f>
        <v/>
      </c>
      <c r="E527" s="6" t="str">
        <f>IF(A527="","",IFERROR(AVERAGEIF(Chicks!$C:$C,A527,Chicks!$L:$L),""))</f>
        <v/>
      </c>
      <c r="F527" s="6" t="str">
        <f>IF(A527="","",IFERROR(AVERAGEIF(Chicks!$C:$C,A527,Chicks!$M:$M),""))</f>
        <v/>
      </c>
      <c r="G527" s="6" t="str">
        <f>IF(A527="","",SUMIFS(Chicks!$N:$N,Chicks!$C:$C,A527))</f>
        <v/>
      </c>
      <c r="H527" s="6" t="str">
        <f>IF(A527="","",SUMIFS(Chicks!$O:$O,Chicks!$C:$C,A527))</f>
        <v/>
      </c>
      <c r="I527" s="6" t="str">
        <f>IF(A527="","",SUMIFS(Chicks!$P:$P,Chicks!$C:$C,A527))</f>
        <v/>
      </c>
    </row>
    <row r="528" spans="2:9" ht="14.25" customHeight="1" x14ac:dyDescent="0.3">
      <c r="B528" s="6" t="str">
        <f>IF(A528="","",COUNTIF(Chicks!$C:$C,A528))</f>
        <v/>
      </c>
      <c r="D528" s="6" t="str">
        <f>IF(A528="","",IFERROR(AVERAGEIF(Chicks!$C:$C,A528,Chicks!$K:$K),""))</f>
        <v/>
      </c>
      <c r="E528" s="6" t="str">
        <f>IF(A528="","",IFERROR(AVERAGEIF(Chicks!$C:$C,A528,Chicks!$L:$L),""))</f>
        <v/>
      </c>
      <c r="F528" s="6" t="str">
        <f>IF(A528="","",IFERROR(AVERAGEIF(Chicks!$C:$C,A528,Chicks!$M:$M),""))</f>
        <v/>
      </c>
      <c r="G528" s="6" t="str">
        <f>IF(A528="","",SUMIFS(Chicks!$N:$N,Chicks!$C:$C,A528))</f>
        <v/>
      </c>
      <c r="H528" s="6" t="str">
        <f>IF(A528="","",SUMIFS(Chicks!$O:$O,Chicks!$C:$C,A528))</f>
        <v/>
      </c>
      <c r="I528" s="6" t="str">
        <f>IF(A528="","",SUMIFS(Chicks!$P:$P,Chicks!$C:$C,A528))</f>
        <v/>
      </c>
    </row>
    <row r="529" spans="2:9" ht="14.25" customHeight="1" x14ac:dyDescent="0.3">
      <c r="B529" s="6" t="str">
        <f>IF(A529="","",COUNTIF(Chicks!$C:$C,A529))</f>
        <v/>
      </c>
      <c r="D529" s="6" t="str">
        <f>IF(A529="","",IFERROR(AVERAGEIF(Chicks!$C:$C,A529,Chicks!$K:$K),""))</f>
        <v/>
      </c>
      <c r="E529" s="6" t="str">
        <f>IF(A529="","",IFERROR(AVERAGEIF(Chicks!$C:$C,A529,Chicks!$L:$L),""))</f>
        <v/>
      </c>
      <c r="F529" s="6" t="str">
        <f>IF(A529="","",IFERROR(AVERAGEIF(Chicks!$C:$C,A529,Chicks!$M:$M),""))</f>
        <v/>
      </c>
      <c r="G529" s="6" t="str">
        <f>IF(A529="","",SUMIFS(Chicks!$N:$N,Chicks!$C:$C,A529))</f>
        <v/>
      </c>
      <c r="H529" s="6" t="str">
        <f>IF(A529="","",SUMIFS(Chicks!$O:$O,Chicks!$C:$C,A529))</f>
        <v/>
      </c>
      <c r="I529" s="6" t="str">
        <f>IF(A529="","",SUMIFS(Chicks!$P:$P,Chicks!$C:$C,A529))</f>
        <v/>
      </c>
    </row>
    <row r="530" spans="2:9" ht="14.25" customHeight="1" x14ac:dyDescent="0.3">
      <c r="B530" s="6" t="str">
        <f>IF(A530="","",COUNTIF(Chicks!$C:$C,A530))</f>
        <v/>
      </c>
      <c r="D530" s="6" t="str">
        <f>IF(A530="","",IFERROR(AVERAGEIF(Chicks!$C:$C,A530,Chicks!$K:$K),""))</f>
        <v/>
      </c>
      <c r="E530" s="6" t="str">
        <f>IF(A530="","",IFERROR(AVERAGEIF(Chicks!$C:$C,A530,Chicks!$L:$L),""))</f>
        <v/>
      </c>
      <c r="F530" s="6" t="str">
        <f>IF(A530="","",IFERROR(AVERAGEIF(Chicks!$C:$C,A530,Chicks!$M:$M),""))</f>
        <v/>
      </c>
      <c r="G530" s="6" t="str">
        <f>IF(A530="","",SUMIFS(Chicks!$N:$N,Chicks!$C:$C,A530))</f>
        <v/>
      </c>
      <c r="H530" s="6" t="str">
        <f>IF(A530="","",SUMIFS(Chicks!$O:$O,Chicks!$C:$C,A530))</f>
        <v/>
      </c>
      <c r="I530" s="6" t="str">
        <f>IF(A530="","",SUMIFS(Chicks!$P:$P,Chicks!$C:$C,A530))</f>
        <v/>
      </c>
    </row>
    <row r="531" spans="2:9" ht="14.25" customHeight="1" x14ac:dyDescent="0.3">
      <c r="B531" s="6" t="str">
        <f>IF(A531="","",COUNTIF(Chicks!$C:$C,A531))</f>
        <v/>
      </c>
      <c r="D531" s="6" t="str">
        <f>IF(A531="","",IFERROR(AVERAGEIF(Chicks!$C:$C,A531,Chicks!$K:$K),""))</f>
        <v/>
      </c>
      <c r="E531" s="6" t="str">
        <f>IF(A531="","",IFERROR(AVERAGEIF(Chicks!$C:$C,A531,Chicks!$L:$L),""))</f>
        <v/>
      </c>
      <c r="F531" s="6" t="str">
        <f>IF(A531="","",IFERROR(AVERAGEIF(Chicks!$C:$C,A531,Chicks!$M:$M),""))</f>
        <v/>
      </c>
      <c r="G531" s="6" t="str">
        <f>IF(A531="","",SUMIFS(Chicks!$N:$N,Chicks!$C:$C,A531))</f>
        <v/>
      </c>
      <c r="H531" s="6" t="str">
        <f>IF(A531="","",SUMIFS(Chicks!$O:$O,Chicks!$C:$C,A531))</f>
        <v/>
      </c>
      <c r="I531" s="6" t="str">
        <f>IF(A531="","",SUMIFS(Chicks!$P:$P,Chicks!$C:$C,A531))</f>
        <v/>
      </c>
    </row>
    <row r="532" spans="2:9" ht="14.25" customHeight="1" x14ac:dyDescent="0.3">
      <c r="B532" s="6" t="str">
        <f>IF(A532="","",COUNTIF(Chicks!$C:$C,A532))</f>
        <v/>
      </c>
      <c r="D532" s="6" t="str">
        <f>IF(A532="","",IFERROR(AVERAGEIF(Chicks!$C:$C,A532,Chicks!$K:$K),""))</f>
        <v/>
      </c>
      <c r="E532" s="6" t="str">
        <f>IF(A532="","",IFERROR(AVERAGEIF(Chicks!$C:$C,A532,Chicks!$L:$L),""))</f>
        <v/>
      </c>
      <c r="F532" s="6" t="str">
        <f>IF(A532="","",IFERROR(AVERAGEIF(Chicks!$C:$C,A532,Chicks!$M:$M),""))</f>
        <v/>
      </c>
      <c r="G532" s="6" t="str">
        <f>IF(A532="","",SUMIFS(Chicks!$N:$N,Chicks!$C:$C,A532))</f>
        <v/>
      </c>
      <c r="H532" s="6" t="str">
        <f>IF(A532="","",SUMIFS(Chicks!$O:$O,Chicks!$C:$C,A532))</f>
        <v/>
      </c>
      <c r="I532" s="6" t="str">
        <f>IF(A532="","",SUMIFS(Chicks!$P:$P,Chicks!$C:$C,A532))</f>
        <v/>
      </c>
    </row>
    <row r="533" spans="2:9" ht="14.25" customHeight="1" x14ac:dyDescent="0.3">
      <c r="B533" s="6" t="str">
        <f>IF(A533="","",COUNTIF(Chicks!$C:$C,A533))</f>
        <v/>
      </c>
      <c r="D533" s="6" t="str">
        <f>IF(A533="","",IFERROR(AVERAGEIF(Chicks!$C:$C,A533,Chicks!$K:$K),""))</f>
        <v/>
      </c>
      <c r="E533" s="6" t="str">
        <f>IF(A533="","",IFERROR(AVERAGEIF(Chicks!$C:$C,A533,Chicks!$L:$L),""))</f>
        <v/>
      </c>
      <c r="F533" s="6" t="str">
        <f>IF(A533="","",IFERROR(AVERAGEIF(Chicks!$C:$C,A533,Chicks!$M:$M),""))</f>
        <v/>
      </c>
      <c r="G533" s="6" t="str">
        <f>IF(A533="","",SUMIFS(Chicks!$N:$N,Chicks!$C:$C,A533))</f>
        <v/>
      </c>
      <c r="H533" s="6" t="str">
        <f>IF(A533="","",SUMIFS(Chicks!$O:$O,Chicks!$C:$C,A533))</f>
        <v/>
      </c>
      <c r="I533" s="6" t="str">
        <f>IF(A533="","",SUMIFS(Chicks!$P:$P,Chicks!$C:$C,A533))</f>
        <v/>
      </c>
    </row>
    <row r="534" spans="2:9" ht="14.25" customHeight="1" x14ac:dyDescent="0.3">
      <c r="B534" s="6" t="str">
        <f>IF(A534="","",COUNTIF(Chicks!$C:$C,A534))</f>
        <v/>
      </c>
      <c r="D534" s="6" t="str">
        <f>IF(A534="","",IFERROR(AVERAGEIF(Chicks!$C:$C,A534,Chicks!$K:$K),""))</f>
        <v/>
      </c>
      <c r="E534" s="6" t="str">
        <f>IF(A534="","",IFERROR(AVERAGEIF(Chicks!$C:$C,A534,Chicks!$L:$L),""))</f>
        <v/>
      </c>
      <c r="F534" s="6" t="str">
        <f>IF(A534="","",IFERROR(AVERAGEIF(Chicks!$C:$C,A534,Chicks!$M:$M),""))</f>
        <v/>
      </c>
      <c r="G534" s="6" t="str">
        <f>IF(A534="","",SUMIFS(Chicks!$N:$N,Chicks!$C:$C,A534))</f>
        <v/>
      </c>
      <c r="H534" s="6" t="str">
        <f>IF(A534="","",SUMIFS(Chicks!$O:$O,Chicks!$C:$C,A534))</f>
        <v/>
      </c>
      <c r="I534" s="6" t="str">
        <f>IF(A534="","",SUMIFS(Chicks!$P:$P,Chicks!$C:$C,A534))</f>
        <v/>
      </c>
    </row>
    <row r="535" spans="2:9" ht="14.25" customHeight="1" x14ac:dyDescent="0.3">
      <c r="B535" s="6" t="str">
        <f>IF(A535="","",COUNTIF(Chicks!$C:$C,A535))</f>
        <v/>
      </c>
      <c r="D535" s="6" t="str">
        <f>IF(A535="","",IFERROR(AVERAGEIF(Chicks!$C:$C,A535,Chicks!$K:$K),""))</f>
        <v/>
      </c>
      <c r="E535" s="6" t="str">
        <f>IF(A535="","",IFERROR(AVERAGEIF(Chicks!$C:$C,A535,Chicks!$L:$L),""))</f>
        <v/>
      </c>
      <c r="F535" s="6" t="str">
        <f>IF(A535="","",IFERROR(AVERAGEIF(Chicks!$C:$C,A535,Chicks!$M:$M),""))</f>
        <v/>
      </c>
      <c r="G535" s="6" t="str">
        <f>IF(A535="","",SUMIFS(Chicks!$N:$N,Chicks!$C:$C,A535))</f>
        <v/>
      </c>
      <c r="H535" s="6" t="str">
        <f>IF(A535="","",SUMIFS(Chicks!$O:$O,Chicks!$C:$C,A535))</f>
        <v/>
      </c>
      <c r="I535" s="6" t="str">
        <f>IF(A535="","",SUMIFS(Chicks!$P:$P,Chicks!$C:$C,A535))</f>
        <v/>
      </c>
    </row>
    <row r="536" spans="2:9" ht="14.25" customHeight="1" x14ac:dyDescent="0.3">
      <c r="B536" s="6" t="str">
        <f>IF(A536="","",COUNTIF(Chicks!$C:$C,A536))</f>
        <v/>
      </c>
      <c r="D536" s="6" t="str">
        <f>IF(A536="","",IFERROR(AVERAGEIF(Chicks!$C:$C,A536,Chicks!$K:$K),""))</f>
        <v/>
      </c>
      <c r="E536" s="6" t="str">
        <f>IF(A536="","",IFERROR(AVERAGEIF(Chicks!$C:$C,A536,Chicks!$L:$L),""))</f>
        <v/>
      </c>
      <c r="F536" s="6" t="str">
        <f>IF(A536="","",IFERROR(AVERAGEIF(Chicks!$C:$C,A536,Chicks!$M:$M),""))</f>
        <v/>
      </c>
      <c r="G536" s="6" t="str">
        <f>IF(A536="","",SUMIFS(Chicks!$N:$N,Chicks!$C:$C,A536))</f>
        <v/>
      </c>
      <c r="H536" s="6" t="str">
        <f>IF(A536="","",SUMIFS(Chicks!$O:$O,Chicks!$C:$C,A536))</f>
        <v/>
      </c>
      <c r="I536" s="6" t="str">
        <f>IF(A536="","",SUMIFS(Chicks!$P:$P,Chicks!$C:$C,A536))</f>
        <v/>
      </c>
    </row>
    <row r="537" spans="2:9" ht="14.25" customHeight="1" x14ac:dyDescent="0.3">
      <c r="B537" s="6" t="str">
        <f>IF(A537="","",COUNTIF(Chicks!$C:$C,A537))</f>
        <v/>
      </c>
      <c r="D537" s="6" t="str">
        <f>IF(A537="","",IFERROR(AVERAGEIF(Chicks!$C:$C,A537,Chicks!$K:$K),""))</f>
        <v/>
      </c>
      <c r="E537" s="6" t="str">
        <f>IF(A537="","",IFERROR(AVERAGEIF(Chicks!$C:$C,A537,Chicks!$L:$L),""))</f>
        <v/>
      </c>
      <c r="F537" s="6" t="str">
        <f>IF(A537="","",IFERROR(AVERAGEIF(Chicks!$C:$C,A537,Chicks!$M:$M),""))</f>
        <v/>
      </c>
      <c r="G537" s="6" t="str">
        <f>IF(A537="","",SUMIFS(Chicks!$N:$N,Chicks!$C:$C,A537))</f>
        <v/>
      </c>
      <c r="H537" s="6" t="str">
        <f>IF(A537="","",SUMIFS(Chicks!$O:$O,Chicks!$C:$C,A537))</f>
        <v/>
      </c>
      <c r="I537" s="6" t="str">
        <f>IF(A537="","",SUMIFS(Chicks!$P:$P,Chicks!$C:$C,A537))</f>
        <v/>
      </c>
    </row>
    <row r="538" spans="2:9" ht="14.25" customHeight="1" x14ac:dyDescent="0.3">
      <c r="B538" s="6" t="str">
        <f>IF(A538="","",COUNTIF(Chicks!$C:$C,A538))</f>
        <v/>
      </c>
      <c r="D538" s="6" t="str">
        <f>IF(A538="","",IFERROR(AVERAGEIF(Chicks!$C:$C,A538,Chicks!$K:$K),""))</f>
        <v/>
      </c>
      <c r="E538" s="6" t="str">
        <f>IF(A538="","",IFERROR(AVERAGEIF(Chicks!$C:$C,A538,Chicks!$L:$L),""))</f>
        <v/>
      </c>
      <c r="F538" s="6" t="str">
        <f>IF(A538="","",IFERROR(AVERAGEIF(Chicks!$C:$C,A538,Chicks!$M:$M),""))</f>
        <v/>
      </c>
      <c r="G538" s="6" t="str">
        <f>IF(A538="","",SUMIFS(Chicks!$N:$N,Chicks!$C:$C,A538))</f>
        <v/>
      </c>
      <c r="H538" s="6" t="str">
        <f>IF(A538="","",SUMIFS(Chicks!$O:$O,Chicks!$C:$C,A538))</f>
        <v/>
      </c>
      <c r="I538" s="6" t="str">
        <f>IF(A538="","",SUMIFS(Chicks!$P:$P,Chicks!$C:$C,A538))</f>
        <v/>
      </c>
    </row>
    <row r="539" spans="2:9" ht="14.25" customHeight="1" x14ac:dyDescent="0.3">
      <c r="B539" s="6" t="str">
        <f>IF(A539="","",COUNTIF(Chicks!$C:$C,A539))</f>
        <v/>
      </c>
      <c r="D539" s="6" t="str">
        <f>IF(A539="","",IFERROR(AVERAGEIF(Chicks!$C:$C,A539,Chicks!$K:$K),""))</f>
        <v/>
      </c>
      <c r="E539" s="6" t="str">
        <f>IF(A539="","",IFERROR(AVERAGEIF(Chicks!$C:$C,A539,Chicks!$L:$L),""))</f>
        <v/>
      </c>
      <c r="F539" s="6" t="str">
        <f>IF(A539="","",IFERROR(AVERAGEIF(Chicks!$C:$C,A539,Chicks!$M:$M),""))</f>
        <v/>
      </c>
      <c r="G539" s="6" t="str">
        <f>IF(A539="","",SUMIFS(Chicks!$N:$N,Chicks!$C:$C,A539))</f>
        <v/>
      </c>
      <c r="H539" s="6" t="str">
        <f>IF(A539="","",SUMIFS(Chicks!$O:$O,Chicks!$C:$C,A539))</f>
        <v/>
      </c>
      <c r="I539" s="6" t="str">
        <f>IF(A539="","",SUMIFS(Chicks!$P:$P,Chicks!$C:$C,A539))</f>
        <v/>
      </c>
    </row>
    <row r="540" spans="2:9" ht="14.25" customHeight="1" x14ac:dyDescent="0.3">
      <c r="B540" s="6" t="str">
        <f>IF(A540="","",COUNTIF(Chicks!$C:$C,A540))</f>
        <v/>
      </c>
      <c r="D540" s="6" t="str">
        <f>IF(A540="","",IFERROR(AVERAGEIF(Chicks!$C:$C,A540,Chicks!$K:$K),""))</f>
        <v/>
      </c>
      <c r="E540" s="6" t="str">
        <f>IF(A540="","",IFERROR(AVERAGEIF(Chicks!$C:$C,A540,Chicks!$L:$L),""))</f>
        <v/>
      </c>
      <c r="F540" s="6" t="str">
        <f>IF(A540="","",IFERROR(AVERAGEIF(Chicks!$C:$C,A540,Chicks!$M:$M),""))</f>
        <v/>
      </c>
      <c r="G540" s="6" t="str">
        <f>IF(A540="","",SUMIFS(Chicks!$N:$N,Chicks!$C:$C,A540))</f>
        <v/>
      </c>
      <c r="H540" s="6" t="str">
        <f>IF(A540="","",SUMIFS(Chicks!$O:$O,Chicks!$C:$C,A540))</f>
        <v/>
      </c>
      <c r="I540" s="6" t="str">
        <f>IF(A540="","",SUMIFS(Chicks!$P:$P,Chicks!$C:$C,A540))</f>
        <v/>
      </c>
    </row>
    <row r="541" spans="2:9" ht="14.25" customHeight="1" x14ac:dyDescent="0.3">
      <c r="B541" s="6" t="str">
        <f>IF(A541="","",COUNTIF(Chicks!$C:$C,A541))</f>
        <v/>
      </c>
      <c r="D541" s="6" t="str">
        <f>IF(A541="","",IFERROR(AVERAGEIF(Chicks!$C:$C,A541,Chicks!$K:$K),""))</f>
        <v/>
      </c>
      <c r="E541" s="6" t="str">
        <f>IF(A541="","",IFERROR(AVERAGEIF(Chicks!$C:$C,A541,Chicks!$L:$L),""))</f>
        <v/>
      </c>
      <c r="F541" s="6" t="str">
        <f>IF(A541="","",IFERROR(AVERAGEIF(Chicks!$C:$C,A541,Chicks!$M:$M),""))</f>
        <v/>
      </c>
      <c r="G541" s="6" t="str">
        <f>IF(A541="","",SUMIFS(Chicks!$N:$N,Chicks!$C:$C,A541))</f>
        <v/>
      </c>
      <c r="H541" s="6" t="str">
        <f>IF(A541="","",SUMIFS(Chicks!$O:$O,Chicks!$C:$C,A541))</f>
        <v/>
      </c>
      <c r="I541" s="6" t="str">
        <f>IF(A541="","",SUMIFS(Chicks!$P:$P,Chicks!$C:$C,A541))</f>
        <v/>
      </c>
    </row>
    <row r="542" spans="2:9" ht="14.25" customHeight="1" x14ac:dyDescent="0.3">
      <c r="B542" s="6" t="str">
        <f>IF(A542="","",COUNTIF(Chicks!$C:$C,A542))</f>
        <v/>
      </c>
      <c r="D542" s="6" t="str">
        <f>IF(A542="","",IFERROR(AVERAGEIF(Chicks!$C:$C,A542,Chicks!$K:$K),""))</f>
        <v/>
      </c>
      <c r="E542" s="6" t="str">
        <f>IF(A542="","",IFERROR(AVERAGEIF(Chicks!$C:$C,A542,Chicks!$L:$L),""))</f>
        <v/>
      </c>
      <c r="F542" s="6" t="str">
        <f>IF(A542="","",IFERROR(AVERAGEIF(Chicks!$C:$C,A542,Chicks!$M:$M),""))</f>
        <v/>
      </c>
      <c r="G542" s="6" t="str">
        <f>IF(A542="","",SUMIFS(Chicks!$N:$N,Chicks!$C:$C,A542))</f>
        <v/>
      </c>
      <c r="H542" s="6" t="str">
        <f>IF(A542="","",SUMIFS(Chicks!$O:$O,Chicks!$C:$C,A542))</f>
        <v/>
      </c>
      <c r="I542" s="6" t="str">
        <f>IF(A542="","",SUMIFS(Chicks!$P:$P,Chicks!$C:$C,A542))</f>
        <v/>
      </c>
    </row>
    <row r="543" spans="2:9" ht="14.25" customHeight="1" x14ac:dyDescent="0.3">
      <c r="B543" s="6" t="str">
        <f>IF(A543="","",COUNTIF(Chicks!$C:$C,A543))</f>
        <v/>
      </c>
      <c r="D543" s="6" t="str">
        <f>IF(A543="","",IFERROR(AVERAGEIF(Chicks!$C:$C,A543,Chicks!$K:$K),""))</f>
        <v/>
      </c>
      <c r="E543" s="6" t="str">
        <f>IF(A543="","",IFERROR(AVERAGEIF(Chicks!$C:$C,A543,Chicks!$L:$L),""))</f>
        <v/>
      </c>
      <c r="F543" s="6" t="str">
        <f>IF(A543="","",IFERROR(AVERAGEIF(Chicks!$C:$C,A543,Chicks!$M:$M),""))</f>
        <v/>
      </c>
      <c r="G543" s="6" t="str">
        <f>IF(A543="","",SUMIFS(Chicks!$N:$N,Chicks!$C:$C,A543))</f>
        <v/>
      </c>
      <c r="H543" s="6" t="str">
        <f>IF(A543="","",SUMIFS(Chicks!$O:$O,Chicks!$C:$C,A543))</f>
        <v/>
      </c>
      <c r="I543" s="6" t="str">
        <f>IF(A543="","",SUMIFS(Chicks!$P:$P,Chicks!$C:$C,A543))</f>
        <v/>
      </c>
    </row>
    <row r="544" spans="2:9" ht="14.25" customHeight="1" x14ac:dyDescent="0.3">
      <c r="B544" s="6" t="str">
        <f>IF(A544="","",COUNTIF(Chicks!$C:$C,A544))</f>
        <v/>
      </c>
      <c r="D544" s="6" t="str">
        <f>IF(A544="","",IFERROR(AVERAGEIF(Chicks!$C:$C,A544,Chicks!$K:$K),""))</f>
        <v/>
      </c>
      <c r="E544" s="6" t="str">
        <f>IF(A544="","",IFERROR(AVERAGEIF(Chicks!$C:$C,A544,Chicks!$L:$L),""))</f>
        <v/>
      </c>
      <c r="F544" s="6" t="str">
        <f>IF(A544="","",IFERROR(AVERAGEIF(Chicks!$C:$C,A544,Chicks!$M:$M),""))</f>
        <v/>
      </c>
      <c r="G544" s="6" t="str">
        <f>IF(A544="","",SUMIFS(Chicks!$N:$N,Chicks!$C:$C,A544))</f>
        <v/>
      </c>
      <c r="H544" s="6" t="str">
        <f>IF(A544="","",SUMIFS(Chicks!$O:$O,Chicks!$C:$C,A544))</f>
        <v/>
      </c>
      <c r="I544" s="6" t="str">
        <f>IF(A544="","",SUMIFS(Chicks!$P:$P,Chicks!$C:$C,A544))</f>
        <v/>
      </c>
    </row>
    <row r="545" spans="2:9" ht="14.25" customHeight="1" x14ac:dyDescent="0.3">
      <c r="B545" s="6" t="str">
        <f>IF(A545="","",COUNTIF(Chicks!$C:$C,A545))</f>
        <v/>
      </c>
      <c r="D545" s="6" t="str">
        <f>IF(A545="","",IFERROR(AVERAGEIF(Chicks!$C:$C,A545,Chicks!$K:$K),""))</f>
        <v/>
      </c>
      <c r="E545" s="6" t="str">
        <f>IF(A545="","",IFERROR(AVERAGEIF(Chicks!$C:$C,A545,Chicks!$L:$L),""))</f>
        <v/>
      </c>
      <c r="F545" s="6" t="str">
        <f>IF(A545="","",IFERROR(AVERAGEIF(Chicks!$C:$C,A545,Chicks!$M:$M),""))</f>
        <v/>
      </c>
      <c r="G545" s="6" t="str">
        <f>IF(A545="","",SUMIFS(Chicks!$N:$N,Chicks!$C:$C,A545))</f>
        <v/>
      </c>
      <c r="H545" s="6" t="str">
        <f>IF(A545="","",SUMIFS(Chicks!$O:$O,Chicks!$C:$C,A545))</f>
        <v/>
      </c>
      <c r="I545" s="6" t="str">
        <f>IF(A545="","",SUMIFS(Chicks!$P:$P,Chicks!$C:$C,A545))</f>
        <v/>
      </c>
    </row>
    <row r="546" spans="2:9" ht="14.25" customHeight="1" x14ac:dyDescent="0.3">
      <c r="B546" s="6" t="str">
        <f>IF(A546="","",COUNTIF(Chicks!$C:$C,A546))</f>
        <v/>
      </c>
      <c r="D546" s="6" t="str">
        <f>IF(A546="","",IFERROR(AVERAGEIF(Chicks!$C:$C,A546,Chicks!$K:$K),""))</f>
        <v/>
      </c>
      <c r="E546" s="6" t="str">
        <f>IF(A546="","",IFERROR(AVERAGEIF(Chicks!$C:$C,A546,Chicks!$L:$L),""))</f>
        <v/>
      </c>
      <c r="F546" s="6" t="str">
        <f>IF(A546="","",IFERROR(AVERAGEIF(Chicks!$C:$C,A546,Chicks!$M:$M),""))</f>
        <v/>
      </c>
      <c r="G546" s="6" t="str">
        <f>IF(A546="","",SUMIFS(Chicks!$N:$N,Chicks!$C:$C,A546))</f>
        <v/>
      </c>
      <c r="H546" s="6" t="str">
        <f>IF(A546="","",SUMIFS(Chicks!$O:$O,Chicks!$C:$C,A546))</f>
        <v/>
      </c>
      <c r="I546" s="6" t="str">
        <f>IF(A546="","",SUMIFS(Chicks!$P:$P,Chicks!$C:$C,A546))</f>
        <v/>
      </c>
    </row>
    <row r="547" spans="2:9" ht="14.25" customHeight="1" x14ac:dyDescent="0.3">
      <c r="B547" s="6" t="str">
        <f>IF(A547="","",COUNTIF(Chicks!$C:$C,A547))</f>
        <v/>
      </c>
      <c r="D547" s="6" t="str">
        <f>IF(A547="","",IFERROR(AVERAGEIF(Chicks!$C:$C,A547,Chicks!$K:$K),""))</f>
        <v/>
      </c>
      <c r="E547" s="6" t="str">
        <f>IF(A547="","",IFERROR(AVERAGEIF(Chicks!$C:$C,A547,Chicks!$L:$L),""))</f>
        <v/>
      </c>
      <c r="F547" s="6" t="str">
        <f>IF(A547="","",IFERROR(AVERAGEIF(Chicks!$C:$C,A547,Chicks!$M:$M),""))</f>
        <v/>
      </c>
      <c r="G547" s="6" t="str">
        <f>IF(A547="","",SUMIFS(Chicks!$N:$N,Chicks!$C:$C,A547))</f>
        <v/>
      </c>
      <c r="H547" s="6" t="str">
        <f>IF(A547="","",SUMIFS(Chicks!$O:$O,Chicks!$C:$C,A547))</f>
        <v/>
      </c>
      <c r="I547" s="6" t="str">
        <f>IF(A547="","",SUMIFS(Chicks!$P:$P,Chicks!$C:$C,A547))</f>
        <v/>
      </c>
    </row>
    <row r="548" spans="2:9" ht="14.25" customHeight="1" x14ac:dyDescent="0.3">
      <c r="B548" s="6" t="str">
        <f>IF(A548="","",COUNTIF(Chicks!$C:$C,A548))</f>
        <v/>
      </c>
      <c r="D548" s="6" t="str">
        <f>IF(A548="","",IFERROR(AVERAGEIF(Chicks!$C:$C,A548,Chicks!$K:$K),""))</f>
        <v/>
      </c>
      <c r="E548" s="6" t="str">
        <f>IF(A548="","",IFERROR(AVERAGEIF(Chicks!$C:$C,A548,Chicks!$L:$L),""))</f>
        <v/>
      </c>
      <c r="F548" s="6" t="str">
        <f>IF(A548="","",IFERROR(AVERAGEIF(Chicks!$C:$C,A548,Chicks!$M:$M),""))</f>
        <v/>
      </c>
      <c r="G548" s="6" t="str">
        <f>IF(A548="","",SUMIFS(Chicks!$N:$N,Chicks!$C:$C,A548))</f>
        <v/>
      </c>
      <c r="H548" s="6" t="str">
        <f>IF(A548="","",SUMIFS(Chicks!$O:$O,Chicks!$C:$C,A548))</f>
        <v/>
      </c>
      <c r="I548" s="6" t="str">
        <f>IF(A548="","",SUMIFS(Chicks!$P:$P,Chicks!$C:$C,A548))</f>
        <v/>
      </c>
    </row>
    <row r="549" spans="2:9" ht="14.25" customHeight="1" x14ac:dyDescent="0.3">
      <c r="B549" s="6" t="str">
        <f>IF(A549="","",COUNTIF(Chicks!$C:$C,A549))</f>
        <v/>
      </c>
      <c r="D549" s="6" t="str">
        <f>IF(A549="","",IFERROR(AVERAGEIF(Chicks!$C:$C,A549,Chicks!$K:$K),""))</f>
        <v/>
      </c>
      <c r="E549" s="6" t="str">
        <f>IF(A549="","",IFERROR(AVERAGEIF(Chicks!$C:$C,A549,Chicks!$L:$L),""))</f>
        <v/>
      </c>
      <c r="F549" s="6" t="str">
        <f>IF(A549="","",IFERROR(AVERAGEIF(Chicks!$C:$C,A549,Chicks!$M:$M),""))</f>
        <v/>
      </c>
      <c r="G549" s="6" t="str">
        <f>IF(A549="","",SUMIFS(Chicks!$N:$N,Chicks!$C:$C,A549))</f>
        <v/>
      </c>
      <c r="H549" s="6" t="str">
        <f>IF(A549="","",SUMIFS(Chicks!$O:$O,Chicks!$C:$C,A549))</f>
        <v/>
      </c>
      <c r="I549" s="6" t="str">
        <f>IF(A549="","",SUMIFS(Chicks!$P:$P,Chicks!$C:$C,A549))</f>
        <v/>
      </c>
    </row>
    <row r="550" spans="2:9" ht="14.25" customHeight="1" x14ac:dyDescent="0.3">
      <c r="B550" s="6" t="str">
        <f>IF(A550="","",COUNTIF(Chicks!$C:$C,A550))</f>
        <v/>
      </c>
      <c r="D550" s="6" t="str">
        <f>IF(A550="","",IFERROR(AVERAGEIF(Chicks!$C:$C,A550,Chicks!$K:$K),""))</f>
        <v/>
      </c>
      <c r="E550" s="6" t="str">
        <f>IF(A550="","",IFERROR(AVERAGEIF(Chicks!$C:$C,A550,Chicks!$L:$L),""))</f>
        <v/>
      </c>
      <c r="F550" s="6" t="str">
        <f>IF(A550="","",IFERROR(AVERAGEIF(Chicks!$C:$C,A550,Chicks!$M:$M),""))</f>
        <v/>
      </c>
      <c r="G550" s="6" t="str">
        <f>IF(A550="","",SUMIFS(Chicks!$N:$N,Chicks!$C:$C,A550))</f>
        <v/>
      </c>
      <c r="H550" s="6" t="str">
        <f>IF(A550="","",SUMIFS(Chicks!$O:$O,Chicks!$C:$C,A550))</f>
        <v/>
      </c>
      <c r="I550" s="6" t="str">
        <f>IF(A550="","",SUMIFS(Chicks!$P:$P,Chicks!$C:$C,A550))</f>
        <v/>
      </c>
    </row>
    <row r="551" spans="2:9" ht="14.25" customHeight="1" x14ac:dyDescent="0.3">
      <c r="B551" s="6" t="str">
        <f>IF(A551="","",COUNTIF(Chicks!$C:$C,A551))</f>
        <v/>
      </c>
      <c r="D551" s="6" t="str">
        <f>IF(A551="","",IFERROR(AVERAGEIF(Chicks!$C:$C,A551,Chicks!$K:$K),""))</f>
        <v/>
      </c>
      <c r="E551" s="6" t="str">
        <f>IF(A551="","",IFERROR(AVERAGEIF(Chicks!$C:$C,A551,Chicks!$L:$L),""))</f>
        <v/>
      </c>
      <c r="F551" s="6" t="str">
        <f>IF(A551="","",IFERROR(AVERAGEIF(Chicks!$C:$C,A551,Chicks!$M:$M),""))</f>
        <v/>
      </c>
      <c r="G551" s="6" t="str">
        <f>IF(A551="","",SUMIFS(Chicks!$N:$N,Chicks!$C:$C,A551))</f>
        <v/>
      </c>
      <c r="H551" s="6" t="str">
        <f>IF(A551="","",SUMIFS(Chicks!$O:$O,Chicks!$C:$C,A551))</f>
        <v/>
      </c>
      <c r="I551" s="6" t="str">
        <f>IF(A551="","",SUMIFS(Chicks!$P:$P,Chicks!$C:$C,A551))</f>
        <v/>
      </c>
    </row>
    <row r="552" spans="2:9" ht="14.25" customHeight="1" x14ac:dyDescent="0.3">
      <c r="B552" s="6" t="str">
        <f>IF(A552="","",COUNTIF(Chicks!$C:$C,A552))</f>
        <v/>
      </c>
      <c r="D552" s="6" t="str">
        <f>IF(A552="","",IFERROR(AVERAGEIF(Chicks!$C:$C,A552,Chicks!$K:$K),""))</f>
        <v/>
      </c>
      <c r="E552" s="6" t="str">
        <f>IF(A552="","",IFERROR(AVERAGEIF(Chicks!$C:$C,A552,Chicks!$L:$L),""))</f>
        <v/>
      </c>
      <c r="F552" s="6" t="str">
        <f>IF(A552="","",IFERROR(AVERAGEIF(Chicks!$C:$C,A552,Chicks!$M:$M),""))</f>
        <v/>
      </c>
      <c r="G552" s="6" t="str">
        <f>IF(A552="","",SUMIFS(Chicks!$N:$N,Chicks!$C:$C,A552))</f>
        <v/>
      </c>
      <c r="H552" s="6" t="str">
        <f>IF(A552="","",SUMIFS(Chicks!$O:$O,Chicks!$C:$C,A552))</f>
        <v/>
      </c>
      <c r="I552" s="6" t="str">
        <f>IF(A552="","",SUMIFS(Chicks!$P:$P,Chicks!$C:$C,A552))</f>
        <v/>
      </c>
    </row>
    <row r="553" spans="2:9" ht="14.25" customHeight="1" x14ac:dyDescent="0.3">
      <c r="B553" s="6" t="str">
        <f>IF(A553="","",COUNTIF(Chicks!$C:$C,A553))</f>
        <v/>
      </c>
      <c r="D553" s="6" t="str">
        <f>IF(A553="","",IFERROR(AVERAGEIF(Chicks!$C:$C,A553,Chicks!$K:$K),""))</f>
        <v/>
      </c>
      <c r="E553" s="6" t="str">
        <f>IF(A553="","",IFERROR(AVERAGEIF(Chicks!$C:$C,A553,Chicks!$L:$L),""))</f>
        <v/>
      </c>
      <c r="F553" s="6" t="str">
        <f>IF(A553="","",IFERROR(AVERAGEIF(Chicks!$C:$C,A553,Chicks!$M:$M),""))</f>
        <v/>
      </c>
      <c r="G553" s="6" t="str">
        <f>IF(A553="","",SUMIFS(Chicks!$N:$N,Chicks!$C:$C,A553))</f>
        <v/>
      </c>
      <c r="H553" s="6" t="str">
        <f>IF(A553="","",SUMIFS(Chicks!$O:$O,Chicks!$C:$C,A553))</f>
        <v/>
      </c>
      <c r="I553" s="6" t="str">
        <f>IF(A553="","",SUMIFS(Chicks!$P:$P,Chicks!$C:$C,A553))</f>
        <v/>
      </c>
    </row>
    <row r="554" spans="2:9" ht="14.25" customHeight="1" x14ac:dyDescent="0.3">
      <c r="B554" s="6" t="str">
        <f>IF(A554="","",COUNTIF(Chicks!$C:$C,A554))</f>
        <v/>
      </c>
      <c r="D554" s="6" t="str">
        <f>IF(A554="","",IFERROR(AVERAGEIF(Chicks!$C:$C,A554,Chicks!$K:$K),""))</f>
        <v/>
      </c>
      <c r="E554" s="6" t="str">
        <f>IF(A554="","",IFERROR(AVERAGEIF(Chicks!$C:$C,A554,Chicks!$L:$L),""))</f>
        <v/>
      </c>
      <c r="F554" s="6" t="str">
        <f>IF(A554="","",IFERROR(AVERAGEIF(Chicks!$C:$C,A554,Chicks!$M:$M),""))</f>
        <v/>
      </c>
      <c r="G554" s="6" t="str">
        <f>IF(A554="","",SUMIFS(Chicks!$N:$N,Chicks!$C:$C,A554))</f>
        <v/>
      </c>
      <c r="H554" s="6" t="str">
        <f>IF(A554="","",SUMIFS(Chicks!$O:$O,Chicks!$C:$C,A554))</f>
        <v/>
      </c>
      <c r="I554" s="6" t="str">
        <f>IF(A554="","",SUMIFS(Chicks!$P:$P,Chicks!$C:$C,A554))</f>
        <v/>
      </c>
    </row>
    <row r="555" spans="2:9" ht="14.25" customHeight="1" x14ac:dyDescent="0.3">
      <c r="B555" s="6" t="str">
        <f>IF(A555="","",COUNTIF(Chicks!$C:$C,A555))</f>
        <v/>
      </c>
      <c r="D555" s="6" t="str">
        <f>IF(A555="","",IFERROR(AVERAGEIF(Chicks!$C:$C,A555,Chicks!$K:$K),""))</f>
        <v/>
      </c>
      <c r="E555" s="6" t="str">
        <f>IF(A555="","",IFERROR(AVERAGEIF(Chicks!$C:$C,A555,Chicks!$L:$L),""))</f>
        <v/>
      </c>
      <c r="F555" s="6" t="str">
        <f>IF(A555="","",IFERROR(AVERAGEIF(Chicks!$C:$C,A555,Chicks!$M:$M),""))</f>
        <v/>
      </c>
      <c r="G555" s="6" t="str">
        <f>IF(A555="","",SUMIFS(Chicks!$N:$N,Chicks!$C:$C,A555))</f>
        <v/>
      </c>
      <c r="H555" s="6" t="str">
        <f>IF(A555="","",SUMIFS(Chicks!$O:$O,Chicks!$C:$C,A555))</f>
        <v/>
      </c>
      <c r="I555" s="6" t="str">
        <f>IF(A555="","",SUMIFS(Chicks!$P:$P,Chicks!$C:$C,A555))</f>
        <v/>
      </c>
    </row>
    <row r="556" spans="2:9" ht="14.25" customHeight="1" x14ac:dyDescent="0.3">
      <c r="B556" s="6" t="str">
        <f>IF(A556="","",COUNTIF(Chicks!$C:$C,A556))</f>
        <v/>
      </c>
      <c r="D556" s="6" t="str">
        <f>IF(A556="","",IFERROR(AVERAGEIF(Chicks!$C:$C,A556,Chicks!$K:$K),""))</f>
        <v/>
      </c>
      <c r="E556" s="6" t="str">
        <f>IF(A556="","",IFERROR(AVERAGEIF(Chicks!$C:$C,A556,Chicks!$L:$L),""))</f>
        <v/>
      </c>
      <c r="F556" s="6" t="str">
        <f>IF(A556="","",IFERROR(AVERAGEIF(Chicks!$C:$C,A556,Chicks!$M:$M),""))</f>
        <v/>
      </c>
      <c r="G556" s="6" t="str">
        <f>IF(A556="","",SUMIFS(Chicks!$N:$N,Chicks!$C:$C,A556))</f>
        <v/>
      </c>
      <c r="H556" s="6" t="str">
        <f>IF(A556="","",SUMIFS(Chicks!$O:$O,Chicks!$C:$C,A556))</f>
        <v/>
      </c>
      <c r="I556" s="6" t="str">
        <f>IF(A556="","",SUMIFS(Chicks!$P:$P,Chicks!$C:$C,A556))</f>
        <v/>
      </c>
    </row>
    <row r="557" spans="2:9" ht="14.25" customHeight="1" x14ac:dyDescent="0.3">
      <c r="B557" s="6" t="str">
        <f>IF(A557="","",COUNTIF(Chicks!$C:$C,A557))</f>
        <v/>
      </c>
      <c r="D557" s="6" t="str">
        <f>IF(A557="","",IFERROR(AVERAGEIF(Chicks!$C:$C,A557,Chicks!$K:$K),""))</f>
        <v/>
      </c>
      <c r="E557" s="6" t="str">
        <f>IF(A557="","",IFERROR(AVERAGEIF(Chicks!$C:$C,A557,Chicks!$L:$L),""))</f>
        <v/>
      </c>
      <c r="F557" s="6" t="str">
        <f>IF(A557="","",IFERROR(AVERAGEIF(Chicks!$C:$C,A557,Chicks!$M:$M),""))</f>
        <v/>
      </c>
      <c r="G557" s="6" t="str">
        <f>IF(A557="","",SUMIFS(Chicks!$N:$N,Chicks!$C:$C,A557))</f>
        <v/>
      </c>
      <c r="H557" s="6" t="str">
        <f>IF(A557="","",SUMIFS(Chicks!$O:$O,Chicks!$C:$C,A557))</f>
        <v/>
      </c>
      <c r="I557" s="6" t="str">
        <f>IF(A557="","",SUMIFS(Chicks!$P:$P,Chicks!$C:$C,A557))</f>
        <v/>
      </c>
    </row>
    <row r="558" spans="2:9" ht="14.25" customHeight="1" x14ac:dyDescent="0.3">
      <c r="B558" s="6" t="str">
        <f>IF(A558="","",COUNTIF(Chicks!$C:$C,A558))</f>
        <v/>
      </c>
      <c r="D558" s="6" t="str">
        <f>IF(A558="","",IFERROR(AVERAGEIF(Chicks!$C:$C,A558,Chicks!$K:$K),""))</f>
        <v/>
      </c>
      <c r="E558" s="6" t="str">
        <f>IF(A558="","",IFERROR(AVERAGEIF(Chicks!$C:$C,A558,Chicks!$L:$L),""))</f>
        <v/>
      </c>
      <c r="F558" s="6" t="str">
        <f>IF(A558="","",IFERROR(AVERAGEIF(Chicks!$C:$C,A558,Chicks!$M:$M),""))</f>
        <v/>
      </c>
      <c r="G558" s="6" t="str">
        <f>IF(A558="","",SUMIFS(Chicks!$N:$N,Chicks!$C:$C,A558))</f>
        <v/>
      </c>
      <c r="H558" s="6" t="str">
        <f>IF(A558="","",SUMIFS(Chicks!$O:$O,Chicks!$C:$C,A558))</f>
        <v/>
      </c>
      <c r="I558" s="6" t="str">
        <f>IF(A558="","",SUMIFS(Chicks!$P:$P,Chicks!$C:$C,A558))</f>
        <v/>
      </c>
    </row>
    <row r="559" spans="2:9" ht="14.25" customHeight="1" x14ac:dyDescent="0.3">
      <c r="B559" s="6" t="str">
        <f>IF(A559="","",COUNTIF(Chicks!$C:$C,A559))</f>
        <v/>
      </c>
      <c r="D559" s="6" t="str">
        <f>IF(A559="","",IFERROR(AVERAGEIF(Chicks!$C:$C,A559,Chicks!$K:$K),""))</f>
        <v/>
      </c>
      <c r="E559" s="6" t="str">
        <f>IF(A559="","",IFERROR(AVERAGEIF(Chicks!$C:$C,A559,Chicks!$L:$L),""))</f>
        <v/>
      </c>
      <c r="F559" s="6" t="str">
        <f>IF(A559="","",IFERROR(AVERAGEIF(Chicks!$C:$C,A559,Chicks!$M:$M),""))</f>
        <v/>
      </c>
      <c r="G559" s="6" t="str">
        <f>IF(A559="","",SUMIFS(Chicks!$N:$N,Chicks!$C:$C,A559))</f>
        <v/>
      </c>
      <c r="H559" s="6" t="str">
        <f>IF(A559="","",SUMIFS(Chicks!$O:$O,Chicks!$C:$C,A559))</f>
        <v/>
      </c>
      <c r="I559" s="6" t="str">
        <f>IF(A559="","",SUMIFS(Chicks!$P:$P,Chicks!$C:$C,A559))</f>
        <v/>
      </c>
    </row>
    <row r="560" spans="2:9" ht="14.25" customHeight="1" x14ac:dyDescent="0.3">
      <c r="B560" s="6" t="str">
        <f>IF(A560="","",COUNTIF(Chicks!$C:$C,A560))</f>
        <v/>
      </c>
      <c r="D560" s="6" t="str">
        <f>IF(A560="","",IFERROR(AVERAGEIF(Chicks!$C:$C,A560,Chicks!$K:$K),""))</f>
        <v/>
      </c>
      <c r="E560" s="6" t="str">
        <f>IF(A560="","",IFERROR(AVERAGEIF(Chicks!$C:$C,A560,Chicks!$L:$L),""))</f>
        <v/>
      </c>
      <c r="F560" s="6" t="str">
        <f>IF(A560="","",IFERROR(AVERAGEIF(Chicks!$C:$C,A560,Chicks!$M:$M),""))</f>
        <v/>
      </c>
      <c r="G560" s="6" t="str">
        <f>IF(A560="","",SUMIFS(Chicks!$N:$N,Chicks!$C:$C,A560))</f>
        <v/>
      </c>
      <c r="H560" s="6" t="str">
        <f>IF(A560="","",SUMIFS(Chicks!$O:$O,Chicks!$C:$C,A560))</f>
        <v/>
      </c>
      <c r="I560" s="6" t="str">
        <f>IF(A560="","",SUMIFS(Chicks!$P:$P,Chicks!$C:$C,A560))</f>
        <v/>
      </c>
    </row>
    <row r="561" spans="2:9" ht="14.25" customHeight="1" x14ac:dyDescent="0.3">
      <c r="B561" s="6" t="str">
        <f>IF(A561="","",COUNTIF(Chicks!$C:$C,A561))</f>
        <v/>
      </c>
      <c r="D561" s="6" t="str">
        <f>IF(A561="","",IFERROR(AVERAGEIF(Chicks!$C:$C,A561,Chicks!$K:$K),""))</f>
        <v/>
      </c>
      <c r="E561" s="6" t="str">
        <f>IF(A561="","",IFERROR(AVERAGEIF(Chicks!$C:$C,A561,Chicks!$L:$L),""))</f>
        <v/>
      </c>
      <c r="F561" s="6" t="str">
        <f>IF(A561="","",IFERROR(AVERAGEIF(Chicks!$C:$C,A561,Chicks!$M:$M),""))</f>
        <v/>
      </c>
      <c r="G561" s="6" t="str">
        <f>IF(A561="","",SUMIFS(Chicks!$N:$N,Chicks!$C:$C,A561))</f>
        <v/>
      </c>
      <c r="H561" s="6" t="str">
        <f>IF(A561="","",SUMIFS(Chicks!$O:$O,Chicks!$C:$C,A561))</f>
        <v/>
      </c>
      <c r="I561" s="6" t="str">
        <f>IF(A561="","",SUMIFS(Chicks!$P:$P,Chicks!$C:$C,A561))</f>
        <v/>
      </c>
    </row>
    <row r="562" spans="2:9" ht="14.25" customHeight="1" x14ac:dyDescent="0.3">
      <c r="B562" s="6" t="str">
        <f>IF(A562="","",COUNTIF(Chicks!$C:$C,A562))</f>
        <v/>
      </c>
      <c r="D562" s="6" t="str">
        <f>IF(A562="","",IFERROR(AVERAGEIF(Chicks!$C:$C,A562,Chicks!$K:$K),""))</f>
        <v/>
      </c>
      <c r="E562" s="6" t="str">
        <f>IF(A562="","",IFERROR(AVERAGEIF(Chicks!$C:$C,A562,Chicks!$L:$L),""))</f>
        <v/>
      </c>
      <c r="F562" s="6" t="str">
        <f>IF(A562="","",IFERROR(AVERAGEIF(Chicks!$C:$C,A562,Chicks!$M:$M),""))</f>
        <v/>
      </c>
      <c r="G562" s="6" t="str">
        <f>IF(A562="","",SUMIFS(Chicks!$N:$N,Chicks!$C:$C,A562))</f>
        <v/>
      </c>
      <c r="H562" s="6" t="str">
        <f>IF(A562="","",SUMIFS(Chicks!$O:$O,Chicks!$C:$C,A562))</f>
        <v/>
      </c>
      <c r="I562" s="6" t="str">
        <f>IF(A562="","",SUMIFS(Chicks!$P:$P,Chicks!$C:$C,A562))</f>
        <v/>
      </c>
    </row>
    <row r="563" spans="2:9" ht="14.25" customHeight="1" x14ac:dyDescent="0.3">
      <c r="B563" s="6" t="str">
        <f>IF(A563="","",COUNTIF(Chicks!$C:$C,A563))</f>
        <v/>
      </c>
      <c r="D563" s="6" t="str">
        <f>IF(A563="","",IFERROR(AVERAGEIF(Chicks!$C:$C,A563,Chicks!$K:$K),""))</f>
        <v/>
      </c>
      <c r="E563" s="6" t="str">
        <f>IF(A563="","",IFERROR(AVERAGEIF(Chicks!$C:$C,A563,Chicks!$L:$L),""))</f>
        <v/>
      </c>
      <c r="F563" s="6" t="str">
        <f>IF(A563="","",IFERROR(AVERAGEIF(Chicks!$C:$C,A563,Chicks!$M:$M),""))</f>
        <v/>
      </c>
      <c r="G563" s="6" t="str">
        <f>IF(A563="","",SUMIFS(Chicks!$N:$N,Chicks!$C:$C,A563))</f>
        <v/>
      </c>
      <c r="H563" s="6" t="str">
        <f>IF(A563="","",SUMIFS(Chicks!$O:$O,Chicks!$C:$C,A563))</f>
        <v/>
      </c>
      <c r="I563" s="6" t="str">
        <f>IF(A563="","",SUMIFS(Chicks!$P:$P,Chicks!$C:$C,A563))</f>
        <v/>
      </c>
    </row>
    <row r="564" spans="2:9" ht="14.25" customHeight="1" x14ac:dyDescent="0.3">
      <c r="B564" s="6" t="str">
        <f>IF(A564="","",COUNTIF(Chicks!$C:$C,A564))</f>
        <v/>
      </c>
      <c r="D564" s="6" t="str">
        <f>IF(A564="","",IFERROR(AVERAGEIF(Chicks!$C:$C,A564,Chicks!$K:$K),""))</f>
        <v/>
      </c>
      <c r="E564" s="6" t="str">
        <f>IF(A564="","",IFERROR(AVERAGEIF(Chicks!$C:$C,A564,Chicks!$L:$L),""))</f>
        <v/>
      </c>
      <c r="F564" s="6" t="str">
        <f>IF(A564="","",IFERROR(AVERAGEIF(Chicks!$C:$C,A564,Chicks!$M:$M),""))</f>
        <v/>
      </c>
      <c r="G564" s="6" t="str">
        <f>IF(A564="","",SUMIFS(Chicks!$N:$N,Chicks!$C:$C,A564))</f>
        <v/>
      </c>
      <c r="H564" s="6" t="str">
        <f>IF(A564="","",SUMIFS(Chicks!$O:$O,Chicks!$C:$C,A564))</f>
        <v/>
      </c>
      <c r="I564" s="6" t="str">
        <f>IF(A564="","",SUMIFS(Chicks!$P:$P,Chicks!$C:$C,A564))</f>
        <v/>
      </c>
    </row>
    <row r="565" spans="2:9" ht="14.25" customHeight="1" x14ac:dyDescent="0.3">
      <c r="B565" s="6" t="str">
        <f>IF(A565="","",COUNTIF(Chicks!$C:$C,A565))</f>
        <v/>
      </c>
      <c r="D565" s="6" t="str">
        <f>IF(A565="","",IFERROR(AVERAGEIF(Chicks!$C:$C,A565,Chicks!$K:$K),""))</f>
        <v/>
      </c>
      <c r="E565" s="6" t="str">
        <f>IF(A565="","",IFERROR(AVERAGEIF(Chicks!$C:$C,A565,Chicks!$L:$L),""))</f>
        <v/>
      </c>
      <c r="F565" s="6" t="str">
        <f>IF(A565="","",IFERROR(AVERAGEIF(Chicks!$C:$C,A565,Chicks!$M:$M),""))</f>
        <v/>
      </c>
      <c r="G565" s="6" t="str">
        <f>IF(A565="","",SUMIFS(Chicks!$N:$N,Chicks!$C:$C,A565))</f>
        <v/>
      </c>
      <c r="H565" s="6" t="str">
        <f>IF(A565="","",SUMIFS(Chicks!$O:$O,Chicks!$C:$C,A565))</f>
        <v/>
      </c>
      <c r="I565" s="6" t="str">
        <f>IF(A565="","",SUMIFS(Chicks!$P:$P,Chicks!$C:$C,A565))</f>
        <v/>
      </c>
    </row>
    <row r="566" spans="2:9" ht="14.25" customHeight="1" x14ac:dyDescent="0.3">
      <c r="B566" s="6" t="str">
        <f>IF(A566="","",COUNTIF(Chicks!$C:$C,A566))</f>
        <v/>
      </c>
      <c r="D566" s="6" t="str">
        <f>IF(A566="","",IFERROR(AVERAGEIF(Chicks!$C:$C,A566,Chicks!$K:$K),""))</f>
        <v/>
      </c>
      <c r="E566" s="6" t="str">
        <f>IF(A566="","",IFERROR(AVERAGEIF(Chicks!$C:$C,A566,Chicks!$L:$L),""))</f>
        <v/>
      </c>
      <c r="F566" s="6" t="str">
        <f>IF(A566="","",IFERROR(AVERAGEIF(Chicks!$C:$C,A566,Chicks!$M:$M),""))</f>
        <v/>
      </c>
      <c r="G566" s="6" t="str">
        <f>IF(A566="","",SUMIFS(Chicks!$N:$N,Chicks!$C:$C,A566))</f>
        <v/>
      </c>
      <c r="H566" s="6" t="str">
        <f>IF(A566="","",SUMIFS(Chicks!$O:$O,Chicks!$C:$C,A566))</f>
        <v/>
      </c>
      <c r="I566" s="6" t="str">
        <f>IF(A566="","",SUMIFS(Chicks!$P:$P,Chicks!$C:$C,A566))</f>
        <v/>
      </c>
    </row>
    <row r="567" spans="2:9" ht="14.25" customHeight="1" x14ac:dyDescent="0.3">
      <c r="B567" s="6" t="str">
        <f>IF(A567="","",COUNTIF(Chicks!$C:$C,A567))</f>
        <v/>
      </c>
      <c r="D567" s="6" t="str">
        <f>IF(A567="","",IFERROR(AVERAGEIF(Chicks!$C:$C,A567,Chicks!$K:$K),""))</f>
        <v/>
      </c>
      <c r="E567" s="6" t="str">
        <f>IF(A567="","",IFERROR(AVERAGEIF(Chicks!$C:$C,A567,Chicks!$L:$L),""))</f>
        <v/>
      </c>
      <c r="F567" s="6" t="str">
        <f>IF(A567="","",IFERROR(AVERAGEIF(Chicks!$C:$C,A567,Chicks!$M:$M),""))</f>
        <v/>
      </c>
      <c r="G567" s="6" t="str">
        <f>IF(A567="","",SUMIFS(Chicks!$N:$N,Chicks!$C:$C,A567))</f>
        <v/>
      </c>
      <c r="H567" s="6" t="str">
        <f>IF(A567="","",SUMIFS(Chicks!$O:$O,Chicks!$C:$C,A567))</f>
        <v/>
      </c>
      <c r="I567" s="6" t="str">
        <f>IF(A567="","",SUMIFS(Chicks!$P:$P,Chicks!$C:$C,A567))</f>
        <v/>
      </c>
    </row>
    <row r="568" spans="2:9" ht="14.25" customHeight="1" x14ac:dyDescent="0.3">
      <c r="B568" s="6" t="str">
        <f>IF(A568="","",COUNTIF(Chicks!$C:$C,A568))</f>
        <v/>
      </c>
      <c r="D568" s="6" t="str">
        <f>IF(A568="","",IFERROR(AVERAGEIF(Chicks!$C:$C,A568,Chicks!$K:$K),""))</f>
        <v/>
      </c>
      <c r="E568" s="6" t="str">
        <f>IF(A568="","",IFERROR(AVERAGEIF(Chicks!$C:$C,A568,Chicks!$L:$L),""))</f>
        <v/>
      </c>
      <c r="F568" s="6" t="str">
        <f>IF(A568="","",IFERROR(AVERAGEIF(Chicks!$C:$C,A568,Chicks!$M:$M),""))</f>
        <v/>
      </c>
      <c r="G568" s="6" t="str">
        <f>IF(A568="","",SUMIFS(Chicks!$N:$N,Chicks!$C:$C,A568))</f>
        <v/>
      </c>
      <c r="H568" s="6" t="str">
        <f>IF(A568="","",SUMIFS(Chicks!$O:$O,Chicks!$C:$C,A568))</f>
        <v/>
      </c>
      <c r="I568" s="6" t="str">
        <f>IF(A568="","",SUMIFS(Chicks!$P:$P,Chicks!$C:$C,A568))</f>
        <v/>
      </c>
    </row>
    <row r="569" spans="2:9" ht="14.25" customHeight="1" x14ac:dyDescent="0.3">
      <c r="B569" s="6" t="str">
        <f>IF(A569="","",COUNTIF(Chicks!$C:$C,A569))</f>
        <v/>
      </c>
      <c r="D569" s="6" t="str">
        <f>IF(A569="","",IFERROR(AVERAGEIF(Chicks!$C:$C,A569,Chicks!$K:$K),""))</f>
        <v/>
      </c>
      <c r="E569" s="6" t="str">
        <f>IF(A569="","",IFERROR(AVERAGEIF(Chicks!$C:$C,A569,Chicks!$L:$L),""))</f>
        <v/>
      </c>
      <c r="F569" s="6" t="str">
        <f>IF(A569="","",IFERROR(AVERAGEIF(Chicks!$C:$C,A569,Chicks!$M:$M),""))</f>
        <v/>
      </c>
      <c r="G569" s="6" t="str">
        <f>IF(A569="","",SUMIFS(Chicks!$N:$N,Chicks!$C:$C,A569))</f>
        <v/>
      </c>
      <c r="H569" s="6" t="str">
        <f>IF(A569="","",SUMIFS(Chicks!$O:$O,Chicks!$C:$C,A569))</f>
        <v/>
      </c>
      <c r="I569" s="6" t="str">
        <f>IF(A569="","",SUMIFS(Chicks!$P:$P,Chicks!$C:$C,A569))</f>
        <v/>
      </c>
    </row>
    <row r="570" spans="2:9" ht="14.25" customHeight="1" x14ac:dyDescent="0.3">
      <c r="B570" s="6" t="str">
        <f>IF(A570="","",COUNTIF(Chicks!$C:$C,A570))</f>
        <v/>
      </c>
      <c r="D570" s="6" t="str">
        <f>IF(A570="","",IFERROR(AVERAGEIF(Chicks!$C:$C,A570,Chicks!$K:$K),""))</f>
        <v/>
      </c>
      <c r="E570" s="6" t="str">
        <f>IF(A570="","",IFERROR(AVERAGEIF(Chicks!$C:$C,A570,Chicks!$L:$L),""))</f>
        <v/>
      </c>
      <c r="F570" s="6" t="str">
        <f>IF(A570="","",IFERROR(AVERAGEIF(Chicks!$C:$C,A570,Chicks!$M:$M),""))</f>
        <v/>
      </c>
      <c r="G570" s="6" t="str">
        <f>IF(A570="","",SUMIFS(Chicks!$N:$N,Chicks!$C:$C,A570))</f>
        <v/>
      </c>
      <c r="H570" s="6" t="str">
        <f>IF(A570="","",SUMIFS(Chicks!$O:$O,Chicks!$C:$C,A570))</f>
        <v/>
      </c>
      <c r="I570" s="6" t="str">
        <f>IF(A570="","",SUMIFS(Chicks!$P:$P,Chicks!$C:$C,A570))</f>
        <v/>
      </c>
    </row>
    <row r="571" spans="2:9" ht="14.25" customHeight="1" x14ac:dyDescent="0.3">
      <c r="B571" s="6" t="str">
        <f>IF(A571="","",COUNTIF(Chicks!$C:$C,A571))</f>
        <v/>
      </c>
      <c r="D571" s="6" t="str">
        <f>IF(A571="","",IFERROR(AVERAGEIF(Chicks!$C:$C,A571,Chicks!$K:$K),""))</f>
        <v/>
      </c>
      <c r="E571" s="6" t="str">
        <f>IF(A571="","",IFERROR(AVERAGEIF(Chicks!$C:$C,A571,Chicks!$L:$L),""))</f>
        <v/>
      </c>
      <c r="F571" s="6" t="str">
        <f>IF(A571="","",IFERROR(AVERAGEIF(Chicks!$C:$C,A571,Chicks!$M:$M),""))</f>
        <v/>
      </c>
      <c r="G571" s="6" t="str">
        <f>IF(A571="","",SUMIFS(Chicks!$N:$N,Chicks!$C:$C,A571))</f>
        <v/>
      </c>
      <c r="H571" s="6" t="str">
        <f>IF(A571="","",SUMIFS(Chicks!$O:$O,Chicks!$C:$C,A571))</f>
        <v/>
      </c>
      <c r="I571" s="6" t="str">
        <f>IF(A571="","",SUMIFS(Chicks!$P:$P,Chicks!$C:$C,A571))</f>
        <v/>
      </c>
    </row>
    <row r="572" spans="2:9" ht="14.25" customHeight="1" x14ac:dyDescent="0.3">
      <c r="B572" s="6" t="str">
        <f>IF(A572="","",COUNTIF(Chicks!$C:$C,A572))</f>
        <v/>
      </c>
      <c r="D572" s="6" t="str">
        <f>IF(A572="","",IFERROR(AVERAGEIF(Chicks!$C:$C,A572,Chicks!$K:$K),""))</f>
        <v/>
      </c>
      <c r="E572" s="6" t="str">
        <f>IF(A572="","",IFERROR(AVERAGEIF(Chicks!$C:$C,A572,Chicks!$L:$L),""))</f>
        <v/>
      </c>
      <c r="F572" s="6" t="str">
        <f>IF(A572="","",IFERROR(AVERAGEIF(Chicks!$C:$C,A572,Chicks!$M:$M),""))</f>
        <v/>
      </c>
      <c r="G572" s="6" t="str">
        <f>IF(A572="","",SUMIFS(Chicks!$N:$N,Chicks!$C:$C,A572))</f>
        <v/>
      </c>
      <c r="H572" s="6" t="str">
        <f>IF(A572="","",SUMIFS(Chicks!$O:$O,Chicks!$C:$C,A572))</f>
        <v/>
      </c>
      <c r="I572" s="6" t="str">
        <f>IF(A572="","",SUMIFS(Chicks!$P:$P,Chicks!$C:$C,A572))</f>
        <v/>
      </c>
    </row>
    <row r="573" spans="2:9" ht="14.25" customHeight="1" x14ac:dyDescent="0.3">
      <c r="B573" s="6" t="str">
        <f>IF(A573="","",COUNTIF(Chicks!$C:$C,A573))</f>
        <v/>
      </c>
      <c r="D573" s="6" t="str">
        <f>IF(A573="","",IFERROR(AVERAGEIF(Chicks!$C:$C,A573,Chicks!$K:$K),""))</f>
        <v/>
      </c>
      <c r="E573" s="6" t="str">
        <f>IF(A573="","",IFERROR(AVERAGEIF(Chicks!$C:$C,A573,Chicks!$L:$L),""))</f>
        <v/>
      </c>
      <c r="F573" s="6" t="str">
        <f>IF(A573="","",IFERROR(AVERAGEIF(Chicks!$C:$C,A573,Chicks!$M:$M),""))</f>
        <v/>
      </c>
      <c r="G573" s="6" t="str">
        <f>IF(A573="","",SUMIFS(Chicks!$N:$N,Chicks!$C:$C,A573))</f>
        <v/>
      </c>
      <c r="H573" s="6" t="str">
        <f>IF(A573="","",SUMIFS(Chicks!$O:$O,Chicks!$C:$C,A573))</f>
        <v/>
      </c>
      <c r="I573" s="6" t="str">
        <f>IF(A573="","",SUMIFS(Chicks!$P:$P,Chicks!$C:$C,A573))</f>
        <v/>
      </c>
    </row>
    <row r="574" spans="2:9" ht="14.25" customHeight="1" x14ac:dyDescent="0.3">
      <c r="B574" s="6" t="str">
        <f>IF(A574="","",COUNTIF(Chicks!$C:$C,A574))</f>
        <v/>
      </c>
      <c r="D574" s="6" t="str">
        <f>IF(A574="","",IFERROR(AVERAGEIF(Chicks!$C:$C,A574,Chicks!$K:$K),""))</f>
        <v/>
      </c>
      <c r="E574" s="6" t="str">
        <f>IF(A574="","",IFERROR(AVERAGEIF(Chicks!$C:$C,A574,Chicks!$L:$L),""))</f>
        <v/>
      </c>
      <c r="F574" s="6" t="str">
        <f>IF(A574="","",IFERROR(AVERAGEIF(Chicks!$C:$C,A574,Chicks!$M:$M),""))</f>
        <v/>
      </c>
      <c r="G574" s="6" t="str">
        <f>IF(A574="","",SUMIFS(Chicks!$N:$N,Chicks!$C:$C,A574))</f>
        <v/>
      </c>
      <c r="H574" s="6" t="str">
        <f>IF(A574="","",SUMIFS(Chicks!$O:$O,Chicks!$C:$C,A574))</f>
        <v/>
      </c>
      <c r="I574" s="6" t="str">
        <f>IF(A574="","",SUMIFS(Chicks!$P:$P,Chicks!$C:$C,A574))</f>
        <v/>
      </c>
    </row>
    <row r="575" spans="2:9" ht="14.25" customHeight="1" x14ac:dyDescent="0.3">
      <c r="B575" s="6" t="str">
        <f>IF(A575="","",COUNTIF(Chicks!$C:$C,A575))</f>
        <v/>
      </c>
      <c r="D575" s="6" t="str">
        <f>IF(A575="","",IFERROR(AVERAGEIF(Chicks!$C:$C,A575,Chicks!$K:$K),""))</f>
        <v/>
      </c>
      <c r="E575" s="6" t="str">
        <f>IF(A575="","",IFERROR(AVERAGEIF(Chicks!$C:$C,A575,Chicks!$L:$L),""))</f>
        <v/>
      </c>
      <c r="F575" s="6" t="str">
        <f>IF(A575="","",IFERROR(AVERAGEIF(Chicks!$C:$C,A575,Chicks!$M:$M),""))</f>
        <v/>
      </c>
      <c r="G575" s="6" t="str">
        <f>IF(A575="","",SUMIFS(Chicks!$N:$N,Chicks!$C:$C,A575))</f>
        <v/>
      </c>
      <c r="H575" s="6" t="str">
        <f>IF(A575="","",SUMIFS(Chicks!$O:$O,Chicks!$C:$C,A575))</f>
        <v/>
      </c>
      <c r="I575" s="6" t="str">
        <f>IF(A575="","",SUMIFS(Chicks!$P:$P,Chicks!$C:$C,A575))</f>
        <v/>
      </c>
    </row>
    <row r="576" spans="2:9" ht="14.25" customHeight="1" x14ac:dyDescent="0.3">
      <c r="B576" s="6" t="str">
        <f>IF(A576="","",COUNTIF(Chicks!$C:$C,A576))</f>
        <v/>
      </c>
      <c r="D576" s="6" t="str">
        <f>IF(A576="","",IFERROR(AVERAGEIF(Chicks!$C:$C,A576,Chicks!$K:$K),""))</f>
        <v/>
      </c>
      <c r="E576" s="6" t="str">
        <f>IF(A576="","",IFERROR(AVERAGEIF(Chicks!$C:$C,A576,Chicks!$L:$L),""))</f>
        <v/>
      </c>
      <c r="F576" s="6" t="str">
        <f>IF(A576="","",IFERROR(AVERAGEIF(Chicks!$C:$C,A576,Chicks!$M:$M),""))</f>
        <v/>
      </c>
      <c r="G576" s="6" t="str">
        <f>IF(A576="","",SUMIFS(Chicks!$N:$N,Chicks!$C:$C,A576))</f>
        <v/>
      </c>
      <c r="H576" s="6" t="str">
        <f>IF(A576="","",SUMIFS(Chicks!$O:$O,Chicks!$C:$C,A576))</f>
        <v/>
      </c>
      <c r="I576" s="6" t="str">
        <f>IF(A576="","",SUMIFS(Chicks!$P:$P,Chicks!$C:$C,A576))</f>
        <v/>
      </c>
    </row>
    <row r="577" spans="2:9" ht="14.25" customHeight="1" x14ac:dyDescent="0.3">
      <c r="B577" s="6" t="str">
        <f>IF(A577="","",COUNTIF(Chicks!$C:$C,A577))</f>
        <v/>
      </c>
      <c r="D577" s="6" t="str">
        <f>IF(A577="","",IFERROR(AVERAGEIF(Chicks!$C:$C,A577,Chicks!$K:$K),""))</f>
        <v/>
      </c>
      <c r="E577" s="6" t="str">
        <f>IF(A577="","",IFERROR(AVERAGEIF(Chicks!$C:$C,A577,Chicks!$L:$L),""))</f>
        <v/>
      </c>
      <c r="F577" s="6" t="str">
        <f>IF(A577="","",IFERROR(AVERAGEIF(Chicks!$C:$C,A577,Chicks!$M:$M),""))</f>
        <v/>
      </c>
      <c r="G577" s="6" t="str">
        <f>IF(A577="","",SUMIFS(Chicks!$N:$N,Chicks!$C:$C,A577))</f>
        <v/>
      </c>
      <c r="H577" s="6" t="str">
        <f>IF(A577="","",SUMIFS(Chicks!$O:$O,Chicks!$C:$C,A577))</f>
        <v/>
      </c>
      <c r="I577" s="6" t="str">
        <f>IF(A577="","",SUMIFS(Chicks!$P:$P,Chicks!$C:$C,A577))</f>
        <v/>
      </c>
    </row>
    <row r="578" spans="2:9" ht="14.25" customHeight="1" x14ac:dyDescent="0.3">
      <c r="B578" s="6" t="str">
        <f>IF(A578="","",COUNTIF(Chicks!$C:$C,A578))</f>
        <v/>
      </c>
      <c r="D578" s="6" t="str">
        <f>IF(A578="","",IFERROR(AVERAGEIF(Chicks!$C:$C,A578,Chicks!$K:$K),""))</f>
        <v/>
      </c>
      <c r="E578" s="6" t="str">
        <f>IF(A578="","",IFERROR(AVERAGEIF(Chicks!$C:$C,A578,Chicks!$L:$L),""))</f>
        <v/>
      </c>
      <c r="F578" s="6" t="str">
        <f>IF(A578="","",IFERROR(AVERAGEIF(Chicks!$C:$C,A578,Chicks!$M:$M),""))</f>
        <v/>
      </c>
      <c r="G578" s="6" t="str">
        <f>IF(A578="","",SUMIFS(Chicks!$N:$N,Chicks!$C:$C,A578))</f>
        <v/>
      </c>
      <c r="H578" s="6" t="str">
        <f>IF(A578="","",SUMIFS(Chicks!$O:$O,Chicks!$C:$C,A578))</f>
        <v/>
      </c>
      <c r="I578" s="6" t="str">
        <f>IF(A578="","",SUMIFS(Chicks!$P:$P,Chicks!$C:$C,A578))</f>
        <v/>
      </c>
    </row>
    <row r="579" spans="2:9" ht="14.25" customHeight="1" x14ac:dyDescent="0.3">
      <c r="B579" s="6" t="str">
        <f>IF(A579="","",COUNTIF(Chicks!$C:$C,A579))</f>
        <v/>
      </c>
      <c r="D579" s="6" t="str">
        <f>IF(A579="","",IFERROR(AVERAGEIF(Chicks!$C:$C,A579,Chicks!$K:$K),""))</f>
        <v/>
      </c>
      <c r="E579" s="6" t="str">
        <f>IF(A579="","",IFERROR(AVERAGEIF(Chicks!$C:$C,A579,Chicks!$L:$L),""))</f>
        <v/>
      </c>
      <c r="F579" s="6" t="str">
        <f>IF(A579="","",IFERROR(AVERAGEIF(Chicks!$C:$C,A579,Chicks!$M:$M),""))</f>
        <v/>
      </c>
      <c r="G579" s="6" t="str">
        <f>IF(A579="","",SUMIFS(Chicks!$N:$N,Chicks!$C:$C,A579))</f>
        <v/>
      </c>
      <c r="H579" s="6" t="str">
        <f>IF(A579="","",SUMIFS(Chicks!$O:$O,Chicks!$C:$C,A579))</f>
        <v/>
      </c>
      <c r="I579" s="6" t="str">
        <f>IF(A579="","",SUMIFS(Chicks!$P:$P,Chicks!$C:$C,A579))</f>
        <v/>
      </c>
    </row>
    <row r="580" spans="2:9" ht="14.25" customHeight="1" x14ac:dyDescent="0.3">
      <c r="B580" s="6" t="str">
        <f>IF(A580="","",COUNTIF(Chicks!$C:$C,A580))</f>
        <v/>
      </c>
      <c r="D580" s="6" t="str">
        <f>IF(A580="","",IFERROR(AVERAGEIF(Chicks!$C:$C,A580,Chicks!$K:$K),""))</f>
        <v/>
      </c>
      <c r="E580" s="6" t="str">
        <f>IF(A580="","",IFERROR(AVERAGEIF(Chicks!$C:$C,A580,Chicks!$L:$L),""))</f>
        <v/>
      </c>
      <c r="F580" s="6" t="str">
        <f>IF(A580="","",IFERROR(AVERAGEIF(Chicks!$C:$C,A580,Chicks!$M:$M),""))</f>
        <v/>
      </c>
      <c r="G580" s="6" t="str">
        <f>IF(A580="","",SUMIFS(Chicks!$N:$N,Chicks!$C:$C,A580))</f>
        <v/>
      </c>
      <c r="H580" s="6" t="str">
        <f>IF(A580="","",SUMIFS(Chicks!$O:$O,Chicks!$C:$C,A580))</f>
        <v/>
      </c>
      <c r="I580" s="6" t="str">
        <f>IF(A580="","",SUMIFS(Chicks!$P:$P,Chicks!$C:$C,A580))</f>
        <v/>
      </c>
    </row>
    <row r="581" spans="2:9" ht="14.25" customHeight="1" x14ac:dyDescent="0.3">
      <c r="B581" s="6" t="str">
        <f>IF(A581="","",COUNTIF(Chicks!$C:$C,A581))</f>
        <v/>
      </c>
      <c r="D581" s="6" t="str">
        <f>IF(A581="","",IFERROR(AVERAGEIF(Chicks!$C:$C,A581,Chicks!$K:$K),""))</f>
        <v/>
      </c>
      <c r="E581" s="6" t="str">
        <f>IF(A581="","",IFERROR(AVERAGEIF(Chicks!$C:$C,A581,Chicks!$L:$L),""))</f>
        <v/>
      </c>
      <c r="F581" s="6" t="str">
        <f>IF(A581="","",IFERROR(AVERAGEIF(Chicks!$C:$C,A581,Chicks!$M:$M),""))</f>
        <v/>
      </c>
      <c r="G581" s="6" t="str">
        <f>IF(A581="","",SUMIFS(Chicks!$N:$N,Chicks!$C:$C,A581))</f>
        <v/>
      </c>
      <c r="H581" s="6" t="str">
        <f>IF(A581="","",SUMIFS(Chicks!$O:$O,Chicks!$C:$C,A581))</f>
        <v/>
      </c>
      <c r="I581" s="6" t="str">
        <f>IF(A581="","",SUMIFS(Chicks!$P:$P,Chicks!$C:$C,A581))</f>
        <v/>
      </c>
    </row>
    <row r="582" spans="2:9" ht="14.25" customHeight="1" x14ac:dyDescent="0.3">
      <c r="B582" s="6" t="str">
        <f>IF(A582="","",COUNTIF(Chicks!$C:$C,A582))</f>
        <v/>
      </c>
      <c r="D582" s="6" t="str">
        <f>IF(A582="","",IFERROR(AVERAGEIF(Chicks!$C:$C,A582,Chicks!$K:$K),""))</f>
        <v/>
      </c>
      <c r="E582" s="6" t="str">
        <f>IF(A582="","",IFERROR(AVERAGEIF(Chicks!$C:$C,A582,Chicks!$L:$L),""))</f>
        <v/>
      </c>
      <c r="F582" s="6" t="str">
        <f>IF(A582="","",IFERROR(AVERAGEIF(Chicks!$C:$C,A582,Chicks!$M:$M),""))</f>
        <v/>
      </c>
      <c r="G582" s="6" t="str">
        <f>IF(A582="","",SUMIFS(Chicks!$N:$N,Chicks!$C:$C,A582))</f>
        <v/>
      </c>
      <c r="H582" s="6" t="str">
        <f>IF(A582="","",SUMIFS(Chicks!$O:$O,Chicks!$C:$C,A582))</f>
        <v/>
      </c>
      <c r="I582" s="6" t="str">
        <f>IF(A582="","",SUMIFS(Chicks!$P:$P,Chicks!$C:$C,A582))</f>
        <v/>
      </c>
    </row>
    <row r="583" spans="2:9" ht="14.25" customHeight="1" x14ac:dyDescent="0.3">
      <c r="B583" s="6" t="str">
        <f>IF(A583="","",COUNTIF(Chicks!$C:$C,A583))</f>
        <v/>
      </c>
      <c r="D583" s="6" t="str">
        <f>IF(A583="","",IFERROR(AVERAGEIF(Chicks!$C:$C,A583,Chicks!$K:$K),""))</f>
        <v/>
      </c>
      <c r="E583" s="6" t="str">
        <f>IF(A583="","",IFERROR(AVERAGEIF(Chicks!$C:$C,A583,Chicks!$L:$L),""))</f>
        <v/>
      </c>
      <c r="F583" s="6" t="str">
        <f>IF(A583="","",IFERROR(AVERAGEIF(Chicks!$C:$C,A583,Chicks!$M:$M),""))</f>
        <v/>
      </c>
      <c r="G583" s="6" t="str">
        <f>IF(A583="","",SUMIFS(Chicks!$N:$N,Chicks!$C:$C,A583))</f>
        <v/>
      </c>
      <c r="H583" s="6" t="str">
        <f>IF(A583="","",SUMIFS(Chicks!$O:$O,Chicks!$C:$C,A583))</f>
        <v/>
      </c>
      <c r="I583" s="6" t="str">
        <f>IF(A583="","",SUMIFS(Chicks!$P:$P,Chicks!$C:$C,A583))</f>
        <v/>
      </c>
    </row>
    <row r="584" spans="2:9" ht="14.25" customHeight="1" x14ac:dyDescent="0.3">
      <c r="B584" s="6" t="str">
        <f>IF(A584="","",COUNTIF(Chicks!$C:$C,A584))</f>
        <v/>
      </c>
      <c r="D584" s="6" t="str">
        <f>IF(A584="","",IFERROR(AVERAGEIF(Chicks!$C:$C,A584,Chicks!$K:$K),""))</f>
        <v/>
      </c>
      <c r="E584" s="6" t="str">
        <f>IF(A584="","",IFERROR(AVERAGEIF(Chicks!$C:$C,A584,Chicks!$L:$L),""))</f>
        <v/>
      </c>
      <c r="F584" s="6" t="str">
        <f>IF(A584="","",IFERROR(AVERAGEIF(Chicks!$C:$C,A584,Chicks!$M:$M),""))</f>
        <v/>
      </c>
      <c r="G584" s="6" t="str">
        <f>IF(A584="","",SUMIFS(Chicks!$N:$N,Chicks!$C:$C,A584))</f>
        <v/>
      </c>
      <c r="H584" s="6" t="str">
        <f>IF(A584="","",SUMIFS(Chicks!$O:$O,Chicks!$C:$C,A584))</f>
        <v/>
      </c>
      <c r="I584" s="6" t="str">
        <f>IF(A584="","",SUMIFS(Chicks!$P:$P,Chicks!$C:$C,A584))</f>
        <v/>
      </c>
    </row>
    <row r="585" spans="2:9" ht="14.25" customHeight="1" x14ac:dyDescent="0.3">
      <c r="B585" s="6" t="str">
        <f>IF(A585="","",COUNTIF(Chicks!$C:$C,A585))</f>
        <v/>
      </c>
      <c r="D585" s="6" t="str">
        <f>IF(A585="","",IFERROR(AVERAGEIF(Chicks!$C:$C,A585,Chicks!$K:$K),""))</f>
        <v/>
      </c>
      <c r="E585" s="6" t="str">
        <f>IF(A585="","",IFERROR(AVERAGEIF(Chicks!$C:$C,A585,Chicks!$L:$L),""))</f>
        <v/>
      </c>
      <c r="F585" s="6" t="str">
        <f>IF(A585="","",IFERROR(AVERAGEIF(Chicks!$C:$C,A585,Chicks!$M:$M),""))</f>
        <v/>
      </c>
      <c r="G585" s="6" t="str">
        <f>IF(A585="","",SUMIFS(Chicks!$N:$N,Chicks!$C:$C,A585))</f>
        <v/>
      </c>
      <c r="H585" s="6" t="str">
        <f>IF(A585="","",SUMIFS(Chicks!$O:$O,Chicks!$C:$C,A585))</f>
        <v/>
      </c>
      <c r="I585" s="6" t="str">
        <f>IF(A585="","",SUMIFS(Chicks!$P:$P,Chicks!$C:$C,A585))</f>
        <v/>
      </c>
    </row>
    <row r="586" spans="2:9" ht="14.25" customHeight="1" x14ac:dyDescent="0.3">
      <c r="B586" s="6" t="str">
        <f>IF(A586="","",COUNTIF(Chicks!$C:$C,A586))</f>
        <v/>
      </c>
      <c r="D586" s="6" t="str">
        <f>IF(A586="","",IFERROR(AVERAGEIF(Chicks!$C:$C,A586,Chicks!$K:$K),""))</f>
        <v/>
      </c>
      <c r="E586" s="6" t="str">
        <f>IF(A586="","",IFERROR(AVERAGEIF(Chicks!$C:$C,A586,Chicks!$L:$L),""))</f>
        <v/>
      </c>
      <c r="F586" s="6" t="str">
        <f>IF(A586="","",IFERROR(AVERAGEIF(Chicks!$C:$C,A586,Chicks!$M:$M),""))</f>
        <v/>
      </c>
      <c r="G586" s="6" t="str">
        <f>IF(A586="","",SUMIFS(Chicks!$N:$N,Chicks!$C:$C,A586))</f>
        <v/>
      </c>
      <c r="H586" s="6" t="str">
        <f>IF(A586="","",SUMIFS(Chicks!$O:$O,Chicks!$C:$C,A586))</f>
        <v/>
      </c>
      <c r="I586" s="6" t="str">
        <f>IF(A586="","",SUMIFS(Chicks!$P:$P,Chicks!$C:$C,A586))</f>
        <v/>
      </c>
    </row>
    <row r="587" spans="2:9" ht="14.25" customHeight="1" x14ac:dyDescent="0.3">
      <c r="B587" s="6" t="str">
        <f>IF(A587="","",COUNTIF(Chicks!$C:$C,A587))</f>
        <v/>
      </c>
      <c r="D587" s="6" t="str">
        <f>IF(A587="","",IFERROR(AVERAGEIF(Chicks!$C:$C,A587,Chicks!$K:$K),""))</f>
        <v/>
      </c>
      <c r="E587" s="6" t="str">
        <f>IF(A587="","",IFERROR(AVERAGEIF(Chicks!$C:$C,A587,Chicks!$L:$L),""))</f>
        <v/>
      </c>
      <c r="F587" s="6" t="str">
        <f>IF(A587="","",IFERROR(AVERAGEIF(Chicks!$C:$C,A587,Chicks!$M:$M),""))</f>
        <v/>
      </c>
      <c r="G587" s="6" t="str">
        <f>IF(A587="","",SUMIFS(Chicks!$N:$N,Chicks!$C:$C,A587))</f>
        <v/>
      </c>
      <c r="H587" s="6" t="str">
        <f>IF(A587="","",SUMIFS(Chicks!$O:$O,Chicks!$C:$C,A587))</f>
        <v/>
      </c>
      <c r="I587" s="6" t="str">
        <f>IF(A587="","",SUMIFS(Chicks!$P:$P,Chicks!$C:$C,A587))</f>
        <v/>
      </c>
    </row>
    <row r="588" spans="2:9" ht="14.25" customHeight="1" x14ac:dyDescent="0.3">
      <c r="B588" s="6" t="str">
        <f>IF(A588="","",COUNTIF(Chicks!$C:$C,A588))</f>
        <v/>
      </c>
      <c r="D588" s="6" t="str">
        <f>IF(A588="","",IFERROR(AVERAGEIF(Chicks!$C:$C,A588,Chicks!$K:$K),""))</f>
        <v/>
      </c>
      <c r="E588" s="6" t="str">
        <f>IF(A588="","",IFERROR(AVERAGEIF(Chicks!$C:$C,A588,Chicks!$L:$L),""))</f>
        <v/>
      </c>
      <c r="F588" s="6" t="str">
        <f>IF(A588="","",IFERROR(AVERAGEIF(Chicks!$C:$C,A588,Chicks!$M:$M),""))</f>
        <v/>
      </c>
      <c r="G588" s="6" t="str">
        <f>IF(A588="","",SUMIFS(Chicks!$N:$N,Chicks!$C:$C,A588))</f>
        <v/>
      </c>
      <c r="H588" s="6" t="str">
        <f>IF(A588="","",SUMIFS(Chicks!$O:$O,Chicks!$C:$C,A588))</f>
        <v/>
      </c>
      <c r="I588" s="6" t="str">
        <f>IF(A588="","",SUMIFS(Chicks!$P:$P,Chicks!$C:$C,A588))</f>
        <v/>
      </c>
    </row>
    <row r="589" spans="2:9" ht="14.25" customHeight="1" x14ac:dyDescent="0.3">
      <c r="B589" s="6" t="str">
        <f>IF(A589="","",COUNTIF(Chicks!$C:$C,A589))</f>
        <v/>
      </c>
      <c r="D589" s="6" t="str">
        <f>IF(A589="","",IFERROR(AVERAGEIF(Chicks!$C:$C,A589,Chicks!$K:$K),""))</f>
        <v/>
      </c>
      <c r="E589" s="6" t="str">
        <f>IF(A589="","",IFERROR(AVERAGEIF(Chicks!$C:$C,A589,Chicks!$L:$L),""))</f>
        <v/>
      </c>
      <c r="F589" s="6" t="str">
        <f>IF(A589="","",IFERROR(AVERAGEIF(Chicks!$C:$C,A589,Chicks!$M:$M),""))</f>
        <v/>
      </c>
      <c r="G589" s="6" t="str">
        <f>IF(A589="","",SUMIFS(Chicks!$N:$N,Chicks!$C:$C,A589))</f>
        <v/>
      </c>
      <c r="H589" s="6" t="str">
        <f>IF(A589="","",SUMIFS(Chicks!$O:$O,Chicks!$C:$C,A589))</f>
        <v/>
      </c>
      <c r="I589" s="6" t="str">
        <f>IF(A589="","",SUMIFS(Chicks!$P:$P,Chicks!$C:$C,A589))</f>
        <v/>
      </c>
    </row>
    <row r="590" spans="2:9" ht="14.25" customHeight="1" x14ac:dyDescent="0.3">
      <c r="B590" s="6" t="str">
        <f>IF(A590="","",COUNTIF(Chicks!$C:$C,A590))</f>
        <v/>
      </c>
      <c r="D590" s="6" t="str">
        <f>IF(A590="","",IFERROR(AVERAGEIF(Chicks!$C:$C,A590,Chicks!$K:$K),""))</f>
        <v/>
      </c>
      <c r="E590" s="6" t="str">
        <f>IF(A590="","",IFERROR(AVERAGEIF(Chicks!$C:$C,A590,Chicks!$L:$L),""))</f>
        <v/>
      </c>
      <c r="F590" s="6" t="str">
        <f>IF(A590="","",IFERROR(AVERAGEIF(Chicks!$C:$C,A590,Chicks!$M:$M),""))</f>
        <v/>
      </c>
      <c r="G590" s="6" t="str">
        <f>IF(A590="","",SUMIFS(Chicks!$N:$N,Chicks!$C:$C,A590))</f>
        <v/>
      </c>
      <c r="H590" s="6" t="str">
        <f>IF(A590="","",SUMIFS(Chicks!$O:$O,Chicks!$C:$C,A590))</f>
        <v/>
      </c>
      <c r="I590" s="6" t="str">
        <f>IF(A590="","",SUMIFS(Chicks!$P:$P,Chicks!$C:$C,A590))</f>
        <v/>
      </c>
    </row>
    <row r="591" spans="2:9" ht="14.25" customHeight="1" x14ac:dyDescent="0.3">
      <c r="B591" s="6" t="str">
        <f>IF(A591="","",COUNTIF(Chicks!$C:$C,A591))</f>
        <v/>
      </c>
      <c r="D591" s="6" t="str">
        <f>IF(A591="","",IFERROR(AVERAGEIF(Chicks!$C:$C,A591,Chicks!$K:$K),""))</f>
        <v/>
      </c>
      <c r="E591" s="6" t="str">
        <f>IF(A591="","",IFERROR(AVERAGEIF(Chicks!$C:$C,A591,Chicks!$L:$L),""))</f>
        <v/>
      </c>
      <c r="F591" s="6" t="str">
        <f>IF(A591="","",IFERROR(AVERAGEIF(Chicks!$C:$C,A591,Chicks!$M:$M),""))</f>
        <v/>
      </c>
      <c r="G591" s="6" t="str">
        <f>IF(A591="","",SUMIFS(Chicks!$N:$N,Chicks!$C:$C,A591))</f>
        <v/>
      </c>
      <c r="H591" s="6" t="str">
        <f>IF(A591="","",SUMIFS(Chicks!$O:$O,Chicks!$C:$C,A591))</f>
        <v/>
      </c>
      <c r="I591" s="6" t="str">
        <f>IF(A591="","",SUMIFS(Chicks!$P:$P,Chicks!$C:$C,A591))</f>
        <v/>
      </c>
    </row>
    <row r="592" spans="2:9" ht="14.25" customHeight="1" x14ac:dyDescent="0.3">
      <c r="B592" s="6" t="str">
        <f>IF(A592="","",COUNTIF(Chicks!$C:$C,A592))</f>
        <v/>
      </c>
      <c r="D592" s="6" t="str">
        <f>IF(A592="","",IFERROR(AVERAGEIF(Chicks!$C:$C,A592,Chicks!$K:$K),""))</f>
        <v/>
      </c>
      <c r="E592" s="6" t="str">
        <f>IF(A592="","",IFERROR(AVERAGEIF(Chicks!$C:$C,A592,Chicks!$L:$L),""))</f>
        <v/>
      </c>
      <c r="F592" s="6" t="str">
        <f>IF(A592="","",IFERROR(AVERAGEIF(Chicks!$C:$C,A592,Chicks!$M:$M),""))</f>
        <v/>
      </c>
      <c r="G592" s="6" t="str">
        <f>IF(A592="","",SUMIFS(Chicks!$N:$N,Chicks!$C:$C,A592))</f>
        <v/>
      </c>
      <c r="H592" s="6" t="str">
        <f>IF(A592="","",SUMIFS(Chicks!$O:$O,Chicks!$C:$C,A592))</f>
        <v/>
      </c>
      <c r="I592" s="6" t="str">
        <f>IF(A592="","",SUMIFS(Chicks!$P:$P,Chicks!$C:$C,A592))</f>
        <v/>
      </c>
    </row>
    <row r="593" spans="2:9" ht="14.25" customHeight="1" x14ac:dyDescent="0.3">
      <c r="B593" s="6" t="str">
        <f>IF(A593="","",COUNTIF(Chicks!$C:$C,A593))</f>
        <v/>
      </c>
      <c r="D593" s="6" t="str">
        <f>IF(A593="","",IFERROR(AVERAGEIF(Chicks!$C:$C,A593,Chicks!$K:$K),""))</f>
        <v/>
      </c>
      <c r="E593" s="6" t="str">
        <f>IF(A593="","",IFERROR(AVERAGEIF(Chicks!$C:$C,A593,Chicks!$L:$L),""))</f>
        <v/>
      </c>
      <c r="F593" s="6" t="str">
        <f>IF(A593="","",IFERROR(AVERAGEIF(Chicks!$C:$C,A593,Chicks!$M:$M),""))</f>
        <v/>
      </c>
      <c r="G593" s="6" t="str">
        <f>IF(A593="","",SUMIFS(Chicks!$N:$N,Chicks!$C:$C,A593))</f>
        <v/>
      </c>
      <c r="H593" s="6" t="str">
        <f>IF(A593="","",SUMIFS(Chicks!$O:$O,Chicks!$C:$C,A593))</f>
        <v/>
      </c>
      <c r="I593" s="6" t="str">
        <f>IF(A593="","",SUMIFS(Chicks!$P:$P,Chicks!$C:$C,A593))</f>
        <v/>
      </c>
    </row>
    <row r="594" spans="2:9" ht="14.25" customHeight="1" x14ac:dyDescent="0.3">
      <c r="B594" s="6" t="str">
        <f>IF(A594="","",COUNTIF(Chicks!$C:$C,A594))</f>
        <v/>
      </c>
      <c r="D594" s="6" t="str">
        <f>IF(A594="","",IFERROR(AVERAGEIF(Chicks!$C:$C,A594,Chicks!$K:$K),""))</f>
        <v/>
      </c>
      <c r="E594" s="6" t="str">
        <f>IF(A594="","",IFERROR(AVERAGEIF(Chicks!$C:$C,A594,Chicks!$L:$L),""))</f>
        <v/>
      </c>
      <c r="F594" s="6" t="str">
        <f>IF(A594="","",IFERROR(AVERAGEIF(Chicks!$C:$C,A594,Chicks!$M:$M),""))</f>
        <v/>
      </c>
      <c r="G594" s="6" t="str">
        <f>IF(A594="","",SUMIFS(Chicks!$N:$N,Chicks!$C:$C,A594))</f>
        <v/>
      </c>
      <c r="H594" s="6" t="str">
        <f>IF(A594="","",SUMIFS(Chicks!$O:$O,Chicks!$C:$C,A594))</f>
        <v/>
      </c>
      <c r="I594" s="6" t="str">
        <f>IF(A594="","",SUMIFS(Chicks!$P:$P,Chicks!$C:$C,A594))</f>
        <v/>
      </c>
    </row>
    <row r="595" spans="2:9" ht="14.25" customHeight="1" x14ac:dyDescent="0.3">
      <c r="B595" s="6" t="str">
        <f>IF(A595="","",COUNTIF(Chicks!$C:$C,A595))</f>
        <v/>
      </c>
      <c r="D595" s="6" t="str">
        <f>IF(A595="","",IFERROR(AVERAGEIF(Chicks!$C:$C,A595,Chicks!$K:$K),""))</f>
        <v/>
      </c>
      <c r="E595" s="6" t="str">
        <f>IF(A595="","",IFERROR(AVERAGEIF(Chicks!$C:$C,A595,Chicks!$L:$L),""))</f>
        <v/>
      </c>
      <c r="F595" s="6" t="str">
        <f>IF(A595="","",IFERROR(AVERAGEIF(Chicks!$C:$C,A595,Chicks!$M:$M),""))</f>
        <v/>
      </c>
      <c r="G595" s="6" t="str">
        <f>IF(A595="","",SUMIFS(Chicks!$N:$N,Chicks!$C:$C,A595))</f>
        <v/>
      </c>
      <c r="H595" s="6" t="str">
        <f>IF(A595="","",SUMIFS(Chicks!$O:$O,Chicks!$C:$C,A595))</f>
        <v/>
      </c>
      <c r="I595" s="6" t="str">
        <f>IF(A595="","",SUMIFS(Chicks!$P:$P,Chicks!$C:$C,A595))</f>
        <v/>
      </c>
    </row>
    <row r="596" spans="2:9" ht="14.25" customHeight="1" x14ac:dyDescent="0.3">
      <c r="B596" s="6" t="str">
        <f>IF(A596="","",COUNTIF(Chicks!$C:$C,A596))</f>
        <v/>
      </c>
      <c r="D596" s="6" t="str">
        <f>IF(A596="","",IFERROR(AVERAGEIF(Chicks!$C:$C,A596,Chicks!$K:$K),""))</f>
        <v/>
      </c>
      <c r="E596" s="6" t="str">
        <f>IF(A596="","",IFERROR(AVERAGEIF(Chicks!$C:$C,A596,Chicks!$L:$L),""))</f>
        <v/>
      </c>
      <c r="F596" s="6" t="str">
        <f>IF(A596="","",IFERROR(AVERAGEIF(Chicks!$C:$C,A596,Chicks!$M:$M),""))</f>
        <v/>
      </c>
      <c r="G596" s="6" t="str">
        <f>IF(A596="","",SUMIFS(Chicks!$N:$N,Chicks!$C:$C,A596))</f>
        <v/>
      </c>
      <c r="H596" s="6" t="str">
        <f>IF(A596="","",SUMIFS(Chicks!$O:$O,Chicks!$C:$C,A596))</f>
        <v/>
      </c>
      <c r="I596" s="6" t="str">
        <f>IF(A596="","",SUMIFS(Chicks!$P:$P,Chicks!$C:$C,A596))</f>
        <v/>
      </c>
    </row>
    <row r="597" spans="2:9" ht="14.25" customHeight="1" x14ac:dyDescent="0.3">
      <c r="B597" s="6" t="str">
        <f>IF(A597="","",COUNTIF(Chicks!$C:$C,A597))</f>
        <v/>
      </c>
      <c r="D597" s="6" t="str">
        <f>IF(A597="","",IFERROR(AVERAGEIF(Chicks!$C:$C,A597,Chicks!$K:$K),""))</f>
        <v/>
      </c>
      <c r="E597" s="6" t="str">
        <f>IF(A597="","",IFERROR(AVERAGEIF(Chicks!$C:$C,A597,Chicks!$L:$L),""))</f>
        <v/>
      </c>
      <c r="F597" s="6" t="str">
        <f>IF(A597="","",IFERROR(AVERAGEIF(Chicks!$C:$C,A597,Chicks!$M:$M),""))</f>
        <v/>
      </c>
      <c r="G597" s="6" t="str">
        <f>IF(A597="","",SUMIFS(Chicks!$N:$N,Chicks!$C:$C,A597))</f>
        <v/>
      </c>
      <c r="H597" s="6" t="str">
        <f>IF(A597="","",SUMIFS(Chicks!$O:$O,Chicks!$C:$C,A597))</f>
        <v/>
      </c>
      <c r="I597" s="6" t="str">
        <f>IF(A597="","",SUMIFS(Chicks!$P:$P,Chicks!$C:$C,A597))</f>
        <v/>
      </c>
    </row>
    <row r="598" spans="2:9" ht="14.25" customHeight="1" x14ac:dyDescent="0.3">
      <c r="B598" s="6" t="str">
        <f>IF(A598="","",COUNTIF(Chicks!$C:$C,A598))</f>
        <v/>
      </c>
      <c r="D598" s="6" t="str">
        <f>IF(A598="","",IFERROR(AVERAGEIF(Chicks!$C:$C,A598,Chicks!$K:$K),""))</f>
        <v/>
      </c>
      <c r="E598" s="6" t="str">
        <f>IF(A598="","",IFERROR(AVERAGEIF(Chicks!$C:$C,A598,Chicks!$L:$L),""))</f>
        <v/>
      </c>
      <c r="F598" s="6" t="str">
        <f>IF(A598="","",IFERROR(AVERAGEIF(Chicks!$C:$C,A598,Chicks!$M:$M),""))</f>
        <v/>
      </c>
      <c r="G598" s="6" t="str">
        <f>IF(A598="","",SUMIFS(Chicks!$N:$N,Chicks!$C:$C,A598))</f>
        <v/>
      </c>
      <c r="H598" s="6" t="str">
        <f>IF(A598="","",SUMIFS(Chicks!$O:$O,Chicks!$C:$C,A598))</f>
        <v/>
      </c>
      <c r="I598" s="6" t="str">
        <f>IF(A598="","",SUMIFS(Chicks!$P:$P,Chicks!$C:$C,A598))</f>
        <v/>
      </c>
    </row>
    <row r="599" spans="2:9" ht="14.25" customHeight="1" x14ac:dyDescent="0.3">
      <c r="B599" s="6" t="str">
        <f>IF(A599="","",COUNTIF(Chicks!$C:$C,A599))</f>
        <v/>
      </c>
      <c r="D599" s="6" t="str">
        <f>IF(A599="","",IFERROR(AVERAGEIF(Chicks!$C:$C,A599,Chicks!$K:$K),""))</f>
        <v/>
      </c>
      <c r="E599" s="6" t="str">
        <f>IF(A599="","",IFERROR(AVERAGEIF(Chicks!$C:$C,A599,Chicks!$L:$L),""))</f>
        <v/>
      </c>
      <c r="F599" s="6" t="str">
        <f>IF(A599="","",IFERROR(AVERAGEIF(Chicks!$C:$C,A599,Chicks!$M:$M),""))</f>
        <v/>
      </c>
      <c r="G599" s="6" t="str">
        <f>IF(A599="","",SUMIFS(Chicks!$N:$N,Chicks!$C:$C,A599))</f>
        <v/>
      </c>
      <c r="H599" s="6" t="str">
        <f>IF(A599="","",SUMIFS(Chicks!$O:$O,Chicks!$C:$C,A599))</f>
        <v/>
      </c>
      <c r="I599" s="6" t="str">
        <f>IF(A599="","",SUMIFS(Chicks!$P:$P,Chicks!$C:$C,A599))</f>
        <v/>
      </c>
    </row>
    <row r="600" spans="2:9" ht="14.25" customHeight="1" x14ac:dyDescent="0.3">
      <c r="B600" s="6" t="str">
        <f>IF(A600="","",COUNTIF(Chicks!$C:$C,A600))</f>
        <v/>
      </c>
      <c r="D600" s="6" t="str">
        <f>IF(A600="","",IFERROR(AVERAGEIF(Chicks!$C:$C,A600,Chicks!$K:$K),""))</f>
        <v/>
      </c>
      <c r="E600" s="6" t="str">
        <f>IF(A600="","",IFERROR(AVERAGEIF(Chicks!$C:$C,A600,Chicks!$L:$L),""))</f>
        <v/>
      </c>
      <c r="F600" s="6" t="str">
        <f>IF(A600="","",IFERROR(AVERAGEIF(Chicks!$C:$C,A600,Chicks!$M:$M),""))</f>
        <v/>
      </c>
      <c r="G600" s="6" t="str">
        <f>IF(A600="","",SUMIFS(Chicks!$N:$N,Chicks!$C:$C,A600))</f>
        <v/>
      </c>
      <c r="H600" s="6" t="str">
        <f>IF(A600="","",SUMIFS(Chicks!$O:$O,Chicks!$C:$C,A600))</f>
        <v/>
      </c>
      <c r="I600" s="6" t="str">
        <f>IF(A600="","",SUMIFS(Chicks!$P:$P,Chicks!$C:$C,A600))</f>
        <v/>
      </c>
    </row>
    <row r="601" spans="2:9" ht="14.25" customHeight="1" x14ac:dyDescent="0.3">
      <c r="B601" s="6" t="str">
        <f>IF(A601="","",COUNTIF(Chicks!$C:$C,A601))</f>
        <v/>
      </c>
      <c r="D601" s="6" t="str">
        <f>IF(A601="","",IFERROR(AVERAGEIF(Chicks!$C:$C,A601,Chicks!$K:$K),""))</f>
        <v/>
      </c>
      <c r="E601" s="6" t="str">
        <f>IF(A601="","",IFERROR(AVERAGEIF(Chicks!$C:$C,A601,Chicks!$L:$L),""))</f>
        <v/>
      </c>
      <c r="F601" s="6" t="str">
        <f>IF(A601="","",IFERROR(AVERAGEIF(Chicks!$C:$C,A601,Chicks!$M:$M),""))</f>
        <v/>
      </c>
      <c r="G601" s="6" t="str">
        <f>IF(A601="","",SUMIFS(Chicks!$N:$N,Chicks!$C:$C,A601))</f>
        <v/>
      </c>
      <c r="H601" s="6" t="str">
        <f>IF(A601="","",SUMIFS(Chicks!$O:$O,Chicks!$C:$C,A601))</f>
        <v/>
      </c>
      <c r="I601" s="6" t="str">
        <f>IF(A601="","",SUMIFS(Chicks!$P:$P,Chicks!$C:$C,A601))</f>
        <v/>
      </c>
    </row>
    <row r="602" spans="2:9" ht="14.25" customHeight="1" x14ac:dyDescent="0.3">
      <c r="B602" s="6" t="str">
        <f>IF(A602="","",COUNTIF(Chicks!$C:$C,A602))</f>
        <v/>
      </c>
      <c r="D602" s="6" t="str">
        <f>IF(A602="","",IFERROR(AVERAGEIF(Chicks!$C:$C,A602,Chicks!$K:$K),""))</f>
        <v/>
      </c>
      <c r="E602" s="6" t="str">
        <f>IF(A602="","",IFERROR(AVERAGEIF(Chicks!$C:$C,A602,Chicks!$L:$L),""))</f>
        <v/>
      </c>
      <c r="F602" s="6" t="str">
        <f>IF(A602="","",IFERROR(AVERAGEIF(Chicks!$C:$C,A602,Chicks!$M:$M),""))</f>
        <v/>
      </c>
      <c r="G602" s="6" t="str">
        <f>IF(A602="","",SUMIFS(Chicks!$N:$N,Chicks!$C:$C,A602))</f>
        <v/>
      </c>
      <c r="H602" s="6" t="str">
        <f>IF(A602="","",SUMIFS(Chicks!$O:$O,Chicks!$C:$C,A602))</f>
        <v/>
      </c>
      <c r="I602" s="6" t="str">
        <f>IF(A602="","",SUMIFS(Chicks!$P:$P,Chicks!$C:$C,A602))</f>
        <v/>
      </c>
    </row>
    <row r="603" spans="2:9" ht="14.25" customHeight="1" x14ac:dyDescent="0.3">
      <c r="B603" s="6" t="str">
        <f>IF(A603="","",COUNTIF(Chicks!$C:$C,A603))</f>
        <v/>
      </c>
      <c r="D603" s="6" t="str">
        <f>IF(A603="","",IFERROR(AVERAGEIF(Chicks!$C:$C,A603,Chicks!$K:$K),""))</f>
        <v/>
      </c>
      <c r="E603" s="6" t="str">
        <f>IF(A603="","",IFERROR(AVERAGEIF(Chicks!$C:$C,A603,Chicks!$L:$L),""))</f>
        <v/>
      </c>
      <c r="F603" s="6" t="str">
        <f>IF(A603="","",IFERROR(AVERAGEIF(Chicks!$C:$C,A603,Chicks!$M:$M),""))</f>
        <v/>
      </c>
      <c r="G603" s="6" t="str">
        <f>IF(A603="","",SUMIFS(Chicks!$N:$N,Chicks!$C:$C,A603))</f>
        <v/>
      </c>
      <c r="H603" s="6" t="str">
        <f>IF(A603="","",SUMIFS(Chicks!$O:$O,Chicks!$C:$C,A603))</f>
        <v/>
      </c>
      <c r="I603" s="6" t="str">
        <f>IF(A603="","",SUMIFS(Chicks!$P:$P,Chicks!$C:$C,A603))</f>
        <v/>
      </c>
    </row>
    <row r="604" spans="2:9" ht="14.25" customHeight="1" x14ac:dyDescent="0.3">
      <c r="B604" s="6" t="str">
        <f>IF(A604="","",COUNTIF(Chicks!$C:$C,A604))</f>
        <v/>
      </c>
      <c r="D604" s="6" t="str">
        <f>IF(A604="","",IFERROR(AVERAGEIF(Chicks!$C:$C,A604,Chicks!$K:$K),""))</f>
        <v/>
      </c>
      <c r="E604" s="6" t="str">
        <f>IF(A604="","",IFERROR(AVERAGEIF(Chicks!$C:$C,A604,Chicks!$L:$L),""))</f>
        <v/>
      </c>
      <c r="F604" s="6" t="str">
        <f>IF(A604="","",IFERROR(AVERAGEIF(Chicks!$C:$C,A604,Chicks!$M:$M),""))</f>
        <v/>
      </c>
      <c r="G604" s="6" t="str">
        <f>IF(A604="","",SUMIFS(Chicks!$N:$N,Chicks!$C:$C,A604))</f>
        <v/>
      </c>
      <c r="H604" s="6" t="str">
        <f>IF(A604="","",SUMIFS(Chicks!$O:$O,Chicks!$C:$C,A604))</f>
        <v/>
      </c>
      <c r="I604" s="6" t="str">
        <f>IF(A604="","",SUMIFS(Chicks!$P:$P,Chicks!$C:$C,A604))</f>
        <v/>
      </c>
    </row>
    <row r="605" spans="2:9" ht="14.25" customHeight="1" x14ac:dyDescent="0.3">
      <c r="B605" s="6" t="str">
        <f>IF(A605="","",COUNTIF(Chicks!$C:$C,A605))</f>
        <v/>
      </c>
      <c r="D605" s="6" t="str">
        <f>IF(A605="","",IFERROR(AVERAGEIF(Chicks!$C:$C,A605,Chicks!$K:$K),""))</f>
        <v/>
      </c>
      <c r="E605" s="6" t="str">
        <f>IF(A605="","",IFERROR(AVERAGEIF(Chicks!$C:$C,A605,Chicks!$L:$L),""))</f>
        <v/>
      </c>
      <c r="F605" s="6" t="str">
        <f>IF(A605="","",IFERROR(AVERAGEIF(Chicks!$C:$C,A605,Chicks!$M:$M),""))</f>
        <v/>
      </c>
      <c r="G605" s="6" t="str">
        <f>IF(A605="","",SUMIFS(Chicks!$N:$N,Chicks!$C:$C,A605))</f>
        <v/>
      </c>
      <c r="H605" s="6" t="str">
        <f>IF(A605="","",SUMIFS(Chicks!$O:$O,Chicks!$C:$C,A605))</f>
        <v/>
      </c>
      <c r="I605" s="6" t="str">
        <f>IF(A605="","",SUMIFS(Chicks!$P:$P,Chicks!$C:$C,A605))</f>
        <v/>
      </c>
    </row>
    <row r="606" spans="2:9" ht="14.25" customHeight="1" x14ac:dyDescent="0.3">
      <c r="B606" s="6" t="str">
        <f>IF(A606="","",COUNTIF(Chicks!$C:$C,A606))</f>
        <v/>
      </c>
      <c r="D606" s="6" t="str">
        <f>IF(A606="","",IFERROR(AVERAGEIF(Chicks!$C:$C,A606,Chicks!$K:$K),""))</f>
        <v/>
      </c>
      <c r="E606" s="6" t="str">
        <f>IF(A606="","",IFERROR(AVERAGEIF(Chicks!$C:$C,A606,Chicks!$L:$L),""))</f>
        <v/>
      </c>
      <c r="F606" s="6" t="str">
        <f>IF(A606="","",IFERROR(AVERAGEIF(Chicks!$C:$C,A606,Chicks!$M:$M),""))</f>
        <v/>
      </c>
      <c r="G606" s="6" t="str">
        <f>IF(A606="","",SUMIFS(Chicks!$N:$N,Chicks!$C:$C,A606))</f>
        <v/>
      </c>
      <c r="H606" s="6" t="str">
        <f>IF(A606="","",SUMIFS(Chicks!$O:$O,Chicks!$C:$C,A606))</f>
        <v/>
      </c>
      <c r="I606" s="6" t="str">
        <f>IF(A606="","",SUMIFS(Chicks!$P:$P,Chicks!$C:$C,A606))</f>
        <v/>
      </c>
    </row>
    <row r="607" spans="2:9" ht="14.25" customHeight="1" x14ac:dyDescent="0.3">
      <c r="B607" s="6" t="str">
        <f>IF(A607="","",COUNTIF(Chicks!$C:$C,A607))</f>
        <v/>
      </c>
      <c r="D607" s="6" t="str">
        <f>IF(A607="","",IFERROR(AVERAGEIF(Chicks!$C:$C,A607,Chicks!$K:$K),""))</f>
        <v/>
      </c>
      <c r="E607" s="6" t="str">
        <f>IF(A607="","",IFERROR(AVERAGEIF(Chicks!$C:$C,A607,Chicks!$L:$L),""))</f>
        <v/>
      </c>
      <c r="F607" s="6" t="str">
        <f>IF(A607="","",IFERROR(AVERAGEIF(Chicks!$C:$C,A607,Chicks!$M:$M),""))</f>
        <v/>
      </c>
      <c r="G607" s="6" t="str">
        <f>IF(A607="","",SUMIFS(Chicks!$N:$N,Chicks!$C:$C,A607))</f>
        <v/>
      </c>
      <c r="H607" s="6" t="str">
        <f>IF(A607="","",SUMIFS(Chicks!$O:$O,Chicks!$C:$C,A607))</f>
        <v/>
      </c>
      <c r="I607" s="6" t="str">
        <f>IF(A607="","",SUMIFS(Chicks!$P:$P,Chicks!$C:$C,A607))</f>
        <v/>
      </c>
    </row>
    <row r="608" spans="2:9" ht="14.25" customHeight="1" x14ac:dyDescent="0.3">
      <c r="B608" s="6" t="str">
        <f>IF(A608="","",COUNTIF(Chicks!$C:$C,A608))</f>
        <v/>
      </c>
      <c r="D608" s="6" t="str">
        <f>IF(A608="","",IFERROR(AVERAGEIF(Chicks!$C:$C,A608,Chicks!$K:$K),""))</f>
        <v/>
      </c>
      <c r="E608" s="6" t="str">
        <f>IF(A608="","",IFERROR(AVERAGEIF(Chicks!$C:$C,A608,Chicks!$L:$L),""))</f>
        <v/>
      </c>
      <c r="F608" s="6" t="str">
        <f>IF(A608="","",IFERROR(AVERAGEIF(Chicks!$C:$C,A608,Chicks!$M:$M),""))</f>
        <v/>
      </c>
      <c r="G608" s="6" t="str">
        <f>IF(A608="","",SUMIFS(Chicks!$N:$N,Chicks!$C:$C,A608))</f>
        <v/>
      </c>
      <c r="H608" s="6" t="str">
        <f>IF(A608="","",SUMIFS(Chicks!$O:$O,Chicks!$C:$C,A608))</f>
        <v/>
      </c>
      <c r="I608" s="6" t="str">
        <f>IF(A608="","",SUMIFS(Chicks!$P:$P,Chicks!$C:$C,A608))</f>
        <v/>
      </c>
    </row>
    <row r="609" spans="2:9" ht="14.25" customHeight="1" x14ac:dyDescent="0.3">
      <c r="B609" s="6" t="str">
        <f>IF(A609="","",COUNTIF(Chicks!$C:$C,A609))</f>
        <v/>
      </c>
      <c r="D609" s="6" t="str">
        <f>IF(A609="","",IFERROR(AVERAGEIF(Chicks!$C:$C,A609,Chicks!$K:$K),""))</f>
        <v/>
      </c>
      <c r="E609" s="6" t="str">
        <f>IF(A609="","",IFERROR(AVERAGEIF(Chicks!$C:$C,A609,Chicks!$L:$L),""))</f>
        <v/>
      </c>
      <c r="F609" s="6" t="str">
        <f>IF(A609="","",IFERROR(AVERAGEIF(Chicks!$C:$C,A609,Chicks!$M:$M),""))</f>
        <v/>
      </c>
      <c r="G609" s="6" t="str">
        <f>IF(A609="","",SUMIFS(Chicks!$N:$N,Chicks!$C:$C,A609))</f>
        <v/>
      </c>
      <c r="H609" s="6" t="str">
        <f>IF(A609="","",SUMIFS(Chicks!$O:$O,Chicks!$C:$C,A609))</f>
        <v/>
      </c>
      <c r="I609" s="6" t="str">
        <f>IF(A609="","",SUMIFS(Chicks!$P:$P,Chicks!$C:$C,A609))</f>
        <v/>
      </c>
    </row>
    <row r="610" spans="2:9" ht="14.25" customHeight="1" x14ac:dyDescent="0.3">
      <c r="B610" s="6" t="str">
        <f>IF(A610="","",COUNTIF(Chicks!$C:$C,A610))</f>
        <v/>
      </c>
      <c r="D610" s="6" t="str">
        <f>IF(A610="","",IFERROR(AVERAGEIF(Chicks!$C:$C,A610,Chicks!$K:$K),""))</f>
        <v/>
      </c>
      <c r="E610" s="6" t="str">
        <f>IF(A610="","",IFERROR(AVERAGEIF(Chicks!$C:$C,A610,Chicks!$L:$L),""))</f>
        <v/>
      </c>
      <c r="F610" s="6" t="str">
        <f>IF(A610="","",IFERROR(AVERAGEIF(Chicks!$C:$C,A610,Chicks!$M:$M),""))</f>
        <v/>
      </c>
      <c r="G610" s="6" t="str">
        <f>IF(A610="","",SUMIFS(Chicks!$N:$N,Chicks!$C:$C,A610))</f>
        <v/>
      </c>
      <c r="H610" s="6" t="str">
        <f>IF(A610="","",SUMIFS(Chicks!$O:$O,Chicks!$C:$C,A610))</f>
        <v/>
      </c>
      <c r="I610" s="6" t="str">
        <f>IF(A610="","",SUMIFS(Chicks!$P:$P,Chicks!$C:$C,A610))</f>
        <v/>
      </c>
    </row>
    <row r="611" spans="2:9" ht="14.25" customHeight="1" x14ac:dyDescent="0.3">
      <c r="B611" s="6" t="str">
        <f>IF(A611="","",COUNTIF(Chicks!$C:$C,A611))</f>
        <v/>
      </c>
      <c r="D611" s="6" t="str">
        <f>IF(A611="","",IFERROR(AVERAGEIF(Chicks!$C:$C,A611,Chicks!$K:$K),""))</f>
        <v/>
      </c>
      <c r="E611" s="6" t="str">
        <f>IF(A611="","",IFERROR(AVERAGEIF(Chicks!$C:$C,A611,Chicks!$L:$L),""))</f>
        <v/>
      </c>
      <c r="F611" s="6" t="str">
        <f>IF(A611="","",IFERROR(AVERAGEIF(Chicks!$C:$C,A611,Chicks!$M:$M),""))</f>
        <v/>
      </c>
      <c r="G611" s="6" t="str">
        <f>IF(A611="","",SUMIFS(Chicks!$N:$N,Chicks!$C:$C,A611))</f>
        <v/>
      </c>
      <c r="H611" s="6" t="str">
        <f>IF(A611="","",SUMIFS(Chicks!$O:$O,Chicks!$C:$C,A611))</f>
        <v/>
      </c>
      <c r="I611" s="6" t="str">
        <f>IF(A611="","",SUMIFS(Chicks!$P:$P,Chicks!$C:$C,A611))</f>
        <v/>
      </c>
    </row>
    <row r="612" spans="2:9" ht="14.25" customHeight="1" x14ac:dyDescent="0.3">
      <c r="B612" s="6" t="str">
        <f>IF(A612="","",COUNTIF(Chicks!$C:$C,A612))</f>
        <v/>
      </c>
      <c r="D612" s="6" t="str">
        <f>IF(A612="","",IFERROR(AVERAGEIF(Chicks!$C:$C,A612,Chicks!$K:$K),""))</f>
        <v/>
      </c>
      <c r="E612" s="6" t="str">
        <f>IF(A612="","",IFERROR(AVERAGEIF(Chicks!$C:$C,A612,Chicks!$L:$L),""))</f>
        <v/>
      </c>
      <c r="F612" s="6" t="str">
        <f>IF(A612="","",IFERROR(AVERAGEIF(Chicks!$C:$C,A612,Chicks!$M:$M),""))</f>
        <v/>
      </c>
      <c r="G612" s="6" t="str">
        <f>IF(A612="","",SUMIFS(Chicks!$N:$N,Chicks!$C:$C,A612))</f>
        <v/>
      </c>
      <c r="H612" s="6" t="str">
        <f>IF(A612="","",SUMIFS(Chicks!$O:$O,Chicks!$C:$C,A612))</f>
        <v/>
      </c>
      <c r="I612" s="6" t="str">
        <f>IF(A612="","",SUMIFS(Chicks!$P:$P,Chicks!$C:$C,A612))</f>
        <v/>
      </c>
    </row>
    <row r="613" spans="2:9" ht="14.25" customHeight="1" x14ac:dyDescent="0.3">
      <c r="B613" s="6" t="str">
        <f>IF(A613="","",COUNTIF(Chicks!$C:$C,A613))</f>
        <v/>
      </c>
      <c r="D613" s="6" t="str">
        <f>IF(A613="","",IFERROR(AVERAGEIF(Chicks!$C:$C,A613,Chicks!$K:$K),""))</f>
        <v/>
      </c>
      <c r="E613" s="6" t="str">
        <f>IF(A613="","",IFERROR(AVERAGEIF(Chicks!$C:$C,A613,Chicks!$L:$L),""))</f>
        <v/>
      </c>
      <c r="F613" s="6" t="str">
        <f>IF(A613="","",IFERROR(AVERAGEIF(Chicks!$C:$C,A613,Chicks!$M:$M),""))</f>
        <v/>
      </c>
      <c r="G613" s="6" t="str">
        <f>IF(A613="","",SUMIFS(Chicks!$N:$N,Chicks!$C:$C,A613))</f>
        <v/>
      </c>
      <c r="H613" s="6" t="str">
        <f>IF(A613="","",SUMIFS(Chicks!$O:$O,Chicks!$C:$C,A613))</f>
        <v/>
      </c>
      <c r="I613" s="6" t="str">
        <f>IF(A613="","",SUMIFS(Chicks!$P:$P,Chicks!$C:$C,A613))</f>
        <v/>
      </c>
    </row>
    <row r="614" spans="2:9" ht="14.25" customHeight="1" x14ac:dyDescent="0.3">
      <c r="B614" s="6" t="str">
        <f>IF(A614="","",COUNTIF(Chicks!$C:$C,A614))</f>
        <v/>
      </c>
      <c r="D614" s="6" t="str">
        <f>IF(A614="","",IFERROR(AVERAGEIF(Chicks!$C:$C,A614,Chicks!$K:$K),""))</f>
        <v/>
      </c>
      <c r="E614" s="6" t="str">
        <f>IF(A614="","",IFERROR(AVERAGEIF(Chicks!$C:$C,A614,Chicks!$L:$L),""))</f>
        <v/>
      </c>
      <c r="F614" s="6" t="str">
        <f>IF(A614="","",IFERROR(AVERAGEIF(Chicks!$C:$C,A614,Chicks!$M:$M),""))</f>
        <v/>
      </c>
      <c r="G614" s="6" t="str">
        <f>IF(A614="","",SUMIFS(Chicks!$N:$N,Chicks!$C:$C,A614))</f>
        <v/>
      </c>
      <c r="H614" s="6" t="str">
        <f>IF(A614="","",SUMIFS(Chicks!$O:$O,Chicks!$C:$C,A614))</f>
        <v/>
      </c>
      <c r="I614" s="6" t="str">
        <f>IF(A614="","",SUMIFS(Chicks!$P:$P,Chicks!$C:$C,A614))</f>
        <v/>
      </c>
    </row>
    <row r="615" spans="2:9" ht="14.25" customHeight="1" x14ac:dyDescent="0.3">
      <c r="B615" s="6" t="str">
        <f>IF(A615="","",COUNTIF(Chicks!$C:$C,A615))</f>
        <v/>
      </c>
      <c r="D615" s="6" t="str">
        <f>IF(A615="","",IFERROR(AVERAGEIF(Chicks!$C:$C,A615,Chicks!$K:$K),""))</f>
        <v/>
      </c>
      <c r="E615" s="6" t="str">
        <f>IF(A615="","",IFERROR(AVERAGEIF(Chicks!$C:$C,A615,Chicks!$L:$L),""))</f>
        <v/>
      </c>
      <c r="F615" s="6" t="str">
        <f>IF(A615="","",IFERROR(AVERAGEIF(Chicks!$C:$C,A615,Chicks!$M:$M),""))</f>
        <v/>
      </c>
      <c r="G615" s="6" t="str">
        <f>IF(A615="","",SUMIFS(Chicks!$N:$N,Chicks!$C:$C,A615))</f>
        <v/>
      </c>
      <c r="H615" s="6" t="str">
        <f>IF(A615="","",SUMIFS(Chicks!$O:$O,Chicks!$C:$C,A615))</f>
        <v/>
      </c>
      <c r="I615" s="6" t="str">
        <f>IF(A615="","",SUMIFS(Chicks!$P:$P,Chicks!$C:$C,A615))</f>
        <v/>
      </c>
    </row>
    <row r="616" spans="2:9" ht="14.25" customHeight="1" x14ac:dyDescent="0.3">
      <c r="B616" s="6" t="str">
        <f>IF(A616="","",COUNTIF(Chicks!$C:$C,A616))</f>
        <v/>
      </c>
      <c r="D616" s="6" t="str">
        <f>IF(A616="","",IFERROR(AVERAGEIF(Chicks!$C:$C,A616,Chicks!$K:$K),""))</f>
        <v/>
      </c>
      <c r="E616" s="6" t="str">
        <f>IF(A616="","",IFERROR(AVERAGEIF(Chicks!$C:$C,A616,Chicks!$L:$L),""))</f>
        <v/>
      </c>
      <c r="F616" s="6" t="str">
        <f>IF(A616="","",IFERROR(AVERAGEIF(Chicks!$C:$C,A616,Chicks!$M:$M),""))</f>
        <v/>
      </c>
      <c r="G616" s="6" t="str">
        <f>IF(A616="","",SUMIFS(Chicks!$N:$N,Chicks!$C:$C,A616))</f>
        <v/>
      </c>
      <c r="H616" s="6" t="str">
        <f>IF(A616="","",SUMIFS(Chicks!$O:$O,Chicks!$C:$C,A616))</f>
        <v/>
      </c>
      <c r="I616" s="6" t="str">
        <f>IF(A616="","",SUMIFS(Chicks!$P:$P,Chicks!$C:$C,A616))</f>
        <v/>
      </c>
    </row>
    <row r="617" spans="2:9" ht="14.25" customHeight="1" x14ac:dyDescent="0.3">
      <c r="B617" s="6" t="str">
        <f>IF(A617="","",COUNTIF(Chicks!$C:$C,A617))</f>
        <v/>
      </c>
      <c r="D617" s="6" t="str">
        <f>IF(A617="","",IFERROR(AVERAGEIF(Chicks!$C:$C,A617,Chicks!$K:$K),""))</f>
        <v/>
      </c>
      <c r="E617" s="6" t="str">
        <f>IF(A617="","",IFERROR(AVERAGEIF(Chicks!$C:$C,A617,Chicks!$L:$L),""))</f>
        <v/>
      </c>
      <c r="F617" s="6" t="str">
        <f>IF(A617="","",IFERROR(AVERAGEIF(Chicks!$C:$C,A617,Chicks!$M:$M),""))</f>
        <v/>
      </c>
      <c r="G617" s="6" t="str">
        <f>IF(A617="","",SUMIFS(Chicks!$N:$N,Chicks!$C:$C,A617))</f>
        <v/>
      </c>
      <c r="H617" s="6" t="str">
        <f>IF(A617="","",SUMIFS(Chicks!$O:$O,Chicks!$C:$C,A617))</f>
        <v/>
      </c>
      <c r="I617" s="6" t="str">
        <f>IF(A617="","",SUMIFS(Chicks!$P:$P,Chicks!$C:$C,A617))</f>
        <v/>
      </c>
    </row>
    <row r="618" spans="2:9" ht="14.25" customHeight="1" x14ac:dyDescent="0.3">
      <c r="B618" s="6" t="str">
        <f>IF(A618="","",COUNTIF(Chicks!$C:$C,A618))</f>
        <v/>
      </c>
      <c r="D618" s="6" t="str">
        <f>IF(A618="","",IFERROR(AVERAGEIF(Chicks!$C:$C,A618,Chicks!$K:$K),""))</f>
        <v/>
      </c>
      <c r="E618" s="6" t="str">
        <f>IF(A618="","",IFERROR(AVERAGEIF(Chicks!$C:$C,A618,Chicks!$L:$L),""))</f>
        <v/>
      </c>
      <c r="F618" s="6" t="str">
        <f>IF(A618="","",IFERROR(AVERAGEIF(Chicks!$C:$C,A618,Chicks!$M:$M),""))</f>
        <v/>
      </c>
      <c r="G618" s="6" t="str">
        <f>IF(A618="","",SUMIFS(Chicks!$N:$N,Chicks!$C:$C,A618))</f>
        <v/>
      </c>
      <c r="H618" s="6" t="str">
        <f>IF(A618="","",SUMIFS(Chicks!$O:$O,Chicks!$C:$C,A618))</f>
        <v/>
      </c>
      <c r="I618" s="6" t="str">
        <f>IF(A618="","",SUMIFS(Chicks!$P:$P,Chicks!$C:$C,A618))</f>
        <v/>
      </c>
    </row>
    <row r="619" spans="2:9" ht="14.25" customHeight="1" x14ac:dyDescent="0.3">
      <c r="B619" s="6" t="str">
        <f>IF(A619="","",COUNTIF(Chicks!$C:$C,A619))</f>
        <v/>
      </c>
      <c r="D619" s="6" t="str">
        <f>IF(A619="","",IFERROR(AVERAGEIF(Chicks!$C:$C,A619,Chicks!$K:$K),""))</f>
        <v/>
      </c>
      <c r="E619" s="6" t="str">
        <f>IF(A619="","",IFERROR(AVERAGEIF(Chicks!$C:$C,A619,Chicks!$L:$L),""))</f>
        <v/>
      </c>
      <c r="F619" s="6" t="str">
        <f>IF(A619="","",IFERROR(AVERAGEIF(Chicks!$C:$C,A619,Chicks!$M:$M),""))</f>
        <v/>
      </c>
      <c r="G619" s="6" t="str">
        <f>IF(A619="","",SUMIFS(Chicks!$N:$N,Chicks!$C:$C,A619))</f>
        <v/>
      </c>
      <c r="H619" s="6" t="str">
        <f>IF(A619="","",SUMIFS(Chicks!$O:$O,Chicks!$C:$C,A619))</f>
        <v/>
      </c>
      <c r="I619" s="6" t="str">
        <f>IF(A619="","",SUMIFS(Chicks!$P:$P,Chicks!$C:$C,A619))</f>
        <v/>
      </c>
    </row>
    <row r="620" spans="2:9" ht="14.25" customHeight="1" x14ac:dyDescent="0.3">
      <c r="B620" s="6" t="str">
        <f>IF(A620="","",COUNTIF(Chicks!$C:$C,A620))</f>
        <v/>
      </c>
      <c r="D620" s="6" t="str">
        <f>IF(A620="","",IFERROR(AVERAGEIF(Chicks!$C:$C,A620,Chicks!$K:$K),""))</f>
        <v/>
      </c>
      <c r="E620" s="6" t="str">
        <f>IF(A620="","",IFERROR(AVERAGEIF(Chicks!$C:$C,A620,Chicks!$L:$L),""))</f>
        <v/>
      </c>
      <c r="F620" s="6" t="str">
        <f>IF(A620="","",IFERROR(AVERAGEIF(Chicks!$C:$C,A620,Chicks!$M:$M),""))</f>
        <v/>
      </c>
      <c r="G620" s="6" t="str">
        <f>IF(A620="","",SUMIFS(Chicks!$N:$N,Chicks!$C:$C,A620))</f>
        <v/>
      </c>
      <c r="H620" s="6" t="str">
        <f>IF(A620="","",SUMIFS(Chicks!$O:$O,Chicks!$C:$C,A620))</f>
        <v/>
      </c>
      <c r="I620" s="6" t="str">
        <f>IF(A620="","",SUMIFS(Chicks!$P:$P,Chicks!$C:$C,A620))</f>
        <v/>
      </c>
    </row>
    <row r="621" spans="2:9" ht="14.25" customHeight="1" x14ac:dyDescent="0.3">
      <c r="B621" s="6" t="str">
        <f>IF(A621="","",COUNTIF(Chicks!$C:$C,A621))</f>
        <v/>
      </c>
      <c r="D621" s="6" t="str">
        <f>IF(A621="","",IFERROR(AVERAGEIF(Chicks!$C:$C,A621,Chicks!$K:$K),""))</f>
        <v/>
      </c>
      <c r="E621" s="6" t="str">
        <f>IF(A621="","",IFERROR(AVERAGEIF(Chicks!$C:$C,A621,Chicks!$L:$L),""))</f>
        <v/>
      </c>
      <c r="F621" s="6" t="str">
        <f>IF(A621="","",IFERROR(AVERAGEIF(Chicks!$C:$C,A621,Chicks!$M:$M),""))</f>
        <v/>
      </c>
      <c r="G621" s="6" t="str">
        <f>IF(A621="","",SUMIFS(Chicks!$N:$N,Chicks!$C:$C,A621))</f>
        <v/>
      </c>
      <c r="H621" s="6" t="str">
        <f>IF(A621="","",SUMIFS(Chicks!$O:$O,Chicks!$C:$C,A621))</f>
        <v/>
      </c>
      <c r="I621" s="6" t="str">
        <f>IF(A621="","",SUMIFS(Chicks!$P:$P,Chicks!$C:$C,A621))</f>
        <v/>
      </c>
    </row>
    <row r="622" spans="2:9" ht="14.25" customHeight="1" x14ac:dyDescent="0.3">
      <c r="B622" s="6" t="str">
        <f>IF(A622="","",COUNTIF(Chicks!$C:$C,A622))</f>
        <v/>
      </c>
      <c r="D622" s="6" t="str">
        <f>IF(A622="","",IFERROR(AVERAGEIF(Chicks!$C:$C,A622,Chicks!$K:$K),""))</f>
        <v/>
      </c>
      <c r="E622" s="6" t="str">
        <f>IF(A622="","",IFERROR(AVERAGEIF(Chicks!$C:$C,A622,Chicks!$L:$L),""))</f>
        <v/>
      </c>
      <c r="F622" s="6" t="str">
        <f>IF(A622="","",IFERROR(AVERAGEIF(Chicks!$C:$C,A622,Chicks!$M:$M),""))</f>
        <v/>
      </c>
      <c r="G622" s="6" t="str">
        <f>IF(A622="","",SUMIFS(Chicks!$N:$N,Chicks!$C:$C,A622))</f>
        <v/>
      </c>
      <c r="H622" s="6" t="str">
        <f>IF(A622="","",SUMIFS(Chicks!$O:$O,Chicks!$C:$C,A622))</f>
        <v/>
      </c>
      <c r="I622" s="6" t="str">
        <f>IF(A622="","",SUMIFS(Chicks!$P:$P,Chicks!$C:$C,A622))</f>
        <v/>
      </c>
    </row>
    <row r="623" spans="2:9" ht="14.25" customHeight="1" x14ac:dyDescent="0.3">
      <c r="B623" s="6" t="str">
        <f>IF(A623="","",COUNTIF(Chicks!$C:$C,A623))</f>
        <v/>
      </c>
      <c r="D623" s="6" t="str">
        <f>IF(A623="","",IFERROR(AVERAGEIF(Chicks!$C:$C,A623,Chicks!$K:$K),""))</f>
        <v/>
      </c>
      <c r="E623" s="6" t="str">
        <f>IF(A623="","",IFERROR(AVERAGEIF(Chicks!$C:$C,A623,Chicks!$L:$L),""))</f>
        <v/>
      </c>
      <c r="F623" s="6" t="str">
        <f>IF(A623="","",IFERROR(AVERAGEIF(Chicks!$C:$C,A623,Chicks!$M:$M),""))</f>
        <v/>
      </c>
      <c r="G623" s="6" t="str">
        <f>IF(A623="","",SUMIFS(Chicks!$N:$N,Chicks!$C:$C,A623))</f>
        <v/>
      </c>
      <c r="H623" s="6" t="str">
        <f>IF(A623="","",SUMIFS(Chicks!$O:$O,Chicks!$C:$C,A623))</f>
        <v/>
      </c>
      <c r="I623" s="6" t="str">
        <f>IF(A623="","",SUMIFS(Chicks!$P:$P,Chicks!$C:$C,A623))</f>
        <v/>
      </c>
    </row>
    <row r="624" spans="2:9" ht="14.25" customHeight="1" x14ac:dyDescent="0.3">
      <c r="B624" s="6" t="str">
        <f>IF(A624="","",COUNTIF(Chicks!$C:$C,A624))</f>
        <v/>
      </c>
      <c r="D624" s="6" t="str">
        <f>IF(A624="","",IFERROR(AVERAGEIF(Chicks!$C:$C,A624,Chicks!$K:$K),""))</f>
        <v/>
      </c>
      <c r="E624" s="6" t="str">
        <f>IF(A624="","",IFERROR(AVERAGEIF(Chicks!$C:$C,A624,Chicks!$L:$L),""))</f>
        <v/>
      </c>
      <c r="F624" s="6" t="str">
        <f>IF(A624="","",IFERROR(AVERAGEIF(Chicks!$C:$C,A624,Chicks!$M:$M),""))</f>
        <v/>
      </c>
      <c r="G624" s="6" t="str">
        <f>IF(A624="","",SUMIFS(Chicks!$N:$N,Chicks!$C:$C,A624))</f>
        <v/>
      </c>
      <c r="H624" s="6" t="str">
        <f>IF(A624="","",SUMIFS(Chicks!$O:$O,Chicks!$C:$C,A624))</f>
        <v/>
      </c>
      <c r="I624" s="6" t="str">
        <f>IF(A624="","",SUMIFS(Chicks!$P:$P,Chicks!$C:$C,A624))</f>
        <v/>
      </c>
    </row>
    <row r="625" spans="2:9" ht="14.25" customHeight="1" x14ac:dyDescent="0.3">
      <c r="B625" s="6" t="str">
        <f>IF(A625="","",COUNTIF(Chicks!$C:$C,A625))</f>
        <v/>
      </c>
      <c r="D625" s="6" t="str">
        <f>IF(A625="","",IFERROR(AVERAGEIF(Chicks!$C:$C,A625,Chicks!$K:$K),""))</f>
        <v/>
      </c>
      <c r="E625" s="6" t="str">
        <f>IF(A625="","",IFERROR(AVERAGEIF(Chicks!$C:$C,A625,Chicks!$L:$L),""))</f>
        <v/>
      </c>
      <c r="F625" s="6" t="str">
        <f>IF(A625="","",IFERROR(AVERAGEIF(Chicks!$C:$C,A625,Chicks!$M:$M),""))</f>
        <v/>
      </c>
      <c r="G625" s="6" t="str">
        <f>IF(A625="","",SUMIFS(Chicks!$N:$N,Chicks!$C:$C,A625))</f>
        <v/>
      </c>
      <c r="H625" s="6" t="str">
        <f>IF(A625="","",SUMIFS(Chicks!$O:$O,Chicks!$C:$C,A625))</f>
        <v/>
      </c>
      <c r="I625" s="6" t="str">
        <f>IF(A625="","",SUMIFS(Chicks!$P:$P,Chicks!$C:$C,A625))</f>
        <v/>
      </c>
    </row>
    <row r="626" spans="2:9" ht="14.25" customHeight="1" x14ac:dyDescent="0.3">
      <c r="B626" s="6" t="str">
        <f>IF(A626="","",COUNTIF(Chicks!$C:$C,A626))</f>
        <v/>
      </c>
      <c r="D626" s="6" t="str">
        <f>IF(A626="","",IFERROR(AVERAGEIF(Chicks!$C:$C,A626,Chicks!$K:$K),""))</f>
        <v/>
      </c>
      <c r="E626" s="6" t="str">
        <f>IF(A626="","",IFERROR(AVERAGEIF(Chicks!$C:$C,A626,Chicks!$L:$L),""))</f>
        <v/>
      </c>
      <c r="F626" s="6" t="str">
        <f>IF(A626="","",IFERROR(AVERAGEIF(Chicks!$C:$C,A626,Chicks!$M:$M),""))</f>
        <v/>
      </c>
      <c r="G626" s="6" t="str">
        <f>IF(A626="","",SUMIFS(Chicks!$N:$N,Chicks!$C:$C,A626))</f>
        <v/>
      </c>
      <c r="H626" s="6" t="str">
        <f>IF(A626="","",SUMIFS(Chicks!$O:$O,Chicks!$C:$C,A626))</f>
        <v/>
      </c>
      <c r="I626" s="6" t="str">
        <f>IF(A626="","",SUMIFS(Chicks!$P:$P,Chicks!$C:$C,A626))</f>
        <v/>
      </c>
    </row>
    <row r="627" spans="2:9" ht="14.25" customHeight="1" x14ac:dyDescent="0.3">
      <c r="B627" s="6" t="str">
        <f>IF(A627="","",COUNTIF(Chicks!$C:$C,A627))</f>
        <v/>
      </c>
      <c r="D627" s="6" t="str">
        <f>IF(A627="","",IFERROR(AVERAGEIF(Chicks!$C:$C,A627,Chicks!$K:$K),""))</f>
        <v/>
      </c>
      <c r="E627" s="6" t="str">
        <f>IF(A627="","",IFERROR(AVERAGEIF(Chicks!$C:$C,A627,Chicks!$L:$L),""))</f>
        <v/>
      </c>
      <c r="F627" s="6" t="str">
        <f>IF(A627="","",IFERROR(AVERAGEIF(Chicks!$C:$C,A627,Chicks!$M:$M),""))</f>
        <v/>
      </c>
      <c r="G627" s="6" t="str">
        <f>IF(A627="","",SUMIFS(Chicks!$N:$N,Chicks!$C:$C,A627))</f>
        <v/>
      </c>
      <c r="H627" s="6" t="str">
        <f>IF(A627="","",SUMIFS(Chicks!$O:$O,Chicks!$C:$C,A627))</f>
        <v/>
      </c>
      <c r="I627" s="6" t="str">
        <f>IF(A627="","",SUMIFS(Chicks!$P:$P,Chicks!$C:$C,A627))</f>
        <v/>
      </c>
    </row>
    <row r="628" spans="2:9" ht="14.25" customHeight="1" x14ac:dyDescent="0.3">
      <c r="B628" s="6" t="str">
        <f>IF(A628="","",COUNTIF(Chicks!$C:$C,A628))</f>
        <v/>
      </c>
      <c r="D628" s="6" t="str">
        <f>IF(A628="","",IFERROR(AVERAGEIF(Chicks!$C:$C,A628,Chicks!$K:$K),""))</f>
        <v/>
      </c>
      <c r="E628" s="6" t="str">
        <f>IF(A628="","",IFERROR(AVERAGEIF(Chicks!$C:$C,A628,Chicks!$L:$L),""))</f>
        <v/>
      </c>
      <c r="F628" s="6" t="str">
        <f>IF(A628="","",IFERROR(AVERAGEIF(Chicks!$C:$C,A628,Chicks!$M:$M),""))</f>
        <v/>
      </c>
      <c r="G628" s="6" t="str">
        <f>IF(A628="","",SUMIFS(Chicks!$N:$N,Chicks!$C:$C,A628))</f>
        <v/>
      </c>
      <c r="H628" s="6" t="str">
        <f>IF(A628="","",SUMIFS(Chicks!$O:$O,Chicks!$C:$C,A628))</f>
        <v/>
      </c>
      <c r="I628" s="6" t="str">
        <f>IF(A628="","",SUMIFS(Chicks!$P:$P,Chicks!$C:$C,A628))</f>
        <v/>
      </c>
    </row>
    <row r="629" spans="2:9" ht="14.25" customHeight="1" x14ac:dyDescent="0.3">
      <c r="B629" s="6" t="str">
        <f>IF(A629="","",COUNTIF(Chicks!$C:$C,A629))</f>
        <v/>
      </c>
      <c r="D629" s="6" t="str">
        <f>IF(A629="","",IFERROR(AVERAGEIF(Chicks!$C:$C,A629,Chicks!$K:$K),""))</f>
        <v/>
      </c>
      <c r="E629" s="6" t="str">
        <f>IF(A629="","",IFERROR(AVERAGEIF(Chicks!$C:$C,A629,Chicks!$L:$L),""))</f>
        <v/>
      </c>
      <c r="F629" s="6" t="str">
        <f>IF(A629="","",IFERROR(AVERAGEIF(Chicks!$C:$C,A629,Chicks!$M:$M),""))</f>
        <v/>
      </c>
      <c r="G629" s="6" t="str">
        <f>IF(A629="","",SUMIFS(Chicks!$N:$N,Chicks!$C:$C,A629))</f>
        <v/>
      </c>
      <c r="H629" s="6" t="str">
        <f>IF(A629="","",SUMIFS(Chicks!$O:$O,Chicks!$C:$C,A629))</f>
        <v/>
      </c>
      <c r="I629" s="6" t="str">
        <f>IF(A629="","",SUMIFS(Chicks!$P:$P,Chicks!$C:$C,A629))</f>
        <v/>
      </c>
    </row>
    <row r="630" spans="2:9" ht="14.25" customHeight="1" x14ac:dyDescent="0.3">
      <c r="B630" s="6" t="str">
        <f>IF(A630="","",COUNTIF(Chicks!$C:$C,A630))</f>
        <v/>
      </c>
      <c r="D630" s="6" t="str">
        <f>IF(A630="","",IFERROR(AVERAGEIF(Chicks!$C:$C,A630,Chicks!$K:$K),""))</f>
        <v/>
      </c>
      <c r="E630" s="6" t="str">
        <f>IF(A630="","",IFERROR(AVERAGEIF(Chicks!$C:$C,A630,Chicks!$L:$L),""))</f>
        <v/>
      </c>
      <c r="F630" s="6" t="str">
        <f>IF(A630="","",IFERROR(AVERAGEIF(Chicks!$C:$C,A630,Chicks!$M:$M),""))</f>
        <v/>
      </c>
      <c r="G630" s="6" t="str">
        <f>IF(A630="","",SUMIFS(Chicks!$N:$N,Chicks!$C:$C,A630))</f>
        <v/>
      </c>
      <c r="H630" s="6" t="str">
        <f>IF(A630="","",SUMIFS(Chicks!$O:$O,Chicks!$C:$C,A630))</f>
        <v/>
      </c>
      <c r="I630" s="6" t="str">
        <f>IF(A630="","",SUMIFS(Chicks!$P:$P,Chicks!$C:$C,A630))</f>
        <v/>
      </c>
    </row>
    <row r="631" spans="2:9" ht="14.25" customHeight="1" x14ac:dyDescent="0.3">
      <c r="B631" s="6" t="str">
        <f>IF(A631="","",COUNTIF(Chicks!$C:$C,A631))</f>
        <v/>
      </c>
      <c r="D631" s="6" t="str">
        <f>IF(A631="","",IFERROR(AVERAGEIF(Chicks!$C:$C,A631,Chicks!$K:$K),""))</f>
        <v/>
      </c>
      <c r="E631" s="6" t="str">
        <f>IF(A631="","",IFERROR(AVERAGEIF(Chicks!$C:$C,A631,Chicks!$L:$L),""))</f>
        <v/>
      </c>
      <c r="F631" s="6" t="str">
        <f>IF(A631="","",IFERROR(AVERAGEIF(Chicks!$C:$C,A631,Chicks!$M:$M),""))</f>
        <v/>
      </c>
      <c r="G631" s="6" t="str">
        <f>IF(A631="","",SUMIFS(Chicks!$N:$N,Chicks!$C:$C,A631))</f>
        <v/>
      </c>
      <c r="H631" s="6" t="str">
        <f>IF(A631="","",SUMIFS(Chicks!$O:$O,Chicks!$C:$C,A631))</f>
        <v/>
      </c>
      <c r="I631" s="6" t="str">
        <f>IF(A631="","",SUMIFS(Chicks!$P:$P,Chicks!$C:$C,A631))</f>
        <v/>
      </c>
    </row>
    <row r="632" spans="2:9" ht="14.25" customHeight="1" x14ac:dyDescent="0.3">
      <c r="B632" s="6" t="str">
        <f>IF(A632="","",COUNTIF(Chicks!$C:$C,A632))</f>
        <v/>
      </c>
      <c r="D632" s="6" t="str">
        <f>IF(A632="","",IFERROR(AVERAGEIF(Chicks!$C:$C,A632,Chicks!$K:$K),""))</f>
        <v/>
      </c>
      <c r="E632" s="6" t="str">
        <f>IF(A632="","",IFERROR(AVERAGEIF(Chicks!$C:$C,A632,Chicks!$L:$L),""))</f>
        <v/>
      </c>
      <c r="F632" s="6" t="str">
        <f>IF(A632="","",IFERROR(AVERAGEIF(Chicks!$C:$C,A632,Chicks!$M:$M),""))</f>
        <v/>
      </c>
      <c r="G632" s="6" t="str">
        <f>IF(A632="","",SUMIFS(Chicks!$N:$N,Chicks!$C:$C,A632))</f>
        <v/>
      </c>
      <c r="H632" s="6" t="str">
        <f>IF(A632="","",SUMIFS(Chicks!$O:$O,Chicks!$C:$C,A632))</f>
        <v/>
      </c>
      <c r="I632" s="6" t="str">
        <f>IF(A632="","",SUMIFS(Chicks!$P:$P,Chicks!$C:$C,A632))</f>
        <v/>
      </c>
    </row>
    <row r="633" spans="2:9" ht="14.25" customHeight="1" x14ac:dyDescent="0.3">
      <c r="B633" s="6" t="str">
        <f>IF(A633="","",COUNTIF(Chicks!$C:$C,A633))</f>
        <v/>
      </c>
      <c r="D633" s="6" t="str">
        <f>IF(A633="","",IFERROR(AVERAGEIF(Chicks!$C:$C,A633,Chicks!$K:$K),""))</f>
        <v/>
      </c>
      <c r="E633" s="6" t="str">
        <f>IF(A633="","",IFERROR(AVERAGEIF(Chicks!$C:$C,A633,Chicks!$L:$L),""))</f>
        <v/>
      </c>
      <c r="F633" s="6" t="str">
        <f>IF(A633="","",IFERROR(AVERAGEIF(Chicks!$C:$C,A633,Chicks!$M:$M),""))</f>
        <v/>
      </c>
      <c r="G633" s="6" t="str">
        <f>IF(A633="","",SUMIFS(Chicks!$N:$N,Chicks!$C:$C,A633))</f>
        <v/>
      </c>
      <c r="H633" s="6" t="str">
        <f>IF(A633="","",SUMIFS(Chicks!$O:$O,Chicks!$C:$C,A633))</f>
        <v/>
      </c>
      <c r="I633" s="6" t="str">
        <f>IF(A633="","",SUMIFS(Chicks!$P:$P,Chicks!$C:$C,A633))</f>
        <v/>
      </c>
    </row>
    <row r="634" spans="2:9" ht="14.25" customHeight="1" x14ac:dyDescent="0.3">
      <c r="B634" s="6" t="str">
        <f>IF(A634="","",COUNTIF(Chicks!$C:$C,A634))</f>
        <v/>
      </c>
      <c r="D634" s="6" t="str">
        <f>IF(A634="","",IFERROR(AVERAGEIF(Chicks!$C:$C,A634,Chicks!$K:$K),""))</f>
        <v/>
      </c>
      <c r="E634" s="6" t="str">
        <f>IF(A634="","",IFERROR(AVERAGEIF(Chicks!$C:$C,A634,Chicks!$L:$L),""))</f>
        <v/>
      </c>
      <c r="F634" s="6" t="str">
        <f>IF(A634="","",IFERROR(AVERAGEIF(Chicks!$C:$C,A634,Chicks!$M:$M),""))</f>
        <v/>
      </c>
      <c r="G634" s="6" t="str">
        <f>IF(A634="","",SUMIFS(Chicks!$N:$N,Chicks!$C:$C,A634))</f>
        <v/>
      </c>
      <c r="H634" s="6" t="str">
        <f>IF(A634="","",SUMIFS(Chicks!$O:$O,Chicks!$C:$C,A634))</f>
        <v/>
      </c>
      <c r="I634" s="6" t="str">
        <f>IF(A634="","",SUMIFS(Chicks!$P:$P,Chicks!$C:$C,A634))</f>
        <v/>
      </c>
    </row>
    <row r="635" spans="2:9" ht="14.25" customHeight="1" x14ac:dyDescent="0.3">
      <c r="B635" s="6" t="str">
        <f>IF(A635="","",COUNTIF(Chicks!$C:$C,A635))</f>
        <v/>
      </c>
      <c r="D635" s="6" t="str">
        <f>IF(A635="","",IFERROR(AVERAGEIF(Chicks!$C:$C,A635,Chicks!$K:$K),""))</f>
        <v/>
      </c>
      <c r="E635" s="6" t="str">
        <f>IF(A635="","",IFERROR(AVERAGEIF(Chicks!$C:$C,A635,Chicks!$L:$L),""))</f>
        <v/>
      </c>
      <c r="F635" s="6" t="str">
        <f>IF(A635="","",IFERROR(AVERAGEIF(Chicks!$C:$C,A635,Chicks!$M:$M),""))</f>
        <v/>
      </c>
      <c r="G635" s="6" t="str">
        <f>IF(A635="","",SUMIFS(Chicks!$N:$N,Chicks!$C:$C,A635))</f>
        <v/>
      </c>
      <c r="H635" s="6" t="str">
        <f>IF(A635="","",SUMIFS(Chicks!$O:$O,Chicks!$C:$C,A635))</f>
        <v/>
      </c>
      <c r="I635" s="6" t="str">
        <f>IF(A635="","",SUMIFS(Chicks!$P:$P,Chicks!$C:$C,A635))</f>
        <v/>
      </c>
    </row>
    <row r="636" spans="2:9" ht="14.25" customHeight="1" x14ac:dyDescent="0.3">
      <c r="B636" s="6" t="str">
        <f>IF(A636="","",COUNTIF(Chicks!$C:$C,A636))</f>
        <v/>
      </c>
      <c r="D636" s="6" t="str">
        <f>IF(A636="","",IFERROR(AVERAGEIF(Chicks!$C:$C,A636,Chicks!$K:$K),""))</f>
        <v/>
      </c>
      <c r="E636" s="6" t="str">
        <f>IF(A636="","",IFERROR(AVERAGEIF(Chicks!$C:$C,A636,Chicks!$L:$L),""))</f>
        <v/>
      </c>
      <c r="F636" s="6" t="str">
        <f>IF(A636="","",IFERROR(AVERAGEIF(Chicks!$C:$C,A636,Chicks!$M:$M),""))</f>
        <v/>
      </c>
      <c r="G636" s="6" t="str">
        <f>IF(A636="","",SUMIFS(Chicks!$N:$N,Chicks!$C:$C,A636))</f>
        <v/>
      </c>
      <c r="H636" s="6" t="str">
        <f>IF(A636="","",SUMIFS(Chicks!$O:$O,Chicks!$C:$C,A636))</f>
        <v/>
      </c>
      <c r="I636" s="6" t="str">
        <f>IF(A636="","",SUMIFS(Chicks!$P:$P,Chicks!$C:$C,A636))</f>
        <v/>
      </c>
    </row>
    <row r="637" spans="2:9" ht="14.25" customHeight="1" x14ac:dyDescent="0.3">
      <c r="B637" s="6" t="str">
        <f>IF(A637="","",COUNTIF(Chicks!$C:$C,A637))</f>
        <v/>
      </c>
      <c r="D637" s="6" t="str">
        <f>IF(A637="","",IFERROR(AVERAGEIF(Chicks!$C:$C,A637,Chicks!$K:$K),""))</f>
        <v/>
      </c>
      <c r="E637" s="6" t="str">
        <f>IF(A637="","",IFERROR(AVERAGEIF(Chicks!$C:$C,A637,Chicks!$L:$L),""))</f>
        <v/>
      </c>
      <c r="F637" s="6" t="str">
        <f>IF(A637="","",IFERROR(AVERAGEIF(Chicks!$C:$C,A637,Chicks!$M:$M),""))</f>
        <v/>
      </c>
      <c r="G637" s="6" t="str">
        <f>IF(A637="","",SUMIFS(Chicks!$N:$N,Chicks!$C:$C,A637))</f>
        <v/>
      </c>
      <c r="H637" s="6" t="str">
        <f>IF(A637="","",SUMIFS(Chicks!$O:$O,Chicks!$C:$C,A637))</f>
        <v/>
      </c>
      <c r="I637" s="6" t="str">
        <f>IF(A637="","",SUMIFS(Chicks!$P:$P,Chicks!$C:$C,A637))</f>
        <v/>
      </c>
    </row>
    <row r="638" spans="2:9" ht="14.25" customHeight="1" x14ac:dyDescent="0.3">
      <c r="B638" s="6" t="str">
        <f>IF(A638="","",COUNTIF(Chicks!$C:$C,A638))</f>
        <v/>
      </c>
      <c r="D638" s="6" t="str">
        <f>IF(A638="","",IFERROR(AVERAGEIF(Chicks!$C:$C,A638,Chicks!$K:$K),""))</f>
        <v/>
      </c>
      <c r="E638" s="6" t="str">
        <f>IF(A638="","",IFERROR(AVERAGEIF(Chicks!$C:$C,A638,Chicks!$L:$L),""))</f>
        <v/>
      </c>
      <c r="F638" s="6" t="str">
        <f>IF(A638="","",IFERROR(AVERAGEIF(Chicks!$C:$C,A638,Chicks!$M:$M),""))</f>
        <v/>
      </c>
      <c r="G638" s="6" t="str">
        <f>IF(A638="","",SUMIFS(Chicks!$N:$N,Chicks!$C:$C,A638))</f>
        <v/>
      </c>
      <c r="H638" s="6" t="str">
        <f>IF(A638="","",SUMIFS(Chicks!$O:$O,Chicks!$C:$C,A638))</f>
        <v/>
      </c>
      <c r="I638" s="6" t="str">
        <f>IF(A638="","",SUMIFS(Chicks!$P:$P,Chicks!$C:$C,A638))</f>
        <v/>
      </c>
    </row>
    <row r="639" spans="2:9" ht="14.25" customHeight="1" x14ac:dyDescent="0.3">
      <c r="B639" s="6" t="str">
        <f>IF(A639="","",COUNTIF(Chicks!$C:$C,A639))</f>
        <v/>
      </c>
      <c r="D639" s="6" t="str">
        <f>IF(A639="","",IFERROR(AVERAGEIF(Chicks!$C:$C,A639,Chicks!$K:$K),""))</f>
        <v/>
      </c>
      <c r="E639" s="6" t="str">
        <f>IF(A639="","",IFERROR(AVERAGEIF(Chicks!$C:$C,A639,Chicks!$L:$L),""))</f>
        <v/>
      </c>
      <c r="F639" s="6" t="str">
        <f>IF(A639="","",IFERROR(AVERAGEIF(Chicks!$C:$C,A639,Chicks!$M:$M),""))</f>
        <v/>
      </c>
      <c r="G639" s="6" t="str">
        <f>IF(A639="","",SUMIFS(Chicks!$N:$N,Chicks!$C:$C,A639))</f>
        <v/>
      </c>
      <c r="H639" s="6" t="str">
        <f>IF(A639="","",SUMIFS(Chicks!$O:$O,Chicks!$C:$C,A639))</f>
        <v/>
      </c>
      <c r="I639" s="6" t="str">
        <f>IF(A639="","",SUMIFS(Chicks!$P:$P,Chicks!$C:$C,A639))</f>
        <v/>
      </c>
    </row>
    <row r="640" spans="2:9" ht="14.25" customHeight="1" x14ac:dyDescent="0.3">
      <c r="B640" s="6" t="str">
        <f>IF(A640="","",COUNTIF(Chicks!$C:$C,A640))</f>
        <v/>
      </c>
      <c r="D640" s="6" t="str">
        <f>IF(A640="","",IFERROR(AVERAGEIF(Chicks!$C:$C,A640,Chicks!$K:$K),""))</f>
        <v/>
      </c>
      <c r="E640" s="6" t="str">
        <f>IF(A640="","",IFERROR(AVERAGEIF(Chicks!$C:$C,A640,Chicks!$L:$L),""))</f>
        <v/>
      </c>
      <c r="F640" s="6" t="str">
        <f>IF(A640="","",IFERROR(AVERAGEIF(Chicks!$C:$C,A640,Chicks!$M:$M),""))</f>
        <v/>
      </c>
      <c r="G640" s="6" t="str">
        <f>IF(A640="","",SUMIFS(Chicks!$N:$N,Chicks!$C:$C,A640))</f>
        <v/>
      </c>
      <c r="H640" s="6" t="str">
        <f>IF(A640="","",SUMIFS(Chicks!$O:$O,Chicks!$C:$C,A640))</f>
        <v/>
      </c>
      <c r="I640" s="6" t="str">
        <f>IF(A640="","",SUMIFS(Chicks!$P:$P,Chicks!$C:$C,A640))</f>
        <v/>
      </c>
    </row>
    <row r="641" spans="2:9" ht="14.25" customHeight="1" x14ac:dyDescent="0.3">
      <c r="B641" s="6" t="str">
        <f>IF(A641="","",COUNTIF(Chicks!$C:$C,A641))</f>
        <v/>
      </c>
      <c r="D641" s="6" t="str">
        <f>IF(A641="","",IFERROR(AVERAGEIF(Chicks!$C:$C,A641,Chicks!$K:$K),""))</f>
        <v/>
      </c>
      <c r="E641" s="6" t="str">
        <f>IF(A641="","",IFERROR(AVERAGEIF(Chicks!$C:$C,A641,Chicks!$L:$L),""))</f>
        <v/>
      </c>
      <c r="F641" s="6" t="str">
        <f>IF(A641="","",IFERROR(AVERAGEIF(Chicks!$C:$C,A641,Chicks!$M:$M),""))</f>
        <v/>
      </c>
      <c r="G641" s="6" t="str">
        <f>IF(A641="","",SUMIFS(Chicks!$N:$N,Chicks!$C:$C,A641))</f>
        <v/>
      </c>
      <c r="H641" s="6" t="str">
        <f>IF(A641="","",SUMIFS(Chicks!$O:$O,Chicks!$C:$C,A641))</f>
        <v/>
      </c>
      <c r="I641" s="6" t="str">
        <f>IF(A641="","",SUMIFS(Chicks!$P:$P,Chicks!$C:$C,A641))</f>
        <v/>
      </c>
    </row>
    <row r="642" spans="2:9" ht="14.25" customHeight="1" x14ac:dyDescent="0.3">
      <c r="B642" s="6" t="str">
        <f>IF(A642="","",COUNTIF(Chicks!$C:$C,A642))</f>
        <v/>
      </c>
      <c r="D642" s="6" t="str">
        <f>IF(A642="","",IFERROR(AVERAGEIF(Chicks!$C:$C,A642,Chicks!$K:$K),""))</f>
        <v/>
      </c>
      <c r="E642" s="6" t="str">
        <f>IF(A642="","",IFERROR(AVERAGEIF(Chicks!$C:$C,A642,Chicks!$L:$L),""))</f>
        <v/>
      </c>
      <c r="F642" s="6" t="str">
        <f>IF(A642="","",IFERROR(AVERAGEIF(Chicks!$C:$C,A642,Chicks!$M:$M),""))</f>
        <v/>
      </c>
      <c r="G642" s="6" t="str">
        <f>IF(A642="","",SUMIFS(Chicks!$N:$N,Chicks!$C:$C,A642))</f>
        <v/>
      </c>
      <c r="H642" s="6" t="str">
        <f>IF(A642="","",SUMIFS(Chicks!$O:$O,Chicks!$C:$C,A642))</f>
        <v/>
      </c>
      <c r="I642" s="6" t="str">
        <f>IF(A642="","",SUMIFS(Chicks!$P:$P,Chicks!$C:$C,A642))</f>
        <v/>
      </c>
    </row>
    <row r="643" spans="2:9" ht="14.25" customHeight="1" x14ac:dyDescent="0.3">
      <c r="B643" s="6" t="str">
        <f>IF(A643="","",COUNTIF(Chicks!$C:$C,A643))</f>
        <v/>
      </c>
      <c r="D643" s="6" t="str">
        <f>IF(A643="","",IFERROR(AVERAGEIF(Chicks!$C:$C,A643,Chicks!$K:$K),""))</f>
        <v/>
      </c>
      <c r="E643" s="6" t="str">
        <f>IF(A643="","",IFERROR(AVERAGEIF(Chicks!$C:$C,A643,Chicks!$L:$L),""))</f>
        <v/>
      </c>
      <c r="F643" s="6" t="str">
        <f>IF(A643="","",IFERROR(AVERAGEIF(Chicks!$C:$C,A643,Chicks!$M:$M),""))</f>
        <v/>
      </c>
      <c r="G643" s="6" t="str">
        <f>IF(A643="","",SUMIFS(Chicks!$N:$N,Chicks!$C:$C,A643))</f>
        <v/>
      </c>
      <c r="H643" s="6" t="str">
        <f>IF(A643="","",SUMIFS(Chicks!$O:$O,Chicks!$C:$C,A643))</f>
        <v/>
      </c>
      <c r="I643" s="6" t="str">
        <f>IF(A643="","",SUMIFS(Chicks!$P:$P,Chicks!$C:$C,A643))</f>
        <v/>
      </c>
    </row>
    <row r="644" spans="2:9" ht="14.25" customHeight="1" x14ac:dyDescent="0.3">
      <c r="B644" s="6" t="str">
        <f>IF(A644="","",COUNTIF(Chicks!$C:$C,A644))</f>
        <v/>
      </c>
      <c r="D644" s="6" t="str">
        <f>IF(A644="","",IFERROR(AVERAGEIF(Chicks!$C:$C,A644,Chicks!$K:$K),""))</f>
        <v/>
      </c>
      <c r="E644" s="6" t="str">
        <f>IF(A644="","",IFERROR(AVERAGEIF(Chicks!$C:$C,A644,Chicks!$L:$L),""))</f>
        <v/>
      </c>
      <c r="F644" s="6" t="str">
        <f>IF(A644="","",IFERROR(AVERAGEIF(Chicks!$C:$C,A644,Chicks!$M:$M),""))</f>
        <v/>
      </c>
      <c r="G644" s="6" t="str">
        <f>IF(A644="","",SUMIFS(Chicks!$N:$N,Chicks!$C:$C,A644))</f>
        <v/>
      </c>
      <c r="H644" s="6" t="str">
        <f>IF(A644="","",SUMIFS(Chicks!$O:$O,Chicks!$C:$C,A644))</f>
        <v/>
      </c>
      <c r="I644" s="6" t="str">
        <f>IF(A644="","",SUMIFS(Chicks!$P:$P,Chicks!$C:$C,A644))</f>
        <v/>
      </c>
    </row>
    <row r="645" spans="2:9" ht="14.25" customHeight="1" x14ac:dyDescent="0.3">
      <c r="B645" s="6" t="str">
        <f>IF(A645="","",COUNTIF(Chicks!$C:$C,A645))</f>
        <v/>
      </c>
      <c r="D645" s="6" t="str">
        <f>IF(A645="","",IFERROR(AVERAGEIF(Chicks!$C:$C,A645,Chicks!$K:$K),""))</f>
        <v/>
      </c>
      <c r="E645" s="6" t="str">
        <f>IF(A645="","",IFERROR(AVERAGEIF(Chicks!$C:$C,A645,Chicks!$L:$L),""))</f>
        <v/>
      </c>
      <c r="F645" s="6" t="str">
        <f>IF(A645="","",IFERROR(AVERAGEIF(Chicks!$C:$C,A645,Chicks!$M:$M),""))</f>
        <v/>
      </c>
      <c r="G645" s="6" t="str">
        <f>IF(A645="","",SUMIFS(Chicks!$N:$N,Chicks!$C:$C,A645))</f>
        <v/>
      </c>
      <c r="H645" s="6" t="str">
        <f>IF(A645="","",SUMIFS(Chicks!$O:$O,Chicks!$C:$C,A645))</f>
        <v/>
      </c>
      <c r="I645" s="6" t="str">
        <f>IF(A645="","",SUMIFS(Chicks!$P:$P,Chicks!$C:$C,A645))</f>
        <v/>
      </c>
    </row>
    <row r="646" spans="2:9" ht="14.25" customHeight="1" x14ac:dyDescent="0.3">
      <c r="B646" s="6" t="str">
        <f>IF(A646="","",COUNTIF(Chicks!$C:$C,A646))</f>
        <v/>
      </c>
      <c r="D646" s="6" t="str">
        <f>IF(A646="","",IFERROR(AVERAGEIF(Chicks!$C:$C,A646,Chicks!$K:$K),""))</f>
        <v/>
      </c>
      <c r="E646" s="6" t="str">
        <f>IF(A646="","",IFERROR(AVERAGEIF(Chicks!$C:$C,A646,Chicks!$L:$L),""))</f>
        <v/>
      </c>
      <c r="F646" s="6" t="str">
        <f>IF(A646="","",IFERROR(AVERAGEIF(Chicks!$C:$C,A646,Chicks!$M:$M),""))</f>
        <v/>
      </c>
      <c r="G646" s="6" t="str">
        <f>IF(A646="","",SUMIFS(Chicks!$N:$N,Chicks!$C:$C,A646))</f>
        <v/>
      </c>
      <c r="H646" s="6" t="str">
        <f>IF(A646="","",SUMIFS(Chicks!$O:$O,Chicks!$C:$C,A646))</f>
        <v/>
      </c>
      <c r="I646" s="6" t="str">
        <f>IF(A646="","",SUMIFS(Chicks!$P:$P,Chicks!$C:$C,A646))</f>
        <v/>
      </c>
    </row>
    <row r="647" spans="2:9" ht="14.25" customHeight="1" x14ac:dyDescent="0.3">
      <c r="B647" s="6" t="str">
        <f>IF(A647="","",COUNTIF(Chicks!$C:$C,A647))</f>
        <v/>
      </c>
      <c r="D647" s="6" t="str">
        <f>IF(A647="","",IFERROR(AVERAGEIF(Chicks!$C:$C,A647,Chicks!$K:$K),""))</f>
        <v/>
      </c>
      <c r="E647" s="6" t="str">
        <f>IF(A647="","",IFERROR(AVERAGEIF(Chicks!$C:$C,A647,Chicks!$L:$L),""))</f>
        <v/>
      </c>
      <c r="F647" s="6" t="str">
        <f>IF(A647="","",IFERROR(AVERAGEIF(Chicks!$C:$C,A647,Chicks!$M:$M),""))</f>
        <v/>
      </c>
      <c r="G647" s="6" t="str">
        <f>IF(A647="","",SUMIFS(Chicks!$N:$N,Chicks!$C:$C,A647))</f>
        <v/>
      </c>
      <c r="H647" s="6" t="str">
        <f>IF(A647="","",SUMIFS(Chicks!$O:$O,Chicks!$C:$C,A647))</f>
        <v/>
      </c>
      <c r="I647" s="6" t="str">
        <f>IF(A647="","",SUMIFS(Chicks!$P:$P,Chicks!$C:$C,A647))</f>
        <v/>
      </c>
    </row>
    <row r="648" spans="2:9" ht="14.25" customHeight="1" x14ac:dyDescent="0.3">
      <c r="B648" s="6" t="str">
        <f>IF(A648="","",COUNTIF(Chicks!$C:$C,A648))</f>
        <v/>
      </c>
      <c r="D648" s="6" t="str">
        <f>IF(A648="","",IFERROR(AVERAGEIF(Chicks!$C:$C,A648,Chicks!$K:$K),""))</f>
        <v/>
      </c>
      <c r="E648" s="6" t="str">
        <f>IF(A648="","",IFERROR(AVERAGEIF(Chicks!$C:$C,A648,Chicks!$L:$L),""))</f>
        <v/>
      </c>
      <c r="F648" s="6" t="str">
        <f>IF(A648="","",IFERROR(AVERAGEIF(Chicks!$C:$C,A648,Chicks!$M:$M),""))</f>
        <v/>
      </c>
      <c r="G648" s="6" t="str">
        <f>IF(A648="","",SUMIFS(Chicks!$N:$N,Chicks!$C:$C,A648))</f>
        <v/>
      </c>
      <c r="H648" s="6" t="str">
        <f>IF(A648="","",SUMIFS(Chicks!$O:$O,Chicks!$C:$C,A648))</f>
        <v/>
      </c>
      <c r="I648" s="6" t="str">
        <f>IF(A648="","",SUMIFS(Chicks!$P:$P,Chicks!$C:$C,A648))</f>
        <v/>
      </c>
    </row>
    <row r="649" spans="2:9" ht="14.25" customHeight="1" x14ac:dyDescent="0.3">
      <c r="B649" s="6" t="str">
        <f>IF(A649="","",COUNTIF(Chicks!$C:$C,A649))</f>
        <v/>
      </c>
      <c r="D649" s="6" t="str">
        <f>IF(A649="","",IFERROR(AVERAGEIF(Chicks!$C:$C,A649,Chicks!$K:$K),""))</f>
        <v/>
      </c>
      <c r="E649" s="6" t="str">
        <f>IF(A649="","",IFERROR(AVERAGEIF(Chicks!$C:$C,A649,Chicks!$L:$L),""))</f>
        <v/>
      </c>
      <c r="F649" s="6" t="str">
        <f>IF(A649="","",IFERROR(AVERAGEIF(Chicks!$C:$C,A649,Chicks!$M:$M),""))</f>
        <v/>
      </c>
      <c r="G649" s="6" t="str">
        <f>IF(A649="","",SUMIFS(Chicks!$N:$N,Chicks!$C:$C,A649))</f>
        <v/>
      </c>
      <c r="H649" s="6" t="str">
        <f>IF(A649="","",SUMIFS(Chicks!$O:$O,Chicks!$C:$C,A649))</f>
        <v/>
      </c>
      <c r="I649" s="6" t="str">
        <f>IF(A649="","",SUMIFS(Chicks!$P:$P,Chicks!$C:$C,A649))</f>
        <v/>
      </c>
    </row>
    <row r="650" spans="2:9" ht="14.25" customHeight="1" x14ac:dyDescent="0.3">
      <c r="B650" s="6" t="str">
        <f>IF(A650="","",COUNTIF(Chicks!$C:$C,A650))</f>
        <v/>
      </c>
      <c r="D650" s="6" t="str">
        <f>IF(A650="","",IFERROR(AVERAGEIF(Chicks!$C:$C,A650,Chicks!$K:$K),""))</f>
        <v/>
      </c>
      <c r="E650" s="6" t="str">
        <f>IF(A650="","",IFERROR(AVERAGEIF(Chicks!$C:$C,A650,Chicks!$L:$L),""))</f>
        <v/>
      </c>
      <c r="F650" s="6" t="str">
        <f>IF(A650="","",IFERROR(AVERAGEIF(Chicks!$C:$C,A650,Chicks!$M:$M),""))</f>
        <v/>
      </c>
      <c r="G650" s="6" t="str">
        <f>IF(A650="","",SUMIFS(Chicks!$N:$N,Chicks!$C:$C,A650))</f>
        <v/>
      </c>
      <c r="H650" s="6" t="str">
        <f>IF(A650="","",SUMIFS(Chicks!$O:$O,Chicks!$C:$C,A650))</f>
        <v/>
      </c>
      <c r="I650" s="6" t="str">
        <f>IF(A650="","",SUMIFS(Chicks!$P:$P,Chicks!$C:$C,A650))</f>
        <v/>
      </c>
    </row>
    <row r="651" spans="2:9" ht="14.25" customHeight="1" x14ac:dyDescent="0.3">
      <c r="B651" s="6" t="str">
        <f>IF(A651="","",COUNTIF(Chicks!$C:$C,A651))</f>
        <v/>
      </c>
      <c r="D651" s="6" t="str">
        <f>IF(A651="","",IFERROR(AVERAGEIF(Chicks!$C:$C,A651,Chicks!$K:$K),""))</f>
        <v/>
      </c>
      <c r="E651" s="6" t="str">
        <f>IF(A651="","",IFERROR(AVERAGEIF(Chicks!$C:$C,A651,Chicks!$L:$L),""))</f>
        <v/>
      </c>
      <c r="F651" s="6" t="str">
        <f>IF(A651="","",IFERROR(AVERAGEIF(Chicks!$C:$C,A651,Chicks!$M:$M),""))</f>
        <v/>
      </c>
      <c r="G651" s="6" t="str">
        <f>IF(A651="","",SUMIFS(Chicks!$N:$N,Chicks!$C:$C,A651))</f>
        <v/>
      </c>
      <c r="H651" s="6" t="str">
        <f>IF(A651="","",SUMIFS(Chicks!$O:$O,Chicks!$C:$C,A651))</f>
        <v/>
      </c>
      <c r="I651" s="6" t="str">
        <f>IF(A651="","",SUMIFS(Chicks!$P:$P,Chicks!$C:$C,A651))</f>
        <v/>
      </c>
    </row>
    <row r="652" spans="2:9" ht="14.25" customHeight="1" x14ac:dyDescent="0.3">
      <c r="B652" s="6" t="str">
        <f>IF(A652="","",COUNTIF(Chicks!$C:$C,A652))</f>
        <v/>
      </c>
      <c r="D652" s="6" t="str">
        <f>IF(A652="","",IFERROR(AVERAGEIF(Chicks!$C:$C,A652,Chicks!$K:$K),""))</f>
        <v/>
      </c>
      <c r="E652" s="6" t="str">
        <f>IF(A652="","",IFERROR(AVERAGEIF(Chicks!$C:$C,A652,Chicks!$L:$L),""))</f>
        <v/>
      </c>
      <c r="F652" s="6" t="str">
        <f>IF(A652="","",IFERROR(AVERAGEIF(Chicks!$C:$C,A652,Chicks!$M:$M),""))</f>
        <v/>
      </c>
      <c r="G652" s="6" t="str">
        <f>IF(A652="","",SUMIFS(Chicks!$N:$N,Chicks!$C:$C,A652))</f>
        <v/>
      </c>
      <c r="H652" s="6" t="str">
        <f>IF(A652="","",SUMIFS(Chicks!$O:$O,Chicks!$C:$C,A652))</f>
        <v/>
      </c>
      <c r="I652" s="6" t="str">
        <f>IF(A652="","",SUMIFS(Chicks!$P:$P,Chicks!$C:$C,A652))</f>
        <v/>
      </c>
    </row>
    <row r="653" spans="2:9" ht="14.25" customHeight="1" x14ac:dyDescent="0.3">
      <c r="B653" s="6" t="str">
        <f>IF(A653="","",COUNTIF(Chicks!$C:$C,A653))</f>
        <v/>
      </c>
      <c r="D653" s="6" t="str">
        <f>IF(A653="","",IFERROR(AVERAGEIF(Chicks!$C:$C,A653,Chicks!$K:$K),""))</f>
        <v/>
      </c>
      <c r="E653" s="6" t="str">
        <f>IF(A653="","",IFERROR(AVERAGEIF(Chicks!$C:$C,A653,Chicks!$L:$L),""))</f>
        <v/>
      </c>
      <c r="F653" s="6" t="str">
        <f>IF(A653="","",IFERROR(AVERAGEIF(Chicks!$C:$C,A653,Chicks!$M:$M),""))</f>
        <v/>
      </c>
      <c r="G653" s="6" t="str">
        <f>IF(A653="","",SUMIFS(Chicks!$N:$N,Chicks!$C:$C,A653))</f>
        <v/>
      </c>
      <c r="H653" s="6" t="str">
        <f>IF(A653="","",SUMIFS(Chicks!$O:$O,Chicks!$C:$C,A653))</f>
        <v/>
      </c>
      <c r="I653" s="6" t="str">
        <f>IF(A653="","",SUMIFS(Chicks!$P:$P,Chicks!$C:$C,A653))</f>
        <v/>
      </c>
    </row>
    <row r="654" spans="2:9" ht="14.25" customHeight="1" x14ac:dyDescent="0.3">
      <c r="B654" s="6" t="str">
        <f>IF(A654="","",COUNTIF(Chicks!$C:$C,A654))</f>
        <v/>
      </c>
      <c r="D654" s="6" t="str">
        <f>IF(A654="","",IFERROR(AVERAGEIF(Chicks!$C:$C,A654,Chicks!$K:$K),""))</f>
        <v/>
      </c>
      <c r="E654" s="6" t="str">
        <f>IF(A654="","",IFERROR(AVERAGEIF(Chicks!$C:$C,A654,Chicks!$L:$L),""))</f>
        <v/>
      </c>
      <c r="F654" s="6" t="str">
        <f>IF(A654="","",IFERROR(AVERAGEIF(Chicks!$C:$C,A654,Chicks!$M:$M),""))</f>
        <v/>
      </c>
      <c r="G654" s="6" t="str">
        <f>IF(A654="","",SUMIFS(Chicks!$N:$N,Chicks!$C:$C,A654))</f>
        <v/>
      </c>
      <c r="H654" s="6" t="str">
        <f>IF(A654="","",SUMIFS(Chicks!$O:$O,Chicks!$C:$C,A654))</f>
        <v/>
      </c>
      <c r="I654" s="6" t="str">
        <f>IF(A654="","",SUMIFS(Chicks!$P:$P,Chicks!$C:$C,A654))</f>
        <v/>
      </c>
    </row>
    <row r="655" spans="2:9" ht="14.25" customHeight="1" x14ac:dyDescent="0.3">
      <c r="B655" s="6" t="str">
        <f>IF(A655="","",COUNTIF(Chicks!$C:$C,A655))</f>
        <v/>
      </c>
      <c r="D655" s="6" t="str">
        <f>IF(A655="","",IFERROR(AVERAGEIF(Chicks!$C:$C,A655,Chicks!$K:$K),""))</f>
        <v/>
      </c>
      <c r="E655" s="6" t="str">
        <f>IF(A655="","",IFERROR(AVERAGEIF(Chicks!$C:$C,A655,Chicks!$L:$L),""))</f>
        <v/>
      </c>
      <c r="F655" s="6" t="str">
        <f>IF(A655="","",IFERROR(AVERAGEIF(Chicks!$C:$C,A655,Chicks!$M:$M),""))</f>
        <v/>
      </c>
      <c r="G655" s="6" t="str">
        <f>IF(A655="","",SUMIFS(Chicks!$N:$N,Chicks!$C:$C,A655))</f>
        <v/>
      </c>
      <c r="H655" s="6" t="str">
        <f>IF(A655="","",SUMIFS(Chicks!$O:$O,Chicks!$C:$C,A655))</f>
        <v/>
      </c>
      <c r="I655" s="6" t="str">
        <f>IF(A655="","",SUMIFS(Chicks!$P:$P,Chicks!$C:$C,A655))</f>
        <v/>
      </c>
    </row>
    <row r="656" spans="2:9" ht="14.25" customHeight="1" x14ac:dyDescent="0.3">
      <c r="B656" s="6" t="str">
        <f>IF(A656="","",COUNTIF(Chicks!$C:$C,A656))</f>
        <v/>
      </c>
      <c r="D656" s="6" t="str">
        <f>IF(A656="","",IFERROR(AVERAGEIF(Chicks!$C:$C,A656,Chicks!$K:$K),""))</f>
        <v/>
      </c>
      <c r="E656" s="6" t="str">
        <f>IF(A656="","",IFERROR(AVERAGEIF(Chicks!$C:$C,A656,Chicks!$L:$L),""))</f>
        <v/>
      </c>
      <c r="F656" s="6" t="str">
        <f>IF(A656="","",IFERROR(AVERAGEIF(Chicks!$C:$C,A656,Chicks!$M:$M),""))</f>
        <v/>
      </c>
      <c r="G656" s="6" t="str">
        <f>IF(A656="","",SUMIFS(Chicks!$N:$N,Chicks!$C:$C,A656))</f>
        <v/>
      </c>
      <c r="H656" s="6" t="str">
        <f>IF(A656="","",SUMIFS(Chicks!$O:$O,Chicks!$C:$C,A656))</f>
        <v/>
      </c>
      <c r="I656" s="6" t="str">
        <f>IF(A656="","",SUMIFS(Chicks!$P:$P,Chicks!$C:$C,A656))</f>
        <v/>
      </c>
    </row>
    <row r="657" spans="2:9" ht="14.25" customHeight="1" x14ac:dyDescent="0.3">
      <c r="B657" s="6" t="str">
        <f>IF(A657="","",COUNTIF(Chicks!$C:$C,A657))</f>
        <v/>
      </c>
      <c r="D657" s="6" t="str">
        <f>IF(A657="","",IFERROR(AVERAGEIF(Chicks!$C:$C,A657,Chicks!$K:$K),""))</f>
        <v/>
      </c>
      <c r="E657" s="6" t="str">
        <f>IF(A657="","",IFERROR(AVERAGEIF(Chicks!$C:$C,A657,Chicks!$L:$L),""))</f>
        <v/>
      </c>
      <c r="F657" s="6" t="str">
        <f>IF(A657="","",IFERROR(AVERAGEIF(Chicks!$C:$C,A657,Chicks!$M:$M),""))</f>
        <v/>
      </c>
      <c r="G657" s="6" t="str">
        <f>IF(A657="","",SUMIFS(Chicks!$N:$N,Chicks!$C:$C,A657))</f>
        <v/>
      </c>
      <c r="H657" s="6" t="str">
        <f>IF(A657="","",SUMIFS(Chicks!$O:$O,Chicks!$C:$C,A657))</f>
        <v/>
      </c>
      <c r="I657" s="6" t="str">
        <f>IF(A657="","",SUMIFS(Chicks!$P:$P,Chicks!$C:$C,A657))</f>
        <v/>
      </c>
    </row>
    <row r="658" spans="2:9" ht="14.25" customHeight="1" x14ac:dyDescent="0.3">
      <c r="B658" s="6" t="str">
        <f>IF(A658="","",COUNTIF(Chicks!$C:$C,A658))</f>
        <v/>
      </c>
      <c r="D658" s="6" t="str">
        <f>IF(A658="","",IFERROR(AVERAGEIF(Chicks!$C:$C,A658,Chicks!$K:$K),""))</f>
        <v/>
      </c>
      <c r="E658" s="6" t="str">
        <f>IF(A658="","",IFERROR(AVERAGEIF(Chicks!$C:$C,A658,Chicks!$L:$L),""))</f>
        <v/>
      </c>
      <c r="F658" s="6" t="str">
        <f>IF(A658="","",IFERROR(AVERAGEIF(Chicks!$C:$C,A658,Chicks!$M:$M),""))</f>
        <v/>
      </c>
      <c r="G658" s="6" t="str">
        <f>IF(A658="","",SUMIFS(Chicks!$N:$N,Chicks!$C:$C,A658))</f>
        <v/>
      </c>
      <c r="H658" s="6" t="str">
        <f>IF(A658="","",SUMIFS(Chicks!$O:$O,Chicks!$C:$C,A658))</f>
        <v/>
      </c>
      <c r="I658" s="6" t="str">
        <f>IF(A658="","",SUMIFS(Chicks!$P:$P,Chicks!$C:$C,A658))</f>
        <v/>
      </c>
    </row>
    <row r="659" spans="2:9" ht="14.25" customHeight="1" x14ac:dyDescent="0.3">
      <c r="B659" s="6" t="str">
        <f>IF(A659="","",COUNTIF(Chicks!$C:$C,A659))</f>
        <v/>
      </c>
      <c r="D659" s="6" t="str">
        <f>IF(A659="","",IFERROR(AVERAGEIF(Chicks!$C:$C,A659,Chicks!$K:$K),""))</f>
        <v/>
      </c>
      <c r="E659" s="6" t="str">
        <f>IF(A659="","",IFERROR(AVERAGEIF(Chicks!$C:$C,A659,Chicks!$L:$L),""))</f>
        <v/>
      </c>
      <c r="F659" s="6" t="str">
        <f>IF(A659="","",IFERROR(AVERAGEIF(Chicks!$C:$C,A659,Chicks!$M:$M),""))</f>
        <v/>
      </c>
      <c r="G659" s="6" t="str">
        <f>IF(A659="","",SUMIFS(Chicks!$N:$N,Chicks!$C:$C,A659))</f>
        <v/>
      </c>
      <c r="H659" s="6" t="str">
        <f>IF(A659="","",SUMIFS(Chicks!$O:$O,Chicks!$C:$C,A659))</f>
        <v/>
      </c>
      <c r="I659" s="6" t="str">
        <f>IF(A659="","",SUMIFS(Chicks!$P:$P,Chicks!$C:$C,A659))</f>
        <v/>
      </c>
    </row>
    <row r="660" spans="2:9" ht="14.25" customHeight="1" x14ac:dyDescent="0.3">
      <c r="B660" s="6" t="str">
        <f>IF(A660="","",COUNTIF(Chicks!$C:$C,A660))</f>
        <v/>
      </c>
      <c r="D660" s="6" t="str">
        <f>IF(A660="","",IFERROR(AVERAGEIF(Chicks!$C:$C,A660,Chicks!$K:$K),""))</f>
        <v/>
      </c>
      <c r="E660" s="6" t="str">
        <f>IF(A660="","",IFERROR(AVERAGEIF(Chicks!$C:$C,A660,Chicks!$L:$L),""))</f>
        <v/>
      </c>
      <c r="F660" s="6" t="str">
        <f>IF(A660="","",IFERROR(AVERAGEIF(Chicks!$C:$C,A660,Chicks!$M:$M),""))</f>
        <v/>
      </c>
      <c r="G660" s="6" t="str">
        <f>IF(A660="","",SUMIFS(Chicks!$N:$N,Chicks!$C:$C,A660))</f>
        <v/>
      </c>
      <c r="H660" s="6" t="str">
        <f>IF(A660="","",SUMIFS(Chicks!$O:$O,Chicks!$C:$C,A660))</f>
        <v/>
      </c>
      <c r="I660" s="6" t="str">
        <f>IF(A660="","",SUMIFS(Chicks!$P:$P,Chicks!$C:$C,A660))</f>
        <v/>
      </c>
    </row>
    <row r="661" spans="2:9" ht="14.25" customHeight="1" x14ac:dyDescent="0.3">
      <c r="B661" s="6" t="str">
        <f>IF(A661="","",COUNTIF(Chicks!$C:$C,A661))</f>
        <v/>
      </c>
      <c r="D661" s="6" t="str">
        <f>IF(A661="","",IFERROR(AVERAGEIF(Chicks!$C:$C,A661,Chicks!$K:$K),""))</f>
        <v/>
      </c>
      <c r="E661" s="6" t="str">
        <f>IF(A661="","",IFERROR(AVERAGEIF(Chicks!$C:$C,A661,Chicks!$L:$L),""))</f>
        <v/>
      </c>
      <c r="F661" s="6" t="str">
        <f>IF(A661="","",IFERROR(AVERAGEIF(Chicks!$C:$C,A661,Chicks!$M:$M),""))</f>
        <v/>
      </c>
      <c r="G661" s="6" t="str">
        <f>IF(A661="","",SUMIFS(Chicks!$N:$N,Chicks!$C:$C,A661))</f>
        <v/>
      </c>
      <c r="H661" s="6" t="str">
        <f>IF(A661="","",SUMIFS(Chicks!$O:$O,Chicks!$C:$C,A661))</f>
        <v/>
      </c>
      <c r="I661" s="6" t="str">
        <f>IF(A661="","",SUMIFS(Chicks!$P:$P,Chicks!$C:$C,A661))</f>
        <v/>
      </c>
    </row>
    <row r="662" spans="2:9" ht="14.25" customHeight="1" x14ac:dyDescent="0.3">
      <c r="B662" s="6" t="str">
        <f>IF(A662="","",COUNTIF(Chicks!$C:$C,A662))</f>
        <v/>
      </c>
      <c r="D662" s="6" t="str">
        <f>IF(A662="","",IFERROR(AVERAGEIF(Chicks!$C:$C,A662,Chicks!$K:$K),""))</f>
        <v/>
      </c>
      <c r="E662" s="6" t="str">
        <f>IF(A662="","",IFERROR(AVERAGEIF(Chicks!$C:$C,A662,Chicks!$L:$L),""))</f>
        <v/>
      </c>
      <c r="F662" s="6" t="str">
        <f>IF(A662="","",IFERROR(AVERAGEIF(Chicks!$C:$C,A662,Chicks!$M:$M),""))</f>
        <v/>
      </c>
      <c r="G662" s="6" t="str">
        <f>IF(A662="","",SUMIFS(Chicks!$N:$N,Chicks!$C:$C,A662))</f>
        <v/>
      </c>
      <c r="H662" s="6" t="str">
        <f>IF(A662="","",SUMIFS(Chicks!$O:$O,Chicks!$C:$C,A662))</f>
        <v/>
      </c>
      <c r="I662" s="6" t="str">
        <f>IF(A662="","",SUMIFS(Chicks!$P:$P,Chicks!$C:$C,A662))</f>
        <v/>
      </c>
    </row>
    <row r="663" spans="2:9" ht="14.25" customHeight="1" x14ac:dyDescent="0.3">
      <c r="B663" s="6" t="str">
        <f>IF(A663="","",COUNTIF(Chicks!$C:$C,A663))</f>
        <v/>
      </c>
      <c r="D663" s="6" t="str">
        <f>IF(A663="","",IFERROR(AVERAGEIF(Chicks!$C:$C,A663,Chicks!$K:$K),""))</f>
        <v/>
      </c>
      <c r="E663" s="6" t="str">
        <f>IF(A663="","",IFERROR(AVERAGEIF(Chicks!$C:$C,A663,Chicks!$L:$L),""))</f>
        <v/>
      </c>
      <c r="F663" s="6" t="str">
        <f>IF(A663="","",IFERROR(AVERAGEIF(Chicks!$C:$C,A663,Chicks!$M:$M),""))</f>
        <v/>
      </c>
      <c r="G663" s="6" t="str">
        <f>IF(A663="","",SUMIFS(Chicks!$N:$N,Chicks!$C:$C,A663))</f>
        <v/>
      </c>
      <c r="H663" s="6" t="str">
        <f>IF(A663="","",SUMIFS(Chicks!$O:$O,Chicks!$C:$C,A663))</f>
        <v/>
      </c>
      <c r="I663" s="6" t="str">
        <f>IF(A663="","",SUMIFS(Chicks!$P:$P,Chicks!$C:$C,A663))</f>
        <v/>
      </c>
    </row>
    <row r="664" spans="2:9" ht="14.25" customHeight="1" x14ac:dyDescent="0.3">
      <c r="B664" s="6" t="str">
        <f>IF(A664="","",COUNTIF(Chicks!$C:$C,A664))</f>
        <v/>
      </c>
      <c r="D664" s="6" t="str">
        <f>IF(A664="","",IFERROR(AVERAGEIF(Chicks!$C:$C,A664,Chicks!$K:$K),""))</f>
        <v/>
      </c>
      <c r="E664" s="6" t="str">
        <f>IF(A664="","",IFERROR(AVERAGEIF(Chicks!$C:$C,A664,Chicks!$L:$L),""))</f>
        <v/>
      </c>
      <c r="F664" s="6" t="str">
        <f>IF(A664="","",IFERROR(AVERAGEIF(Chicks!$C:$C,A664,Chicks!$M:$M),""))</f>
        <v/>
      </c>
      <c r="G664" s="6" t="str">
        <f>IF(A664="","",SUMIFS(Chicks!$N:$N,Chicks!$C:$C,A664))</f>
        <v/>
      </c>
      <c r="H664" s="6" t="str">
        <f>IF(A664="","",SUMIFS(Chicks!$O:$O,Chicks!$C:$C,A664))</f>
        <v/>
      </c>
      <c r="I664" s="6" t="str">
        <f>IF(A664="","",SUMIFS(Chicks!$P:$P,Chicks!$C:$C,A664))</f>
        <v/>
      </c>
    </row>
    <row r="665" spans="2:9" ht="14.25" customHeight="1" x14ac:dyDescent="0.3">
      <c r="B665" s="6" t="str">
        <f>IF(A665="","",COUNTIF(Chicks!$C:$C,A665))</f>
        <v/>
      </c>
      <c r="D665" s="6" t="str">
        <f>IF(A665="","",IFERROR(AVERAGEIF(Chicks!$C:$C,A665,Chicks!$K:$K),""))</f>
        <v/>
      </c>
      <c r="E665" s="6" t="str">
        <f>IF(A665="","",IFERROR(AVERAGEIF(Chicks!$C:$C,A665,Chicks!$L:$L),""))</f>
        <v/>
      </c>
      <c r="F665" s="6" t="str">
        <f>IF(A665="","",IFERROR(AVERAGEIF(Chicks!$C:$C,A665,Chicks!$M:$M),""))</f>
        <v/>
      </c>
      <c r="G665" s="6" t="str">
        <f>IF(A665="","",SUMIFS(Chicks!$N:$N,Chicks!$C:$C,A665))</f>
        <v/>
      </c>
      <c r="H665" s="6" t="str">
        <f>IF(A665="","",SUMIFS(Chicks!$O:$O,Chicks!$C:$C,A665))</f>
        <v/>
      </c>
      <c r="I665" s="6" t="str">
        <f>IF(A665="","",SUMIFS(Chicks!$P:$P,Chicks!$C:$C,A665))</f>
        <v/>
      </c>
    </row>
    <row r="666" spans="2:9" ht="14.25" customHeight="1" x14ac:dyDescent="0.3">
      <c r="B666" s="6" t="str">
        <f>IF(A666="","",COUNTIF(Chicks!$C:$C,A666))</f>
        <v/>
      </c>
      <c r="D666" s="6" t="str">
        <f>IF(A666="","",IFERROR(AVERAGEIF(Chicks!$C:$C,A666,Chicks!$K:$K),""))</f>
        <v/>
      </c>
      <c r="E666" s="6" t="str">
        <f>IF(A666="","",IFERROR(AVERAGEIF(Chicks!$C:$C,A666,Chicks!$L:$L),""))</f>
        <v/>
      </c>
      <c r="F666" s="6" t="str">
        <f>IF(A666="","",IFERROR(AVERAGEIF(Chicks!$C:$C,A666,Chicks!$M:$M),""))</f>
        <v/>
      </c>
      <c r="G666" s="6" t="str">
        <f>IF(A666="","",SUMIFS(Chicks!$N:$N,Chicks!$C:$C,A666))</f>
        <v/>
      </c>
      <c r="H666" s="6" t="str">
        <f>IF(A666="","",SUMIFS(Chicks!$O:$O,Chicks!$C:$C,A666))</f>
        <v/>
      </c>
      <c r="I666" s="6" t="str">
        <f>IF(A666="","",SUMIFS(Chicks!$P:$P,Chicks!$C:$C,A666))</f>
        <v/>
      </c>
    </row>
    <row r="667" spans="2:9" ht="14.25" customHeight="1" x14ac:dyDescent="0.3">
      <c r="B667" s="6" t="str">
        <f>IF(A667="","",COUNTIF(Chicks!$C:$C,A667))</f>
        <v/>
      </c>
      <c r="D667" s="6" t="str">
        <f>IF(A667="","",IFERROR(AVERAGEIF(Chicks!$C:$C,A667,Chicks!$K:$K),""))</f>
        <v/>
      </c>
      <c r="E667" s="6" t="str">
        <f>IF(A667="","",IFERROR(AVERAGEIF(Chicks!$C:$C,A667,Chicks!$L:$L),""))</f>
        <v/>
      </c>
      <c r="F667" s="6" t="str">
        <f>IF(A667="","",IFERROR(AVERAGEIF(Chicks!$C:$C,A667,Chicks!$M:$M),""))</f>
        <v/>
      </c>
      <c r="G667" s="6" t="str">
        <f>IF(A667="","",SUMIFS(Chicks!$N:$N,Chicks!$C:$C,A667))</f>
        <v/>
      </c>
      <c r="H667" s="6" t="str">
        <f>IF(A667="","",SUMIFS(Chicks!$O:$O,Chicks!$C:$C,A667))</f>
        <v/>
      </c>
      <c r="I667" s="6" t="str">
        <f>IF(A667="","",SUMIFS(Chicks!$P:$P,Chicks!$C:$C,A667))</f>
        <v/>
      </c>
    </row>
    <row r="668" spans="2:9" ht="14.25" customHeight="1" x14ac:dyDescent="0.3">
      <c r="B668" s="6" t="str">
        <f>IF(A668="","",COUNTIF(Chicks!$C:$C,A668))</f>
        <v/>
      </c>
      <c r="D668" s="6" t="str">
        <f>IF(A668="","",IFERROR(AVERAGEIF(Chicks!$C:$C,A668,Chicks!$K:$K),""))</f>
        <v/>
      </c>
      <c r="E668" s="6" t="str">
        <f>IF(A668="","",IFERROR(AVERAGEIF(Chicks!$C:$C,A668,Chicks!$L:$L),""))</f>
        <v/>
      </c>
      <c r="F668" s="6" t="str">
        <f>IF(A668="","",IFERROR(AVERAGEIF(Chicks!$C:$C,A668,Chicks!$M:$M),""))</f>
        <v/>
      </c>
      <c r="G668" s="6" t="str">
        <f>IF(A668="","",SUMIFS(Chicks!$N:$N,Chicks!$C:$C,A668))</f>
        <v/>
      </c>
      <c r="H668" s="6" t="str">
        <f>IF(A668="","",SUMIFS(Chicks!$O:$O,Chicks!$C:$C,A668))</f>
        <v/>
      </c>
      <c r="I668" s="6" t="str">
        <f>IF(A668="","",SUMIFS(Chicks!$P:$P,Chicks!$C:$C,A668))</f>
        <v/>
      </c>
    </row>
    <row r="669" spans="2:9" ht="14.25" customHeight="1" x14ac:dyDescent="0.3">
      <c r="B669" s="6" t="str">
        <f>IF(A669="","",COUNTIF(Chicks!$C:$C,A669))</f>
        <v/>
      </c>
      <c r="D669" s="6" t="str">
        <f>IF(A669="","",IFERROR(AVERAGEIF(Chicks!$C:$C,A669,Chicks!$K:$K),""))</f>
        <v/>
      </c>
      <c r="E669" s="6" t="str">
        <f>IF(A669="","",IFERROR(AVERAGEIF(Chicks!$C:$C,A669,Chicks!$L:$L),""))</f>
        <v/>
      </c>
      <c r="F669" s="6" t="str">
        <f>IF(A669="","",IFERROR(AVERAGEIF(Chicks!$C:$C,A669,Chicks!$M:$M),""))</f>
        <v/>
      </c>
      <c r="G669" s="6" t="str">
        <f>IF(A669="","",SUMIFS(Chicks!$N:$N,Chicks!$C:$C,A669))</f>
        <v/>
      </c>
      <c r="H669" s="6" t="str">
        <f>IF(A669="","",SUMIFS(Chicks!$O:$O,Chicks!$C:$C,A669))</f>
        <v/>
      </c>
      <c r="I669" s="6" t="str">
        <f>IF(A669="","",SUMIFS(Chicks!$P:$P,Chicks!$C:$C,A669))</f>
        <v/>
      </c>
    </row>
    <row r="670" spans="2:9" ht="14.25" customHeight="1" x14ac:dyDescent="0.3">
      <c r="B670" s="6" t="str">
        <f>IF(A670="","",COUNTIF(Chicks!$C:$C,A670))</f>
        <v/>
      </c>
      <c r="D670" s="6" t="str">
        <f>IF(A670="","",IFERROR(AVERAGEIF(Chicks!$C:$C,A670,Chicks!$K:$K),""))</f>
        <v/>
      </c>
      <c r="E670" s="6" t="str">
        <f>IF(A670="","",IFERROR(AVERAGEIF(Chicks!$C:$C,A670,Chicks!$L:$L),""))</f>
        <v/>
      </c>
      <c r="F670" s="6" t="str">
        <f>IF(A670="","",IFERROR(AVERAGEIF(Chicks!$C:$C,A670,Chicks!$M:$M),""))</f>
        <v/>
      </c>
      <c r="G670" s="6" t="str">
        <f>IF(A670="","",SUMIFS(Chicks!$N:$N,Chicks!$C:$C,A670))</f>
        <v/>
      </c>
      <c r="H670" s="6" t="str">
        <f>IF(A670="","",SUMIFS(Chicks!$O:$O,Chicks!$C:$C,A670))</f>
        <v/>
      </c>
      <c r="I670" s="6" t="str">
        <f>IF(A670="","",SUMIFS(Chicks!$P:$P,Chicks!$C:$C,A670))</f>
        <v/>
      </c>
    </row>
    <row r="671" spans="2:9" ht="14.25" customHeight="1" x14ac:dyDescent="0.3">
      <c r="B671" s="6" t="str">
        <f>IF(A671="","",COUNTIF(Chicks!$C:$C,A671))</f>
        <v/>
      </c>
      <c r="D671" s="6" t="str">
        <f>IF(A671="","",IFERROR(AVERAGEIF(Chicks!$C:$C,A671,Chicks!$K:$K),""))</f>
        <v/>
      </c>
      <c r="E671" s="6" t="str">
        <f>IF(A671="","",IFERROR(AVERAGEIF(Chicks!$C:$C,A671,Chicks!$L:$L),""))</f>
        <v/>
      </c>
      <c r="F671" s="6" t="str">
        <f>IF(A671="","",IFERROR(AVERAGEIF(Chicks!$C:$C,A671,Chicks!$M:$M),""))</f>
        <v/>
      </c>
      <c r="G671" s="6" t="str">
        <f>IF(A671="","",SUMIFS(Chicks!$N:$N,Chicks!$C:$C,A671))</f>
        <v/>
      </c>
      <c r="H671" s="6" t="str">
        <f>IF(A671="","",SUMIFS(Chicks!$O:$O,Chicks!$C:$C,A671))</f>
        <v/>
      </c>
      <c r="I671" s="6" t="str">
        <f>IF(A671="","",SUMIFS(Chicks!$P:$P,Chicks!$C:$C,A671))</f>
        <v/>
      </c>
    </row>
    <row r="672" spans="2:9" ht="14.25" customHeight="1" x14ac:dyDescent="0.3">
      <c r="B672" s="6" t="str">
        <f>IF(A672="","",COUNTIF(Chicks!$C:$C,A672))</f>
        <v/>
      </c>
      <c r="D672" s="6" t="str">
        <f>IF(A672="","",IFERROR(AVERAGEIF(Chicks!$C:$C,A672,Chicks!$K:$K),""))</f>
        <v/>
      </c>
      <c r="E672" s="6" t="str">
        <f>IF(A672="","",IFERROR(AVERAGEIF(Chicks!$C:$C,A672,Chicks!$L:$L),""))</f>
        <v/>
      </c>
      <c r="F672" s="6" t="str">
        <f>IF(A672="","",IFERROR(AVERAGEIF(Chicks!$C:$C,A672,Chicks!$M:$M),""))</f>
        <v/>
      </c>
      <c r="G672" s="6" t="str">
        <f>IF(A672="","",SUMIFS(Chicks!$N:$N,Chicks!$C:$C,A672))</f>
        <v/>
      </c>
      <c r="H672" s="6" t="str">
        <f>IF(A672="","",SUMIFS(Chicks!$O:$O,Chicks!$C:$C,A672))</f>
        <v/>
      </c>
      <c r="I672" s="6" t="str">
        <f>IF(A672="","",SUMIFS(Chicks!$P:$P,Chicks!$C:$C,A672))</f>
        <v/>
      </c>
    </row>
    <row r="673" spans="2:9" ht="14.25" customHeight="1" x14ac:dyDescent="0.3">
      <c r="B673" s="6" t="str">
        <f>IF(A673="","",COUNTIF(Chicks!$C:$C,A673))</f>
        <v/>
      </c>
      <c r="D673" s="6" t="str">
        <f>IF(A673="","",IFERROR(AVERAGEIF(Chicks!$C:$C,A673,Chicks!$K:$K),""))</f>
        <v/>
      </c>
      <c r="E673" s="6" t="str">
        <f>IF(A673="","",IFERROR(AVERAGEIF(Chicks!$C:$C,A673,Chicks!$L:$L),""))</f>
        <v/>
      </c>
      <c r="F673" s="6" t="str">
        <f>IF(A673="","",IFERROR(AVERAGEIF(Chicks!$C:$C,A673,Chicks!$M:$M),""))</f>
        <v/>
      </c>
      <c r="G673" s="6" t="str">
        <f>IF(A673="","",SUMIFS(Chicks!$N:$N,Chicks!$C:$C,A673))</f>
        <v/>
      </c>
      <c r="H673" s="6" t="str">
        <f>IF(A673="","",SUMIFS(Chicks!$O:$O,Chicks!$C:$C,A673))</f>
        <v/>
      </c>
      <c r="I673" s="6" t="str">
        <f>IF(A673="","",SUMIFS(Chicks!$P:$P,Chicks!$C:$C,A673))</f>
        <v/>
      </c>
    </row>
    <row r="674" spans="2:9" ht="14.25" customHeight="1" x14ac:dyDescent="0.3">
      <c r="B674" s="6" t="str">
        <f>IF(A674="","",COUNTIF(Chicks!$C:$C,A674))</f>
        <v/>
      </c>
      <c r="D674" s="6" t="str">
        <f>IF(A674="","",IFERROR(AVERAGEIF(Chicks!$C:$C,A674,Chicks!$K:$K),""))</f>
        <v/>
      </c>
      <c r="E674" s="6" t="str">
        <f>IF(A674="","",IFERROR(AVERAGEIF(Chicks!$C:$C,A674,Chicks!$L:$L),""))</f>
        <v/>
      </c>
      <c r="F674" s="6" t="str">
        <f>IF(A674="","",IFERROR(AVERAGEIF(Chicks!$C:$C,A674,Chicks!$M:$M),""))</f>
        <v/>
      </c>
      <c r="G674" s="6" t="str">
        <f>IF(A674="","",SUMIFS(Chicks!$N:$N,Chicks!$C:$C,A674))</f>
        <v/>
      </c>
      <c r="H674" s="6" t="str">
        <f>IF(A674="","",SUMIFS(Chicks!$O:$O,Chicks!$C:$C,A674))</f>
        <v/>
      </c>
      <c r="I674" s="6" t="str">
        <f>IF(A674="","",SUMIFS(Chicks!$P:$P,Chicks!$C:$C,A674))</f>
        <v/>
      </c>
    </row>
    <row r="675" spans="2:9" ht="14.25" customHeight="1" x14ac:dyDescent="0.3">
      <c r="B675" s="6" t="str">
        <f>IF(A675="","",COUNTIF(Chicks!$C:$C,A675))</f>
        <v/>
      </c>
      <c r="D675" s="6" t="str">
        <f>IF(A675="","",IFERROR(AVERAGEIF(Chicks!$C:$C,A675,Chicks!$K:$K),""))</f>
        <v/>
      </c>
      <c r="E675" s="6" t="str">
        <f>IF(A675="","",IFERROR(AVERAGEIF(Chicks!$C:$C,A675,Chicks!$L:$L),""))</f>
        <v/>
      </c>
      <c r="F675" s="6" t="str">
        <f>IF(A675="","",IFERROR(AVERAGEIF(Chicks!$C:$C,A675,Chicks!$M:$M),""))</f>
        <v/>
      </c>
      <c r="G675" s="6" t="str">
        <f>IF(A675="","",SUMIFS(Chicks!$N:$N,Chicks!$C:$C,A675))</f>
        <v/>
      </c>
      <c r="H675" s="6" t="str">
        <f>IF(A675="","",SUMIFS(Chicks!$O:$O,Chicks!$C:$C,A675))</f>
        <v/>
      </c>
      <c r="I675" s="6" t="str">
        <f>IF(A675="","",SUMIFS(Chicks!$P:$P,Chicks!$C:$C,A675))</f>
        <v/>
      </c>
    </row>
    <row r="676" spans="2:9" ht="14.25" customHeight="1" x14ac:dyDescent="0.3">
      <c r="B676" s="6" t="str">
        <f>IF(A676="","",COUNTIF(Chicks!$C:$C,A676))</f>
        <v/>
      </c>
      <c r="D676" s="6" t="str">
        <f>IF(A676="","",IFERROR(AVERAGEIF(Chicks!$C:$C,A676,Chicks!$K:$K),""))</f>
        <v/>
      </c>
      <c r="E676" s="6" t="str">
        <f>IF(A676="","",IFERROR(AVERAGEIF(Chicks!$C:$C,A676,Chicks!$L:$L),""))</f>
        <v/>
      </c>
      <c r="F676" s="6" t="str">
        <f>IF(A676="","",IFERROR(AVERAGEIF(Chicks!$C:$C,A676,Chicks!$M:$M),""))</f>
        <v/>
      </c>
      <c r="G676" s="6" t="str">
        <f>IF(A676="","",SUMIFS(Chicks!$N:$N,Chicks!$C:$C,A676))</f>
        <v/>
      </c>
      <c r="H676" s="6" t="str">
        <f>IF(A676="","",SUMIFS(Chicks!$O:$O,Chicks!$C:$C,A676))</f>
        <v/>
      </c>
      <c r="I676" s="6" t="str">
        <f>IF(A676="","",SUMIFS(Chicks!$P:$P,Chicks!$C:$C,A676))</f>
        <v/>
      </c>
    </row>
    <row r="677" spans="2:9" ht="14.25" customHeight="1" x14ac:dyDescent="0.3">
      <c r="B677" s="6" t="str">
        <f>IF(A677="","",COUNTIF(Chicks!$C:$C,A677))</f>
        <v/>
      </c>
      <c r="D677" s="6" t="str">
        <f>IF(A677="","",IFERROR(AVERAGEIF(Chicks!$C:$C,A677,Chicks!$K:$K),""))</f>
        <v/>
      </c>
      <c r="E677" s="6" t="str">
        <f>IF(A677="","",IFERROR(AVERAGEIF(Chicks!$C:$C,A677,Chicks!$L:$L),""))</f>
        <v/>
      </c>
      <c r="F677" s="6" t="str">
        <f>IF(A677="","",IFERROR(AVERAGEIF(Chicks!$C:$C,A677,Chicks!$M:$M),""))</f>
        <v/>
      </c>
      <c r="G677" s="6" t="str">
        <f>IF(A677="","",SUMIFS(Chicks!$N:$N,Chicks!$C:$C,A677))</f>
        <v/>
      </c>
      <c r="H677" s="6" t="str">
        <f>IF(A677="","",SUMIFS(Chicks!$O:$O,Chicks!$C:$C,A677))</f>
        <v/>
      </c>
      <c r="I677" s="6" t="str">
        <f>IF(A677="","",SUMIFS(Chicks!$P:$P,Chicks!$C:$C,A677))</f>
        <v/>
      </c>
    </row>
    <row r="678" spans="2:9" ht="14.25" customHeight="1" x14ac:dyDescent="0.3">
      <c r="B678" s="6" t="str">
        <f>IF(A678="","",COUNTIF(Chicks!$C:$C,A678))</f>
        <v/>
      </c>
      <c r="D678" s="6" t="str">
        <f>IF(A678="","",IFERROR(AVERAGEIF(Chicks!$C:$C,A678,Chicks!$K:$K),""))</f>
        <v/>
      </c>
      <c r="E678" s="6" t="str">
        <f>IF(A678="","",IFERROR(AVERAGEIF(Chicks!$C:$C,A678,Chicks!$L:$L),""))</f>
        <v/>
      </c>
      <c r="F678" s="6" t="str">
        <f>IF(A678="","",IFERROR(AVERAGEIF(Chicks!$C:$C,A678,Chicks!$M:$M),""))</f>
        <v/>
      </c>
      <c r="G678" s="6" t="str">
        <f>IF(A678="","",SUMIFS(Chicks!$N:$N,Chicks!$C:$C,A678))</f>
        <v/>
      </c>
      <c r="H678" s="6" t="str">
        <f>IF(A678="","",SUMIFS(Chicks!$O:$O,Chicks!$C:$C,A678))</f>
        <v/>
      </c>
      <c r="I678" s="6" t="str">
        <f>IF(A678="","",SUMIFS(Chicks!$P:$P,Chicks!$C:$C,A678))</f>
        <v/>
      </c>
    </row>
    <row r="679" spans="2:9" ht="14.25" customHeight="1" x14ac:dyDescent="0.3">
      <c r="B679" s="6" t="str">
        <f>IF(A679="","",COUNTIF(Chicks!$C:$C,A679))</f>
        <v/>
      </c>
      <c r="D679" s="6" t="str">
        <f>IF(A679="","",IFERROR(AVERAGEIF(Chicks!$C:$C,A679,Chicks!$K:$K),""))</f>
        <v/>
      </c>
      <c r="E679" s="6" t="str">
        <f>IF(A679="","",IFERROR(AVERAGEIF(Chicks!$C:$C,A679,Chicks!$L:$L),""))</f>
        <v/>
      </c>
      <c r="F679" s="6" t="str">
        <f>IF(A679="","",IFERROR(AVERAGEIF(Chicks!$C:$C,A679,Chicks!$M:$M),""))</f>
        <v/>
      </c>
      <c r="G679" s="6" t="str">
        <f>IF(A679="","",SUMIFS(Chicks!$N:$N,Chicks!$C:$C,A679))</f>
        <v/>
      </c>
      <c r="H679" s="6" t="str">
        <f>IF(A679="","",SUMIFS(Chicks!$O:$O,Chicks!$C:$C,A679))</f>
        <v/>
      </c>
      <c r="I679" s="6" t="str">
        <f>IF(A679="","",SUMIFS(Chicks!$P:$P,Chicks!$C:$C,A679))</f>
        <v/>
      </c>
    </row>
    <row r="680" spans="2:9" ht="14.25" customHeight="1" x14ac:dyDescent="0.3">
      <c r="B680" s="6" t="str">
        <f>IF(A680="","",COUNTIF(Chicks!$C:$C,A680))</f>
        <v/>
      </c>
      <c r="D680" s="6" t="str">
        <f>IF(A680="","",IFERROR(AVERAGEIF(Chicks!$C:$C,A680,Chicks!$K:$K),""))</f>
        <v/>
      </c>
      <c r="E680" s="6" t="str">
        <f>IF(A680="","",IFERROR(AVERAGEIF(Chicks!$C:$C,A680,Chicks!$L:$L),""))</f>
        <v/>
      </c>
      <c r="F680" s="6" t="str">
        <f>IF(A680="","",IFERROR(AVERAGEIF(Chicks!$C:$C,A680,Chicks!$M:$M),""))</f>
        <v/>
      </c>
      <c r="G680" s="6" t="str">
        <f>IF(A680="","",SUMIFS(Chicks!$N:$N,Chicks!$C:$C,A680))</f>
        <v/>
      </c>
      <c r="H680" s="6" t="str">
        <f>IF(A680="","",SUMIFS(Chicks!$O:$O,Chicks!$C:$C,A680))</f>
        <v/>
      </c>
      <c r="I680" s="6" t="str">
        <f>IF(A680="","",SUMIFS(Chicks!$P:$P,Chicks!$C:$C,A680))</f>
        <v/>
      </c>
    </row>
    <row r="681" spans="2:9" ht="14.25" customHeight="1" x14ac:dyDescent="0.3">
      <c r="B681" s="6" t="str">
        <f>IF(A681="","",COUNTIF(Chicks!$C:$C,A681))</f>
        <v/>
      </c>
      <c r="D681" s="6" t="str">
        <f>IF(A681="","",IFERROR(AVERAGEIF(Chicks!$C:$C,A681,Chicks!$K:$K),""))</f>
        <v/>
      </c>
      <c r="E681" s="6" t="str">
        <f>IF(A681="","",IFERROR(AVERAGEIF(Chicks!$C:$C,A681,Chicks!$L:$L),""))</f>
        <v/>
      </c>
      <c r="F681" s="6" t="str">
        <f>IF(A681="","",IFERROR(AVERAGEIF(Chicks!$C:$C,A681,Chicks!$M:$M),""))</f>
        <v/>
      </c>
      <c r="G681" s="6" t="str">
        <f>IF(A681="","",SUMIFS(Chicks!$N:$N,Chicks!$C:$C,A681))</f>
        <v/>
      </c>
      <c r="H681" s="6" t="str">
        <f>IF(A681="","",SUMIFS(Chicks!$O:$O,Chicks!$C:$C,A681))</f>
        <v/>
      </c>
      <c r="I681" s="6" t="str">
        <f>IF(A681="","",SUMIFS(Chicks!$P:$P,Chicks!$C:$C,A681))</f>
        <v/>
      </c>
    </row>
    <row r="682" spans="2:9" ht="14.25" customHeight="1" x14ac:dyDescent="0.3">
      <c r="B682" s="6" t="str">
        <f>IF(A682="","",COUNTIF(Chicks!$C:$C,A682))</f>
        <v/>
      </c>
      <c r="D682" s="6" t="str">
        <f>IF(A682="","",IFERROR(AVERAGEIF(Chicks!$C:$C,A682,Chicks!$K:$K),""))</f>
        <v/>
      </c>
      <c r="E682" s="6" t="str">
        <f>IF(A682="","",IFERROR(AVERAGEIF(Chicks!$C:$C,A682,Chicks!$L:$L),""))</f>
        <v/>
      </c>
      <c r="F682" s="6" t="str">
        <f>IF(A682="","",IFERROR(AVERAGEIF(Chicks!$C:$C,A682,Chicks!$M:$M),""))</f>
        <v/>
      </c>
      <c r="G682" s="6" t="str">
        <f>IF(A682="","",SUMIFS(Chicks!$N:$N,Chicks!$C:$C,A682))</f>
        <v/>
      </c>
      <c r="H682" s="6" t="str">
        <f>IF(A682="","",SUMIFS(Chicks!$O:$O,Chicks!$C:$C,A682))</f>
        <v/>
      </c>
      <c r="I682" s="6" t="str">
        <f>IF(A682="","",SUMIFS(Chicks!$P:$P,Chicks!$C:$C,A682))</f>
        <v/>
      </c>
    </row>
    <row r="683" spans="2:9" ht="14.25" customHeight="1" x14ac:dyDescent="0.3">
      <c r="B683" s="6" t="str">
        <f>IF(A683="","",COUNTIF(Chicks!$C:$C,A683))</f>
        <v/>
      </c>
      <c r="D683" s="6" t="str">
        <f>IF(A683="","",IFERROR(AVERAGEIF(Chicks!$C:$C,A683,Chicks!$K:$K),""))</f>
        <v/>
      </c>
      <c r="E683" s="6" t="str">
        <f>IF(A683="","",IFERROR(AVERAGEIF(Chicks!$C:$C,A683,Chicks!$L:$L),""))</f>
        <v/>
      </c>
      <c r="F683" s="6" t="str">
        <f>IF(A683="","",IFERROR(AVERAGEIF(Chicks!$C:$C,A683,Chicks!$M:$M),""))</f>
        <v/>
      </c>
      <c r="G683" s="6" t="str">
        <f>IF(A683="","",SUMIFS(Chicks!$N:$N,Chicks!$C:$C,A683))</f>
        <v/>
      </c>
      <c r="H683" s="6" t="str">
        <f>IF(A683="","",SUMIFS(Chicks!$O:$O,Chicks!$C:$C,A683))</f>
        <v/>
      </c>
      <c r="I683" s="6" t="str">
        <f>IF(A683="","",SUMIFS(Chicks!$P:$P,Chicks!$C:$C,A683))</f>
        <v/>
      </c>
    </row>
    <row r="684" spans="2:9" ht="14.25" customHeight="1" x14ac:dyDescent="0.3">
      <c r="B684" s="6" t="str">
        <f>IF(A684="","",COUNTIF(Chicks!$C:$C,A684))</f>
        <v/>
      </c>
      <c r="D684" s="6" t="str">
        <f>IF(A684="","",IFERROR(AVERAGEIF(Chicks!$C:$C,A684,Chicks!$K:$K),""))</f>
        <v/>
      </c>
      <c r="E684" s="6" t="str">
        <f>IF(A684="","",IFERROR(AVERAGEIF(Chicks!$C:$C,A684,Chicks!$L:$L),""))</f>
        <v/>
      </c>
      <c r="F684" s="6" t="str">
        <f>IF(A684="","",IFERROR(AVERAGEIF(Chicks!$C:$C,A684,Chicks!$M:$M),""))</f>
        <v/>
      </c>
      <c r="G684" s="6" t="str">
        <f>IF(A684="","",SUMIFS(Chicks!$N:$N,Chicks!$C:$C,A684))</f>
        <v/>
      </c>
      <c r="H684" s="6" t="str">
        <f>IF(A684="","",SUMIFS(Chicks!$O:$O,Chicks!$C:$C,A684))</f>
        <v/>
      </c>
      <c r="I684" s="6" t="str">
        <f>IF(A684="","",SUMIFS(Chicks!$P:$P,Chicks!$C:$C,A684))</f>
        <v/>
      </c>
    </row>
    <row r="685" spans="2:9" ht="14.25" customHeight="1" x14ac:dyDescent="0.3">
      <c r="B685" s="6" t="str">
        <f>IF(A685="","",COUNTIF(Chicks!$C:$C,A685))</f>
        <v/>
      </c>
      <c r="D685" s="6" t="str">
        <f>IF(A685="","",IFERROR(AVERAGEIF(Chicks!$C:$C,A685,Chicks!$K:$K),""))</f>
        <v/>
      </c>
      <c r="E685" s="6" t="str">
        <f>IF(A685="","",IFERROR(AVERAGEIF(Chicks!$C:$C,A685,Chicks!$L:$L),""))</f>
        <v/>
      </c>
      <c r="F685" s="6" t="str">
        <f>IF(A685="","",IFERROR(AVERAGEIF(Chicks!$C:$C,A685,Chicks!$M:$M),""))</f>
        <v/>
      </c>
      <c r="G685" s="6" t="str">
        <f>IF(A685="","",SUMIFS(Chicks!$N:$N,Chicks!$C:$C,A685))</f>
        <v/>
      </c>
      <c r="H685" s="6" t="str">
        <f>IF(A685="","",SUMIFS(Chicks!$O:$O,Chicks!$C:$C,A685))</f>
        <v/>
      </c>
      <c r="I685" s="6" t="str">
        <f>IF(A685="","",SUMIFS(Chicks!$P:$P,Chicks!$C:$C,A685))</f>
        <v/>
      </c>
    </row>
    <row r="686" spans="2:9" ht="14.25" customHeight="1" x14ac:dyDescent="0.3">
      <c r="B686" s="6" t="str">
        <f>IF(A686="","",COUNTIF(Chicks!$C:$C,A686))</f>
        <v/>
      </c>
      <c r="D686" s="6" t="str">
        <f>IF(A686="","",IFERROR(AVERAGEIF(Chicks!$C:$C,A686,Chicks!$K:$K),""))</f>
        <v/>
      </c>
      <c r="E686" s="6" t="str">
        <f>IF(A686="","",IFERROR(AVERAGEIF(Chicks!$C:$C,A686,Chicks!$L:$L),""))</f>
        <v/>
      </c>
      <c r="F686" s="6" t="str">
        <f>IF(A686="","",IFERROR(AVERAGEIF(Chicks!$C:$C,A686,Chicks!$M:$M),""))</f>
        <v/>
      </c>
      <c r="G686" s="6" t="str">
        <f>IF(A686="","",SUMIFS(Chicks!$N:$N,Chicks!$C:$C,A686))</f>
        <v/>
      </c>
      <c r="H686" s="6" t="str">
        <f>IF(A686="","",SUMIFS(Chicks!$O:$O,Chicks!$C:$C,A686))</f>
        <v/>
      </c>
      <c r="I686" s="6" t="str">
        <f>IF(A686="","",SUMIFS(Chicks!$P:$P,Chicks!$C:$C,A686))</f>
        <v/>
      </c>
    </row>
    <row r="687" spans="2:9" ht="14.25" customHeight="1" x14ac:dyDescent="0.3">
      <c r="B687" s="6" t="str">
        <f>IF(A687="","",COUNTIF(Chicks!$C:$C,A687))</f>
        <v/>
      </c>
      <c r="D687" s="6" t="str">
        <f>IF(A687="","",IFERROR(AVERAGEIF(Chicks!$C:$C,A687,Chicks!$K:$K),""))</f>
        <v/>
      </c>
      <c r="E687" s="6" t="str">
        <f>IF(A687="","",IFERROR(AVERAGEIF(Chicks!$C:$C,A687,Chicks!$L:$L),""))</f>
        <v/>
      </c>
      <c r="F687" s="6" t="str">
        <f>IF(A687="","",IFERROR(AVERAGEIF(Chicks!$C:$C,A687,Chicks!$M:$M),""))</f>
        <v/>
      </c>
      <c r="G687" s="6" t="str">
        <f>IF(A687="","",SUMIFS(Chicks!$N:$N,Chicks!$C:$C,A687))</f>
        <v/>
      </c>
      <c r="H687" s="6" t="str">
        <f>IF(A687="","",SUMIFS(Chicks!$O:$O,Chicks!$C:$C,A687))</f>
        <v/>
      </c>
      <c r="I687" s="6" t="str">
        <f>IF(A687="","",SUMIFS(Chicks!$P:$P,Chicks!$C:$C,A687))</f>
        <v/>
      </c>
    </row>
    <row r="688" spans="2:9" ht="14.25" customHeight="1" x14ac:dyDescent="0.3">
      <c r="B688" s="6" t="str">
        <f>IF(A688="","",COUNTIF(Chicks!$C:$C,A688))</f>
        <v/>
      </c>
      <c r="D688" s="6" t="str">
        <f>IF(A688="","",IFERROR(AVERAGEIF(Chicks!$C:$C,A688,Chicks!$K:$K),""))</f>
        <v/>
      </c>
      <c r="E688" s="6" t="str">
        <f>IF(A688="","",IFERROR(AVERAGEIF(Chicks!$C:$C,A688,Chicks!$L:$L),""))</f>
        <v/>
      </c>
      <c r="F688" s="6" t="str">
        <f>IF(A688="","",IFERROR(AVERAGEIF(Chicks!$C:$C,A688,Chicks!$M:$M),""))</f>
        <v/>
      </c>
      <c r="G688" s="6" t="str">
        <f>IF(A688="","",SUMIFS(Chicks!$N:$N,Chicks!$C:$C,A688))</f>
        <v/>
      </c>
      <c r="H688" s="6" t="str">
        <f>IF(A688="","",SUMIFS(Chicks!$O:$O,Chicks!$C:$C,A688))</f>
        <v/>
      </c>
      <c r="I688" s="6" t="str">
        <f>IF(A688="","",SUMIFS(Chicks!$P:$P,Chicks!$C:$C,A688))</f>
        <v/>
      </c>
    </row>
    <row r="689" spans="2:9" ht="14.25" customHeight="1" x14ac:dyDescent="0.3">
      <c r="B689" s="6" t="str">
        <f>IF(A689="","",COUNTIF(Chicks!$C:$C,A689))</f>
        <v/>
      </c>
      <c r="D689" s="6" t="str">
        <f>IF(A689="","",IFERROR(AVERAGEIF(Chicks!$C:$C,A689,Chicks!$K:$K),""))</f>
        <v/>
      </c>
      <c r="E689" s="6" t="str">
        <f>IF(A689="","",IFERROR(AVERAGEIF(Chicks!$C:$C,A689,Chicks!$L:$L),""))</f>
        <v/>
      </c>
      <c r="F689" s="6" t="str">
        <f>IF(A689="","",IFERROR(AVERAGEIF(Chicks!$C:$C,A689,Chicks!$M:$M),""))</f>
        <v/>
      </c>
      <c r="G689" s="6" t="str">
        <f>IF(A689="","",SUMIFS(Chicks!$N:$N,Chicks!$C:$C,A689))</f>
        <v/>
      </c>
      <c r="H689" s="6" t="str">
        <f>IF(A689="","",SUMIFS(Chicks!$O:$O,Chicks!$C:$C,A689))</f>
        <v/>
      </c>
      <c r="I689" s="6" t="str">
        <f>IF(A689="","",SUMIFS(Chicks!$P:$P,Chicks!$C:$C,A689))</f>
        <v/>
      </c>
    </row>
    <row r="690" spans="2:9" ht="14.25" customHeight="1" x14ac:dyDescent="0.3">
      <c r="B690" s="6" t="str">
        <f>IF(A690="","",COUNTIF(Chicks!$C:$C,A690))</f>
        <v/>
      </c>
      <c r="D690" s="6" t="str">
        <f>IF(A690="","",IFERROR(AVERAGEIF(Chicks!$C:$C,A690,Chicks!$K:$K),""))</f>
        <v/>
      </c>
      <c r="E690" s="6" t="str">
        <f>IF(A690="","",IFERROR(AVERAGEIF(Chicks!$C:$C,A690,Chicks!$L:$L),""))</f>
        <v/>
      </c>
      <c r="F690" s="6" t="str">
        <f>IF(A690="","",IFERROR(AVERAGEIF(Chicks!$C:$C,A690,Chicks!$M:$M),""))</f>
        <v/>
      </c>
      <c r="G690" s="6" t="str">
        <f>IF(A690="","",SUMIFS(Chicks!$N:$N,Chicks!$C:$C,A690))</f>
        <v/>
      </c>
      <c r="H690" s="6" t="str">
        <f>IF(A690="","",SUMIFS(Chicks!$O:$O,Chicks!$C:$C,A690))</f>
        <v/>
      </c>
      <c r="I690" s="6" t="str">
        <f>IF(A690="","",SUMIFS(Chicks!$P:$P,Chicks!$C:$C,A690))</f>
        <v/>
      </c>
    </row>
    <row r="691" spans="2:9" ht="14.25" customHeight="1" x14ac:dyDescent="0.3">
      <c r="B691" s="6" t="str">
        <f>IF(A691="","",COUNTIF(Chicks!$C:$C,A691))</f>
        <v/>
      </c>
      <c r="D691" s="6" t="str">
        <f>IF(A691="","",IFERROR(AVERAGEIF(Chicks!$C:$C,A691,Chicks!$K:$K),""))</f>
        <v/>
      </c>
      <c r="E691" s="6" t="str">
        <f>IF(A691="","",IFERROR(AVERAGEIF(Chicks!$C:$C,A691,Chicks!$L:$L),""))</f>
        <v/>
      </c>
      <c r="F691" s="6" t="str">
        <f>IF(A691="","",IFERROR(AVERAGEIF(Chicks!$C:$C,A691,Chicks!$M:$M),""))</f>
        <v/>
      </c>
      <c r="G691" s="6" t="str">
        <f>IF(A691="","",SUMIFS(Chicks!$N:$N,Chicks!$C:$C,A691))</f>
        <v/>
      </c>
      <c r="H691" s="6" t="str">
        <f>IF(A691="","",SUMIFS(Chicks!$O:$O,Chicks!$C:$C,A691))</f>
        <v/>
      </c>
      <c r="I691" s="6" t="str">
        <f>IF(A691="","",SUMIFS(Chicks!$P:$P,Chicks!$C:$C,A691))</f>
        <v/>
      </c>
    </row>
    <row r="692" spans="2:9" ht="14.25" customHeight="1" x14ac:dyDescent="0.3">
      <c r="B692" s="6" t="str">
        <f>IF(A692="","",COUNTIF(Chicks!$C:$C,A692))</f>
        <v/>
      </c>
      <c r="D692" s="6" t="str">
        <f>IF(A692="","",IFERROR(AVERAGEIF(Chicks!$C:$C,A692,Chicks!$K:$K),""))</f>
        <v/>
      </c>
      <c r="E692" s="6" t="str">
        <f>IF(A692="","",IFERROR(AVERAGEIF(Chicks!$C:$C,A692,Chicks!$L:$L),""))</f>
        <v/>
      </c>
      <c r="F692" s="6" t="str">
        <f>IF(A692="","",IFERROR(AVERAGEIF(Chicks!$C:$C,A692,Chicks!$M:$M),""))</f>
        <v/>
      </c>
      <c r="G692" s="6" t="str">
        <f>IF(A692="","",SUMIFS(Chicks!$N:$N,Chicks!$C:$C,A692))</f>
        <v/>
      </c>
      <c r="H692" s="6" t="str">
        <f>IF(A692="","",SUMIFS(Chicks!$O:$O,Chicks!$C:$C,A692))</f>
        <v/>
      </c>
      <c r="I692" s="6" t="str">
        <f>IF(A692="","",SUMIFS(Chicks!$P:$P,Chicks!$C:$C,A692))</f>
        <v/>
      </c>
    </row>
    <row r="693" spans="2:9" ht="14.25" customHeight="1" x14ac:dyDescent="0.3">
      <c r="B693" s="6" t="str">
        <f>IF(A693="","",COUNTIF(Chicks!$C:$C,A693))</f>
        <v/>
      </c>
      <c r="D693" s="6" t="str">
        <f>IF(A693="","",IFERROR(AVERAGEIF(Chicks!$C:$C,A693,Chicks!$K:$K),""))</f>
        <v/>
      </c>
      <c r="E693" s="6" t="str">
        <f>IF(A693="","",IFERROR(AVERAGEIF(Chicks!$C:$C,A693,Chicks!$L:$L),""))</f>
        <v/>
      </c>
      <c r="F693" s="6" t="str">
        <f>IF(A693="","",IFERROR(AVERAGEIF(Chicks!$C:$C,A693,Chicks!$M:$M),""))</f>
        <v/>
      </c>
      <c r="G693" s="6" t="str">
        <f>IF(A693="","",SUMIFS(Chicks!$N:$N,Chicks!$C:$C,A693))</f>
        <v/>
      </c>
      <c r="H693" s="6" t="str">
        <f>IF(A693="","",SUMIFS(Chicks!$O:$O,Chicks!$C:$C,A693))</f>
        <v/>
      </c>
      <c r="I693" s="6" t="str">
        <f>IF(A693="","",SUMIFS(Chicks!$P:$P,Chicks!$C:$C,A693))</f>
        <v/>
      </c>
    </row>
    <row r="694" spans="2:9" ht="14.25" customHeight="1" x14ac:dyDescent="0.3">
      <c r="B694" s="6" t="str">
        <f>IF(A694="","",COUNTIF(Chicks!$C:$C,A694))</f>
        <v/>
      </c>
      <c r="D694" s="6" t="str">
        <f>IF(A694="","",IFERROR(AVERAGEIF(Chicks!$C:$C,A694,Chicks!$K:$K),""))</f>
        <v/>
      </c>
      <c r="E694" s="6" t="str">
        <f>IF(A694="","",IFERROR(AVERAGEIF(Chicks!$C:$C,A694,Chicks!$L:$L),""))</f>
        <v/>
      </c>
      <c r="F694" s="6" t="str">
        <f>IF(A694="","",IFERROR(AVERAGEIF(Chicks!$C:$C,A694,Chicks!$M:$M),""))</f>
        <v/>
      </c>
      <c r="G694" s="6" t="str">
        <f>IF(A694="","",SUMIFS(Chicks!$N:$N,Chicks!$C:$C,A694))</f>
        <v/>
      </c>
      <c r="H694" s="6" t="str">
        <f>IF(A694="","",SUMIFS(Chicks!$O:$O,Chicks!$C:$C,A694))</f>
        <v/>
      </c>
      <c r="I694" s="6" t="str">
        <f>IF(A694="","",SUMIFS(Chicks!$P:$P,Chicks!$C:$C,A694))</f>
        <v/>
      </c>
    </row>
    <row r="695" spans="2:9" ht="14.25" customHeight="1" x14ac:dyDescent="0.3">
      <c r="B695" s="6" t="str">
        <f>IF(A695="","",COUNTIF(Chicks!$C:$C,A695))</f>
        <v/>
      </c>
      <c r="D695" s="6" t="str">
        <f>IF(A695="","",IFERROR(AVERAGEIF(Chicks!$C:$C,A695,Chicks!$K:$K),""))</f>
        <v/>
      </c>
      <c r="E695" s="6" t="str">
        <f>IF(A695="","",IFERROR(AVERAGEIF(Chicks!$C:$C,A695,Chicks!$L:$L),""))</f>
        <v/>
      </c>
      <c r="F695" s="6" t="str">
        <f>IF(A695="","",IFERROR(AVERAGEIF(Chicks!$C:$C,A695,Chicks!$M:$M),""))</f>
        <v/>
      </c>
      <c r="G695" s="6" t="str">
        <f>IF(A695="","",SUMIFS(Chicks!$N:$N,Chicks!$C:$C,A695))</f>
        <v/>
      </c>
      <c r="H695" s="6" t="str">
        <f>IF(A695="","",SUMIFS(Chicks!$O:$O,Chicks!$C:$C,A695))</f>
        <v/>
      </c>
      <c r="I695" s="6" t="str">
        <f>IF(A695="","",SUMIFS(Chicks!$P:$P,Chicks!$C:$C,A695))</f>
        <v/>
      </c>
    </row>
    <row r="696" spans="2:9" ht="14.25" customHeight="1" x14ac:dyDescent="0.3">
      <c r="B696" s="6" t="str">
        <f>IF(A696="","",COUNTIF(Chicks!$C:$C,A696))</f>
        <v/>
      </c>
      <c r="D696" s="6" t="str">
        <f>IF(A696="","",IFERROR(AVERAGEIF(Chicks!$C:$C,A696,Chicks!$K:$K),""))</f>
        <v/>
      </c>
      <c r="E696" s="6" t="str">
        <f>IF(A696="","",IFERROR(AVERAGEIF(Chicks!$C:$C,A696,Chicks!$L:$L),""))</f>
        <v/>
      </c>
      <c r="F696" s="6" t="str">
        <f>IF(A696="","",IFERROR(AVERAGEIF(Chicks!$C:$C,A696,Chicks!$M:$M),""))</f>
        <v/>
      </c>
      <c r="G696" s="6" t="str">
        <f>IF(A696="","",SUMIFS(Chicks!$N:$N,Chicks!$C:$C,A696))</f>
        <v/>
      </c>
      <c r="H696" s="6" t="str">
        <f>IF(A696="","",SUMIFS(Chicks!$O:$O,Chicks!$C:$C,A696))</f>
        <v/>
      </c>
      <c r="I696" s="6" t="str">
        <f>IF(A696="","",SUMIFS(Chicks!$P:$P,Chicks!$C:$C,A696))</f>
        <v/>
      </c>
    </row>
    <row r="697" spans="2:9" ht="14.25" customHeight="1" x14ac:dyDescent="0.3">
      <c r="B697" s="6" t="str">
        <f>IF(A697="","",COUNTIF(Chicks!$C:$C,A697))</f>
        <v/>
      </c>
      <c r="D697" s="6" t="str">
        <f>IF(A697="","",IFERROR(AVERAGEIF(Chicks!$C:$C,A697,Chicks!$K:$K),""))</f>
        <v/>
      </c>
      <c r="E697" s="6" t="str">
        <f>IF(A697="","",IFERROR(AVERAGEIF(Chicks!$C:$C,A697,Chicks!$L:$L),""))</f>
        <v/>
      </c>
      <c r="F697" s="6" t="str">
        <f>IF(A697="","",IFERROR(AVERAGEIF(Chicks!$C:$C,A697,Chicks!$M:$M),""))</f>
        <v/>
      </c>
      <c r="G697" s="6" t="str">
        <f>IF(A697="","",SUMIFS(Chicks!$N:$N,Chicks!$C:$C,A697))</f>
        <v/>
      </c>
      <c r="H697" s="6" t="str">
        <f>IF(A697="","",SUMIFS(Chicks!$O:$O,Chicks!$C:$C,A697))</f>
        <v/>
      </c>
      <c r="I697" s="6" t="str">
        <f>IF(A697="","",SUMIFS(Chicks!$P:$P,Chicks!$C:$C,A697))</f>
        <v/>
      </c>
    </row>
    <row r="698" spans="2:9" ht="14.25" customHeight="1" x14ac:dyDescent="0.3">
      <c r="B698" s="6" t="str">
        <f>IF(A698="","",COUNTIF(Chicks!$C:$C,A698))</f>
        <v/>
      </c>
      <c r="D698" s="6" t="str">
        <f>IF(A698="","",IFERROR(AVERAGEIF(Chicks!$C:$C,A698,Chicks!$K:$K),""))</f>
        <v/>
      </c>
      <c r="E698" s="6" t="str">
        <f>IF(A698="","",IFERROR(AVERAGEIF(Chicks!$C:$C,A698,Chicks!$L:$L),""))</f>
        <v/>
      </c>
      <c r="F698" s="6" t="str">
        <f>IF(A698="","",IFERROR(AVERAGEIF(Chicks!$C:$C,A698,Chicks!$M:$M),""))</f>
        <v/>
      </c>
      <c r="G698" s="6" t="str">
        <f>IF(A698="","",SUMIFS(Chicks!$N:$N,Chicks!$C:$C,A698))</f>
        <v/>
      </c>
      <c r="H698" s="6" t="str">
        <f>IF(A698="","",SUMIFS(Chicks!$O:$O,Chicks!$C:$C,A698))</f>
        <v/>
      </c>
      <c r="I698" s="6" t="str">
        <f>IF(A698="","",SUMIFS(Chicks!$P:$P,Chicks!$C:$C,A698))</f>
        <v/>
      </c>
    </row>
    <row r="699" spans="2:9" ht="14.25" customHeight="1" x14ac:dyDescent="0.3">
      <c r="B699" s="6" t="str">
        <f>IF(A699="","",COUNTIF(Chicks!$C:$C,A699))</f>
        <v/>
      </c>
      <c r="D699" s="6" t="str">
        <f>IF(A699="","",IFERROR(AVERAGEIF(Chicks!$C:$C,A699,Chicks!$K:$K),""))</f>
        <v/>
      </c>
      <c r="E699" s="6" t="str">
        <f>IF(A699="","",IFERROR(AVERAGEIF(Chicks!$C:$C,A699,Chicks!$L:$L),""))</f>
        <v/>
      </c>
      <c r="F699" s="6" t="str">
        <f>IF(A699="","",IFERROR(AVERAGEIF(Chicks!$C:$C,A699,Chicks!$M:$M),""))</f>
        <v/>
      </c>
      <c r="G699" s="6" t="str">
        <f>IF(A699="","",SUMIFS(Chicks!$N:$N,Chicks!$C:$C,A699))</f>
        <v/>
      </c>
      <c r="H699" s="6" t="str">
        <f>IF(A699="","",SUMIFS(Chicks!$O:$O,Chicks!$C:$C,A699))</f>
        <v/>
      </c>
      <c r="I699" s="6" t="str">
        <f>IF(A699="","",SUMIFS(Chicks!$P:$P,Chicks!$C:$C,A699))</f>
        <v/>
      </c>
    </row>
    <row r="700" spans="2:9" ht="14.25" customHeight="1" x14ac:dyDescent="0.3">
      <c r="B700" s="6" t="str">
        <f>IF(A700="","",COUNTIF(Chicks!$C:$C,A700))</f>
        <v/>
      </c>
      <c r="D700" s="6" t="str">
        <f>IF(A700="","",IFERROR(AVERAGEIF(Chicks!$C:$C,A700,Chicks!$K:$K),""))</f>
        <v/>
      </c>
      <c r="E700" s="6" t="str">
        <f>IF(A700="","",IFERROR(AVERAGEIF(Chicks!$C:$C,A700,Chicks!$L:$L),""))</f>
        <v/>
      </c>
      <c r="F700" s="6" t="str">
        <f>IF(A700="","",IFERROR(AVERAGEIF(Chicks!$C:$C,A700,Chicks!$M:$M),""))</f>
        <v/>
      </c>
      <c r="G700" s="6" t="str">
        <f>IF(A700="","",SUMIFS(Chicks!$N:$N,Chicks!$C:$C,A700))</f>
        <v/>
      </c>
      <c r="H700" s="6" t="str">
        <f>IF(A700="","",SUMIFS(Chicks!$O:$O,Chicks!$C:$C,A700))</f>
        <v/>
      </c>
      <c r="I700" s="6" t="str">
        <f>IF(A700="","",SUMIFS(Chicks!$P:$P,Chicks!$C:$C,A700))</f>
        <v/>
      </c>
    </row>
    <row r="701" spans="2:9" ht="14.25" customHeight="1" x14ac:dyDescent="0.3">
      <c r="B701" s="6" t="str">
        <f>IF(A701="","",COUNTIF(Chicks!$C:$C,A701))</f>
        <v/>
      </c>
      <c r="D701" s="6" t="str">
        <f>IF(A701="","",IFERROR(AVERAGEIF(Chicks!$C:$C,A701,Chicks!$K:$K),""))</f>
        <v/>
      </c>
      <c r="E701" s="6" t="str">
        <f>IF(A701="","",IFERROR(AVERAGEIF(Chicks!$C:$C,A701,Chicks!$L:$L),""))</f>
        <v/>
      </c>
      <c r="F701" s="6" t="str">
        <f>IF(A701="","",IFERROR(AVERAGEIF(Chicks!$C:$C,A701,Chicks!$M:$M),""))</f>
        <v/>
      </c>
      <c r="G701" s="6" t="str">
        <f>IF(A701="","",SUMIFS(Chicks!$N:$N,Chicks!$C:$C,A701))</f>
        <v/>
      </c>
      <c r="H701" s="6" t="str">
        <f>IF(A701="","",SUMIFS(Chicks!$O:$O,Chicks!$C:$C,A701))</f>
        <v/>
      </c>
      <c r="I701" s="6" t="str">
        <f>IF(A701="","",SUMIFS(Chicks!$P:$P,Chicks!$C:$C,A701))</f>
        <v/>
      </c>
    </row>
    <row r="702" spans="2:9" ht="14.25" customHeight="1" x14ac:dyDescent="0.3">
      <c r="B702" s="6" t="str">
        <f>IF(A702="","",COUNTIF(Chicks!$C:$C,A702))</f>
        <v/>
      </c>
      <c r="D702" s="6" t="str">
        <f>IF(A702="","",IFERROR(AVERAGEIF(Chicks!$C:$C,A702,Chicks!$K:$K),""))</f>
        <v/>
      </c>
      <c r="E702" s="6" t="str">
        <f>IF(A702="","",IFERROR(AVERAGEIF(Chicks!$C:$C,A702,Chicks!$L:$L),""))</f>
        <v/>
      </c>
      <c r="F702" s="6" t="str">
        <f>IF(A702="","",IFERROR(AVERAGEIF(Chicks!$C:$C,A702,Chicks!$M:$M),""))</f>
        <v/>
      </c>
      <c r="G702" s="6" t="str">
        <f>IF(A702="","",SUMIFS(Chicks!$N:$N,Chicks!$C:$C,A702))</f>
        <v/>
      </c>
      <c r="H702" s="6" t="str">
        <f>IF(A702="","",SUMIFS(Chicks!$O:$O,Chicks!$C:$C,A702))</f>
        <v/>
      </c>
      <c r="I702" s="6" t="str">
        <f>IF(A702="","",SUMIFS(Chicks!$P:$P,Chicks!$C:$C,A702))</f>
        <v/>
      </c>
    </row>
    <row r="703" spans="2:9" ht="14.25" customHeight="1" x14ac:dyDescent="0.3">
      <c r="B703" s="6" t="str">
        <f>IF(A703="","",COUNTIF(Chicks!$C:$C,A703))</f>
        <v/>
      </c>
      <c r="D703" s="6" t="str">
        <f>IF(A703="","",IFERROR(AVERAGEIF(Chicks!$C:$C,A703,Chicks!$K:$K),""))</f>
        <v/>
      </c>
      <c r="E703" s="6" t="str">
        <f>IF(A703="","",IFERROR(AVERAGEIF(Chicks!$C:$C,A703,Chicks!$L:$L),""))</f>
        <v/>
      </c>
      <c r="F703" s="6" t="str">
        <f>IF(A703="","",IFERROR(AVERAGEIF(Chicks!$C:$C,A703,Chicks!$M:$M),""))</f>
        <v/>
      </c>
      <c r="G703" s="6" t="str">
        <f>IF(A703="","",SUMIFS(Chicks!$N:$N,Chicks!$C:$C,A703))</f>
        <v/>
      </c>
      <c r="H703" s="6" t="str">
        <f>IF(A703="","",SUMIFS(Chicks!$O:$O,Chicks!$C:$C,A703))</f>
        <v/>
      </c>
      <c r="I703" s="6" t="str">
        <f>IF(A703="","",SUMIFS(Chicks!$P:$P,Chicks!$C:$C,A703))</f>
        <v/>
      </c>
    </row>
    <row r="704" spans="2:9" ht="14.25" customHeight="1" x14ac:dyDescent="0.3">
      <c r="B704" s="6" t="str">
        <f>IF(A704="","",COUNTIF(Chicks!$C:$C,A704))</f>
        <v/>
      </c>
      <c r="D704" s="6" t="str">
        <f>IF(A704="","",IFERROR(AVERAGEIF(Chicks!$C:$C,A704,Chicks!$K:$K),""))</f>
        <v/>
      </c>
      <c r="E704" s="6" t="str">
        <f>IF(A704="","",IFERROR(AVERAGEIF(Chicks!$C:$C,A704,Chicks!$L:$L),""))</f>
        <v/>
      </c>
      <c r="F704" s="6" t="str">
        <f>IF(A704="","",IFERROR(AVERAGEIF(Chicks!$C:$C,A704,Chicks!$M:$M),""))</f>
        <v/>
      </c>
      <c r="G704" s="6" t="str">
        <f>IF(A704="","",SUMIFS(Chicks!$N:$N,Chicks!$C:$C,A704))</f>
        <v/>
      </c>
      <c r="H704" s="6" t="str">
        <f>IF(A704="","",SUMIFS(Chicks!$O:$O,Chicks!$C:$C,A704))</f>
        <v/>
      </c>
      <c r="I704" s="6" t="str">
        <f>IF(A704="","",SUMIFS(Chicks!$P:$P,Chicks!$C:$C,A704))</f>
        <v/>
      </c>
    </row>
    <row r="705" spans="2:9" ht="14.25" customHeight="1" x14ac:dyDescent="0.3">
      <c r="B705" s="6" t="str">
        <f>IF(A705="","",COUNTIF(Chicks!$C:$C,A705))</f>
        <v/>
      </c>
      <c r="D705" s="6" t="str">
        <f>IF(A705="","",IFERROR(AVERAGEIF(Chicks!$C:$C,A705,Chicks!$K:$K),""))</f>
        <v/>
      </c>
      <c r="E705" s="6" t="str">
        <f>IF(A705="","",IFERROR(AVERAGEIF(Chicks!$C:$C,A705,Chicks!$L:$L),""))</f>
        <v/>
      </c>
      <c r="F705" s="6" t="str">
        <f>IF(A705="","",IFERROR(AVERAGEIF(Chicks!$C:$C,A705,Chicks!$M:$M),""))</f>
        <v/>
      </c>
      <c r="G705" s="6" t="str">
        <f>IF(A705="","",SUMIFS(Chicks!$N:$N,Chicks!$C:$C,A705))</f>
        <v/>
      </c>
      <c r="H705" s="6" t="str">
        <f>IF(A705="","",SUMIFS(Chicks!$O:$O,Chicks!$C:$C,A705))</f>
        <v/>
      </c>
      <c r="I705" s="6" t="str">
        <f>IF(A705="","",SUMIFS(Chicks!$P:$P,Chicks!$C:$C,A705))</f>
        <v/>
      </c>
    </row>
    <row r="706" spans="2:9" ht="14.25" customHeight="1" x14ac:dyDescent="0.3">
      <c r="B706" s="6" t="str">
        <f>IF(A706="","",COUNTIF(Chicks!$C:$C,A706))</f>
        <v/>
      </c>
      <c r="D706" s="6" t="str">
        <f>IF(A706="","",IFERROR(AVERAGEIF(Chicks!$C:$C,A706,Chicks!$K:$K),""))</f>
        <v/>
      </c>
      <c r="E706" s="6" t="str">
        <f>IF(A706="","",IFERROR(AVERAGEIF(Chicks!$C:$C,A706,Chicks!$L:$L),""))</f>
        <v/>
      </c>
      <c r="F706" s="6" t="str">
        <f>IF(A706="","",IFERROR(AVERAGEIF(Chicks!$C:$C,A706,Chicks!$M:$M),""))</f>
        <v/>
      </c>
      <c r="G706" s="6" t="str">
        <f>IF(A706="","",SUMIFS(Chicks!$N:$N,Chicks!$C:$C,A706))</f>
        <v/>
      </c>
      <c r="H706" s="6" t="str">
        <f>IF(A706="","",SUMIFS(Chicks!$O:$O,Chicks!$C:$C,A706))</f>
        <v/>
      </c>
      <c r="I706" s="6" t="str">
        <f>IF(A706="","",SUMIFS(Chicks!$P:$P,Chicks!$C:$C,A706))</f>
        <v/>
      </c>
    </row>
    <row r="707" spans="2:9" ht="14.25" customHeight="1" x14ac:dyDescent="0.3">
      <c r="B707" s="6" t="str">
        <f>IF(A707="","",COUNTIF(Chicks!$C:$C,A707))</f>
        <v/>
      </c>
      <c r="D707" s="6" t="str">
        <f>IF(A707="","",IFERROR(AVERAGEIF(Chicks!$C:$C,A707,Chicks!$K:$K),""))</f>
        <v/>
      </c>
      <c r="E707" s="6" t="str">
        <f>IF(A707="","",IFERROR(AVERAGEIF(Chicks!$C:$C,A707,Chicks!$L:$L),""))</f>
        <v/>
      </c>
      <c r="F707" s="6" t="str">
        <f>IF(A707="","",IFERROR(AVERAGEIF(Chicks!$C:$C,A707,Chicks!$M:$M),""))</f>
        <v/>
      </c>
      <c r="G707" s="6" t="str">
        <f>IF(A707="","",SUMIFS(Chicks!$N:$N,Chicks!$C:$C,A707))</f>
        <v/>
      </c>
      <c r="H707" s="6" t="str">
        <f>IF(A707="","",SUMIFS(Chicks!$O:$O,Chicks!$C:$C,A707))</f>
        <v/>
      </c>
      <c r="I707" s="6" t="str">
        <f>IF(A707="","",SUMIFS(Chicks!$P:$P,Chicks!$C:$C,A707))</f>
        <v/>
      </c>
    </row>
    <row r="708" spans="2:9" ht="14.25" customHeight="1" x14ac:dyDescent="0.3">
      <c r="B708" s="6" t="str">
        <f>IF(A708="","",COUNTIF(Chicks!$C:$C,A708))</f>
        <v/>
      </c>
      <c r="D708" s="6" t="str">
        <f>IF(A708="","",IFERROR(AVERAGEIF(Chicks!$C:$C,A708,Chicks!$K:$K),""))</f>
        <v/>
      </c>
      <c r="E708" s="6" t="str">
        <f>IF(A708="","",IFERROR(AVERAGEIF(Chicks!$C:$C,A708,Chicks!$L:$L),""))</f>
        <v/>
      </c>
      <c r="F708" s="6" t="str">
        <f>IF(A708="","",IFERROR(AVERAGEIF(Chicks!$C:$C,A708,Chicks!$M:$M),""))</f>
        <v/>
      </c>
      <c r="G708" s="6" t="str">
        <f>IF(A708="","",SUMIFS(Chicks!$N:$N,Chicks!$C:$C,A708))</f>
        <v/>
      </c>
      <c r="H708" s="6" t="str">
        <f>IF(A708="","",SUMIFS(Chicks!$O:$O,Chicks!$C:$C,A708))</f>
        <v/>
      </c>
      <c r="I708" s="6" t="str">
        <f>IF(A708="","",SUMIFS(Chicks!$P:$P,Chicks!$C:$C,A708))</f>
        <v/>
      </c>
    </row>
    <row r="709" spans="2:9" ht="14.25" customHeight="1" x14ac:dyDescent="0.3">
      <c r="B709" s="6" t="str">
        <f>IF(A709="","",COUNTIF(Chicks!$C:$C,A709))</f>
        <v/>
      </c>
      <c r="D709" s="6" t="str">
        <f>IF(A709="","",IFERROR(AVERAGEIF(Chicks!$C:$C,A709,Chicks!$K:$K),""))</f>
        <v/>
      </c>
      <c r="E709" s="6" t="str">
        <f>IF(A709="","",IFERROR(AVERAGEIF(Chicks!$C:$C,A709,Chicks!$L:$L),""))</f>
        <v/>
      </c>
      <c r="F709" s="6" t="str">
        <f>IF(A709="","",IFERROR(AVERAGEIF(Chicks!$C:$C,A709,Chicks!$M:$M),""))</f>
        <v/>
      </c>
      <c r="G709" s="6" t="str">
        <f>IF(A709="","",SUMIFS(Chicks!$N:$N,Chicks!$C:$C,A709))</f>
        <v/>
      </c>
      <c r="H709" s="6" t="str">
        <f>IF(A709="","",SUMIFS(Chicks!$O:$O,Chicks!$C:$C,A709))</f>
        <v/>
      </c>
      <c r="I709" s="6" t="str">
        <f>IF(A709="","",SUMIFS(Chicks!$P:$P,Chicks!$C:$C,A709))</f>
        <v/>
      </c>
    </row>
    <row r="710" spans="2:9" ht="14.25" customHeight="1" x14ac:dyDescent="0.3">
      <c r="B710" s="6" t="str">
        <f>IF(A710="","",COUNTIF(Chicks!$C:$C,A710))</f>
        <v/>
      </c>
      <c r="D710" s="6" t="str">
        <f>IF(A710="","",IFERROR(AVERAGEIF(Chicks!$C:$C,A710,Chicks!$K:$K),""))</f>
        <v/>
      </c>
      <c r="E710" s="6" t="str">
        <f>IF(A710="","",IFERROR(AVERAGEIF(Chicks!$C:$C,A710,Chicks!$L:$L),""))</f>
        <v/>
      </c>
      <c r="F710" s="6" t="str">
        <f>IF(A710="","",IFERROR(AVERAGEIF(Chicks!$C:$C,A710,Chicks!$M:$M),""))</f>
        <v/>
      </c>
      <c r="G710" s="6" t="str">
        <f>IF(A710="","",SUMIFS(Chicks!$N:$N,Chicks!$C:$C,A710))</f>
        <v/>
      </c>
      <c r="H710" s="6" t="str">
        <f>IF(A710="","",SUMIFS(Chicks!$O:$O,Chicks!$C:$C,A710))</f>
        <v/>
      </c>
      <c r="I710" s="6" t="str">
        <f>IF(A710="","",SUMIFS(Chicks!$P:$P,Chicks!$C:$C,A710))</f>
        <v/>
      </c>
    </row>
    <row r="711" spans="2:9" ht="14.25" customHeight="1" x14ac:dyDescent="0.3">
      <c r="B711" s="6" t="str">
        <f>IF(A711="","",COUNTIF(Chicks!$C:$C,A711))</f>
        <v/>
      </c>
      <c r="D711" s="6" t="str">
        <f>IF(A711="","",IFERROR(AVERAGEIF(Chicks!$C:$C,A711,Chicks!$K:$K),""))</f>
        <v/>
      </c>
      <c r="E711" s="6" t="str">
        <f>IF(A711="","",IFERROR(AVERAGEIF(Chicks!$C:$C,A711,Chicks!$L:$L),""))</f>
        <v/>
      </c>
      <c r="F711" s="6" t="str">
        <f>IF(A711="","",IFERROR(AVERAGEIF(Chicks!$C:$C,A711,Chicks!$M:$M),""))</f>
        <v/>
      </c>
      <c r="G711" s="6" t="str">
        <f>IF(A711="","",SUMIFS(Chicks!$N:$N,Chicks!$C:$C,A711))</f>
        <v/>
      </c>
      <c r="H711" s="6" t="str">
        <f>IF(A711="","",SUMIFS(Chicks!$O:$O,Chicks!$C:$C,A711))</f>
        <v/>
      </c>
      <c r="I711" s="6" t="str">
        <f>IF(A711="","",SUMIFS(Chicks!$P:$P,Chicks!$C:$C,A711))</f>
        <v/>
      </c>
    </row>
    <row r="712" spans="2:9" ht="14.25" customHeight="1" x14ac:dyDescent="0.3">
      <c r="B712" s="6" t="str">
        <f>IF(A712="","",COUNTIF(Chicks!$C:$C,A712))</f>
        <v/>
      </c>
      <c r="D712" s="6" t="str">
        <f>IF(A712="","",IFERROR(AVERAGEIF(Chicks!$C:$C,A712,Chicks!$K:$K),""))</f>
        <v/>
      </c>
      <c r="E712" s="6" t="str">
        <f>IF(A712="","",IFERROR(AVERAGEIF(Chicks!$C:$C,A712,Chicks!$L:$L),""))</f>
        <v/>
      </c>
      <c r="F712" s="6" t="str">
        <f>IF(A712="","",IFERROR(AVERAGEIF(Chicks!$C:$C,A712,Chicks!$M:$M),""))</f>
        <v/>
      </c>
      <c r="G712" s="6" t="str">
        <f>IF(A712="","",SUMIFS(Chicks!$N:$N,Chicks!$C:$C,A712))</f>
        <v/>
      </c>
      <c r="H712" s="6" t="str">
        <f>IF(A712="","",SUMIFS(Chicks!$O:$O,Chicks!$C:$C,A712))</f>
        <v/>
      </c>
      <c r="I712" s="6" t="str">
        <f>IF(A712="","",SUMIFS(Chicks!$P:$P,Chicks!$C:$C,A712))</f>
        <v/>
      </c>
    </row>
    <row r="713" spans="2:9" ht="14.25" customHeight="1" x14ac:dyDescent="0.3">
      <c r="B713" s="6" t="str">
        <f>IF(A713="","",COUNTIF(Chicks!$C:$C,A713))</f>
        <v/>
      </c>
      <c r="D713" s="6" t="str">
        <f>IF(A713="","",IFERROR(AVERAGEIF(Chicks!$C:$C,A713,Chicks!$K:$K),""))</f>
        <v/>
      </c>
      <c r="E713" s="6" t="str">
        <f>IF(A713="","",IFERROR(AVERAGEIF(Chicks!$C:$C,A713,Chicks!$L:$L),""))</f>
        <v/>
      </c>
      <c r="F713" s="6" t="str">
        <f>IF(A713="","",IFERROR(AVERAGEIF(Chicks!$C:$C,A713,Chicks!$M:$M),""))</f>
        <v/>
      </c>
      <c r="G713" s="6" t="str">
        <f>IF(A713="","",SUMIFS(Chicks!$N:$N,Chicks!$C:$C,A713))</f>
        <v/>
      </c>
      <c r="H713" s="6" t="str">
        <f>IF(A713="","",SUMIFS(Chicks!$O:$O,Chicks!$C:$C,A713))</f>
        <v/>
      </c>
      <c r="I713" s="6" t="str">
        <f>IF(A713="","",SUMIFS(Chicks!$P:$P,Chicks!$C:$C,A713))</f>
        <v/>
      </c>
    </row>
    <row r="714" spans="2:9" ht="14.25" customHeight="1" x14ac:dyDescent="0.3">
      <c r="B714" s="6" t="str">
        <f>IF(A714="","",COUNTIF(Chicks!$C:$C,A714))</f>
        <v/>
      </c>
      <c r="D714" s="6" t="str">
        <f>IF(A714="","",IFERROR(AVERAGEIF(Chicks!$C:$C,A714,Chicks!$K:$K),""))</f>
        <v/>
      </c>
      <c r="E714" s="6" t="str">
        <f>IF(A714="","",IFERROR(AVERAGEIF(Chicks!$C:$C,A714,Chicks!$L:$L),""))</f>
        <v/>
      </c>
      <c r="F714" s="6" t="str">
        <f>IF(A714="","",IFERROR(AVERAGEIF(Chicks!$C:$C,A714,Chicks!$M:$M),""))</f>
        <v/>
      </c>
      <c r="G714" s="6" t="str">
        <f>IF(A714="","",SUMIFS(Chicks!$N:$N,Chicks!$C:$C,A714))</f>
        <v/>
      </c>
      <c r="H714" s="6" t="str">
        <f>IF(A714="","",SUMIFS(Chicks!$O:$O,Chicks!$C:$C,A714))</f>
        <v/>
      </c>
      <c r="I714" s="6" t="str">
        <f>IF(A714="","",SUMIFS(Chicks!$P:$P,Chicks!$C:$C,A714))</f>
        <v/>
      </c>
    </row>
    <row r="715" spans="2:9" ht="14.25" customHeight="1" x14ac:dyDescent="0.3">
      <c r="B715" s="6" t="str">
        <f>IF(A715="","",COUNTIF(Chicks!$C:$C,A715))</f>
        <v/>
      </c>
      <c r="D715" s="6" t="str">
        <f>IF(A715="","",IFERROR(AVERAGEIF(Chicks!$C:$C,A715,Chicks!$K:$K),""))</f>
        <v/>
      </c>
      <c r="E715" s="6" t="str">
        <f>IF(A715="","",IFERROR(AVERAGEIF(Chicks!$C:$C,A715,Chicks!$L:$L),""))</f>
        <v/>
      </c>
      <c r="F715" s="6" t="str">
        <f>IF(A715="","",IFERROR(AVERAGEIF(Chicks!$C:$C,A715,Chicks!$M:$M),""))</f>
        <v/>
      </c>
      <c r="G715" s="6" t="str">
        <f>IF(A715="","",SUMIFS(Chicks!$N:$N,Chicks!$C:$C,A715))</f>
        <v/>
      </c>
      <c r="H715" s="6" t="str">
        <f>IF(A715="","",SUMIFS(Chicks!$O:$O,Chicks!$C:$C,A715))</f>
        <v/>
      </c>
      <c r="I715" s="6" t="str">
        <f>IF(A715="","",SUMIFS(Chicks!$P:$P,Chicks!$C:$C,A715))</f>
        <v/>
      </c>
    </row>
    <row r="716" spans="2:9" ht="14.25" customHeight="1" x14ac:dyDescent="0.3">
      <c r="B716" s="6" t="str">
        <f>IF(A716="","",COUNTIF(Chicks!$C:$C,A716))</f>
        <v/>
      </c>
      <c r="D716" s="6" t="str">
        <f>IF(A716="","",IFERROR(AVERAGEIF(Chicks!$C:$C,A716,Chicks!$K:$K),""))</f>
        <v/>
      </c>
      <c r="E716" s="6" t="str">
        <f>IF(A716="","",IFERROR(AVERAGEIF(Chicks!$C:$C,A716,Chicks!$L:$L),""))</f>
        <v/>
      </c>
      <c r="F716" s="6" t="str">
        <f>IF(A716="","",IFERROR(AVERAGEIF(Chicks!$C:$C,A716,Chicks!$M:$M),""))</f>
        <v/>
      </c>
      <c r="G716" s="6" t="str">
        <f>IF(A716="","",SUMIFS(Chicks!$N:$N,Chicks!$C:$C,A716))</f>
        <v/>
      </c>
      <c r="H716" s="6" t="str">
        <f>IF(A716="","",SUMIFS(Chicks!$O:$O,Chicks!$C:$C,A716))</f>
        <v/>
      </c>
      <c r="I716" s="6" t="str">
        <f>IF(A716="","",SUMIFS(Chicks!$P:$P,Chicks!$C:$C,A716))</f>
        <v/>
      </c>
    </row>
    <row r="717" spans="2:9" ht="14.25" customHeight="1" x14ac:dyDescent="0.3">
      <c r="B717" s="6" t="str">
        <f>IF(A717="","",COUNTIF(Chicks!$C:$C,A717))</f>
        <v/>
      </c>
      <c r="D717" s="6" t="str">
        <f>IF(A717="","",IFERROR(AVERAGEIF(Chicks!$C:$C,A717,Chicks!$K:$K),""))</f>
        <v/>
      </c>
      <c r="E717" s="6" t="str">
        <f>IF(A717="","",IFERROR(AVERAGEIF(Chicks!$C:$C,A717,Chicks!$L:$L),""))</f>
        <v/>
      </c>
      <c r="F717" s="6" t="str">
        <f>IF(A717="","",IFERROR(AVERAGEIF(Chicks!$C:$C,A717,Chicks!$M:$M),""))</f>
        <v/>
      </c>
      <c r="G717" s="6" t="str">
        <f>IF(A717="","",SUMIFS(Chicks!$N:$N,Chicks!$C:$C,A717))</f>
        <v/>
      </c>
      <c r="H717" s="6" t="str">
        <f>IF(A717="","",SUMIFS(Chicks!$O:$O,Chicks!$C:$C,A717))</f>
        <v/>
      </c>
      <c r="I717" s="6" t="str">
        <f>IF(A717="","",SUMIFS(Chicks!$P:$P,Chicks!$C:$C,A717))</f>
        <v/>
      </c>
    </row>
    <row r="718" spans="2:9" ht="14.25" customHeight="1" x14ac:dyDescent="0.3">
      <c r="B718" s="6" t="str">
        <f>IF(A718="","",COUNTIF(Chicks!$C:$C,A718))</f>
        <v/>
      </c>
      <c r="D718" s="6" t="str">
        <f>IF(A718="","",IFERROR(AVERAGEIF(Chicks!$C:$C,A718,Chicks!$K:$K),""))</f>
        <v/>
      </c>
      <c r="E718" s="6" t="str">
        <f>IF(A718="","",IFERROR(AVERAGEIF(Chicks!$C:$C,A718,Chicks!$L:$L),""))</f>
        <v/>
      </c>
      <c r="F718" s="6" t="str">
        <f>IF(A718="","",IFERROR(AVERAGEIF(Chicks!$C:$C,A718,Chicks!$M:$M),""))</f>
        <v/>
      </c>
      <c r="G718" s="6" t="str">
        <f>IF(A718="","",SUMIFS(Chicks!$N:$N,Chicks!$C:$C,A718))</f>
        <v/>
      </c>
      <c r="H718" s="6" t="str">
        <f>IF(A718="","",SUMIFS(Chicks!$O:$O,Chicks!$C:$C,A718))</f>
        <v/>
      </c>
      <c r="I718" s="6" t="str">
        <f>IF(A718="","",SUMIFS(Chicks!$P:$P,Chicks!$C:$C,A718))</f>
        <v/>
      </c>
    </row>
    <row r="719" spans="2:9" ht="14.25" customHeight="1" x14ac:dyDescent="0.3">
      <c r="B719" s="6" t="str">
        <f>IF(A719="","",COUNTIF(Chicks!$C:$C,A719))</f>
        <v/>
      </c>
      <c r="D719" s="6" t="str">
        <f>IF(A719="","",IFERROR(AVERAGEIF(Chicks!$C:$C,A719,Chicks!$K:$K),""))</f>
        <v/>
      </c>
      <c r="E719" s="6" t="str">
        <f>IF(A719="","",IFERROR(AVERAGEIF(Chicks!$C:$C,A719,Chicks!$L:$L),""))</f>
        <v/>
      </c>
      <c r="F719" s="6" t="str">
        <f>IF(A719="","",IFERROR(AVERAGEIF(Chicks!$C:$C,A719,Chicks!$M:$M),""))</f>
        <v/>
      </c>
      <c r="G719" s="6" t="str">
        <f>IF(A719="","",SUMIFS(Chicks!$N:$N,Chicks!$C:$C,A719))</f>
        <v/>
      </c>
      <c r="H719" s="6" t="str">
        <f>IF(A719="","",SUMIFS(Chicks!$O:$O,Chicks!$C:$C,A719))</f>
        <v/>
      </c>
      <c r="I719" s="6" t="str">
        <f>IF(A719="","",SUMIFS(Chicks!$P:$P,Chicks!$C:$C,A719))</f>
        <v/>
      </c>
    </row>
    <row r="720" spans="2:9" ht="14.25" customHeight="1" x14ac:dyDescent="0.3">
      <c r="B720" s="6" t="str">
        <f>IF(A720="","",COUNTIF(Chicks!$C:$C,A720))</f>
        <v/>
      </c>
      <c r="D720" s="6" t="str">
        <f>IF(A720="","",IFERROR(AVERAGEIF(Chicks!$C:$C,A720,Chicks!$K:$K),""))</f>
        <v/>
      </c>
      <c r="E720" s="6" t="str">
        <f>IF(A720="","",IFERROR(AVERAGEIF(Chicks!$C:$C,A720,Chicks!$L:$L),""))</f>
        <v/>
      </c>
      <c r="F720" s="6" t="str">
        <f>IF(A720="","",IFERROR(AVERAGEIF(Chicks!$C:$C,A720,Chicks!$M:$M),""))</f>
        <v/>
      </c>
      <c r="G720" s="6" t="str">
        <f>IF(A720="","",SUMIFS(Chicks!$N:$N,Chicks!$C:$C,A720))</f>
        <v/>
      </c>
      <c r="H720" s="6" t="str">
        <f>IF(A720="","",SUMIFS(Chicks!$O:$O,Chicks!$C:$C,A720))</f>
        <v/>
      </c>
      <c r="I720" s="6" t="str">
        <f>IF(A720="","",SUMIFS(Chicks!$P:$P,Chicks!$C:$C,A720))</f>
        <v/>
      </c>
    </row>
    <row r="721" spans="2:9" ht="14.25" customHeight="1" x14ac:dyDescent="0.3">
      <c r="B721" s="6" t="str">
        <f>IF(A721="","",COUNTIF(Chicks!$C:$C,A721))</f>
        <v/>
      </c>
      <c r="D721" s="6" t="str">
        <f>IF(A721="","",IFERROR(AVERAGEIF(Chicks!$C:$C,A721,Chicks!$K:$K),""))</f>
        <v/>
      </c>
      <c r="E721" s="6" t="str">
        <f>IF(A721="","",IFERROR(AVERAGEIF(Chicks!$C:$C,A721,Chicks!$L:$L),""))</f>
        <v/>
      </c>
      <c r="F721" s="6" t="str">
        <f>IF(A721="","",IFERROR(AVERAGEIF(Chicks!$C:$C,A721,Chicks!$M:$M),""))</f>
        <v/>
      </c>
      <c r="G721" s="6" t="str">
        <f>IF(A721="","",SUMIFS(Chicks!$N:$N,Chicks!$C:$C,A721))</f>
        <v/>
      </c>
      <c r="H721" s="6" t="str">
        <f>IF(A721="","",SUMIFS(Chicks!$O:$O,Chicks!$C:$C,A721))</f>
        <v/>
      </c>
      <c r="I721" s="6" t="str">
        <f>IF(A721="","",SUMIFS(Chicks!$P:$P,Chicks!$C:$C,A721))</f>
        <v/>
      </c>
    </row>
    <row r="722" spans="2:9" ht="14.25" customHeight="1" x14ac:dyDescent="0.3">
      <c r="B722" s="6" t="str">
        <f>IF(A722="","",COUNTIF(Chicks!$C:$C,A722))</f>
        <v/>
      </c>
      <c r="D722" s="6" t="str">
        <f>IF(A722="","",IFERROR(AVERAGEIF(Chicks!$C:$C,A722,Chicks!$K:$K),""))</f>
        <v/>
      </c>
      <c r="E722" s="6" t="str">
        <f>IF(A722="","",IFERROR(AVERAGEIF(Chicks!$C:$C,A722,Chicks!$L:$L),""))</f>
        <v/>
      </c>
      <c r="F722" s="6" t="str">
        <f>IF(A722="","",IFERROR(AVERAGEIF(Chicks!$C:$C,A722,Chicks!$M:$M),""))</f>
        <v/>
      </c>
      <c r="G722" s="6" t="str">
        <f>IF(A722="","",SUMIFS(Chicks!$N:$N,Chicks!$C:$C,A722))</f>
        <v/>
      </c>
      <c r="H722" s="6" t="str">
        <f>IF(A722="","",SUMIFS(Chicks!$O:$O,Chicks!$C:$C,A722))</f>
        <v/>
      </c>
      <c r="I722" s="6" t="str">
        <f>IF(A722="","",SUMIFS(Chicks!$P:$P,Chicks!$C:$C,A722))</f>
        <v/>
      </c>
    </row>
    <row r="723" spans="2:9" ht="14.25" customHeight="1" x14ac:dyDescent="0.3">
      <c r="B723" s="6" t="str">
        <f>IF(A723="","",COUNTIF(Chicks!$C:$C,A723))</f>
        <v/>
      </c>
      <c r="D723" s="6" t="str">
        <f>IF(A723="","",IFERROR(AVERAGEIF(Chicks!$C:$C,A723,Chicks!$K:$K),""))</f>
        <v/>
      </c>
      <c r="E723" s="6" t="str">
        <f>IF(A723="","",IFERROR(AVERAGEIF(Chicks!$C:$C,A723,Chicks!$L:$L),""))</f>
        <v/>
      </c>
      <c r="F723" s="6" t="str">
        <f>IF(A723="","",IFERROR(AVERAGEIF(Chicks!$C:$C,A723,Chicks!$M:$M),""))</f>
        <v/>
      </c>
      <c r="G723" s="6" t="str">
        <f>IF(A723="","",SUMIFS(Chicks!$N:$N,Chicks!$C:$C,A723))</f>
        <v/>
      </c>
      <c r="H723" s="6" t="str">
        <f>IF(A723="","",SUMIFS(Chicks!$O:$O,Chicks!$C:$C,A723))</f>
        <v/>
      </c>
      <c r="I723" s="6" t="str">
        <f>IF(A723="","",SUMIFS(Chicks!$P:$P,Chicks!$C:$C,A723))</f>
        <v/>
      </c>
    </row>
    <row r="724" spans="2:9" ht="14.25" customHeight="1" x14ac:dyDescent="0.3">
      <c r="B724" s="6" t="str">
        <f>IF(A724="","",COUNTIF(Chicks!$C:$C,A724))</f>
        <v/>
      </c>
      <c r="D724" s="6" t="str">
        <f>IF(A724="","",IFERROR(AVERAGEIF(Chicks!$C:$C,A724,Chicks!$K:$K),""))</f>
        <v/>
      </c>
      <c r="E724" s="6" t="str">
        <f>IF(A724="","",IFERROR(AVERAGEIF(Chicks!$C:$C,A724,Chicks!$L:$L),""))</f>
        <v/>
      </c>
      <c r="F724" s="6" t="str">
        <f>IF(A724="","",IFERROR(AVERAGEIF(Chicks!$C:$C,A724,Chicks!$M:$M),""))</f>
        <v/>
      </c>
      <c r="G724" s="6" t="str">
        <f>IF(A724="","",SUMIFS(Chicks!$N:$N,Chicks!$C:$C,A724))</f>
        <v/>
      </c>
      <c r="H724" s="6" t="str">
        <f>IF(A724="","",SUMIFS(Chicks!$O:$O,Chicks!$C:$C,A724))</f>
        <v/>
      </c>
      <c r="I724" s="6" t="str">
        <f>IF(A724="","",SUMIFS(Chicks!$P:$P,Chicks!$C:$C,A724))</f>
        <v/>
      </c>
    </row>
    <row r="725" spans="2:9" ht="14.25" customHeight="1" x14ac:dyDescent="0.3">
      <c r="B725" s="6" t="str">
        <f>IF(A725="","",COUNTIF(Chicks!$C:$C,A725))</f>
        <v/>
      </c>
      <c r="D725" s="6" t="str">
        <f>IF(A725="","",IFERROR(AVERAGEIF(Chicks!$C:$C,A725,Chicks!$K:$K),""))</f>
        <v/>
      </c>
      <c r="E725" s="6" t="str">
        <f>IF(A725="","",IFERROR(AVERAGEIF(Chicks!$C:$C,A725,Chicks!$L:$L),""))</f>
        <v/>
      </c>
      <c r="F725" s="6" t="str">
        <f>IF(A725="","",IFERROR(AVERAGEIF(Chicks!$C:$C,A725,Chicks!$M:$M),""))</f>
        <v/>
      </c>
      <c r="G725" s="6" t="str">
        <f>IF(A725="","",SUMIFS(Chicks!$N:$N,Chicks!$C:$C,A725))</f>
        <v/>
      </c>
      <c r="H725" s="6" t="str">
        <f>IF(A725="","",SUMIFS(Chicks!$O:$O,Chicks!$C:$C,A725))</f>
        <v/>
      </c>
      <c r="I725" s="6" t="str">
        <f>IF(A725="","",SUMIFS(Chicks!$P:$P,Chicks!$C:$C,A725))</f>
        <v/>
      </c>
    </row>
    <row r="726" spans="2:9" ht="14.25" customHeight="1" x14ac:dyDescent="0.3">
      <c r="B726" s="6" t="str">
        <f>IF(A726="","",COUNTIF(Chicks!$C:$C,A726))</f>
        <v/>
      </c>
      <c r="D726" s="6" t="str">
        <f>IF(A726="","",IFERROR(AVERAGEIF(Chicks!$C:$C,A726,Chicks!$K:$K),""))</f>
        <v/>
      </c>
      <c r="E726" s="6" t="str">
        <f>IF(A726="","",IFERROR(AVERAGEIF(Chicks!$C:$C,A726,Chicks!$L:$L),""))</f>
        <v/>
      </c>
      <c r="F726" s="6" t="str">
        <f>IF(A726="","",IFERROR(AVERAGEIF(Chicks!$C:$C,A726,Chicks!$M:$M),""))</f>
        <v/>
      </c>
      <c r="G726" s="6" t="str">
        <f>IF(A726="","",SUMIFS(Chicks!$N:$N,Chicks!$C:$C,A726))</f>
        <v/>
      </c>
      <c r="H726" s="6" t="str">
        <f>IF(A726="","",SUMIFS(Chicks!$O:$O,Chicks!$C:$C,A726))</f>
        <v/>
      </c>
      <c r="I726" s="6" t="str">
        <f>IF(A726="","",SUMIFS(Chicks!$P:$P,Chicks!$C:$C,A726))</f>
        <v/>
      </c>
    </row>
    <row r="727" spans="2:9" ht="14.25" customHeight="1" x14ac:dyDescent="0.3">
      <c r="B727" s="6" t="str">
        <f>IF(A727="","",COUNTIF(Chicks!$C:$C,A727))</f>
        <v/>
      </c>
      <c r="D727" s="6" t="str">
        <f>IF(A727="","",IFERROR(AVERAGEIF(Chicks!$C:$C,A727,Chicks!$K:$K),""))</f>
        <v/>
      </c>
      <c r="E727" s="6" t="str">
        <f>IF(A727="","",IFERROR(AVERAGEIF(Chicks!$C:$C,A727,Chicks!$L:$L),""))</f>
        <v/>
      </c>
      <c r="F727" s="6" t="str">
        <f>IF(A727="","",IFERROR(AVERAGEIF(Chicks!$C:$C,A727,Chicks!$M:$M),""))</f>
        <v/>
      </c>
      <c r="G727" s="6" t="str">
        <f>IF(A727="","",SUMIFS(Chicks!$N:$N,Chicks!$C:$C,A727))</f>
        <v/>
      </c>
      <c r="H727" s="6" t="str">
        <f>IF(A727="","",SUMIFS(Chicks!$O:$O,Chicks!$C:$C,A727))</f>
        <v/>
      </c>
      <c r="I727" s="6" t="str">
        <f>IF(A727="","",SUMIFS(Chicks!$P:$P,Chicks!$C:$C,A727))</f>
        <v/>
      </c>
    </row>
    <row r="728" spans="2:9" ht="14.25" customHeight="1" x14ac:dyDescent="0.3">
      <c r="B728" s="6" t="str">
        <f>IF(A728="","",COUNTIF(Chicks!$C:$C,A728))</f>
        <v/>
      </c>
      <c r="D728" s="6" t="str">
        <f>IF(A728="","",IFERROR(AVERAGEIF(Chicks!$C:$C,A728,Chicks!$K:$K),""))</f>
        <v/>
      </c>
      <c r="E728" s="6" t="str">
        <f>IF(A728="","",IFERROR(AVERAGEIF(Chicks!$C:$C,A728,Chicks!$L:$L),""))</f>
        <v/>
      </c>
      <c r="F728" s="6" t="str">
        <f>IF(A728="","",IFERROR(AVERAGEIF(Chicks!$C:$C,A728,Chicks!$M:$M),""))</f>
        <v/>
      </c>
      <c r="G728" s="6" t="str">
        <f>IF(A728="","",SUMIFS(Chicks!$N:$N,Chicks!$C:$C,A728))</f>
        <v/>
      </c>
      <c r="H728" s="6" t="str">
        <f>IF(A728="","",SUMIFS(Chicks!$O:$O,Chicks!$C:$C,A728))</f>
        <v/>
      </c>
      <c r="I728" s="6" t="str">
        <f>IF(A728="","",SUMIFS(Chicks!$P:$P,Chicks!$C:$C,A728))</f>
        <v/>
      </c>
    </row>
    <row r="729" spans="2:9" ht="14.25" customHeight="1" x14ac:dyDescent="0.3">
      <c r="B729" s="6" t="str">
        <f>IF(A729="","",COUNTIF(Chicks!$C:$C,A729))</f>
        <v/>
      </c>
      <c r="D729" s="6" t="str">
        <f>IF(A729="","",IFERROR(AVERAGEIF(Chicks!$C:$C,A729,Chicks!$K:$K),""))</f>
        <v/>
      </c>
      <c r="E729" s="6" t="str">
        <f>IF(A729="","",IFERROR(AVERAGEIF(Chicks!$C:$C,A729,Chicks!$L:$L),""))</f>
        <v/>
      </c>
      <c r="F729" s="6" t="str">
        <f>IF(A729="","",IFERROR(AVERAGEIF(Chicks!$C:$C,A729,Chicks!$M:$M),""))</f>
        <v/>
      </c>
      <c r="G729" s="6" t="str">
        <f>IF(A729="","",SUMIFS(Chicks!$N:$N,Chicks!$C:$C,A729))</f>
        <v/>
      </c>
      <c r="H729" s="6" t="str">
        <f>IF(A729="","",SUMIFS(Chicks!$O:$O,Chicks!$C:$C,A729))</f>
        <v/>
      </c>
      <c r="I729" s="6" t="str">
        <f>IF(A729="","",SUMIFS(Chicks!$P:$P,Chicks!$C:$C,A729))</f>
        <v/>
      </c>
    </row>
    <row r="730" spans="2:9" ht="14.25" customHeight="1" x14ac:dyDescent="0.3">
      <c r="B730" s="6" t="str">
        <f>IF(A730="","",COUNTIF(Chicks!$C:$C,A730))</f>
        <v/>
      </c>
      <c r="D730" s="6" t="str">
        <f>IF(A730="","",IFERROR(AVERAGEIF(Chicks!$C:$C,A730,Chicks!$K:$K),""))</f>
        <v/>
      </c>
      <c r="E730" s="6" t="str">
        <f>IF(A730="","",IFERROR(AVERAGEIF(Chicks!$C:$C,A730,Chicks!$L:$L),""))</f>
        <v/>
      </c>
      <c r="F730" s="6" t="str">
        <f>IF(A730="","",IFERROR(AVERAGEIF(Chicks!$C:$C,A730,Chicks!$M:$M),""))</f>
        <v/>
      </c>
      <c r="G730" s="6" t="str">
        <f>IF(A730="","",SUMIFS(Chicks!$N:$N,Chicks!$C:$C,A730))</f>
        <v/>
      </c>
      <c r="H730" s="6" t="str">
        <f>IF(A730="","",SUMIFS(Chicks!$O:$O,Chicks!$C:$C,A730))</f>
        <v/>
      </c>
      <c r="I730" s="6" t="str">
        <f>IF(A730="","",SUMIFS(Chicks!$P:$P,Chicks!$C:$C,A730))</f>
        <v/>
      </c>
    </row>
    <row r="731" spans="2:9" ht="14.25" customHeight="1" x14ac:dyDescent="0.3">
      <c r="B731" s="6" t="str">
        <f>IF(A731="","",COUNTIF(Chicks!$C:$C,A731))</f>
        <v/>
      </c>
      <c r="D731" s="6" t="str">
        <f>IF(A731="","",IFERROR(AVERAGEIF(Chicks!$C:$C,A731,Chicks!$K:$K),""))</f>
        <v/>
      </c>
      <c r="E731" s="6" t="str">
        <f>IF(A731="","",IFERROR(AVERAGEIF(Chicks!$C:$C,A731,Chicks!$L:$L),""))</f>
        <v/>
      </c>
      <c r="F731" s="6" t="str">
        <f>IF(A731="","",IFERROR(AVERAGEIF(Chicks!$C:$C,A731,Chicks!$M:$M),""))</f>
        <v/>
      </c>
      <c r="G731" s="6" t="str">
        <f>IF(A731="","",SUMIFS(Chicks!$N:$N,Chicks!$C:$C,A731))</f>
        <v/>
      </c>
      <c r="H731" s="6" t="str">
        <f>IF(A731="","",SUMIFS(Chicks!$O:$O,Chicks!$C:$C,A731))</f>
        <v/>
      </c>
      <c r="I731" s="6" t="str">
        <f>IF(A731="","",SUMIFS(Chicks!$P:$P,Chicks!$C:$C,A731))</f>
        <v/>
      </c>
    </row>
    <row r="732" spans="2:9" ht="14.25" customHeight="1" x14ac:dyDescent="0.3">
      <c r="B732" s="6" t="str">
        <f>IF(A732="","",COUNTIF(Chicks!$C:$C,A732))</f>
        <v/>
      </c>
      <c r="D732" s="6" t="str">
        <f>IF(A732="","",IFERROR(AVERAGEIF(Chicks!$C:$C,A732,Chicks!$K:$K),""))</f>
        <v/>
      </c>
      <c r="E732" s="6" t="str">
        <f>IF(A732="","",IFERROR(AVERAGEIF(Chicks!$C:$C,A732,Chicks!$L:$L),""))</f>
        <v/>
      </c>
      <c r="F732" s="6" t="str">
        <f>IF(A732="","",IFERROR(AVERAGEIF(Chicks!$C:$C,A732,Chicks!$M:$M),""))</f>
        <v/>
      </c>
      <c r="G732" s="6" t="str">
        <f>IF(A732="","",SUMIFS(Chicks!$N:$N,Chicks!$C:$C,A732))</f>
        <v/>
      </c>
      <c r="H732" s="6" t="str">
        <f>IF(A732="","",SUMIFS(Chicks!$O:$O,Chicks!$C:$C,A732))</f>
        <v/>
      </c>
      <c r="I732" s="6" t="str">
        <f>IF(A732="","",SUMIFS(Chicks!$P:$P,Chicks!$C:$C,A732))</f>
        <v/>
      </c>
    </row>
    <row r="733" spans="2:9" ht="14.25" customHeight="1" x14ac:dyDescent="0.3">
      <c r="B733" s="6" t="str">
        <f>IF(A733="","",COUNTIF(Chicks!$C:$C,A733))</f>
        <v/>
      </c>
      <c r="D733" s="6" t="str">
        <f>IF(A733="","",IFERROR(AVERAGEIF(Chicks!$C:$C,A733,Chicks!$K:$K),""))</f>
        <v/>
      </c>
      <c r="E733" s="6" t="str">
        <f>IF(A733="","",IFERROR(AVERAGEIF(Chicks!$C:$C,A733,Chicks!$L:$L),""))</f>
        <v/>
      </c>
      <c r="F733" s="6" t="str">
        <f>IF(A733="","",IFERROR(AVERAGEIF(Chicks!$C:$C,A733,Chicks!$M:$M),""))</f>
        <v/>
      </c>
      <c r="G733" s="6" t="str">
        <f>IF(A733="","",SUMIFS(Chicks!$N:$N,Chicks!$C:$C,A733))</f>
        <v/>
      </c>
      <c r="H733" s="6" t="str">
        <f>IF(A733="","",SUMIFS(Chicks!$O:$O,Chicks!$C:$C,A733))</f>
        <v/>
      </c>
      <c r="I733" s="6" t="str">
        <f>IF(A733="","",SUMIFS(Chicks!$P:$P,Chicks!$C:$C,A733))</f>
        <v/>
      </c>
    </row>
    <row r="734" spans="2:9" ht="14.25" customHeight="1" x14ac:dyDescent="0.3">
      <c r="B734" s="6" t="str">
        <f>IF(A734="","",COUNTIF(Chicks!$C:$C,A734))</f>
        <v/>
      </c>
      <c r="D734" s="6" t="str">
        <f>IF(A734="","",IFERROR(AVERAGEIF(Chicks!$C:$C,A734,Chicks!$K:$K),""))</f>
        <v/>
      </c>
      <c r="E734" s="6" t="str">
        <f>IF(A734="","",IFERROR(AVERAGEIF(Chicks!$C:$C,A734,Chicks!$L:$L),""))</f>
        <v/>
      </c>
      <c r="F734" s="6" t="str">
        <f>IF(A734="","",IFERROR(AVERAGEIF(Chicks!$C:$C,A734,Chicks!$M:$M),""))</f>
        <v/>
      </c>
      <c r="G734" s="6" t="str">
        <f>IF(A734="","",SUMIFS(Chicks!$N:$N,Chicks!$C:$C,A734))</f>
        <v/>
      </c>
      <c r="H734" s="6" t="str">
        <f>IF(A734="","",SUMIFS(Chicks!$O:$O,Chicks!$C:$C,A734))</f>
        <v/>
      </c>
      <c r="I734" s="6" t="str">
        <f>IF(A734="","",SUMIFS(Chicks!$P:$P,Chicks!$C:$C,A734))</f>
        <v/>
      </c>
    </row>
    <row r="735" spans="2:9" ht="14.25" customHeight="1" x14ac:dyDescent="0.3">
      <c r="B735" s="6" t="str">
        <f>IF(A735="","",COUNTIF(Chicks!$C:$C,A735))</f>
        <v/>
      </c>
      <c r="D735" s="6" t="str">
        <f>IF(A735="","",IFERROR(AVERAGEIF(Chicks!$C:$C,A735,Chicks!$K:$K),""))</f>
        <v/>
      </c>
      <c r="E735" s="6" t="str">
        <f>IF(A735="","",IFERROR(AVERAGEIF(Chicks!$C:$C,A735,Chicks!$L:$L),""))</f>
        <v/>
      </c>
      <c r="F735" s="6" t="str">
        <f>IF(A735="","",IFERROR(AVERAGEIF(Chicks!$C:$C,A735,Chicks!$M:$M),""))</f>
        <v/>
      </c>
      <c r="G735" s="6" t="str">
        <f>IF(A735="","",SUMIFS(Chicks!$N:$N,Chicks!$C:$C,A735))</f>
        <v/>
      </c>
      <c r="H735" s="6" t="str">
        <f>IF(A735="","",SUMIFS(Chicks!$O:$O,Chicks!$C:$C,A735))</f>
        <v/>
      </c>
      <c r="I735" s="6" t="str">
        <f>IF(A735="","",SUMIFS(Chicks!$P:$P,Chicks!$C:$C,A735))</f>
        <v/>
      </c>
    </row>
    <row r="736" spans="2:9" ht="14.25" customHeight="1" x14ac:dyDescent="0.3">
      <c r="B736" s="6" t="str">
        <f>IF(A736="","",COUNTIF(Chicks!$C:$C,A736))</f>
        <v/>
      </c>
      <c r="D736" s="6" t="str">
        <f>IF(A736="","",IFERROR(AVERAGEIF(Chicks!$C:$C,A736,Chicks!$K:$K),""))</f>
        <v/>
      </c>
      <c r="E736" s="6" t="str">
        <f>IF(A736="","",IFERROR(AVERAGEIF(Chicks!$C:$C,A736,Chicks!$L:$L),""))</f>
        <v/>
      </c>
      <c r="F736" s="6" t="str">
        <f>IF(A736="","",IFERROR(AVERAGEIF(Chicks!$C:$C,A736,Chicks!$M:$M),""))</f>
        <v/>
      </c>
      <c r="G736" s="6" t="str">
        <f>IF(A736="","",SUMIFS(Chicks!$N:$N,Chicks!$C:$C,A736))</f>
        <v/>
      </c>
      <c r="H736" s="6" t="str">
        <f>IF(A736="","",SUMIFS(Chicks!$O:$O,Chicks!$C:$C,A736))</f>
        <v/>
      </c>
      <c r="I736" s="6" t="str">
        <f>IF(A736="","",SUMIFS(Chicks!$P:$P,Chicks!$C:$C,A736))</f>
        <v/>
      </c>
    </row>
    <row r="737" spans="2:9" ht="14.25" customHeight="1" x14ac:dyDescent="0.3">
      <c r="B737" s="6" t="str">
        <f>IF(A737="","",COUNTIF(Chicks!$C:$C,A737))</f>
        <v/>
      </c>
      <c r="D737" s="6" t="str">
        <f>IF(A737="","",IFERROR(AVERAGEIF(Chicks!$C:$C,A737,Chicks!$K:$K),""))</f>
        <v/>
      </c>
      <c r="E737" s="6" t="str">
        <f>IF(A737="","",IFERROR(AVERAGEIF(Chicks!$C:$C,A737,Chicks!$L:$L),""))</f>
        <v/>
      </c>
      <c r="F737" s="6" t="str">
        <f>IF(A737="","",IFERROR(AVERAGEIF(Chicks!$C:$C,A737,Chicks!$M:$M),""))</f>
        <v/>
      </c>
      <c r="G737" s="6" t="str">
        <f>IF(A737="","",SUMIFS(Chicks!$N:$N,Chicks!$C:$C,A737))</f>
        <v/>
      </c>
      <c r="H737" s="6" t="str">
        <f>IF(A737="","",SUMIFS(Chicks!$O:$O,Chicks!$C:$C,A737))</f>
        <v/>
      </c>
      <c r="I737" s="6" t="str">
        <f>IF(A737="","",SUMIFS(Chicks!$P:$P,Chicks!$C:$C,A737))</f>
        <v/>
      </c>
    </row>
    <row r="738" spans="2:9" ht="14.25" customHeight="1" x14ac:dyDescent="0.3">
      <c r="B738" s="6" t="str">
        <f>IF(A738="","",COUNTIF(Chicks!$C:$C,A738))</f>
        <v/>
      </c>
      <c r="D738" s="6" t="str">
        <f>IF(A738="","",IFERROR(AVERAGEIF(Chicks!$C:$C,A738,Chicks!$K:$K),""))</f>
        <v/>
      </c>
      <c r="E738" s="6" t="str">
        <f>IF(A738="","",IFERROR(AVERAGEIF(Chicks!$C:$C,A738,Chicks!$L:$L),""))</f>
        <v/>
      </c>
      <c r="F738" s="6" t="str">
        <f>IF(A738="","",IFERROR(AVERAGEIF(Chicks!$C:$C,A738,Chicks!$M:$M),""))</f>
        <v/>
      </c>
      <c r="G738" s="6" t="str">
        <f>IF(A738="","",SUMIFS(Chicks!$N:$N,Chicks!$C:$C,A738))</f>
        <v/>
      </c>
      <c r="H738" s="6" t="str">
        <f>IF(A738="","",SUMIFS(Chicks!$O:$O,Chicks!$C:$C,A738))</f>
        <v/>
      </c>
      <c r="I738" s="6" t="str">
        <f>IF(A738="","",SUMIFS(Chicks!$P:$P,Chicks!$C:$C,A738))</f>
        <v/>
      </c>
    </row>
    <row r="739" spans="2:9" ht="14.25" customHeight="1" x14ac:dyDescent="0.3">
      <c r="B739" s="6" t="str">
        <f>IF(A739="","",COUNTIF(Chicks!$C:$C,A739))</f>
        <v/>
      </c>
      <c r="D739" s="6" t="str">
        <f>IF(A739="","",IFERROR(AVERAGEIF(Chicks!$C:$C,A739,Chicks!$K:$K),""))</f>
        <v/>
      </c>
      <c r="E739" s="6" t="str">
        <f>IF(A739="","",IFERROR(AVERAGEIF(Chicks!$C:$C,A739,Chicks!$L:$L),""))</f>
        <v/>
      </c>
      <c r="F739" s="6" t="str">
        <f>IF(A739="","",IFERROR(AVERAGEIF(Chicks!$C:$C,A739,Chicks!$M:$M),""))</f>
        <v/>
      </c>
      <c r="G739" s="6" t="str">
        <f>IF(A739="","",SUMIFS(Chicks!$N:$N,Chicks!$C:$C,A739))</f>
        <v/>
      </c>
      <c r="H739" s="6" t="str">
        <f>IF(A739="","",SUMIFS(Chicks!$O:$O,Chicks!$C:$C,A739))</f>
        <v/>
      </c>
      <c r="I739" s="6" t="str">
        <f>IF(A739="","",SUMIFS(Chicks!$P:$P,Chicks!$C:$C,A739))</f>
        <v/>
      </c>
    </row>
    <row r="740" spans="2:9" ht="14.25" customHeight="1" x14ac:dyDescent="0.3">
      <c r="B740" s="6" t="str">
        <f>IF(A740="","",COUNTIF(Chicks!$C:$C,A740))</f>
        <v/>
      </c>
      <c r="D740" s="6" t="str">
        <f>IF(A740="","",IFERROR(AVERAGEIF(Chicks!$C:$C,A740,Chicks!$K:$K),""))</f>
        <v/>
      </c>
      <c r="E740" s="6" t="str">
        <f>IF(A740="","",IFERROR(AVERAGEIF(Chicks!$C:$C,A740,Chicks!$L:$L),""))</f>
        <v/>
      </c>
      <c r="F740" s="6" t="str">
        <f>IF(A740="","",IFERROR(AVERAGEIF(Chicks!$C:$C,A740,Chicks!$M:$M),""))</f>
        <v/>
      </c>
      <c r="G740" s="6" t="str">
        <f>IF(A740="","",SUMIFS(Chicks!$N:$N,Chicks!$C:$C,A740))</f>
        <v/>
      </c>
      <c r="H740" s="6" t="str">
        <f>IF(A740="","",SUMIFS(Chicks!$O:$O,Chicks!$C:$C,A740))</f>
        <v/>
      </c>
      <c r="I740" s="6" t="str">
        <f>IF(A740="","",SUMIFS(Chicks!$P:$P,Chicks!$C:$C,A740))</f>
        <v/>
      </c>
    </row>
    <row r="741" spans="2:9" ht="14.25" customHeight="1" x14ac:dyDescent="0.3">
      <c r="B741" s="6" t="str">
        <f>IF(A741="","",COUNTIF(Chicks!$C:$C,A741))</f>
        <v/>
      </c>
      <c r="D741" s="6" t="str">
        <f>IF(A741="","",IFERROR(AVERAGEIF(Chicks!$C:$C,A741,Chicks!$K:$K),""))</f>
        <v/>
      </c>
      <c r="E741" s="6" t="str">
        <f>IF(A741="","",IFERROR(AVERAGEIF(Chicks!$C:$C,A741,Chicks!$L:$L),""))</f>
        <v/>
      </c>
      <c r="F741" s="6" t="str">
        <f>IF(A741="","",IFERROR(AVERAGEIF(Chicks!$C:$C,A741,Chicks!$M:$M),""))</f>
        <v/>
      </c>
      <c r="G741" s="6" t="str">
        <f>IF(A741="","",SUMIFS(Chicks!$N:$N,Chicks!$C:$C,A741))</f>
        <v/>
      </c>
      <c r="H741" s="6" t="str">
        <f>IF(A741="","",SUMIFS(Chicks!$O:$O,Chicks!$C:$C,A741))</f>
        <v/>
      </c>
      <c r="I741" s="6" t="str">
        <f>IF(A741="","",SUMIFS(Chicks!$P:$P,Chicks!$C:$C,A741))</f>
        <v/>
      </c>
    </row>
    <row r="742" spans="2:9" ht="14.25" customHeight="1" x14ac:dyDescent="0.3">
      <c r="B742" s="6" t="str">
        <f>IF(A742="","",COUNTIF(Chicks!$C:$C,A742))</f>
        <v/>
      </c>
      <c r="D742" s="6" t="str">
        <f>IF(A742="","",IFERROR(AVERAGEIF(Chicks!$C:$C,A742,Chicks!$K:$K),""))</f>
        <v/>
      </c>
      <c r="E742" s="6" t="str">
        <f>IF(A742="","",IFERROR(AVERAGEIF(Chicks!$C:$C,A742,Chicks!$L:$L),""))</f>
        <v/>
      </c>
      <c r="F742" s="6" t="str">
        <f>IF(A742="","",IFERROR(AVERAGEIF(Chicks!$C:$C,A742,Chicks!$M:$M),""))</f>
        <v/>
      </c>
      <c r="G742" s="6" t="str">
        <f>IF(A742="","",SUMIFS(Chicks!$N:$N,Chicks!$C:$C,A742))</f>
        <v/>
      </c>
      <c r="H742" s="6" t="str">
        <f>IF(A742="","",SUMIFS(Chicks!$O:$O,Chicks!$C:$C,A742))</f>
        <v/>
      </c>
      <c r="I742" s="6" t="str">
        <f>IF(A742="","",SUMIFS(Chicks!$P:$P,Chicks!$C:$C,A742))</f>
        <v/>
      </c>
    </row>
    <row r="743" spans="2:9" ht="14.25" customHeight="1" x14ac:dyDescent="0.3">
      <c r="B743" s="6" t="str">
        <f>IF(A743="","",COUNTIF(Chicks!$C:$C,A743))</f>
        <v/>
      </c>
      <c r="D743" s="6" t="str">
        <f>IF(A743="","",IFERROR(AVERAGEIF(Chicks!$C:$C,A743,Chicks!$K:$K),""))</f>
        <v/>
      </c>
      <c r="E743" s="6" t="str">
        <f>IF(A743="","",IFERROR(AVERAGEIF(Chicks!$C:$C,A743,Chicks!$L:$L),""))</f>
        <v/>
      </c>
      <c r="F743" s="6" t="str">
        <f>IF(A743="","",IFERROR(AVERAGEIF(Chicks!$C:$C,A743,Chicks!$M:$M),""))</f>
        <v/>
      </c>
      <c r="G743" s="6" t="str">
        <f>IF(A743="","",SUMIFS(Chicks!$N:$N,Chicks!$C:$C,A743))</f>
        <v/>
      </c>
      <c r="H743" s="6" t="str">
        <f>IF(A743="","",SUMIFS(Chicks!$O:$O,Chicks!$C:$C,A743))</f>
        <v/>
      </c>
      <c r="I743" s="6" t="str">
        <f>IF(A743="","",SUMIFS(Chicks!$P:$P,Chicks!$C:$C,A743))</f>
        <v/>
      </c>
    </row>
    <row r="744" spans="2:9" ht="14.25" customHeight="1" x14ac:dyDescent="0.3">
      <c r="B744" s="6" t="str">
        <f>IF(A744="","",COUNTIF(Chicks!$C:$C,A744))</f>
        <v/>
      </c>
      <c r="D744" s="6" t="str">
        <f>IF(A744="","",IFERROR(AVERAGEIF(Chicks!$C:$C,A744,Chicks!$K:$K),""))</f>
        <v/>
      </c>
      <c r="E744" s="6" t="str">
        <f>IF(A744="","",IFERROR(AVERAGEIF(Chicks!$C:$C,A744,Chicks!$L:$L),""))</f>
        <v/>
      </c>
      <c r="F744" s="6" t="str">
        <f>IF(A744="","",IFERROR(AVERAGEIF(Chicks!$C:$C,A744,Chicks!$M:$M),""))</f>
        <v/>
      </c>
      <c r="G744" s="6" t="str">
        <f>IF(A744="","",SUMIFS(Chicks!$N:$N,Chicks!$C:$C,A744))</f>
        <v/>
      </c>
      <c r="H744" s="6" t="str">
        <f>IF(A744="","",SUMIFS(Chicks!$O:$O,Chicks!$C:$C,A744))</f>
        <v/>
      </c>
      <c r="I744" s="6" t="str">
        <f>IF(A744="","",SUMIFS(Chicks!$P:$P,Chicks!$C:$C,A744))</f>
        <v/>
      </c>
    </row>
    <row r="745" spans="2:9" ht="14.25" customHeight="1" x14ac:dyDescent="0.3">
      <c r="B745" s="6" t="str">
        <f>IF(A745="","",COUNTIF(Chicks!$C:$C,A745))</f>
        <v/>
      </c>
      <c r="D745" s="6" t="str">
        <f>IF(A745="","",IFERROR(AVERAGEIF(Chicks!$C:$C,A745,Chicks!$K:$K),""))</f>
        <v/>
      </c>
      <c r="E745" s="6" t="str">
        <f>IF(A745="","",IFERROR(AVERAGEIF(Chicks!$C:$C,A745,Chicks!$L:$L),""))</f>
        <v/>
      </c>
      <c r="F745" s="6" t="str">
        <f>IF(A745="","",IFERROR(AVERAGEIF(Chicks!$C:$C,A745,Chicks!$M:$M),""))</f>
        <v/>
      </c>
      <c r="G745" s="6" t="str">
        <f>IF(A745="","",SUMIFS(Chicks!$N:$N,Chicks!$C:$C,A745))</f>
        <v/>
      </c>
      <c r="H745" s="6" t="str">
        <f>IF(A745="","",SUMIFS(Chicks!$O:$O,Chicks!$C:$C,A745))</f>
        <v/>
      </c>
      <c r="I745" s="6" t="str">
        <f>IF(A745="","",SUMIFS(Chicks!$P:$P,Chicks!$C:$C,A745))</f>
        <v/>
      </c>
    </row>
    <row r="746" spans="2:9" ht="14.25" customHeight="1" x14ac:dyDescent="0.3">
      <c r="B746" s="6" t="str">
        <f>IF(A746="","",COUNTIF(Chicks!$C:$C,A746))</f>
        <v/>
      </c>
      <c r="D746" s="6" t="str">
        <f>IF(A746="","",IFERROR(AVERAGEIF(Chicks!$C:$C,A746,Chicks!$K:$K),""))</f>
        <v/>
      </c>
      <c r="E746" s="6" t="str">
        <f>IF(A746="","",IFERROR(AVERAGEIF(Chicks!$C:$C,A746,Chicks!$L:$L),""))</f>
        <v/>
      </c>
      <c r="F746" s="6" t="str">
        <f>IF(A746="","",IFERROR(AVERAGEIF(Chicks!$C:$C,A746,Chicks!$M:$M),""))</f>
        <v/>
      </c>
      <c r="G746" s="6" t="str">
        <f>IF(A746="","",SUMIFS(Chicks!$N:$N,Chicks!$C:$C,A746))</f>
        <v/>
      </c>
      <c r="H746" s="6" t="str">
        <f>IF(A746="","",SUMIFS(Chicks!$O:$O,Chicks!$C:$C,A746))</f>
        <v/>
      </c>
      <c r="I746" s="6" t="str">
        <f>IF(A746="","",SUMIFS(Chicks!$P:$P,Chicks!$C:$C,A746))</f>
        <v/>
      </c>
    </row>
    <row r="747" spans="2:9" ht="14.25" customHeight="1" x14ac:dyDescent="0.3">
      <c r="B747" s="6" t="str">
        <f>IF(A747="","",COUNTIF(Chicks!$C:$C,A747))</f>
        <v/>
      </c>
      <c r="D747" s="6" t="str">
        <f>IF(A747="","",IFERROR(AVERAGEIF(Chicks!$C:$C,A747,Chicks!$K:$K),""))</f>
        <v/>
      </c>
      <c r="E747" s="6" t="str">
        <f>IF(A747="","",IFERROR(AVERAGEIF(Chicks!$C:$C,A747,Chicks!$L:$L),""))</f>
        <v/>
      </c>
      <c r="F747" s="6" t="str">
        <f>IF(A747="","",IFERROR(AVERAGEIF(Chicks!$C:$C,A747,Chicks!$M:$M),""))</f>
        <v/>
      </c>
      <c r="G747" s="6" t="str">
        <f>IF(A747="","",SUMIFS(Chicks!$N:$N,Chicks!$C:$C,A747))</f>
        <v/>
      </c>
      <c r="H747" s="6" t="str">
        <f>IF(A747="","",SUMIFS(Chicks!$O:$O,Chicks!$C:$C,A747))</f>
        <v/>
      </c>
      <c r="I747" s="6" t="str">
        <f>IF(A747="","",SUMIFS(Chicks!$P:$P,Chicks!$C:$C,A747))</f>
        <v/>
      </c>
    </row>
    <row r="748" spans="2:9" ht="14.25" customHeight="1" x14ac:dyDescent="0.3">
      <c r="B748" s="6" t="str">
        <f>IF(A748="","",COUNTIF(Chicks!$C:$C,A748))</f>
        <v/>
      </c>
      <c r="D748" s="6" t="str">
        <f>IF(A748="","",IFERROR(AVERAGEIF(Chicks!$C:$C,A748,Chicks!$K:$K),""))</f>
        <v/>
      </c>
      <c r="E748" s="6" t="str">
        <f>IF(A748="","",IFERROR(AVERAGEIF(Chicks!$C:$C,A748,Chicks!$L:$L),""))</f>
        <v/>
      </c>
      <c r="F748" s="6" t="str">
        <f>IF(A748="","",IFERROR(AVERAGEIF(Chicks!$C:$C,A748,Chicks!$M:$M),""))</f>
        <v/>
      </c>
      <c r="G748" s="6" t="str">
        <f>IF(A748="","",SUMIFS(Chicks!$N:$N,Chicks!$C:$C,A748))</f>
        <v/>
      </c>
      <c r="H748" s="6" t="str">
        <f>IF(A748="","",SUMIFS(Chicks!$O:$O,Chicks!$C:$C,A748))</f>
        <v/>
      </c>
      <c r="I748" s="6" t="str">
        <f>IF(A748="","",SUMIFS(Chicks!$P:$P,Chicks!$C:$C,A748))</f>
        <v/>
      </c>
    </row>
    <row r="749" spans="2:9" ht="14.25" customHeight="1" x14ac:dyDescent="0.3">
      <c r="B749" s="6" t="str">
        <f>IF(A749="","",COUNTIF(Chicks!$C:$C,A749))</f>
        <v/>
      </c>
      <c r="D749" s="6" t="str">
        <f>IF(A749="","",IFERROR(AVERAGEIF(Chicks!$C:$C,A749,Chicks!$K:$K),""))</f>
        <v/>
      </c>
      <c r="E749" s="6" t="str">
        <f>IF(A749="","",IFERROR(AVERAGEIF(Chicks!$C:$C,A749,Chicks!$L:$L),""))</f>
        <v/>
      </c>
      <c r="F749" s="6" t="str">
        <f>IF(A749="","",IFERROR(AVERAGEIF(Chicks!$C:$C,A749,Chicks!$M:$M),""))</f>
        <v/>
      </c>
      <c r="G749" s="6" t="str">
        <f>IF(A749="","",SUMIFS(Chicks!$N:$N,Chicks!$C:$C,A749))</f>
        <v/>
      </c>
      <c r="H749" s="6" t="str">
        <f>IF(A749="","",SUMIFS(Chicks!$O:$O,Chicks!$C:$C,A749))</f>
        <v/>
      </c>
      <c r="I749" s="6" t="str">
        <f>IF(A749="","",SUMIFS(Chicks!$P:$P,Chicks!$C:$C,A749))</f>
        <v/>
      </c>
    </row>
    <row r="750" spans="2:9" ht="14.25" customHeight="1" x14ac:dyDescent="0.3">
      <c r="B750" s="6" t="str">
        <f>IF(A750="","",COUNTIF(Chicks!$C:$C,A750))</f>
        <v/>
      </c>
      <c r="D750" s="6" t="str">
        <f>IF(A750="","",IFERROR(AVERAGEIF(Chicks!$C:$C,A750,Chicks!$K:$K),""))</f>
        <v/>
      </c>
      <c r="E750" s="6" t="str">
        <f>IF(A750="","",IFERROR(AVERAGEIF(Chicks!$C:$C,A750,Chicks!$L:$L),""))</f>
        <v/>
      </c>
      <c r="F750" s="6" t="str">
        <f>IF(A750="","",IFERROR(AVERAGEIF(Chicks!$C:$C,A750,Chicks!$M:$M),""))</f>
        <v/>
      </c>
      <c r="G750" s="6" t="str">
        <f>IF(A750="","",SUMIFS(Chicks!$N:$N,Chicks!$C:$C,A750))</f>
        <v/>
      </c>
      <c r="H750" s="6" t="str">
        <f>IF(A750="","",SUMIFS(Chicks!$O:$O,Chicks!$C:$C,A750))</f>
        <v/>
      </c>
      <c r="I750" s="6" t="str">
        <f>IF(A750="","",SUMIFS(Chicks!$P:$P,Chicks!$C:$C,A750))</f>
        <v/>
      </c>
    </row>
    <row r="751" spans="2:9" ht="14.25" customHeight="1" x14ac:dyDescent="0.3">
      <c r="B751" s="6" t="str">
        <f>IF(A751="","",COUNTIF(Chicks!$C:$C,A751))</f>
        <v/>
      </c>
      <c r="D751" s="6" t="str">
        <f>IF(A751="","",IFERROR(AVERAGEIF(Chicks!$C:$C,A751,Chicks!$K:$K),""))</f>
        <v/>
      </c>
      <c r="E751" s="6" t="str">
        <f>IF(A751="","",IFERROR(AVERAGEIF(Chicks!$C:$C,A751,Chicks!$L:$L),""))</f>
        <v/>
      </c>
      <c r="F751" s="6" t="str">
        <f>IF(A751="","",IFERROR(AVERAGEIF(Chicks!$C:$C,A751,Chicks!$M:$M),""))</f>
        <v/>
      </c>
      <c r="G751" s="6" t="str">
        <f>IF(A751="","",SUMIFS(Chicks!$N:$N,Chicks!$C:$C,A751))</f>
        <v/>
      </c>
      <c r="H751" s="6" t="str">
        <f>IF(A751="","",SUMIFS(Chicks!$O:$O,Chicks!$C:$C,A751))</f>
        <v/>
      </c>
      <c r="I751" s="6" t="str">
        <f>IF(A751="","",SUMIFS(Chicks!$P:$P,Chicks!$C:$C,A751))</f>
        <v/>
      </c>
    </row>
    <row r="752" spans="2:9" ht="14.25" customHeight="1" x14ac:dyDescent="0.3">
      <c r="B752" s="6" t="str">
        <f>IF(A752="","",COUNTIF(Chicks!$C:$C,A752))</f>
        <v/>
      </c>
      <c r="D752" s="6" t="str">
        <f>IF(A752="","",IFERROR(AVERAGEIF(Chicks!$C:$C,A752,Chicks!$K:$K),""))</f>
        <v/>
      </c>
      <c r="E752" s="6" t="str">
        <f>IF(A752="","",IFERROR(AVERAGEIF(Chicks!$C:$C,A752,Chicks!$L:$L),""))</f>
        <v/>
      </c>
      <c r="F752" s="6" t="str">
        <f>IF(A752="","",IFERROR(AVERAGEIF(Chicks!$C:$C,A752,Chicks!$M:$M),""))</f>
        <v/>
      </c>
      <c r="G752" s="6" t="str">
        <f>IF(A752="","",SUMIFS(Chicks!$N:$N,Chicks!$C:$C,A752))</f>
        <v/>
      </c>
      <c r="H752" s="6" t="str">
        <f>IF(A752="","",SUMIFS(Chicks!$O:$O,Chicks!$C:$C,A752))</f>
        <v/>
      </c>
      <c r="I752" s="6" t="str">
        <f>IF(A752="","",SUMIFS(Chicks!$P:$P,Chicks!$C:$C,A752))</f>
        <v/>
      </c>
    </row>
    <row r="753" spans="2:9" ht="14.25" customHeight="1" x14ac:dyDescent="0.3">
      <c r="B753" s="6" t="str">
        <f>IF(A753="","",COUNTIF(Chicks!$C:$C,A753))</f>
        <v/>
      </c>
      <c r="D753" s="6" t="str">
        <f>IF(A753="","",IFERROR(AVERAGEIF(Chicks!$C:$C,A753,Chicks!$K:$K),""))</f>
        <v/>
      </c>
      <c r="E753" s="6" t="str">
        <f>IF(A753="","",IFERROR(AVERAGEIF(Chicks!$C:$C,A753,Chicks!$L:$L),""))</f>
        <v/>
      </c>
      <c r="F753" s="6" t="str">
        <f>IF(A753="","",IFERROR(AVERAGEIF(Chicks!$C:$C,A753,Chicks!$M:$M),""))</f>
        <v/>
      </c>
      <c r="G753" s="6" t="str">
        <f>IF(A753="","",SUMIFS(Chicks!$N:$N,Chicks!$C:$C,A753))</f>
        <v/>
      </c>
      <c r="H753" s="6" t="str">
        <f>IF(A753="","",SUMIFS(Chicks!$O:$O,Chicks!$C:$C,A753))</f>
        <v/>
      </c>
      <c r="I753" s="6" t="str">
        <f>IF(A753="","",SUMIFS(Chicks!$P:$P,Chicks!$C:$C,A753))</f>
        <v/>
      </c>
    </row>
    <row r="754" spans="2:9" ht="14.25" customHeight="1" x14ac:dyDescent="0.3">
      <c r="B754" s="6" t="str">
        <f>IF(A754="","",COUNTIF(Chicks!$C:$C,A754))</f>
        <v/>
      </c>
      <c r="D754" s="6" t="str">
        <f>IF(A754="","",IFERROR(AVERAGEIF(Chicks!$C:$C,A754,Chicks!$K:$K),""))</f>
        <v/>
      </c>
      <c r="E754" s="6" t="str">
        <f>IF(A754="","",IFERROR(AVERAGEIF(Chicks!$C:$C,A754,Chicks!$L:$L),""))</f>
        <v/>
      </c>
      <c r="F754" s="6" t="str">
        <f>IF(A754="","",IFERROR(AVERAGEIF(Chicks!$C:$C,A754,Chicks!$M:$M),""))</f>
        <v/>
      </c>
      <c r="G754" s="6" t="str">
        <f>IF(A754="","",SUMIFS(Chicks!$N:$N,Chicks!$C:$C,A754))</f>
        <v/>
      </c>
      <c r="H754" s="6" t="str">
        <f>IF(A754="","",SUMIFS(Chicks!$O:$O,Chicks!$C:$C,A754))</f>
        <v/>
      </c>
      <c r="I754" s="6" t="str">
        <f>IF(A754="","",SUMIFS(Chicks!$P:$P,Chicks!$C:$C,A754))</f>
        <v/>
      </c>
    </row>
    <row r="755" spans="2:9" ht="14.25" customHeight="1" x14ac:dyDescent="0.3">
      <c r="B755" s="6" t="str">
        <f>IF(A755="","",COUNTIF(Chicks!$C:$C,A755))</f>
        <v/>
      </c>
      <c r="D755" s="6" t="str">
        <f>IF(A755="","",IFERROR(AVERAGEIF(Chicks!$C:$C,A755,Chicks!$K:$K),""))</f>
        <v/>
      </c>
      <c r="E755" s="6" t="str">
        <f>IF(A755="","",IFERROR(AVERAGEIF(Chicks!$C:$C,A755,Chicks!$L:$L),""))</f>
        <v/>
      </c>
      <c r="F755" s="6" t="str">
        <f>IF(A755="","",IFERROR(AVERAGEIF(Chicks!$C:$C,A755,Chicks!$M:$M),""))</f>
        <v/>
      </c>
      <c r="G755" s="6" t="str">
        <f>IF(A755="","",SUMIFS(Chicks!$N:$N,Chicks!$C:$C,A755))</f>
        <v/>
      </c>
      <c r="H755" s="6" t="str">
        <f>IF(A755="","",SUMIFS(Chicks!$O:$O,Chicks!$C:$C,A755))</f>
        <v/>
      </c>
      <c r="I755" s="6" t="str">
        <f>IF(A755="","",SUMIFS(Chicks!$P:$P,Chicks!$C:$C,A755))</f>
        <v/>
      </c>
    </row>
    <row r="756" spans="2:9" ht="14.25" customHeight="1" x14ac:dyDescent="0.3">
      <c r="B756" s="6" t="str">
        <f>IF(A756="","",COUNTIF(Chicks!$C:$C,A756))</f>
        <v/>
      </c>
      <c r="D756" s="6" t="str">
        <f>IF(A756="","",IFERROR(AVERAGEIF(Chicks!$C:$C,A756,Chicks!$K:$K),""))</f>
        <v/>
      </c>
      <c r="E756" s="6" t="str">
        <f>IF(A756="","",IFERROR(AVERAGEIF(Chicks!$C:$C,A756,Chicks!$L:$L),""))</f>
        <v/>
      </c>
      <c r="F756" s="6" t="str">
        <f>IF(A756="","",IFERROR(AVERAGEIF(Chicks!$C:$C,A756,Chicks!$M:$M),""))</f>
        <v/>
      </c>
      <c r="G756" s="6" t="str">
        <f>IF(A756="","",SUMIFS(Chicks!$N:$N,Chicks!$C:$C,A756))</f>
        <v/>
      </c>
      <c r="H756" s="6" t="str">
        <f>IF(A756="","",SUMIFS(Chicks!$O:$O,Chicks!$C:$C,A756))</f>
        <v/>
      </c>
      <c r="I756" s="6" t="str">
        <f>IF(A756="","",SUMIFS(Chicks!$P:$P,Chicks!$C:$C,A756))</f>
        <v/>
      </c>
    </row>
    <row r="757" spans="2:9" ht="14.25" customHeight="1" x14ac:dyDescent="0.3">
      <c r="B757" s="6" t="str">
        <f>IF(A757="","",COUNTIF(Chicks!$C:$C,A757))</f>
        <v/>
      </c>
      <c r="D757" s="6" t="str">
        <f>IF(A757="","",IFERROR(AVERAGEIF(Chicks!$C:$C,A757,Chicks!$K:$K),""))</f>
        <v/>
      </c>
      <c r="E757" s="6" t="str">
        <f>IF(A757="","",IFERROR(AVERAGEIF(Chicks!$C:$C,A757,Chicks!$L:$L),""))</f>
        <v/>
      </c>
      <c r="F757" s="6" t="str">
        <f>IF(A757="","",IFERROR(AVERAGEIF(Chicks!$C:$C,A757,Chicks!$M:$M),""))</f>
        <v/>
      </c>
      <c r="G757" s="6" t="str">
        <f>IF(A757="","",SUMIFS(Chicks!$N:$N,Chicks!$C:$C,A757))</f>
        <v/>
      </c>
      <c r="H757" s="6" t="str">
        <f>IF(A757="","",SUMIFS(Chicks!$O:$O,Chicks!$C:$C,A757))</f>
        <v/>
      </c>
      <c r="I757" s="6" t="str">
        <f>IF(A757="","",SUMIFS(Chicks!$P:$P,Chicks!$C:$C,A757))</f>
        <v/>
      </c>
    </row>
    <row r="758" spans="2:9" ht="14.25" customHeight="1" x14ac:dyDescent="0.3">
      <c r="B758" s="6" t="str">
        <f>IF(A758="","",COUNTIF(Chicks!$C:$C,A758))</f>
        <v/>
      </c>
      <c r="D758" s="6" t="str">
        <f>IF(A758="","",IFERROR(AVERAGEIF(Chicks!$C:$C,A758,Chicks!$K:$K),""))</f>
        <v/>
      </c>
      <c r="E758" s="6" t="str">
        <f>IF(A758="","",IFERROR(AVERAGEIF(Chicks!$C:$C,A758,Chicks!$L:$L),""))</f>
        <v/>
      </c>
      <c r="F758" s="6" t="str">
        <f>IF(A758="","",IFERROR(AVERAGEIF(Chicks!$C:$C,A758,Chicks!$M:$M),""))</f>
        <v/>
      </c>
      <c r="G758" s="6" t="str">
        <f>IF(A758="","",SUMIFS(Chicks!$N:$N,Chicks!$C:$C,A758))</f>
        <v/>
      </c>
      <c r="H758" s="6" t="str">
        <f>IF(A758="","",SUMIFS(Chicks!$O:$O,Chicks!$C:$C,A758))</f>
        <v/>
      </c>
      <c r="I758" s="6" t="str">
        <f>IF(A758="","",SUMIFS(Chicks!$P:$P,Chicks!$C:$C,A758))</f>
        <v/>
      </c>
    </row>
    <row r="759" spans="2:9" ht="14.25" customHeight="1" x14ac:dyDescent="0.3">
      <c r="B759" s="6" t="str">
        <f>IF(A759="","",COUNTIF(Chicks!$C:$C,A759))</f>
        <v/>
      </c>
      <c r="D759" s="6" t="str">
        <f>IF(A759="","",IFERROR(AVERAGEIF(Chicks!$C:$C,A759,Chicks!$K:$K),""))</f>
        <v/>
      </c>
      <c r="E759" s="6" t="str">
        <f>IF(A759="","",IFERROR(AVERAGEIF(Chicks!$C:$C,A759,Chicks!$L:$L),""))</f>
        <v/>
      </c>
      <c r="F759" s="6" t="str">
        <f>IF(A759="","",IFERROR(AVERAGEIF(Chicks!$C:$C,A759,Chicks!$M:$M),""))</f>
        <v/>
      </c>
      <c r="G759" s="6" t="str">
        <f>IF(A759="","",SUMIFS(Chicks!$N:$N,Chicks!$C:$C,A759))</f>
        <v/>
      </c>
      <c r="H759" s="6" t="str">
        <f>IF(A759="","",SUMIFS(Chicks!$O:$O,Chicks!$C:$C,A759))</f>
        <v/>
      </c>
      <c r="I759" s="6" t="str">
        <f>IF(A759="","",SUMIFS(Chicks!$P:$P,Chicks!$C:$C,A759))</f>
        <v/>
      </c>
    </row>
    <row r="760" spans="2:9" ht="14.25" customHeight="1" x14ac:dyDescent="0.3">
      <c r="B760" s="6" t="str">
        <f>IF(A760="","",COUNTIF(Chicks!$C:$C,A760))</f>
        <v/>
      </c>
      <c r="D760" s="6" t="str">
        <f>IF(A760="","",IFERROR(AVERAGEIF(Chicks!$C:$C,A760,Chicks!$K:$K),""))</f>
        <v/>
      </c>
      <c r="E760" s="6" t="str">
        <f>IF(A760="","",IFERROR(AVERAGEIF(Chicks!$C:$C,A760,Chicks!$L:$L),""))</f>
        <v/>
      </c>
      <c r="F760" s="6" t="str">
        <f>IF(A760="","",IFERROR(AVERAGEIF(Chicks!$C:$C,A760,Chicks!$M:$M),""))</f>
        <v/>
      </c>
      <c r="G760" s="6" t="str">
        <f>IF(A760="","",SUMIFS(Chicks!$N:$N,Chicks!$C:$C,A760))</f>
        <v/>
      </c>
      <c r="H760" s="6" t="str">
        <f>IF(A760="","",SUMIFS(Chicks!$O:$O,Chicks!$C:$C,A760))</f>
        <v/>
      </c>
      <c r="I760" s="6" t="str">
        <f>IF(A760="","",SUMIFS(Chicks!$P:$P,Chicks!$C:$C,A760))</f>
        <v/>
      </c>
    </row>
    <row r="761" spans="2:9" ht="14.25" customHeight="1" x14ac:dyDescent="0.3">
      <c r="B761" s="6" t="str">
        <f>IF(A761="","",COUNTIF(Chicks!$C:$C,A761))</f>
        <v/>
      </c>
      <c r="D761" s="6" t="str">
        <f>IF(A761="","",IFERROR(AVERAGEIF(Chicks!$C:$C,A761,Chicks!$K:$K),""))</f>
        <v/>
      </c>
      <c r="E761" s="6" t="str">
        <f>IF(A761="","",IFERROR(AVERAGEIF(Chicks!$C:$C,A761,Chicks!$L:$L),""))</f>
        <v/>
      </c>
      <c r="F761" s="6" t="str">
        <f>IF(A761="","",IFERROR(AVERAGEIF(Chicks!$C:$C,A761,Chicks!$M:$M),""))</f>
        <v/>
      </c>
      <c r="G761" s="6" t="str">
        <f>IF(A761="","",SUMIFS(Chicks!$N:$N,Chicks!$C:$C,A761))</f>
        <v/>
      </c>
      <c r="H761" s="6" t="str">
        <f>IF(A761="","",SUMIFS(Chicks!$O:$O,Chicks!$C:$C,A761))</f>
        <v/>
      </c>
      <c r="I761" s="6" t="str">
        <f>IF(A761="","",SUMIFS(Chicks!$P:$P,Chicks!$C:$C,A761))</f>
        <v/>
      </c>
    </row>
    <row r="762" spans="2:9" ht="14.25" customHeight="1" x14ac:dyDescent="0.3">
      <c r="B762" s="6" t="str">
        <f>IF(A762="","",COUNTIF(Chicks!$C:$C,A762))</f>
        <v/>
      </c>
      <c r="D762" s="6" t="str">
        <f>IF(A762="","",IFERROR(AVERAGEIF(Chicks!$C:$C,A762,Chicks!$K:$K),""))</f>
        <v/>
      </c>
      <c r="E762" s="6" t="str">
        <f>IF(A762="","",IFERROR(AVERAGEIF(Chicks!$C:$C,A762,Chicks!$L:$L),""))</f>
        <v/>
      </c>
      <c r="F762" s="6" t="str">
        <f>IF(A762="","",IFERROR(AVERAGEIF(Chicks!$C:$C,A762,Chicks!$M:$M),""))</f>
        <v/>
      </c>
      <c r="G762" s="6" t="str">
        <f>IF(A762="","",SUMIFS(Chicks!$N:$N,Chicks!$C:$C,A762))</f>
        <v/>
      </c>
      <c r="H762" s="6" t="str">
        <f>IF(A762="","",SUMIFS(Chicks!$O:$O,Chicks!$C:$C,A762))</f>
        <v/>
      </c>
      <c r="I762" s="6" t="str">
        <f>IF(A762="","",SUMIFS(Chicks!$P:$P,Chicks!$C:$C,A762))</f>
        <v/>
      </c>
    </row>
    <row r="763" spans="2:9" ht="14.25" customHeight="1" x14ac:dyDescent="0.3">
      <c r="B763" s="6" t="str">
        <f>IF(A763="","",COUNTIF(Chicks!$C:$C,A763))</f>
        <v/>
      </c>
      <c r="D763" s="6" t="str">
        <f>IF(A763="","",IFERROR(AVERAGEIF(Chicks!$C:$C,A763,Chicks!$K:$K),""))</f>
        <v/>
      </c>
      <c r="E763" s="6" t="str">
        <f>IF(A763="","",IFERROR(AVERAGEIF(Chicks!$C:$C,A763,Chicks!$L:$L),""))</f>
        <v/>
      </c>
      <c r="F763" s="6" t="str">
        <f>IF(A763="","",IFERROR(AVERAGEIF(Chicks!$C:$C,A763,Chicks!$M:$M),""))</f>
        <v/>
      </c>
      <c r="G763" s="6" t="str">
        <f>IF(A763="","",SUMIFS(Chicks!$N:$N,Chicks!$C:$C,A763))</f>
        <v/>
      </c>
      <c r="H763" s="6" t="str">
        <f>IF(A763="","",SUMIFS(Chicks!$O:$O,Chicks!$C:$C,A763))</f>
        <v/>
      </c>
      <c r="I763" s="6" t="str">
        <f>IF(A763="","",SUMIFS(Chicks!$P:$P,Chicks!$C:$C,A763))</f>
        <v/>
      </c>
    </row>
    <row r="764" spans="2:9" ht="14.25" customHeight="1" x14ac:dyDescent="0.3">
      <c r="B764" s="6" t="str">
        <f>IF(A764="","",COUNTIF(Chicks!$C:$C,A764))</f>
        <v/>
      </c>
      <c r="D764" s="6" t="str">
        <f>IF(A764="","",IFERROR(AVERAGEIF(Chicks!$C:$C,A764,Chicks!$K:$K),""))</f>
        <v/>
      </c>
      <c r="E764" s="6" t="str">
        <f>IF(A764="","",IFERROR(AVERAGEIF(Chicks!$C:$C,A764,Chicks!$L:$L),""))</f>
        <v/>
      </c>
      <c r="F764" s="6" t="str">
        <f>IF(A764="","",IFERROR(AVERAGEIF(Chicks!$C:$C,A764,Chicks!$M:$M),""))</f>
        <v/>
      </c>
      <c r="G764" s="6" t="str">
        <f>IF(A764="","",SUMIFS(Chicks!$N:$N,Chicks!$C:$C,A764))</f>
        <v/>
      </c>
      <c r="H764" s="6" t="str">
        <f>IF(A764="","",SUMIFS(Chicks!$O:$O,Chicks!$C:$C,A764))</f>
        <v/>
      </c>
      <c r="I764" s="6" t="str">
        <f>IF(A764="","",SUMIFS(Chicks!$P:$P,Chicks!$C:$C,A764))</f>
        <v/>
      </c>
    </row>
    <row r="765" spans="2:9" ht="14.25" customHeight="1" x14ac:dyDescent="0.3">
      <c r="B765" s="6" t="str">
        <f>IF(A765="","",COUNTIF(Chicks!$C:$C,A765))</f>
        <v/>
      </c>
      <c r="D765" s="6" t="str">
        <f>IF(A765="","",IFERROR(AVERAGEIF(Chicks!$C:$C,A765,Chicks!$K:$K),""))</f>
        <v/>
      </c>
      <c r="E765" s="6" t="str">
        <f>IF(A765="","",IFERROR(AVERAGEIF(Chicks!$C:$C,A765,Chicks!$L:$L),""))</f>
        <v/>
      </c>
      <c r="F765" s="6" t="str">
        <f>IF(A765="","",IFERROR(AVERAGEIF(Chicks!$C:$C,A765,Chicks!$M:$M),""))</f>
        <v/>
      </c>
      <c r="G765" s="6" t="str">
        <f>IF(A765="","",SUMIFS(Chicks!$N:$N,Chicks!$C:$C,A765))</f>
        <v/>
      </c>
      <c r="H765" s="6" t="str">
        <f>IF(A765="","",SUMIFS(Chicks!$O:$O,Chicks!$C:$C,A765))</f>
        <v/>
      </c>
      <c r="I765" s="6" t="str">
        <f>IF(A765="","",SUMIFS(Chicks!$P:$P,Chicks!$C:$C,A765))</f>
        <v/>
      </c>
    </row>
    <row r="766" spans="2:9" ht="14.25" customHeight="1" x14ac:dyDescent="0.3">
      <c r="B766" s="6" t="str">
        <f>IF(A766="","",COUNTIF(Chicks!$C:$C,A766))</f>
        <v/>
      </c>
      <c r="D766" s="6" t="str">
        <f>IF(A766="","",IFERROR(AVERAGEIF(Chicks!$C:$C,A766,Chicks!$K:$K),""))</f>
        <v/>
      </c>
      <c r="E766" s="6" t="str">
        <f>IF(A766="","",IFERROR(AVERAGEIF(Chicks!$C:$C,A766,Chicks!$L:$L),""))</f>
        <v/>
      </c>
      <c r="F766" s="6" t="str">
        <f>IF(A766="","",IFERROR(AVERAGEIF(Chicks!$C:$C,A766,Chicks!$M:$M),""))</f>
        <v/>
      </c>
      <c r="G766" s="6" t="str">
        <f>IF(A766="","",SUMIFS(Chicks!$N:$N,Chicks!$C:$C,A766))</f>
        <v/>
      </c>
      <c r="H766" s="6" t="str">
        <f>IF(A766="","",SUMIFS(Chicks!$O:$O,Chicks!$C:$C,A766))</f>
        <v/>
      </c>
      <c r="I766" s="6" t="str">
        <f>IF(A766="","",SUMIFS(Chicks!$P:$P,Chicks!$C:$C,A766))</f>
        <v/>
      </c>
    </row>
    <row r="767" spans="2:9" ht="14.25" customHeight="1" x14ac:dyDescent="0.3">
      <c r="B767" s="6" t="str">
        <f>IF(A767="","",COUNTIF(Chicks!$C:$C,A767))</f>
        <v/>
      </c>
      <c r="D767" s="6" t="str">
        <f>IF(A767="","",IFERROR(AVERAGEIF(Chicks!$C:$C,A767,Chicks!$K:$K),""))</f>
        <v/>
      </c>
      <c r="E767" s="6" t="str">
        <f>IF(A767="","",IFERROR(AVERAGEIF(Chicks!$C:$C,A767,Chicks!$L:$L),""))</f>
        <v/>
      </c>
      <c r="F767" s="6" t="str">
        <f>IF(A767="","",IFERROR(AVERAGEIF(Chicks!$C:$C,A767,Chicks!$M:$M),""))</f>
        <v/>
      </c>
      <c r="G767" s="6" t="str">
        <f>IF(A767="","",SUMIFS(Chicks!$N:$N,Chicks!$C:$C,A767))</f>
        <v/>
      </c>
      <c r="H767" s="6" t="str">
        <f>IF(A767="","",SUMIFS(Chicks!$O:$O,Chicks!$C:$C,A767))</f>
        <v/>
      </c>
      <c r="I767" s="6" t="str">
        <f>IF(A767="","",SUMIFS(Chicks!$P:$P,Chicks!$C:$C,A767))</f>
        <v/>
      </c>
    </row>
    <row r="768" spans="2:9" ht="14.25" customHeight="1" x14ac:dyDescent="0.3">
      <c r="B768" s="6" t="str">
        <f>IF(A768="","",COUNTIF(Chicks!$C:$C,A768))</f>
        <v/>
      </c>
      <c r="D768" s="6" t="str">
        <f>IF(A768="","",IFERROR(AVERAGEIF(Chicks!$C:$C,A768,Chicks!$K:$K),""))</f>
        <v/>
      </c>
      <c r="E768" s="6" t="str">
        <f>IF(A768="","",IFERROR(AVERAGEIF(Chicks!$C:$C,A768,Chicks!$L:$L),""))</f>
        <v/>
      </c>
      <c r="F768" s="6" t="str">
        <f>IF(A768="","",IFERROR(AVERAGEIF(Chicks!$C:$C,A768,Chicks!$M:$M),""))</f>
        <v/>
      </c>
      <c r="G768" s="6" t="str">
        <f>IF(A768="","",SUMIFS(Chicks!$N:$N,Chicks!$C:$C,A768))</f>
        <v/>
      </c>
      <c r="H768" s="6" t="str">
        <f>IF(A768="","",SUMIFS(Chicks!$O:$O,Chicks!$C:$C,A768))</f>
        <v/>
      </c>
      <c r="I768" s="6" t="str">
        <f>IF(A768="","",SUMIFS(Chicks!$P:$P,Chicks!$C:$C,A768))</f>
        <v/>
      </c>
    </row>
    <row r="769" spans="2:9" ht="14.25" customHeight="1" x14ac:dyDescent="0.3">
      <c r="B769" s="6" t="str">
        <f>IF(A769="","",COUNTIF(Chicks!$C:$C,A769))</f>
        <v/>
      </c>
      <c r="D769" s="6" t="str">
        <f>IF(A769="","",IFERROR(AVERAGEIF(Chicks!$C:$C,A769,Chicks!$K:$K),""))</f>
        <v/>
      </c>
      <c r="E769" s="6" t="str">
        <f>IF(A769="","",IFERROR(AVERAGEIF(Chicks!$C:$C,A769,Chicks!$L:$L),""))</f>
        <v/>
      </c>
      <c r="F769" s="6" t="str">
        <f>IF(A769="","",IFERROR(AVERAGEIF(Chicks!$C:$C,A769,Chicks!$M:$M),""))</f>
        <v/>
      </c>
      <c r="G769" s="6" t="str">
        <f>IF(A769="","",SUMIFS(Chicks!$N:$N,Chicks!$C:$C,A769))</f>
        <v/>
      </c>
      <c r="H769" s="6" t="str">
        <f>IF(A769="","",SUMIFS(Chicks!$O:$O,Chicks!$C:$C,A769))</f>
        <v/>
      </c>
      <c r="I769" s="6" t="str">
        <f>IF(A769="","",SUMIFS(Chicks!$P:$P,Chicks!$C:$C,A769))</f>
        <v/>
      </c>
    </row>
    <row r="770" spans="2:9" ht="14.25" customHeight="1" x14ac:dyDescent="0.3">
      <c r="B770" s="6" t="str">
        <f>IF(A770="","",COUNTIF(Chicks!$C:$C,A770))</f>
        <v/>
      </c>
      <c r="D770" s="6" t="str">
        <f>IF(A770="","",IFERROR(AVERAGEIF(Chicks!$C:$C,A770,Chicks!$K:$K),""))</f>
        <v/>
      </c>
      <c r="E770" s="6" t="str">
        <f>IF(A770="","",IFERROR(AVERAGEIF(Chicks!$C:$C,A770,Chicks!$L:$L),""))</f>
        <v/>
      </c>
      <c r="F770" s="6" t="str">
        <f>IF(A770="","",IFERROR(AVERAGEIF(Chicks!$C:$C,A770,Chicks!$M:$M),""))</f>
        <v/>
      </c>
      <c r="G770" s="6" t="str">
        <f>IF(A770="","",SUMIFS(Chicks!$N:$N,Chicks!$C:$C,A770))</f>
        <v/>
      </c>
      <c r="H770" s="6" t="str">
        <f>IF(A770="","",SUMIFS(Chicks!$O:$O,Chicks!$C:$C,A770))</f>
        <v/>
      </c>
      <c r="I770" s="6" t="str">
        <f>IF(A770="","",SUMIFS(Chicks!$P:$P,Chicks!$C:$C,A770))</f>
        <v/>
      </c>
    </row>
    <row r="771" spans="2:9" ht="14.25" customHeight="1" x14ac:dyDescent="0.3">
      <c r="B771" s="6" t="str">
        <f>IF(A771="","",COUNTIF(Chicks!$C:$C,A771))</f>
        <v/>
      </c>
      <c r="D771" s="6" t="str">
        <f>IF(A771="","",IFERROR(AVERAGEIF(Chicks!$C:$C,A771,Chicks!$K:$K),""))</f>
        <v/>
      </c>
      <c r="E771" s="6" t="str">
        <f>IF(A771="","",IFERROR(AVERAGEIF(Chicks!$C:$C,A771,Chicks!$L:$L),""))</f>
        <v/>
      </c>
      <c r="F771" s="6" t="str">
        <f>IF(A771="","",IFERROR(AVERAGEIF(Chicks!$C:$C,A771,Chicks!$M:$M),""))</f>
        <v/>
      </c>
      <c r="G771" s="6" t="str">
        <f>IF(A771="","",SUMIFS(Chicks!$N:$N,Chicks!$C:$C,A771))</f>
        <v/>
      </c>
      <c r="H771" s="6" t="str">
        <f>IF(A771="","",SUMIFS(Chicks!$O:$O,Chicks!$C:$C,A771))</f>
        <v/>
      </c>
      <c r="I771" s="6" t="str">
        <f>IF(A771="","",SUMIFS(Chicks!$P:$P,Chicks!$C:$C,A771))</f>
        <v/>
      </c>
    </row>
    <row r="772" spans="2:9" ht="14.25" customHeight="1" x14ac:dyDescent="0.3">
      <c r="B772" s="6" t="str">
        <f>IF(A772="","",COUNTIF(Chicks!$C:$C,A772))</f>
        <v/>
      </c>
      <c r="D772" s="6" t="str">
        <f>IF(A772="","",IFERROR(AVERAGEIF(Chicks!$C:$C,A772,Chicks!$K:$K),""))</f>
        <v/>
      </c>
      <c r="E772" s="6" t="str">
        <f>IF(A772="","",IFERROR(AVERAGEIF(Chicks!$C:$C,A772,Chicks!$L:$L),""))</f>
        <v/>
      </c>
      <c r="F772" s="6" t="str">
        <f>IF(A772="","",IFERROR(AVERAGEIF(Chicks!$C:$C,A772,Chicks!$M:$M),""))</f>
        <v/>
      </c>
      <c r="G772" s="6" t="str">
        <f>IF(A772="","",SUMIFS(Chicks!$N:$N,Chicks!$C:$C,A772))</f>
        <v/>
      </c>
      <c r="H772" s="6" t="str">
        <f>IF(A772="","",SUMIFS(Chicks!$O:$O,Chicks!$C:$C,A772))</f>
        <v/>
      </c>
      <c r="I772" s="6" t="str">
        <f>IF(A772="","",SUMIFS(Chicks!$P:$P,Chicks!$C:$C,A772))</f>
        <v/>
      </c>
    </row>
    <row r="773" spans="2:9" ht="14.25" customHeight="1" x14ac:dyDescent="0.3">
      <c r="B773" s="6" t="str">
        <f>IF(A773="","",COUNTIF(Chicks!$C:$C,A773))</f>
        <v/>
      </c>
      <c r="D773" s="6" t="str">
        <f>IF(A773="","",IFERROR(AVERAGEIF(Chicks!$C:$C,A773,Chicks!$K:$K),""))</f>
        <v/>
      </c>
      <c r="E773" s="6" t="str">
        <f>IF(A773="","",IFERROR(AVERAGEIF(Chicks!$C:$C,A773,Chicks!$L:$L),""))</f>
        <v/>
      </c>
      <c r="F773" s="6" t="str">
        <f>IF(A773="","",IFERROR(AVERAGEIF(Chicks!$C:$C,A773,Chicks!$M:$M),""))</f>
        <v/>
      </c>
      <c r="G773" s="6" t="str">
        <f>IF(A773="","",SUMIFS(Chicks!$N:$N,Chicks!$C:$C,A773))</f>
        <v/>
      </c>
      <c r="H773" s="6" t="str">
        <f>IF(A773="","",SUMIFS(Chicks!$O:$O,Chicks!$C:$C,A773))</f>
        <v/>
      </c>
      <c r="I773" s="6" t="str">
        <f>IF(A773="","",SUMIFS(Chicks!$P:$P,Chicks!$C:$C,A773))</f>
        <v/>
      </c>
    </row>
    <row r="774" spans="2:9" ht="14.25" customHeight="1" x14ac:dyDescent="0.3">
      <c r="B774" s="6" t="str">
        <f>IF(A774="","",COUNTIF(Chicks!$C:$C,A774))</f>
        <v/>
      </c>
      <c r="D774" s="6" t="str">
        <f>IF(A774="","",IFERROR(AVERAGEIF(Chicks!$C:$C,A774,Chicks!$K:$K),""))</f>
        <v/>
      </c>
      <c r="E774" s="6" t="str">
        <f>IF(A774="","",IFERROR(AVERAGEIF(Chicks!$C:$C,A774,Chicks!$L:$L),""))</f>
        <v/>
      </c>
      <c r="F774" s="6" t="str">
        <f>IF(A774="","",IFERROR(AVERAGEIF(Chicks!$C:$C,A774,Chicks!$M:$M),""))</f>
        <v/>
      </c>
      <c r="G774" s="6" t="str">
        <f>IF(A774="","",SUMIFS(Chicks!$N:$N,Chicks!$C:$C,A774))</f>
        <v/>
      </c>
      <c r="H774" s="6" t="str">
        <f>IF(A774="","",SUMIFS(Chicks!$O:$O,Chicks!$C:$C,A774))</f>
        <v/>
      </c>
      <c r="I774" s="6" t="str">
        <f>IF(A774="","",SUMIFS(Chicks!$P:$P,Chicks!$C:$C,A774))</f>
        <v/>
      </c>
    </row>
    <row r="775" spans="2:9" ht="14.25" customHeight="1" x14ac:dyDescent="0.3">
      <c r="B775" s="6" t="str">
        <f>IF(A775="","",COUNTIF(Chicks!$C:$C,A775))</f>
        <v/>
      </c>
      <c r="D775" s="6" t="str">
        <f>IF(A775="","",IFERROR(AVERAGEIF(Chicks!$C:$C,A775,Chicks!$K:$K),""))</f>
        <v/>
      </c>
      <c r="E775" s="6" t="str">
        <f>IF(A775="","",IFERROR(AVERAGEIF(Chicks!$C:$C,A775,Chicks!$L:$L),""))</f>
        <v/>
      </c>
      <c r="F775" s="6" t="str">
        <f>IF(A775="","",IFERROR(AVERAGEIF(Chicks!$C:$C,A775,Chicks!$M:$M),""))</f>
        <v/>
      </c>
      <c r="G775" s="6" t="str">
        <f>IF(A775="","",SUMIFS(Chicks!$N:$N,Chicks!$C:$C,A775))</f>
        <v/>
      </c>
      <c r="H775" s="6" t="str">
        <f>IF(A775="","",SUMIFS(Chicks!$O:$O,Chicks!$C:$C,A775))</f>
        <v/>
      </c>
      <c r="I775" s="6" t="str">
        <f>IF(A775="","",SUMIFS(Chicks!$P:$P,Chicks!$C:$C,A775))</f>
        <v/>
      </c>
    </row>
    <row r="776" spans="2:9" ht="14.25" customHeight="1" x14ac:dyDescent="0.3">
      <c r="B776" s="6" t="str">
        <f>IF(A776="","",COUNTIF(Chicks!$C:$C,A776))</f>
        <v/>
      </c>
      <c r="D776" s="6" t="str">
        <f>IF(A776="","",IFERROR(AVERAGEIF(Chicks!$C:$C,A776,Chicks!$K:$K),""))</f>
        <v/>
      </c>
      <c r="E776" s="6" t="str">
        <f>IF(A776="","",IFERROR(AVERAGEIF(Chicks!$C:$C,A776,Chicks!$L:$L),""))</f>
        <v/>
      </c>
      <c r="F776" s="6" t="str">
        <f>IF(A776="","",IFERROR(AVERAGEIF(Chicks!$C:$C,A776,Chicks!$M:$M),""))</f>
        <v/>
      </c>
      <c r="G776" s="6" t="str">
        <f>IF(A776="","",SUMIFS(Chicks!$N:$N,Chicks!$C:$C,A776))</f>
        <v/>
      </c>
      <c r="H776" s="6" t="str">
        <f>IF(A776="","",SUMIFS(Chicks!$O:$O,Chicks!$C:$C,A776))</f>
        <v/>
      </c>
      <c r="I776" s="6" t="str">
        <f>IF(A776="","",SUMIFS(Chicks!$P:$P,Chicks!$C:$C,A776))</f>
        <v/>
      </c>
    </row>
    <row r="777" spans="2:9" ht="14.25" customHeight="1" x14ac:dyDescent="0.3">
      <c r="B777" s="6" t="str">
        <f>IF(A777="","",COUNTIF(Chicks!$C:$C,A777))</f>
        <v/>
      </c>
      <c r="D777" s="6" t="str">
        <f>IF(A777="","",IFERROR(AVERAGEIF(Chicks!$C:$C,A777,Chicks!$K:$K),""))</f>
        <v/>
      </c>
      <c r="E777" s="6" t="str">
        <f>IF(A777="","",IFERROR(AVERAGEIF(Chicks!$C:$C,A777,Chicks!$L:$L),""))</f>
        <v/>
      </c>
      <c r="F777" s="6" t="str">
        <f>IF(A777="","",IFERROR(AVERAGEIF(Chicks!$C:$C,A777,Chicks!$M:$M),""))</f>
        <v/>
      </c>
      <c r="G777" s="6" t="str">
        <f>IF(A777="","",SUMIFS(Chicks!$N:$N,Chicks!$C:$C,A777))</f>
        <v/>
      </c>
      <c r="H777" s="6" t="str">
        <f>IF(A777="","",SUMIFS(Chicks!$O:$O,Chicks!$C:$C,A777))</f>
        <v/>
      </c>
      <c r="I777" s="6" t="str">
        <f>IF(A777="","",SUMIFS(Chicks!$P:$P,Chicks!$C:$C,A777))</f>
        <v/>
      </c>
    </row>
    <row r="778" spans="2:9" ht="14.25" customHeight="1" x14ac:dyDescent="0.3">
      <c r="B778" s="6" t="str">
        <f>IF(A778="","",COUNTIF(Chicks!$C:$C,A778))</f>
        <v/>
      </c>
      <c r="D778" s="6" t="str">
        <f>IF(A778="","",IFERROR(AVERAGEIF(Chicks!$C:$C,A778,Chicks!$K:$K),""))</f>
        <v/>
      </c>
      <c r="E778" s="6" t="str">
        <f>IF(A778="","",IFERROR(AVERAGEIF(Chicks!$C:$C,A778,Chicks!$L:$L),""))</f>
        <v/>
      </c>
      <c r="F778" s="6" t="str">
        <f>IF(A778="","",IFERROR(AVERAGEIF(Chicks!$C:$C,A778,Chicks!$M:$M),""))</f>
        <v/>
      </c>
      <c r="G778" s="6" t="str">
        <f>IF(A778="","",SUMIFS(Chicks!$N:$N,Chicks!$C:$C,A778))</f>
        <v/>
      </c>
      <c r="H778" s="6" t="str">
        <f>IF(A778="","",SUMIFS(Chicks!$O:$O,Chicks!$C:$C,A778))</f>
        <v/>
      </c>
      <c r="I778" s="6" t="str">
        <f>IF(A778="","",SUMIFS(Chicks!$P:$P,Chicks!$C:$C,A778))</f>
        <v/>
      </c>
    </row>
    <row r="779" spans="2:9" ht="14.25" customHeight="1" x14ac:dyDescent="0.3">
      <c r="B779" s="6" t="str">
        <f>IF(A779="","",COUNTIF(Chicks!$C:$C,A779))</f>
        <v/>
      </c>
      <c r="D779" s="6" t="str">
        <f>IF(A779="","",IFERROR(AVERAGEIF(Chicks!$C:$C,A779,Chicks!$K:$K),""))</f>
        <v/>
      </c>
      <c r="E779" s="6" t="str">
        <f>IF(A779="","",IFERROR(AVERAGEIF(Chicks!$C:$C,A779,Chicks!$L:$L),""))</f>
        <v/>
      </c>
      <c r="F779" s="6" t="str">
        <f>IF(A779="","",IFERROR(AVERAGEIF(Chicks!$C:$C,A779,Chicks!$M:$M),""))</f>
        <v/>
      </c>
      <c r="G779" s="6" t="str">
        <f>IF(A779="","",SUMIFS(Chicks!$N:$N,Chicks!$C:$C,A779))</f>
        <v/>
      </c>
      <c r="H779" s="6" t="str">
        <f>IF(A779="","",SUMIFS(Chicks!$O:$O,Chicks!$C:$C,A779))</f>
        <v/>
      </c>
      <c r="I779" s="6" t="str">
        <f>IF(A779="","",SUMIFS(Chicks!$P:$P,Chicks!$C:$C,A779))</f>
        <v/>
      </c>
    </row>
    <row r="780" spans="2:9" ht="14.25" customHeight="1" x14ac:dyDescent="0.3">
      <c r="B780" s="6" t="str">
        <f>IF(A780="","",COUNTIF(Chicks!$C:$C,A780))</f>
        <v/>
      </c>
      <c r="D780" s="6" t="str">
        <f>IF(A780="","",IFERROR(AVERAGEIF(Chicks!$C:$C,A780,Chicks!$K:$K),""))</f>
        <v/>
      </c>
      <c r="E780" s="6" t="str">
        <f>IF(A780="","",IFERROR(AVERAGEIF(Chicks!$C:$C,A780,Chicks!$L:$L),""))</f>
        <v/>
      </c>
      <c r="F780" s="6" t="str">
        <f>IF(A780="","",IFERROR(AVERAGEIF(Chicks!$C:$C,A780,Chicks!$M:$M),""))</f>
        <v/>
      </c>
      <c r="G780" s="6" t="str">
        <f>IF(A780="","",SUMIFS(Chicks!$N:$N,Chicks!$C:$C,A780))</f>
        <v/>
      </c>
      <c r="H780" s="6" t="str">
        <f>IF(A780="","",SUMIFS(Chicks!$O:$O,Chicks!$C:$C,A780))</f>
        <v/>
      </c>
      <c r="I780" s="6" t="str">
        <f>IF(A780="","",SUMIFS(Chicks!$P:$P,Chicks!$C:$C,A780))</f>
        <v/>
      </c>
    </row>
    <row r="781" spans="2:9" ht="14.25" customHeight="1" x14ac:dyDescent="0.3">
      <c r="B781" s="6" t="str">
        <f>IF(A781="","",COUNTIF(Chicks!$C:$C,A781))</f>
        <v/>
      </c>
      <c r="D781" s="6" t="str">
        <f>IF(A781="","",IFERROR(AVERAGEIF(Chicks!$C:$C,A781,Chicks!$K:$K),""))</f>
        <v/>
      </c>
      <c r="E781" s="6" t="str">
        <f>IF(A781="","",IFERROR(AVERAGEIF(Chicks!$C:$C,A781,Chicks!$L:$L),""))</f>
        <v/>
      </c>
      <c r="F781" s="6" t="str">
        <f>IF(A781="","",IFERROR(AVERAGEIF(Chicks!$C:$C,A781,Chicks!$M:$M),""))</f>
        <v/>
      </c>
      <c r="G781" s="6" t="str">
        <f>IF(A781="","",SUMIFS(Chicks!$N:$N,Chicks!$C:$C,A781))</f>
        <v/>
      </c>
      <c r="H781" s="6" t="str">
        <f>IF(A781="","",SUMIFS(Chicks!$O:$O,Chicks!$C:$C,A781))</f>
        <v/>
      </c>
      <c r="I781" s="6" t="str">
        <f>IF(A781="","",SUMIFS(Chicks!$P:$P,Chicks!$C:$C,A781))</f>
        <v/>
      </c>
    </row>
    <row r="782" spans="2:9" ht="14.25" customHeight="1" x14ac:dyDescent="0.3">
      <c r="B782" s="6" t="str">
        <f>IF(A782="","",COUNTIF(Chicks!$C:$C,A782))</f>
        <v/>
      </c>
      <c r="D782" s="6" t="str">
        <f>IF(A782="","",IFERROR(AVERAGEIF(Chicks!$C:$C,A782,Chicks!$K:$K),""))</f>
        <v/>
      </c>
      <c r="E782" s="6" t="str">
        <f>IF(A782="","",IFERROR(AVERAGEIF(Chicks!$C:$C,A782,Chicks!$L:$L),""))</f>
        <v/>
      </c>
      <c r="F782" s="6" t="str">
        <f>IF(A782="","",IFERROR(AVERAGEIF(Chicks!$C:$C,A782,Chicks!$M:$M),""))</f>
        <v/>
      </c>
      <c r="G782" s="6" t="str">
        <f>IF(A782="","",SUMIFS(Chicks!$N:$N,Chicks!$C:$C,A782))</f>
        <v/>
      </c>
      <c r="H782" s="6" t="str">
        <f>IF(A782="","",SUMIFS(Chicks!$O:$O,Chicks!$C:$C,A782))</f>
        <v/>
      </c>
      <c r="I782" s="6" t="str">
        <f>IF(A782="","",SUMIFS(Chicks!$P:$P,Chicks!$C:$C,A782))</f>
        <v/>
      </c>
    </row>
    <row r="783" spans="2:9" ht="14.25" customHeight="1" x14ac:dyDescent="0.3">
      <c r="B783" s="6" t="str">
        <f>IF(A783="","",COUNTIF(Chicks!$C:$C,A783))</f>
        <v/>
      </c>
      <c r="D783" s="6" t="str">
        <f>IF(A783="","",IFERROR(AVERAGEIF(Chicks!$C:$C,A783,Chicks!$K:$K),""))</f>
        <v/>
      </c>
      <c r="E783" s="6" t="str">
        <f>IF(A783="","",IFERROR(AVERAGEIF(Chicks!$C:$C,A783,Chicks!$L:$L),""))</f>
        <v/>
      </c>
      <c r="F783" s="6" t="str">
        <f>IF(A783="","",IFERROR(AVERAGEIF(Chicks!$C:$C,A783,Chicks!$M:$M),""))</f>
        <v/>
      </c>
      <c r="G783" s="6" t="str">
        <f>IF(A783="","",SUMIFS(Chicks!$N:$N,Chicks!$C:$C,A783))</f>
        <v/>
      </c>
      <c r="H783" s="6" t="str">
        <f>IF(A783="","",SUMIFS(Chicks!$O:$O,Chicks!$C:$C,A783))</f>
        <v/>
      </c>
      <c r="I783" s="6" t="str">
        <f>IF(A783="","",SUMIFS(Chicks!$P:$P,Chicks!$C:$C,A783))</f>
        <v/>
      </c>
    </row>
    <row r="784" spans="2:9" ht="14.25" customHeight="1" x14ac:dyDescent="0.3">
      <c r="B784" s="6" t="str">
        <f>IF(A784="","",COUNTIF(Chicks!$C:$C,A784))</f>
        <v/>
      </c>
      <c r="D784" s="6" t="str">
        <f>IF(A784="","",IFERROR(AVERAGEIF(Chicks!$C:$C,A784,Chicks!$K:$K),""))</f>
        <v/>
      </c>
      <c r="E784" s="6" t="str">
        <f>IF(A784="","",IFERROR(AVERAGEIF(Chicks!$C:$C,A784,Chicks!$L:$L),""))</f>
        <v/>
      </c>
      <c r="F784" s="6" t="str">
        <f>IF(A784="","",IFERROR(AVERAGEIF(Chicks!$C:$C,A784,Chicks!$M:$M),""))</f>
        <v/>
      </c>
      <c r="G784" s="6" t="str">
        <f>IF(A784="","",SUMIFS(Chicks!$N:$N,Chicks!$C:$C,A784))</f>
        <v/>
      </c>
      <c r="H784" s="6" t="str">
        <f>IF(A784="","",SUMIFS(Chicks!$O:$O,Chicks!$C:$C,A784))</f>
        <v/>
      </c>
      <c r="I784" s="6" t="str">
        <f>IF(A784="","",SUMIFS(Chicks!$P:$P,Chicks!$C:$C,A784))</f>
        <v/>
      </c>
    </row>
    <row r="785" spans="2:9" ht="14.25" customHeight="1" x14ac:dyDescent="0.3">
      <c r="B785" s="6" t="str">
        <f>IF(A785="","",COUNTIF(Chicks!$C:$C,A785))</f>
        <v/>
      </c>
      <c r="D785" s="6" t="str">
        <f>IF(A785="","",IFERROR(AVERAGEIF(Chicks!$C:$C,A785,Chicks!$K:$K),""))</f>
        <v/>
      </c>
      <c r="E785" s="6" t="str">
        <f>IF(A785="","",IFERROR(AVERAGEIF(Chicks!$C:$C,A785,Chicks!$L:$L),""))</f>
        <v/>
      </c>
      <c r="F785" s="6" t="str">
        <f>IF(A785="","",IFERROR(AVERAGEIF(Chicks!$C:$C,A785,Chicks!$M:$M),""))</f>
        <v/>
      </c>
      <c r="G785" s="6" t="str">
        <f>IF(A785="","",SUMIFS(Chicks!$N:$N,Chicks!$C:$C,A785))</f>
        <v/>
      </c>
      <c r="H785" s="6" t="str">
        <f>IF(A785="","",SUMIFS(Chicks!$O:$O,Chicks!$C:$C,A785))</f>
        <v/>
      </c>
      <c r="I785" s="6" t="str">
        <f>IF(A785="","",SUMIFS(Chicks!$P:$P,Chicks!$C:$C,A785))</f>
        <v/>
      </c>
    </row>
    <row r="786" spans="2:9" ht="14.25" customHeight="1" x14ac:dyDescent="0.3">
      <c r="B786" s="6" t="str">
        <f>IF(A786="","",COUNTIF(Chicks!$C:$C,A786))</f>
        <v/>
      </c>
      <c r="D786" s="6" t="str">
        <f>IF(A786="","",IFERROR(AVERAGEIF(Chicks!$C:$C,A786,Chicks!$K:$K),""))</f>
        <v/>
      </c>
      <c r="E786" s="6" t="str">
        <f>IF(A786="","",IFERROR(AVERAGEIF(Chicks!$C:$C,A786,Chicks!$L:$L),""))</f>
        <v/>
      </c>
      <c r="F786" s="6" t="str">
        <f>IF(A786="","",IFERROR(AVERAGEIF(Chicks!$C:$C,A786,Chicks!$M:$M),""))</f>
        <v/>
      </c>
      <c r="G786" s="6" t="str">
        <f>IF(A786="","",SUMIFS(Chicks!$N:$N,Chicks!$C:$C,A786))</f>
        <v/>
      </c>
      <c r="H786" s="6" t="str">
        <f>IF(A786="","",SUMIFS(Chicks!$O:$O,Chicks!$C:$C,A786))</f>
        <v/>
      </c>
      <c r="I786" s="6" t="str">
        <f>IF(A786="","",SUMIFS(Chicks!$P:$P,Chicks!$C:$C,A786))</f>
        <v/>
      </c>
    </row>
    <row r="787" spans="2:9" ht="14.25" customHeight="1" x14ac:dyDescent="0.3">
      <c r="B787" s="6" t="str">
        <f>IF(A787="","",COUNTIF(Chicks!$C:$C,A787))</f>
        <v/>
      </c>
      <c r="D787" s="6" t="str">
        <f>IF(A787="","",IFERROR(AVERAGEIF(Chicks!$C:$C,A787,Chicks!$K:$K),""))</f>
        <v/>
      </c>
      <c r="E787" s="6" t="str">
        <f>IF(A787="","",IFERROR(AVERAGEIF(Chicks!$C:$C,A787,Chicks!$L:$L),""))</f>
        <v/>
      </c>
      <c r="F787" s="6" t="str">
        <f>IF(A787="","",IFERROR(AVERAGEIF(Chicks!$C:$C,A787,Chicks!$M:$M),""))</f>
        <v/>
      </c>
      <c r="G787" s="6" t="str">
        <f>IF(A787="","",SUMIFS(Chicks!$N:$N,Chicks!$C:$C,A787))</f>
        <v/>
      </c>
      <c r="H787" s="6" t="str">
        <f>IF(A787="","",SUMIFS(Chicks!$O:$O,Chicks!$C:$C,A787))</f>
        <v/>
      </c>
      <c r="I787" s="6" t="str">
        <f>IF(A787="","",SUMIFS(Chicks!$P:$P,Chicks!$C:$C,A787))</f>
        <v/>
      </c>
    </row>
    <row r="788" spans="2:9" ht="14.25" customHeight="1" x14ac:dyDescent="0.3">
      <c r="B788" s="6" t="str">
        <f>IF(A788="","",COUNTIF(Chicks!$C:$C,A788))</f>
        <v/>
      </c>
      <c r="D788" s="6" t="str">
        <f>IF(A788="","",IFERROR(AVERAGEIF(Chicks!$C:$C,A788,Chicks!$K:$K),""))</f>
        <v/>
      </c>
      <c r="E788" s="6" t="str">
        <f>IF(A788="","",IFERROR(AVERAGEIF(Chicks!$C:$C,A788,Chicks!$L:$L),""))</f>
        <v/>
      </c>
      <c r="F788" s="6" t="str">
        <f>IF(A788="","",IFERROR(AVERAGEIF(Chicks!$C:$C,A788,Chicks!$M:$M),""))</f>
        <v/>
      </c>
      <c r="G788" s="6" t="str">
        <f>IF(A788="","",SUMIFS(Chicks!$N:$N,Chicks!$C:$C,A788))</f>
        <v/>
      </c>
      <c r="H788" s="6" t="str">
        <f>IF(A788="","",SUMIFS(Chicks!$O:$O,Chicks!$C:$C,A788))</f>
        <v/>
      </c>
      <c r="I788" s="6" t="str">
        <f>IF(A788="","",SUMIFS(Chicks!$P:$P,Chicks!$C:$C,A788))</f>
        <v/>
      </c>
    </row>
    <row r="789" spans="2:9" ht="14.25" customHeight="1" x14ac:dyDescent="0.3">
      <c r="B789" s="6" t="str">
        <f>IF(A789="","",COUNTIF(Chicks!$C:$C,A789))</f>
        <v/>
      </c>
      <c r="D789" s="6" t="str">
        <f>IF(A789="","",IFERROR(AVERAGEIF(Chicks!$C:$C,A789,Chicks!$K:$K),""))</f>
        <v/>
      </c>
      <c r="E789" s="6" t="str">
        <f>IF(A789="","",IFERROR(AVERAGEIF(Chicks!$C:$C,A789,Chicks!$L:$L),""))</f>
        <v/>
      </c>
      <c r="F789" s="6" t="str">
        <f>IF(A789="","",IFERROR(AVERAGEIF(Chicks!$C:$C,A789,Chicks!$M:$M),""))</f>
        <v/>
      </c>
      <c r="G789" s="6" t="str">
        <f>IF(A789="","",SUMIFS(Chicks!$N:$N,Chicks!$C:$C,A789))</f>
        <v/>
      </c>
      <c r="H789" s="6" t="str">
        <f>IF(A789="","",SUMIFS(Chicks!$O:$O,Chicks!$C:$C,A789))</f>
        <v/>
      </c>
      <c r="I789" s="6" t="str">
        <f>IF(A789="","",SUMIFS(Chicks!$P:$P,Chicks!$C:$C,A789))</f>
        <v/>
      </c>
    </row>
    <row r="790" spans="2:9" ht="14.25" customHeight="1" x14ac:dyDescent="0.3">
      <c r="B790" s="6" t="str">
        <f>IF(A790="","",COUNTIF(Chicks!$C:$C,A790))</f>
        <v/>
      </c>
      <c r="D790" s="6" t="str">
        <f>IF(A790="","",IFERROR(AVERAGEIF(Chicks!$C:$C,A790,Chicks!$K:$K),""))</f>
        <v/>
      </c>
      <c r="E790" s="6" t="str">
        <f>IF(A790="","",IFERROR(AVERAGEIF(Chicks!$C:$C,A790,Chicks!$L:$L),""))</f>
        <v/>
      </c>
      <c r="F790" s="6" t="str">
        <f>IF(A790="","",IFERROR(AVERAGEIF(Chicks!$C:$C,A790,Chicks!$M:$M),""))</f>
        <v/>
      </c>
      <c r="G790" s="6" t="str">
        <f>IF(A790="","",SUMIFS(Chicks!$N:$N,Chicks!$C:$C,A790))</f>
        <v/>
      </c>
      <c r="H790" s="6" t="str">
        <f>IF(A790="","",SUMIFS(Chicks!$O:$O,Chicks!$C:$C,A790))</f>
        <v/>
      </c>
      <c r="I790" s="6" t="str">
        <f>IF(A790="","",SUMIFS(Chicks!$P:$P,Chicks!$C:$C,A790))</f>
        <v/>
      </c>
    </row>
    <row r="791" spans="2:9" ht="14.25" customHeight="1" x14ac:dyDescent="0.3">
      <c r="B791" s="6" t="str">
        <f>IF(A791="","",COUNTIF(Chicks!$C:$C,A791))</f>
        <v/>
      </c>
      <c r="D791" s="6" t="str">
        <f>IF(A791="","",IFERROR(AVERAGEIF(Chicks!$C:$C,A791,Chicks!$K:$K),""))</f>
        <v/>
      </c>
      <c r="E791" s="6" t="str">
        <f>IF(A791="","",IFERROR(AVERAGEIF(Chicks!$C:$C,A791,Chicks!$L:$L),""))</f>
        <v/>
      </c>
      <c r="F791" s="6" t="str">
        <f>IF(A791="","",IFERROR(AVERAGEIF(Chicks!$C:$C,A791,Chicks!$M:$M),""))</f>
        <v/>
      </c>
      <c r="G791" s="6" t="str">
        <f>IF(A791="","",SUMIFS(Chicks!$N:$N,Chicks!$C:$C,A791))</f>
        <v/>
      </c>
      <c r="H791" s="6" t="str">
        <f>IF(A791="","",SUMIFS(Chicks!$O:$O,Chicks!$C:$C,A791))</f>
        <v/>
      </c>
      <c r="I791" s="6" t="str">
        <f>IF(A791="","",SUMIFS(Chicks!$P:$P,Chicks!$C:$C,A791))</f>
        <v/>
      </c>
    </row>
    <row r="792" spans="2:9" ht="14.25" customHeight="1" x14ac:dyDescent="0.3">
      <c r="B792" s="6" t="str">
        <f>IF(A792="","",COUNTIF(Chicks!$C:$C,A792))</f>
        <v/>
      </c>
      <c r="D792" s="6" t="str">
        <f>IF(A792="","",IFERROR(AVERAGEIF(Chicks!$C:$C,A792,Chicks!$K:$K),""))</f>
        <v/>
      </c>
      <c r="E792" s="6" t="str">
        <f>IF(A792="","",IFERROR(AVERAGEIF(Chicks!$C:$C,A792,Chicks!$L:$L),""))</f>
        <v/>
      </c>
      <c r="F792" s="6" t="str">
        <f>IF(A792="","",IFERROR(AVERAGEIF(Chicks!$C:$C,A792,Chicks!$M:$M),""))</f>
        <v/>
      </c>
      <c r="G792" s="6" t="str">
        <f>IF(A792="","",SUMIFS(Chicks!$N:$N,Chicks!$C:$C,A792))</f>
        <v/>
      </c>
      <c r="H792" s="6" t="str">
        <f>IF(A792="","",SUMIFS(Chicks!$O:$O,Chicks!$C:$C,A792))</f>
        <v/>
      </c>
      <c r="I792" s="6" t="str">
        <f>IF(A792="","",SUMIFS(Chicks!$P:$P,Chicks!$C:$C,A792))</f>
        <v/>
      </c>
    </row>
    <row r="793" spans="2:9" ht="14.25" customHeight="1" x14ac:dyDescent="0.3">
      <c r="B793" s="6" t="str">
        <f>IF(A793="","",COUNTIF(Chicks!$C:$C,A793))</f>
        <v/>
      </c>
      <c r="D793" s="6" t="str">
        <f>IF(A793="","",IFERROR(AVERAGEIF(Chicks!$C:$C,A793,Chicks!$K:$K),""))</f>
        <v/>
      </c>
      <c r="E793" s="6" t="str">
        <f>IF(A793="","",IFERROR(AVERAGEIF(Chicks!$C:$C,A793,Chicks!$L:$L),""))</f>
        <v/>
      </c>
      <c r="F793" s="6" t="str">
        <f>IF(A793="","",IFERROR(AVERAGEIF(Chicks!$C:$C,A793,Chicks!$M:$M),""))</f>
        <v/>
      </c>
      <c r="G793" s="6" t="str">
        <f>IF(A793="","",SUMIFS(Chicks!$N:$N,Chicks!$C:$C,A793))</f>
        <v/>
      </c>
      <c r="H793" s="6" t="str">
        <f>IF(A793="","",SUMIFS(Chicks!$O:$O,Chicks!$C:$C,A793))</f>
        <v/>
      </c>
      <c r="I793" s="6" t="str">
        <f>IF(A793="","",SUMIFS(Chicks!$P:$P,Chicks!$C:$C,A793))</f>
        <v/>
      </c>
    </row>
    <row r="794" spans="2:9" ht="14.25" customHeight="1" x14ac:dyDescent="0.3">
      <c r="B794" s="6" t="str">
        <f>IF(A794="","",COUNTIF(Chicks!$C:$C,A794))</f>
        <v/>
      </c>
      <c r="D794" s="6" t="str">
        <f>IF(A794="","",IFERROR(AVERAGEIF(Chicks!$C:$C,A794,Chicks!$K:$K),""))</f>
        <v/>
      </c>
      <c r="E794" s="6" t="str">
        <f>IF(A794="","",IFERROR(AVERAGEIF(Chicks!$C:$C,A794,Chicks!$L:$L),""))</f>
        <v/>
      </c>
      <c r="F794" s="6" t="str">
        <f>IF(A794="","",IFERROR(AVERAGEIF(Chicks!$C:$C,A794,Chicks!$M:$M),""))</f>
        <v/>
      </c>
      <c r="G794" s="6" t="str">
        <f>IF(A794="","",SUMIFS(Chicks!$N:$N,Chicks!$C:$C,A794))</f>
        <v/>
      </c>
      <c r="H794" s="6" t="str">
        <f>IF(A794="","",SUMIFS(Chicks!$O:$O,Chicks!$C:$C,A794))</f>
        <v/>
      </c>
      <c r="I794" s="6" t="str">
        <f>IF(A794="","",SUMIFS(Chicks!$P:$P,Chicks!$C:$C,A794))</f>
        <v/>
      </c>
    </row>
    <row r="795" spans="2:9" ht="14.25" customHeight="1" x14ac:dyDescent="0.3">
      <c r="B795" s="6" t="str">
        <f>IF(A795="","",COUNTIF(Chicks!$C:$C,A795))</f>
        <v/>
      </c>
      <c r="D795" s="6" t="str">
        <f>IF(A795="","",IFERROR(AVERAGEIF(Chicks!$C:$C,A795,Chicks!$K:$K),""))</f>
        <v/>
      </c>
      <c r="E795" s="6" t="str">
        <f>IF(A795="","",IFERROR(AVERAGEIF(Chicks!$C:$C,A795,Chicks!$L:$L),""))</f>
        <v/>
      </c>
      <c r="F795" s="6" t="str">
        <f>IF(A795="","",IFERROR(AVERAGEIF(Chicks!$C:$C,A795,Chicks!$M:$M),""))</f>
        <v/>
      </c>
      <c r="G795" s="6" t="str">
        <f>IF(A795="","",SUMIFS(Chicks!$N:$N,Chicks!$C:$C,A795))</f>
        <v/>
      </c>
      <c r="H795" s="6" t="str">
        <f>IF(A795="","",SUMIFS(Chicks!$O:$O,Chicks!$C:$C,A795))</f>
        <v/>
      </c>
      <c r="I795" s="6" t="str">
        <f>IF(A795="","",SUMIFS(Chicks!$P:$P,Chicks!$C:$C,A795))</f>
        <v/>
      </c>
    </row>
    <row r="796" spans="2:9" ht="14.25" customHeight="1" x14ac:dyDescent="0.3">
      <c r="B796" s="6" t="str">
        <f>IF(A796="","",COUNTIF(Chicks!$C:$C,A796))</f>
        <v/>
      </c>
      <c r="D796" s="6" t="str">
        <f>IF(A796="","",IFERROR(AVERAGEIF(Chicks!$C:$C,A796,Chicks!$K:$K),""))</f>
        <v/>
      </c>
      <c r="E796" s="6" t="str">
        <f>IF(A796="","",IFERROR(AVERAGEIF(Chicks!$C:$C,A796,Chicks!$L:$L),""))</f>
        <v/>
      </c>
      <c r="F796" s="6" t="str">
        <f>IF(A796="","",IFERROR(AVERAGEIF(Chicks!$C:$C,A796,Chicks!$M:$M),""))</f>
        <v/>
      </c>
      <c r="G796" s="6" t="str">
        <f>IF(A796="","",SUMIFS(Chicks!$N:$N,Chicks!$C:$C,A796))</f>
        <v/>
      </c>
      <c r="H796" s="6" t="str">
        <f>IF(A796="","",SUMIFS(Chicks!$O:$O,Chicks!$C:$C,A796))</f>
        <v/>
      </c>
      <c r="I796" s="6" t="str">
        <f>IF(A796="","",SUMIFS(Chicks!$P:$P,Chicks!$C:$C,A796))</f>
        <v/>
      </c>
    </row>
    <row r="797" spans="2:9" ht="14.25" customHeight="1" x14ac:dyDescent="0.3">
      <c r="B797" s="6" t="str">
        <f>IF(A797="","",COUNTIF(Chicks!$C:$C,A797))</f>
        <v/>
      </c>
      <c r="D797" s="6" t="str">
        <f>IF(A797="","",IFERROR(AVERAGEIF(Chicks!$C:$C,A797,Chicks!$K:$K),""))</f>
        <v/>
      </c>
      <c r="E797" s="6" t="str">
        <f>IF(A797="","",IFERROR(AVERAGEIF(Chicks!$C:$C,A797,Chicks!$L:$L),""))</f>
        <v/>
      </c>
      <c r="F797" s="6" t="str">
        <f>IF(A797="","",IFERROR(AVERAGEIF(Chicks!$C:$C,A797,Chicks!$M:$M),""))</f>
        <v/>
      </c>
      <c r="G797" s="6" t="str">
        <f>IF(A797="","",SUMIFS(Chicks!$N:$N,Chicks!$C:$C,A797))</f>
        <v/>
      </c>
      <c r="H797" s="6" t="str">
        <f>IF(A797="","",SUMIFS(Chicks!$O:$O,Chicks!$C:$C,A797))</f>
        <v/>
      </c>
      <c r="I797" s="6" t="str">
        <f>IF(A797="","",SUMIFS(Chicks!$P:$P,Chicks!$C:$C,A797))</f>
        <v/>
      </c>
    </row>
    <row r="798" spans="2:9" ht="14.25" customHeight="1" x14ac:dyDescent="0.3">
      <c r="B798" s="6" t="str">
        <f>IF(A798="","",COUNTIF(Chicks!$C:$C,A798))</f>
        <v/>
      </c>
      <c r="D798" s="6" t="str">
        <f>IF(A798="","",IFERROR(AVERAGEIF(Chicks!$C:$C,A798,Chicks!$K:$K),""))</f>
        <v/>
      </c>
      <c r="E798" s="6" t="str">
        <f>IF(A798="","",IFERROR(AVERAGEIF(Chicks!$C:$C,A798,Chicks!$L:$L),""))</f>
        <v/>
      </c>
      <c r="F798" s="6" t="str">
        <f>IF(A798="","",IFERROR(AVERAGEIF(Chicks!$C:$C,A798,Chicks!$M:$M),""))</f>
        <v/>
      </c>
      <c r="G798" s="6" t="str">
        <f>IF(A798="","",SUMIFS(Chicks!$N:$N,Chicks!$C:$C,A798))</f>
        <v/>
      </c>
      <c r="H798" s="6" t="str">
        <f>IF(A798="","",SUMIFS(Chicks!$O:$O,Chicks!$C:$C,A798))</f>
        <v/>
      </c>
      <c r="I798" s="6" t="str">
        <f>IF(A798="","",SUMIFS(Chicks!$P:$P,Chicks!$C:$C,A798))</f>
        <v/>
      </c>
    </row>
    <row r="799" spans="2:9" ht="14.25" customHeight="1" x14ac:dyDescent="0.3">
      <c r="B799" s="6" t="str">
        <f>IF(A799="","",COUNTIF(Chicks!$C:$C,A799))</f>
        <v/>
      </c>
      <c r="D799" s="6" t="str">
        <f>IF(A799="","",IFERROR(AVERAGEIF(Chicks!$C:$C,A799,Chicks!$K:$K),""))</f>
        <v/>
      </c>
      <c r="E799" s="6" t="str">
        <f>IF(A799="","",IFERROR(AVERAGEIF(Chicks!$C:$C,A799,Chicks!$L:$L),""))</f>
        <v/>
      </c>
      <c r="F799" s="6" t="str">
        <f>IF(A799="","",IFERROR(AVERAGEIF(Chicks!$C:$C,A799,Chicks!$M:$M),""))</f>
        <v/>
      </c>
      <c r="G799" s="6" t="str">
        <f>IF(A799="","",SUMIFS(Chicks!$N:$N,Chicks!$C:$C,A799))</f>
        <v/>
      </c>
      <c r="H799" s="6" t="str">
        <f>IF(A799="","",SUMIFS(Chicks!$O:$O,Chicks!$C:$C,A799))</f>
        <v/>
      </c>
      <c r="I799" s="6" t="str">
        <f>IF(A799="","",SUMIFS(Chicks!$P:$P,Chicks!$C:$C,A799))</f>
        <v/>
      </c>
    </row>
    <row r="800" spans="2:9" ht="14.25" customHeight="1" x14ac:dyDescent="0.3">
      <c r="B800" s="6" t="str">
        <f>IF(A800="","",COUNTIF(Chicks!$C:$C,A800))</f>
        <v/>
      </c>
      <c r="D800" s="6" t="str">
        <f>IF(A800="","",IFERROR(AVERAGEIF(Chicks!$C:$C,A800,Chicks!$K:$K),""))</f>
        <v/>
      </c>
      <c r="E800" s="6" t="str">
        <f>IF(A800="","",IFERROR(AVERAGEIF(Chicks!$C:$C,A800,Chicks!$L:$L),""))</f>
        <v/>
      </c>
      <c r="F800" s="6" t="str">
        <f>IF(A800="","",IFERROR(AVERAGEIF(Chicks!$C:$C,A800,Chicks!$M:$M),""))</f>
        <v/>
      </c>
      <c r="G800" s="6" t="str">
        <f>IF(A800="","",SUMIFS(Chicks!$N:$N,Chicks!$C:$C,A800))</f>
        <v/>
      </c>
      <c r="H800" s="6" t="str">
        <f>IF(A800="","",SUMIFS(Chicks!$O:$O,Chicks!$C:$C,A800))</f>
        <v/>
      </c>
      <c r="I800" s="6" t="str">
        <f>IF(A800="","",SUMIFS(Chicks!$P:$P,Chicks!$C:$C,A800))</f>
        <v/>
      </c>
    </row>
    <row r="801" spans="2:9" ht="14.25" customHeight="1" x14ac:dyDescent="0.3">
      <c r="B801" s="6" t="str">
        <f>IF(A801="","",COUNTIF(Chicks!$C:$C,A801))</f>
        <v/>
      </c>
      <c r="D801" s="6" t="str">
        <f>IF(A801="","",IFERROR(AVERAGEIF(Chicks!$C:$C,A801,Chicks!$K:$K),""))</f>
        <v/>
      </c>
      <c r="E801" s="6" t="str">
        <f>IF(A801="","",IFERROR(AVERAGEIF(Chicks!$C:$C,A801,Chicks!$L:$L),""))</f>
        <v/>
      </c>
      <c r="F801" s="6" t="str">
        <f>IF(A801="","",IFERROR(AVERAGEIF(Chicks!$C:$C,A801,Chicks!$M:$M),""))</f>
        <v/>
      </c>
      <c r="G801" s="6" t="str">
        <f>IF(A801="","",SUMIFS(Chicks!$N:$N,Chicks!$C:$C,A801))</f>
        <v/>
      </c>
      <c r="H801" s="6" t="str">
        <f>IF(A801="","",SUMIFS(Chicks!$O:$O,Chicks!$C:$C,A801))</f>
        <v/>
      </c>
      <c r="I801" s="6" t="str">
        <f>IF(A801="","",SUMIFS(Chicks!$P:$P,Chicks!$C:$C,A801))</f>
        <v/>
      </c>
    </row>
    <row r="802" spans="2:9" ht="14.25" customHeight="1" x14ac:dyDescent="0.3">
      <c r="B802" s="6" t="str">
        <f>IF(A802="","",COUNTIF(Chicks!$C:$C,A802))</f>
        <v/>
      </c>
      <c r="D802" s="6" t="str">
        <f>IF(A802="","",IFERROR(AVERAGEIF(Chicks!$C:$C,A802,Chicks!$K:$K),""))</f>
        <v/>
      </c>
      <c r="E802" s="6" t="str">
        <f>IF(A802="","",IFERROR(AVERAGEIF(Chicks!$C:$C,A802,Chicks!$L:$L),""))</f>
        <v/>
      </c>
      <c r="F802" s="6" t="str">
        <f>IF(A802="","",IFERROR(AVERAGEIF(Chicks!$C:$C,A802,Chicks!$M:$M),""))</f>
        <v/>
      </c>
      <c r="G802" s="6" t="str">
        <f>IF(A802="","",SUMIFS(Chicks!$N:$N,Chicks!$C:$C,A802))</f>
        <v/>
      </c>
      <c r="H802" s="6" t="str">
        <f>IF(A802="","",SUMIFS(Chicks!$O:$O,Chicks!$C:$C,A802))</f>
        <v/>
      </c>
      <c r="I802" s="6" t="str">
        <f>IF(A802="","",SUMIFS(Chicks!$P:$P,Chicks!$C:$C,A802))</f>
        <v/>
      </c>
    </row>
    <row r="803" spans="2:9" ht="14.25" customHeight="1" x14ac:dyDescent="0.3">
      <c r="B803" s="6" t="str">
        <f>IF(A803="","",COUNTIF(Chicks!$C:$C,A803))</f>
        <v/>
      </c>
      <c r="D803" s="6" t="str">
        <f>IF(A803="","",IFERROR(AVERAGEIF(Chicks!$C:$C,A803,Chicks!$K:$K),""))</f>
        <v/>
      </c>
      <c r="E803" s="6" t="str">
        <f>IF(A803="","",IFERROR(AVERAGEIF(Chicks!$C:$C,A803,Chicks!$L:$L),""))</f>
        <v/>
      </c>
      <c r="F803" s="6" t="str">
        <f>IF(A803="","",IFERROR(AVERAGEIF(Chicks!$C:$C,A803,Chicks!$M:$M),""))</f>
        <v/>
      </c>
      <c r="G803" s="6" t="str">
        <f>IF(A803="","",SUMIFS(Chicks!$N:$N,Chicks!$C:$C,A803))</f>
        <v/>
      </c>
      <c r="H803" s="6" t="str">
        <f>IF(A803="","",SUMIFS(Chicks!$O:$O,Chicks!$C:$C,A803))</f>
        <v/>
      </c>
      <c r="I803" s="6" t="str">
        <f>IF(A803="","",SUMIFS(Chicks!$P:$P,Chicks!$C:$C,A803))</f>
        <v/>
      </c>
    </row>
    <row r="804" spans="2:9" ht="14.25" customHeight="1" x14ac:dyDescent="0.3">
      <c r="B804" s="6" t="str">
        <f>IF(A804="","",COUNTIF(Chicks!$C:$C,A804))</f>
        <v/>
      </c>
      <c r="D804" s="6" t="str">
        <f>IF(A804="","",IFERROR(AVERAGEIF(Chicks!$C:$C,A804,Chicks!$K:$K),""))</f>
        <v/>
      </c>
      <c r="E804" s="6" t="str">
        <f>IF(A804="","",IFERROR(AVERAGEIF(Chicks!$C:$C,A804,Chicks!$L:$L),""))</f>
        <v/>
      </c>
      <c r="F804" s="6" t="str">
        <f>IF(A804="","",IFERROR(AVERAGEIF(Chicks!$C:$C,A804,Chicks!$M:$M),""))</f>
        <v/>
      </c>
      <c r="G804" s="6" t="str">
        <f>IF(A804="","",SUMIFS(Chicks!$N:$N,Chicks!$C:$C,A804))</f>
        <v/>
      </c>
      <c r="H804" s="6" t="str">
        <f>IF(A804="","",SUMIFS(Chicks!$O:$O,Chicks!$C:$C,A804))</f>
        <v/>
      </c>
      <c r="I804" s="6" t="str">
        <f>IF(A804="","",SUMIFS(Chicks!$P:$P,Chicks!$C:$C,A804))</f>
        <v/>
      </c>
    </row>
    <row r="805" spans="2:9" ht="14.25" customHeight="1" x14ac:dyDescent="0.3">
      <c r="B805" s="6" t="str">
        <f>IF(A805="","",COUNTIF(Chicks!$C:$C,A805))</f>
        <v/>
      </c>
      <c r="D805" s="6" t="str">
        <f>IF(A805="","",IFERROR(AVERAGEIF(Chicks!$C:$C,A805,Chicks!$K:$K),""))</f>
        <v/>
      </c>
      <c r="E805" s="6" t="str">
        <f>IF(A805="","",IFERROR(AVERAGEIF(Chicks!$C:$C,A805,Chicks!$L:$L),""))</f>
        <v/>
      </c>
      <c r="F805" s="6" t="str">
        <f>IF(A805="","",IFERROR(AVERAGEIF(Chicks!$C:$C,A805,Chicks!$M:$M),""))</f>
        <v/>
      </c>
      <c r="G805" s="6" t="str">
        <f>IF(A805="","",SUMIFS(Chicks!$N:$N,Chicks!$C:$C,A805))</f>
        <v/>
      </c>
      <c r="H805" s="6" t="str">
        <f>IF(A805="","",SUMIFS(Chicks!$O:$O,Chicks!$C:$C,A805))</f>
        <v/>
      </c>
      <c r="I805" s="6" t="str">
        <f>IF(A805="","",SUMIFS(Chicks!$P:$P,Chicks!$C:$C,A805))</f>
        <v/>
      </c>
    </row>
    <row r="806" spans="2:9" ht="14.25" customHeight="1" x14ac:dyDescent="0.3">
      <c r="B806" s="6" t="str">
        <f>IF(A806="","",COUNTIF(Chicks!$C:$C,A806))</f>
        <v/>
      </c>
      <c r="D806" s="6" t="str">
        <f>IF(A806="","",IFERROR(AVERAGEIF(Chicks!$C:$C,A806,Chicks!$K:$K),""))</f>
        <v/>
      </c>
      <c r="E806" s="6" t="str">
        <f>IF(A806="","",IFERROR(AVERAGEIF(Chicks!$C:$C,A806,Chicks!$L:$L),""))</f>
        <v/>
      </c>
      <c r="F806" s="6" t="str">
        <f>IF(A806="","",IFERROR(AVERAGEIF(Chicks!$C:$C,A806,Chicks!$M:$M),""))</f>
        <v/>
      </c>
      <c r="G806" s="6" t="str">
        <f>IF(A806="","",SUMIFS(Chicks!$N:$N,Chicks!$C:$C,A806))</f>
        <v/>
      </c>
      <c r="H806" s="6" t="str">
        <f>IF(A806="","",SUMIFS(Chicks!$O:$O,Chicks!$C:$C,A806))</f>
        <v/>
      </c>
      <c r="I806" s="6" t="str">
        <f>IF(A806="","",SUMIFS(Chicks!$P:$P,Chicks!$C:$C,A806))</f>
        <v/>
      </c>
    </row>
    <row r="807" spans="2:9" ht="14.25" customHeight="1" x14ac:dyDescent="0.3">
      <c r="B807" s="6" t="str">
        <f>IF(A807="","",COUNTIF(Chicks!$C:$C,A807))</f>
        <v/>
      </c>
      <c r="D807" s="6" t="str">
        <f>IF(A807="","",IFERROR(AVERAGEIF(Chicks!$C:$C,A807,Chicks!$K:$K),""))</f>
        <v/>
      </c>
      <c r="E807" s="6" t="str">
        <f>IF(A807="","",IFERROR(AVERAGEIF(Chicks!$C:$C,A807,Chicks!$L:$L),""))</f>
        <v/>
      </c>
      <c r="F807" s="6" t="str">
        <f>IF(A807="","",IFERROR(AVERAGEIF(Chicks!$C:$C,A807,Chicks!$M:$M),""))</f>
        <v/>
      </c>
      <c r="G807" s="6" t="str">
        <f>IF(A807="","",SUMIFS(Chicks!$N:$N,Chicks!$C:$C,A807))</f>
        <v/>
      </c>
      <c r="H807" s="6" t="str">
        <f>IF(A807="","",SUMIFS(Chicks!$O:$O,Chicks!$C:$C,A807))</f>
        <v/>
      </c>
      <c r="I807" s="6" t="str">
        <f>IF(A807="","",SUMIFS(Chicks!$P:$P,Chicks!$C:$C,A807))</f>
        <v/>
      </c>
    </row>
    <row r="808" spans="2:9" ht="14.25" customHeight="1" x14ac:dyDescent="0.3">
      <c r="B808" s="6" t="str">
        <f>IF(A808="","",COUNTIF(Chicks!$C:$C,A808))</f>
        <v/>
      </c>
      <c r="D808" s="6" t="str">
        <f>IF(A808="","",IFERROR(AVERAGEIF(Chicks!$C:$C,A808,Chicks!$K:$K),""))</f>
        <v/>
      </c>
      <c r="E808" s="6" t="str">
        <f>IF(A808="","",IFERROR(AVERAGEIF(Chicks!$C:$C,A808,Chicks!$L:$L),""))</f>
        <v/>
      </c>
      <c r="F808" s="6" t="str">
        <f>IF(A808="","",IFERROR(AVERAGEIF(Chicks!$C:$C,A808,Chicks!$M:$M),""))</f>
        <v/>
      </c>
      <c r="G808" s="6" t="str">
        <f>IF(A808="","",SUMIFS(Chicks!$N:$N,Chicks!$C:$C,A808))</f>
        <v/>
      </c>
      <c r="H808" s="6" t="str">
        <f>IF(A808="","",SUMIFS(Chicks!$O:$O,Chicks!$C:$C,A808))</f>
        <v/>
      </c>
      <c r="I808" s="6" t="str">
        <f>IF(A808="","",SUMIFS(Chicks!$P:$P,Chicks!$C:$C,A808))</f>
        <v/>
      </c>
    </row>
    <row r="809" spans="2:9" ht="14.25" customHeight="1" x14ac:dyDescent="0.3">
      <c r="B809" s="6" t="str">
        <f>IF(A809="","",COUNTIF(Chicks!$C:$C,A809))</f>
        <v/>
      </c>
      <c r="D809" s="6" t="str">
        <f>IF(A809="","",IFERROR(AVERAGEIF(Chicks!$C:$C,A809,Chicks!$K:$K),""))</f>
        <v/>
      </c>
      <c r="E809" s="6" t="str">
        <f>IF(A809="","",IFERROR(AVERAGEIF(Chicks!$C:$C,A809,Chicks!$L:$L),""))</f>
        <v/>
      </c>
      <c r="F809" s="6" t="str">
        <f>IF(A809="","",IFERROR(AVERAGEIF(Chicks!$C:$C,A809,Chicks!$M:$M),""))</f>
        <v/>
      </c>
      <c r="G809" s="6" t="str">
        <f>IF(A809="","",SUMIFS(Chicks!$N:$N,Chicks!$C:$C,A809))</f>
        <v/>
      </c>
      <c r="H809" s="6" t="str">
        <f>IF(A809="","",SUMIFS(Chicks!$O:$O,Chicks!$C:$C,A809))</f>
        <v/>
      </c>
      <c r="I809" s="6" t="str">
        <f>IF(A809="","",SUMIFS(Chicks!$P:$P,Chicks!$C:$C,A809))</f>
        <v/>
      </c>
    </row>
    <row r="810" spans="2:9" ht="14.25" customHeight="1" x14ac:dyDescent="0.3">
      <c r="B810" s="6" t="str">
        <f>IF(A810="","",COUNTIF(Chicks!$C:$C,A810))</f>
        <v/>
      </c>
      <c r="D810" s="6" t="str">
        <f>IF(A810="","",IFERROR(AVERAGEIF(Chicks!$C:$C,A810,Chicks!$K:$K),""))</f>
        <v/>
      </c>
      <c r="E810" s="6" t="str">
        <f>IF(A810="","",IFERROR(AVERAGEIF(Chicks!$C:$C,A810,Chicks!$L:$L),""))</f>
        <v/>
      </c>
      <c r="F810" s="6" t="str">
        <f>IF(A810="","",IFERROR(AVERAGEIF(Chicks!$C:$C,A810,Chicks!$M:$M),""))</f>
        <v/>
      </c>
      <c r="G810" s="6" t="str">
        <f>IF(A810="","",SUMIFS(Chicks!$N:$N,Chicks!$C:$C,A810))</f>
        <v/>
      </c>
      <c r="H810" s="6" t="str">
        <f>IF(A810="","",SUMIFS(Chicks!$O:$O,Chicks!$C:$C,A810))</f>
        <v/>
      </c>
      <c r="I810" s="6" t="str">
        <f>IF(A810="","",SUMIFS(Chicks!$P:$P,Chicks!$C:$C,A810))</f>
        <v/>
      </c>
    </row>
    <row r="811" spans="2:9" ht="14.25" customHeight="1" x14ac:dyDescent="0.3">
      <c r="B811" s="6" t="str">
        <f>IF(A811="","",COUNTIF(Chicks!$C:$C,A811))</f>
        <v/>
      </c>
      <c r="D811" s="6" t="str">
        <f>IF(A811="","",IFERROR(AVERAGEIF(Chicks!$C:$C,A811,Chicks!$K:$K),""))</f>
        <v/>
      </c>
      <c r="E811" s="6" t="str">
        <f>IF(A811="","",IFERROR(AVERAGEIF(Chicks!$C:$C,A811,Chicks!$L:$L),""))</f>
        <v/>
      </c>
      <c r="F811" s="6" t="str">
        <f>IF(A811="","",IFERROR(AVERAGEIF(Chicks!$C:$C,A811,Chicks!$M:$M),""))</f>
        <v/>
      </c>
      <c r="G811" s="6" t="str">
        <f>IF(A811="","",SUMIFS(Chicks!$N:$N,Chicks!$C:$C,A811))</f>
        <v/>
      </c>
      <c r="H811" s="6" t="str">
        <f>IF(A811="","",SUMIFS(Chicks!$O:$O,Chicks!$C:$C,A811))</f>
        <v/>
      </c>
      <c r="I811" s="6" t="str">
        <f>IF(A811="","",SUMIFS(Chicks!$P:$P,Chicks!$C:$C,A811))</f>
        <v/>
      </c>
    </row>
    <row r="812" spans="2:9" ht="14.25" customHeight="1" x14ac:dyDescent="0.3">
      <c r="B812" s="6" t="str">
        <f>IF(A812="","",COUNTIF(Chicks!$C:$C,A812))</f>
        <v/>
      </c>
      <c r="D812" s="6" t="str">
        <f>IF(A812="","",IFERROR(AVERAGEIF(Chicks!$C:$C,A812,Chicks!$K:$K),""))</f>
        <v/>
      </c>
      <c r="E812" s="6" t="str">
        <f>IF(A812="","",IFERROR(AVERAGEIF(Chicks!$C:$C,A812,Chicks!$L:$L),""))</f>
        <v/>
      </c>
      <c r="F812" s="6" t="str">
        <f>IF(A812="","",IFERROR(AVERAGEIF(Chicks!$C:$C,A812,Chicks!$M:$M),""))</f>
        <v/>
      </c>
      <c r="G812" s="6" t="str">
        <f>IF(A812="","",SUMIFS(Chicks!$N:$N,Chicks!$C:$C,A812))</f>
        <v/>
      </c>
      <c r="H812" s="6" t="str">
        <f>IF(A812="","",SUMIFS(Chicks!$O:$O,Chicks!$C:$C,A812))</f>
        <v/>
      </c>
      <c r="I812" s="6" t="str">
        <f>IF(A812="","",SUMIFS(Chicks!$P:$P,Chicks!$C:$C,A812))</f>
        <v/>
      </c>
    </row>
    <row r="813" spans="2:9" ht="14.25" customHeight="1" x14ac:dyDescent="0.3">
      <c r="B813" s="6" t="str">
        <f>IF(A813="","",COUNTIF(Chicks!$C:$C,A813))</f>
        <v/>
      </c>
      <c r="D813" s="6" t="str">
        <f>IF(A813="","",IFERROR(AVERAGEIF(Chicks!$C:$C,A813,Chicks!$K:$K),""))</f>
        <v/>
      </c>
      <c r="E813" s="6" t="str">
        <f>IF(A813="","",IFERROR(AVERAGEIF(Chicks!$C:$C,A813,Chicks!$L:$L),""))</f>
        <v/>
      </c>
      <c r="F813" s="6" t="str">
        <f>IF(A813="","",IFERROR(AVERAGEIF(Chicks!$C:$C,A813,Chicks!$M:$M),""))</f>
        <v/>
      </c>
      <c r="G813" s="6" t="str">
        <f>IF(A813="","",SUMIFS(Chicks!$N:$N,Chicks!$C:$C,A813))</f>
        <v/>
      </c>
      <c r="H813" s="6" t="str">
        <f>IF(A813="","",SUMIFS(Chicks!$O:$O,Chicks!$C:$C,A813))</f>
        <v/>
      </c>
      <c r="I813" s="6" t="str">
        <f>IF(A813="","",SUMIFS(Chicks!$P:$P,Chicks!$C:$C,A813))</f>
        <v/>
      </c>
    </row>
    <row r="814" spans="2:9" ht="14.25" customHeight="1" x14ac:dyDescent="0.3">
      <c r="B814" s="6" t="str">
        <f>IF(A814="","",COUNTIF(Chicks!$C:$C,A814))</f>
        <v/>
      </c>
      <c r="D814" s="6" t="str">
        <f>IF(A814="","",IFERROR(AVERAGEIF(Chicks!$C:$C,A814,Chicks!$K:$K),""))</f>
        <v/>
      </c>
      <c r="E814" s="6" t="str">
        <f>IF(A814="","",IFERROR(AVERAGEIF(Chicks!$C:$C,A814,Chicks!$L:$L),""))</f>
        <v/>
      </c>
      <c r="F814" s="6" t="str">
        <f>IF(A814="","",IFERROR(AVERAGEIF(Chicks!$C:$C,A814,Chicks!$M:$M),""))</f>
        <v/>
      </c>
      <c r="G814" s="6" t="str">
        <f>IF(A814="","",SUMIFS(Chicks!$N:$N,Chicks!$C:$C,A814))</f>
        <v/>
      </c>
      <c r="H814" s="6" t="str">
        <f>IF(A814="","",SUMIFS(Chicks!$O:$O,Chicks!$C:$C,A814))</f>
        <v/>
      </c>
      <c r="I814" s="6" t="str">
        <f>IF(A814="","",SUMIFS(Chicks!$P:$P,Chicks!$C:$C,A814))</f>
        <v/>
      </c>
    </row>
    <row r="815" spans="2:9" ht="14.25" customHeight="1" x14ac:dyDescent="0.3">
      <c r="B815" s="6" t="str">
        <f>IF(A815="","",COUNTIF(Chicks!$C:$C,A815))</f>
        <v/>
      </c>
      <c r="D815" s="6" t="str">
        <f>IF(A815="","",IFERROR(AVERAGEIF(Chicks!$C:$C,A815,Chicks!$K:$K),""))</f>
        <v/>
      </c>
      <c r="E815" s="6" t="str">
        <f>IF(A815="","",IFERROR(AVERAGEIF(Chicks!$C:$C,A815,Chicks!$L:$L),""))</f>
        <v/>
      </c>
      <c r="F815" s="6" t="str">
        <f>IF(A815="","",IFERROR(AVERAGEIF(Chicks!$C:$C,A815,Chicks!$M:$M),""))</f>
        <v/>
      </c>
      <c r="G815" s="6" t="str">
        <f>IF(A815="","",SUMIFS(Chicks!$N:$N,Chicks!$C:$C,A815))</f>
        <v/>
      </c>
      <c r="H815" s="6" t="str">
        <f>IF(A815="","",SUMIFS(Chicks!$O:$O,Chicks!$C:$C,A815))</f>
        <v/>
      </c>
      <c r="I815" s="6" t="str">
        <f>IF(A815="","",SUMIFS(Chicks!$P:$P,Chicks!$C:$C,A815))</f>
        <v/>
      </c>
    </row>
    <row r="816" spans="2:9" ht="14.25" customHeight="1" x14ac:dyDescent="0.3">
      <c r="B816" s="6" t="str">
        <f>IF(A816="","",COUNTIF(Chicks!$C:$C,A816))</f>
        <v/>
      </c>
      <c r="D816" s="6" t="str">
        <f>IF(A816="","",IFERROR(AVERAGEIF(Chicks!$C:$C,A816,Chicks!$K:$K),""))</f>
        <v/>
      </c>
      <c r="E816" s="6" t="str">
        <f>IF(A816="","",IFERROR(AVERAGEIF(Chicks!$C:$C,A816,Chicks!$L:$L),""))</f>
        <v/>
      </c>
      <c r="F816" s="6" t="str">
        <f>IF(A816="","",IFERROR(AVERAGEIF(Chicks!$C:$C,A816,Chicks!$M:$M),""))</f>
        <v/>
      </c>
      <c r="G816" s="6" t="str">
        <f>IF(A816="","",SUMIFS(Chicks!$N:$N,Chicks!$C:$C,A816))</f>
        <v/>
      </c>
      <c r="H816" s="6" t="str">
        <f>IF(A816="","",SUMIFS(Chicks!$O:$O,Chicks!$C:$C,A816))</f>
        <v/>
      </c>
      <c r="I816" s="6" t="str">
        <f>IF(A816="","",SUMIFS(Chicks!$P:$P,Chicks!$C:$C,A816))</f>
        <v/>
      </c>
    </row>
    <row r="817" spans="2:9" ht="14.25" customHeight="1" x14ac:dyDescent="0.3">
      <c r="B817" s="6" t="str">
        <f>IF(A817="","",COUNTIF(Chicks!$C:$C,A817))</f>
        <v/>
      </c>
      <c r="D817" s="6" t="str">
        <f>IF(A817="","",IFERROR(AVERAGEIF(Chicks!$C:$C,A817,Chicks!$K:$K),""))</f>
        <v/>
      </c>
      <c r="E817" s="6" t="str">
        <f>IF(A817="","",IFERROR(AVERAGEIF(Chicks!$C:$C,A817,Chicks!$L:$L),""))</f>
        <v/>
      </c>
      <c r="F817" s="6" t="str">
        <f>IF(A817="","",IFERROR(AVERAGEIF(Chicks!$C:$C,A817,Chicks!$M:$M),""))</f>
        <v/>
      </c>
      <c r="G817" s="6" t="str">
        <f>IF(A817="","",SUMIFS(Chicks!$N:$N,Chicks!$C:$C,A817))</f>
        <v/>
      </c>
      <c r="H817" s="6" t="str">
        <f>IF(A817="","",SUMIFS(Chicks!$O:$O,Chicks!$C:$C,A817))</f>
        <v/>
      </c>
      <c r="I817" s="6" t="str">
        <f>IF(A817="","",SUMIFS(Chicks!$P:$P,Chicks!$C:$C,A817))</f>
        <v/>
      </c>
    </row>
    <row r="818" spans="2:9" ht="14.25" customHeight="1" x14ac:dyDescent="0.3">
      <c r="B818" s="6" t="str">
        <f>IF(A818="","",COUNTIF(Chicks!$C:$C,A818))</f>
        <v/>
      </c>
      <c r="D818" s="6" t="str">
        <f>IF(A818="","",IFERROR(AVERAGEIF(Chicks!$C:$C,A818,Chicks!$K:$K),""))</f>
        <v/>
      </c>
      <c r="E818" s="6" t="str">
        <f>IF(A818="","",IFERROR(AVERAGEIF(Chicks!$C:$C,A818,Chicks!$L:$L),""))</f>
        <v/>
      </c>
      <c r="F818" s="6" t="str">
        <f>IF(A818="","",IFERROR(AVERAGEIF(Chicks!$C:$C,A818,Chicks!$M:$M),""))</f>
        <v/>
      </c>
      <c r="G818" s="6" t="str">
        <f>IF(A818="","",SUMIFS(Chicks!$N:$N,Chicks!$C:$C,A818))</f>
        <v/>
      </c>
      <c r="H818" s="6" t="str">
        <f>IF(A818="","",SUMIFS(Chicks!$O:$O,Chicks!$C:$C,A818))</f>
        <v/>
      </c>
      <c r="I818" s="6" t="str">
        <f>IF(A818="","",SUMIFS(Chicks!$P:$P,Chicks!$C:$C,A818))</f>
        <v/>
      </c>
    </row>
    <row r="819" spans="2:9" ht="14.25" customHeight="1" x14ac:dyDescent="0.3">
      <c r="B819" s="6" t="str">
        <f>IF(A819="","",COUNTIF(Chicks!$C:$C,A819))</f>
        <v/>
      </c>
      <c r="D819" s="6" t="str">
        <f>IF(A819="","",IFERROR(AVERAGEIF(Chicks!$C:$C,A819,Chicks!$K:$K),""))</f>
        <v/>
      </c>
      <c r="E819" s="6" t="str">
        <f>IF(A819="","",IFERROR(AVERAGEIF(Chicks!$C:$C,A819,Chicks!$L:$L),""))</f>
        <v/>
      </c>
      <c r="F819" s="6" t="str">
        <f>IF(A819="","",IFERROR(AVERAGEIF(Chicks!$C:$C,A819,Chicks!$M:$M),""))</f>
        <v/>
      </c>
      <c r="G819" s="6" t="str">
        <f>IF(A819="","",SUMIFS(Chicks!$N:$N,Chicks!$C:$C,A819))</f>
        <v/>
      </c>
      <c r="H819" s="6" t="str">
        <f>IF(A819="","",SUMIFS(Chicks!$O:$O,Chicks!$C:$C,A819))</f>
        <v/>
      </c>
      <c r="I819" s="6" t="str">
        <f>IF(A819="","",SUMIFS(Chicks!$P:$P,Chicks!$C:$C,A819))</f>
        <v/>
      </c>
    </row>
    <row r="820" spans="2:9" ht="14.25" customHeight="1" x14ac:dyDescent="0.3">
      <c r="B820" s="6" t="str">
        <f>IF(A820="","",COUNTIF(Chicks!$C:$C,A820))</f>
        <v/>
      </c>
      <c r="D820" s="6" t="str">
        <f>IF(A820="","",IFERROR(AVERAGEIF(Chicks!$C:$C,A820,Chicks!$K:$K),""))</f>
        <v/>
      </c>
      <c r="E820" s="6" t="str">
        <f>IF(A820="","",IFERROR(AVERAGEIF(Chicks!$C:$C,A820,Chicks!$L:$L),""))</f>
        <v/>
      </c>
      <c r="F820" s="6" t="str">
        <f>IF(A820="","",IFERROR(AVERAGEIF(Chicks!$C:$C,A820,Chicks!$M:$M),""))</f>
        <v/>
      </c>
      <c r="G820" s="6" t="str">
        <f>IF(A820="","",SUMIFS(Chicks!$N:$N,Chicks!$C:$C,A820))</f>
        <v/>
      </c>
      <c r="H820" s="6" t="str">
        <f>IF(A820="","",SUMIFS(Chicks!$O:$O,Chicks!$C:$C,A820))</f>
        <v/>
      </c>
      <c r="I820" s="6" t="str">
        <f>IF(A820="","",SUMIFS(Chicks!$P:$P,Chicks!$C:$C,A820))</f>
        <v/>
      </c>
    </row>
    <row r="821" spans="2:9" ht="14.25" customHeight="1" x14ac:dyDescent="0.3">
      <c r="B821" s="6" t="str">
        <f>IF(A821="","",COUNTIF(Chicks!$C:$C,A821))</f>
        <v/>
      </c>
      <c r="D821" s="6" t="str">
        <f>IF(A821="","",IFERROR(AVERAGEIF(Chicks!$C:$C,A821,Chicks!$K:$K),""))</f>
        <v/>
      </c>
      <c r="E821" s="6" t="str">
        <f>IF(A821="","",IFERROR(AVERAGEIF(Chicks!$C:$C,A821,Chicks!$L:$L),""))</f>
        <v/>
      </c>
      <c r="F821" s="6" t="str">
        <f>IF(A821="","",IFERROR(AVERAGEIF(Chicks!$C:$C,A821,Chicks!$M:$M),""))</f>
        <v/>
      </c>
      <c r="G821" s="6" t="str">
        <f>IF(A821="","",SUMIFS(Chicks!$N:$N,Chicks!$C:$C,A821))</f>
        <v/>
      </c>
      <c r="H821" s="6" t="str">
        <f>IF(A821="","",SUMIFS(Chicks!$O:$O,Chicks!$C:$C,A821))</f>
        <v/>
      </c>
      <c r="I821" s="6" t="str">
        <f>IF(A821="","",SUMIFS(Chicks!$P:$P,Chicks!$C:$C,A821))</f>
        <v/>
      </c>
    </row>
    <row r="822" spans="2:9" ht="14.25" customHeight="1" x14ac:dyDescent="0.3">
      <c r="B822" s="6" t="str">
        <f>IF(A822="","",COUNTIF(Chicks!$C:$C,A822))</f>
        <v/>
      </c>
      <c r="D822" s="6" t="str">
        <f>IF(A822="","",IFERROR(AVERAGEIF(Chicks!$C:$C,A822,Chicks!$K:$K),""))</f>
        <v/>
      </c>
      <c r="E822" s="6" t="str">
        <f>IF(A822="","",IFERROR(AVERAGEIF(Chicks!$C:$C,A822,Chicks!$L:$L),""))</f>
        <v/>
      </c>
      <c r="F822" s="6" t="str">
        <f>IF(A822="","",IFERROR(AVERAGEIF(Chicks!$C:$C,A822,Chicks!$M:$M),""))</f>
        <v/>
      </c>
      <c r="G822" s="6" t="str">
        <f>IF(A822="","",SUMIFS(Chicks!$N:$N,Chicks!$C:$C,A822))</f>
        <v/>
      </c>
      <c r="H822" s="6" t="str">
        <f>IF(A822="","",SUMIFS(Chicks!$O:$O,Chicks!$C:$C,A822))</f>
        <v/>
      </c>
      <c r="I822" s="6" t="str">
        <f>IF(A822="","",SUMIFS(Chicks!$P:$P,Chicks!$C:$C,A822))</f>
        <v/>
      </c>
    </row>
    <row r="823" spans="2:9" ht="14.25" customHeight="1" x14ac:dyDescent="0.3">
      <c r="B823" s="6" t="str">
        <f>IF(A823="","",COUNTIF(Chicks!$C:$C,A823))</f>
        <v/>
      </c>
      <c r="D823" s="6" t="str">
        <f>IF(A823="","",IFERROR(AVERAGEIF(Chicks!$C:$C,A823,Chicks!$K:$K),""))</f>
        <v/>
      </c>
      <c r="E823" s="6" t="str">
        <f>IF(A823="","",IFERROR(AVERAGEIF(Chicks!$C:$C,A823,Chicks!$L:$L),""))</f>
        <v/>
      </c>
      <c r="F823" s="6" t="str">
        <f>IF(A823="","",IFERROR(AVERAGEIF(Chicks!$C:$C,A823,Chicks!$M:$M),""))</f>
        <v/>
      </c>
      <c r="G823" s="6" t="str">
        <f>IF(A823="","",SUMIFS(Chicks!$N:$N,Chicks!$C:$C,A823))</f>
        <v/>
      </c>
      <c r="H823" s="6" t="str">
        <f>IF(A823="","",SUMIFS(Chicks!$O:$O,Chicks!$C:$C,A823))</f>
        <v/>
      </c>
      <c r="I823" s="6" t="str">
        <f>IF(A823="","",SUMIFS(Chicks!$P:$P,Chicks!$C:$C,A823))</f>
        <v/>
      </c>
    </row>
    <row r="824" spans="2:9" ht="14.25" customHeight="1" x14ac:dyDescent="0.3">
      <c r="B824" s="6" t="str">
        <f>IF(A824="","",COUNTIF(Chicks!$C:$C,A824))</f>
        <v/>
      </c>
      <c r="D824" s="6" t="str">
        <f>IF(A824="","",IFERROR(AVERAGEIF(Chicks!$C:$C,A824,Chicks!$K:$K),""))</f>
        <v/>
      </c>
      <c r="E824" s="6" t="str">
        <f>IF(A824="","",IFERROR(AVERAGEIF(Chicks!$C:$C,A824,Chicks!$L:$L),""))</f>
        <v/>
      </c>
      <c r="F824" s="6" t="str">
        <f>IF(A824="","",IFERROR(AVERAGEIF(Chicks!$C:$C,A824,Chicks!$M:$M),""))</f>
        <v/>
      </c>
      <c r="G824" s="6" t="str">
        <f>IF(A824="","",SUMIFS(Chicks!$N:$N,Chicks!$C:$C,A824))</f>
        <v/>
      </c>
      <c r="H824" s="6" t="str">
        <f>IF(A824="","",SUMIFS(Chicks!$O:$O,Chicks!$C:$C,A824))</f>
        <v/>
      </c>
      <c r="I824" s="6" t="str">
        <f>IF(A824="","",SUMIFS(Chicks!$P:$P,Chicks!$C:$C,A824))</f>
        <v/>
      </c>
    </row>
    <row r="825" spans="2:9" ht="14.25" customHeight="1" x14ac:dyDescent="0.3">
      <c r="B825" s="6" t="str">
        <f>IF(A825="","",COUNTIF(Chicks!$C:$C,A825))</f>
        <v/>
      </c>
      <c r="D825" s="6" t="str">
        <f>IF(A825="","",IFERROR(AVERAGEIF(Chicks!$C:$C,A825,Chicks!$K:$K),""))</f>
        <v/>
      </c>
      <c r="E825" s="6" t="str">
        <f>IF(A825="","",IFERROR(AVERAGEIF(Chicks!$C:$C,A825,Chicks!$L:$L),""))</f>
        <v/>
      </c>
      <c r="F825" s="6" t="str">
        <f>IF(A825="","",IFERROR(AVERAGEIF(Chicks!$C:$C,A825,Chicks!$M:$M),""))</f>
        <v/>
      </c>
      <c r="G825" s="6" t="str">
        <f>IF(A825="","",SUMIFS(Chicks!$N:$N,Chicks!$C:$C,A825))</f>
        <v/>
      </c>
      <c r="H825" s="6" t="str">
        <f>IF(A825="","",SUMIFS(Chicks!$O:$O,Chicks!$C:$C,A825))</f>
        <v/>
      </c>
      <c r="I825" s="6" t="str">
        <f>IF(A825="","",SUMIFS(Chicks!$P:$P,Chicks!$C:$C,A825))</f>
        <v/>
      </c>
    </row>
    <row r="826" spans="2:9" ht="14.25" customHeight="1" x14ac:dyDescent="0.3">
      <c r="B826" s="6" t="str">
        <f>IF(A826="","",COUNTIF(Chicks!$C:$C,A826))</f>
        <v/>
      </c>
      <c r="D826" s="6" t="str">
        <f>IF(A826="","",IFERROR(AVERAGEIF(Chicks!$C:$C,A826,Chicks!$K:$K),""))</f>
        <v/>
      </c>
      <c r="E826" s="6" t="str">
        <f>IF(A826="","",IFERROR(AVERAGEIF(Chicks!$C:$C,A826,Chicks!$L:$L),""))</f>
        <v/>
      </c>
      <c r="F826" s="6" t="str">
        <f>IF(A826="","",IFERROR(AVERAGEIF(Chicks!$C:$C,A826,Chicks!$M:$M),""))</f>
        <v/>
      </c>
      <c r="G826" s="6" t="str">
        <f>IF(A826="","",SUMIFS(Chicks!$N:$N,Chicks!$C:$C,A826))</f>
        <v/>
      </c>
      <c r="H826" s="6" t="str">
        <f>IF(A826="","",SUMIFS(Chicks!$O:$O,Chicks!$C:$C,A826))</f>
        <v/>
      </c>
      <c r="I826" s="6" t="str">
        <f>IF(A826="","",SUMIFS(Chicks!$P:$P,Chicks!$C:$C,A826))</f>
        <v/>
      </c>
    </row>
    <row r="827" spans="2:9" ht="14.25" customHeight="1" x14ac:dyDescent="0.3">
      <c r="B827" s="6" t="str">
        <f>IF(A827="","",COUNTIF(Chicks!$C:$C,A827))</f>
        <v/>
      </c>
      <c r="D827" s="6" t="str">
        <f>IF(A827="","",IFERROR(AVERAGEIF(Chicks!$C:$C,A827,Chicks!$K:$K),""))</f>
        <v/>
      </c>
      <c r="E827" s="6" t="str">
        <f>IF(A827="","",IFERROR(AVERAGEIF(Chicks!$C:$C,A827,Chicks!$L:$L),""))</f>
        <v/>
      </c>
      <c r="F827" s="6" t="str">
        <f>IF(A827="","",IFERROR(AVERAGEIF(Chicks!$C:$C,A827,Chicks!$M:$M),""))</f>
        <v/>
      </c>
      <c r="G827" s="6" t="str">
        <f>IF(A827="","",SUMIFS(Chicks!$N:$N,Chicks!$C:$C,A827))</f>
        <v/>
      </c>
      <c r="H827" s="6" t="str">
        <f>IF(A827="","",SUMIFS(Chicks!$O:$O,Chicks!$C:$C,A827))</f>
        <v/>
      </c>
      <c r="I827" s="6" t="str">
        <f>IF(A827="","",SUMIFS(Chicks!$P:$P,Chicks!$C:$C,A827))</f>
        <v/>
      </c>
    </row>
    <row r="828" spans="2:9" ht="14.25" customHeight="1" x14ac:dyDescent="0.3">
      <c r="B828" s="6" t="str">
        <f>IF(A828="","",COUNTIF(Chicks!$C:$C,A828))</f>
        <v/>
      </c>
      <c r="D828" s="6" t="str">
        <f>IF(A828="","",IFERROR(AVERAGEIF(Chicks!$C:$C,A828,Chicks!$K:$K),""))</f>
        <v/>
      </c>
      <c r="E828" s="6" t="str">
        <f>IF(A828="","",IFERROR(AVERAGEIF(Chicks!$C:$C,A828,Chicks!$L:$L),""))</f>
        <v/>
      </c>
      <c r="F828" s="6" t="str">
        <f>IF(A828="","",IFERROR(AVERAGEIF(Chicks!$C:$C,A828,Chicks!$M:$M),""))</f>
        <v/>
      </c>
      <c r="G828" s="6" t="str">
        <f>IF(A828="","",SUMIFS(Chicks!$N:$N,Chicks!$C:$C,A828))</f>
        <v/>
      </c>
      <c r="H828" s="6" t="str">
        <f>IF(A828="","",SUMIFS(Chicks!$O:$O,Chicks!$C:$C,A828))</f>
        <v/>
      </c>
      <c r="I828" s="6" t="str">
        <f>IF(A828="","",SUMIFS(Chicks!$P:$P,Chicks!$C:$C,A828))</f>
        <v/>
      </c>
    </row>
    <row r="829" spans="2:9" ht="14.25" customHeight="1" x14ac:dyDescent="0.3">
      <c r="B829" s="6" t="str">
        <f>IF(A829="","",COUNTIF(Chicks!$C:$C,A829))</f>
        <v/>
      </c>
      <c r="D829" s="6" t="str">
        <f>IF(A829="","",IFERROR(AVERAGEIF(Chicks!$C:$C,A829,Chicks!$K:$K),""))</f>
        <v/>
      </c>
      <c r="E829" s="6" t="str">
        <f>IF(A829="","",IFERROR(AVERAGEIF(Chicks!$C:$C,A829,Chicks!$L:$L),""))</f>
        <v/>
      </c>
      <c r="F829" s="6" t="str">
        <f>IF(A829="","",IFERROR(AVERAGEIF(Chicks!$C:$C,A829,Chicks!$M:$M),""))</f>
        <v/>
      </c>
      <c r="G829" s="6" t="str">
        <f>IF(A829="","",SUMIFS(Chicks!$N:$N,Chicks!$C:$C,A829))</f>
        <v/>
      </c>
      <c r="H829" s="6" t="str">
        <f>IF(A829="","",SUMIFS(Chicks!$O:$O,Chicks!$C:$C,A829))</f>
        <v/>
      </c>
      <c r="I829" s="6" t="str">
        <f>IF(A829="","",SUMIFS(Chicks!$P:$P,Chicks!$C:$C,A829))</f>
        <v/>
      </c>
    </row>
    <row r="830" spans="2:9" ht="14.25" customHeight="1" x14ac:dyDescent="0.3">
      <c r="B830" s="6" t="str">
        <f>IF(A830="","",COUNTIF(Chicks!$C:$C,A830))</f>
        <v/>
      </c>
      <c r="D830" s="6" t="str">
        <f>IF(A830="","",IFERROR(AVERAGEIF(Chicks!$C:$C,A830,Chicks!$K:$K),""))</f>
        <v/>
      </c>
      <c r="E830" s="6" t="str">
        <f>IF(A830="","",IFERROR(AVERAGEIF(Chicks!$C:$C,A830,Chicks!$L:$L),""))</f>
        <v/>
      </c>
      <c r="F830" s="6" t="str">
        <f>IF(A830="","",IFERROR(AVERAGEIF(Chicks!$C:$C,A830,Chicks!$M:$M),""))</f>
        <v/>
      </c>
      <c r="G830" s="6" t="str">
        <f>IF(A830="","",SUMIFS(Chicks!$N:$N,Chicks!$C:$C,A830))</f>
        <v/>
      </c>
      <c r="H830" s="6" t="str">
        <f>IF(A830="","",SUMIFS(Chicks!$O:$O,Chicks!$C:$C,A830))</f>
        <v/>
      </c>
      <c r="I830" s="6" t="str">
        <f>IF(A830="","",SUMIFS(Chicks!$P:$P,Chicks!$C:$C,A830))</f>
        <v/>
      </c>
    </row>
    <row r="831" spans="2:9" ht="14.25" customHeight="1" x14ac:dyDescent="0.3">
      <c r="B831" s="6" t="str">
        <f>IF(A831="","",COUNTIF(Chicks!$C:$C,A831))</f>
        <v/>
      </c>
      <c r="D831" s="6" t="str">
        <f>IF(A831="","",IFERROR(AVERAGEIF(Chicks!$C:$C,A831,Chicks!$K:$K),""))</f>
        <v/>
      </c>
      <c r="E831" s="6" t="str">
        <f>IF(A831="","",IFERROR(AVERAGEIF(Chicks!$C:$C,A831,Chicks!$L:$L),""))</f>
        <v/>
      </c>
      <c r="F831" s="6" t="str">
        <f>IF(A831="","",IFERROR(AVERAGEIF(Chicks!$C:$C,A831,Chicks!$M:$M),""))</f>
        <v/>
      </c>
      <c r="G831" s="6" t="str">
        <f>IF(A831="","",SUMIFS(Chicks!$N:$N,Chicks!$C:$C,A831))</f>
        <v/>
      </c>
      <c r="H831" s="6" t="str">
        <f>IF(A831="","",SUMIFS(Chicks!$O:$O,Chicks!$C:$C,A831))</f>
        <v/>
      </c>
      <c r="I831" s="6" t="str">
        <f>IF(A831="","",SUMIFS(Chicks!$P:$P,Chicks!$C:$C,A831))</f>
        <v/>
      </c>
    </row>
    <row r="832" spans="2:9" ht="14.25" customHeight="1" x14ac:dyDescent="0.3">
      <c r="B832" s="6" t="str">
        <f>IF(A832="","",COUNTIF(Chicks!$C:$C,A832))</f>
        <v/>
      </c>
      <c r="D832" s="6" t="str">
        <f>IF(A832="","",IFERROR(AVERAGEIF(Chicks!$C:$C,A832,Chicks!$K:$K),""))</f>
        <v/>
      </c>
      <c r="E832" s="6" t="str">
        <f>IF(A832="","",IFERROR(AVERAGEIF(Chicks!$C:$C,A832,Chicks!$L:$L),""))</f>
        <v/>
      </c>
      <c r="F832" s="6" t="str">
        <f>IF(A832="","",IFERROR(AVERAGEIF(Chicks!$C:$C,A832,Chicks!$M:$M),""))</f>
        <v/>
      </c>
      <c r="G832" s="6" t="str">
        <f>IF(A832="","",SUMIFS(Chicks!$N:$N,Chicks!$C:$C,A832))</f>
        <v/>
      </c>
      <c r="H832" s="6" t="str">
        <f>IF(A832="","",SUMIFS(Chicks!$O:$O,Chicks!$C:$C,A832))</f>
        <v/>
      </c>
      <c r="I832" s="6" t="str">
        <f>IF(A832="","",SUMIFS(Chicks!$P:$P,Chicks!$C:$C,A832))</f>
        <v/>
      </c>
    </row>
    <row r="833" spans="2:9" ht="14.25" customHeight="1" x14ac:dyDescent="0.3">
      <c r="B833" s="6" t="str">
        <f>IF(A833="","",COUNTIF(Chicks!$C:$C,A833))</f>
        <v/>
      </c>
      <c r="D833" s="6" t="str">
        <f>IF(A833="","",IFERROR(AVERAGEIF(Chicks!$C:$C,A833,Chicks!$K:$K),""))</f>
        <v/>
      </c>
      <c r="E833" s="6" t="str">
        <f>IF(A833="","",IFERROR(AVERAGEIF(Chicks!$C:$C,A833,Chicks!$L:$L),""))</f>
        <v/>
      </c>
      <c r="F833" s="6" t="str">
        <f>IF(A833="","",IFERROR(AVERAGEIF(Chicks!$C:$C,A833,Chicks!$M:$M),""))</f>
        <v/>
      </c>
      <c r="G833" s="6" t="str">
        <f>IF(A833="","",SUMIFS(Chicks!$N:$N,Chicks!$C:$C,A833))</f>
        <v/>
      </c>
      <c r="H833" s="6" t="str">
        <f>IF(A833="","",SUMIFS(Chicks!$O:$O,Chicks!$C:$C,A833))</f>
        <v/>
      </c>
      <c r="I833" s="6" t="str">
        <f>IF(A833="","",SUMIFS(Chicks!$P:$P,Chicks!$C:$C,A833))</f>
        <v/>
      </c>
    </row>
    <row r="834" spans="2:9" ht="14.25" customHeight="1" x14ac:dyDescent="0.3">
      <c r="B834" s="6" t="str">
        <f>IF(A834="","",COUNTIF(Chicks!$C:$C,A834))</f>
        <v/>
      </c>
      <c r="D834" s="6" t="str">
        <f>IF(A834="","",IFERROR(AVERAGEIF(Chicks!$C:$C,A834,Chicks!$K:$K),""))</f>
        <v/>
      </c>
      <c r="E834" s="6" t="str">
        <f>IF(A834="","",IFERROR(AVERAGEIF(Chicks!$C:$C,A834,Chicks!$L:$L),""))</f>
        <v/>
      </c>
      <c r="F834" s="6" t="str">
        <f>IF(A834="","",IFERROR(AVERAGEIF(Chicks!$C:$C,A834,Chicks!$M:$M),""))</f>
        <v/>
      </c>
      <c r="G834" s="6" t="str">
        <f>IF(A834="","",SUMIFS(Chicks!$N:$N,Chicks!$C:$C,A834))</f>
        <v/>
      </c>
      <c r="H834" s="6" t="str">
        <f>IF(A834="","",SUMIFS(Chicks!$O:$O,Chicks!$C:$C,A834))</f>
        <v/>
      </c>
      <c r="I834" s="6" t="str">
        <f>IF(A834="","",SUMIFS(Chicks!$P:$P,Chicks!$C:$C,A834))</f>
        <v/>
      </c>
    </row>
    <row r="835" spans="2:9" ht="14.25" customHeight="1" x14ac:dyDescent="0.3">
      <c r="B835" s="6" t="str">
        <f>IF(A835="","",COUNTIF(Chicks!$C:$C,A835))</f>
        <v/>
      </c>
      <c r="D835" s="6" t="str">
        <f>IF(A835="","",IFERROR(AVERAGEIF(Chicks!$C:$C,A835,Chicks!$K:$K),""))</f>
        <v/>
      </c>
      <c r="E835" s="6" t="str">
        <f>IF(A835="","",IFERROR(AVERAGEIF(Chicks!$C:$C,A835,Chicks!$L:$L),""))</f>
        <v/>
      </c>
      <c r="F835" s="6" t="str">
        <f>IF(A835="","",IFERROR(AVERAGEIF(Chicks!$C:$C,A835,Chicks!$M:$M),""))</f>
        <v/>
      </c>
      <c r="G835" s="6" t="str">
        <f>IF(A835="","",SUMIFS(Chicks!$N:$N,Chicks!$C:$C,A835))</f>
        <v/>
      </c>
      <c r="H835" s="6" t="str">
        <f>IF(A835="","",SUMIFS(Chicks!$O:$O,Chicks!$C:$C,A835))</f>
        <v/>
      </c>
      <c r="I835" s="6" t="str">
        <f>IF(A835="","",SUMIFS(Chicks!$P:$P,Chicks!$C:$C,A835))</f>
        <v/>
      </c>
    </row>
    <row r="836" spans="2:9" ht="14.25" customHeight="1" x14ac:dyDescent="0.3">
      <c r="B836" s="6" t="str">
        <f>IF(A836="","",COUNTIF(Chicks!$C:$C,A836))</f>
        <v/>
      </c>
      <c r="D836" s="6" t="str">
        <f>IF(A836="","",IFERROR(AVERAGEIF(Chicks!$C:$C,A836,Chicks!$K:$K),""))</f>
        <v/>
      </c>
      <c r="E836" s="6" t="str">
        <f>IF(A836="","",IFERROR(AVERAGEIF(Chicks!$C:$C,A836,Chicks!$L:$L),""))</f>
        <v/>
      </c>
      <c r="F836" s="6" t="str">
        <f>IF(A836="","",IFERROR(AVERAGEIF(Chicks!$C:$C,A836,Chicks!$M:$M),""))</f>
        <v/>
      </c>
      <c r="G836" s="6" t="str">
        <f>IF(A836="","",SUMIFS(Chicks!$N:$N,Chicks!$C:$C,A836))</f>
        <v/>
      </c>
      <c r="H836" s="6" t="str">
        <f>IF(A836="","",SUMIFS(Chicks!$O:$O,Chicks!$C:$C,A836))</f>
        <v/>
      </c>
      <c r="I836" s="6" t="str">
        <f>IF(A836="","",SUMIFS(Chicks!$P:$P,Chicks!$C:$C,A836))</f>
        <v/>
      </c>
    </row>
    <row r="837" spans="2:9" ht="14.25" customHeight="1" x14ac:dyDescent="0.3">
      <c r="B837" s="6" t="str">
        <f>IF(A837="","",COUNTIF(Chicks!$C:$C,A837))</f>
        <v/>
      </c>
      <c r="D837" s="6" t="str">
        <f>IF(A837="","",IFERROR(AVERAGEIF(Chicks!$C:$C,A837,Chicks!$K:$K),""))</f>
        <v/>
      </c>
      <c r="E837" s="6" t="str">
        <f>IF(A837="","",IFERROR(AVERAGEIF(Chicks!$C:$C,A837,Chicks!$L:$L),""))</f>
        <v/>
      </c>
      <c r="F837" s="6" t="str">
        <f>IF(A837="","",IFERROR(AVERAGEIF(Chicks!$C:$C,A837,Chicks!$M:$M),""))</f>
        <v/>
      </c>
      <c r="G837" s="6" t="str">
        <f>IF(A837="","",SUMIFS(Chicks!$N:$N,Chicks!$C:$C,A837))</f>
        <v/>
      </c>
      <c r="H837" s="6" t="str">
        <f>IF(A837="","",SUMIFS(Chicks!$O:$O,Chicks!$C:$C,A837))</f>
        <v/>
      </c>
      <c r="I837" s="6" t="str">
        <f>IF(A837="","",SUMIFS(Chicks!$P:$P,Chicks!$C:$C,A837))</f>
        <v/>
      </c>
    </row>
    <row r="838" spans="2:9" ht="14.25" customHeight="1" x14ac:dyDescent="0.3">
      <c r="B838" s="6" t="str">
        <f>IF(A838="","",COUNTIF(Chicks!$C:$C,A838))</f>
        <v/>
      </c>
      <c r="D838" s="6" t="str">
        <f>IF(A838="","",IFERROR(AVERAGEIF(Chicks!$C:$C,A838,Chicks!$K:$K),""))</f>
        <v/>
      </c>
      <c r="E838" s="6" t="str">
        <f>IF(A838="","",IFERROR(AVERAGEIF(Chicks!$C:$C,A838,Chicks!$L:$L),""))</f>
        <v/>
      </c>
      <c r="F838" s="6" t="str">
        <f>IF(A838="","",IFERROR(AVERAGEIF(Chicks!$C:$C,A838,Chicks!$M:$M),""))</f>
        <v/>
      </c>
      <c r="G838" s="6" t="str">
        <f>IF(A838="","",SUMIFS(Chicks!$N:$N,Chicks!$C:$C,A838))</f>
        <v/>
      </c>
      <c r="H838" s="6" t="str">
        <f>IF(A838="","",SUMIFS(Chicks!$O:$O,Chicks!$C:$C,A838))</f>
        <v/>
      </c>
      <c r="I838" s="6" t="str">
        <f>IF(A838="","",SUMIFS(Chicks!$P:$P,Chicks!$C:$C,A838))</f>
        <v/>
      </c>
    </row>
    <row r="839" spans="2:9" ht="14.25" customHeight="1" x14ac:dyDescent="0.3">
      <c r="B839" s="6" t="str">
        <f>IF(A839="","",COUNTIF(Chicks!$C:$C,A839))</f>
        <v/>
      </c>
      <c r="D839" s="6" t="str">
        <f>IF(A839="","",IFERROR(AVERAGEIF(Chicks!$C:$C,A839,Chicks!$K:$K),""))</f>
        <v/>
      </c>
      <c r="E839" s="6" t="str">
        <f>IF(A839="","",IFERROR(AVERAGEIF(Chicks!$C:$C,A839,Chicks!$L:$L),""))</f>
        <v/>
      </c>
      <c r="F839" s="6" t="str">
        <f>IF(A839="","",IFERROR(AVERAGEIF(Chicks!$C:$C,A839,Chicks!$M:$M),""))</f>
        <v/>
      </c>
      <c r="G839" s="6" t="str">
        <f>IF(A839="","",SUMIFS(Chicks!$N:$N,Chicks!$C:$C,A839))</f>
        <v/>
      </c>
      <c r="H839" s="6" t="str">
        <f>IF(A839="","",SUMIFS(Chicks!$O:$O,Chicks!$C:$C,A839))</f>
        <v/>
      </c>
      <c r="I839" s="6" t="str">
        <f>IF(A839="","",SUMIFS(Chicks!$P:$P,Chicks!$C:$C,A839))</f>
        <v/>
      </c>
    </row>
    <row r="840" spans="2:9" ht="14.25" customHeight="1" x14ac:dyDescent="0.3">
      <c r="B840" s="6" t="str">
        <f>IF(A840="","",COUNTIF(Chicks!$C:$C,A840))</f>
        <v/>
      </c>
      <c r="D840" s="6" t="str">
        <f>IF(A840="","",IFERROR(AVERAGEIF(Chicks!$C:$C,A840,Chicks!$K:$K),""))</f>
        <v/>
      </c>
      <c r="E840" s="6" t="str">
        <f>IF(A840="","",IFERROR(AVERAGEIF(Chicks!$C:$C,A840,Chicks!$L:$L),""))</f>
        <v/>
      </c>
      <c r="F840" s="6" t="str">
        <f>IF(A840="","",IFERROR(AVERAGEIF(Chicks!$C:$C,A840,Chicks!$M:$M),""))</f>
        <v/>
      </c>
      <c r="G840" s="6" t="str">
        <f>IF(A840="","",SUMIFS(Chicks!$N:$N,Chicks!$C:$C,A840))</f>
        <v/>
      </c>
      <c r="H840" s="6" t="str">
        <f>IF(A840="","",SUMIFS(Chicks!$O:$O,Chicks!$C:$C,A840))</f>
        <v/>
      </c>
      <c r="I840" s="6" t="str">
        <f>IF(A840="","",SUMIFS(Chicks!$P:$P,Chicks!$C:$C,A840))</f>
        <v/>
      </c>
    </row>
    <row r="841" spans="2:9" ht="14.25" customHeight="1" x14ac:dyDescent="0.3">
      <c r="B841" s="6" t="str">
        <f>IF(A841="","",COUNTIF(Chicks!$C:$C,A841))</f>
        <v/>
      </c>
      <c r="D841" s="6" t="str">
        <f>IF(A841="","",IFERROR(AVERAGEIF(Chicks!$C:$C,A841,Chicks!$K:$K),""))</f>
        <v/>
      </c>
      <c r="E841" s="6" t="str">
        <f>IF(A841="","",IFERROR(AVERAGEIF(Chicks!$C:$C,A841,Chicks!$L:$L),""))</f>
        <v/>
      </c>
      <c r="F841" s="6" t="str">
        <f>IF(A841="","",IFERROR(AVERAGEIF(Chicks!$C:$C,A841,Chicks!$M:$M),""))</f>
        <v/>
      </c>
      <c r="G841" s="6" t="str">
        <f>IF(A841="","",SUMIFS(Chicks!$N:$N,Chicks!$C:$C,A841))</f>
        <v/>
      </c>
      <c r="H841" s="6" t="str">
        <f>IF(A841="","",SUMIFS(Chicks!$O:$O,Chicks!$C:$C,A841))</f>
        <v/>
      </c>
      <c r="I841" s="6" t="str">
        <f>IF(A841="","",SUMIFS(Chicks!$P:$P,Chicks!$C:$C,A841))</f>
        <v/>
      </c>
    </row>
    <row r="842" spans="2:9" ht="14.25" customHeight="1" x14ac:dyDescent="0.3">
      <c r="B842" s="6" t="str">
        <f>IF(A842="","",COUNTIF(Chicks!$C:$C,A842))</f>
        <v/>
      </c>
      <c r="D842" s="6" t="str">
        <f>IF(A842="","",IFERROR(AVERAGEIF(Chicks!$C:$C,A842,Chicks!$K:$K),""))</f>
        <v/>
      </c>
      <c r="E842" s="6" t="str">
        <f>IF(A842="","",IFERROR(AVERAGEIF(Chicks!$C:$C,A842,Chicks!$L:$L),""))</f>
        <v/>
      </c>
      <c r="F842" s="6" t="str">
        <f>IF(A842="","",IFERROR(AVERAGEIF(Chicks!$C:$C,A842,Chicks!$M:$M),""))</f>
        <v/>
      </c>
      <c r="G842" s="6" t="str">
        <f>IF(A842="","",SUMIFS(Chicks!$N:$N,Chicks!$C:$C,A842))</f>
        <v/>
      </c>
      <c r="H842" s="6" t="str">
        <f>IF(A842="","",SUMIFS(Chicks!$O:$O,Chicks!$C:$C,A842))</f>
        <v/>
      </c>
      <c r="I842" s="6" t="str">
        <f>IF(A842="","",SUMIFS(Chicks!$P:$P,Chicks!$C:$C,A842))</f>
        <v/>
      </c>
    </row>
    <row r="843" spans="2:9" ht="14.25" customHeight="1" x14ac:dyDescent="0.3">
      <c r="B843" s="6" t="str">
        <f>IF(A843="","",COUNTIF(Chicks!$C:$C,A843))</f>
        <v/>
      </c>
      <c r="D843" s="6" t="str">
        <f>IF(A843="","",IFERROR(AVERAGEIF(Chicks!$C:$C,A843,Chicks!$K:$K),""))</f>
        <v/>
      </c>
      <c r="E843" s="6" t="str">
        <f>IF(A843="","",IFERROR(AVERAGEIF(Chicks!$C:$C,A843,Chicks!$L:$L),""))</f>
        <v/>
      </c>
      <c r="F843" s="6" t="str">
        <f>IF(A843="","",IFERROR(AVERAGEIF(Chicks!$C:$C,A843,Chicks!$M:$M),""))</f>
        <v/>
      </c>
      <c r="G843" s="6" t="str">
        <f>IF(A843="","",SUMIFS(Chicks!$N:$N,Chicks!$C:$C,A843))</f>
        <v/>
      </c>
      <c r="H843" s="6" t="str">
        <f>IF(A843="","",SUMIFS(Chicks!$O:$O,Chicks!$C:$C,A843))</f>
        <v/>
      </c>
      <c r="I843" s="6" t="str">
        <f>IF(A843="","",SUMIFS(Chicks!$P:$P,Chicks!$C:$C,A843))</f>
        <v/>
      </c>
    </row>
    <row r="844" spans="2:9" ht="14.25" customHeight="1" x14ac:dyDescent="0.3">
      <c r="B844" s="6" t="str">
        <f>IF(A844="","",COUNTIF(Chicks!$C:$C,A844))</f>
        <v/>
      </c>
      <c r="D844" s="6" t="str">
        <f>IF(A844="","",IFERROR(AVERAGEIF(Chicks!$C:$C,A844,Chicks!$K:$K),""))</f>
        <v/>
      </c>
      <c r="E844" s="6" t="str">
        <f>IF(A844="","",IFERROR(AVERAGEIF(Chicks!$C:$C,A844,Chicks!$L:$L),""))</f>
        <v/>
      </c>
      <c r="F844" s="6" t="str">
        <f>IF(A844="","",IFERROR(AVERAGEIF(Chicks!$C:$C,A844,Chicks!$M:$M),""))</f>
        <v/>
      </c>
      <c r="G844" s="6" t="str">
        <f>IF(A844="","",SUMIFS(Chicks!$N:$N,Chicks!$C:$C,A844))</f>
        <v/>
      </c>
      <c r="H844" s="6" t="str">
        <f>IF(A844="","",SUMIFS(Chicks!$O:$O,Chicks!$C:$C,A844))</f>
        <v/>
      </c>
      <c r="I844" s="6" t="str">
        <f>IF(A844="","",SUMIFS(Chicks!$P:$P,Chicks!$C:$C,A844))</f>
        <v/>
      </c>
    </row>
    <row r="845" spans="2:9" ht="14.25" customHeight="1" x14ac:dyDescent="0.3">
      <c r="B845" s="6" t="str">
        <f>IF(A845="","",COUNTIF(Chicks!$C:$C,A845))</f>
        <v/>
      </c>
      <c r="D845" s="6" t="str">
        <f>IF(A845="","",IFERROR(AVERAGEIF(Chicks!$C:$C,A845,Chicks!$K:$K),""))</f>
        <v/>
      </c>
      <c r="E845" s="6" t="str">
        <f>IF(A845="","",IFERROR(AVERAGEIF(Chicks!$C:$C,A845,Chicks!$L:$L),""))</f>
        <v/>
      </c>
      <c r="F845" s="6" t="str">
        <f>IF(A845="","",IFERROR(AVERAGEIF(Chicks!$C:$C,A845,Chicks!$M:$M),""))</f>
        <v/>
      </c>
      <c r="G845" s="6" t="str">
        <f>IF(A845="","",SUMIFS(Chicks!$N:$N,Chicks!$C:$C,A845))</f>
        <v/>
      </c>
      <c r="H845" s="6" t="str">
        <f>IF(A845="","",SUMIFS(Chicks!$O:$O,Chicks!$C:$C,A845))</f>
        <v/>
      </c>
      <c r="I845" s="6" t="str">
        <f>IF(A845="","",SUMIFS(Chicks!$P:$P,Chicks!$C:$C,A845))</f>
        <v/>
      </c>
    </row>
    <row r="846" spans="2:9" ht="14.25" customHeight="1" x14ac:dyDescent="0.3">
      <c r="B846" s="6" t="str">
        <f>IF(A846="","",COUNTIF(Chicks!$C:$C,A846))</f>
        <v/>
      </c>
      <c r="D846" s="6" t="str">
        <f>IF(A846="","",IFERROR(AVERAGEIF(Chicks!$C:$C,A846,Chicks!$K:$K),""))</f>
        <v/>
      </c>
      <c r="E846" s="6" t="str">
        <f>IF(A846="","",IFERROR(AVERAGEIF(Chicks!$C:$C,A846,Chicks!$L:$L),""))</f>
        <v/>
      </c>
      <c r="F846" s="6" t="str">
        <f>IF(A846="","",IFERROR(AVERAGEIF(Chicks!$C:$C,A846,Chicks!$M:$M),""))</f>
        <v/>
      </c>
      <c r="G846" s="6" t="str">
        <f>IF(A846="","",SUMIFS(Chicks!$N:$N,Chicks!$C:$C,A846))</f>
        <v/>
      </c>
      <c r="H846" s="6" t="str">
        <f>IF(A846="","",SUMIFS(Chicks!$O:$O,Chicks!$C:$C,A846))</f>
        <v/>
      </c>
      <c r="I846" s="6" t="str">
        <f>IF(A846="","",SUMIFS(Chicks!$P:$P,Chicks!$C:$C,A846))</f>
        <v/>
      </c>
    </row>
    <row r="847" spans="2:9" ht="14.25" customHeight="1" x14ac:dyDescent="0.3">
      <c r="B847" s="6" t="str">
        <f>IF(A847="","",COUNTIF(Chicks!$C:$C,A847))</f>
        <v/>
      </c>
      <c r="D847" s="6" t="str">
        <f>IF(A847="","",IFERROR(AVERAGEIF(Chicks!$C:$C,A847,Chicks!$K:$K),""))</f>
        <v/>
      </c>
      <c r="E847" s="6" t="str">
        <f>IF(A847="","",IFERROR(AVERAGEIF(Chicks!$C:$C,A847,Chicks!$L:$L),""))</f>
        <v/>
      </c>
      <c r="F847" s="6" t="str">
        <f>IF(A847="","",IFERROR(AVERAGEIF(Chicks!$C:$C,A847,Chicks!$M:$M),""))</f>
        <v/>
      </c>
      <c r="G847" s="6" t="str">
        <f>IF(A847="","",SUMIFS(Chicks!$N:$N,Chicks!$C:$C,A847))</f>
        <v/>
      </c>
      <c r="H847" s="6" t="str">
        <f>IF(A847="","",SUMIFS(Chicks!$O:$O,Chicks!$C:$C,A847))</f>
        <v/>
      </c>
      <c r="I847" s="6" t="str">
        <f>IF(A847="","",SUMIFS(Chicks!$P:$P,Chicks!$C:$C,A847))</f>
        <v/>
      </c>
    </row>
    <row r="848" spans="2:9" ht="14.25" customHeight="1" x14ac:dyDescent="0.3">
      <c r="B848" s="6" t="str">
        <f>IF(A848="","",COUNTIF(Chicks!$C:$C,A848))</f>
        <v/>
      </c>
      <c r="D848" s="6" t="str">
        <f>IF(A848="","",IFERROR(AVERAGEIF(Chicks!$C:$C,A848,Chicks!$K:$K),""))</f>
        <v/>
      </c>
      <c r="E848" s="6" t="str">
        <f>IF(A848="","",IFERROR(AVERAGEIF(Chicks!$C:$C,A848,Chicks!$L:$L),""))</f>
        <v/>
      </c>
      <c r="F848" s="6" t="str">
        <f>IF(A848="","",IFERROR(AVERAGEIF(Chicks!$C:$C,A848,Chicks!$M:$M),""))</f>
        <v/>
      </c>
      <c r="G848" s="6" t="str">
        <f>IF(A848="","",SUMIFS(Chicks!$N:$N,Chicks!$C:$C,A848))</f>
        <v/>
      </c>
      <c r="H848" s="6" t="str">
        <f>IF(A848="","",SUMIFS(Chicks!$O:$O,Chicks!$C:$C,A848))</f>
        <v/>
      </c>
      <c r="I848" s="6" t="str">
        <f>IF(A848="","",SUMIFS(Chicks!$P:$P,Chicks!$C:$C,A848))</f>
        <v/>
      </c>
    </row>
    <row r="849" spans="2:9" ht="14.25" customHeight="1" x14ac:dyDescent="0.3">
      <c r="B849" s="6" t="str">
        <f>IF(A849="","",COUNTIF(Chicks!$C:$C,A849))</f>
        <v/>
      </c>
      <c r="D849" s="6" t="str">
        <f>IF(A849="","",IFERROR(AVERAGEIF(Chicks!$C:$C,A849,Chicks!$K:$K),""))</f>
        <v/>
      </c>
      <c r="E849" s="6" t="str">
        <f>IF(A849="","",IFERROR(AVERAGEIF(Chicks!$C:$C,A849,Chicks!$L:$L),""))</f>
        <v/>
      </c>
      <c r="F849" s="6" t="str">
        <f>IF(A849="","",IFERROR(AVERAGEIF(Chicks!$C:$C,A849,Chicks!$M:$M),""))</f>
        <v/>
      </c>
      <c r="G849" s="6" t="str">
        <f>IF(A849="","",SUMIFS(Chicks!$N:$N,Chicks!$C:$C,A849))</f>
        <v/>
      </c>
      <c r="H849" s="6" t="str">
        <f>IF(A849="","",SUMIFS(Chicks!$O:$O,Chicks!$C:$C,A849))</f>
        <v/>
      </c>
      <c r="I849" s="6" t="str">
        <f>IF(A849="","",SUMIFS(Chicks!$P:$P,Chicks!$C:$C,A849))</f>
        <v/>
      </c>
    </row>
    <row r="850" spans="2:9" ht="14.25" customHeight="1" x14ac:dyDescent="0.3">
      <c r="B850" s="6" t="str">
        <f>IF(A850="","",COUNTIF(Chicks!$C:$C,A850))</f>
        <v/>
      </c>
      <c r="D850" s="6" t="str">
        <f>IF(A850="","",IFERROR(AVERAGEIF(Chicks!$C:$C,A850,Chicks!$K:$K),""))</f>
        <v/>
      </c>
      <c r="E850" s="6" t="str">
        <f>IF(A850="","",IFERROR(AVERAGEIF(Chicks!$C:$C,A850,Chicks!$L:$L),""))</f>
        <v/>
      </c>
      <c r="F850" s="6" t="str">
        <f>IF(A850="","",IFERROR(AVERAGEIF(Chicks!$C:$C,A850,Chicks!$M:$M),""))</f>
        <v/>
      </c>
      <c r="G850" s="6" t="str">
        <f>IF(A850="","",SUMIFS(Chicks!$N:$N,Chicks!$C:$C,A850))</f>
        <v/>
      </c>
      <c r="H850" s="6" t="str">
        <f>IF(A850="","",SUMIFS(Chicks!$O:$O,Chicks!$C:$C,A850))</f>
        <v/>
      </c>
      <c r="I850" s="6" t="str">
        <f>IF(A850="","",SUMIFS(Chicks!$P:$P,Chicks!$C:$C,A850))</f>
        <v/>
      </c>
    </row>
    <row r="851" spans="2:9" ht="14.25" customHeight="1" x14ac:dyDescent="0.3">
      <c r="B851" s="6" t="str">
        <f>IF(A851="","",COUNTIF(Chicks!$C:$C,A851))</f>
        <v/>
      </c>
      <c r="D851" s="6" t="str">
        <f>IF(A851="","",IFERROR(AVERAGEIF(Chicks!$C:$C,A851,Chicks!$K:$K),""))</f>
        <v/>
      </c>
      <c r="E851" s="6" t="str">
        <f>IF(A851="","",IFERROR(AVERAGEIF(Chicks!$C:$C,A851,Chicks!$L:$L),""))</f>
        <v/>
      </c>
      <c r="F851" s="6" t="str">
        <f>IF(A851="","",IFERROR(AVERAGEIF(Chicks!$C:$C,A851,Chicks!$M:$M),""))</f>
        <v/>
      </c>
      <c r="G851" s="6" t="str">
        <f>IF(A851="","",SUMIFS(Chicks!$N:$N,Chicks!$C:$C,A851))</f>
        <v/>
      </c>
      <c r="H851" s="6" t="str">
        <f>IF(A851="","",SUMIFS(Chicks!$O:$O,Chicks!$C:$C,A851))</f>
        <v/>
      </c>
      <c r="I851" s="6" t="str">
        <f>IF(A851="","",SUMIFS(Chicks!$P:$P,Chicks!$C:$C,A851))</f>
        <v/>
      </c>
    </row>
    <row r="852" spans="2:9" ht="14.25" customHeight="1" x14ac:dyDescent="0.3">
      <c r="B852" s="6" t="str">
        <f>IF(A852="","",COUNTIF(Chicks!$C:$C,A852))</f>
        <v/>
      </c>
      <c r="D852" s="6" t="str">
        <f>IF(A852="","",IFERROR(AVERAGEIF(Chicks!$C:$C,A852,Chicks!$K:$K),""))</f>
        <v/>
      </c>
      <c r="E852" s="6" t="str">
        <f>IF(A852="","",IFERROR(AVERAGEIF(Chicks!$C:$C,A852,Chicks!$L:$L),""))</f>
        <v/>
      </c>
      <c r="F852" s="6" t="str">
        <f>IF(A852="","",IFERROR(AVERAGEIF(Chicks!$C:$C,A852,Chicks!$M:$M),""))</f>
        <v/>
      </c>
      <c r="G852" s="6" t="str">
        <f>IF(A852="","",SUMIFS(Chicks!$N:$N,Chicks!$C:$C,A852))</f>
        <v/>
      </c>
      <c r="H852" s="6" t="str">
        <f>IF(A852="","",SUMIFS(Chicks!$O:$O,Chicks!$C:$C,A852))</f>
        <v/>
      </c>
      <c r="I852" s="6" t="str">
        <f>IF(A852="","",SUMIFS(Chicks!$P:$P,Chicks!$C:$C,A852))</f>
        <v/>
      </c>
    </row>
    <row r="853" spans="2:9" ht="14.25" customHeight="1" x14ac:dyDescent="0.3">
      <c r="B853" s="6" t="str">
        <f>IF(A853="","",COUNTIF(Chicks!$C:$C,A853))</f>
        <v/>
      </c>
      <c r="D853" s="6" t="str">
        <f>IF(A853="","",IFERROR(AVERAGEIF(Chicks!$C:$C,A853,Chicks!$K:$K),""))</f>
        <v/>
      </c>
      <c r="E853" s="6" t="str">
        <f>IF(A853="","",IFERROR(AVERAGEIF(Chicks!$C:$C,A853,Chicks!$L:$L),""))</f>
        <v/>
      </c>
      <c r="F853" s="6" t="str">
        <f>IF(A853="","",IFERROR(AVERAGEIF(Chicks!$C:$C,A853,Chicks!$M:$M),""))</f>
        <v/>
      </c>
      <c r="G853" s="6" t="str">
        <f>IF(A853="","",SUMIFS(Chicks!$N:$N,Chicks!$C:$C,A853))</f>
        <v/>
      </c>
      <c r="H853" s="6" t="str">
        <f>IF(A853="","",SUMIFS(Chicks!$O:$O,Chicks!$C:$C,A853))</f>
        <v/>
      </c>
      <c r="I853" s="6" t="str">
        <f>IF(A853="","",SUMIFS(Chicks!$P:$P,Chicks!$C:$C,A853))</f>
        <v/>
      </c>
    </row>
    <row r="854" spans="2:9" ht="14.25" customHeight="1" x14ac:dyDescent="0.3">
      <c r="B854" s="6" t="str">
        <f>IF(A854="","",COUNTIF(Chicks!$C:$C,A854))</f>
        <v/>
      </c>
      <c r="D854" s="6" t="str">
        <f>IF(A854="","",IFERROR(AVERAGEIF(Chicks!$C:$C,A854,Chicks!$K:$K),""))</f>
        <v/>
      </c>
      <c r="E854" s="6" t="str">
        <f>IF(A854="","",IFERROR(AVERAGEIF(Chicks!$C:$C,A854,Chicks!$L:$L),""))</f>
        <v/>
      </c>
      <c r="F854" s="6" t="str">
        <f>IF(A854="","",IFERROR(AVERAGEIF(Chicks!$C:$C,A854,Chicks!$M:$M),""))</f>
        <v/>
      </c>
      <c r="G854" s="6" t="str">
        <f>IF(A854="","",SUMIFS(Chicks!$N:$N,Chicks!$C:$C,A854))</f>
        <v/>
      </c>
      <c r="H854" s="6" t="str">
        <f>IF(A854="","",SUMIFS(Chicks!$O:$O,Chicks!$C:$C,A854))</f>
        <v/>
      </c>
      <c r="I854" s="6" t="str">
        <f>IF(A854="","",SUMIFS(Chicks!$P:$P,Chicks!$C:$C,A854))</f>
        <v/>
      </c>
    </row>
    <row r="855" spans="2:9" ht="14.25" customHeight="1" x14ac:dyDescent="0.3">
      <c r="B855" s="6" t="str">
        <f>IF(A855="","",COUNTIF(Chicks!$C:$C,A855))</f>
        <v/>
      </c>
      <c r="D855" s="6" t="str">
        <f>IF(A855="","",IFERROR(AVERAGEIF(Chicks!$C:$C,A855,Chicks!$K:$K),""))</f>
        <v/>
      </c>
      <c r="E855" s="6" t="str">
        <f>IF(A855="","",IFERROR(AVERAGEIF(Chicks!$C:$C,A855,Chicks!$L:$L),""))</f>
        <v/>
      </c>
      <c r="F855" s="6" t="str">
        <f>IF(A855="","",IFERROR(AVERAGEIF(Chicks!$C:$C,A855,Chicks!$M:$M),""))</f>
        <v/>
      </c>
      <c r="G855" s="6" t="str">
        <f>IF(A855="","",SUMIFS(Chicks!$N:$N,Chicks!$C:$C,A855))</f>
        <v/>
      </c>
      <c r="H855" s="6" t="str">
        <f>IF(A855="","",SUMIFS(Chicks!$O:$O,Chicks!$C:$C,A855))</f>
        <v/>
      </c>
      <c r="I855" s="6" t="str">
        <f>IF(A855="","",SUMIFS(Chicks!$P:$P,Chicks!$C:$C,A855))</f>
        <v/>
      </c>
    </row>
    <row r="856" spans="2:9" ht="14.25" customHeight="1" x14ac:dyDescent="0.3">
      <c r="B856" s="6" t="str">
        <f>IF(A856="","",COUNTIF(Chicks!$C:$C,A856))</f>
        <v/>
      </c>
      <c r="D856" s="6" t="str">
        <f>IF(A856="","",IFERROR(AVERAGEIF(Chicks!$C:$C,A856,Chicks!$K:$K),""))</f>
        <v/>
      </c>
      <c r="E856" s="6" t="str">
        <f>IF(A856="","",IFERROR(AVERAGEIF(Chicks!$C:$C,A856,Chicks!$L:$L),""))</f>
        <v/>
      </c>
      <c r="F856" s="6" t="str">
        <f>IF(A856="","",IFERROR(AVERAGEIF(Chicks!$C:$C,A856,Chicks!$M:$M),""))</f>
        <v/>
      </c>
      <c r="G856" s="6" t="str">
        <f>IF(A856="","",SUMIFS(Chicks!$N:$N,Chicks!$C:$C,A856))</f>
        <v/>
      </c>
      <c r="H856" s="6" t="str">
        <f>IF(A856="","",SUMIFS(Chicks!$O:$O,Chicks!$C:$C,A856))</f>
        <v/>
      </c>
      <c r="I856" s="6" t="str">
        <f>IF(A856="","",SUMIFS(Chicks!$P:$P,Chicks!$C:$C,A856))</f>
        <v/>
      </c>
    </row>
    <row r="857" spans="2:9" ht="14.25" customHeight="1" x14ac:dyDescent="0.3">
      <c r="B857" s="6" t="str">
        <f>IF(A857="","",COUNTIF(Chicks!$C:$C,A857))</f>
        <v/>
      </c>
      <c r="D857" s="6" t="str">
        <f>IF(A857="","",IFERROR(AVERAGEIF(Chicks!$C:$C,A857,Chicks!$K:$K),""))</f>
        <v/>
      </c>
      <c r="E857" s="6" t="str">
        <f>IF(A857="","",IFERROR(AVERAGEIF(Chicks!$C:$C,A857,Chicks!$L:$L),""))</f>
        <v/>
      </c>
      <c r="F857" s="6" t="str">
        <f>IF(A857="","",IFERROR(AVERAGEIF(Chicks!$C:$C,A857,Chicks!$M:$M),""))</f>
        <v/>
      </c>
      <c r="G857" s="6" t="str">
        <f>IF(A857="","",SUMIFS(Chicks!$N:$N,Chicks!$C:$C,A857))</f>
        <v/>
      </c>
      <c r="H857" s="6" t="str">
        <f>IF(A857="","",SUMIFS(Chicks!$O:$O,Chicks!$C:$C,A857))</f>
        <v/>
      </c>
      <c r="I857" s="6" t="str">
        <f>IF(A857="","",SUMIFS(Chicks!$P:$P,Chicks!$C:$C,A857))</f>
        <v/>
      </c>
    </row>
    <row r="858" spans="2:9" ht="14.25" customHeight="1" x14ac:dyDescent="0.3">
      <c r="B858" s="6" t="str">
        <f>IF(A858="","",COUNTIF(Chicks!$C:$C,A858))</f>
        <v/>
      </c>
      <c r="D858" s="6" t="str">
        <f>IF(A858="","",IFERROR(AVERAGEIF(Chicks!$C:$C,A858,Chicks!$K:$K),""))</f>
        <v/>
      </c>
      <c r="E858" s="6" t="str">
        <f>IF(A858="","",IFERROR(AVERAGEIF(Chicks!$C:$C,A858,Chicks!$L:$L),""))</f>
        <v/>
      </c>
      <c r="F858" s="6" t="str">
        <f>IF(A858="","",IFERROR(AVERAGEIF(Chicks!$C:$C,A858,Chicks!$M:$M),""))</f>
        <v/>
      </c>
      <c r="G858" s="6" t="str">
        <f>IF(A858="","",SUMIFS(Chicks!$N:$N,Chicks!$C:$C,A858))</f>
        <v/>
      </c>
      <c r="H858" s="6" t="str">
        <f>IF(A858="","",SUMIFS(Chicks!$O:$O,Chicks!$C:$C,A858))</f>
        <v/>
      </c>
      <c r="I858" s="6" t="str">
        <f>IF(A858="","",SUMIFS(Chicks!$P:$P,Chicks!$C:$C,A858))</f>
        <v/>
      </c>
    </row>
    <row r="859" spans="2:9" ht="14.25" customHeight="1" x14ac:dyDescent="0.3">
      <c r="B859" s="6" t="str">
        <f>IF(A859="","",COUNTIF(Chicks!$C:$C,A859))</f>
        <v/>
      </c>
      <c r="D859" s="6" t="str">
        <f>IF(A859="","",IFERROR(AVERAGEIF(Chicks!$C:$C,A859,Chicks!$K:$K),""))</f>
        <v/>
      </c>
      <c r="E859" s="6" t="str">
        <f>IF(A859="","",IFERROR(AVERAGEIF(Chicks!$C:$C,A859,Chicks!$L:$L),""))</f>
        <v/>
      </c>
      <c r="F859" s="6" t="str">
        <f>IF(A859="","",IFERROR(AVERAGEIF(Chicks!$C:$C,A859,Chicks!$M:$M),""))</f>
        <v/>
      </c>
      <c r="G859" s="6" t="str">
        <f>IF(A859="","",SUMIFS(Chicks!$N:$N,Chicks!$C:$C,A859))</f>
        <v/>
      </c>
      <c r="H859" s="6" t="str">
        <f>IF(A859="","",SUMIFS(Chicks!$O:$O,Chicks!$C:$C,A859))</f>
        <v/>
      </c>
      <c r="I859" s="6" t="str">
        <f>IF(A859="","",SUMIFS(Chicks!$P:$P,Chicks!$C:$C,A859))</f>
        <v/>
      </c>
    </row>
    <row r="860" spans="2:9" ht="14.25" customHeight="1" x14ac:dyDescent="0.3">
      <c r="B860" s="6" t="str">
        <f>IF(A860="","",COUNTIF(Chicks!$C:$C,A860))</f>
        <v/>
      </c>
      <c r="D860" s="6" t="str">
        <f>IF(A860="","",IFERROR(AVERAGEIF(Chicks!$C:$C,A860,Chicks!$K:$K),""))</f>
        <v/>
      </c>
      <c r="E860" s="6" t="str">
        <f>IF(A860="","",IFERROR(AVERAGEIF(Chicks!$C:$C,A860,Chicks!$L:$L),""))</f>
        <v/>
      </c>
      <c r="F860" s="6" t="str">
        <f>IF(A860="","",IFERROR(AVERAGEIF(Chicks!$C:$C,A860,Chicks!$M:$M),""))</f>
        <v/>
      </c>
      <c r="G860" s="6" t="str">
        <f>IF(A860="","",SUMIFS(Chicks!$N:$N,Chicks!$C:$C,A860))</f>
        <v/>
      </c>
      <c r="H860" s="6" t="str">
        <f>IF(A860="","",SUMIFS(Chicks!$O:$O,Chicks!$C:$C,A860))</f>
        <v/>
      </c>
      <c r="I860" s="6" t="str">
        <f>IF(A860="","",SUMIFS(Chicks!$P:$P,Chicks!$C:$C,A860))</f>
        <v/>
      </c>
    </row>
    <row r="861" spans="2:9" ht="14.25" customHeight="1" x14ac:dyDescent="0.3">
      <c r="B861" s="6" t="str">
        <f>IF(A861="","",COUNTIF(Chicks!$C:$C,A861))</f>
        <v/>
      </c>
      <c r="D861" s="6" t="str">
        <f>IF(A861="","",IFERROR(AVERAGEIF(Chicks!$C:$C,A861,Chicks!$K:$K),""))</f>
        <v/>
      </c>
      <c r="E861" s="6" t="str">
        <f>IF(A861="","",IFERROR(AVERAGEIF(Chicks!$C:$C,A861,Chicks!$L:$L),""))</f>
        <v/>
      </c>
      <c r="F861" s="6" t="str">
        <f>IF(A861="","",IFERROR(AVERAGEIF(Chicks!$C:$C,A861,Chicks!$M:$M),""))</f>
        <v/>
      </c>
      <c r="G861" s="6" t="str">
        <f>IF(A861="","",SUMIFS(Chicks!$N:$N,Chicks!$C:$C,A861))</f>
        <v/>
      </c>
      <c r="H861" s="6" t="str">
        <f>IF(A861="","",SUMIFS(Chicks!$O:$O,Chicks!$C:$C,A861))</f>
        <v/>
      </c>
      <c r="I861" s="6" t="str">
        <f>IF(A861="","",SUMIFS(Chicks!$P:$P,Chicks!$C:$C,A861))</f>
        <v/>
      </c>
    </row>
    <row r="862" spans="2:9" ht="14.25" customHeight="1" x14ac:dyDescent="0.3">
      <c r="B862" s="6" t="str">
        <f>IF(A862="","",COUNTIF(Chicks!$C:$C,A862))</f>
        <v/>
      </c>
      <c r="D862" s="6" t="str">
        <f>IF(A862="","",IFERROR(AVERAGEIF(Chicks!$C:$C,A862,Chicks!$K:$K),""))</f>
        <v/>
      </c>
      <c r="E862" s="6" t="str">
        <f>IF(A862="","",IFERROR(AVERAGEIF(Chicks!$C:$C,A862,Chicks!$L:$L),""))</f>
        <v/>
      </c>
      <c r="F862" s="6" t="str">
        <f>IF(A862="","",IFERROR(AVERAGEIF(Chicks!$C:$C,A862,Chicks!$M:$M),""))</f>
        <v/>
      </c>
      <c r="G862" s="6" t="str">
        <f>IF(A862="","",SUMIFS(Chicks!$N:$N,Chicks!$C:$C,A862))</f>
        <v/>
      </c>
      <c r="H862" s="6" t="str">
        <f>IF(A862="","",SUMIFS(Chicks!$O:$O,Chicks!$C:$C,A862))</f>
        <v/>
      </c>
      <c r="I862" s="6" t="str">
        <f>IF(A862="","",SUMIFS(Chicks!$P:$P,Chicks!$C:$C,A862))</f>
        <v/>
      </c>
    </row>
    <row r="863" spans="2:9" ht="14.25" customHeight="1" x14ac:dyDescent="0.3">
      <c r="B863" s="6" t="str">
        <f>IF(A863="","",COUNTIF(Chicks!$C:$C,A863))</f>
        <v/>
      </c>
      <c r="D863" s="6" t="str">
        <f>IF(A863="","",IFERROR(AVERAGEIF(Chicks!$C:$C,A863,Chicks!$K:$K),""))</f>
        <v/>
      </c>
      <c r="E863" s="6" t="str">
        <f>IF(A863="","",IFERROR(AVERAGEIF(Chicks!$C:$C,A863,Chicks!$L:$L),""))</f>
        <v/>
      </c>
      <c r="F863" s="6" t="str">
        <f>IF(A863="","",IFERROR(AVERAGEIF(Chicks!$C:$C,A863,Chicks!$M:$M),""))</f>
        <v/>
      </c>
      <c r="G863" s="6" t="str">
        <f>IF(A863="","",SUMIFS(Chicks!$N:$N,Chicks!$C:$C,A863))</f>
        <v/>
      </c>
      <c r="H863" s="6" t="str">
        <f>IF(A863="","",SUMIFS(Chicks!$O:$O,Chicks!$C:$C,A863))</f>
        <v/>
      </c>
      <c r="I863" s="6" t="str">
        <f>IF(A863="","",SUMIFS(Chicks!$P:$P,Chicks!$C:$C,A863))</f>
        <v/>
      </c>
    </row>
    <row r="864" spans="2:9" ht="14.25" customHeight="1" x14ac:dyDescent="0.3">
      <c r="B864" s="6" t="str">
        <f>IF(A864="","",COUNTIF(Chicks!$C:$C,A864))</f>
        <v/>
      </c>
      <c r="D864" s="6" t="str">
        <f>IF(A864="","",IFERROR(AVERAGEIF(Chicks!$C:$C,A864,Chicks!$K:$K),""))</f>
        <v/>
      </c>
      <c r="E864" s="6" t="str">
        <f>IF(A864="","",IFERROR(AVERAGEIF(Chicks!$C:$C,A864,Chicks!$L:$L),""))</f>
        <v/>
      </c>
      <c r="F864" s="6" t="str">
        <f>IF(A864="","",IFERROR(AVERAGEIF(Chicks!$C:$C,A864,Chicks!$M:$M),""))</f>
        <v/>
      </c>
      <c r="G864" s="6" t="str">
        <f>IF(A864="","",SUMIFS(Chicks!$N:$N,Chicks!$C:$C,A864))</f>
        <v/>
      </c>
      <c r="H864" s="6" t="str">
        <f>IF(A864="","",SUMIFS(Chicks!$O:$O,Chicks!$C:$C,A864))</f>
        <v/>
      </c>
      <c r="I864" s="6" t="str">
        <f>IF(A864="","",SUMIFS(Chicks!$P:$P,Chicks!$C:$C,A864))</f>
        <v/>
      </c>
    </row>
    <row r="865" spans="2:9" ht="14.25" customHeight="1" x14ac:dyDescent="0.3">
      <c r="B865" s="6" t="str">
        <f>IF(A865="","",COUNTIF(Chicks!$C:$C,A865))</f>
        <v/>
      </c>
      <c r="D865" s="6" t="str">
        <f>IF(A865="","",IFERROR(AVERAGEIF(Chicks!$C:$C,A865,Chicks!$K:$K),""))</f>
        <v/>
      </c>
      <c r="E865" s="6" t="str">
        <f>IF(A865="","",IFERROR(AVERAGEIF(Chicks!$C:$C,A865,Chicks!$L:$L),""))</f>
        <v/>
      </c>
      <c r="F865" s="6" t="str">
        <f>IF(A865="","",IFERROR(AVERAGEIF(Chicks!$C:$C,A865,Chicks!$M:$M),""))</f>
        <v/>
      </c>
      <c r="G865" s="6" t="str">
        <f>IF(A865="","",SUMIFS(Chicks!$N:$N,Chicks!$C:$C,A865))</f>
        <v/>
      </c>
      <c r="H865" s="6" t="str">
        <f>IF(A865="","",SUMIFS(Chicks!$O:$O,Chicks!$C:$C,A865))</f>
        <v/>
      </c>
      <c r="I865" s="6" t="str">
        <f>IF(A865="","",SUMIFS(Chicks!$P:$P,Chicks!$C:$C,A865))</f>
        <v/>
      </c>
    </row>
    <row r="866" spans="2:9" ht="14.25" customHeight="1" x14ac:dyDescent="0.3">
      <c r="B866" s="6" t="str">
        <f>IF(A866="","",COUNTIF(Chicks!$C:$C,A866))</f>
        <v/>
      </c>
      <c r="D866" s="6" t="str">
        <f>IF(A866="","",IFERROR(AVERAGEIF(Chicks!$C:$C,A866,Chicks!$K:$K),""))</f>
        <v/>
      </c>
      <c r="E866" s="6" t="str">
        <f>IF(A866="","",IFERROR(AVERAGEIF(Chicks!$C:$C,A866,Chicks!$L:$L),""))</f>
        <v/>
      </c>
      <c r="F866" s="6" t="str">
        <f>IF(A866="","",IFERROR(AVERAGEIF(Chicks!$C:$C,A866,Chicks!$M:$M),""))</f>
        <v/>
      </c>
      <c r="G866" s="6" t="str">
        <f>IF(A866="","",SUMIFS(Chicks!$N:$N,Chicks!$C:$C,A866))</f>
        <v/>
      </c>
      <c r="H866" s="6" t="str">
        <f>IF(A866="","",SUMIFS(Chicks!$O:$O,Chicks!$C:$C,A866))</f>
        <v/>
      </c>
      <c r="I866" s="6" t="str">
        <f>IF(A866="","",SUMIFS(Chicks!$P:$P,Chicks!$C:$C,A866))</f>
        <v/>
      </c>
    </row>
    <row r="867" spans="2:9" ht="14.25" customHeight="1" x14ac:dyDescent="0.3">
      <c r="B867" s="6" t="str">
        <f>IF(A867="","",COUNTIF(Chicks!$C:$C,A867))</f>
        <v/>
      </c>
      <c r="D867" s="6" t="str">
        <f>IF(A867="","",IFERROR(AVERAGEIF(Chicks!$C:$C,A867,Chicks!$K:$K),""))</f>
        <v/>
      </c>
      <c r="E867" s="6" t="str">
        <f>IF(A867="","",IFERROR(AVERAGEIF(Chicks!$C:$C,A867,Chicks!$L:$L),""))</f>
        <v/>
      </c>
      <c r="F867" s="6" t="str">
        <f>IF(A867="","",IFERROR(AVERAGEIF(Chicks!$C:$C,A867,Chicks!$M:$M),""))</f>
        <v/>
      </c>
      <c r="G867" s="6" t="str">
        <f>IF(A867="","",SUMIFS(Chicks!$N:$N,Chicks!$C:$C,A867))</f>
        <v/>
      </c>
      <c r="H867" s="6" t="str">
        <f>IF(A867="","",SUMIFS(Chicks!$O:$O,Chicks!$C:$C,A867))</f>
        <v/>
      </c>
      <c r="I867" s="6" t="str">
        <f>IF(A867="","",SUMIFS(Chicks!$P:$P,Chicks!$C:$C,A867))</f>
        <v/>
      </c>
    </row>
    <row r="868" spans="2:9" ht="14.25" customHeight="1" x14ac:dyDescent="0.3">
      <c r="B868" s="6" t="str">
        <f>IF(A868="","",COUNTIF(Chicks!$C:$C,A868))</f>
        <v/>
      </c>
      <c r="D868" s="6" t="str">
        <f>IF(A868="","",IFERROR(AVERAGEIF(Chicks!$C:$C,A868,Chicks!$K:$K),""))</f>
        <v/>
      </c>
      <c r="E868" s="6" t="str">
        <f>IF(A868="","",IFERROR(AVERAGEIF(Chicks!$C:$C,A868,Chicks!$L:$L),""))</f>
        <v/>
      </c>
      <c r="F868" s="6" t="str">
        <f>IF(A868="","",IFERROR(AVERAGEIF(Chicks!$C:$C,A868,Chicks!$M:$M),""))</f>
        <v/>
      </c>
      <c r="G868" s="6" t="str">
        <f>IF(A868="","",SUMIFS(Chicks!$N:$N,Chicks!$C:$C,A868))</f>
        <v/>
      </c>
      <c r="H868" s="6" t="str">
        <f>IF(A868="","",SUMIFS(Chicks!$O:$O,Chicks!$C:$C,A868))</f>
        <v/>
      </c>
      <c r="I868" s="6" t="str">
        <f>IF(A868="","",SUMIFS(Chicks!$P:$P,Chicks!$C:$C,A868))</f>
        <v/>
      </c>
    </row>
    <row r="869" spans="2:9" ht="14.25" customHeight="1" x14ac:dyDescent="0.3">
      <c r="B869" s="6" t="str">
        <f>IF(A869="","",COUNTIF(Chicks!$C:$C,A869))</f>
        <v/>
      </c>
      <c r="D869" s="6" t="str">
        <f>IF(A869="","",IFERROR(AVERAGEIF(Chicks!$C:$C,A869,Chicks!$K:$K),""))</f>
        <v/>
      </c>
      <c r="E869" s="6" t="str">
        <f>IF(A869="","",IFERROR(AVERAGEIF(Chicks!$C:$C,A869,Chicks!$L:$L),""))</f>
        <v/>
      </c>
      <c r="F869" s="6" t="str">
        <f>IF(A869="","",IFERROR(AVERAGEIF(Chicks!$C:$C,A869,Chicks!$M:$M),""))</f>
        <v/>
      </c>
      <c r="G869" s="6" t="str">
        <f>IF(A869="","",SUMIFS(Chicks!$N:$N,Chicks!$C:$C,A869))</f>
        <v/>
      </c>
      <c r="H869" s="6" t="str">
        <f>IF(A869="","",SUMIFS(Chicks!$O:$O,Chicks!$C:$C,A869))</f>
        <v/>
      </c>
      <c r="I869" s="6" t="str">
        <f>IF(A869="","",SUMIFS(Chicks!$P:$P,Chicks!$C:$C,A869))</f>
        <v/>
      </c>
    </row>
    <row r="870" spans="2:9" ht="14.25" customHeight="1" x14ac:dyDescent="0.3">
      <c r="B870" s="6" t="str">
        <f>IF(A870="","",COUNTIF(Chicks!$C:$C,A870))</f>
        <v/>
      </c>
      <c r="D870" s="6" t="str">
        <f>IF(A870="","",IFERROR(AVERAGEIF(Chicks!$C:$C,A870,Chicks!$K:$K),""))</f>
        <v/>
      </c>
      <c r="E870" s="6" t="str">
        <f>IF(A870="","",IFERROR(AVERAGEIF(Chicks!$C:$C,A870,Chicks!$L:$L),""))</f>
        <v/>
      </c>
      <c r="F870" s="6" t="str">
        <f>IF(A870="","",IFERROR(AVERAGEIF(Chicks!$C:$C,A870,Chicks!$M:$M),""))</f>
        <v/>
      </c>
      <c r="G870" s="6" t="str">
        <f>IF(A870="","",SUMIFS(Chicks!$N:$N,Chicks!$C:$C,A870))</f>
        <v/>
      </c>
      <c r="H870" s="6" t="str">
        <f>IF(A870="","",SUMIFS(Chicks!$O:$O,Chicks!$C:$C,A870))</f>
        <v/>
      </c>
      <c r="I870" s="6" t="str">
        <f>IF(A870="","",SUMIFS(Chicks!$P:$P,Chicks!$C:$C,A870))</f>
        <v/>
      </c>
    </row>
    <row r="871" spans="2:9" ht="14.25" customHeight="1" x14ac:dyDescent="0.3">
      <c r="B871" s="6" t="str">
        <f>IF(A871="","",COUNTIF(Chicks!$C:$C,A871))</f>
        <v/>
      </c>
      <c r="D871" s="6" t="str">
        <f>IF(A871="","",IFERROR(AVERAGEIF(Chicks!$C:$C,A871,Chicks!$K:$K),""))</f>
        <v/>
      </c>
      <c r="E871" s="6" t="str">
        <f>IF(A871="","",IFERROR(AVERAGEIF(Chicks!$C:$C,A871,Chicks!$L:$L),""))</f>
        <v/>
      </c>
      <c r="F871" s="6" t="str">
        <f>IF(A871="","",IFERROR(AVERAGEIF(Chicks!$C:$C,A871,Chicks!$M:$M),""))</f>
        <v/>
      </c>
      <c r="G871" s="6" t="str">
        <f>IF(A871="","",SUMIFS(Chicks!$N:$N,Chicks!$C:$C,A871))</f>
        <v/>
      </c>
      <c r="H871" s="6" t="str">
        <f>IF(A871="","",SUMIFS(Chicks!$O:$O,Chicks!$C:$C,A871))</f>
        <v/>
      </c>
      <c r="I871" s="6" t="str">
        <f>IF(A871="","",SUMIFS(Chicks!$P:$P,Chicks!$C:$C,A871))</f>
        <v/>
      </c>
    </row>
    <row r="872" spans="2:9" ht="14.25" customHeight="1" x14ac:dyDescent="0.3">
      <c r="B872" s="6" t="str">
        <f>IF(A872="","",COUNTIF(Chicks!$C:$C,A872))</f>
        <v/>
      </c>
      <c r="D872" s="6" t="str">
        <f>IF(A872="","",IFERROR(AVERAGEIF(Chicks!$C:$C,A872,Chicks!$K:$K),""))</f>
        <v/>
      </c>
      <c r="E872" s="6" t="str">
        <f>IF(A872="","",IFERROR(AVERAGEIF(Chicks!$C:$C,A872,Chicks!$L:$L),""))</f>
        <v/>
      </c>
      <c r="F872" s="6" t="str">
        <f>IF(A872="","",IFERROR(AVERAGEIF(Chicks!$C:$C,A872,Chicks!$M:$M),""))</f>
        <v/>
      </c>
      <c r="G872" s="6" t="str">
        <f>IF(A872="","",SUMIFS(Chicks!$N:$N,Chicks!$C:$C,A872))</f>
        <v/>
      </c>
      <c r="H872" s="6" t="str">
        <f>IF(A872="","",SUMIFS(Chicks!$O:$O,Chicks!$C:$C,A872))</f>
        <v/>
      </c>
      <c r="I872" s="6" t="str">
        <f>IF(A872="","",SUMIFS(Chicks!$P:$P,Chicks!$C:$C,A872))</f>
        <v/>
      </c>
    </row>
    <row r="873" spans="2:9" ht="14.25" customHeight="1" x14ac:dyDescent="0.3">
      <c r="B873" s="6" t="str">
        <f>IF(A873="","",COUNTIF(Chicks!$C:$C,A873))</f>
        <v/>
      </c>
      <c r="D873" s="6" t="str">
        <f>IF(A873="","",IFERROR(AVERAGEIF(Chicks!$C:$C,A873,Chicks!$K:$K),""))</f>
        <v/>
      </c>
      <c r="E873" s="6" t="str">
        <f>IF(A873="","",IFERROR(AVERAGEIF(Chicks!$C:$C,A873,Chicks!$L:$L),""))</f>
        <v/>
      </c>
      <c r="F873" s="6" t="str">
        <f>IF(A873="","",IFERROR(AVERAGEIF(Chicks!$C:$C,A873,Chicks!$M:$M),""))</f>
        <v/>
      </c>
      <c r="G873" s="6" t="str">
        <f>IF(A873="","",SUMIFS(Chicks!$N:$N,Chicks!$C:$C,A873))</f>
        <v/>
      </c>
      <c r="H873" s="6" t="str">
        <f>IF(A873="","",SUMIFS(Chicks!$O:$O,Chicks!$C:$C,A873))</f>
        <v/>
      </c>
      <c r="I873" s="6" t="str">
        <f>IF(A873="","",SUMIFS(Chicks!$P:$P,Chicks!$C:$C,A873))</f>
        <v/>
      </c>
    </row>
    <row r="874" spans="2:9" ht="14.25" customHeight="1" x14ac:dyDescent="0.3">
      <c r="B874" s="6" t="str">
        <f>IF(A874="","",COUNTIF(Chicks!$C:$C,A874))</f>
        <v/>
      </c>
      <c r="D874" s="6" t="str">
        <f>IF(A874="","",IFERROR(AVERAGEIF(Chicks!$C:$C,A874,Chicks!$K:$K),""))</f>
        <v/>
      </c>
      <c r="E874" s="6" t="str">
        <f>IF(A874="","",IFERROR(AVERAGEIF(Chicks!$C:$C,A874,Chicks!$L:$L),""))</f>
        <v/>
      </c>
      <c r="F874" s="6" t="str">
        <f>IF(A874="","",IFERROR(AVERAGEIF(Chicks!$C:$C,A874,Chicks!$M:$M),""))</f>
        <v/>
      </c>
      <c r="G874" s="6" t="str">
        <f>IF(A874="","",SUMIFS(Chicks!$N:$N,Chicks!$C:$C,A874))</f>
        <v/>
      </c>
      <c r="H874" s="6" t="str">
        <f>IF(A874="","",SUMIFS(Chicks!$O:$O,Chicks!$C:$C,A874))</f>
        <v/>
      </c>
      <c r="I874" s="6" t="str">
        <f>IF(A874="","",SUMIFS(Chicks!$P:$P,Chicks!$C:$C,A874))</f>
        <v/>
      </c>
    </row>
    <row r="875" spans="2:9" ht="14.25" customHeight="1" x14ac:dyDescent="0.3">
      <c r="B875" s="6" t="str">
        <f>IF(A875="","",COUNTIF(Chicks!$C:$C,A875))</f>
        <v/>
      </c>
      <c r="D875" s="6" t="str">
        <f>IF(A875="","",IFERROR(AVERAGEIF(Chicks!$C:$C,A875,Chicks!$K:$K),""))</f>
        <v/>
      </c>
      <c r="E875" s="6" t="str">
        <f>IF(A875="","",IFERROR(AVERAGEIF(Chicks!$C:$C,A875,Chicks!$L:$L),""))</f>
        <v/>
      </c>
      <c r="F875" s="6" t="str">
        <f>IF(A875="","",IFERROR(AVERAGEIF(Chicks!$C:$C,A875,Chicks!$M:$M),""))</f>
        <v/>
      </c>
      <c r="G875" s="6" t="str">
        <f>IF(A875="","",SUMIFS(Chicks!$N:$N,Chicks!$C:$C,A875))</f>
        <v/>
      </c>
      <c r="H875" s="6" t="str">
        <f>IF(A875="","",SUMIFS(Chicks!$O:$O,Chicks!$C:$C,A875))</f>
        <v/>
      </c>
      <c r="I875" s="6" t="str">
        <f>IF(A875="","",SUMIFS(Chicks!$P:$P,Chicks!$C:$C,A875))</f>
        <v/>
      </c>
    </row>
    <row r="876" spans="2:9" ht="14.25" customHeight="1" x14ac:dyDescent="0.3">
      <c r="B876" s="6" t="str">
        <f>IF(A876="","",COUNTIF(Chicks!$C:$C,A876))</f>
        <v/>
      </c>
      <c r="D876" s="6" t="str">
        <f>IF(A876="","",IFERROR(AVERAGEIF(Chicks!$C:$C,A876,Chicks!$K:$K),""))</f>
        <v/>
      </c>
      <c r="E876" s="6" t="str">
        <f>IF(A876="","",IFERROR(AVERAGEIF(Chicks!$C:$C,A876,Chicks!$L:$L),""))</f>
        <v/>
      </c>
      <c r="F876" s="6" t="str">
        <f>IF(A876="","",IFERROR(AVERAGEIF(Chicks!$C:$C,A876,Chicks!$M:$M),""))</f>
        <v/>
      </c>
      <c r="G876" s="6" t="str">
        <f>IF(A876="","",SUMIFS(Chicks!$N:$N,Chicks!$C:$C,A876))</f>
        <v/>
      </c>
      <c r="H876" s="6" t="str">
        <f>IF(A876="","",SUMIFS(Chicks!$O:$O,Chicks!$C:$C,A876))</f>
        <v/>
      </c>
      <c r="I876" s="6" t="str">
        <f>IF(A876="","",SUMIFS(Chicks!$P:$P,Chicks!$C:$C,A876))</f>
        <v/>
      </c>
    </row>
    <row r="877" spans="2:9" ht="14.25" customHeight="1" x14ac:dyDescent="0.3">
      <c r="B877" s="6" t="str">
        <f>IF(A877="","",COUNTIF(Chicks!$C:$C,A877))</f>
        <v/>
      </c>
      <c r="D877" s="6" t="str">
        <f>IF(A877="","",IFERROR(AVERAGEIF(Chicks!$C:$C,A877,Chicks!$K:$K),""))</f>
        <v/>
      </c>
      <c r="E877" s="6" t="str">
        <f>IF(A877="","",IFERROR(AVERAGEIF(Chicks!$C:$C,A877,Chicks!$L:$L),""))</f>
        <v/>
      </c>
      <c r="F877" s="6" t="str">
        <f>IF(A877="","",IFERROR(AVERAGEIF(Chicks!$C:$C,A877,Chicks!$M:$M),""))</f>
        <v/>
      </c>
      <c r="G877" s="6" t="str">
        <f>IF(A877="","",SUMIFS(Chicks!$N:$N,Chicks!$C:$C,A877))</f>
        <v/>
      </c>
      <c r="H877" s="6" t="str">
        <f>IF(A877="","",SUMIFS(Chicks!$O:$O,Chicks!$C:$C,A877))</f>
        <v/>
      </c>
      <c r="I877" s="6" t="str">
        <f>IF(A877="","",SUMIFS(Chicks!$P:$P,Chicks!$C:$C,A877))</f>
        <v/>
      </c>
    </row>
    <row r="878" spans="2:9" ht="14.25" customHeight="1" x14ac:dyDescent="0.3">
      <c r="B878" s="6" t="str">
        <f>IF(A878="","",COUNTIF(Chicks!$C:$C,A878))</f>
        <v/>
      </c>
      <c r="D878" s="6" t="str">
        <f>IF(A878="","",IFERROR(AVERAGEIF(Chicks!$C:$C,A878,Chicks!$K:$K),""))</f>
        <v/>
      </c>
      <c r="E878" s="6" t="str">
        <f>IF(A878="","",IFERROR(AVERAGEIF(Chicks!$C:$C,A878,Chicks!$L:$L),""))</f>
        <v/>
      </c>
      <c r="F878" s="6" t="str">
        <f>IF(A878="","",IFERROR(AVERAGEIF(Chicks!$C:$C,A878,Chicks!$M:$M),""))</f>
        <v/>
      </c>
      <c r="G878" s="6" t="str">
        <f>IF(A878="","",SUMIFS(Chicks!$N:$N,Chicks!$C:$C,A878))</f>
        <v/>
      </c>
      <c r="H878" s="6" t="str">
        <f>IF(A878="","",SUMIFS(Chicks!$O:$O,Chicks!$C:$C,A878))</f>
        <v/>
      </c>
      <c r="I878" s="6" t="str">
        <f>IF(A878="","",SUMIFS(Chicks!$P:$P,Chicks!$C:$C,A878))</f>
        <v/>
      </c>
    </row>
    <row r="879" spans="2:9" ht="14.25" customHeight="1" x14ac:dyDescent="0.3">
      <c r="B879" s="6" t="str">
        <f>IF(A879="","",COUNTIF(Chicks!$C:$C,A879))</f>
        <v/>
      </c>
      <c r="D879" s="6" t="str">
        <f>IF(A879="","",IFERROR(AVERAGEIF(Chicks!$C:$C,A879,Chicks!$K:$K),""))</f>
        <v/>
      </c>
      <c r="E879" s="6" t="str">
        <f>IF(A879="","",IFERROR(AVERAGEIF(Chicks!$C:$C,A879,Chicks!$L:$L),""))</f>
        <v/>
      </c>
      <c r="F879" s="6" t="str">
        <f>IF(A879="","",IFERROR(AVERAGEIF(Chicks!$C:$C,A879,Chicks!$M:$M),""))</f>
        <v/>
      </c>
      <c r="G879" s="6" t="str">
        <f>IF(A879="","",SUMIFS(Chicks!$N:$N,Chicks!$C:$C,A879))</f>
        <v/>
      </c>
      <c r="H879" s="6" t="str">
        <f>IF(A879="","",SUMIFS(Chicks!$O:$O,Chicks!$C:$C,A879))</f>
        <v/>
      </c>
      <c r="I879" s="6" t="str">
        <f>IF(A879="","",SUMIFS(Chicks!$P:$P,Chicks!$C:$C,A879))</f>
        <v/>
      </c>
    </row>
    <row r="880" spans="2:9" ht="14.25" customHeight="1" x14ac:dyDescent="0.3">
      <c r="B880" s="6" t="str">
        <f>IF(A880="","",COUNTIF(Chicks!$C:$C,A880))</f>
        <v/>
      </c>
      <c r="D880" s="6" t="str">
        <f>IF(A880="","",IFERROR(AVERAGEIF(Chicks!$C:$C,A880,Chicks!$K:$K),""))</f>
        <v/>
      </c>
      <c r="E880" s="6" t="str">
        <f>IF(A880="","",IFERROR(AVERAGEIF(Chicks!$C:$C,A880,Chicks!$L:$L),""))</f>
        <v/>
      </c>
      <c r="F880" s="6" t="str">
        <f>IF(A880="","",IFERROR(AVERAGEIF(Chicks!$C:$C,A880,Chicks!$M:$M),""))</f>
        <v/>
      </c>
      <c r="G880" s="6" t="str">
        <f>IF(A880="","",SUMIFS(Chicks!$N:$N,Chicks!$C:$C,A880))</f>
        <v/>
      </c>
      <c r="H880" s="6" t="str">
        <f>IF(A880="","",SUMIFS(Chicks!$O:$O,Chicks!$C:$C,A880))</f>
        <v/>
      </c>
      <c r="I880" s="6" t="str">
        <f>IF(A880="","",SUMIFS(Chicks!$P:$P,Chicks!$C:$C,A880))</f>
        <v/>
      </c>
    </row>
    <row r="881" spans="2:9" ht="14.25" customHeight="1" x14ac:dyDescent="0.3">
      <c r="B881" s="6" t="str">
        <f>IF(A881="","",COUNTIF(Chicks!$C:$C,A881))</f>
        <v/>
      </c>
      <c r="D881" s="6" t="str">
        <f>IF(A881="","",IFERROR(AVERAGEIF(Chicks!$C:$C,A881,Chicks!$K:$K),""))</f>
        <v/>
      </c>
      <c r="E881" s="6" t="str">
        <f>IF(A881="","",IFERROR(AVERAGEIF(Chicks!$C:$C,A881,Chicks!$L:$L),""))</f>
        <v/>
      </c>
      <c r="F881" s="6" t="str">
        <f>IF(A881="","",IFERROR(AVERAGEIF(Chicks!$C:$C,A881,Chicks!$M:$M),""))</f>
        <v/>
      </c>
      <c r="G881" s="6" t="str">
        <f>IF(A881="","",SUMIFS(Chicks!$N:$N,Chicks!$C:$C,A881))</f>
        <v/>
      </c>
      <c r="H881" s="6" t="str">
        <f>IF(A881="","",SUMIFS(Chicks!$O:$O,Chicks!$C:$C,A881))</f>
        <v/>
      </c>
      <c r="I881" s="6" t="str">
        <f>IF(A881="","",SUMIFS(Chicks!$P:$P,Chicks!$C:$C,A881))</f>
        <v/>
      </c>
    </row>
    <row r="882" spans="2:9" ht="14.25" customHeight="1" x14ac:dyDescent="0.3">
      <c r="B882" s="6" t="str">
        <f>IF(A882="","",COUNTIF(Chicks!$C:$C,A882))</f>
        <v/>
      </c>
      <c r="D882" s="6" t="str">
        <f>IF(A882="","",IFERROR(AVERAGEIF(Chicks!$C:$C,A882,Chicks!$K:$K),""))</f>
        <v/>
      </c>
      <c r="E882" s="6" t="str">
        <f>IF(A882="","",IFERROR(AVERAGEIF(Chicks!$C:$C,A882,Chicks!$L:$L),""))</f>
        <v/>
      </c>
      <c r="F882" s="6" t="str">
        <f>IF(A882="","",IFERROR(AVERAGEIF(Chicks!$C:$C,A882,Chicks!$M:$M),""))</f>
        <v/>
      </c>
      <c r="G882" s="6" t="str">
        <f>IF(A882="","",SUMIFS(Chicks!$N:$N,Chicks!$C:$C,A882))</f>
        <v/>
      </c>
      <c r="H882" s="6" t="str">
        <f>IF(A882="","",SUMIFS(Chicks!$O:$O,Chicks!$C:$C,A882))</f>
        <v/>
      </c>
      <c r="I882" s="6" t="str">
        <f>IF(A882="","",SUMIFS(Chicks!$P:$P,Chicks!$C:$C,A882))</f>
        <v/>
      </c>
    </row>
    <row r="883" spans="2:9" ht="14.25" customHeight="1" x14ac:dyDescent="0.3">
      <c r="B883" s="6" t="str">
        <f>IF(A883="","",COUNTIF(Chicks!$C:$C,A883))</f>
        <v/>
      </c>
      <c r="D883" s="6" t="str">
        <f>IF(A883="","",IFERROR(AVERAGEIF(Chicks!$C:$C,A883,Chicks!$K:$K),""))</f>
        <v/>
      </c>
      <c r="E883" s="6" t="str">
        <f>IF(A883="","",IFERROR(AVERAGEIF(Chicks!$C:$C,A883,Chicks!$L:$L),""))</f>
        <v/>
      </c>
      <c r="F883" s="6" t="str">
        <f>IF(A883="","",IFERROR(AVERAGEIF(Chicks!$C:$C,A883,Chicks!$M:$M),""))</f>
        <v/>
      </c>
      <c r="G883" s="6" t="str">
        <f>IF(A883="","",SUMIFS(Chicks!$N:$N,Chicks!$C:$C,A883))</f>
        <v/>
      </c>
      <c r="H883" s="6" t="str">
        <f>IF(A883="","",SUMIFS(Chicks!$O:$O,Chicks!$C:$C,A883))</f>
        <v/>
      </c>
      <c r="I883" s="6" t="str">
        <f>IF(A883="","",SUMIFS(Chicks!$P:$P,Chicks!$C:$C,A883))</f>
        <v/>
      </c>
    </row>
    <row r="884" spans="2:9" ht="14.25" customHeight="1" x14ac:dyDescent="0.3">
      <c r="B884" s="6" t="str">
        <f>IF(A884="","",COUNTIF(Chicks!$C:$C,A884))</f>
        <v/>
      </c>
      <c r="D884" s="6" t="str">
        <f>IF(A884="","",IFERROR(AVERAGEIF(Chicks!$C:$C,A884,Chicks!$K:$K),""))</f>
        <v/>
      </c>
      <c r="E884" s="6" t="str">
        <f>IF(A884="","",IFERROR(AVERAGEIF(Chicks!$C:$C,A884,Chicks!$L:$L),""))</f>
        <v/>
      </c>
      <c r="F884" s="6" t="str">
        <f>IF(A884="","",IFERROR(AVERAGEIF(Chicks!$C:$C,A884,Chicks!$M:$M),""))</f>
        <v/>
      </c>
      <c r="G884" s="6" t="str">
        <f>IF(A884="","",SUMIFS(Chicks!$N:$N,Chicks!$C:$C,A884))</f>
        <v/>
      </c>
      <c r="H884" s="6" t="str">
        <f>IF(A884="","",SUMIFS(Chicks!$O:$O,Chicks!$C:$C,A884))</f>
        <v/>
      </c>
      <c r="I884" s="6" t="str">
        <f>IF(A884="","",SUMIFS(Chicks!$P:$P,Chicks!$C:$C,A884))</f>
        <v/>
      </c>
    </row>
    <row r="885" spans="2:9" ht="14.25" customHeight="1" x14ac:dyDescent="0.3">
      <c r="B885" s="6" t="str">
        <f>IF(A885="","",COUNTIF(Chicks!$C:$C,A885))</f>
        <v/>
      </c>
      <c r="D885" s="6" t="str">
        <f>IF(A885="","",IFERROR(AVERAGEIF(Chicks!$C:$C,A885,Chicks!$K:$K),""))</f>
        <v/>
      </c>
      <c r="E885" s="6" t="str">
        <f>IF(A885="","",IFERROR(AVERAGEIF(Chicks!$C:$C,A885,Chicks!$L:$L),""))</f>
        <v/>
      </c>
      <c r="F885" s="6" t="str">
        <f>IF(A885="","",IFERROR(AVERAGEIF(Chicks!$C:$C,A885,Chicks!$M:$M),""))</f>
        <v/>
      </c>
      <c r="G885" s="6" t="str">
        <f>IF(A885="","",SUMIFS(Chicks!$N:$N,Chicks!$C:$C,A885))</f>
        <v/>
      </c>
      <c r="H885" s="6" t="str">
        <f>IF(A885="","",SUMIFS(Chicks!$O:$O,Chicks!$C:$C,A885))</f>
        <v/>
      </c>
      <c r="I885" s="6" t="str">
        <f>IF(A885="","",SUMIFS(Chicks!$P:$P,Chicks!$C:$C,A885))</f>
        <v/>
      </c>
    </row>
    <row r="886" spans="2:9" ht="14.25" customHeight="1" x14ac:dyDescent="0.3">
      <c r="B886" s="6" t="str">
        <f>IF(A886="","",COUNTIF(Chicks!$C:$C,A886))</f>
        <v/>
      </c>
      <c r="D886" s="6" t="str">
        <f>IF(A886="","",IFERROR(AVERAGEIF(Chicks!$C:$C,A886,Chicks!$K:$K),""))</f>
        <v/>
      </c>
      <c r="E886" s="6" t="str">
        <f>IF(A886="","",IFERROR(AVERAGEIF(Chicks!$C:$C,A886,Chicks!$L:$L),""))</f>
        <v/>
      </c>
      <c r="F886" s="6" t="str">
        <f>IF(A886="","",IFERROR(AVERAGEIF(Chicks!$C:$C,A886,Chicks!$M:$M),""))</f>
        <v/>
      </c>
      <c r="G886" s="6" t="str">
        <f>IF(A886="","",SUMIFS(Chicks!$N:$N,Chicks!$C:$C,A886))</f>
        <v/>
      </c>
      <c r="H886" s="6" t="str">
        <f>IF(A886="","",SUMIFS(Chicks!$O:$O,Chicks!$C:$C,A886))</f>
        <v/>
      </c>
      <c r="I886" s="6" t="str">
        <f>IF(A886="","",SUMIFS(Chicks!$P:$P,Chicks!$C:$C,A886))</f>
        <v/>
      </c>
    </row>
    <row r="887" spans="2:9" ht="14.25" customHeight="1" x14ac:dyDescent="0.3">
      <c r="B887" s="6" t="str">
        <f>IF(A887="","",COUNTIF(Chicks!$C:$C,A887))</f>
        <v/>
      </c>
      <c r="D887" s="6" t="str">
        <f>IF(A887="","",IFERROR(AVERAGEIF(Chicks!$C:$C,A887,Chicks!$K:$K),""))</f>
        <v/>
      </c>
      <c r="E887" s="6" t="str">
        <f>IF(A887="","",IFERROR(AVERAGEIF(Chicks!$C:$C,A887,Chicks!$L:$L),""))</f>
        <v/>
      </c>
      <c r="F887" s="6" t="str">
        <f>IF(A887="","",IFERROR(AVERAGEIF(Chicks!$C:$C,A887,Chicks!$M:$M),""))</f>
        <v/>
      </c>
      <c r="G887" s="6" t="str">
        <f>IF(A887="","",SUMIFS(Chicks!$N:$N,Chicks!$C:$C,A887))</f>
        <v/>
      </c>
      <c r="H887" s="6" t="str">
        <f>IF(A887="","",SUMIFS(Chicks!$O:$O,Chicks!$C:$C,A887))</f>
        <v/>
      </c>
      <c r="I887" s="6" t="str">
        <f>IF(A887="","",SUMIFS(Chicks!$P:$P,Chicks!$C:$C,A887))</f>
        <v/>
      </c>
    </row>
    <row r="888" spans="2:9" ht="14.25" customHeight="1" x14ac:dyDescent="0.3">
      <c r="B888" s="6" t="str">
        <f>IF(A888="","",COUNTIF(Chicks!$C:$C,A888))</f>
        <v/>
      </c>
      <c r="D888" s="6" t="str">
        <f>IF(A888="","",IFERROR(AVERAGEIF(Chicks!$C:$C,A888,Chicks!$K:$K),""))</f>
        <v/>
      </c>
      <c r="E888" s="6" t="str">
        <f>IF(A888="","",IFERROR(AVERAGEIF(Chicks!$C:$C,A888,Chicks!$L:$L),""))</f>
        <v/>
      </c>
      <c r="F888" s="6" t="str">
        <f>IF(A888="","",IFERROR(AVERAGEIF(Chicks!$C:$C,A888,Chicks!$M:$M),""))</f>
        <v/>
      </c>
      <c r="G888" s="6" t="str">
        <f>IF(A888="","",SUMIFS(Chicks!$N:$N,Chicks!$C:$C,A888))</f>
        <v/>
      </c>
      <c r="H888" s="6" t="str">
        <f>IF(A888="","",SUMIFS(Chicks!$O:$O,Chicks!$C:$C,A888))</f>
        <v/>
      </c>
      <c r="I888" s="6" t="str">
        <f>IF(A888="","",SUMIFS(Chicks!$P:$P,Chicks!$C:$C,A888))</f>
        <v/>
      </c>
    </row>
    <row r="889" spans="2:9" ht="14.25" customHeight="1" x14ac:dyDescent="0.3">
      <c r="B889" s="6" t="str">
        <f>IF(A889="","",COUNTIF(Chicks!$C:$C,A889))</f>
        <v/>
      </c>
      <c r="D889" s="6" t="str">
        <f>IF(A889="","",IFERROR(AVERAGEIF(Chicks!$C:$C,A889,Chicks!$K:$K),""))</f>
        <v/>
      </c>
      <c r="E889" s="6" t="str">
        <f>IF(A889="","",IFERROR(AVERAGEIF(Chicks!$C:$C,A889,Chicks!$L:$L),""))</f>
        <v/>
      </c>
      <c r="F889" s="6" t="str">
        <f>IF(A889="","",IFERROR(AVERAGEIF(Chicks!$C:$C,A889,Chicks!$M:$M),""))</f>
        <v/>
      </c>
      <c r="G889" s="6" t="str">
        <f>IF(A889="","",SUMIFS(Chicks!$N:$N,Chicks!$C:$C,A889))</f>
        <v/>
      </c>
      <c r="H889" s="6" t="str">
        <f>IF(A889="","",SUMIFS(Chicks!$O:$O,Chicks!$C:$C,A889))</f>
        <v/>
      </c>
      <c r="I889" s="6" t="str">
        <f>IF(A889="","",SUMIFS(Chicks!$P:$P,Chicks!$C:$C,A889))</f>
        <v/>
      </c>
    </row>
    <row r="890" spans="2:9" ht="14.25" customHeight="1" x14ac:dyDescent="0.3">
      <c r="B890" s="6" t="str">
        <f>IF(A890="","",COUNTIF(Chicks!$C:$C,A890))</f>
        <v/>
      </c>
      <c r="D890" s="6" t="str">
        <f>IF(A890="","",IFERROR(AVERAGEIF(Chicks!$C:$C,A890,Chicks!$K:$K),""))</f>
        <v/>
      </c>
      <c r="E890" s="6" t="str">
        <f>IF(A890="","",IFERROR(AVERAGEIF(Chicks!$C:$C,A890,Chicks!$L:$L),""))</f>
        <v/>
      </c>
      <c r="F890" s="6" t="str">
        <f>IF(A890="","",IFERROR(AVERAGEIF(Chicks!$C:$C,A890,Chicks!$M:$M),""))</f>
        <v/>
      </c>
      <c r="G890" s="6" t="str">
        <f>IF(A890="","",SUMIFS(Chicks!$N:$N,Chicks!$C:$C,A890))</f>
        <v/>
      </c>
      <c r="H890" s="6" t="str">
        <f>IF(A890="","",SUMIFS(Chicks!$O:$O,Chicks!$C:$C,A890))</f>
        <v/>
      </c>
      <c r="I890" s="6" t="str">
        <f>IF(A890="","",SUMIFS(Chicks!$P:$P,Chicks!$C:$C,A890))</f>
        <v/>
      </c>
    </row>
    <row r="891" spans="2:9" ht="14.25" customHeight="1" x14ac:dyDescent="0.3">
      <c r="B891" s="6" t="str">
        <f>IF(A891="","",COUNTIF(Chicks!$C:$C,A891))</f>
        <v/>
      </c>
      <c r="D891" s="6" t="str">
        <f>IF(A891="","",IFERROR(AVERAGEIF(Chicks!$C:$C,A891,Chicks!$K:$K),""))</f>
        <v/>
      </c>
      <c r="E891" s="6" t="str">
        <f>IF(A891="","",IFERROR(AVERAGEIF(Chicks!$C:$C,A891,Chicks!$L:$L),""))</f>
        <v/>
      </c>
      <c r="F891" s="6" t="str">
        <f>IF(A891="","",IFERROR(AVERAGEIF(Chicks!$C:$C,A891,Chicks!$M:$M),""))</f>
        <v/>
      </c>
      <c r="G891" s="6" t="str">
        <f>IF(A891="","",SUMIFS(Chicks!$N:$N,Chicks!$C:$C,A891))</f>
        <v/>
      </c>
      <c r="H891" s="6" t="str">
        <f>IF(A891="","",SUMIFS(Chicks!$O:$O,Chicks!$C:$C,A891))</f>
        <v/>
      </c>
      <c r="I891" s="6" t="str">
        <f>IF(A891="","",SUMIFS(Chicks!$P:$P,Chicks!$C:$C,A891))</f>
        <v/>
      </c>
    </row>
    <row r="892" spans="2:9" ht="14.25" customHeight="1" x14ac:dyDescent="0.3">
      <c r="B892" s="6" t="str">
        <f>IF(A892="","",COUNTIF(Chicks!$C:$C,A892))</f>
        <v/>
      </c>
      <c r="D892" s="6" t="str">
        <f>IF(A892="","",IFERROR(AVERAGEIF(Chicks!$C:$C,A892,Chicks!$K:$K),""))</f>
        <v/>
      </c>
      <c r="E892" s="6" t="str">
        <f>IF(A892="","",IFERROR(AVERAGEIF(Chicks!$C:$C,A892,Chicks!$L:$L),""))</f>
        <v/>
      </c>
      <c r="F892" s="6" t="str">
        <f>IF(A892="","",IFERROR(AVERAGEIF(Chicks!$C:$C,A892,Chicks!$M:$M),""))</f>
        <v/>
      </c>
      <c r="G892" s="6" t="str">
        <f>IF(A892="","",SUMIFS(Chicks!$N:$N,Chicks!$C:$C,A892))</f>
        <v/>
      </c>
      <c r="H892" s="6" t="str">
        <f>IF(A892="","",SUMIFS(Chicks!$O:$O,Chicks!$C:$C,A892))</f>
        <v/>
      </c>
      <c r="I892" s="6" t="str">
        <f>IF(A892="","",SUMIFS(Chicks!$P:$P,Chicks!$C:$C,A892))</f>
        <v/>
      </c>
    </row>
    <row r="893" spans="2:9" ht="14.25" customHeight="1" x14ac:dyDescent="0.3">
      <c r="B893" s="6" t="str">
        <f>IF(A893="","",COUNTIF(Chicks!$C:$C,A893))</f>
        <v/>
      </c>
      <c r="D893" s="6" t="str">
        <f>IF(A893="","",IFERROR(AVERAGEIF(Chicks!$C:$C,A893,Chicks!$K:$K),""))</f>
        <v/>
      </c>
      <c r="E893" s="6" t="str">
        <f>IF(A893="","",IFERROR(AVERAGEIF(Chicks!$C:$C,A893,Chicks!$L:$L),""))</f>
        <v/>
      </c>
      <c r="F893" s="6" t="str">
        <f>IF(A893="","",IFERROR(AVERAGEIF(Chicks!$C:$C,A893,Chicks!$M:$M),""))</f>
        <v/>
      </c>
      <c r="G893" s="6" t="str">
        <f>IF(A893="","",SUMIFS(Chicks!$N:$N,Chicks!$C:$C,A893))</f>
        <v/>
      </c>
      <c r="H893" s="6" t="str">
        <f>IF(A893="","",SUMIFS(Chicks!$O:$O,Chicks!$C:$C,A893))</f>
        <v/>
      </c>
      <c r="I893" s="6" t="str">
        <f>IF(A893="","",SUMIFS(Chicks!$P:$P,Chicks!$C:$C,A893))</f>
        <v/>
      </c>
    </row>
    <row r="894" spans="2:9" ht="14.25" customHeight="1" x14ac:dyDescent="0.3">
      <c r="B894" s="6" t="str">
        <f>IF(A894="","",COUNTIF(Chicks!$C:$C,A894))</f>
        <v/>
      </c>
      <c r="D894" s="6" t="str">
        <f>IF(A894="","",IFERROR(AVERAGEIF(Chicks!$C:$C,A894,Chicks!$K:$K),""))</f>
        <v/>
      </c>
      <c r="E894" s="6" t="str">
        <f>IF(A894="","",IFERROR(AVERAGEIF(Chicks!$C:$C,A894,Chicks!$L:$L),""))</f>
        <v/>
      </c>
      <c r="F894" s="6" t="str">
        <f>IF(A894="","",IFERROR(AVERAGEIF(Chicks!$C:$C,A894,Chicks!$M:$M),""))</f>
        <v/>
      </c>
      <c r="G894" s="6" t="str">
        <f>IF(A894="","",SUMIFS(Chicks!$N:$N,Chicks!$C:$C,A894))</f>
        <v/>
      </c>
      <c r="H894" s="6" t="str">
        <f>IF(A894="","",SUMIFS(Chicks!$O:$O,Chicks!$C:$C,A894))</f>
        <v/>
      </c>
      <c r="I894" s="6" t="str">
        <f>IF(A894="","",SUMIFS(Chicks!$P:$P,Chicks!$C:$C,A894))</f>
        <v/>
      </c>
    </row>
    <row r="895" spans="2:9" ht="14.25" customHeight="1" x14ac:dyDescent="0.3">
      <c r="B895" s="6" t="str">
        <f>IF(A895="","",COUNTIF(Chicks!$C:$C,A895))</f>
        <v/>
      </c>
      <c r="D895" s="6" t="str">
        <f>IF(A895="","",IFERROR(AVERAGEIF(Chicks!$C:$C,A895,Chicks!$K:$K),""))</f>
        <v/>
      </c>
      <c r="E895" s="6" t="str">
        <f>IF(A895="","",IFERROR(AVERAGEIF(Chicks!$C:$C,A895,Chicks!$L:$L),""))</f>
        <v/>
      </c>
      <c r="F895" s="6" t="str">
        <f>IF(A895="","",IFERROR(AVERAGEIF(Chicks!$C:$C,A895,Chicks!$M:$M),""))</f>
        <v/>
      </c>
      <c r="G895" s="6" t="str">
        <f>IF(A895="","",SUMIFS(Chicks!$N:$N,Chicks!$C:$C,A895))</f>
        <v/>
      </c>
      <c r="H895" s="6" t="str">
        <f>IF(A895="","",SUMIFS(Chicks!$O:$O,Chicks!$C:$C,A895))</f>
        <v/>
      </c>
      <c r="I895" s="6" t="str">
        <f>IF(A895="","",SUMIFS(Chicks!$P:$P,Chicks!$C:$C,A895))</f>
        <v/>
      </c>
    </row>
    <row r="896" spans="2:9" ht="14.25" customHeight="1" x14ac:dyDescent="0.3">
      <c r="B896" s="6" t="str">
        <f>IF(A896="","",COUNTIF(Chicks!$C:$C,A896))</f>
        <v/>
      </c>
      <c r="D896" s="6" t="str">
        <f>IF(A896="","",IFERROR(AVERAGEIF(Chicks!$C:$C,A896,Chicks!$K:$K),""))</f>
        <v/>
      </c>
      <c r="E896" s="6" t="str">
        <f>IF(A896="","",IFERROR(AVERAGEIF(Chicks!$C:$C,A896,Chicks!$L:$L),""))</f>
        <v/>
      </c>
      <c r="F896" s="6" t="str">
        <f>IF(A896="","",IFERROR(AVERAGEIF(Chicks!$C:$C,A896,Chicks!$M:$M),""))</f>
        <v/>
      </c>
      <c r="G896" s="6" t="str">
        <f>IF(A896="","",SUMIFS(Chicks!$N:$N,Chicks!$C:$C,A896))</f>
        <v/>
      </c>
      <c r="H896" s="6" t="str">
        <f>IF(A896="","",SUMIFS(Chicks!$O:$O,Chicks!$C:$C,A896))</f>
        <v/>
      </c>
      <c r="I896" s="6" t="str">
        <f>IF(A896="","",SUMIFS(Chicks!$P:$P,Chicks!$C:$C,A896))</f>
        <v/>
      </c>
    </row>
    <row r="897" spans="2:9" ht="14.25" customHeight="1" x14ac:dyDescent="0.3">
      <c r="B897" s="6" t="str">
        <f>IF(A897="","",COUNTIF(Chicks!$C:$C,A897))</f>
        <v/>
      </c>
      <c r="D897" s="6" t="str">
        <f>IF(A897="","",IFERROR(AVERAGEIF(Chicks!$C:$C,A897,Chicks!$K:$K),""))</f>
        <v/>
      </c>
      <c r="E897" s="6" t="str">
        <f>IF(A897="","",IFERROR(AVERAGEIF(Chicks!$C:$C,A897,Chicks!$L:$L),""))</f>
        <v/>
      </c>
      <c r="F897" s="6" t="str">
        <f>IF(A897="","",IFERROR(AVERAGEIF(Chicks!$C:$C,A897,Chicks!$M:$M),""))</f>
        <v/>
      </c>
      <c r="G897" s="6" t="str">
        <f>IF(A897="","",SUMIFS(Chicks!$N:$N,Chicks!$C:$C,A897))</f>
        <v/>
      </c>
      <c r="H897" s="6" t="str">
        <f>IF(A897="","",SUMIFS(Chicks!$O:$O,Chicks!$C:$C,A897))</f>
        <v/>
      </c>
      <c r="I897" s="6" t="str">
        <f>IF(A897="","",SUMIFS(Chicks!$P:$P,Chicks!$C:$C,A897))</f>
        <v/>
      </c>
    </row>
    <row r="898" spans="2:9" ht="14.25" customHeight="1" x14ac:dyDescent="0.3">
      <c r="B898" s="6" t="str">
        <f>IF(A898="","",COUNTIF(Chicks!$C:$C,A898))</f>
        <v/>
      </c>
      <c r="D898" s="6" t="str">
        <f>IF(A898="","",IFERROR(AVERAGEIF(Chicks!$C:$C,A898,Chicks!$K:$K),""))</f>
        <v/>
      </c>
      <c r="E898" s="6" t="str">
        <f>IF(A898="","",IFERROR(AVERAGEIF(Chicks!$C:$C,A898,Chicks!$L:$L),""))</f>
        <v/>
      </c>
      <c r="F898" s="6" t="str">
        <f>IF(A898="","",IFERROR(AVERAGEIF(Chicks!$C:$C,A898,Chicks!$M:$M),""))</f>
        <v/>
      </c>
      <c r="G898" s="6" t="str">
        <f>IF(A898="","",SUMIFS(Chicks!$N:$N,Chicks!$C:$C,A898))</f>
        <v/>
      </c>
      <c r="H898" s="6" t="str">
        <f>IF(A898="","",SUMIFS(Chicks!$O:$O,Chicks!$C:$C,A898))</f>
        <v/>
      </c>
      <c r="I898" s="6" t="str">
        <f>IF(A898="","",SUMIFS(Chicks!$P:$P,Chicks!$C:$C,A898))</f>
        <v/>
      </c>
    </row>
    <row r="899" spans="2:9" ht="14.25" customHeight="1" x14ac:dyDescent="0.3">
      <c r="B899" s="6" t="str">
        <f>IF(A899="","",COUNTIF(Chicks!$C:$C,A899))</f>
        <v/>
      </c>
      <c r="D899" s="6" t="str">
        <f>IF(A899="","",IFERROR(AVERAGEIF(Chicks!$C:$C,A899,Chicks!$K:$K),""))</f>
        <v/>
      </c>
      <c r="E899" s="6" t="str">
        <f>IF(A899="","",IFERROR(AVERAGEIF(Chicks!$C:$C,A899,Chicks!$L:$L),""))</f>
        <v/>
      </c>
      <c r="F899" s="6" t="str">
        <f>IF(A899="","",IFERROR(AVERAGEIF(Chicks!$C:$C,A899,Chicks!$M:$M),""))</f>
        <v/>
      </c>
      <c r="G899" s="6" t="str">
        <f>IF(A899="","",SUMIFS(Chicks!$N:$N,Chicks!$C:$C,A899))</f>
        <v/>
      </c>
      <c r="H899" s="6" t="str">
        <f>IF(A899="","",SUMIFS(Chicks!$O:$O,Chicks!$C:$C,A899))</f>
        <v/>
      </c>
      <c r="I899" s="6" t="str">
        <f>IF(A899="","",SUMIFS(Chicks!$P:$P,Chicks!$C:$C,A899))</f>
        <v/>
      </c>
    </row>
    <row r="900" spans="2:9" ht="14.25" customHeight="1" x14ac:dyDescent="0.3">
      <c r="B900" s="6" t="str">
        <f>IF(A900="","",COUNTIF(Chicks!$C:$C,A900))</f>
        <v/>
      </c>
      <c r="D900" s="6" t="str">
        <f>IF(A900="","",IFERROR(AVERAGEIF(Chicks!$C:$C,A900,Chicks!$K:$K),""))</f>
        <v/>
      </c>
      <c r="E900" s="6" t="str">
        <f>IF(A900="","",IFERROR(AVERAGEIF(Chicks!$C:$C,A900,Chicks!$L:$L),""))</f>
        <v/>
      </c>
      <c r="F900" s="6" t="str">
        <f>IF(A900="","",IFERROR(AVERAGEIF(Chicks!$C:$C,A900,Chicks!$M:$M),""))</f>
        <v/>
      </c>
      <c r="G900" s="6" t="str">
        <f>IF(A900="","",SUMIFS(Chicks!$N:$N,Chicks!$C:$C,A900))</f>
        <v/>
      </c>
      <c r="H900" s="6" t="str">
        <f>IF(A900="","",SUMIFS(Chicks!$O:$O,Chicks!$C:$C,A900))</f>
        <v/>
      </c>
      <c r="I900" s="6" t="str">
        <f>IF(A900="","",SUMIFS(Chicks!$P:$P,Chicks!$C:$C,A900))</f>
        <v/>
      </c>
    </row>
    <row r="901" spans="2:9" ht="14.25" customHeight="1" x14ac:dyDescent="0.3">
      <c r="B901" s="6" t="str">
        <f>IF(A901="","",COUNTIF(Chicks!$C:$C,A901))</f>
        <v/>
      </c>
      <c r="D901" s="6" t="str">
        <f>IF(A901="","",IFERROR(AVERAGEIF(Chicks!$C:$C,A901,Chicks!$K:$K),""))</f>
        <v/>
      </c>
      <c r="E901" s="6" t="str">
        <f>IF(A901="","",IFERROR(AVERAGEIF(Chicks!$C:$C,A901,Chicks!$L:$L),""))</f>
        <v/>
      </c>
      <c r="F901" s="6" t="str">
        <f>IF(A901="","",IFERROR(AVERAGEIF(Chicks!$C:$C,A901,Chicks!$M:$M),""))</f>
        <v/>
      </c>
      <c r="G901" s="6" t="str">
        <f>IF(A901="","",SUMIFS(Chicks!$N:$N,Chicks!$C:$C,A901))</f>
        <v/>
      </c>
      <c r="H901" s="6" t="str">
        <f>IF(A901="","",SUMIFS(Chicks!$O:$O,Chicks!$C:$C,A901))</f>
        <v/>
      </c>
      <c r="I901" s="6" t="str">
        <f>IF(A901="","",SUMIFS(Chicks!$P:$P,Chicks!$C:$C,A901))</f>
        <v/>
      </c>
    </row>
    <row r="902" spans="2:9" ht="14.25" customHeight="1" x14ac:dyDescent="0.3">
      <c r="B902" s="6" t="str">
        <f>IF(A902="","",COUNTIF(Chicks!$C:$C,A902))</f>
        <v/>
      </c>
      <c r="D902" s="6" t="str">
        <f>IF(A902="","",IFERROR(AVERAGEIF(Chicks!$C:$C,A902,Chicks!$K:$K),""))</f>
        <v/>
      </c>
      <c r="E902" s="6" t="str">
        <f>IF(A902="","",IFERROR(AVERAGEIF(Chicks!$C:$C,A902,Chicks!$L:$L),""))</f>
        <v/>
      </c>
      <c r="F902" s="6" t="str">
        <f>IF(A902="","",IFERROR(AVERAGEIF(Chicks!$C:$C,A902,Chicks!$M:$M),""))</f>
        <v/>
      </c>
      <c r="G902" s="6" t="str">
        <f>IF(A902="","",SUMIFS(Chicks!$N:$N,Chicks!$C:$C,A902))</f>
        <v/>
      </c>
      <c r="H902" s="6" t="str">
        <f>IF(A902="","",SUMIFS(Chicks!$O:$O,Chicks!$C:$C,A902))</f>
        <v/>
      </c>
      <c r="I902" s="6" t="str">
        <f>IF(A902="","",SUMIFS(Chicks!$P:$P,Chicks!$C:$C,A902))</f>
        <v/>
      </c>
    </row>
    <row r="903" spans="2:9" ht="14.25" customHeight="1" x14ac:dyDescent="0.3">
      <c r="B903" s="6" t="str">
        <f>IF(A903="","",COUNTIF(Chicks!$C:$C,A903))</f>
        <v/>
      </c>
      <c r="D903" s="6" t="str">
        <f>IF(A903="","",IFERROR(AVERAGEIF(Chicks!$C:$C,A903,Chicks!$K:$K),""))</f>
        <v/>
      </c>
      <c r="E903" s="6" t="str">
        <f>IF(A903="","",IFERROR(AVERAGEIF(Chicks!$C:$C,A903,Chicks!$L:$L),""))</f>
        <v/>
      </c>
      <c r="F903" s="6" t="str">
        <f>IF(A903="","",IFERROR(AVERAGEIF(Chicks!$C:$C,A903,Chicks!$M:$M),""))</f>
        <v/>
      </c>
      <c r="G903" s="6" t="str">
        <f>IF(A903="","",SUMIFS(Chicks!$N:$N,Chicks!$C:$C,A903))</f>
        <v/>
      </c>
      <c r="H903" s="6" t="str">
        <f>IF(A903="","",SUMIFS(Chicks!$O:$O,Chicks!$C:$C,A903))</f>
        <v/>
      </c>
      <c r="I903" s="6" t="str">
        <f>IF(A903="","",SUMIFS(Chicks!$P:$P,Chicks!$C:$C,A903))</f>
        <v/>
      </c>
    </row>
    <row r="904" spans="2:9" ht="14.25" customHeight="1" x14ac:dyDescent="0.3">
      <c r="B904" s="6" t="str">
        <f>IF(A904="","",COUNTIF(Chicks!$C:$C,A904))</f>
        <v/>
      </c>
      <c r="D904" s="6" t="str">
        <f>IF(A904="","",IFERROR(AVERAGEIF(Chicks!$C:$C,A904,Chicks!$K:$K),""))</f>
        <v/>
      </c>
      <c r="E904" s="6" t="str">
        <f>IF(A904="","",IFERROR(AVERAGEIF(Chicks!$C:$C,A904,Chicks!$L:$L),""))</f>
        <v/>
      </c>
      <c r="F904" s="6" t="str">
        <f>IF(A904="","",IFERROR(AVERAGEIF(Chicks!$C:$C,A904,Chicks!$M:$M),""))</f>
        <v/>
      </c>
      <c r="G904" s="6" t="str">
        <f>IF(A904="","",SUMIFS(Chicks!$N:$N,Chicks!$C:$C,A904))</f>
        <v/>
      </c>
      <c r="H904" s="6" t="str">
        <f>IF(A904="","",SUMIFS(Chicks!$O:$O,Chicks!$C:$C,A904))</f>
        <v/>
      </c>
      <c r="I904" s="6" t="str">
        <f>IF(A904="","",SUMIFS(Chicks!$P:$P,Chicks!$C:$C,A904))</f>
        <v/>
      </c>
    </row>
    <row r="905" spans="2:9" ht="14.25" customHeight="1" x14ac:dyDescent="0.3">
      <c r="B905" s="6" t="str">
        <f>IF(A905="","",COUNTIF(Chicks!$C:$C,A905))</f>
        <v/>
      </c>
      <c r="D905" s="6" t="str">
        <f>IF(A905="","",IFERROR(AVERAGEIF(Chicks!$C:$C,A905,Chicks!$K:$K),""))</f>
        <v/>
      </c>
      <c r="E905" s="6" t="str">
        <f>IF(A905="","",IFERROR(AVERAGEIF(Chicks!$C:$C,A905,Chicks!$L:$L),""))</f>
        <v/>
      </c>
      <c r="F905" s="6" t="str">
        <f>IF(A905="","",IFERROR(AVERAGEIF(Chicks!$C:$C,A905,Chicks!$M:$M),""))</f>
        <v/>
      </c>
      <c r="G905" s="6" t="str">
        <f>IF(A905="","",SUMIFS(Chicks!$N:$N,Chicks!$C:$C,A905))</f>
        <v/>
      </c>
      <c r="H905" s="6" t="str">
        <f>IF(A905="","",SUMIFS(Chicks!$O:$O,Chicks!$C:$C,A905))</f>
        <v/>
      </c>
      <c r="I905" s="6" t="str">
        <f>IF(A905="","",SUMIFS(Chicks!$P:$P,Chicks!$C:$C,A905))</f>
        <v/>
      </c>
    </row>
    <row r="906" spans="2:9" ht="14.25" customHeight="1" x14ac:dyDescent="0.3">
      <c r="B906" s="6" t="str">
        <f>IF(A906="","",COUNTIF(Chicks!$C:$C,A906))</f>
        <v/>
      </c>
      <c r="D906" s="6" t="str">
        <f>IF(A906="","",IFERROR(AVERAGEIF(Chicks!$C:$C,A906,Chicks!$K:$K),""))</f>
        <v/>
      </c>
      <c r="E906" s="6" t="str">
        <f>IF(A906="","",IFERROR(AVERAGEIF(Chicks!$C:$C,A906,Chicks!$L:$L),""))</f>
        <v/>
      </c>
      <c r="F906" s="6" t="str">
        <f>IF(A906="","",IFERROR(AVERAGEIF(Chicks!$C:$C,A906,Chicks!$M:$M),""))</f>
        <v/>
      </c>
      <c r="G906" s="6" t="str">
        <f>IF(A906="","",SUMIFS(Chicks!$N:$N,Chicks!$C:$C,A906))</f>
        <v/>
      </c>
      <c r="H906" s="6" t="str">
        <f>IF(A906="","",SUMIFS(Chicks!$O:$O,Chicks!$C:$C,A906))</f>
        <v/>
      </c>
      <c r="I906" s="6" t="str">
        <f>IF(A906="","",SUMIFS(Chicks!$P:$P,Chicks!$C:$C,A906))</f>
        <v/>
      </c>
    </row>
    <row r="907" spans="2:9" ht="14.25" customHeight="1" x14ac:dyDescent="0.3">
      <c r="B907" s="6" t="str">
        <f>IF(A907="","",COUNTIF(Chicks!$C:$C,A907))</f>
        <v/>
      </c>
      <c r="D907" s="6" t="str">
        <f>IF(A907="","",IFERROR(AVERAGEIF(Chicks!$C:$C,A907,Chicks!$K:$K),""))</f>
        <v/>
      </c>
      <c r="E907" s="6" t="str">
        <f>IF(A907="","",IFERROR(AVERAGEIF(Chicks!$C:$C,A907,Chicks!$L:$L),""))</f>
        <v/>
      </c>
      <c r="F907" s="6" t="str">
        <f>IF(A907="","",IFERROR(AVERAGEIF(Chicks!$C:$C,A907,Chicks!$M:$M),""))</f>
        <v/>
      </c>
      <c r="G907" s="6" t="str">
        <f>IF(A907="","",SUMIFS(Chicks!$N:$N,Chicks!$C:$C,A907))</f>
        <v/>
      </c>
      <c r="H907" s="6" t="str">
        <f>IF(A907="","",SUMIFS(Chicks!$O:$O,Chicks!$C:$C,A907))</f>
        <v/>
      </c>
      <c r="I907" s="6" t="str">
        <f>IF(A907="","",SUMIFS(Chicks!$P:$P,Chicks!$C:$C,A907))</f>
        <v/>
      </c>
    </row>
    <row r="908" spans="2:9" ht="14.25" customHeight="1" x14ac:dyDescent="0.3">
      <c r="B908" s="6" t="str">
        <f>IF(A908="","",COUNTIF(Chicks!$C:$C,A908))</f>
        <v/>
      </c>
      <c r="D908" s="6" t="str">
        <f>IF(A908="","",IFERROR(AVERAGEIF(Chicks!$C:$C,A908,Chicks!$K:$K),""))</f>
        <v/>
      </c>
      <c r="E908" s="6" t="str">
        <f>IF(A908="","",IFERROR(AVERAGEIF(Chicks!$C:$C,A908,Chicks!$L:$L),""))</f>
        <v/>
      </c>
      <c r="F908" s="6" t="str">
        <f>IF(A908="","",IFERROR(AVERAGEIF(Chicks!$C:$C,A908,Chicks!$M:$M),""))</f>
        <v/>
      </c>
      <c r="G908" s="6" t="str">
        <f>IF(A908="","",SUMIFS(Chicks!$N:$N,Chicks!$C:$C,A908))</f>
        <v/>
      </c>
      <c r="H908" s="6" t="str">
        <f>IF(A908="","",SUMIFS(Chicks!$O:$O,Chicks!$C:$C,A908))</f>
        <v/>
      </c>
      <c r="I908" s="6" t="str">
        <f>IF(A908="","",SUMIFS(Chicks!$P:$P,Chicks!$C:$C,A908))</f>
        <v/>
      </c>
    </row>
    <row r="909" spans="2:9" ht="14.25" customHeight="1" x14ac:dyDescent="0.3">
      <c r="B909" s="6" t="str">
        <f>IF(A909="","",COUNTIF(Chicks!$C:$C,A909))</f>
        <v/>
      </c>
      <c r="D909" s="6" t="str">
        <f>IF(A909="","",IFERROR(AVERAGEIF(Chicks!$C:$C,A909,Chicks!$K:$K),""))</f>
        <v/>
      </c>
      <c r="E909" s="6" t="str">
        <f>IF(A909="","",IFERROR(AVERAGEIF(Chicks!$C:$C,A909,Chicks!$L:$L),""))</f>
        <v/>
      </c>
      <c r="F909" s="6" t="str">
        <f>IF(A909="","",IFERROR(AVERAGEIF(Chicks!$C:$C,A909,Chicks!$M:$M),""))</f>
        <v/>
      </c>
      <c r="G909" s="6" t="str">
        <f>IF(A909="","",SUMIFS(Chicks!$N:$N,Chicks!$C:$C,A909))</f>
        <v/>
      </c>
      <c r="H909" s="6" t="str">
        <f>IF(A909="","",SUMIFS(Chicks!$O:$O,Chicks!$C:$C,A909))</f>
        <v/>
      </c>
      <c r="I909" s="6" t="str">
        <f>IF(A909="","",SUMIFS(Chicks!$P:$P,Chicks!$C:$C,A909))</f>
        <v/>
      </c>
    </row>
    <row r="910" spans="2:9" ht="14.25" customHeight="1" x14ac:dyDescent="0.3">
      <c r="B910" s="6" t="str">
        <f>IF(A910="","",COUNTIF(Chicks!$C:$C,A910))</f>
        <v/>
      </c>
      <c r="D910" s="6" t="str">
        <f>IF(A910="","",IFERROR(AVERAGEIF(Chicks!$C:$C,A910,Chicks!$K:$K),""))</f>
        <v/>
      </c>
      <c r="E910" s="6" t="str">
        <f>IF(A910="","",IFERROR(AVERAGEIF(Chicks!$C:$C,A910,Chicks!$L:$L),""))</f>
        <v/>
      </c>
      <c r="F910" s="6" t="str">
        <f>IF(A910="","",IFERROR(AVERAGEIF(Chicks!$C:$C,A910,Chicks!$M:$M),""))</f>
        <v/>
      </c>
      <c r="G910" s="6" t="str">
        <f>IF(A910="","",SUMIFS(Chicks!$N:$N,Chicks!$C:$C,A910))</f>
        <v/>
      </c>
      <c r="H910" s="6" t="str">
        <f>IF(A910="","",SUMIFS(Chicks!$O:$O,Chicks!$C:$C,A910))</f>
        <v/>
      </c>
      <c r="I910" s="6" t="str">
        <f>IF(A910="","",SUMIFS(Chicks!$P:$P,Chicks!$C:$C,A910))</f>
        <v/>
      </c>
    </row>
    <row r="911" spans="2:9" ht="14.25" customHeight="1" x14ac:dyDescent="0.3">
      <c r="B911" s="6" t="str">
        <f>IF(A911="","",COUNTIF(Chicks!$C:$C,A911))</f>
        <v/>
      </c>
      <c r="D911" s="6" t="str">
        <f>IF(A911="","",IFERROR(AVERAGEIF(Chicks!$C:$C,A911,Chicks!$K:$K),""))</f>
        <v/>
      </c>
      <c r="E911" s="6" t="str">
        <f>IF(A911="","",IFERROR(AVERAGEIF(Chicks!$C:$C,A911,Chicks!$L:$L),""))</f>
        <v/>
      </c>
      <c r="F911" s="6" t="str">
        <f>IF(A911="","",IFERROR(AVERAGEIF(Chicks!$C:$C,A911,Chicks!$M:$M),""))</f>
        <v/>
      </c>
      <c r="G911" s="6" t="str">
        <f>IF(A911="","",SUMIFS(Chicks!$N:$N,Chicks!$C:$C,A911))</f>
        <v/>
      </c>
      <c r="H911" s="6" t="str">
        <f>IF(A911="","",SUMIFS(Chicks!$O:$O,Chicks!$C:$C,A911))</f>
        <v/>
      </c>
      <c r="I911" s="6" t="str">
        <f>IF(A911="","",SUMIFS(Chicks!$P:$P,Chicks!$C:$C,A911))</f>
        <v/>
      </c>
    </row>
    <row r="912" spans="2:9" ht="14.25" customHeight="1" x14ac:dyDescent="0.3">
      <c r="B912" s="6" t="str">
        <f>IF(A912="","",COUNTIF(Chicks!$C:$C,A912))</f>
        <v/>
      </c>
      <c r="D912" s="6" t="str">
        <f>IF(A912="","",IFERROR(AVERAGEIF(Chicks!$C:$C,A912,Chicks!$K:$K),""))</f>
        <v/>
      </c>
      <c r="E912" s="6" t="str">
        <f>IF(A912="","",IFERROR(AVERAGEIF(Chicks!$C:$C,A912,Chicks!$L:$L),""))</f>
        <v/>
      </c>
      <c r="F912" s="6" t="str">
        <f>IF(A912="","",IFERROR(AVERAGEIF(Chicks!$C:$C,A912,Chicks!$M:$M),""))</f>
        <v/>
      </c>
      <c r="G912" s="6" t="str">
        <f>IF(A912="","",SUMIFS(Chicks!$N:$N,Chicks!$C:$C,A912))</f>
        <v/>
      </c>
      <c r="H912" s="6" t="str">
        <f>IF(A912="","",SUMIFS(Chicks!$O:$O,Chicks!$C:$C,A912))</f>
        <v/>
      </c>
      <c r="I912" s="6" t="str">
        <f>IF(A912="","",SUMIFS(Chicks!$P:$P,Chicks!$C:$C,A912))</f>
        <v/>
      </c>
    </row>
    <row r="913" spans="2:9" ht="14.25" customHeight="1" x14ac:dyDescent="0.3">
      <c r="B913" s="6" t="str">
        <f>IF(A913="","",COUNTIF(Chicks!$C:$C,A913))</f>
        <v/>
      </c>
      <c r="D913" s="6" t="str">
        <f>IF(A913="","",IFERROR(AVERAGEIF(Chicks!$C:$C,A913,Chicks!$K:$K),""))</f>
        <v/>
      </c>
      <c r="E913" s="6" t="str">
        <f>IF(A913="","",IFERROR(AVERAGEIF(Chicks!$C:$C,A913,Chicks!$L:$L),""))</f>
        <v/>
      </c>
      <c r="F913" s="6" t="str">
        <f>IF(A913="","",IFERROR(AVERAGEIF(Chicks!$C:$C,A913,Chicks!$M:$M),""))</f>
        <v/>
      </c>
      <c r="G913" s="6" t="str">
        <f>IF(A913="","",SUMIFS(Chicks!$N:$N,Chicks!$C:$C,A913))</f>
        <v/>
      </c>
      <c r="H913" s="6" t="str">
        <f>IF(A913="","",SUMIFS(Chicks!$O:$O,Chicks!$C:$C,A913))</f>
        <v/>
      </c>
      <c r="I913" s="6" t="str">
        <f>IF(A913="","",SUMIFS(Chicks!$P:$P,Chicks!$C:$C,A913))</f>
        <v/>
      </c>
    </row>
    <row r="914" spans="2:9" ht="14.25" customHeight="1" x14ac:dyDescent="0.3">
      <c r="B914" s="6" t="str">
        <f>IF(A914="","",COUNTIF(Chicks!$C:$C,A914))</f>
        <v/>
      </c>
      <c r="D914" s="6" t="str">
        <f>IF(A914="","",IFERROR(AVERAGEIF(Chicks!$C:$C,A914,Chicks!$K:$K),""))</f>
        <v/>
      </c>
      <c r="E914" s="6" t="str">
        <f>IF(A914="","",IFERROR(AVERAGEIF(Chicks!$C:$C,A914,Chicks!$L:$L),""))</f>
        <v/>
      </c>
      <c r="F914" s="6" t="str">
        <f>IF(A914="","",IFERROR(AVERAGEIF(Chicks!$C:$C,A914,Chicks!$M:$M),""))</f>
        <v/>
      </c>
      <c r="G914" s="6" t="str">
        <f>IF(A914="","",SUMIFS(Chicks!$N:$N,Chicks!$C:$C,A914))</f>
        <v/>
      </c>
      <c r="H914" s="6" t="str">
        <f>IF(A914="","",SUMIFS(Chicks!$O:$O,Chicks!$C:$C,A914))</f>
        <v/>
      </c>
      <c r="I914" s="6" t="str">
        <f>IF(A914="","",SUMIFS(Chicks!$P:$P,Chicks!$C:$C,A914))</f>
        <v/>
      </c>
    </row>
    <row r="915" spans="2:9" ht="14.25" customHeight="1" x14ac:dyDescent="0.3">
      <c r="B915" s="6" t="str">
        <f>IF(A915="","",COUNTIF(Chicks!$C:$C,A915))</f>
        <v/>
      </c>
      <c r="D915" s="6" t="str">
        <f>IF(A915="","",IFERROR(AVERAGEIF(Chicks!$C:$C,A915,Chicks!$K:$K),""))</f>
        <v/>
      </c>
      <c r="E915" s="6" t="str">
        <f>IF(A915="","",IFERROR(AVERAGEIF(Chicks!$C:$C,A915,Chicks!$L:$L),""))</f>
        <v/>
      </c>
      <c r="F915" s="6" t="str">
        <f>IF(A915="","",IFERROR(AVERAGEIF(Chicks!$C:$C,A915,Chicks!$M:$M),""))</f>
        <v/>
      </c>
      <c r="G915" s="6" t="str">
        <f>IF(A915="","",SUMIFS(Chicks!$N:$N,Chicks!$C:$C,A915))</f>
        <v/>
      </c>
      <c r="H915" s="6" t="str">
        <f>IF(A915="","",SUMIFS(Chicks!$O:$O,Chicks!$C:$C,A915))</f>
        <v/>
      </c>
      <c r="I915" s="6" t="str">
        <f>IF(A915="","",SUMIFS(Chicks!$P:$P,Chicks!$C:$C,A915))</f>
        <v/>
      </c>
    </row>
    <row r="916" spans="2:9" ht="14.25" customHeight="1" x14ac:dyDescent="0.3">
      <c r="B916" s="6" t="str">
        <f>IF(A916="","",COUNTIF(Chicks!$C:$C,A916))</f>
        <v/>
      </c>
      <c r="D916" s="6" t="str">
        <f>IF(A916="","",IFERROR(AVERAGEIF(Chicks!$C:$C,A916,Chicks!$K:$K),""))</f>
        <v/>
      </c>
      <c r="E916" s="6" t="str">
        <f>IF(A916="","",IFERROR(AVERAGEIF(Chicks!$C:$C,A916,Chicks!$L:$L),""))</f>
        <v/>
      </c>
      <c r="F916" s="6" t="str">
        <f>IF(A916="","",IFERROR(AVERAGEIF(Chicks!$C:$C,A916,Chicks!$M:$M),""))</f>
        <v/>
      </c>
      <c r="G916" s="6" t="str">
        <f>IF(A916="","",SUMIFS(Chicks!$N:$N,Chicks!$C:$C,A916))</f>
        <v/>
      </c>
      <c r="H916" s="6" t="str">
        <f>IF(A916="","",SUMIFS(Chicks!$O:$O,Chicks!$C:$C,A916))</f>
        <v/>
      </c>
      <c r="I916" s="6" t="str">
        <f>IF(A916="","",SUMIFS(Chicks!$P:$P,Chicks!$C:$C,A916))</f>
        <v/>
      </c>
    </row>
    <row r="917" spans="2:9" ht="14.25" customHeight="1" x14ac:dyDescent="0.3">
      <c r="B917" s="6" t="str">
        <f>IF(A917="","",COUNTIF(Chicks!$C:$C,A917))</f>
        <v/>
      </c>
      <c r="D917" s="6" t="str">
        <f>IF(A917="","",IFERROR(AVERAGEIF(Chicks!$C:$C,A917,Chicks!$K:$K),""))</f>
        <v/>
      </c>
      <c r="E917" s="6" t="str">
        <f>IF(A917="","",IFERROR(AVERAGEIF(Chicks!$C:$C,A917,Chicks!$L:$L),""))</f>
        <v/>
      </c>
      <c r="F917" s="6" t="str">
        <f>IF(A917="","",IFERROR(AVERAGEIF(Chicks!$C:$C,A917,Chicks!$M:$M),""))</f>
        <v/>
      </c>
      <c r="G917" s="6" t="str">
        <f>IF(A917="","",SUMIFS(Chicks!$N:$N,Chicks!$C:$C,A917))</f>
        <v/>
      </c>
      <c r="H917" s="6" t="str">
        <f>IF(A917="","",SUMIFS(Chicks!$O:$O,Chicks!$C:$C,A917))</f>
        <v/>
      </c>
      <c r="I917" s="6" t="str">
        <f>IF(A917="","",SUMIFS(Chicks!$P:$P,Chicks!$C:$C,A917))</f>
        <v/>
      </c>
    </row>
    <row r="918" spans="2:9" ht="14.25" customHeight="1" x14ac:dyDescent="0.3">
      <c r="B918" s="6" t="str">
        <f>IF(A918="","",COUNTIF(Chicks!$C:$C,A918))</f>
        <v/>
      </c>
      <c r="D918" s="6" t="str">
        <f>IF(A918="","",IFERROR(AVERAGEIF(Chicks!$C:$C,A918,Chicks!$K:$K),""))</f>
        <v/>
      </c>
      <c r="E918" s="6" t="str">
        <f>IF(A918="","",IFERROR(AVERAGEIF(Chicks!$C:$C,A918,Chicks!$L:$L),""))</f>
        <v/>
      </c>
      <c r="F918" s="6" t="str">
        <f>IF(A918="","",IFERROR(AVERAGEIF(Chicks!$C:$C,A918,Chicks!$M:$M),""))</f>
        <v/>
      </c>
      <c r="G918" s="6" t="str">
        <f>IF(A918="","",SUMIFS(Chicks!$N:$N,Chicks!$C:$C,A918))</f>
        <v/>
      </c>
      <c r="H918" s="6" t="str">
        <f>IF(A918="","",SUMIFS(Chicks!$O:$O,Chicks!$C:$C,A918))</f>
        <v/>
      </c>
      <c r="I918" s="6" t="str">
        <f>IF(A918="","",SUMIFS(Chicks!$P:$P,Chicks!$C:$C,A918))</f>
        <v/>
      </c>
    </row>
    <row r="919" spans="2:9" ht="14.25" customHeight="1" x14ac:dyDescent="0.3">
      <c r="B919" s="6" t="str">
        <f>IF(A919="","",COUNTIF(Chicks!$C:$C,A919))</f>
        <v/>
      </c>
      <c r="D919" s="6" t="str">
        <f>IF(A919="","",IFERROR(AVERAGEIF(Chicks!$C:$C,A919,Chicks!$K:$K),""))</f>
        <v/>
      </c>
      <c r="E919" s="6" t="str">
        <f>IF(A919="","",IFERROR(AVERAGEIF(Chicks!$C:$C,A919,Chicks!$L:$L),""))</f>
        <v/>
      </c>
      <c r="F919" s="6" t="str">
        <f>IF(A919="","",IFERROR(AVERAGEIF(Chicks!$C:$C,A919,Chicks!$M:$M),""))</f>
        <v/>
      </c>
      <c r="G919" s="6" t="str">
        <f>IF(A919="","",SUMIFS(Chicks!$N:$N,Chicks!$C:$C,A919))</f>
        <v/>
      </c>
      <c r="H919" s="6" t="str">
        <f>IF(A919="","",SUMIFS(Chicks!$O:$O,Chicks!$C:$C,A919))</f>
        <v/>
      </c>
      <c r="I919" s="6" t="str">
        <f>IF(A919="","",SUMIFS(Chicks!$P:$P,Chicks!$C:$C,A919))</f>
        <v/>
      </c>
    </row>
    <row r="920" spans="2:9" ht="14.25" customHeight="1" x14ac:dyDescent="0.3">
      <c r="B920" s="6" t="str">
        <f>IF(A920="","",COUNTIF(Chicks!$C:$C,A920))</f>
        <v/>
      </c>
      <c r="D920" s="6" t="str">
        <f>IF(A920="","",IFERROR(AVERAGEIF(Chicks!$C:$C,A920,Chicks!$K:$K),""))</f>
        <v/>
      </c>
      <c r="E920" s="6" t="str">
        <f>IF(A920="","",IFERROR(AVERAGEIF(Chicks!$C:$C,A920,Chicks!$L:$L),""))</f>
        <v/>
      </c>
      <c r="F920" s="6" t="str">
        <f>IF(A920="","",IFERROR(AVERAGEIF(Chicks!$C:$C,A920,Chicks!$M:$M),""))</f>
        <v/>
      </c>
      <c r="G920" s="6" t="str">
        <f>IF(A920="","",SUMIFS(Chicks!$N:$N,Chicks!$C:$C,A920))</f>
        <v/>
      </c>
      <c r="H920" s="6" t="str">
        <f>IF(A920="","",SUMIFS(Chicks!$O:$O,Chicks!$C:$C,A920))</f>
        <v/>
      </c>
      <c r="I920" s="6" t="str">
        <f>IF(A920="","",SUMIFS(Chicks!$P:$P,Chicks!$C:$C,A920))</f>
        <v/>
      </c>
    </row>
    <row r="921" spans="2:9" ht="14.25" customHeight="1" x14ac:dyDescent="0.3">
      <c r="B921" s="6" t="str">
        <f>IF(A921="","",COUNTIF(Chicks!$C:$C,A921))</f>
        <v/>
      </c>
      <c r="D921" s="6" t="str">
        <f>IF(A921="","",IFERROR(AVERAGEIF(Chicks!$C:$C,A921,Chicks!$K:$K),""))</f>
        <v/>
      </c>
      <c r="E921" s="6" t="str">
        <f>IF(A921="","",IFERROR(AVERAGEIF(Chicks!$C:$C,A921,Chicks!$L:$L),""))</f>
        <v/>
      </c>
      <c r="F921" s="6" t="str">
        <f>IF(A921="","",IFERROR(AVERAGEIF(Chicks!$C:$C,A921,Chicks!$M:$M),""))</f>
        <v/>
      </c>
      <c r="G921" s="6" t="str">
        <f>IF(A921="","",SUMIFS(Chicks!$N:$N,Chicks!$C:$C,A921))</f>
        <v/>
      </c>
      <c r="H921" s="6" t="str">
        <f>IF(A921="","",SUMIFS(Chicks!$O:$O,Chicks!$C:$C,A921))</f>
        <v/>
      </c>
      <c r="I921" s="6" t="str">
        <f>IF(A921="","",SUMIFS(Chicks!$P:$P,Chicks!$C:$C,A921))</f>
        <v/>
      </c>
    </row>
    <row r="922" spans="2:9" ht="14.25" customHeight="1" x14ac:dyDescent="0.3">
      <c r="B922" s="6" t="str">
        <f>IF(A922="","",COUNTIF(Chicks!$C:$C,A922))</f>
        <v/>
      </c>
      <c r="D922" s="6" t="str">
        <f>IF(A922="","",IFERROR(AVERAGEIF(Chicks!$C:$C,A922,Chicks!$K:$K),""))</f>
        <v/>
      </c>
      <c r="E922" s="6" t="str">
        <f>IF(A922="","",IFERROR(AVERAGEIF(Chicks!$C:$C,A922,Chicks!$L:$L),""))</f>
        <v/>
      </c>
      <c r="F922" s="6" t="str">
        <f>IF(A922="","",IFERROR(AVERAGEIF(Chicks!$C:$C,A922,Chicks!$M:$M),""))</f>
        <v/>
      </c>
      <c r="G922" s="6" t="str">
        <f>IF(A922="","",SUMIFS(Chicks!$N:$N,Chicks!$C:$C,A922))</f>
        <v/>
      </c>
      <c r="H922" s="6" t="str">
        <f>IF(A922="","",SUMIFS(Chicks!$O:$O,Chicks!$C:$C,A922))</f>
        <v/>
      </c>
      <c r="I922" s="6" t="str">
        <f>IF(A922="","",SUMIFS(Chicks!$P:$P,Chicks!$C:$C,A922))</f>
        <v/>
      </c>
    </row>
    <row r="923" spans="2:9" ht="14.25" customHeight="1" x14ac:dyDescent="0.3">
      <c r="B923" s="6" t="str">
        <f>IF(A923="","",COUNTIF(Chicks!$C:$C,A923))</f>
        <v/>
      </c>
      <c r="D923" s="6" t="str">
        <f>IF(A923="","",IFERROR(AVERAGEIF(Chicks!$C:$C,A923,Chicks!$K:$K),""))</f>
        <v/>
      </c>
      <c r="E923" s="6" t="str">
        <f>IF(A923="","",IFERROR(AVERAGEIF(Chicks!$C:$C,A923,Chicks!$L:$L),""))</f>
        <v/>
      </c>
      <c r="F923" s="6" t="str">
        <f>IF(A923="","",IFERROR(AVERAGEIF(Chicks!$C:$C,A923,Chicks!$M:$M),""))</f>
        <v/>
      </c>
      <c r="G923" s="6" t="str">
        <f>IF(A923="","",SUMIFS(Chicks!$N:$N,Chicks!$C:$C,A923))</f>
        <v/>
      </c>
      <c r="H923" s="6" t="str">
        <f>IF(A923="","",SUMIFS(Chicks!$O:$O,Chicks!$C:$C,A923))</f>
        <v/>
      </c>
      <c r="I923" s="6" t="str">
        <f>IF(A923="","",SUMIFS(Chicks!$P:$P,Chicks!$C:$C,A923))</f>
        <v/>
      </c>
    </row>
    <row r="924" spans="2:9" ht="14.25" customHeight="1" x14ac:dyDescent="0.3">
      <c r="B924" s="6" t="str">
        <f>IF(A924="","",COUNTIF(Chicks!$C:$C,A924))</f>
        <v/>
      </c>
      <c r="D924" s="6" t="str">
        <f>IF(A924="","",IFERROR(AVERAGEIF(Chicks!$C:$C,A924,Chicks!$K:$K),""))</f>
        <v/>
      </c>
      <c r="E924" s="6" t="str">
        <f>IF(A924="","",IFERROR(AVERAGEIF(Chicks!$C:$C,A924,Chicks!$L:$L),""))</f>
        <v/>
      </c>
      <c r="F924" s="6" t="str">
        <f>IF(A924="","",IFERROR(AVERAGEIF(Chicks!$C:$C,A924,Chicks!$M:$M),""))</f>
        <v/>
      </c>
      <c r="G924" s="6" t="str">
        <f>IF(A924="","",SUMIFS(Chicks!$N:$N,Chicks!$C:$C,A924))</f>
        <v/>
      </c>
      <c r="H924" s="6" t="str">
        <f>IF(A924="","",SUMIFS(Chicks!$O:$O,Chicks!$C:$C,A924))</f>
        <v/>
      </c>
      <c r="I924" s="6" t="str">
        <f>IF(A924="","",SUMIFS(Chicks!$P:$P,Chicks!$C:$C,A924))</f>
        <v/>
      </c>
    </row>
    <row r="925" spans="2:9" ht="14.25" customHeight="1" x14ac:dyDescent="0.3">
      <c r="B925" s="6" t="str">
        <f>IF(A925="","",COUNTIF(Chicks!$C:$C,A925))</f>
        <v/>
      </c>
      <c r="D925" s="6" t="str">
        <f>IF(A925="","",IFERROR(AVERAGEIF(Chicks!$C:$C,A925,Chicks!$K:$K),""))</f>
        <v/>
      </c>
      <c r="E925" s="6" t="str">
        <f>IF(A925="","",IFERROR(AVERAGEIF(Chicks!$C:$C,A925,Chicks!$L:$L),""))</f>
        <v/>
      </c>
      <c r="F925" s="6" t="str">
        <f>IF(A925="","",IFERROR(AVERAGEIF(Chicks!$C:$C,A925,Chicks!$M:$M),""))</f>
        <v/>
      </c>
      <c r="G925" s="6" t="str">
        <f>IF(A925="","",SUMIFS(Chicks!$N:$N,Chicks!$C:$C,A925))</f>
        <v/>
      </c>
      <c r="H925" s="6" t="str">
        <f>IF(A925="","",SUMIFS(Chicks!$O:$O,Chicks!$C:$C,A925))</f>
        <v/>
      </c>
      <c r="I925" s="6" t="str">
        <f>IF(A925="","",SUMIFS(Chicks!$P:$P,Chicks!$C:$C,A925))</f>
        <v/>
      </c>
    </row>
    <row r="926" spans="2:9" ht="14.25" customHeight="1" x14ac:dyDescent="0.3">
      <c r="B926" s="6" t="str">
        <f>IF(A926="","",COUNTIF(Chicks!$C:$C,A926))</f>
        <v/>
      </c>
      <c r="D926" s="6" t="str">
        <f>IF(A926="","",IFERROR(AVERAGEIF(Chicks!$C:$C,A926,Chicks!$K:$K),""))</f>
        <v/>
      </c>
      <c r="E926" s="6" t="str">
        <f>IF(A926="","",IFERROR(AVERAGEIF(Chicks!$C:$C,A926,Chicks!$L:$L),""))</f>
        <v/>
      </c>
      <c r="F926" s="6" t="str">
        <f>IF(A926="","",IFERROR(AVERAGEIF(Chicks!$C:$C,A926,Chicks!$M:$M),""))</f>
        <v/>
      </c>
      <c r="G926" s="6" t="str">
        <f>IF(A926="","",SUMIFS(Chicks!$N:$N,Chicks!$C:$C,A926))</f>
        <v/>
      </c>
      <c r="H926" s="6" t="str">
        <f>IF(A926="","",SUMIFS(Chicks!$O:$O,Chicks!$C:$C,A926))</f>
        <v/>
      </c>
      <c r="I926" s="6" t="str">
        <f>IF(A926="","",SUMIFS(Chicks!$P:$P,Chicks!$C:$C,A926))</f>
        <v/>
      </c>
    </row>
    <row r="927" spans="2:9" ht="14.25" customHeight="1" x14ac:dyDescent="0.3">
      <c r="B927" s="6" t="str">
        <f>IF(A927="","",COUNTIF(Chicks!$C:$C,A927))</f>
        <v/>
      </c>
      <c r="D927" s="6" t="str">
        <f>IF(A927="","",IFERROR(AVERAGEIF(Chicks!$C:$C,A927,Chicks!$K:$K),""))</f>
        <v/>
      </c>
      <c r="E927" s="6" t="str">
        <f>IF(A927="","",IFERROR(AVERAGEIF(Chicks!$C:$C,A927,Chicks!$L:$L),""))</f>
        <v/>
      </c>
      <c r="F927" s="6" t="str">
        <f>IF(A927="","",IFERROR(AVERAGEIF(Chicks!$C:$C,A927,Chicks!$M:$M),""))</f>
        <v/>
      </c>
      <c r="G927" s="6" t="str">
        <f>IF(A927="","",SUMIFS(Chicks!$N:$N,Chicks!$C:$C,A927))</f>
        <v/>
      </c>
      <c r="H927" s="6" t="str">
        <f>IF(A927="","",SUMIFS(Chicks!$O:$O,Chicks!$C:$C,A927))</f>
        <v/>
      </c>
      <c r="I927" s="6" t="str">
        <f>IF(A927="","",SUMIFS(Chicks!$P:$P,Chicks!$C:$C,A927))</f>
        <v/>
      </c>
    </row>
    <row r="928" spans="2:9" ht="14.25" customHeight="1" x14ac:dyDescent="0.3">
      <c r="B928" s="6" t="str">
        <f>IF(A928="","",COUNTIF(Chicks!$C:$C,A928))</f>
        <v/>
      </c>
      <c r="D928" s="6" t="str">
        <f>IF(A928="","",IFERROR(AVERAGEIF(Chicks!$C:$C,A928,Chicks!$K:$K),""))</f>
        <v/>
      </c>
      <c r="E928" s="6" t="str">
        <f>IF(A928="","",IFERROR(AVERAGEIF(Chicks!$C:$C,A928,Chicks!$L:$L),""))</f>
        <v/>
      </c>
      <c r="F928" s="6" t="str">
        <f>IF(A928="","",IFERROR(AVERAGEIF(Chicks!$C:$C,A928,Chicks!$M:$M),""))</f>
        <v/>
      </c>
      <c r="G928" s="6" t="str">
        <f>IF(A928="","",SUMIFS(Chicks!$N:$N,Chicks!$C:$C,A928))</f>
        <v/>
      </c>
      <c r="H928" s="6" t="str">
        <f>IF(A928="","",SUMIFS(Chicks!$O:$O,Chicks!$C:$C,A928))</f>
        <v/>
      </c>
      <c r="I928" s="6" t="str">
        <f>IF(A928="","",SUMIFS(Chicks!$P:$P,Chicks!$C:$C,A928))</f>
        <v/>
      </c>
    </row>
    <row r="929" spans="2:9" ht="14.25" customHeight="1" x14ac:dyDescent="0.3">
      <c r="B929" s="6" t="str">
        <f>IF(A929="","",COUNTIF(Chicks!$C:$C,A929))</f>
        <v/>
      </c>
      <c r="D929" s="6" t="str">
        <f>IF(A929="","",IFERROR(AVERAGEIF(Chicks!$C:$C,A929,Chicks!$K:$K),""))</f>
        <v/>
      </c>
      <c r="E929" s="6" t="str">
        <f>IF(A929="","",IFERROR(AVERAGEIF(Chicks!$C:$C,A929,Chicks!$L:$L),""))</f>
        <v/>
      </c>
      <c r="F929" s="6" t="str">
        <f>IF(A929="","",IFERROR(AVERAGEIF(Chicks!$C:$C,A929,Chicks!$M:$M),""))</f>
        <v/>
      </c>
      <c r="G929" s="6" t="str">
        <f>IF(A929="","",SUMIFS(Chicks!$N:$N,Chicks!$C:$C,A929))</f>
        <v/>
      </c>
      <c r="H929" s="6" t="str">
        <f>IF(A929="","",SUMIFS(Chicks!$O:$O,Chicks!$C:$C,A929))</f>
        <v/>
      </c>
      <c r="I929" s="6" t="str">
        <f>IF(A929="","",SUMIFS(Chicks!$P:$P,Chicks!$C:$C,A929))</f>
        <v/>
      </c>
    </row>
    <row r="930" spans="2:9" ht="14.25" customHeight="1" x14ac:dyDescent="0.3">
      <c r="B930" s="6" t="str">
        <f>IF(A930="","",COUNTIF(Chicks!$C:$C,A930))</f>
        <v/>
      </c>
      <c r="D930" s="6" t="str">
        <f>IF(A930="","",IFERROR(AVERAGEIF(Chicks!$C:$C,A930,Chicks!$K:$K),""))</f>
        <v/>
      </c>
      <c r="E930" s="6" t="str">
        <f>IF(A930="","",IFERROR(AVERAGEIF(Chicks!$C:$C,A930,Chicks!$L:$L),""))</f>
        <v/>
      </c>
      <c r="F930" s="6" t="str">
        <f>IF(A930="","",IFERROR(AVERAGEIF(Chicks!$C:$C,A930,Chicks!$M:$M),""))</f>
        <v/>
      </c>
      <c r="G930" s="6" t="str">
        <f>IF(A930="","",SUMIFS(Chicks!$N:$N,Chicks!$C:$C,A930))</f>
        <v/>
      </c>
      <c r="H930" s="6" t="str">
        <f>IF(A930="","",SUMIFS(Chicks!$O:$O,Chicks!$C:$C,A930))</f>
        <v/>
      </c>
      <c r="I930" s="6" t="str">
        <f>IF(A930="","",SUMIFS(Chicks!$P:$P,Chicks!$C:$C,A930))</f>
        <v/>
      </c>
    </row>
    <row r="931" spans="2:9" ht="14.25" customHeight="1" x14ac:dyDescent="0.3">
      <c r="B931" s="6" t="str">
        <f>IF(A931="","",COUNTIF(Chicks!$C:$C,A931))</f>
        <v/>
      </c>
      <c r="D931" s="6" t="str">
        <f>IF(A931="","",IFERROR(AVERAGEIF(Chicks!$C:$C,A931,Chicks!$K:$K),""))</f>
        <v/>
      </c>
      <c r="E931" s="6" t="str">
        <f>IF(A931="","",IFERROR(AVERAGEIF(Chicks!$C:$C,A931,Chicks!$L:$L),""))</f>
        <v/>
      </c>
      <c r="F931" s="6" t="str">
        <f>IF(A931="","",IFERROR(AVERAGEIF(Chicks!$C:$C,A931,Chicks!$M:$M),""))</f>
        <v/>
      </c>
      <c r="G931" s="6" t="str">
        <f>IF(A931="","",SUMIFS(Chicks!$N:$N,Chicks!$C:$C,A931))</f>
        <v/>
      </c>
      <c r="H931" s="6" t="str">
        <f>IF(A931="","",SUMIFS(Chicks!$O:$O,Chicks!$C:$C,A931))</f>
        <v/>
      </c>
      <c r="I931" s="6" t="str">
        <f>IF(A931="","",SUMIFS(Chicks!$P:$P,Chicks!$C:$C,A931))</f>
        <v/>
      </c>
    </row>
    <row r="932" spans="2:9" ht="14.25" customHeight="1" x14ac:dyDescent="0.3">
      <c r="B932" s="6" t="str">
        <f>IF(A932="","",COUNTIF(Chicks!$C:$C,A932))</f>
        <v/>
      </c>
      <c r="D932" s="6" t="str">
        <f>IF(A932="","",IFERROR(AVERAGEIF(Chicks!$C:$C,A932,Chicks!$K:$K),""))</f>
        <v/>
      </c>
      <c r="E932" s="6" t="str">
        <f>IF(A932="","",IFERROR(AVERAGEIF(Chicks!$C:$C,A932,Chicks!$L:$L),""))</f>
        <v/>
      </c>
      <c r="F932" s="6" t="str">
        <f>IF(A932="","",IFERROR(AVERAGEIF(Chicks!$C:$C,A932,Chicks!$M:$M),""))</f>
        <v/>
      </c>
      <c r="G932" s="6" t="str">
        <f>IF(A932="","",SUMIFS(Chicks!$N:$N,Chicks!$C:$C,A932))</f>
        <v/>
      </c>
      <c r="H932" s="6" t="str">
        <f>IF(A932="","",SUMIFS(Chicks!$O:$O,Chicks!$C:$C,A932))</f>
        <v/>
      </c>
      <c r="I932" s="6" t="str">
        <f>IF(A932="","",SUMIFS(Chicks!$P:$P,Chicks!$C:$C,A932))</f>
        <v/>
      </c>
    </row>
    <row r="933" spans="2:9" ht="14.25" customHeight="1" x14ac:dyDescent="0.3">
      <c r="B933" s="6" t="str">
        <f>IF(A933="","",COUNTIF(Chicks!$C:$C,A933))</f>
        <v/>
      </c>
      <c r="D933" s="6" t="str">
        <f>IF(A933="","",IFERROR(AVERAGEIF(Chicks!$C:$C,A933,Chicks!$K:$K),""))</f>
        <v/>
      </c>
      <c r="E933" s="6" t="str">
        <f>IF(A933="","",IFERROR(AVERAGEIF(Chicks!$C:$C,A933,Chicks!$L:$L),""))</f>
        <v/>
      </c>
      <c r="F933" s="6" t="str">
        <f>IF(A933="","",IFERROR(AVERAGEIF(Chicks!$C:$C,A933,Chicks!$M:$M),""))</f>
        <v/>
      </c>
      <c r="G933" s="6" t="str">
        <f>IF(A933="","",SUMIFS(Chicks!$N:$N,Chicks!$C:$C,A933))</f>
        <v/>
      </c>
      <c r="H933" s="6" t="str">
        <f>IF(A933="","",SUMIFS(Chicks!$O:$O,Chicks!$C:$C,A933))</f>
        <v/>
      </c>
      <c r="I933" s="6" t="str">
        <f>IF(A933="","",SUMIFS(Chicks!$P:$P,Chicks!$C:$C,A933))</f>
        <v/>
      </c>
    </row>
    <row r="934" spans="2:9" ht="14.25" customHeight="1" x14ac:dyDescent="0.3">
      <c r="B934" s="6" t="str">
        <f>IF(A934="","",COUNTIF(Chicks!$C:$C,A934))</f>
        <v/>
      </c>
      <c r="D934" s="6" t="str">
        <f>IF(A934="","",IFERROR(AVERAGEIF(Chicks!$C:$C,A934,Chicks!$K:$K),""))</f>
        <v/>
      </c>
      <c r="E934" s="6" t="str">
        <f>IF(A934="","",IFERROR(AVERAGEIF(Chicks!$C:$C,A934,Chicks!$L:$L),""))</f>
        <v/>
      </c>
      <c r="F934" s="6" t="str">
        <f>IF(A934="","",IFERROR(AVERAGEIF(Chicks!$C:$C,A934,Chicks!$M:$M),""))</f>
        <v/>
      </c>
      <c r="G934" s="6" t="str">
        <f>IF(A934="","",SUMIFS(Chicks!$N:$N,Chicks!$C:$C,A934))</f>
        <v/>
      </c>
      <c r="H934" s="6" t="str">
        <f>IF(A934="","",SUMIFS(Chicks!$O:$O,Chicks!$C:$C,A934))</f>
        <v/>
      </c>
      <c r="I934" s="6" t="str">
        <f>IF(A934="","",SUMIFS(Chicks!$P:$P,Chicks!$C:$C,A934))</f>
        <v/>
      </c>
    </row>
    <row r="935" spans="2:9" ht="14.25" customHeight="1" x14ac:dyDescent="0.3">
      <c r="B935" s="6" t="str">
        <f>IF(A935="","",COUNTIF(Chicks!$C:$C,A935))</f>
        <v/>
      </c>
      <c r="D935" s="6" t="str">
        <f>IF(A935="","",IFERROR(AVERAGEIF(Chicks!$C:$C,A935,Chicks!$K:$K),""))</f>
        <v/>
      </c>
      <c r="E935" s="6" t="str">
        <f>IF(A935="","",IFERROR(AVERAGEIF(Chicks!$C:$C,A935,Chicks!$L:$L),""))</f>
        <v/>
      </c>
      <c r="F935" s="6" t="str">
        <f>IF(A935="","",IFERROR(AVERAGEIF(Chicks!$C:$C,A935,Chicks!$M:$M),""))</f>
        <v/>
      </c>
      <c r="G935" s="6" t="str">
        <f>IF(A935="","",SUMIFS(Chicks!$N:$N,Chicks!$C:$C,A935))</f>
        <v/>
      </c>
      <c r="H935" s="6" t="str">
        <f>IF(A935="","",SUMIFS(Chicks!$O:$O,Chicks!$C:$C,A935))</f>
        <v/>
      </c>
      <c r="I935" s="6" t="str">
        <f>IF(A935="","",SUMIFS(Chicks!$P:$P,Chicks!$C:$C,A935))</f>
        <v/>
      </c>
    </row>
    <row r="936" spans="2:9" ht="14.25" customHeight="1" x14ac:dyDescent="0.3">
      <c r="B936" s="6" t="str">
        <f>IF(A936="","",COUNTIF(Chicks!$C:$C,A936))</f>
        <v/>
      </c>
      <c r="D936" s="6" t="str">
        <f>IF(A936="","",IFERROR(AVERAGEIF(Chicks!$C:$C,A936,Chicks!$K:$K),""))</f>
        <v/>
      </c>
      <c r="E936" s="6" t="str">
        <f>IF(A936="","",IFERROR(AVERAGEIF(Chicks!$C:$C,A936,Chicks!$L:$L),""))</f>
        <v/>
      </c>
      <c r="F936" s="6" t="str">
        <f>IF(A936="","",IFERROR(AVERAGEIF(Chicks!$C:$C,A936,Chicks!$M:$M),""))</f>
        <v/>
      </c>
      <c r="G936" s="6" t="str">
        <f>IF(A936="","",SUMIFS(Chicks!$N:$N,Chicks!$C:$C,A936))</f>
        <v/>
      </c>
      <c r="H936" s="6" t="str">
        <f>IF(A936="","",SUMIFS(Chicks!$O:$O,Chicks!$C:$C,A936))</f>
        <v/>
      </c>
      <c r="I936" s="6" t="str">
        <f>IF(A936="","",SUMIFS(Chicks!$P:$P,Chicks!$C:$C,A936))</f>
        <v/>
      </c>
    </row>
    <row r="937" spans="2:9" ht="14.25" customHeight="1" x14ac:dyDescent="0.3">
      <c r="B937" s="6" t="str">
        <f>IF(A937="","",COUNTIF(Chicks!$C:$C,A937))</f>
        <v/>
      </c>
      <c r="D937" s="6" t="str">
        <f>IF(A937="","",IFERROR(AVERAGEIF(Chicks!$C:$C,A937,Chicks!$K:$K),""))</f>
        <v/>
      </c>
      <c r="E937" s="6" t="str">
        <f>IF(A937="","",IFERROR(AVERAGEIF(Chicks!$C:$C,A937,Chicks!$L:$L),""))</f>
        <v/>
      </c>
      <c r="F937" s="6" t="str">
        <f>IF(A937="","",IFERROR(AVERAGEIF(Chicks!$C:$C,A937,Chicks!$M:$M),""))</f>
        <v/>
      </c>
      <c r="G937" s="6" t="str">
        <f>IF(A937="","",SUMIFS(Chicks!$N:$N,Chicks!$C:$C,A937))</f>
        <v/>
      </c>
      <c r="H937" s="6" t="str">
        <f>IF(A937="","",SUMIFS(Chicks!$O:$O,Chicks!$C:$C,A937))</f>
        <v/>
      </c>
      <c r="I937" s="6" t="str">
        <f>IF(A937="","",SUMIFS(Chicks!$P:$P,Chicks!$C:$C,A937))</f>
        <v/>
      </c>
    </row>
    <row r="938" spans="2:9" ht="14.25" customHeight="1" x14ac:dyDescent="0.3">
      <c r="B938" s="6" t="str">
        <f>IF(A938="","",COUNTIF(Chicks!$C:$C,A938))</f>
        <v/>
      </c>
      <c r="D938" s="6" t="str">
        <f>IF(A938="","",IFERROR(AVERAGEIF(Chicks!$C:$C,A938,Chicks!$K:$K),""))</f>
        <v/>
      </c>
      <c r="E938" s="6" t="str">
        <f>IF(A938="","",IFERROR(AVERAGEIF(Chicks!$C:$C,A938,Chicks!$L:$L),""))</f>
        <v/>
      </c>
      <c r="F938" s="6" t="str">
        <f>IF(A938="","",IFERROR(AVERAGEIF(Chicks!$C:$C,A938,Chicks!$M:$M),""))</f>
        <v/>
      </c>
      <c r="G938" s="6" t="str">
        <f>IF(A938="","",SUMIFS(Chicks!$N:$N,Chicks!$C:$C,A938))</f>
        <v/>
      </c>
      <c r="H938" s="6" t="str">
        <f>IF(A938="","",SUMIFS(Chicks!$O:$O,Chicks!$C:$C,A938))</f>
        <v/>
      </c>
      <c r="I938" s="6" t="str">
        <f>IF(A938="","",SUMIFS(Chicks!$P:$P,Chicks!$C:$C,A938))</f>
        <v/>
      </c>
    </row>
    <row r="939" spans="2:9" ht="14.25" customHeight="1" x14ac:dyDescent="0.3">
      <c r="B939" s="6" t="str">
        <f>IF(A939="","",COUNTIF(Chicks!$C:$C,A939))</f>
        <v/>
      </c>
      <c r="D939" s="6" t="str">
        <f>IF(A939="","",IFERROR(AVERAGEIF(Chicks!$C:$C,A939,Chicks!$K:$K),""))</f>
        <v/>
      </c>
      <c r="E939" s="6" t="str">
        <f>IF(A939="","",IFERROR(AVERAGEIF(Chicks!$C:$C,A939,Chicks!$L:$L),""))</f>
        <v/>
      </c>
      <c r="F939" s="6" t="str">
        <f>IF(A939="","",IFERROR(AVERAGEIF(Chicks!$C:$C,A939,Chicks!$M:$M),""))</f>
        <v/>
      </c>
      <c r="G939" s="6" t="str">
        <f>IF(A939="","",SUMIFS(Chicks!$N:$N,Chicks!$C:$C,A939))</f>
        <v/>
      </c>
      <c r="H939" s="6" t="str">
        <f>IF(A939="","",SUMIFS(Chicks!$O:$O,Chicks!$C:$C,A939))</f>
        <v/>
      </c>
      <c r="I939" s="6" t="str">
        <f>IF(A939="","",SUMIFS(Chicks!$P:$P,Chicks!$C:$C,A939))</f>
        <v/>
      </c>
    </row>
    <row r="940" spans="2:9" ht="14.25" customHeight="1" x14ac:dyDescent="0.3">
      <c r="B940" s="6" t="str">
        <f>IF(A940="","",COUNTIF(Chicks!$C:$C,A940))</f>
        <v/>
      </c>
      <c r="D940" s="6" t="str">
        <f>IF(A940="","",IFERROR(AVERAGEIF(Chicks!$C:$C,A940,Chicks!$K:$K),""))</f>
        <v/>
      </c>
      <c r="E940" s="6" t="str">
        <f>IF(A940="","",IFERROR(AVERAGEIF(Chicks!$C:$C,A940,Chicks!$L:$L),""))</f>
        <v/>
      </c>
      <c r="F940" s="6" t="str">
        <f>IF(A940="","",IFERROR(AVERAGEIF(Chicks!$C:$C,A940,Chicks!$M:$M),""))</f>
        <v/>
      </c>
      <c r="G940" s="6" t="str">
        <f>IF(A940="","",SUMIFS(Chicks!$N:$N,Chicks!$C:$C,A940))</f>
        <v/>
      </c>
      <c r="H940" s="6" t="str">
        <f>IF(A940="","",SUMIFS(Chicks!$O:$O,Chicks!$C:$C,A940))</f>
        <v/>
      </c>
      <c r="I940" s="6" t="str">
        <f>IF(A940="","",SUMIFS(Chicks!$P:$P,Chicks!$C:$C,A940))</f>
        <v/>
      </c>
    </row>
    <row r="941" spans="2:9" ht="14.25" customHeight="1" x14ac:dyDescent="0.3">
      <c r="B941" s="6" t="str">
        <f>IF(A941="","",COUNTIF(Chicks!$C:$C,A941))</f>
        <v/>
      </c>
      <c r="D941" s="6" t="str">
        <f>IF(A941="","",IFERROR(AVERAGEIF(Chicks!$C:$C,A941,Chicks!$K:$K),""))</f>
        <v/>
      </c>
      <c r="E941" s="6" t="str">
        <f>IF(A941="","",IFERROR(AVERAGEIF(Chicks!$C:$C,A941,Chicks!$L:$L),""))</f>
        <v/>
      </c>
      <c r="F941" s="6" t="str">
        <f>IF(A941="","",IFERROR(AVERAGEIF(Chicks!$C:$C,A941,Chicks!$M:$M),""))</f>
        <v/>
      </c>
      <c r="G941" s="6" t="str">
        <f>IF(A941="","",SUMIFS(Chicks!$N:$N,Chicks!$C:$C,A941))</f>
        <v/>
      </c>
      <c r="H941" s="6" t="str">
        <f>IF(A941="","",SUMIFS(Chicks!$O:$O,Chicks!$C:$C,A941))</f>
        <v/>
      </c>
      <c r="I941" s="6" t="str">
        <f>IF(A941="","",SUMIFS(Chicks!$P:$P,Chicks!$C:$C,A941))</f>
        <v/>
      </c>
    </row>
    <row r="942" spans="2:9" ht="14.25" customHeight="1" x14ac:dyDescent="0.3">
      <c r="B942" s="6" t="str">
        <f>IF(A942="","",COUNTIF(Chicks!$C:$C,A942))</f>
        <v/>
      </c>
      <c r="D942" s="6" t="str">
        <f>IF(A942="","",IFERROR(AVERAGEIF(Chicks!$C:$C,A942,Chicks!$K:$K),""))</f>
        <v/>
      </c>
      <c r="E942" s="6" t="str">
        <f>IF(A942="","",IFERROR(AVERAGEIF(Chicks!$C:$C,A942,Chicks!$L:$L),""))</f>
        <v/>
      </c>
      <c r="F942" s="6" t="str">
        <f>IF(A942="","",IFERROR(AVERAGEIF(Chicks!$C:$C,A942,Chicks!$M:$M),""))</f>
        <v/>
      </c>
      <c r="G942" s="6" t="str">
        <f>IF(A942="","",SUMIFS(Chicks!$N:$N,Chicks!$C:$C,A942))</f>
        <v/>
      </c>
      <c r="H942" s="6" t="str">
        <f>IF(A942="","",SUMIFS(Chicks!$O:$O,Chicks!$C:$C,A942))</f>
        <v/>
      </c>
      <c r="I942" s="6" t="str">
        <f>IF(A942="","",SUMIFS(Chicks!$P:$P,Chicks!$C:$C,A942))</f>
        <v/>
      </c>
    </row>
    <row r="943" spans="2:9" ht="14.25" customHeight="1" x14ac:dyDescent="0.3">
      <c r="B943" s="6" t="str">
        <f>IF(A943="","",COUNTIF(Chicks!$C:$C,A943))</f>
        <v/>
      </c>
      <c r="D943" s="6" t="str">
        <f>IF(A943="","",IFERROR(AVERAGEIF(Chicks!$C:$C,A943,Chicks!$K:$K),""))</f>
        <v/>
      </c>
      <c r="E943" s="6" t="str">
        <f>IF(A943="","",IFERROR(AVERAGEIF(Chicks!$C:$C,A943,Chicks!$L:$L),""))</f>
        <v/>
      </c>
      <c r="F943" s="6" t="str">
        <f>IF(A943="","",IFERROR(AVERAGEIF(Chicks!$C:$C,A943,Chicks!$M:$M),""))</f>
        <v/>
      </c>
      <c r="G943" s="6" t="str">
        <f>IF(A943="","",SUMIFS(Chicks!$N:$N,Chicks!$C:$C,A943))</f>
        <v/>
      </c>
      <c r="H943" s="6" t="str">
        <f>IF(A943="","",SUMIFS(Chicks!$O:$O,Chicks!$C:$C,A943))</f>
        <v/>
      </c>
      <c r="I943" s="6" t="str">
        <f>IF(A943="","",SUMIFS(Chicks!$P:$P,Chicks!$C:$C,A943))</f>
        <v/>
      </c>
    </row>
    <row r="944" spans="2:9" ht="14.25" customHeight="1" x14ac:dyDescent="0.3">
      <c r="B944" s="6" t="str">
        <f>IF(A944="","",COUNTIF(Chicks!$C:$C,A944))</f>
        <v/>
      </c>
      <c r="D944" s="6" t="str">
        <f>IF(A944="","",IFERROR(AVERAGEIF(Chicks!$C:$C,A944,Chicks!$K:$K),""))</f>
        <v/>
      </c>
      <c r="E944" s="6" t="str">
        <f>IF(A944="","",IFERROR(AVERAGEIF(Chicks!$C:$C,A944,Chicks!$L:$L),""))</f>
        <v/>
      </c>
      <c r="F944" s="6" t="str">
        <f>IF(A944="","",IFERROR(AVERAGEIF(Chicks!$C:$C,A944,Chicks!$M:$M),""))</f>
        <v/>
      </c>
      <c r="G944" s="6" t="str">
        <f>IF(A944="","",SUMIFS(Chicks!$N:$N,Chicks!$C:$C,A944))</f>
        <v/>
      </c>
      <c r="H944" s="6" t="str">
        <f>IF(A944="","",SUMIFS(Chicks!$O:$O,Chicks!$C:$C,A944))</f>
        <v/>
      </c>
      <c r="I944" s="6" t="str">
        <f>IF(A944="","",SUMIFS(Chicks!$P:$P,Chicks!$C:$C,A944))</f>
        <v/>
      </c>
    </row>
    <row r="945" spans="2:9" ht="14.25" customHeight="1" x14ac:dyDescent="0.3">
      <c r="B945" s="6" t="str">
        <f>IF(A945="","",COUNTIF(Chicks!$C:$C,A945))</f>
        <v/>
      </c>
      <c r="D945" s="6" t="str">
        <f>IF(A945="","",IFERROR(AVERAGEIF(Chicks!$C:$C,A945,Chicks!$K:$K),""))</f>
        <v/>
      </c>
      <c r="E945" s="6" t="str">
        <f>IF(A945="","",IFERROR(AVERAGEIF(Chicks!$C:$C,A945,Chicks!$L:$L),""))</f>
        <v/>
      </c>
      <c r="F945" s="6" t="str">
        <f>IF(A945="","",IFERROR(AVERAGEIF(Chicks!$C:$C,A945,Chicks!$M:$M),""))</f>
        <v/>
      </c>
      <c r="G945" s="6" t="str">
        <f>IF(A945="","",SUMIFS(Chicks!$N:$N,Chicks!$C:$C,A945))</f>
        <v/>
      </c>
      <c r="H945" s="6" t="str">
        <f>IF(A945="","",SUMIFS(Chicks!$O:$O,Chicks!$C:$C,A945))</f>
        <v/>
      </c>
      <c r="I945" s="6" t="str">
        <f>IF(A945="","",SUMIFS(Chicks!$P:$P,Chicks!$C:$C,A945))</f>
        <v/>
      </c>
    </row>
    <row r="946" spans="2:9" ht="14.25" customHeight="1" x14ac:dyDescent="0.3">
      <c r="B946" s="6" t="str">
        <f>IF(A946="","",COUNTIF(Chicks!$C:$C,A946))</f>
        <v/>
      </c>
      <c r="D946" s="6" t="str">
        <f>IF(A946="","",IFERROR(AVERAGEIF(Chicks!$C:$C,A946,Chicks!$K:$K),""))</f>
        <v/>
      </c>
      <c r="E946" s="6" t="str">
        <f>IF(A946="","",IFERROR(AVERAGEIF(Chicks!$C:$C,A946,Chicks!$L:$L),""))</f>
        <v/>
      </c>
      <c r="F946" s="6" t="str">
        <f>IF(A946="","",IFERROR(AVERAGEIF(Chicks!$C:$C,A946,Chicks!$M:$M),""))</f>
        <v/>
      </c>
      <c r="G946" s="6" t="str">
        <f>IF(A946="","",SUMIFS(Chicks!$N:$N,Chicks!$C:$C,A946))</f>
        <v/>
      </c>
      <c r="H946" s="6" t="str">
        <f>IF(A946="","",SUMIFS(Chicks!$O:$O,Chicks!$C:$C,A946))</f>
        <v/>
      </c>
      <c r="I946" s="6" t="str">
        <f>IF(A946="","",SUMIFS(Chicks!$P:$P,Chicks!$C:$C,A946))</f>
        <v/>
      </c>
    </row>
    <row r="947" spans="2:9" ht="14.25" customHeight="1" x14ac:dyDescent="0.3">
      <c r="B947" s="6" t="str">
        <f>IF(A947="","",COUNTIF(Chicks!$C:$C,A947))</f>
        <v/>
      </c>
      <c r="D947" s="6" t="str">
        <f>IF(A947="","",IFERROR(AVERAGEIF(Chicks!$C:$C,A947,Chicks!$K:$K),""))</f>
        <v/>
      </c>
      <c r="E947" s="6" t="str">
        <f>IF(A947="","",IFERROR(AVERAGEIF(Chicks!$C:$C,A947,Chicks!$L:$L),""))</f>
        <v/>
      </c>
      <c r="F947" s="6" t="str">
        <f>IF(A947="","",IFERROR(AVERAGEIF(Chicks!$C:$C,A947,Chicks!$M:$M),""))</f>
        <v/>
      </c>
      <c r="G947" s="6" t="str">
        <f>IF(A947="","",SUMIFS(Chicks!$N:$N,Chicks!$C:$C,A947))</f>
        <v/>
      </c>
      <c r="H947" s="6" t="str">
        <f>IF(A947="","",SUMIFS(Chicks!$O:$O,Chicks!$C:$C,A947))</f>
        <v/>
      </c>
      <c r="I947" s="6" t="str">
        <f>IF(A947="","",SUMIFS(Chicks!$P:$P,Chicks!$C:$C,A947))</f>
        <v/>
      </c>
    </row>
    <row r="948" spans="2:9" ht="14.25" customHeight="1" x14ac:dyDescent="0.3">
      <c r="B948" s="6" t="str">
        <f>IF(A948="","",COUNTIF(Chicks!$C:$C,A948))</f>
        <v/>
      </c>
      <c r="D948" s="6" t="str">
        <f>IF(A948="","",IFERROR(AVERAGEIF(Chicks!$C:$C,A948,Chicks!$K:$K),""))</f>
        <v/>
      </c>
      <c r="E948" s="6" t="str">
        <f>IF(A948="","",IFERROR(AVERAGEIF(Chicks!$C:$C,A948,Chicks!$L:$L),""))</f>
        <v/>
      </c>
      <c r="F948" s="6" t="str">
        <f>IF(A948="","",IFERROR(AVERAGEIF(Chicks!$C:$C,A948,Chicks!$M:$M),""))</f>
        <v/>
      </c>
      <c r="G948" s="6" t="str">
        <f>IF(A948="","",SUMIFS(Chicks!$N:$N,Chicks!$C:$C,A948))</f>
        <v/>
      </c>
      <c r="H948" s="6" t="str">
        <f>IF(A948="","",SUMIFS(Chicks!$O:$O,Chicks!$C:$C,A948))</f>
        <v/>
      </c>
      <c r="I948" s="6" t="str">
        <f>IF(A948="","",SUMIFS(Chicks!$P:$P,Chicks!$C:$C,A948))</f>
        <v/>
      </c>
    </row>
    <row r="949" spans="2:9" ht="14.25" customHeight="1" x14ac:dyDescent="0.3">
      <c r="B949" s="6" t="str">
        <f>IF(A949="","",COUNTIF(Chicks!$C:$C,A949))</f>
        <v/>
      </c>
      <c r="D949" s="6" t="str">
        <f>IF(A949="","",IFERROR(AVERAGEIF(Chicks!$C:$C,A949,Chicks!$K:$K),""))</f>
        <v/>
      </c>
      <c r="E949" s="6" t="str">
        <f>IF(A949="","",IFERROR(AVERAGEIF(Chicks!$C:$C,A949,Chicks!$L:$L),""))</f>
        <v/>
      </c>
      <c r="F949" s="6" t="str">
        <f>IF(A949="","",IFERROR(AVERAGEIF(Chicks!$C:$C,A949,Chicks!$M:$M),""))</f>
        <v/>
      </c>
      <c r="G949" s="6" t="str">
        <f>IF(A949="","",SUMIFS(Chicks!$N:$N,Chicks!$C:$C,A949))</f>
        <v/>
      </c>
      <c r="H949" s="6" t="str">
        <f>IF(A949="","",SUMIFS(Chicks!$O:$O,Chicks!$C:$C,A949))</f>
        <v/>
      </c>
      <c r="I949" s="6" t="str">
        <f>IF(A949="","",SUMIFS(Chicks!$P:$P,Chicks!$C:$C,A949))</f>
        <v/>
      </c>
    </row>
    <row r="950" spans="2:9" ht="14.25" customHeight="1" x14ac:dyDescent="0.3">
      <c r="B950" s="6" t="str">
        <f>IF(A950="","",COUNTIF(Chicks!$C:$C,A950))</f>
        <v/>
      </c>
      <c r="D950" s="6" t="str">
        <f>IF(A950="","",IFERROR(AVERAGEIF(Chicks!$C:$C,A950,Chicks!$K:$K),""))</f>
        <v/>
      </c>
      <c r="E950" s="6" t="str">
        <f>IF(A950="","",IFERROR(AVERAGEIF(Chicks!$C:$C,A950,Chicks!$L:$L),""))</f>
        <v/>
      </c>
      <c r="F950" s="6" t="str">
        <f>IF(A950="","",IFERROR(AVERAGEIF(Chicks!$C:$C,A950,Chicks!$M:$M),""))</f>
        <v/>
      </c>
      <c r="G950" s="6" t="str">
        <f>IF(A950="","",SUMIFS(Chicks!$N:$N,Chicks!$C:$C,A950))</f>
        <v/>
      </c>
      <c r="H950" s="6" t="str">
        <f>IF(A950="","",SUMIFS(Chicks!$O:$O,Chicks!$C:$C,A950))</f>
        <v/>
      </c>
      <c r="I950" s="6" t="str">
        <f>IF(A950="","",SUMIFS(Chicks!$P:$P,Chicks!$C:$C,A950))</f>
        <v/>
      </c>
    </row>
    <row r="951" spans="2:9" ht="14.25" customHeight="1" x14ac:dyDescent="0.3">
      <c r="B951" s="6" t="str">
        <f>IF(A951="","",COUNTIF(Chicks!$C:$C,A951))</f>
        <v/>
      </c>
      <c r="D951" s="6" t="str">
        <f>IF(A951="","",IFERROR(AVERAGEIF(Chicks!$C:$C,A951,Chicks!$K:$K),""))</f>
        <v/>
      </c>
      <c r="E951" s="6" t="str">
        <f>IF(A951="","",IFERROR(AVERAGEIF(Chicks!$C:$C,A951,Chicks!$L:$L),""))</f>
        <v/>
      </c>
      <c r="F951" s="6" t="str">
        <f>IF(A951="","",IFERROR(AVERAGEIF(Chicks!$C:$C,A951,Chicks!$M:$M),""))</f>
        <v/>
      </c>
      <c r="G951" s="6" t="str">
        <f>IF(A951="","",SUMIFS(Chicks!$N:$N,Chicks!$C:$C,A951))</f>
        <v/>
      </c>
      <c r="H951" s="6" t="str">
        <f>IF(A951="","",SUMIFS(Chicks!$O:$O,Chicks!$C:$C,A951))</f>
        <v/>
      </c>
      <c r="I951" s="6" t="str">
        <f>IF(A951="","",SUMIFS(Chicks!$P:$P,Chicks!$C:$C,A951))</f>
        <v/>
      </c>
    </row>
    <row r="952" spans="2:9" ht="14.25" customHeight="1" x14ac:dyDescent="0.3">
      <c r="B952" s="6" t="str">
        <f>IF(A952="","",COUNTIF(Chicks!$C:$C,A952))</f>
        <v/>
      </c>
      <c r="D952" s="6" t="str">
        <f>IF(A952="","",IFERROR(AVERAGEIF(Chicks!$C:$C,A952,Chicks!$K:$K),""))</f>
        <v/>
      </c>
      <c r="E952" s="6" t="str">
        <f>IF(A952="","",IFERROR(AVERAGEIF(Chicks!$C:$C,A952,Chicks!$L:$L),""))</f>
        <v/>
      </c>
      <c r="F952" s="6" t="str">
        <f>IF(A952="","",IFERROR(AVERAGEIF(Chicks!$C:$C,A952,Chicks!$M:$M),""))</f>
        <v/>
      </c>
      <c r="G952" s="6" t="str">
        <f>IF(A952="","",SUMIFS(Chicks!$N:$N,Chicks!$C:$C,A952))</f>
        <v/>
      </c>
      <c r="H952" s="6" t="str">
        <f>IF(A952="","",SUMIFS(Chicks!$O:$O,Chicks!$C:$C,A952))</f>
        <v/>
      </c>
      <c r="I952" s="6" t="str">
        <f>IF(A952="","",SUMIFS(Chicks!$P:$P,Chicks!$C:$C,A952))</f>
        <v/>
      </c>
    </row>
    <row r="953" spans="2:9" ht="14.25" customHeight="1" x14ac:dyDescent="0.3">
      <c r="B953" s="6" t="str">
        <f>IF(A953="","",COUNTIF(Chicks!$C:$C,A953))</f>
        <v/>
      </c>
      <c r="D953" s="6" t="str">
        <f>IF(A953="","",IFERROR(AVERAGEIF(Chicks!$C:$C,A953,Chicks!$K:$K),""))</f>
        <v/>
      </c>
      <c r="E953" s="6" t="str">
        <f>IF(A953="","",IFERROR(AVERAGEIF(Chicks!$C:$C,A953,Chicks!$L:$L),""))</f>
        <v/>
      </c>
      <c r="F953" s="6" t="str">
        <f>IF(A953="","",IFERROR(AVERAGEIF(Chicks!$C:$C,A953,Chicks!$M:$M),""))</f>
        <v/>
      </c>
      <c r="G953" s="6" t="str">
        <f>IF(A953="","",SUMIFS(Chicks!$N:$N,Chicks!$C:$C,A953))</f>
        <v/>
      </c>
      <c r="H953" s="6" t="str">
        <f>IF(A953="","",SUMIFS(Chicks!$O:$O,Chicks!$C:$C,A953))</f>
        <v/>
      </c>
      <c r="I953" s="6" t="str">
        <f>IF(A953="","",SUMIFS(Chicks!$P:$P,Chicks!$C:$C,A953))</f>
        <v/>
      </c>
    </row>
    <row r="954" spans="2:9" ht="14.25" customHeight="1" x14ac:dyDescent="0.3">
      <c r="B954" s="6" t="str">
        <f>IF(A954="","",COUNTIF(Chicks!$C:$C,A954))</f>
        <v/>
      </c>
      <c r="D954" s="6" t="str">
        <f>IF(A954="","",IFERROR(AVERAGEIF(Chicks!$C:$C,A954,Chicks!$K:$K),""))</f>
        <v/>
      </c>
      <c r="E954" s="6" t="str">
        <f>IF(A954="","",IFERROR(AVERAGEIF(Chicks!$C:$C,A954,Chicks!$L:$L),""))</f>
        <v/>
      </c>
      <c r="F954" s="6" t="str">
        <f>IF(A954="","",IFERROR(AVERAGEIF(Chicks!$C:$C,A954,Chicks!$M:$M),""))</f>
        <v/>
      </c>
      <c r="G954" s="6" t="str">
        <f>IF(A954="","",SUMIFS(Chicks!$N:$N,Chicks!$C:$C,A954))</f>
        <v/>
      </c>
      <c r="H954" s="6" t="str">
        <f>IF(A954="","",SUMIFS(Chicks!$O:$O,Chicks!$C:$C,A954))</f>
        <v/>
      </c>
      <c r="I954" s="6" t="str">
        <f>IF(A954="","",SUMIFS(Chicks!$P:$P,Chicks!$C:$C,A954))</f>
        <v/>
      </c>
    </row>
    <row r="955" spans="2:9" ht="14.25" customHeight="1" x14ac:dyDescent="0.3">
      <c r="B955" s="6" t="str">
        <f>IF(A955="","",COUNTIF(Chicks!$C:$C,A955))</f>
        <v/>
      </c>
      <c r="D955" s="6" t="str">
        <f>IF(A955="","",IFERROR(AVERAGEIF(Chicks!$C:$C,A955,Chicks!$K:$K),""))</f>
        <v/>
      </c>
      <c r="E955" s="6" t="str">
        <f>IF(A955="","",IFERROR(AVERAGEIF(Chicks!$C:$C,A955,Chicks!$L:$L),""))</f>
        <v/>
      </c>
      <c r="F955" s="6" t="str">
        <f>IF(A955="","",IFERROR(AVERAGEIF(Chicks!$C:$C,A955,Chicks!$M:$M),""))</f>
        <v/>
      </c>
      <c r="G955" s="6" t="str">
        <f>IF(A955="","",SUMIFS(Chicks!$N:$N,Chicks!$C:$C,A955))</f>
        <v/>
      </c>
      <c r="H955" s="6" t="str">
        <f>IF(A955="","",SUMIFS(Chicks!$O:$O,Chicks!$C:$C,A955))</f>
        <v/>
      </c>
      <c r="I955" s="6" t="str">
        <f>IF(A955="","",SUMIFS(Chicks!$P:$P,Chicks!$C:$C,A955))</f>
        <v/>
      </c>
    </row>
    <row r="956" spans="2:9" ht="14.25" customHeight="1" x14ac:dyDescent="0.3">
      <c r="B956" s="6" t="str">
        <f>IF(A956="","",COUNTIF(Chicks!$C:$C,A956))</f>
        <v/>
      </c>
      <c r="D956" s="6" t="str">
        <f>IF(A956="","",IFERROR(AVERAGEIF(Chicks!$C:$C,A956,Chicks!$K:$K),""))</f>
        <v/>
      </c>
      <c r="E956" s="6" t="str">
        <f>IF(A956="","",IFERROR(AVERAGEIF(Chicks!$C:$C,A956,Chicks!$L:$L),""))</f>
        <v/>
      </c>
      <c r="F956" s="6" t="str">
        <f>IF(A956="","",IFERROR(AVERAGEIF(Chicks!$C:$C,A956,Chicks!$M:$M),""))</f>
        <v/>
      </c>
      <c r="G956" s="6" t="str">
        <f>IF(A956="","",SUMIFS(Chicks!$N:$N,Chicks!$C:$C,A956))</f>
        <v/>
      </c>
      <c r="H956" s="6" t="str">
        <f>IF(A956="","",SUMIFS(Chicks!$O:$O,Chicks!$C:$C,A956))</f>
        <v/>
      </c>
      <c r="I956" s="6" t="str">
        <f>IF(A956="","",SUMIFS(Chicks!$P:$P,Chicks!$C:$C,A956))</f>
        <v/>
      </c>
    </row>
    <row r="957" spans="2:9" ht="14.25" customHeight="1" x14ac:dyDescent="0.3">
      <c r="B957" s="6" t="str">
        <f>IF(A957="","",COUNTIF(Chicks!$C:$C,A957))</f>
        <v/>
      </c>
      <c r="D957" s="6" t="str">
        <f>IF(A957="","",IFERROR(AVERAGEIF(Chicks!$C:$C,A957,Chicks!$K:$K),""))</f>
        <v/>
      </c>
      <c r="E957" s="6" t="str">
        <f>IF(A957="","",IFERROR(AVERAGEIF(Chicks!$C:$C,A957,Chicks!$L:$L),""))</f>
        <v/>
      </c>
      <c r="F957" s="6" t="str">
        <f>IF(A957="","",IFERROR(AVERAGEIF(Chicks!$C:$C,A957,Chicks!$M:$M),""))</f>
        <v/>
      </c>
      <c r="G957" s="6" t="str">
        <f>IF(A957="","",SUMIFS(Chicks!$N:$N,Chicks!$C:$C,A957))</f>
        <v/>
      </c>
      <c r="H957" s="6" t="str">
        <f>IF(A957="","",SUMIFS(Chicks!$O:$O,Chicks!$C:$C,A957))</f>
        <v/>
      </c>
      <c r="I957" s="6" t="str">
        <f>IF(A957="","",SUMIFS(Chicks!$P:$P,Chicks!$C:$C,A957))</f>
        <v/>
      </c>
    </row>
    <row r="958" spans="2:9" ht="14.25" customHeight="1" x14ac:dyDescent="0.3">
      <c r="B958" s="6" t="str">
        <f>IF(A958="","",COUNTIF(Chicks!$C:$C,A958))</f>
        <v/>
      </c>
      <c r="D958" s="6" t="str">
        <f>IF(A958="","",IFERROR(AVERAGEIF(Chicks!$C:$C,A958,Chicks!$K:$K),""))</f>
        <v/>
      </c>
      <c r="E958" s="6" t="str">
        <f>IF(A958="","",IFERROR(AVERAGEIF(Chicks!$C:$C,A958,Chicks!$L:$L),""))</f>
        <v/>
      </c>
      <c r="F958" s="6" t="str">
        <f>IF(A958="","",IFERROR(AVERAGEIF(Chicks!$C:$C,A958,Chicks!$M:$M),""))</f>
        <v/>
      </c>
      <c r="G958" s="6" t="str">
        <f>IF(A958="","",SUMIFS(Chicks!$N:$N,Chicks!$C:$C,A958))</f>
        <v/>
      </c>
      <c r="H958" s="6" t="str">
        <f>IF(A958="","",SUMIFS(Chicks!$O:$O,Chicks!$C:$C,A958))</f>
        <v/>
      </c>
      <c r="I958" s="6" t="str">
        <f>IF(A958="","",SUMIFS(Chicks!$P:$P,Chicks!$C:$C,A958))</f>
        <v/>
      </c>
    </row>
    <row r="959" spans="2:9" ht="14.25" customHeight="1" x14ac:dyDescent="0.3">
      <c r="B959" s="6" t="str">
        <f>IF(A959="","",COUNTIF(Chicks!$C:$C,A959))</f>
        <v/>
      </c>
      <c r="D959" s="6" t="str">
        <f>IF(A959="","",IFERROR(AVERAGEIF(Chicks!$C:$C,A959,Chicks!$K:$K),""))</f>
        <v/>
      </c>
      <c r="E959" s="6" t="str">
        <f>IF(A959="","",IFERROR(AVERAGEIF(Chicks!$C:$C,A959,Chicks!$L:$L),""))</f>
        <v/>
      </c>
      <c r="F959" s="6" t="str">
        <f>IF(A959="","",IFERROR(AVERAGEIF(Chicks!$C:$C,A959,Chicks!$M:$M),""))</f>
        <v/>
      </c>
      <c r="G959" s="6" t="str">
        <f>IF(A959="","",SUMIFS(Chicks!$N:$N,Chicks!$C:$C,A959))</f>
        <v/>
      </c>
      <c r="H959" s="6" t="str">
        <f>IF(A959="","",SUMIFS(Chicks!$O:$O,Chicks!$C:$C,A959))</f>
        <v/>
      </c>
      <c r="I959" s="6" t="str">
        <f>IF(A959="","",SUMIFS(Chicks!$P:$P,Chicks!$C:$C,A959))</f>
        <v/>
      </c>
    </row>
    <row r="960" spans="2:9" ht="14.25" customHeight="1" x14ac:dyDescent="0.3">
      <c r="B960" s="6" t="str">
        <f>IF(A960="","",COUNTIF(Chicks!$C:$C,A960))</f>
        <v/>
      </c>
      <c r="D960" s="6" t="str">
        <f>IF(A960="","",IFERROR(AVERAGEIF(Chicks!$C:$C,A960,Chicks!$K:$K),""))</f>
        <v/>
      </c>
      <c r="E960" s="6" t="str">
        <f>IF(A960="","",IFERROR(AVERAGEIF(Chicks!$C:$C,A960,Chicks!$L:$L),""))</f>
        <v/>
      </c>
      <c r="F960" s="6" t="str">
        <f>IF(A960="","",IFERROR(AVERAGEIF(Chicks!$C:$C,A960,Chicks!$M:$M),""))</f>
        <v/>
      </c>
      <c r="G960" s="6" t="str">
        <f>IF(A960="","",SUMIFS(Chicks!$N:$N,Chicks!$C:$C,A960))</f>
        <v/>
      </c>
      <c r="H960" s="6" t="str">
        <f>IF(A960="","",SUMIFS(Chicks!$O:$O,Chicks!$C:$C,A960))</f>
        <v/>
      </c>
      <c r="I960" s="6" t="str">
        <f>IF(A960="","",SUMIFS(Chicks!$P:$P,Chicks!$C:$C,A960))</f>
        <v/>
      </c>
    </row>
    <row r="961" spans="2:9" ht="14.25" customHeight="1" x14ac:dyDescent="0.3">
      <c r="B961" s="6" t="str">
        <f>IF(A961="","",COUNTIF(Chicks!$C:$C,A961))</f>
        <v/>
      </c>
      <c r="D961" s="6" t="str">
        <f>IF(A961="","",IFERROR(AVERAGEIF(Chicks!$C:$C,A961,Chicks!$K:$K),""))</f>
        <v/>
      </c>
      <c r="E961" s="6" t="str">
        <f>IF(A961="","",IFERROR(AVERAGEIF(Chicks!$C:$C,A961,Chicks!$L:$L),""))</f>
        <v/>
      </c>
      <c r="F961" s="6" t="str">
        <f>IF(A961="","",IFERROR(AVERAGEIF(Chicks!$C:$C,A961,Chicks!$M:$M),""))</f>
        <v/>
      </c>
      <c r="G961" s="6" t="str">
        <f>IF(A961="","",SUMIFS(Chicks!$N:$N,Chicks!$C:$C,A961))</f>
        <v/>
      </c>
      <c r="H961" s="6" t="str">
        <f>IF(A961="","",SUMIFS(Chicks!$O:$O,Chicks!$C:$C,A961))</f>
        <v/>
      </c>
      <c r="I961" s="6" t="str">
        <f>IF(A961="","",SUMIFS(Chicks!$P:$P,Chicks!$C:$C,A961))</f>
        <v/>
      </c>
    </row>
    <row r="962" spans="2:9" ht="14.25" customHeight="1" x14ac:dyDescent="0.3">
      <c r="B962" s="6" t="str">
        <f>IF(A962="","",COUNTIF(Chicks!$C:$C,A962))</f>
        <v/>
      </c>
      <c r="D962" s="6" t="str">
        <f>IF(A962="","",IFERROR(AVERAGEIF(Chicks!$C:$C,A962,Chicks!$K:$K),""))</f>
        <v/>
      </c>
      <c r="E962" s="6" t="str">
        <f>IF(A962="","",IFERROR(AVERAGEIF(Chicks!$C:$C,A962,Chicks!$L:$L),""))</f>
        <v/>
      </c>
      <c r="F962" s="6" t="str">
        <f>IF(A962="","",IFERROR(AVERAGEIF(Chicks!$C:$C,A962,Chicks!$M:$M),""))</f>
        <v/>
      </c>
      <c r="G962" s="6" t="str">
        <f>IF(A962="","",SUMIFS(Chicks!$N:$N,Chicks!$C:$C,A962))</f>
        <v/>
      </c>
      <c r="H962" s="6" t="str">
        <f>IF(A962="","",SUMIFS(Chicks!$O:$O,Chicks!$C:$C,A962))</f>
        <v/>
      </c>
      <c r="I962" s="6" t="str">
        <f>IF(A962="","",SUMIFS(Chicks!$P:$P,Chicks!$C:$C,A962))</f>
        <v/>
      </c>
    </row>
    <row r="963" spans="2:9" ht="14.25" customHeight="1" x14ac:dyDescent="0.3">
      <c r="B963" s="6" t="str">
        <f>IF(A963="","",COUNTIF(Chicks!$C:$C,A963))</f>
        <v/>
      </c>
      <c r="D963" s="6" t="str">
        <f>IF(A963="","",IFERROR(AVERAGEIF(Chicks!$C:$C,A963,Chicks!$K:$K),""))</f>
        <v/>
      </c>
      <c r="E963" s="6" t="str">
        <f>IF(A963="","",IFERROR(AVERAGEIF(Chicks!$C:$C,A963,Chicks!$L:$L),""))</f>
        <v/>
      </c>
      <c r="F963" s="6" t="str">
        <f>IF(A963="","",IFERROR(AVERAGEIF(Chicks!$C:$C,A963,Chicks!$M:$M),""))</f>
        <v/>
      </c>
      <c r="G963" s="6" t="str">
        <f>IF(A963="","",SUMIFS(Chicks!$N:$N,Chicks!$C:$C,A963))</f>
        <v/>
      </c>
      <c r="H963" s="6" t="str">
        <f>IF(A963="","",SUMIFS(Chicks!$O:$O,Chicks!$C:$C,A963))</f>
        <v/>
      </c>
      <c r="I963" s="6" t="str">
        <f>IF(A963="","",SUMIFS(Chicks!$P:$P,Chicks!$C:$C,A963))</f>
        <v/>
      </c>
    </row>
    <row r="964" spans="2:9" ht="14.25" customHeight="1" x14ac:dyDescent="0.3">
      <c r="B964" s="6" t="str">
        <f>IF(A964="","",COUNTIF(Chicks!$C:$C,A964))</f>
        <v/>
      </c>
      <c r="D964" s="6" t="str">
        <f>IF(A964="","",IFERROR(AVERAGEIF(Chicks!$C:$C,A964,Chicks!$K:$K),""))</f>
        <v/>
      </c>
      <c r="E964" s="6" t="str">
        <f>IF(A964="","",IFERROR(AVERAGEIF(Chicks!$C:$C,A964,Chicks!$L:$L),""))</f>
        <v/>
      </c>
      <c r="F964" s="6" t="str">
        <f>IF(A964="","",IFERROR(AVERAGEIF(Chicks!$C:$C,A964,Chicks!$M:$M),""))</f>
        <v/>
      </c>
      <c r="G964" s="6" t="str">
        <f>IF(A964="","",SUMIFS(Chicks!$N:$N,Chicks!$C:$C,A964))</f>
        <v/>
      </c>
      <c r="H964" s="6" t="str">
        <f>IF(A964="","",SUMIFS(Chicks!$O:$O,Chicks!$C:$C,A964))</f>
        <v/>
      </c>
      <c r="I964" s="6" t="str">
        <f>IF(A964="","",SUMIFS(Chicks!$P:$P,Chicks!$C:$C,A964))</f>
        <v/>
      </c>
    </row>
    <row r="965" spans="2:9" ht="14.25" customHeight="1" x14ac:dyDescent="0.3">
      <c r="B965" s="6" t="str">
        <f>IF(A965="","",COUNTIF(Chicks!$C:$C,A965))</f>
        <v/>
      </c>
      <c r="D965" s="6" t="str">
        <f>IF(A965="","",IFERROR(AVERAGEIF(Chicks!$C:$C,A965,Chicks!$K:$K),""))</f>
        <v/>
      </c>
      <c r="E965" s="6" t="str">
        <f>IF(A965="","",IFERROR(AVERAGEIF(Chicks!$C:$C,A965,Chicks!$L:$L),""))</f>
        <v/>
      </c>
      <c r="F965" s="6" t="str">
        <f>IF(A965="","",IFERROR(AVERAGEIF(Chicks!$C:$C,A965,Chicks!$M:$M),""))</f>
        <v/>
      </c>
      <c r="G965" s="6" t="str">
        <f>IF(A965="","",SUMIFS(Chicks!$N:$N,Chicks!$C:$C,A965))</f>
        <v/>
      </c>
      <c r="H965" s="6" t="str">
        <f>IF(A965="","",SUMIFS(Chicks!$O:$O,Chicks!$C:$C,A965))</f>
        <v/>
      </c>
      <c r="I965" s="6" t="str">
        <f>IF(A965="","",SUMIFS(Chicks!$P:$P,Chicks!$C:$C,A965))</f>
        <v/>
      </c>
    </row>
    <row r="966" spans="2:9" ht="14.25" customHeight="1" x14ac:dyDescent="0.3">
      <c r="B966" s="6" t="str">
        <f>IF(A966="","",COUNTIF(Chicks!$C:$C,A966))</f>
        <v/>
      </c>
      <c r="D966" s="6" t="str">
        <f>IF(A966="","",IFERROR(AVERAGEIF(Chicks!$C:$C,A966,Chicks!$K:$K),""))</f>
        <v/>
      </c>
      <c r="E966" s="6" t="str">
        <f>IF(A966="","",IFERROR(AVERAGEIF(Chicks!$C:$C,A966,Chicks!$L:$L),""))</f>
        <v/>
      </c>
      <c r="F966" s="6" t="str">
        <f>IF(A966="","",IFERROR(AVERAGEIF(Chicks!$C:$C,A966,Chicks!$M:$M),""))</f>
        <v/>
      </c>
      <c r="G966" s="6" t="str">
        <f>IF(A966="","",SUMIFS(Chicks!$N:$N,Chicks!$C:$C,A966))</f>
        <v/>
      </c>
      <c r="H966" s="6" t="str">
        <f>IF(A966="","",SUMIFS(Chicks!$O:$O,Chicks!$C:$C,A966))</f>
        <v/>
      </c>
      <c r="I966" s="6" t="str">
        <f>IF(A966="","",SUMIFS(Chicks!$P:$P,Chicks!$C:$C,A966))</f>
        <v/>
      </c>
    </row>
    <row r="967" spans="2:9" ht="14.25" customHeight="1" x14ac:dyDescent="0.3">
      <c r="B967" s="6" t="str">
        <f>IF(A967="","",COUNTIF(Chicks!$C:$C,A967))</f>
        <v/>
      </c>
      <c r="D967" s="6" t="str">
        <f>IF(A967="","",IFERROR(AVERAGEIF(Chicks!$C:$C,A967,Chicks!$K:$K),""))</f>
        <v/>
      </c>
      <c r="E967" s="6" t="str">
        <f>IF(A967="","",IFERROR(AVERAGEIF(Chicks!$C:$C,A967,Chicks!$L:$L),""))</f>
        <v/>
      </c>
      <c r="F967" s="6" t="str">
        <f>IF(A967="","",IFERROR(AVERAGEIF(Chicks!$C:$C,A967,Chicks!$M:$M),""))</f>
        <v/>
      </c>
      <c r="G967" s="6" t="str">
        <f>IF(A967="","",SUMIFS(Chicks!$N:$N,Chicks!$C:$C,A967))</f>
        <v/>
      </c>
      <c r="H967" s="6" t="str">
        <f>IF(A967="","",SUMIFS(Chicks!$O:$O,Chicks!$C:$C,A967))</f>
        <v/>
      </c>
      <c r="I967" s="6" t="str">
        <f>IF(A967="","",SUMIFS(Chicks!$P:$P,Chicks!$C:$C,A967))</f>
        <v/>
      </c>
    </row>
    <row r="968" spans="2:9" ht="14.25" customHeight="1" x14ac:dyDescent="0.3">
      <c r="B968" s="6" t="str">
        <f>IF(A968="","",COUNTIF(Chicks!$C:$C,A968))</f>
        <v/>
      </c>
      <c r="D968" s="6" t="str">
        <f>IF(A968="","",IFERROR(AVERAGEIF(Chicks!$C:$C,A968,Chicks!$K:$K),""))</f>
        <v/>
      </c>
      <c r="E968" s="6" t="str">
        <f>IF(A968="","",IFERROR(AVERAGEIF(Chicks!$C:$C,A968,Chicks!$L:$L),""))</f>
        <v/>
      </c>
      <c r="F968" s="6" t="str">
        <f>IF(A968="","",IFERROR(AVERAGEIF(Chicks!$C:$C,A968,Chicks!$M:$M),""))</f>
        <v/>
      </c>
      <c r="G968" s="6" t="str">
        <f>IF(A968="","",SUMIFS(Chicks!$N:$N,Chicks!$C:$C,A968))</f>
        <v/>
      </c>
      <c r="H968" s="6" t="str">
        <f>IF(A968="","",SUMIFS(Chicks!$O:$O,Chicks!$C:$C,A968))</f>
        <v/>
      </c>
      <c r="I968" s="6" t="str">
        <f>IF(A968="","",SUMIFS(Chicks!$P:$P,Chicks!$C:$C,A968))</f>
        <v/>
      </c>
    </row>
    <row r="969" spans="2:9" ht="14.25" customHeight="1" x14ac:dyDescent="0.3">
      <c r="B969" s="6" t="str">
        <f>IF(A969="","",COUNTIF(Chicks!$C:$C,A969))</f>
        <v/>
      </c>
      <c r="D969" s="6" t="str">
        <f>IF(A969="","",IFERROR(AVERAGEIF(Chicks!$C:$C,A969,Chicks!$K:$K),""))</f>
        <v/>
      </c>
      <c r="E969" s="6" t="str">
        <f>IF(A969="","",IFERROR(AVERAGEIF(Chicks!$C:$C,A969,Chicks!$L:$L),""))</f>
        <v/>
      </c>
      <c r="F969" s="6" t="str">
        <f>IF(A969="","",IFERROR(AVERAGEIF(Chicks!$C:$C,A969,Chicks!$M:$M),""))</f>
        <v/>
      </c>
      <c r="G969" s="6" t="str">
        <f>IF(A969="","",SUMIFS(Chicks!$N:$N,Chicks!$C:$C,A969))</f>
        <v/>
      </c>
      <c r="H969" s="6" t="str">
        <f>IF(A969="","",SUMIFS(Chicks!$O:$O,Chicks!$C:$C,A969))</f>
        <v/>
      </c>
      <c r="I969" s="6" t="str">
        <f>IF(A969="","",SUMIFS(Chicks!$P:$P,Chicks!$C:$C,A969))</f>
        <v/>
      </c>
    </row>
    <row r="970" spans="2:9" ht="14.25" customHeight="1" x14ac:dyDescent="0.3">
      <c r="B970" s="6" t="str">
        <f>IF(A970="","",COUNTIF(Chicks!$C:$C,A970))</f>
        <v/>
      </c>
      <c r="D970" s="6" t="str">
        <f>IF(A970="","",IFERROR(AVERAGEIF(Chicks!$C:$C,A970,Chicks!$K:$K),""))</f>
        <v/>
      </c>
      <c r="E970" s="6" t="str">
        <f>IF(A970="","",IFERROR(AVERAGEIF(Chicks!$C:$C,A970,Chicks!$L:$L),""))</f>
        <v/>
      </c>
      <c r="F970" s="6" t="str">
        <f>IF(A970="","",IFERROR(AVERAGEIF(Chicks!$C:$C,A970,Chicks!$M:$M),""))</f>
        <v/>
      </c>
      <c r="G970" s="6" t="str">
        <f>IF(A970="","",SUMIFS(Chicks!$N:$N,Chicks!$C:$C,A970))</f>
        <v/>
      </c>
      <c r="H970" s="6" t="str">
        <f>IF(A970="","",SUMIFS(Chicks!$O:$O,Chicks!$C:$C,A970))</f>
        <v/>
      </c>
      <c r="I970" s="6" t="str">
        <f>IF(A970="","",SUMIFS(Chicks!$P:$P,Chicks!$C:$C,A970))</f>
        <v/>
      </c>
    </row>
    <row r="971" spans="2:9" ht="14.25" customHeight="1" x14ac:dyDescent="0.3">
      <c r="B971" s="6" t="str">
        <f>IF(A971="","",COUNTIF(Chicks!$C:$C,A971))</f>
        <v/>
      </c>
      <c r="D971" s="6" t="str">
        <f>IF(A971="","",IFERROR(AVERAGEIF(Chicks!$C:$C,A971,Chicks!$K:$K),""))</f>
        <v/>
      </c>
      <c r="E971" s="6" t="str">
        <f>IF(A971="","",IFERROR(AVERAGEIF(Chicks!$C:$C,A971,Chicks!$L:$L),""))</f>
        <v/>
      </c>
      <c r="F971" s="6" t="str">
        <f>IF(A971="","",IFERROR(AVERAGEIF(Chicks!$C:$C,A971,Chicks!$M:$M),""))</f>
        <v/>
      </c>
      <c r="G971" s="6" t="str">
        <f>IF(A971="","",SUMIFS(Chicks!$N:$N,Chicks!$C:$C,A971))</f>
        <v/>
      </c>
      <c r="H971" s="6" t="str">
        <f>IF(A971="","",SUMIFS(Chicks!$O:$O,Chicks!$C:$C,A971))</f>
        <v/>
      </c>
      <c r="I971" s="6" t="str">
        <f>IF(A971="","",SUMIFS(Chicks!$P:$P,Chicks!$C:$C,A971))</f>
        <v/>
      </c>
    </row>
    <row r="972" spans="2:9" ht="14.25" customHeight="1" x14ac:dyDescent="0.3">
      <c r="B972" s="6" t="str">
        <f>IF(A972="","",COUNTIF(Chicks!$C:$C,A972))</f>
        <v/>
      </c>
      <c r="D972" s="6" t="str">
        <f>IF(A972="","",IFERROR(AVERAGEIF(Chicks!$C:$C,A972,Chicks!$K:$K),""))</f>
        <v/>
      </c>
      <c r="E972" s="6" t="str">
        <f>IF(A972="","",IFERROR(AVERAGEIF(Chicks!$C:$C,A972,Chicks!$L:$L),""))</f>
        <v/>
      </c>
      <c r="F972" s="6" t="str">
        <f>IF(A972="","",IFERROR(AVERAGEIF(Chicks!$C:$C,A972,Chicks!$M:$M),""))</f>
        <v/>
      </c>
      <c r="G972" s="6" t="str">
        <f>IF(A972="","",SUMIFS(Chicks!$N:$N,Chicks!$C:$C,A972))</f>
        <v/>
      </c>
      <c r="H972" s="6" t="str">
        <f>IF(A972="","",SUMIFS(Chicks!$O:$O,Chicks!$C:$C,A972))</f>
        <v/>
      </c>
      <c r="I972" s="6" t="str">
        <f>IF(A972="","",SUMIFS(Chicks!$P:$P,Chicks!$C:$C,A972))</f>
        <v/>
      </c>
    </row>
    <row r="973" spans="2:9" ht="14.25" customHeight="1" x14ac:dyDescent="0.3">
      <c r="B973" s="6" t="str">
        <f>IF(A973="","",COUNTIF(Chicks!$C:$C,A973))</f>
        <v/>
      </c>
      <c r="D973" s="6" t="str">
        <f>IF(A973="","",IFERROR(AVERAGEIF(Chicks!$C:$C,A973,Chicks!$K:$K),""))</f>
        <v/>
      </c>
      <c r="E973" s="6" t="str">
        <f>IF(A973="","",IFERROR(AVERAGEIF(Chicks!$C:$C,A973,Chicks!$L:$L),""))</f>
        <v/>
      </c>
      <c r="F973" s="6" t="str">
        <f>IF(A973="","",IFERROR(AVERAGEIF(Chicks!$C:$C,A973,Chicks!$M:$M),""))</f>
        <v/>
      </c>
      <c r="G973" s="6" t="str">
        <f>IF(A973="","",SUMIFS(Chicks!$N:$N,Chicks!$C:$C,A973))</f>
        <v/>
      </c>
      <c r="H973" s="6" t="str">
        <f>IF(A973="","",SUMIFS(Chicks!$O:$O,Chicks!$C:$C,A973))</f>
        <v/>
      </c>
      <c r="I973" s="6" t="str">
        <f>IF(A973="","",SUMIFS(Chicks!$P:$P,Chicks!$C:$C,A973))</f>
        <v/>
      </c>
    </row>
    <row r="974" spans="2:9" ht="14.25" customHeight="1" x14ac:dyDescent="0.3">
      <c r="B974" s="6" t="str">
        <f>IF(A974="","",COUNTIF(Chicks!$C:$C,A974))</f>
        <v/>
      </c>
      <c r="D974" s="6" t="str">
        <f>IF(A974="","",IFERROR(AVERAGEIF(Chicks!$C:$C,A974,Chicks!$K:$K),""))</f>
        <v/>
      </c>
      <c r="E974" s="6" t="str">
        <f>IF(A974="","",IFERROR(AVERAGEIF(Chicks!$C:$C,A974,Chicks!$L:$L),""))</f>
        <v/>
      </c>
      <c r="F974" s="6" t="str">
        <f>IF(A974="","",IFERROR(AVERAGEIF(Chicks!$C:$C,A974,Chicks!$M:$M),""))</f>
        <v/>
      </c>
      <c r="G974" s="6" t="str">
        <f>IF(A974="","",SUMIFS(Chicks!$N:$N,Chicks!$C:$C,A974))</f>
        <v/>
      </c>
      <c r="H974" s="6" t="str">
        <f>IF(A974="","",SUMIFS(Chicks!$O:$O,Chicks!$C:$C,A974))</f>
        <v/>
      </c>
      <c r="I974" s="6" t="str">
        <f>IF(A974="","",SUMIFS(Chicks!$P:$P,Chicks!$C:$C,A974))</f>
        <v/>
      </c>
    </row>
    <row r="975" spans="2:9" ht="14.25" customHeight="1" x14ac:dyDescent="0.3">
      <c r="B975" s="6" t="str">
        <f>IF(A975="","",COUNTIF(Chicks!$C:$C,A975))</f>
        <v/>
      </c>
      <c r="D975" s="6" t="str">
        <f>IF(A975="","",IFERROR(AVERAGEIF(Chicks!$C:$C,A975,Chicks!$K:$K),""))</f>
        <v/>
      </c>
      <c r="E975" s="6" t="str">
        <f>IF(A975="","",IFERROR(AVERAGEIF(Chicks!$C:$C,A975,Chicks!$L:$L),""))</f>
        <v/>
      </c>
      <c r="F975" s="6" t="str">
        <f>IF(A975="","",IFERROR(AVERAGEIF(Chicks!$C:$C,A975,Chicks!$M:$M),""))</f>
        <v/>
      </c>
      <c r="G975" s="6" t="str">
        <f>IF(A975="","",SUMIFS(Chicks!$N:$N,Chicks!$C:$C,A975))</f>
        <v/>
      </c>
      <c r="H975" s="6" t="str">
        <f>IF(A975="","",SUMIFS(Chicks!$O:$O,Chicks!$C:$C,A975))</f>
        <v/>
      </c>
      <c r="I975" s="6" t="str">
        <f>IF(A975="","",SUMIFS(Chicks!$P:$P,Chicks!$C:$C,A975))</f>
        <v/>
      </c>
    </row>
    <row r="976" spans="2:9" ht="14.25" customHeight="1" x14ac:dyDescent="0.3">
      <c r="B976" s="6" t="str">
        <f>IF(A976="","",COUNTIF(Chicks!$C:$C,A976))</f>
        <v/>
      </c>
      <c r="D976" s="6" t="str">
        <f>IF(A976="","",IFERROR(AVERAGEIF(Chicks!$C:$C,A976,Chicks!$K:$K),""))</f>
        <v/>
      </c>
      <c r="E976" s="6" t="str">
        <f>IF(A976="","",IFERROR(AVERAGEIF(Chicks!$C:$C,A976,Chicks!$L:$L),""))</f>
        <v/>
      </c>
      <c r="F976" s="6" t="str">
        <f>IF(A976="","",IFERROR(AVERAGEIF(Chicks!$C:$C,A976,Chicks!$M:$M),""))</f>
        <v/>
      </c>
      <c r="G976" s="6" t="str">
        <f>IF(A976="","",SUMIFS(Chicks!$N:$N,Chicks!$C:$C,A976))</f>
        <v/>
      </c>
      <c r="H976" s="6" t="str">
        <f>IF(A976="","",SUMIFS(Chicks!$O:$O,Chicks!$C:$C,A976))</f>
        <v/>
      </c>
      <c r="I976" s="6" t="str">
        <f>IF(A976="","",SUMIFS(Chicks!$P:$P,Chicks!$C:$C,A976))</f>
        <v/>
      </c>
    </row>
    <row r="977" spans="2:9" ht="14.25" customHeight="1" x14ac:dyDescent="0.3">
      <c r="B977" s="6" t="str">
        <f>IF(A977="","",COUNTIF(Chicks!$C:$C,A977))</f>
        <v/>
      </c>
      <c r="D977" s="6" t="str">
        <f>IF(A977="","",IFERROR(AVERAGEIF(Chicks!$C:$C,A977,Chicks!$K:$K),""))</f>
        <v/>
      </c>
      <c r="E977" s="6" t="str">
        <f>IF(A977="","",IFERROR(AVERAGEIF(Chicks!$C:$C,A977,Chicks!$L:$L),""))</f>
        <v/>
      </c>
      <c r="F977" s="6" t="str">
        <f>IF(A977="","",IFERROR(AVERAGEIF(Chicks!$C:$C,A977,Chicks!$M:$M),""))</f>
        <v/>
      </c>
      <c r="G977" s="6" t="str">
        <f>IF(A977="","",SUMIFS(Chicks!$N:$N,Chicks!$C:$C,A977))</f>
        <v/>
      </c>
      <c r="H977" s="6" t="str">
        <f>IF(A977="","",SUMIFS(Chicks!$O:$O,Chicks!$C:$C,A977))</f>
        <v/>
      </c>
      <c r="I977" s="6" t="str">
        <f>IF(A977="","",SUMIFS(Chicks!$P:$P,Chicks!$C:$C,A977))</f>
        <v/>
      </c>
    </row>
    <row r="978" spans="2:9" ht="14.25" customHeight="1" x14ac:dyDescent="0.3">
      <c r="B978" s="6" t="str">
        <f>IF(A978="","",COUNTIF(Chicks!$C:$C,A978))</f>
        <v/>
      </c>
      <c r="D978" s="6" t="str">
        <f>IF(A978="","",IFERROR(AVERAGEIF(Chicks!$C:$C,A978,Chicks!$K:$K),""))</f>
        <v/>
      </c>
      <c r="E978" s="6" t="str">
        <f>IF(A978="","",IFERROR(AVERAGEIF(Chicks!$C:$C,A978,Chicks!$L:$L),""))</f>
        <v/>
      </c>
      <c r="F978" s="6" t="str">
        <f>IF(A978="","",IFERROR(AVERAGEIF(Chicks!$C:$C,A978,Chicks!$M:$M),""))</f>
        <v/>
      </c>
      <c r="G978" s="6" t="str">
        <f>IF(A978="","",SUMIFS(Chicks!$N:$N,Chicks!$C:$C,A978))</f>
        <v/>
      </c>
      <c r="H978" s="6" t="str">
        <f>IF(A978="","",SUMIFS(Chicks!$O:$O,Chicks!$C:$C,A978))</f>
        <v/>
      </c>
      <c r="I978" s="6" t="str">
        <f>IF(A978="","",SUMIFS(Chicks!$P:$P,Chicks!$C:$C,A978))</f>
        <v/>
      </c>
    </row>
    <row r="979" spans="2:9" ht="14.25" customHeight="1" x14ac:dyDescent="0.3">
      <c r="B979" s="6" t="str">
        <f>IF(A979="","",COUNTIF(Chicks!$C:$C,A979))</f>
        <v/>
      </c>
      <c r="D979" s="6" t="str">
        <f>IF(A979="","",IFERROR(AVERAGEIF(Chicks!$C:$C,A979,Chicks!$K:$K),""))</f>
        <v/>
      </c>
      <c r="E979" s="6" t="str">
        <f>IF(A979="","",IFERROR(AVERAGEIF(Chicks!$C:$C,A979,Chicks!$L:$L),""))</f>
        <v/>
      </c>
      <c r="F979" s="6" t="str">
        <f>IF(A979="","",IFERROR(AVERAGEIF(Chicks!$C:$C,A979,Chicks!$M:$M),""))</f>
        <v/>
      </c>
      <c r="G979" s="6" t="str">
        <f>IF(A979="","",SUMIFS(Chicks!$N:$N,Chicks!$C:$C,A979))</f>
        <v/>
      </c>
      <c r="H979" s="6" t="str">
        <f>IF(A979="","",SUMIFS(Chicks!$O:$O,Chicks!$C:$C,A979))</f>
        <v/>
      </c>
      <c r="I979" s="6" t="str">
        <f>IF(A979="","",SUMIFS(Chicks!$P:$P,Chicks!$C:$C,A979))</f>
        <v/>
      </c>
    </row>
    <row r="980" spans="2:9" ht="14.25" customHeight="1" x14ac:dyDescent="0.3">
      <c r="B980" s="6" t="str">
        <f>IF(A980="","",COUNTIF(Chicks!$C:$C,A980))</f>
        <v/>
      </c>
      <c r="D980" s="6" t="str">
        <f>IF(A980="","",IFERROR(AVERAGEIF(Chicks!$C:$C,A980,Chicks!$K:$K),""))</f>
        <v/>
      </c>
      <c r="E980" s="6" t="str">
        <f>IF(A980="","",IFERROR(AVERAGEIF(Chicks!$C:$C,A980,Chicks!$L:$L),""))</f>
        <v/>
      </c>
      <c r="F980" s="6" t="str">
        <f>IF(A980="","",IFERROR(AVERAGEIF(Chicks!$C:$C,A980,Chicks!$M:$M),""))</f>
        <v/>
      </c>
      <c r="G980" s="6" t="str">
        <f>IF(A980="","",SUMIFS(Chicks!$N:$N,Chicks!$C:$C,A980))</f>
        <v/>
      </c>
      <c r="H980" s="6" t="str">
        <f>IF(A980="","",SUMIFS(Chicks!$O:$O,Chicks!$C:$C,A980))</f>
        <v/>
      </c>
      <c r="I980" s="6" t="str">
        <f>IF(A980="","",SUMIFS(Chicks!$P:$P,Chicks!$C:$C,A980))</f>
        <v/>
      </c>
    </row>
    <row r="981" spans="2:9" ht="14.25" customHeight="1" x14ac:dyDescent="0.3">
      <c r="B981" s="6" t="str">
        <f>IF(A981="","",COUNTIF(Chicks!$C:$C,A981))</f>
        <v/>
      </c>
      <c r="D981" s="6" t="str">
        <f>IF(A981="","",IFERROR(AVERAGEIF(Chicks!$C:$C,A981,Chicks!$K:$K),""))</f>
        <v/>
      </c>
      <c r="E981" s="6" t="str">
        <f>IF(A981="","",IFERROR(AVERAGEIF(Chicks!$C:$C,A981,Chicks!$L:$L),""))</f>
        <v/>
      </c>
      <c r="F981" s="6" t="str">
        <f>IF(A981="","",IFERROR(AVERAGEIF(Chicks!$C:$C,A981,Chicks!$M:$M),""))</f>
        <v/>
      </c>
      <c r="G981" s="6" t="str">
        <f>IF(A981="","",SUMIFS(Chicks!$N:$N,Chicks!$C:$C,A981))</f>
        <v/>
      </c>
      <c r="H981" s="6" t="str">
        <f>IF(A981="","",SUMIFS(Chicks!$O:$O,Chicks!$C:$C,A981))</f>
        <v/>
      </c>
      <c r="I981" s="6" t="str">
        <f>IF(A981="","",SUMIFS(Chicks!$P:$P,Chicks!$C:$C,A981))</f>
        <v/>
      </c>
    </row>
    <row r="982" spans="2:9" ht="14.25" customHeight="1" x14ac:dyDescent="0.3">
      <c r="B982" s="6" t="str">
        <f>IF(A982="","",COUNTIF(Chicks!$C:$C,A982))</f>
        <v/>
      </c>
      <c r="D982" s="6" t="str">
        <f>IF(A982="","",IFERROR(AVERAGEIF(Chicks!$C:$C,A982,Chicks!$K:$K),""))</f>
        <v/>
      </c>
      <c r="E982" s="6" t="str">
        <f>IF(A982="","",IFERROR(AVERAGEIF(Chicks!$C:$C,A982,Chicks!$L:$L),""))</f>
        <v/>
      </c>
      <c r="F982" s="6" t="str">
        <f>IF(A982="","",IFERROR(AVERAGEIF(Chicks!$C:$C,A982,Chicks!$M:$M),""))</f>
        <v/>
      </c>
      <c r="G982" s="6" t="str">
        <f>IF(A982="","",SUMIFS(Chicks!$N:$N,Chicks!$C:$C,A982))</f>
        <v/>
      </c>
      <c r="H982" s="6" t="str">
        <f>IF(A982="","",SUMIFS(Chicks!$O:$O,Chicks!$C:$C,A982))</f>
        <v/>
      </c>
      <c r="I982" s="6" t="str">
        <f>IF(A982="","",SUMIFS(Chicks!$P:$P,Chicks!$C:$C,A982))</f>
        <v/>
      </c>
    </row>
    <row r="983" spans="2:9" ht="14.25" customHeight="1" x14ac:dyDescent="0.3">
      <c r="B983" s="6" t="str">
        <f>IF(A983="","",COUNTIF(Chicks!$C:$C,A983))</f>
        <v/>
      </c>
      <c r="D983" s="6" t="str">
        <f>IF(A983="","",IFERROR(AVERAGEIF(Chicks!$C:$C,A983,Chicks!$K:$K),""))</f>
        <v/>
      </c>
      <c r="E983" s="6" t="str">
        <f>IF(A983="","",IFERROR(AVERAGEIF(Chicks!$C:$C,A983,Chicks!$L:$L),""))</f>
        <v/>
      </c>
      <c r="F983" s="6" t="str">
        <f>IF(A983="","",IFERROR(AVERAGEIF(Chicks!$C:$C,A983,Chicks!$M:$M),""))</f>
        <v/>
      </c>
      <c r="G983" s="6" t="str">
        <f>IF(A983="","",SUMIFS(Chicks!$N:$N,Chicks!$C:$C,A983))</f>
        <v/>
      </c>
      <c r="H983" s="6" t="str">
        <f>IF(A983="","",SUMIFS(Chicks!$O:$O,Chicks!$C:$C,A983))</f>
        <v/>
      </c>
      <c r="I983" s="6" t="str">
        <f>IF(A983="","",SUMIFS(Chicks!$P:$P,Chicks!$C:$C,A983))</f>
        <v/>
      </c>
    </row>
    <row r="984" spans="2:9" ht="14.25" customHeight="1" x14ac:dyDescent="0.3">
      <c r="B984" s="6" t="str">
        <f>IF(A984="","",COUNTIF(Chicks!$C:$C,A984))</f>
        <v/>
      </c>
      <c r="D984" s="6" t="str">
        <f>IF(A984="","",IFERROR(AVERAGEIF(Chicks!$C:$C,A984,Chicks!$K:$K),""))</f>
        <v/>
      </c>
      <c r="E984" s="6" t="str">
        <f>IF(A984="","",IFERROR(AVERAGEIF(Chicks!$C:$C,A984,Chicks!$L:$L),""))</f>
        <v/>
      </c>
      <c r="F984" s="6" t="str">
        <f>IF(A984="","",IFERROR(AVERAGEIF(Chicks!$C:$C,A984,Chicks!$M:$M),""))</f>
        <v/>
      </c>
      <c r="G984" s="6" t="str">
        <f>IF(A984="","",SUMIFS(Chicks!$N:$N,Chicks!$C:$C,A984))</f>
        <v/>
      </c>
      <c r="H984" s="6" t="str">
        <f>IF(A984="","",SUMIFS(Chicks!$O:$O,Chicks!$C:$C,A984))</f>
        <v/>
      </c>
      <c r="I984" s="6" t="str">
        <f>IF(A984="","",SUMIFS(Chicks!$P:$P,Chicks!$C:$C,A984))</f>
        <v/>
      </c>
    </row>
    <row r="985" spans="2:9" ht="14.25" customHeight="1" x14ac:dyDescent="0.3">
      <c r="B985" s="6" t="str">
        <f>IF(A985="","",COUNTIF(Chicks!$C:$C,A985))</f>
        <v/>
      </c>
      <c r="D985" s="6" t="str">
        <f>IF(A985="","",IFERROR(AVERAGEIF(Chicks!$C:$C,A985,Chicks!$K:$K),""))</f>
        <v/>
      </c>
      <c r="E985" s="6" t="str">
        <f>IF(A985="","",IFERROR(AVERAGEIF(Chicks!$C:$C,A985,Chicks!$L:$L),""))</f>
        <v/>
      </c>
      <c r="F985" s="6" t="str">
        <f>IF(A985="","",IFERROR(AVERAGEIF(Chicks!$C:$C,A985,Chicks!$M:$M),""))</f>
        <v/>
      </c>
      <c r="G985" s="6" t="str">
        <f>IF(A985="","",SUMIFS(Chicks!$N:$N,Chicks!$C:$C,A985))</f>
        <v/>
      </c>
      <c r="H985" s="6" t="str">
        <f>IF(A985="","",SUMIFS(Chicks!$O:$O,Chicks!$C:$C,A985))</f>
        <v/>
      </c>
      <c r="I985" s="6" t="str">
        <f>IF(A985="","",SUMIFS(Chicks!$P:$P,Chicks!$C:$C,A985))</f>
        <v/>
      </c>
    </row>
    <row r="986" spans="2:9" ht="14.25" customHeight="1" x14ac:dyDescent="0.3">
      <c r="B986" s="6" t="str">
        <f>IF(A986="","",COUNTIF(Chicks!$C:$C,A986))</f>
        <v/>
      </c>
      <c r="D986" s="6" t="str">
        <f>IF(A986="","",IFERROR(AVERAGEIF(Chicks!$C:$C,A986,Chicks!$K:$K),""))</f>
        <v/>
      </c>
      <c r="E986" s="6" t="str">
        <f>IF(A986="","",IFERROR(AVERAGEIF(Chicks!$C:$C,A986,Chicks!$L:$L),""))</f>
        <v/>
      </c>
      <c r="F986" s="6" t="str">
        <f>IF(A986="","",IFERROR(AVERAGEIF(Chicks!$C:$C,A986,Chicks!$M:$M),""))</f>
        <v/>
      </c>
      <c r="G986" s="6" t="str">
        <f>IF(A986="","",SUMIFS(Chicks!$N:$N,Chicks!$C:$C,A986))</f>
        <v/>
      </c>
      <c r="H986" s="6" t="str">
        <f>IF(A986="","",SUMIFS(Chicks!$O:$O,Chicks!$C:$C,A986))</f>
        <v/>
      </c>
      <c r="I986" s="6" t="str">
        <f>IF(A986="","",SUMIFS(Chicks!$P:$P,Chicks!$C:$C,A986))</f>
        <v/>
      </c>
    </row>
    <row r="987" spans="2:9" ht="14.25" customHeight="1" x14ac:dyDescent="0.3">
      <c r="B987" s="6" t="str">
        <f>IF(A987="","",COUNTIF(Chicks!$C:$C,A987))</f>
        <v/>
      </c>
      <c r="D987" s="6" t="str">
        <f>IF(A987="","",IFERROR(AVERAGEIF(Chicks!$C:$C,A987,Chicks!$K:$K),""))</f>
        <v/>
      </c>
      <c r="E987" s="6" t="str">
        <f>IF(A987="","",IFERROR(AVERAGEIF(Chicks!$C:$C,A987,Chicks!$L:$L),""))</f>
        <v/>
      </c>
      <c r="F987" s="6" t="str">
        <f>IF(A987="","",IFERROR(AVERAGEIF(Chicks!$C:$C,A987,Chicks!$M:$M),""))</f>
        <v/>
      </c>
      <c r="G987" s="6" t="str">
        <f>IF(A987="","",SUMIFS(Chicks!$N:$N,Chicks!$C:$C,A987))</f>
        <v/>
      </c>
      <c r="H987" s="6" t="str">
        <f>IF(A987="","",SUMIFS(Chicks!$O:$O,Chicks!$C:$C,A987))</f>
        <v/>
      </c>
      <c r="I987" s="6" t="str">
        <f>IF(A987="","",SUMIFS(Chicks!$P:$P,Chicks!$C:$C,A987))</f>
        <v/>
      </c>
    </row>
    <row r="988" spans="2:9" ht="14.25" customHeight="1" x14ac:dyDescent="0.3">
      <c r="B988" s="6" t="str">
        <f>IF(A988="","",COUNTIF(Chicks!$C:$C,A988))</f>
        <v/>
      </c>
      <c r="D988" s="6" t="str">
        <f>IF(A988="","",IFERROR(AVERAGEIF(Chicks!$C:$C,A988,Chicks!$K:$K),""))</f>
        <v/>
      </c>
      <c r="E988" s="6" t="str">
        <f>IF(A988="","",IFERROR(AVERAGEIF(Chicks!$C:$C,A988,Chicks!$L:$L),""))</f>
        <v/>
      </c>
      <c r="F988" s="6" t="str">
        <f>IF(A988="","",IFERROR(AVERAGEIF(Chicks!$C:$C,A988,Chicks!$M:$M),""))</f>
        <v/>
      </c>
      <c r="G988" s="6" t="str">
        <f>IF(A988="","",SUMIFS(Chicks!$N:$N,Chicks!$C:$C,A988))</f>
        <v/>
      </c>
      <c r="H988" s="6" t="str">
        <f>IF(A988="","",SUMIFS(Chicks!$O:$O,Chicks!$C:$C,A988))</f>
        <v/>
      </c>
      <c r="I988" s="6" t="str">
        <f>IF(A988="","",SUMIFS(Chicks!$P:$P,Chicks!$C:$C,A988))</f>
        <v/>
      </c>
    </row>
    <row r="989" spans="2:9" ht="14.25" customHeight="1" x14ac:dyDescent="0.3">
      <c r="B989" s="6" t="str">
        <f>IF(A989="","",COUNTIF(Chicks!$C:$C,A989))</f>
        <v/>
      </c>
      <c r="D989" s="6" t="str">
        <f>IF(A989="","",IFERROR(AVERAGEIF(Chicks!$C:$C,A989,Chicks!$K:$K),""))</f>
        <v/>
      </c>
      <c r="E989" s="6" t="str">
        <f>IF(A989="","",IFERROR(AVERAGEIF(Chicks!$C:$C,A989,Chicks!$L:$L),""))</f>
        <v/>
      </c>
      <c r="F989" s="6" t="str">
        <f>IF(A989="","",IFERROR(AVERAGEIF(Chicks!$C:$C,A989,Chicks!$M:$M),""))</f>
        <v/>
      </c>
      <c r="G989" s="6" t="str">
        <f>IF(A989="","",SUMIFS(Chicks!$N:$N,Chicks!$C:$C,A989))</f>
        <v/>
      </c>
      <c r="H989" s="6" t="str">
        <f>IF(A989="","",SUMIFS(Chicks!$O:$O,Chicks!$C:$C,A989))</f>
        <v/>
      </c>
      <c r="I989" s="6" t="str">
        <f>IF(A989="","",SUMIFS(Chicks!$P:$P,Chicks!$C:$C,A989))</f>
        <v/>
      </c>
    </row>
    <row r="990" spans="2:9" ht="14.25" customHeight="1" x14ac:dyDescent="0.3">
      <c r="B990" s="6" t="str">
        <f>IF(A990="","",COUNTIF(Chicks!$C:$C,A990))</f>
        <v/>
      </c>
      <c r="D990" s="6" t="str">
        <f>IF(A990="","",IFERROR(AVERAGEIF(Chicks!$C:$C,A990,Chicks!$K:$K),""))</f>
        <v/>
      </c>
      <c r="E990" s="6" t="str">
        <f>IF(A990="","",IFERROR(AVERAGEIF(Chicks!$C:$C,A990,Chicks!$L:$L),""))</f>
        <v/>
      </c>
      <c r="F990" s="6" t="str">
        <f>IF(A990="","",IFERROR(AVERAGEIF(Chicks!$C:$C,A990,Chicks!$M:$M),""))</f>
        <v/>
      </c>
      <c r="G990" s="6" t="str">
        <f>IF(A990="","",SUMIFS(Chicks!$N:$N,Chicks!$C:$C,A990))</f>
        <v/>
      </c>
      <c r="H990" s="6" t="str">
        <f>IF(A990="","",SUMIFS(Chicks!$O:$O,Chicks!$C:$C,A990))</f>
        <v/>
      </c>
      <c r="I990" s="6" t="str">
        <f>IF(A990="","",SUMIFS(Chicks!$P:$P,Chicks!$C:$C,A990))</f>
        <v/>
      </c>
    </row>
    <row r="991" spans="2:9" ht="14.25" customHeight="1" x14ac:dyDescent="0.3">
      <c r="B991" s="6" t="str">
        <f>IF(A991="","",COUNTIF(Chicks!$C:$C,A991))</f>
        <v/>
      </c>
      <c r="D991" s="6" t="str">
        <f>IF(A991="","",IFERROR(AVERAGEIF(Chicks!$C:$C,A991,Chicks!$K:$K),""))</f>
        <v/>
      </c>
      <c r="E991" s="6" t="str">
        <f>IF(A991="","",IFERROR(AVERAGEIF(Chicks!$C:$C,A991,Chicks!$L:$L),""))</f>
        <v/>
      </c>
      <c r="F991" s="6" t="str">
        <f>IF(A991="","",IFERROR(AVERAGEIF(Chicks!$C:$C,A991,Chicks!$M:$M),""))</f>
        <v/>
      </c>
      <c r="G991" s="6" t="str">
        <f>IF(A991="","",SUMIFS(Chicks!$N:$N,Chicks!$C:$C,A991))</f>
        <v/>
      </c>
      <c r="H991" s="6" t="str">
        <f>IF(A991="","",SUMIFS(Chicks!$O:$O,Chicks!$C:$C,A991))</f>
        <v/>
      </c>
      <c r="I991" s="6" t="str">
        <f>IF(A991="","",SUMIFS(Chicks!$P:$P,Chicks!$C:$C,A991))</f>
        <v/>
      </c>
    </row>
    <row r="992" spans="2:9" ht="14.25" customHeight="1" x14ac:dyDescent="0.3">
      <c r="B992" s="6" t="str">
        <f>IF(A992="","",COUNTIF(Chicks!$C:$C,A992))</f>
        <v/>
      </c>
      <c r="D992" s="6" t="str">
        <f>IF(A992="","",IFERROR(AVERAGEIF(Chicks!$C:$C,A992,Chicks!$K:$K),""))</f>
        <v/>
      </c>
      <c r="E992" s="6" t="str">
        <f>IF(A992="","",IFERROR(AVERAGEIF(Chicks!$C:$C,A992,Chicks!$L:$L),""))</f>
        <v/>
      </c>
      <c r="F992" s="6" t="str">
        <f>IF(A992="","",IFERROR(AVERAGEIF(Chicks!$C:$C,A992,Chicks!$M:$M),""))</f>
        <v/>
      </c>
      <c r="G992" s="6" t="str">
        <f>IF(A992="","",SUMIFS(Chicks!$N:$N,Chicks!$C:$C,A992))</f>
        <v/>
      </c>
      <c r="H992" s="6" t="str">
        <f>IF(A992="","",SUMIFS(Chicks!$O:$O,Chicks!$C:$C,A992))</f>
        <v/>
      </c>
      <c r="I992" s="6" t="str">
        <f>IF(A992="","",SUMIFS(Chicks!$P:$P,Chicks!$C:$C,A992))</f>
        <v/>
      </c>
    </row>
    <row r="993" spans="2:9" ht="14.25" customHeight="1" x14ac:dyDescent="0.3">
      <c r="B993" s="6" t="str">
        <f>IF(A993="","",COUNTIF(Chicks!$C:$C,A993))</f>
        <v/>
      </c>
      <c r="D993" s="6" t="str">
        <f>IF(A993="","",IFERROR(AVERAGEIF(Chicks!$C:$C,A993,Chicks!$K:$K),""))</f>
        <v/>
      </c>
      <c r="E993" s="6" t="str">
        <f>IF(A993="","",IFERROR(AVERAGEIF(Chicks!$C:$C,A993,Chicks!$L:$L),""))</f>
        <v/>
      </c>
      <c r="F993" s="6" t="str">
        <f>IF(A993="","",IFERROR(AVERAGEIF(Chicks!$C:$C,A993,Chicks!$M:$M),""))</f>
        <v/>
      </c>
      <c r="G993" s="6" t="str">
        <f>IF(A993="","",SUMIFS(Chicks!$N:$N,Chicks!$C:$C,A993))</f>
        <v/>
      </c>
      <c r="H993" s="6" t="str">
        <f>IF(A993="","",SUMIFS(Chicks!$O:$O,Chicks!$C:$C,A993))</f>
        <v/>
      </c>
      <c r="I993" s="6" t="str">
        <f>IF(A993="","",SUMIFS(Chicks!$P:$P,Chicks!$C:$C,A993))</f>
        <v/>
      </c>
    </row>
    <row r="994" spans="2:9" ht="14.25" customHeight="1" x14ac:dyDescent="0.3">
      <c r="B994" s="6" t="str">
        <f>IF(A994="","",COUNTIF(Chicks!$C:$C,A994))</f>
        <v/>
      </c>
      <c r="D994" s="6" t="str">
        <f>IF(A994="","",IFERROR(AVERAGEIF(Chicks!$C:$C,A994,Chicks!$K:$K),""))</f>
        <v/>
      </c>
      <c r="E994" s="6" t="str">
        <f>IF(A994="","",IFERROR(AVERAGEIF(Chicks!$C:$C,A994,Chicks!$L:$L),""))</f>
        <v/>
      </c>
      <c r="F994" s="6" t="str">
        <f>IF(A994="","",IFERROR(AVERAGEIF(Chicks!$C:$C,A994,Chicks!$M:$M),""))</f>
        <v/>
      </c>
      <c r="G994" s="6" t="str">
        <f>IF(A994="","",SUMIFS(Chicks!$N:$N,Chicks!$C:$C,A994))</f>
        <v/>
      </c>
      <c r="H994" s="6" t="str">
        <f>IF(A994="","",SUMIFS(Chicks!$O:$O,Chicks!$C:$C,A994))</f>
        <v/>
      </c>
      <c r="I994" s="6" t="str">
        <f>IF(A994="","",SUMIFS(Chicks!$P:$P,Chicks!$C:$C,A994))</f>
        <v/>
      </c>
    </row>
    <row r="995" spans="2:9" ht="14.25" customHeight="1" x14ac:dyDescent="0.3">
      <c r="B995" s="6" t="str">
        <f>IF(A995="","",COUNTIF(Chicks!$C:$C,A995))</f>
        <v/>
      </c>
      <c r="D995" s="6" t="str">
        <f>IF(A995="","",IFERROR(AVERAGEIF(Chicks!$C:$C,A995,Chicks!$K:$K),""))</f>
        <v/>
      </c>
      <c r="E995" s="6" t="str">
        <f>IF(A995="","",IFERROR(AVERAGEIF(Chicks!$C:$C,A995,Chicks!$L:$L),""))</f>
        <v/>
      </c>
      <c r="F995" s="6" t="str">
        <f>IF(A995="","",IFERROR(AVERAGEIF(Chicks!$C:$C,A995,Chicks!$M:$M),""))</f>
        <v/>
      </c>
      <c r="G995" s="6" t="str">
        <f>IF(A995="","",SUMIFS(Chicks!$N:$N,Chicks!$C:$C,A995))</f>
        <v/>
      </c>
      <c r="H995" s="6" t="str">
        <f>IF(A995="","",SUMIFS(Chicks!$O:$O,Chicks!$C:$C,A995))</f>
        <v/>
      </c>
      <c r="I995" s="6" t="str">
        <f>IF(A995="","",SUMIFS(Chicks!$P:$P,Chicks!$C:$C,A995))</f>
        <v/>
      </c>
    </row>
    <row r="996" spans="2:9" ht="14.25" customHeight="1" x14ac:dyDescent="0.3">
      <c r="B996" s="6" t="str">
        <f>IF(A996="","",COUNTIF(Chicks!$C:$C,A996))</f>
        <v/>
      </c>
      <c r="D996" s="6" t="str">
        <f>IF(A996="","",IFERROR(AVERAGEIF(Chicks!$C:$C,A996,Chicks!$K:$K),""))</f>
        <v/>
      </c>
      <c r="E996" s="6" t="str">
        <f>IF(A996="","",IFERROR(AVERAGEIF(Chicks!$C:$C,A996,Chicks!$L:$L),""))</f>
        <v/>
      </c>
      <c r="F996" s="6" t="str">
        <f>IF(A996="","",IFERROR(AVERAGEIF(Chicks!$C:$C,A996,Chicks!$M:$M),""))</f>
        <v/>
      </c>
      <c r="G996" s="6" t="str">
        <f>IF(A996="","",SUMIFS(Chicks!$N:$N,Chicks!$C:$C,A996))</f>
        <v/>
      </c>
      <c r="H996" s="6" t="str">
        <f>IF(A996="","",SUMIFS(Chicks!$O:$O,Chicks!$C:$C,A996))</f>
        <v/>
      </c>
      <c r="I996" s="6" t="str">
        <f>IF(A996="","",SUMIFS(Chicks!$P:$P,Chicks!$C:$C,A996))</f>
        <v/>
      </c>
    </row>
    <row r="997" spans="2:9" ht="14.25" customHeight="1" x14ac:dyDescent="0.3">
      <c r="B997" s="6" t="str">
        <f>IF(A997="","",COUNTIF(Chicks!$C:$C,A997))</f>
        <v/>
      </c>
      <c r="D997" s="6" t="str">
        <f>IF(A997="","",IFERROR(AVERAGEIF(Chicks!$C:$C,A997,Chicks!$K:$K),""))</f>
        <v/>
      </c>
      <c r="E997" s="6" t="str">
        <f>IF(A997="","",IFERROR(AVERAGEIF(Chicks!$C:$C,A997,Chicks!$L:$L),""))</f>
        <v/>
      </c>
      <c r="F997" s="6" t="str">
        <f>IF(A997="","",IFERROR(AVERAGEIF(Chicks!$C:$C,A997,Chicks!$M:$M),""))</f>
        <v/>
      </c>
      <c r="G997" s="6" t="str">
        <f>IF(A997="","",SUMIFS(Chicks!$N:$N,Chicks!$C:$C,A997))</f>
        <v/>
      </c>
      <c r="H997" s="6" t="str">
        <f>IF(A997="","",SUMIFS(Chicks!$O:$O,Chicks!$C:$C,A997))</f>
        <v/>
      </c>
      <c r="I997" s="6" t="str">
        <f>IF(A997="","",SUMIFS(Chicks!$P:$P,Chicks!$C:$C,A997))</f>
        <v/>
      </c>
    </row>
    <row r="998" spans="2:9" ht="14.25" customHeight="1" x14ac:dyDescent="0.3">
      <c r="B998" s="6" t="str">
        <f>IF(A998="","",COUNTIF(Chicks!$C:$C,A998))</f>
        <v/>
      </c>
      <c r="D998" s="6" t="str">
        <f>IF(A998="","",IFERROR(AVERAGEIF(Chicks!$C:$C,A998,Chicks!$K:$K),""))</f>
        <v/>
      </c>
      <c r="E998" s="6" t="str">
        <f>IF(A998="","",IFERROR(AVERAGEIF(Chicks!$C:$C,A998,Chicks!$L:$L),""))</f>
        <v/>
      </c>
      <c r="F998" s="6" t="str">
        <f>IF(A998="","",IFERROR(AVERAGEIF(Chicks!$C:$C,A998,Chicks!$M:$M),""))</f>
        <v/>
      </c>
      <c r="G998" s="6" t="str">
        <f>IF(A998="","",SUMIFS(Chicks!$N:$N,Chicks!$C:$C,A998))</f>
        <v/>
      </c>
      <c r="H998" s="6" t="str">
        <f>IF(A998="","",SUMIFS(Chicks!$O:$O,Chicks!$C:$C,A998))</f>
        <v/>
      </c>
      <c r="I998" s="6" t="str">
        <f>IF(A998="","",SUMIFS(Chicks!$P:$P,Chicks!$C:$C,A998))</f>
        <v/>
      </c>
    </row>
    <row r="999" spans="2:9" ht="14.25" customHeight="1" x14ac:dyDescent="0.3">
      <c r="B999" s="6" t="str">
        <f>IF(A999="","",COUNTIF(Chicks!$C:$C,A999))</f>
        <v/>
      </c>
      <c r="D999" s="6" t="str">
        <f>IF(A999="","",IFERROR(AVERAGEIF(Chicks!$C:$C,A999,Chicks!$K:$K),""))</f>
        <v/>
      </c>
      <c r="E999" s="6" t="str">
        <f>IF(A999="","",IFERROR(AVERAGEIF(Chicks!$C:$C,A999,Chicks!$L:$L),""))</f>
        <v/>
      </c>
      <c r="F999" s="6" t="str">
        <f>IF(A999="","",IFERROR(AVERAGEIF(Chicks!$C:$C,A999,Chicks!$M:$M),""))</f>
        <v/>
      </c>
      <c r="G999" s="6" t="str">
        <f>IF(A999="","",SUMIFS(Chicks!$N:$N,Chicks!$C:$C,A999))</f>
        <v/>
      </c>
      <c r="H999" s="6" t="str">
        <f>IF(A999="","",SUMIFS(Chicks!$O:$O,Chicks!$C:$C,A999))</f>
        <v/>
      </c>
      <c r="I999" s="6" t="str">
        <f>IF(A999="","",SUMIFS(Chicks!$P:$P,Chicks!$C:$C,A999))</f>
        <v/>
      </c>
    </row>
    <row r="1000" spans="2:9" ht="14.25" customHeight="1" x14ac:dyDescent="0.3">
      <c r="B1000" s="6" t="str">
        <f>IF(A1000="","",COUNTIF(Chicks!$C:$C,A1000))</f>
        <v/>
      </c>
      <c r="D1000" s="6" t="str">
        <f>IF(A1000="","",IFERROR(AVERAGEIF(Chicks!$C:$C,A1000,Chicks!$K:$K),""))</f>
        <v/>
      </c>
      <c r="E1000" s="6" t="str">
        <f>IF(A1000="","",IFERROR(AVERAGEIF(Chicks!$C:$C,A1000,Chicks!$L:$L),""))</f>
        <v/>
      </c>
      <c r="F1000" s="6" t="str">
        <f>IF(A1000="","",IFERROR(AVERAGEIF(Chicks!$C:$C,A1000,Chicks!$M:$M),""))</f>
        <v/>
      </c>
      <c r="G1000" s="6" t="str">
        <f>IF(A1000="","",SUMIFS(Chicks!$N:$N,Chicks!$C:$C,A1000))</f>
        <v/>
      </c>
      <c r="H1000" s="6" t="str">
        <f>IF(A1000="","",SUMIFS(Chicks!$O:$O,Chicks!$C:$C,A1000))</f>
        <v/>
      </c>
      <c r="I1000" s="6" t="str">
        <f>IF(A1000="","",SUMIFS(Chicks!$P:$P,Chicks!$C:$C,A1000))</f>
        <v/>
      </c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defaultColWidth="14.44140625" defaultRowHeight="15" customHeight="1" x14ac:dyDescent="0.3"/>
  <cols>
    <col min="1" max="2" width="14" customWidth="1"/>
    <col min="3" max="3" width="15.33203125" customWidth="1"/>
    <col min="4" max="4" width="16.33203125" customWidth="1"/>
    <col min="5" max="5" width="16" customWidth="1"/>
    <col min="6" max="6" width="16.109375" customWidth="1"/>
    <col min="7" max="7" width="15.88671875" customWidth="1"/>
    <col min="8" max="8" width="8.109375" customWidth="1"/>
    <col min="9" max="9" width="9.109375" customWidth="1"/>
    <col min="10" max="26" width="8.6640625" customWidth="1"/>
  </cols>
  <sheetData>
    <row r="1" spans="1:9" ht="14.25" customHeight="1" x14ac:dyDescent="0.3">
      <c r="A1" s="11" t="s">
        <v>132</v>
      </c>
      <c r="B1" s="11" t="s">
        <v>131</v>
      </c>
      <c r="C1" s="11" t="s">
        <v>97</v>
      </c>
      <c r="D1" s="11" t="s">
        <v>43</v>
      </c>
      <c r="E1" s="11" t="s">
        <v>44</v>
      </c>
      <c r="F1" s="12" t="s">
        <v>45</v>
      </c>
      <c r="G1" s="12" t="s">
        <v>46</v>
      </c>
      <c r="H1" s="12" t="s">
        <v>47</v>
      </c>
      <c r="I1" s="12" t="s">
        <v>48</v>
      </c>
    </row>
    <row r="2" spans="1:9" ht="14.25" customHeight="1" x14ac:dyDescent="0.3">
      <c r="A2" s="4" t="s">
        <v>133</v>
      </c>
      <c r="B2" s="4">
        <f>SUMPRODUCT(--(TEXT(Chicks!$D$2:$D$9992,"mmmm")=A2))</f>
        <v>9953</v>
      </c>
      <c r="C2" s="4" t="s">
        <v>159</v>
      </c>
      <c r="D2" s="6">
        <f>IF($B2=0,"",SUMPRODUCT(--(TEXT(Chicks!$D$2:$D$9992,"mmmm")=A2),Chicks!$K$2:$K$9992)/$B2)</f>
        <v>0</v>
      </c>
      <c r="E2" s="6">
        <f>IF($B2=0,"",SUMPRODUCT(--(TEXT(Chicks!$D$2:$D$9992,"mmmm")=A2),Chicks!$L$2:$L$9992)/$B2)</f>
        <v>0</v>
      </c>
      <c r="F2" s="7">
        <f>IF($B2=0,"",SUMPRODUCT(--(TEXT(Chicks!$D$2:$D$9992,"mmmm")=A2),Chicks!$M$2:$M$9992)/$B2)</f>
        <v>0</v>
      </c>
      <c r="G2" s="6">
        <f>SUMPRODUCT(--(TEXT(Chicks!$D$2:$D$9992,"mmmm")=A2),Chicks!$N$2:$N$9992)</f>
        <v>0</v>
      </c>
      <c r="H2" s="6">
        <f>SUMPRODUCT(--(TEXT(Chicks!$D$2:$D$9992,"mmmm")=A2),Chicks!$O$2:$O$9992)</f>
        <v>0</v>
      </c>
      <c r="I2" s="6">
        <f>SUMPRODUCT(--(TEXT(Chicks!$D$2:$D$9992,"mmmm")=A2),Chicks!$P$2:$P$9992)</f>
        <v>0</v>
      </c>
    </row>
    <row r="3" spans="1:9" ht="14.25" customHeight="1" x14ac:dyDescent="0.3">
      <c r="A3" s="4" t="s">
        <v>134</v>
      </c>
      <c r="B3" s="4">
        <f>SUMPRODUCT(--(TEXT(Chicks!$D$2:$D$9992,"mmmm")=A3))</f>
        <v>0</v>
      </c>
      <c r="C3" s="4" t="s">
        <v>159</v>
      </c>
      <c r="D3" s="6" t="str">
        <f>IF($B3=0,"",SUMPRODUCT(--(TEXT(Chicks!$D$2:$D$9992,"mmmm")=A3),Chicks!$K$2:$K$9992)/$B3)</f>
        <v/>
      </c>
      <c r="E3" s="6" t="str">
        <f>IF($B3=0,"",SUMPRODUCT(--(TEXT(Chicks!$D$2:$D$9992,"mmmm")=A3),Chicks!$L$2:$L$9992)/$B3)</f>
        <v/>
      </c>
      <c r="F3" s="7" t="str">
        <f>IF($B3=0,"",SUMPRODUCT(--(TEXT(Chicks!$D$2:$D$9992,"mmmm")=A3),Chicks!$M$2:$M$9992)/$B3)</f>
        <v/>
      </c>
      <c r="G3" s="6">
        <f>SUMPRODUCT(--(TEXT(Chicks!$D$2:$D$9992,"mmmm")=A3),Chicks!$N$2:$N$9992)</f>
        <v>0</v>
      </c>
      <c r="H3" s="6">
        <f>SUMPRODUCT(--(TEXT(Chicks!$D$2:$D$9992,"mmmm")=A3),Chicks!$O$2:$O$9992)</f>
        <v>0</v>
      </c>
      <c r="I3" s="6">
        <f>SUMPRODUCT(--(TEXT(Chicks!$D$2:$D$9992,"mmmm")=A3),Chicks!$P$2:$P$9992)</f>
        <v>0</v>
      </c>
    </row>
    <row r="4" spans="1:9" ht="14.25" customHeight="1" x14ac:dyDescent="0.3">
      <c r="A4" s="4" t="s">
        <v>135</v>
      </c>
      <c r="B4" s="4">
        <f>SUMPRODUCT(--(TEXT(Chicks!$D$2:$D$9992,"mmmm")=A4))</f>
        <v>0</v>
      </c>
      <c r="C4" s="4" t="s">
        <v>159</v>
      </c>
      <c r="D4" s="6" t="str">
        <f>IF($B4=0,"",SUMPRODUCT(--(TEXT(Chicks!$D$2:$D$9992,"mmmm")=A4),Chicks!$K$2:$K$9992)/$B4)</f>
        <v/>
      </c>
      <c r="E4" s="6" t="str">
        <f>IF($B4=0,"",SUMPRODUCT(--(TEXT(Chicks!$D$2:$D$9992,"mmmm")=A4),Chicks!$L$2:$L$9992)/$B4)</f>
        <v/>
      </c>
      <c r="F4" s="7" t="str">
        <f>IF($B4=0,"",SUMPRODUCT(--(TEXT(Chicks!$D$2:$D$9992,"mmmm")=A4),Chicks!$M$2:$M$9992)/$B4)</f>
        <v/>
      </c>
      <c r="G4" s="6">
        <f>SUMPRODUCT(--(TEXT(Chicks!$D$2:$D$9992,"mmmm")=A4),Chicks!$N$2:$N$9992)</f>
        <v>0</v>
      </c>
      <c r="H4" s="6">
        <f>SUMPRODUCT(--(TEXT(Chicks!$D$2:$D$9992,"mmmm")=A4),Chicks!$O$2:$O$9992)</f>
        <v>0</v>
      </c>
      <c r="I4" s="6">
        <f>SUMPRODUCT(--(TEXT(Chicks!$D$2:$D$9992,"mmmm")=A4),Chicks!$P$2:$P$9992)</f>
        <v>0</v>
      </c>
    </row>
    <row r="5" spans="1:9" ht="14.25" customHeight="1" x14ac:dyDescent="0.3">
      <c r="A5" s="4" t="s">
        <v>136</v>
      </c>
      <c r="B5" s="4">
        <f>SUMPRODUCT(--(TEXT(Chicks!$D$2:$D$9992,"mmmm")=A5))</f>
        <v>0</v>
      </c>
      <c r="C5" s="4" t="s">
        <v>159</v>
      </c>
      <c r="D5" s="6" t="str">
        <f>IF($B5=0,"",SUMPRODUCT(--(TEXT(Chicks!$D$2:$D$9992,"mmmm")=A5),Chicks!$K$2:$K$9992)/$B5)</f>
        <v/>
      </c>
      <c r="E5" s="6" t="str">
        <f>IF($B5=0,"",SUMPRODUCT(--(TEXT(Chicks!$D$2:$D$9992,"mmmm")=A5),Chicks!$L$2:$L$9992)/$B5)</f>
        <v/>
      </c>
      <c r="F5" s="7" t="str">
        <f>IF($B5=0,"",SUMPRODUCT(--(TEXT(Chicks!$D$2:$D$9992,"mmmm")=A5),Chicks!$M$2:$M$9992)/$B5)</f>
        <v/>
      </c>
      <c r="G5" s="6">
        <f>SUMPRODUCT(--(TEXT(Chicks!$D$2:$D$9992,"mmmm")=A5),Chicks!$N$2:$N$9992)</f>
        <v>0</v>
      </c>
      <c r="H5" s="6">
        <f>SUMPRODUCT(--(TEXT(Chicks!$D$2:$D$9992,"mmmm")=A5),Chicks!$O$2:$O$9992)</f>
        <v>0</v>
      </c>
      <c r="I5" s="6">
        <f>SUMPRODUCT(--(TEXT(Chicks!$D$2:$D$9992,"mmmm")=A5),Chicks!$P$2:$P$9992)</f>
        <v>0</v>
      </c>
    </row>
    <row r="6" spans="1:9" ht="14.25" customHeight="1" x14ac:dyDescent="0.3">
      <c r="A6" s="4" t="s">
        <v>137</v>
      </c>
      <c r="B6" s="4">
        <f>SUMPRODUCT(--(TEXT(Chicks!$D$2:$D$9992,"mmmm")=A6))</f>
        <v>0</v>
      </c>
      <c r="C6" s="4" t="s">
        <v>159</v>
      </c>
      <c r="D6" s="6" t="str">
        <f>IF($B6=0,"",SUMPRODUCT(--(TEXT(Chicks!$D$2:$D$9992,"mmmm")=A6),Chicks!$K$2:$K$9992)/$B6)</f>
        <v/>
      </c>
      <c r="E6" s="6" t="str">
        <f>IF($B6=0,"",SUMPRODUCT(--(TEXT(Chicks!$D$2:$D$9992,"mmmm")=A6),Chicks!$L$2:$L$9992)/$B6)</f>
        <v/>
      </c>
      <c r="F6" s="7" t="str">
        <f>IF($B6=0,"",SUMPRODUCT(--(TEXT(Chicks!$D$2:$D$9992,"mmmm")=A6),Chicks!$M$2:$M$9992)/$B6)</f>
        <v/>
      </c>
      <c r="G6" s="6">
        <f>SUMPRODUCT(--(TEXT(Chicks!$D$2:$D$9992,"mmmm")=A6),Chicks!$N$2:$N$9992)</f>
        <v>0</v>
      </c>
      <c r="H6" s="6">
        <f>SUMPRODUCT(--(TEXT(Chicks!$D$2:$D$9992,"mmmm")=A6),Chicks!$O$2:$O$9992)</f>
        <v>0</v>
      </c>
      <c r="I6" s="6">
        <f>SUMPRODUCT(--(TEXT(Chicks!$D$2:$D$9992,"mmmm")=A6),Chicks!$P$2:$P$9992)</f>
        <v>0</v>
      </c>
    </row>
    <row r="7" spans="1:9" ht="14.25" customHeight="1" x14ac:dyDescent="0.3">
      <c r="A7" s="4" t="s">
        <v>138</v>
      </c>
      <c r="B7" s="4">
        <f>SUMPRODUCT(--(TEXT(Chicks!$D$2:$D$9992,"mmmm")=A7))</f>
        <v>0</v>
      </c>
      <c r="C7" s="4" t="s">
        <v>159</v>
      </c>
      <c r="D7" s="6" t="str">
        <f>IF($B7=0,"",SUMPRODUCT(--(TEXT(Chicks!$D$2:$D$9992,"mmmm")=A7),Chicks!$K$2:$K$9992)/$B7)</f>
        <v/>
      </c>
      <c r="E7" s="6" t="str">
        <f>IF($B7=0,"",SUMPRODUCT(--(TEXT(Chicks!$D$2:$D$9992,"mmmm")=A7),Chicks!$L$2:$L$9992)/$B7)</f>
        <v/>
      </c>
      <c r="F7" s="7" t="str">
        <f>IF($B7=0,"",SUMPRODUCT(--(TEXT(Chicks!$D$2:$D$9992,"mmmm")=A7),Chicks!$M$2:$M$9992)/$B7)</f>
        <v/>
      </c>
      <c r="G7" s="6">
        <f>SUMPRODUCT(--(TEXT(Chicks!$D$2:$D$9992,"mmmm")=A7),Chicks!$N$2:$N$9992)</f>
        <v>0</v>
      </c>
      <c r="H7" s="6">
        <f>SUMPRODUCT(--(TEXT(Chicks!$D$2:$D$9992,"mmmm")=A7),Chicks!$O$2:$O$9992)</f>
        <v>0</v>
      </c>
      <c r="I7" s="6">
        <f>SUMPRODUCT(--(TEXT(Chicks!$D$2:$D$9992,"mmmm")=A7),Chicks!$P$2:$P$9992)</f>
        <v>0</v>
      </c>
    </row>
    <row r="8" spans="1:9" ht="14.25" customHeight="1" x14ac:dyDescent="0.3">
      <c r="A8" s="4" t="s">
        <v>139</v>
      </c>
      <c r="B8" s="4">
        <f>SUMPRODUCT(--(TEXT(Chicks!$D$2:$D$9992,"mmmm")=A8))</f>
        <v>9</v>
      </c>
      <c r="C8" s="4" t="s">
        <v>159</v>
      </c>
      <c r="D8" s="6">
        <f>IF($B8=0,"",SUMPRODUCT(--(TEXT(Chicks!$D$2:$D$9992,"mmmm")=A8),Chicks!$K$2:$K$9992)/$B8)</f>
        <v>0</v>
      </c>
      <c r="E8" s="6">
        <f>IF($B8=0,"",SUMPRODUCT(--(TEXT(Chicks!$D$2:$D$9992,"mmmm")=A8),Chicks!$L$2:$L$9992)/$B8)</f>
        <v>0</v>
      </c>
      <c r="F8" s="7">
        <f>IF($B8=0,"",SUMPRODUCT(--(TEXT(Chicks!$D$2:$D$9992,"mmmm")=A8),Chicks!$M$2:$M$9992)/$B8)</f>
        <v>0</v>
      </c>
      <c r="G8" s="6">
        <f>SUMPRODUCT(--(TEXT(Chicks!$D$2:$D$9992,"mmmm")=A8),Chicks!$N$2:$N$9992)</f>
        <v>0</v>
      </c>
      <c r="H8" s="6">
        <f>SUMPRODUCT(--(TEXT(Chicks!$D$2:$D$9992,"mmmm")=A8),Chicks!$O$2:$O$9992)</f>
        <v>0</v>
      </c>
      <c r="I8" s="6">
        <f>SUMPRODUCT(--(TEXT(Chicks!$D$2:$D$9992,"mmmm")=A8),Chicks!$P$2:$P$9992)</f>
        <v>0</v>
      </c>
    </row>
    <row r="9" spans="1:9" ht="14.25" customHeight="1" x14ac:dyDescent="0.3">
      <c r="A9" s="4" t="s">
        <v>140</v>
      </c>
      <c r="B9" s="4">
        <f>SUMPRODUCT(--(TEXT(Chicks!$D$2:$D$9992,"mmmm")=A9))</f>
        <v>0</v>
      </c>
      <c r="C9" s="4" t="s">
        <v>159</v>
      </c>
      <c r="D9" s="6" t="str">
        <f>IF($B9=0,"",SUMPRODUCT(--(TEXT(Chicks!$D$2:$D$9992,"mmmm")=A9),Chicks!$K$2:$K$9992)/$B9)</f>
        <v/>
      </c>
      <c r="E9" s="6" t="str">
        <f>IF($B9=0,"",SUMPRODUCT(--(TEXT(Chicks!$D$2:$D$9992,"mmmm")=A9),Chicks!$L$2:$L$9992)/$B9)</f>
        <v/>
      </c>
      <c r="F9" s="7" t="str">
        <f>IF($B9=0,"",SUMPRODUCT(--(TEXT(Chicks!$D$2:$D$9992,"mmmm")=A9),Chicks!$M$2:$M$9992)/$B9)</f>
        <v/>
      </c>
      <c r="G9" s="6">
        <f>SUMPRODUCT(--(TEXT(Chicks!$D$2:$D$9992,"mmmm")=A9),Chicks!$N$2:$N$9992)</f>
        <v>0</v>
      </c>
      <c r="H9" s="6">
        <f>SUMPRODUCT(--(TEXT(Chicks!$D$2:$D$9992,"mmmm")=A9),Chicks!$O$2:$O$9992)</f>
        <v>0</v>
      </c>
      <c r="I9" s="6">
        <f>SUMPRODUCT(--(TEXT(Chicks!$D$2:$D$9992,"mmmm")=A9),Chicks!$P$2:$P$9992)</f>
        <v>0</v>
      </c>
    </row>
    <row r="10" spans="1:9" ht="14.25" customHeight="1" x14ac:dyDescent="0.3">
      <c r="A10" s="4" t="s">
        <v>141</v>
      </c>
      <c r="B10" s="4">
        <f>SUMPRODUCT(--(TEXT(Chicks!$D$2:$D$9992,"mmmm")=A10))</f>
        <v>12</v>
      </c>
      <c r="C10" s="4" t="s">
        <v>159</v>
      </c>
      <c r="D10" s="6">
        <f>IF($B10=0,"",SUMPRODUCT(--(TEXT(Chicks!$D$2:$D$9992,"mmmm")=A10),Chicks!$K$2:$K$9992)/$B10)</f>
        <v>21.708333333333332</v>
      </c>
      <c r="E10" s="6">
        <f>IF($B10=0,"",SUMPRODUCT(--(TEXT(Chicks!$D$2:$D$9992,"mmmm")=A10),Chicks!$L$2:$L$9992)/$B10)</f>
        <v>2.1666666666666665</v>
      </c>
      <c r="F10" s="7">
        <f>IF($B10=0,"",SUMPRODUCT(--(TEXT(Chicks!$D$2:$D$9992,"mmmm")=A10),Chicks!$M$2:$M$9992)/$B10)</f>
        <v>0.19816986136082959</v>
      </c>
      <c r="G10" s="6">
        <f>SUMPRODUCT(--(TEXT(Chicks!$D$2:$D$9992,"mmmm")=A10),Chicks!$N$2:$N$9992)</f>
        <v>1</v>
      </c>
      <c r="H10" s="6">
        <f>SUMPRODUCT(--(TEXT(Chicks!$D$2:$D$9992,"mmmm")=A10),Chicks!$O$2:$O$9992)</f>
        <v>0</v>
      </c>
      <c r="I10" s="6">
        <f>SUMPRODUCT(--(TEXT(Chicks!$D$2:$D$9992,"mmmm")=A10),Chicks!$P$2:$P$9992)</f>
        <v>2</v>
      </c>
    </row>
    <row r="11" spans="1:9" ht="14.25" customHeight="1" x14ac:dyDescent="0.3">
      <c r="A11" s="4" t="s">
        <v>142</v>
      </c>
      <c r="B11" s="4">
        <f>SUMPRODUCT(--(TEXT(Chicks!$D$2:$D$9992,"mmmm")=A11))</f>
        <v>7</v>
      </c>
      <c r="C11" s="4" t="s">
        <v>159</v>
      </c>
      <c r="D11" s="6">
        <f>IF($B11=0,"",SUMPRODUCT(--(TEXT(Chicks!$D$2:$D$9992,"mmmm")=A11),Chicks!$K$2:$K$9992)/$B11)</f>
        <v>35.5</v>
      </c>
      <c r="E11" s="6">
        <f>IF($B11=0,"",SUMPRODUCT(--(TEXT(Chicks!$D$2:$D$9992,"mmmm")=A11),Chicks!$L$2:$L$9992)/$B11)</f>
        <v>3.7857142857142856</v>
      </c>
      <c r="F11" s="7">
        <f>IF($B11=0,"",SUMPRODUCT(--(TEXT(Chicks!$D$2:$D$9992,"mmmm")=A11),Chicks!$M$2:$M$9992)/$B11)</f>
        <v>0.19815386680988187</v>
      </c>
      <c r="G11" s="6">
        <f>SUMPRODUCT(--(TEXT(Chicks!$D$2:$D$9992,"mmmm")=A11),Chicks!$N$2:$N$9992)</f>
        <v>0</v>
      </c>
      <c r="H11" s="6">
        <f>SUMPRODUCT(--(TEXT(Chicks!$D$2:$D$9992,"mmmm")=A11),Chicks!$O$2:$O$9992)</f>
        <v>0</v>
      </c>
      <c r="I11" s="6">
        <f>SUMPRODUCT(--(TEXT(Chicks!$D$2:$D$9992,"mmmm")=A11),Chicks!$P$2:$P$9992)</f>
        <v>0</v>
      </c>
    </row>
    <row r="12" spans="1:9" ht="14.25" customHeight="1" x14ac:dyDescent="0.3">
      <c r="A12" s="4" t="s">
        <v>143</v>
      </c>
      <c r="B12" s="4">
        <f>SUMPRODUCT(--(TEXT(Chicks!$D$2:$D$9992,"mmmm")=A12))</f>
        <v>10</v>
      </c>
      <c r="C12" s="4" t="s">
        <v>159</v>
      </c>
      <c r="D12" s="6">
        <f>IF($B12=0,"",SUMPRODUCT(--(TEXT(Chicks!$D$2:$D$9992,"mmmm")=A12),Chicks!$K$2:$K$9992)/$B12)</f>
        <v>26.95</v>
      </c>
      <c r="E12" s="6">
        <f>IF($B12=0,"",SUMPRODUCT(--(TEXT(Chicks!$D$2:$D$9992,"mmmm")=A12),Chicks!$L$2:$L$9992)/$B12)</f>
        <v>2.9</v>
      </c>
      <c r="F12" s="7">
        <f>IF($B12=0,"",SUMPRODUCT(--(TEXT(Chicks!$D$2:$D$9992,"mmmm")=A12),Chicks!$M$2:$M$9992)/$B12)</f>
        <v>0.12373706004140787</v>
      </c>
      <c r="G12" s="6">
        <f>SUMPRODUCT(--(TEXT(Chicks!$D$2:$D$9992,"mmmm")=A12),Chicks!$N$2:$N$9992)</f>
        <v>0</v>
      </c>
      <c r="H12" s="6">
        <f>SUMPRODUCT(--(TEXT(Chicks!$D$2:$D$9992,"mmmm")=A12),Chicks!$O$2:$O$9992)</f>
        <v>0</v>
      </c>
      <c r="I12" s="6">
        <f>SUMPRODUCT(--(TEXT(Chicks!$D$2:$D$9992,"mmmm")=A12),Chicks!$P$2:$P$9992)</f>
        <v>0</v>
      </c>
    </row>
    <row r="13" spans="1:9" ht="14.25" customHeight="1" x14ac:dyDescent="0.3">
      <c r="A13" s="4" t="s">
        <v>144</v>
      </c>
      <c r="B13" s="4">
        <f>SUMPRODUCT(--(TEXT(Chicks!$D$2:$D$9992,"mmmm")=A13))</f>
        <v>0</v>
      </c>
      <c r="C13" s="4" t="s">
        <v>159</v>
      </c>
      <c r="D13" s="6" t="str">
        <f>IF($B13=0,"",SUMPRODUCT(--(TEXT(Chicks!$D$2:$D$9992,"mmmm")=A13),Chicks!$K$2:$K$9992)/$B13)</f>
        <v/>
      </c>
      <c r="E13" s="6" t="str">
        <f>IF($B13=0,"",SUMPRODUCT(--(TEXT(Chicks!$D$2:$D$9992,"mmmm")=A13),Chicks!$L$2:$L$9992)/$B13)</f>
        <v/>
      </c>
      <c r="F13" s="7" t="str">
        <f>IF($B13=0,"",SUMPRODUCT(--(TEXT(Chicks!$D$2:$D$9992,"mmmm")=A13),Chicks!$M$2:$M$9992)/$B13)</f>
        <v/>
      </c>
      <c r="G13" s="6">
        <f>SUMPRODUCT(--(TEXT(Chicks!$D$2:$D$9992,"mmmm")=A13),Chicks!$N$2:$N$9992)</f>
        <v>0</v>
      </c>
      <c r="H13" s="6">
        <f>SUMPRODUCT(--(TEXT(Chicks!$D$2:$D$9992,"mmmm")=A13),Chicks!$O$2:$O$9992)</f>
        <v>0</v>
      </c>
      <c r="I13" s="6">
        <f>SUMPRODUCT(--(TEXT(Chicks!$D$2:$D$9992,"mmmm")=A13),Chicks!$P$2:$P$9992)</f>
        <v>0</v>
      </c>
    </row>
    <row r="14" spans="1:9" ht="14.25" customHeight="1" x14ac:dyDescent="0.3">
      <c r="A14" s="4"/>
      <c r="B14" s="4"/>
      <c r="C14" s="4"/>
    </row>
    <row r="15" spans="1:9" ht="14.25" customHeight="1" x14ac:dyDescent="0.3">
      <c r="A15" s="4"/>
      <c r="B15" s="4"/>
      <c r="C15" s="4"/>
    </row>
    <row r="16" spans="1:9" ht="14.25" customHeight="1" x14ac:dyDescent="0.3">
      <c r="A16" s="4"/>
      <c r="B16" s="4"/>
      <c r="C16" s="4"/>
    </row>
    <row r="17" spans="1:3" ht="14.25" customHeight="1" x14ac:dyDescent="0.3">
      <c r="A17" s="4"/>
      <c r="B17" s="4"/>
      <c r="C17" s="4"/>
    </row>
    <row r="18" spans="1:3" ht="14.25" customHeight="1" x14ac:dyDescent="0.3">
      <c r="A18" s="4"/>
      <c r="B18" s="4"/>
      <c r="C18" s="4"/>
    </row>
    <row r="19" spans="1:3" ht="14.25" customHeight="1" x14ac:dyDescent="0.3">
      <c r="A19" s="4"/>
      <c r="B19" s="4"/>
      <c r="C19" s="4"/>
    </row>
    <row r="20" spans="1:3" ht="14.25" customHeight="1" x14ac:dyDescent="0.3">
      <c r="A20" s="4"/>
      <c r="B20" s="4"/>
      <c r="C20" s="4"/>
    </row>
    <row r="21" spans="1:3" ht="14.25" customHeight="1" x14ac:dyDescent="0.3">
      <c r="A21" s="4"/>
      <c r="B21" s="4"/>
      <c r="C21" s="4"/>
    </row>
    <row r="22" spans="1:3" ht="14.25" customHeight="1" x14ac:dyDescent="0.3">
      <c r="A22" s="4"/>
      <c r="B22" s="4"/>
      <c r="C22" s="4"/>
    </row>
    <row r="23" spans="1:3" ht="14.25" customHeight="1" x14ac:dyDescent="0.3">
      <c r="A23" s="4"/>
      <c r="B23" s="4"/>
      <c r="C23" s="4"/>
    </row>
    <row r="24" spans="1:3" ht="14.25" customHeight="1" x14ac:dyDescent="0.3">
      <c r="A24" s="4"/>
      <c r="B24" s="4"/>
      <c r="C24" s="4"/>
    </row>
    <row r="25" spans="1:3" ht="14.25" customHeight="1" x14ac:dyDescent="0.3">
      <c r="A25" s="4"/>
      <c r="B25" s="4"/>
      <c r="C25" s="4"/>
    </row>
    <row r="26" spans="1:3" ht="14.25" customHeight="1" x14ac:dyDescent="0.3">
      <c r="A26" s="4"/>
      <c r="B26" s="4"/>
      <c r="C26" s="4"/>
    </row>
    <row r="27" spans="1:3" ht="14.25" customHeight="1" x14ac:dyDescent="0.3">
      <c r="A27" s="4"/>
      <c r="B27" s="4"/>
      <c r="C27" s="4"/>
    </row>
    <row r="28" spans="1:3" ht="14.25" customHeight="1" x14ac:dyDescent="0.3">
      <c r="A28" s="4"/>
      <c r="B28" s="4"/>
      <c r="C28" s="4"/>
    </row>
    <row r="29" spans="1:3" ht="14.25" customHeight="1" x14ac:dyDescent="0.3">
      <c r="A29" s="4"/>
      <c r="B29" s="4"/>
      <c r="C29" s="4"/>
    </row>
    <row r="30" spans="1:3" ht="14.25" customHeight="1" x14ac:dyDescent="0.3">
      <c r="A30" s="4"/>
      <c r="B30" s="4"/>
      <c r="C30" s="4"/>
    </row>
    <row r="31" spans="1:3" ht="14.25" customHeight="1" x14ac:dyDescent="0.3">
      <c r="A31" s="4"/>
      <c r="B31" s="4"/>
      <c r="C31" s="4"/>
    </row>
    <row r="32" spans="1:3" ht="14.25" customHeight="1" x14ac:dyDescent="0.3">
      <c r="A32" s="4"/>
      <c r="B32" s="4"/>
      <c r="C32" s="4"/>
    </row>
    <row r="33" spans="1:3" ht="14.25" customHeight="1" x14ac:dyDescent="0.3">
      <c r="A33" s="4"/>
      <c r="B33" s="4"/>
      <c r="C33" s="4"/>
    </row>
    <row r="34" spans="1:3" ht="14.25" customHeight="1" x14ac:dyDescent="0.3">
      <c r="A34" s="4"/>
      <c r="B34" s="4"/>
      <c r="C34" s="4"/>
    </row>
    <row r="35" spans="1:3" ht="14.25" customHeight="1" x14ac:dyDescent="0.3">
      <c r="A35" s="4"/>
      <c r="B35" s="4"/>
      <c r="C35" s="4"/>
    </row>
    <row r="36" spans="1:3" ht="14.25" customHeight="1" x14ac:dyDescent="0.3">
      <c r="A36" s="4"/>
      <c r="B36" s="4"/>
      <c r="C36" s="4"/>
    </row>
    <row r="37" spans="1:3" ht="14.25" customHeight="1" x14ac:dyDescent="0.3">
      <c r="A37" s="4"/>
      <c r="B37" s="4"/>
      <c r="C37" s="4"/>
    </row>
    <row r="38" spans="1:3" ht="14.25" customHeight="1" x14ac:dyDescent="0.3">
      <c r="A38" s="4"/>
      <c r="B38" s="4"/>
      <c r="C38" s="4"/>
    </row>
    <row r="39" spans="1:3" ht="14.25" customHeight="1" x14ac:dyDescent="0.3">
      <c r="A39" s="4"/>
      <c r="B39" s="4"/>
      <c r="C39" s="4"/>
    </row>
    <row r="40" spans="1:3" ht="14.25" customHeight="1" x14ac:dyDescent="0.3">
      <c r="A40" s="4"/>
      <c r="B40" s="4"/>
      <c r="C40" s="4"/>
    </row>
    <row r="41" spans="1:3" ht="14.25" customHeight="1" x14ac:dyDescent="0.3">
      <c r="A41" s="4"/>
      <c r="B41" s="4"/>
      <c r="C41" s="4"/>
    </row>
    <row r="42" spans="1:3" ht="14.25" customHeight="1" x14ac:dyDescent="0.3">
      <c r="A42" s="4"/>
      <c r="B42" s="4"/>
      <c r="C42" s="4"/>
    </row>
    <row r="43" spans="1:3" ht="14.25" customHeight="1" x14ac:dyDescent="0.3">
      <c r="A43" s="4"/>
      <c r="B43" s="4"/>
      <c r="C43" s="4"/>
    </row>
    <row r="44" spans="1:3" ht="14.25" customHeight="1" x14ac:dyDescent="0.3">
      <c r="A44" s="4"/>
      <c r="B44" s="4"/>
      <c r="C44" s="4"/>
    </row>
    <row r="45" spans="1:3" ht="14.25" customHeight="1" x14ac:dyDescent="0.3">
      <c r="A45" s="4"/>
      <c r="B45" s="4"/>
      <c r="C45" s="4"/>
    </row>
    <row r="46" spans="1:3" ht="14.25" customHeight="1" x14ac:dyDescent="0.3">
      <c r="A46" s="4"/>
      <c r="B46" s="4"/>
      <c r="C46" s="4"/>
    </row>
    <row r="47" spans="1:3" ht="14.25" customHeight="1" x14ac:dyDescent="0.3">
      <c r="A47" s="4"/>
      <c r="B47" s="4"/>
      <c r="C47" s="4"/>
    </row>
    <row r="48" spans="1:3" ht="14.25" customHeight="1" x14ac:dyDescent="0.3">
      <c r="A48" s="4"/>
      <c r="B48" s="4"/>
      <c r="C48" s="4"/>
    </row>
    <row r="49" spans="1:3" ht="14.25" customHeight="1" x14ac:dyDescent="0.3">
      <c r="A49" s="4"/>
      <c r="B49" s="4"/>
      <c r="C49" s="4"/>
    </row>
    <row r="50" spans="1:3" ht="14.25" customHeight="1" x14ac:dyDescent="0.3">
      <c r="A50" s="4"/>
      <c r="B50" s="4"/>
      <c r="C50" s="4"/>
    </row>
    <row r="51" spans="1:3" ht="14.25" customHeight="1" x14ac:dyDescent="0.3">
      <c r="A51" s="4"/>
      <c r="B51" s="4"/>
      <c r="C51" s="4"/>
    </row>
    <row r="52" spans="1:3" ht="14.25" customHeight="1" x14ac:dyDescent="0.3">
      <c r="A52" s="4"/>
      <c r="B52" s="4"/>
      <c r="C52" s="4"/>
    </row>
    <row r="53" spans="1:3" ht="14.25" customHeight="1" x14ac:dyDescent="0.3">
      <c r="A53" s="4"/>
      <c r="B53" s="4"/>
      <c r="C53" s="4"/>
    </row>
    <row r="54" spans="1:3" ht="14.25" customHeight="1" x14ac:dyDescent="0.3">
      <c r="A54" s="4"/>
      <c r="B54" s="4"/>
      <c r="C54" s="4"/>
    </row>
    <row r="55" spans="1:3" ht="14.25" customHeight="1" x14ac:dyDescent="0.3">
      <c r="A55" s="4"/>
      <c r="B55" s="4"/>
      <c r="C55" s="4"/>
    </row>
    <row r="56" spans="1:3" ht="14.25" customHeight="1" x14ac:dyDescent="0.3">
      <c r="A56" s="4"/>
      <c r="B56" s="4"/>
      <c r="C56" s="4"/>
    </row>
    <row r="57" spans="1:3" ht="14.25" customHeight="1" x14ac:dyDescent="0.3">
      <c r="A57" s="4"/>
      <c r="B57" s="4"/>
      <c r="C57" s="4"/>
    </row>
    <row r="58" spans="1:3" ht="14.25" customHeight="1" x14ac:dyDescent="0.3">
      <c r="A58" s="4"/>
      <c r="B58" s="4"/>
      <c r="C58" s="4"/>
    </row>
    <row r="59" spans="1:3" ht="14.25" customHeight="1" x14ac:dyDescent="0.3">
      <c r="A59" s="4"/>
      <c r="B59" s="4"/>
      <c r="C59" s="4"/>
    </row>
    <row r="60" spans="1:3" ht="14.25" customHeight="1" x14ac:dyDescent="0.3">
      <c r="A60" s="4"/>
      <c r="B60" s="4"/>
      <c r="C60" s="4"/>
    </row>
    <row r="61" spans="1:3" ht="14.25" customHeight="1" x14ac:dyDescent="0.3">
      <c r="A61" s="4"/>
      <c r="B61" s="4"/>
      <c r="C61" s="4"/>
    </row>
    <row r="62" spans="1:3" ht="14.25" customHeight="1" x14ac:dyDescent="0.3">
      <c r="A62" s="4"/>
      <c r="B62" s="4"/>
      <c r="C62" s="4"/>
    </row>
    <row r="63" spans="1:3" ht="14.25" customHeight="1" x14ac:dyDescent="0.3">
      <c r="A63" s="4"/>
      <c r="B63" s="4"/>
      <c r="C63" s="4"/>
    </row>
    <row r="64" spans="1:3" ht="14.25" customHeight="1" x14ac:dyDescent="0.3">
      <c r="A64" s="4"/>
      <c r="B64" s="4"/>
      <c r="C64" s="4"/>
    </row>
    <row r="65" spans="1:3" ht="14.25" customHeight="1" x14ac:dyDescent="0.3">
      <c r="A65" s="4"/>
      <c r="B65" s="4"/>
      <c r="C65" s="4"/>
    </row>
    <row r="66" spans="1:3" ht="14.25" customHeight="1" x14ac:dyDescent="0.3">
      <c r="A66" s="4"/>
      <c r="B66" s="4"/>
      <c r="C66" s="4"/>
    </row>
    <row r="67" spans="1:3" ht="14.25" customHeight="1" x14ac:dyDescent="0.3">
      <c r="A67" s="4"/>
      <c r="B67" s="4"/>
      <c r="C67" s="4"/>
    </row>
    <row r="68" spans="1:3" ht="14.25" customHeight="1" x14ac:dyDescent="0.3">
      <c r="A68" s="4"/>
      <c r="B68" s="4"/>
      <c r="C68" s="4"/>
    </row>
    <row r="69" spans="1:3" ht="14.25" customHeight="1" x14ac:dyDescent="0.3">
      <c r="A69" s="4"/>
      <c r="B69" s="4"/>
      <c r="C69" s="4"/>
    </row>
    <row r="70" spans="1:3" ht="14.25" customHeight="1" x14ac:dyDescent="0.3">
      <c r="A70" s="4"/>
      <c r="B70" s="4"/>
      <c r="C70" s="4"/>
    </row>
    <row r="71" spans="1:3" ht="14.25" customHeight="1" x14ac:dyDescent="0.3">
      <c r="A71" s="4"/>
      <c r="B71" s="4"/>
      <c r="C71" s="4"/>
    </row>
    <row r="72" spans="1:3" ht="14.25" customHeight="1" x14ac:dyDescent="0.3">
      <c r="A72" s="4"/>
      <c r="B72" s="4"/>
      <c r="C72" s="4"/>
    </row>
    <row r="73" spans="1:3" ht="14.25" customHeight="1" x14ac:dyDescent="0.3">
      <c r="A73" s="4"/>
      <c r="B73" s="4"/>
      <c r="C73" s="4"/>
    </row>
    <row r="74" spans="1:3" ht="14.25" customHeight="1" x14ac:dyDescent="0.3">
      <c r="A74" s="4"/>
      <c r="B74" s="4"/>
      <c r="C74" s="4"/>
    </row>
    <row r="75" spans="1:3" ht="14.25" customHeight="1" x14ac:dyDescent="0.3">
      <c r="A75" s="4"/>
      <c r="B75" s="4"/>
      <c r="C75" s="4"/>
    </row>
    <row r="76" spans="1:3" ht="14.25" customHeight="1" x14ac:dyDescent="0.3">
      <c r="A76" s="4"/>
      <c r="B76" s="4"/>
      <c r="C76" s="4"/>
    </row>
    <row r="77" spans="1:3" ht="14.25" customHeight="1" x14ac:dyDescent="0.3">
      <c r="A77" s="4"/>
      <c r="B77" s="4"/>
      <c r="C77" s="4"/>
    </row>
    <row r="78" spans="1:3" ht="14.25" customHeight="1" x14ac:dyDescent="0.3">
      <c r="A78" s="4"/>
      <c r="B78" s="4"/>
      <c r="C78" s="4"/>
    </row>
    <row r="79" spans="1:3" ht="14.25" customHeight="1" x14ac:dyDescent="0.3">
      <c r="A79" s="4"/>
      <c r="B79" s="4"/>
      <c r="C79" s="4"/>
    </row>
    <row r="80" spans="1:3" ht="14.25" customHeight="1" x14ac:dyDescent="0.3">
      <c r="A80" s="4"/>
      <c r="B80" s="4"/>
      <c r="C80" s="4"/>
    </row>
    <row r="81" spans="1:3" ht="14.25" customHeight="1" x14ac:dyDescent="0.3">
      <c r="A81" s="4"/>
      <c r="B81" s="4"/>
      <c r="C81" s="4"/>
    </row>
    <row r="82" spans="1:3" ht="14.25" customHeight="1" x14ac:dyDescent="0.3">
      <c r="A82" s="4"/>
      <c r="B82" s="4"/>
      <c r="C82" s="4"/>
    </row>
    <row r="83" spans="1:3" ht="14.25" customHeight="1" x14ac:dyDescent="0.3">
      <c r="A83" s="4"/>
      <c r="B83" s="4"/>
      <c r="C83" s="4"/>
    </row>
    <row r="84" spans="1:3" ht="14.25" customHeight="1" x14ac:dyDescent="0.3">
      <c r="A84" s="4"/>
      <c r="B84" s="4"/>
      <c r="C84" s="4"/>
    </row>
    <row r="85" spans="1:3" ht="14.25" customHeight="1" x14ac:dyDescent="0.3">
      <c r="A85" s="4"/>
      <c r="B85" s="4"/>
      <c r="C85" s="4"/>
    </row>
    <row r="86" spans="1:3" ht="14.25" customHeight="1" x14ac:dyDescent="0.3">
      <c r="A86" s="4"/>
      <c r="B86" s="4"/>
      <c r="C86" s="4"/>
    </row>
    <row r="87" spans="1:3" ht="14.25" customHeight="1" x14ac:dyDescent="0.3">
      <c r="A87" s="4"/>
      <c r="B87" s="4"/>
      <c r="C87" s="4"/>
    </row>
    <row r="88" spans="1:3" ht="14.25" customHeight="1" x14ac:dyDescent="0.3">
      <c r="A88" s="4"/>
      <c r="B88" s="4"/>
      <c r="C88" s="4"/>
    </row>
    <row r="89" spans="1:3" ht="14.25" customHeight="1" x14ac:dyDescent="0.3">
      <c r="A89" s="4"/>
      <c r="B89" s="4"/>
      <c r="C89" s="4"/>
    </row>
    <row r="90" spans="1:3" ht="14.25" customHeight="1" x14ac:dyDescent="0.3">
      <c r="A90" s="4"/>
      <c r="B90" s="4"/>
      <c r="C90" s="4"/>
    </row>
    <row r="91" spans="1:3" ht="14.25" customHeight="1" x14ac:dyDescent="0.3">
      <c r="A91" s="4"/>
      <c r="B91" s="4"/>
      <c r="C91" s="4"/>
    </row>
    <row r="92" spans="1:3" ht="14.25" customHeight="1" x14ac:dyDescent="0.3">
      <c r="A92" s="4"/>
      <c r="B92" s="4"/>
      <c r="C92" s="4"/>
    </row>
    <row r="93" spans="1:3" ht="14.25" customHeight="1" x14ac:dyDescent="0.3">
      <c r="A93" s="4"/>
      <c r="B93" s="4"/>
      <c r="C93" s="4"/>
    </row>
    <row r="94" spans="1:3" ht="14.25" customHeight="1" x14ac:dyDescent="0.3">
      <c r="A94" s="4"/>
      <c r="B94" s="4"/>
      <c r="C94" s="4"/>
    </row>
    <row r="95" spans="1:3" ht="14.25" customHeight="1" x14ac:dyDescent="0.3">
      <c r="A95" s="4"/>
      <c r="B95" s="4"/>
      <c r="C95" s="4"/>
    </row>
    <row r="96" spans="1:3" ht="14.25" customHeight="1" x14ac:dyDescent="0.3">
      <c r="A96" s="4"/>
      <c r="B96" s="4"/>
      <c r="C96" s="4"/>
    </row>
    <row r="97" spans="1:3" ht="14.25" customHeight="1" x14ac:dyDescent="0.3">
      <c r="A97" s="4"/>
      <c r="B97" s="4"/>
      <c r="C97" s="4"/>
    </row>
    <row r="98" spans="1:3" ht="14.25" customHeight="1" x14ac:dyDescent="0.3">
      <c r="A98" s="4"/>
      <c r="B98" s="4"/>
      <c r="C98" s="4"/>
    </row>
    <row r="99" spans="1:3" ht="14.25" customHeight="1" x14ac:dyDescent="0.3">
      <c r="A99" s="4"/>
      <c r="B99" s="4"/>
      <c r="C99" s="4"/>
    </row>
    <row r="100" spans="1:3" ht="14.25" customHeight="1" x14ac:dyDescent="0.3">
      <c r="A100" s="4"/>
      <c r="B100" s="4"/>
      <c r="C100" s="4"/>
    </row>
    <row r="101" spans="1:3" ht="14.25" customHeight="1" x14ac:dyDescent="0.3">
      <c r="A101" s="4"/>
      <c r="B101" s="4"/>
      <c r="C101" s="4"/>
    </row>
    <row r="102" spans="1:3" ht="14.25" customHeight="1" x14ac:dyDescent="0.3">
      <c r="A102" s="4"/>
      <c r="B102" s="4"/>
      <c r="C102" s="4"/>
    </row>
    <row r="103" spans="1:3" ht="14.25" customHeight="1" x14ac:dyDescent="0.3">
      <c r="A103" s="4"/>
      <c r="B103" s="4"/>
      <c r="C103" s="4"/>
    </row>
    <row r="104" spans="1:3" ht="14.25" customHeight="1" x14ac:dyDescent="0.3">
      <c r="A104" s="4"/>
      <c r="B104" s="4"/>
      <c r="C104" s="4"/>
    </row>
    <row r="105" spans="1:3" ht="14.25" customHeight="1" x14ac:dyDescent="0.3">
      <c r="A105" s="4"/>
      <c r="B105" s="4"/>
      <c r="C105" s="4"/>
    </row>
    <row r="106" spans="1:3" ht="14.25" customHeight="1" x14ac:dyDescent="0.3">
      <c r="A106" s="4"/>
      <c r="B106" s="4"/>
      <c r="C106" s="4"/>
    </row>
    <row r="107" spans="1:3" ht="14.25" customHeight="1" x14ac:dyDescent="0.3">
      <c r="A107" s="4"/>
      <c r="B107" s="4"/>
      <c r="C107" s="4"/>
    </row>
    <row r="108" spans="1:3" ht="14.25" customHeight="1" x14ac:dyDescent="0.3">
      <c r="A108" s="4"/>
      <c r="B108" s="4"/>
      <c r="C108" s="4"/>
    </row>
    <row r="109" spans="1:3" ht="14.25" customHeight="1" x14ac:dyDescent="0.3">
      <c r="A109" s="4"/>
      <c r="B109" s="4"/>
      <c r="C109" s="4"/>
    </row>
    <row r="110" spans="1:3" ht="14.25" customHeight="1" x14ac:dyDescent="0.3">
      <c r="A110" s="4"/>
      <c r="B110" s="4"/>
      <c r="C110" s="4"/>
    </row>
    <row r="111" spans="1:3" ht="14.25" customHeight="1" x14ac:dyDescent="0.3">
      <c r="A111" s="4"/>
      <c r="B111" s="4"/>
      <c r="C111" s="4"/>
    </row>
    <row r="112" spans="1:3" ht="14.25" customHeight="1" x14ac:dyDescent="0.3">
      <c r="A112" s="4"/>
      <c r="B112" s="4"/>
      <c r="C112" s="4"/>
    </row>
    <row r="113" spans="1:3" ht="14.25" customHeight="1" x14ac:dyDescent="0.3">
      <c r="A113" s="4"/>
      <c r="B113" s="4"/>
      <c r="C113" s="4"/>
    </row>
    <row r="114" spans="1:3" ht="14.25" customHeight="1" x14ac:dyDescent="0.3">
      <c r="A114" s="4"/>
      <c r="B114" s="4"/>
      <c r="C114" s="4"/>
    </row>
    <row r="115" spans="1:3" ht="14.25" customHeight="1" x14ac:dyDescent="0.3">
      <c r="A115" s="4"/>
      <c r="B115" s="4"/>
      <c r="C115" s="4"/>
    </row>
    <row r="116" spans="1:3" ht="14.25" customHeight="1" x14ac:dyDescent="0.3">
      <c r="A116" s="4"/>
      <c r="B116" s="4"/>
      <c r="C116" s="4"/>
    </row>
    <row r="117" spans="1:3" ht="14.25" customHeight="1" x14ac:dyDescent="0.3">
      <c r="A117" s="4"/>
      <c r="B117" s="4"/>
      <c r="C117" s="4"/>
    </row>
    <row r="118" spans="1:3" ht="14.25" customHeight="1" x14ac:dyDescent="0.3">
      <c r="A118" s="4"/>
      <c r="B118" s="4"/>
      <c r="C118" s="4"/>
    </row>
    <row r="119" spans="1:3" ht="14.25" customHeight="1" x14ac:dyDescent="0.3">
      <c r="A119" s="4"/>
      <c r="B119" s="4"/>
      <c r="C119" s="4"/>
    </row>
    <row r="120" spans="1:3" ht="14.25" customHeight="1" x14ac:dyDescent="0.3">
      <c r="A120" s="4"/>
      <c r="B120" s="4"/>
      <c r="C120" s="4"/>
    </row>
    <row r="121" spans="1:3" ht="14.25" customHeight="1" x14ac:dyDescent="0.3">
      <c r="A121" s="4"/>
      <c r="B121" s="4"/>
      <c r="C121" s="4"/>
    </row>
    <row r="122" spans="1:3" ht="14.25" customHeight="1" x14ac:dyDescent="0.3">
      <c r="A122" s="4"/>
      <c r="B122" s="4"/>
      <c r="C122" s="4"/>
    </row>
    <row r="123" spans="1:3" ht="14.25" customHeight="1" x14ac:dyDescent="0.3">
      <c r="A123" s="4"/>
      <c r="B123" s="4"/>
      <c r="C123" s="4"/>
    </row>
    <row r="124" spans="1:3" ht="14.25" customHeight="1" x14ac:dyDescent="0.3">
      <c r="A124" s="4"/>
      <c r="B124" s="4"/>
      <c r="C124" s="4"/>
    </row>
    <row r="125" spans="1:3" ht="14.25" customHeight="1" x14ac:dyDescent="0.3">
      <c r="A125" s="4"/>
      <c r="B125" s="4"/>
      <c r="C125" s="4"/>
    </row>
    <row r="126" spans="1:3" ht="14.25" customHeight="1" x14ac:dyDescent="0.3">
      <c r="A126" s="4"/>
      <c r="B126" s="4"/>
      <c r="C126" s="4"/>
    </row>
    <row r="127" spans="1:3" ht="14.25" customHeight="1" x14ac:dyDescent="0.3">
      <c r="A127" s="4"/>
      <c r="B127" s="4"/>
      <c r="C127" s="4"/>
    </row>
    <row r="128" spans="1:3" ht="14.25" customHeight="1" x14ac:dyDescent="0.3">
      <c r="A128" s="4"/>
      <c r="B128" s="4"/>
      <c r="C128" s="4"/>
    </row>
    <row r="129" spans="1:3" ht="14.25" customHeight="1" x14ac:dyDescent="0.3">
      <c r="A129" s="4"/>
      <c r="B129" s="4"/>
      <c r="C129" s="4"/>
    </row>
    <row r="130" spans="1:3" ht="14.25" customHeight="1" x14ac:dyDescent="0.3">
      <c r="A130" s="4"/>
      <c r="B130" s="4"/>
      <c r="C130" s="4"/>
    </row>
    <row r="131" spans="1:3" ht="14.25" customHeight="1" x14ac:dyDescent="0.3">
      <c r="A131" s="4"/>
      <c r="B131" s="4"/>
      <c r="C131" s="4"/>
    </row>
    <row r="132" spans="1:3" ht="14.25" customHeight="1" x14ac:dyDescent="0.3">
      <c r="A132" s="4"/>
      <c r="B132" s="4"/>
      <c r="C132" s="4"/>
    </row>
    <row r="133" spans="1:3" ht="14.25" customHeight="1" x14ac:dyDescent="0.3">
      <c r="A133" s="4"/>
      <c r="B133" s="4"/>
      <c r="C133" s="4"/>
    </row>
    <row r="134" spans="1:3" ht="14.25" customHeight="1" x14ac:dyDescent="0.3">
      <c r="A134" s="4"/>
      <c r="B134" s="4"/>
      <c r="C134" s="4"/>
    </row>
    <row r="135" spans="1:3" ht="14.25" customHeight="1" x14ac:dyDescent="0.3">
      <c r="A135" s="4"/>
      <c r="B135" s="4"/>
      <c r="C135" s="4"/>
    </row>
    <row r="136" spans="1:3" ht="14.25" customHeight="1" x14ac:dyDescent="0.3">
      <c r="A136" s="4"/>
      <c r="B136" s="4"/>
      <c r="C136" s="4"/>
    </row>
    <row r="137" spans="1:3" ht="14.25" customHeight="1" x14ac:dyDescent="0.3">
      <c r="A137" s="4"/>
      <c r="B137" s="4"/>
      <c r="C137" s="4"/>
    </row>
    <row r="138" spans="1:3" ht="14.25" customHeight="1" x14ac:dyDescent="0.3">
      <c r="A138" s="4"/>
      <c r="B138" s="4"/>
      <c r="C138" s="4"/>
    </row>
    <row r="139" spans="1:3" ht="14.25" customHeight="1" x14ac:dyDescent="0.3">
      <c r="A139" s="4"/>
      <c r="B139" s="4"/>
      <c r="C139" s="4"/>
    </row>
    <row r="140" spans="1:3" ht="14.25" customHeight="1" x14ac:dyDescent="0.3">
      <c r="A140" s="4"/>
      <c r="B140" s="4"/>
      <c r="C140" s="4"/>
    </row>
    <row r="141" spans="1:3" ht="14.25" customHeight="1" x14ac:dyDescent="0.3">
      <c r="A141" s="4"/>
      <c r="B141" s="4"/>
      <c r="C141" s="4"/>
    </row>
    <row r="142" spans="1:3" ht="14.25" customHeight="1" x14ac:dyDescent="0.3">
      <c r="A142" s="4"/>
      <c r="B142" s="4"/>
      <c r="C142" s="4"/>
    </row>
    <row r="143" spans="1:3" ht="14.25" customHeight="1" x14ac:dyDescent="0.3">
      <c r="A143" s="4"/>
      <c r="B143" s="4"/>
      <c r="C143" s="4"/>
    </row>
    <row r="144" spans="1:3" ht="14.25" customHeight="1" x14ac:dyDescent="0.3">
      <c r="A144" s="4"/>
      <c r="B144" s="4"/>
      <c r="C144" s="4"/>
    </row>
    <row r="145" spans="1:3" ht="14.25" customHeight="1" x14ac:dyDescent="0.3">
      <c r="A145" s="4"/>
      <c r="B145" s="4"/>
      <c r="C145" s="4"/>
    </row>
    <row r="146" spans="1:3" ht="14.25" customHeight="1" x14ac:dyDescent="0.3">
      <c r="A146" s="4"/>
      <c r="B146" s="4"/>
      <c r="C146" s="4"/>
    </row>
    <row r="147" spans="1:3" ht="14.25" customHeight="1" x14ac:dyDescent="0.3">
      <c r="A147" s="4"/>
      <c r="B147" s="4"/>
      <c r="C147" s="4"/>
    </row>
    <row r="148" spans="1:3" ht="14.25" customHeight="1" x14ac:dyDescent="0.3">
      <c r="A148" s="4"/>
      <c r="B148" s="4"/>
      <c r="C148" s="4"/>
    </row>
    <row r="149" spans="1:3" ht="14.25" customHeight="1" x14ac:dyDescent="0.3">
      <c r="A149" s="4"/>
      <c r="B149" s="4"/>
      <c r="C149" s="4"/>
    </row>
    <row r="150" spans="1:3" ht="14.25" customHeight="1" x14ac:dyDescent="0.3">
      <c r="A150" s="4"/>
      <c r="B150" s="4"/>
      <c r="C150" s="4"/>
    </row>
    <row r="151" spans="1:3" ht="14.25" customHeight="1" x14ac:dyDescent="0.3">
      <c r="A151" s="4"/>
      <c r="B151" s="4"/>
      <c r="C151" s="4"/>
    </row>
    <row r="152" spans="1:3" ht="14.25" customHeight="1" x14ac:dyDescent="0.3">
      <c r="A152" s="4"/>
      <c r="B152" s="4"/>
      <c r="C152" s="4"/>
    </row>
    <row r="153" spans="1:3" ht="14.25" customHeight="1" x14ac:dyDescent="0.3">
      <c r="A153" s="4"/>
      <c r="B153" s="4"/>
      <c r="C153" s="4"/>
    </row>
    <row r="154" spans="1:3" ht="14.25" customHeight="1" x14ac:dyDescent="0.3">
      <c r="A154" s="4"/>
      <c r="B154" s="4"/>
      <c r="C154" s="4"/>
    </row>
    <row r="155" spans="1:3" ht="14.25" customHeight="1" x14ac:dyDescent="0.3">
      <c r="A155" s="4"/>
      <c r="B155" s="4"/>
      <c r="C155" s="4"/>
    </row>
    <row r="156" spans="1:3" ht="14.25" customHeight="1" x14ac:dyDescent="0.3">
      <c r="A156" s="4"/>
      <c r="B156" s="4"/>
      <c r="C156" s="4"/>
    </row>
    <row r="157" spans="1:3" ht="14.25" customHeight="1" x14ac:dyDescent="0.3">
      <c r="A157" s="4"/>
      <c r="B157" s="4"/>
      <c r="C157" s="4"/>
    </row>
    <row r="158" spans="1:3" ht="14.25" customHeight="1" x14ac:dyDescent="0.3">
      <c r="A158" s="4"/>
      <c r="B158" s="4"/>
      <c r="C158" s="4"/>
    </row>
    <row r="159" spans="1:3" ht="14.25" customHeight="1" x14ac:dyDescent="0.3">
      <c r="A159" s="4"/>
      <c r="B159" s="4"/>
      <c r="C159" s="4"/>
    </row>
    <row r="160" spans="1:3" ht="14.25" customHeight="1" x14ac:dyDescent="0.3">
      <c r="A160" s="4"/>
      <c r="B160" s="4"/>
      <c r="C160" s="4"/>
    </row>
    <row r="161" spans="1:3" ht="14.25" customHeight="1" x14ac:dyDescent="0.3">
      <c r="A161" s="4"/>
      <c r="B161" s="4"/>
      <c r="C161" s="4"/>
    </row>
    <row r="162" spans="1:3" ht="14.25" customHeight="1" x14ac:dyDescent="0.3">
      <c r="A162" s="4"/>
      <c r="B162" s="4"/>
      <c r="C162" s="4"/>
    </row>
    <row r="163" spans="1:3" ht="14.25" customHeight="1" x14ac:dyDescent="0.3">
      <c r="A163" s="4"/>
      <c r="B163" s="4"/>
      <c r="C163" s="4"/>
    </row>
    <row r="164" spans="1:3" ht="14.25" customHeight="1" x14ac:dyDescent="0.3">
      <c r="A164" s="4"/>
      <c r="B164" s="4"/>
      <c r="C164" s="4"/>
    </row>
    <row r="165" spans="1:3" ht="14.25" customHeight="1" x14ac:dyDescent="0.3">
      <c r="A165" s="4"/>
      <c r="B165" s="4"/>
      <c r="C165" s="4"/>
    </row>
    <row r="166" spans="1:3" ht="14.25" customHeight="1" x14ac:dyDescent="0.3">
      <c r="A166" s="4"/>
      <c r="B166" s="4"/>
      <c r="C166" s="4"/>
    </row>
    <row r="167" spans="1:3" ht="14.25" customHeight="1" x14ac:dyDescent="0.3">
      <c r="A167" s="4"/>
      <c r="B167" s="4"/>
      <c r="C167" s="4"/>
    </row>
    <row r="168" spans="1:3" ht="14.25" customHeight="1" x14ac:dyDescent="0.3">
      <c r="A168" s="4"/>
      <c r="B168" s="4"/>
      <c r="C168" s="4"/>
    </row>
    <row r="169" spans="1:3" ht="14.25" customHeight="1" x14ac:dyDescent="0.3">
      <c r="A169" s="4"/>
      <c r="B169" s="4"/>
      <c r="C169" s="4"/>
    </row>
    <row r="170" spans="1:3" ht="14.25" customHeight="1" x14ac:dyDescent="0.3">
      <c r="A170" s="4"/>
      <c r="B170" s="4"/>
      <c r="C170" s="4"/>
    </row>
    <row r="171" spans="1:3" ht="14.25" customHeight="1" x14ac:dyDescent="0.3">
      <c r="A171" s="4"/>
      <c r="B171" s="4"/>
      <c r="C171" s="4"/>
    </row>
    <row r="172" spans="1:3" ht="14.25" customHeight="1" x14ac:dyDescent="0.3">
      <c r="A172" s="4"/>
      <c r="B172" s="4"/>
      <c r="C172" s="4"/>
    </row>
    <row r="173" spans="1:3" ht="14.25" customHeight="1" x14ac:dyDescent="0.3">
      <c r="A173" s="4"/>
      <c r="B173" s="4"/>
      <c r="C173" s="4"/>
    </row>
    <row r="174" spans="1:3" ht="14.25" customHeight="1" x14ac:dyDescent="0.3">
      <c r="A174" s="4"/>
      <c r="B174" s="4"/>
      <c r="C174" s="4"/>
    </row>
    <row r="175" spans="1:3" ht="14.25" customHeight="1" x14ac:dyDescent="0.3">
      <c r="A175" s="4"/>
      <c r="B175" s="4"/>
      <c r="C175" s="4"/>
    </row>
    <row r="176" spans="1:3" ht="14.25" customHeight="1" x14ac:dyDescent="0.3">
      <c r="A176" s="4"/>
      <c r="B176" s="4"/>
      <c r="C176" s="4"/>
    </row>
    <row r="177" spans="1:3" ht="14.25" customHeight="1" x14ac:dyDescent="0.3">
      <c r="A177" s="4"/>
      <c r="B177" s="4"/>
      <c r="C177" s="4"/>
    </row>
    <row r="178" spans="1:3" ht="14.25" customHeight="1" x14ac:dyDescent="0.3">
      <c r="A178" s="4"/>
      <c r="B178" s="4"/>
      <c r="C178" s="4"/>
    </row>
    <row r="179" spans="1:3" ht="14.25" customHeight="1" x14ac:dyDescent="0.3">
      <c r="A179" s="4"/>
      <c r="B179" s="4"/>
      <c r="C179" s="4"/>
    </row>
    <row r="180" spans="1:3" ht="14.25" customHeight="1" x14ac:dyDescent="0.3">
      <c r="A180" s="4"/>
      <c r="B180" s="4"/>
      <c r="C180" s="4"/>
    </row>
    <row r="181" spans="1:3" ht="14.25" customHeight="1" x14ac:dyDescent="0.3">
      <c r="A181" s="4"/>
      <c r="B181" s="4"/>
      <c r="C181" s="4"/>
    </row>
    <row r="182" spans="1:3" ht="14.25" customHeight="1" x14ac:dyDescent="0.3">
      <c r="A182" s="4"/>
      <c r="B182" s="4"/>
      <c r="C182" s="4"/>
    </row>
    <row r="183" spans="1:3" ht="14.25" customHeight="1" x14ac:dyDescent="0.3">
      <c r="A183" s="4"/>
      <c r="B183" s="4"/>
      <c r="C183" s="4"/>
    </row>
    <row r="184" spans="1:3" ht="14.25" customHeight="1" x14ac:dyDescent="0.3">
      <c r="A184" s="4"/>
      <c r="B184" s="4"/>
      <c r="C184" s="4"/>
    </row>
    <row r="185" spans="1:3" ht="14.25" customHeight="1" x14ac:dyDescent="0.3">
      <c r="A185" s="4"/>
      <c r="B185" s="4"/>
      <c r="C185" s="4"/>
    </row>
    <row r="186" spans="1:3" ht="14.25" customHeight="1" x14ac:dyDescent="0.3">
      <c r="A186" s="4"/>
      <c r="B186" s="4"/>
      <c r="C186" s="4"/>
    </row>
    <row r="187" spans="1:3" ht="14.25" customHeight="1" x14ac:dyDescent="0.3">
      <c r="A187" s="4"/>
      <c r="B187" s="4"/>
      <c r="C187" s="4"/>
    </row>
    <row r="188" spans="1:3" ht="14.25" customHeight="1" x14ac:dyDescent="0.3">
      <c r="A188" s="4"/>
      <c r="B188" s="4"/>
      <c r="C188" s="4"/>
    </row>
    <row r="189" spans="1:3" ht="14.25" customHeight="1" x14ac:dyDescent="0.3">
      <c r="A189" s="4"/>
      <c r="B189" s="4"/>
      <c r="C189" s="4"/>
    </row>
    <row r="190" spans="1:3" ht="14.25" customHeight="1" x14ac:dyDescent="0.3">
      <c r="A190" s="4"/>
      <c r="B190" s="4"/>
      <c r="C190" s="4"/>
    </row>
    <row r="191" spans="1:3" ht="14.25" customHeight="1" x14ac:dyDescent="0.3">
      <c r="A191" s="4"/>
      <c r="B191" s="4"/>
      <c r="C191" s="4"/>
    </row>
    <row r="192" spans="1:3" ht="14.25" customHeight="1" x14ac:dyDescent="0.3">
      <c r="A192" s="4"/>
      <c r="B192" s="4"/>
      <c r="C192" s="4"/>
    </row>
    <row r="193" spans="1:3" ht="14.25" customHeight="1" x14ac:dyDescent="0.3">
      <c r="A193" s="4"/>
      <c r="B193" s="4"/>
      <c r="C193" s="4"/>
    </row>
    <row r="194" spans="1:3" ht="14.25" customHeight="1" x14ac:dyDescent="0.3">
      <c r="A194" s="4"/>
      <c r="B194" s="4"/>
      <c r="C194" s="4"/>
    </row>
    <row r="195" spans="1:3" ht="14.25" customHeight="1" x14ac:dyDescent="0.3">
      <c r="A195" s="4"/>
      <c r="B195" s="4"/>
      <c r="C195" s="4"/>
    </row>
    <row r="196" spans="1:3" ht="14.25" customHeight="1" x14ac:dyDescent="0.3">
      <c r="A196" s="4"/>
      <c r="B196" s="4"/>
      <c r="C196" s="4"/>
    </row>
    <row r="197" spans="1:3" ht="14.25" customHeight="1" x14ac:dyDescent="0.3">
      <c r="A197" s="4"/>
      <c r="B197" s="4"/>
      <c r="C197" s="4"/>
    </row>
    <row r="198" spans="1:3" ht="14.25" customHeight="1" x14ac:dyDescent="0.3">
      <c r="A198" s="4"/>
      <c r="B198" s="4"/>
      <c r="C198" s="4"/>
    </row>
    <row r="199" spans="1:3" ht="14.25" customHeight="1" x14ac:dyDescent="0.3">
      <c r="A199" s="4"/>
      <c r="B199" s="4"/>
      <c r="C199" s="4"/>
    </row>
    <row r="200" spans="1:3" ht="14.25" customHeight="1" x14ac:dyDescent="0.3">
      <c r="A200" s="4"/>
      <c r="B200" s="4"/>
      <c r="C200" s="4"/>
    </row>
    <row r="201" spans="1:3" ht="14.25" customHeight="1" x14ac:dyDescent="0.3">
      <c r="A201" s="4"/>
      <c r="B201" s="4"/>
      <c r="C201" s="4"/>
    </row>
    <row r="202" spans="1:3" ht="14.25" customHeight="1" x14ac:dyDescent="0.3">
      <c r="A202" s="4"/>
      <c r="B202" s="4"/>
      <c r="C202" s="4"/>
    </row>
    <row r="203" spans="1:3" ht="14.25" customHeight="1" x14ac:dyDescent="0.3">
      <c r="A203" s="4"/>
      <c r="B203" s="4"/>
      <c r="C203" s="4"/>
    </row>
    <row r="204" spans="1:3" ht="14.25" customHeight="1" x14ac:dyDescent="0.3">
      <c r="A204" s="4"/>
      <c r="B204" s="4"/>
      <c r="C204" s="4"/>
    </row>
    <row r="205" spans="1:3" ht="14.25" customHeight="1" x14ac:dyDescent="0.3">
      <c r="A205" s="4"/>
      <c r="B205" s="4"/>
      <c r="C205" s="4"/>
    </row>
    <row r="206" spans="1:3" ht="14.25" customHeight="1" x14ac:dyDescent="0.3">
      <c r="A206" s="4"/>
      <c r="B206" s="4"/>
      <c r="C206" s="4"/>
    </row>
    <row r="207" spans="1:3" ht="14.25" customHeight="1" x14ac:dyDescent="0.3">
      <c r="A207" s="4"/>
      <c r="B207" s="4"/>
      <c r="C207" s="4"/>
    </row>
    <row r="208" spans="1:3" ht="14.25" customHeight="1" x14ac:dyDescent="0.3">
      <c r="A208" s="4"/>
      <c r="B208" s="4"/>
      <c r="C208" s="4"/>
    </row>
    <row r="209" spans="1:3" ht="14.25" customHeight="1" x14ac:dyDescent="0.3">
      <c r="A209" s="4"/>
      <c r="B209" s="4"/>
      <c r="C209" s="4"/>
    </row>
    <row r="210" spans="1:3" ht="14.25" customHeight="1" x14ac:dyDescent="0.3">
      <c r="A210" s="4"/>
      <c r="B210" s="4"/>
      <c r="C210" s="4"/>
    </row>
    <row r="211" spans="1:3" ht="14.25" customHeight="1" x14ac:dyDescent="0.3">
      <c r="A211" s="4"/>
      <c r="B211" s="4"/>
      <c r="C211" s="4"/>
    </row>
    <row r="212" spans="1:3" ht="14.25" customHeight="1" x14ac:dyDescent="0.3">
      <c r="A212" s="4"/>
      <c r="B212" s="4"/>
      <c r="C212" s="4"/>
    </row>
    <row r="213" spans="1:3" ht="14.25" customHeight="1" x14ac:dyDescent="0.3">
      <c r="A213" s="4"/>
      <c r="B213" s="4"/>
      <c r="C213" s="4"/>
    </row>
    <row r="214" spans="1:3" ht="14.25" customHeight="1" x14ac:dyDescent="0.3">
      <c r="A214" s="4"/>
      <c r="B214" s="4"/>
      <c r="C214" s="4"/>
    </row>
    <row r="215" spans="1:3" ht="14.25" customHeight="1" x14ac:dyDescent="0.3">
      <c r="A215" s="4"/>
      <c r="B215" s="4"/>
      <c r="C215" s="4"/>
    </row>
    <row r="216" spans="1:3" ht="14.25" customHeight="1" x14ac:dyDescent="0.3">
      <c r="A216" s="4"/>
      <c r="B216" s="4"/>
      <c r="C216" s="4"/>
    </row>
    <row r="217" spans="1:3" ht="14.25" customHeight="1" x14ac:dyDescent="0.3">
      <c r="A217" s="4"/>
      <c r="B217" s="4"/>
      <c r="C217" s="4"/>
    </row>
    <row r="218" spans="1:3" ht="14.25" customHeight="1" x14ac:dyDescent="0.3">
      <c r="A218" s="4"/>
      <c r="B218" s="4"/>
      <c r="C218" s="4"/>
    </row>
    <row r="219" spans="1:3" ht="14.25" customHeight="1" x14ac:dyDescent="0.3">
      <c r="A219" s="4"/>
      <c r="B219" s="4"/>
      <c r="C219" s="4"/>
    </row>
    <row r="220" spans="1:3" ht="14.25" customHeight="1" x14ac:dyDescent="0.3">
      <c r="A220" s="4"/>
      <c r="B220" s="4"/>
      <c r="C220" s="4"/>
    </row>
    <row r="221" spans="1:3" ht="14.25" customHeight="1" x14ac:dyDescent="0.3"/>
    <row r="222" spans="1:3" ht="14.25" customHeight="1" x14ac:dyDescent="0.3"/>
    <row r="223" spans="1:3" ht="14.25" customHeight="1" x14ac:dyDescent="0.3"/>
    <row r="224" spans="1:3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00"/>
  <sheetViews>
    <sheetView workbookViewId="0"/>
  </sheetViews>
  <sheetFormatPr defaultColWidth="14.44140625" defaultRowHeight="15" customHeight="1" x14ac:dyDescent="0.3"/>
  <cols>
    <col min="1" max="1" width="16.44140625" customWidth="1"/>
    <col min="2" max="2" width="13.33203125" customWidth="1"/>
    <col min="3" max="5" width="8.6640625" customWidth="1"/>
    <col min="6" max="6" width="16.6640625" customWidth="1"/>
    <col min="7" max="7" width="12.5546875" customWidth="1"/>
    <col min="8" max="10" width="8.6640625" customWidth="1"/>
    <col min="11" max="11" width="10.88671875" customWidth="1"/>
    <col min="12" max="12" width="16.6640625" customWidth="1"/>
    <col min="13" max="15" width="8.6640625" customWidth="1"/>
    <col min="16" max="16" width="10" customWidth="1"/>
    <col min="17" max="17" width="16.109375" customWidth="1"/>
    <col min="18" max="26" width="8.6640625" customWidth="1"/>
  </cols>
  <sheetData>
    <row r="1" spans="1:17" ht="14.25" customHeight="1" x14ac:dyDescent="0.3">
      <c r="A1" s="12" t="s">
        <v>145</v>
      </c>
      <c r="B1" s="11" t="s">
        <v>102</v>
      </c>
      <c r="F1" s="12" t="s">
        <v>146</v>
      </c>
      <c r="G1" s="12" t="s">
        <v>102</v>
      </c>
      <c r="K1" s="12" t="s">
        <v>147</v>
      </c>
      <c r="L1" s="12" t="s">
        <v>45</v>
      </c>
      <c r="P1" s="12" t="s">
        <v>148</v>
      </c>
      <c r="Q1" s="12" t="s">
        <v>45</v>
      </c>
    </row>
    <row r="2" spans="1:17" ht="14.25" customHeight="1" x14ac:dyDescent="0.3">
      <c r="A2" s="6" t="str">
        <f t="array" ref="A2">INDEX(Cocks!$A$2:$A$997, MATCH(LARGE(Cocks!$J$2:$J$997, ROWS($A$2:A2)), Cocks!$J$2:$J$997, 0))</f>
        <v>ZA-2020-OP-19773</v>
      </c>
      <c r="B2" s="7">
        <f>LARGE(Cocks!$J$2:$J$997, ROWS($A$2:A2))</f>
        <v>0.65702929197994986</v>
      </c>
      <c r="F2" s="6" t="str">
        <f t="array" ref="F2">INDEX(Hens!$A$2:$A$998, MATCH(LARGE(Hens!$J$2:$J$998, ROWS($F$2:F2)), Hens!$J$2:$J$998, 0))</f>
        <v>ZA-2022-DUVE-255</v>
      </c>
      <c r="G2" s="7">
        <f>LARGE(Hens!$J$2:$J$998, ROWS($F$2:F2))</f>
        <v>0.65702929197994986</v>
      </c>
      <c r="K2" s="6">
        <f t="array" ref="K2">INDEX(ByRound!$A$2:$A$1000, MATCH(MAX(ByRound!$F$2:$F$1000), ByRound!$F$2:$F$1000, 0))</f>
        <v>4</v>
      </c>
      <c r="L2" s="7">
        <f>MAX(ByRound!$F$2:$F$1000)</f>
        <v>0.6378446115288221</v>
      </c>
      <c r="P2" s="6" t="str">
        <f t="array" ref="P2">INDEX(ByMonth!$A$2:$A$13, MATCH(LARGE(ByMonth!$F$2:$F$13, ROWS($P$2:P2)), ByMonth!$F$2:$F$13, 0))</f>
        <v>September</v>
      </c>
      <c r="Q2" s="7">
        <f>LARGE(ByMonth!$F$2:$F$13, ROWS($P$2:P2))</f>
        <v>0.19816986136082959</v>
      </c>
    </row>
    <row r="3" spans="1:17" ht="14.25" customHeight="1" x14ac:dyDescent="0.3">
      <c r="A3" s="6" t="str">
        <f t="array" ref="A3">INDEX(Cocks!$A$2:$A$997, MATCH(LARGE(Cocks!$J$2:$J$997, ROWS($A$2:A3)), Cocks!$J$2:$J$997, 0))</f>
        <v>ZA-2019-OPJB-251</v>
      </c>
      <c r="B3" s="7">
        <f>LARGE(Cocks!$J$2:$J$997, ROWS($A$2:A3))</f>
        <v>0.63230392557480664</v>
      </c>
      <c r="F3" s="6" t="str">
        <f t="array" ref="F3">INDEX(Hens!$A$2:$A$998, MATCH(LARGE(Hens!$J$2:$J$998, ROWS($F$2:F3)), Hens!$J$2:$J$998, 0))</f>
        <v>ZA-2022-DUVE-243</v>
      </c>
      <c r="G3" s="7">
        <f>LARGE(Hens!$J$2:$J$998, ROWS($F$2:F3))</f>
        <v>0.6378446115288221</v>
      </c>
      <c r="P3" s="6" t="str">
        <f t="array" ref="P3">INDEX(ByMonth!$A$2:$A$13, MATCH(LARGE(ByMonth!$F$2:$F$13, ROWS($P$2:P3)), ByMonth!$F$2:$F$13, 0))</f>
        <v>October</v>
      </c>
      <c r="Q3" s="7">
        <f>LARGE(ByMonth!$F$2:$F$13, ROWS($P$2:P3))</f>
        <v>0.19815386680988187</v>
      </c>
    </row>
    <row r="4" spans="1:17" ht="14.25" customHeight="1" x14ac:dyDescent="0.3">
      <c r="A4" s="6" t="str">
        <f t="array" ref="A4">INDEX(Cocks!$A$2:$A$997, MATCH(LARGE(Cocks!$J$2:$J$997, ROWS($A$2:A4)), Cocks!$J$2:$J$997, 0))</f>
        <v>ZA-2015-OP-7903</v>
      </c>
      <c r="B4" s="7">
        <f>LARGE(Cocks!$J$2:$J$997, ROWS($A$2:A4))</f>
        <v>0.5794976571864443</v>
      </c>
      <c r="F4" s="6" t="str">
        <f t="array" ref="F4">INDEX(Hens!$A$2:$A$998, MATCH(LARGE(Hens!$J$2:$J$998, ROWS($F$2:F4)), Hens!$J$2:$J$998, 0))</f>
        <v>ZA-2020-OP-17032</v>
      </c>
      <c r="G4" s="7">
        <f>LARGE(Hens!$J$2:$J$998, ROWS($F$2:F4))</f>
        <v>0.63230392557480664</v>
      </c>
    </row>
    <row r="5" spans="1:17" ht="14.25" customHeight="1" x14ac:dyDescent="0.3"/>
    <row r="6" spans="1:17" ht="14.25" customHeight="1" x14ac:dyDescent="0.3"/>
    <row r="7" spans="1:17" ht="14.25" customHeight="1" x14ac:dyDescent="0.3"/>
    <row r="8" spans="1:17" ht="14.25" customHeight="1" x14ac:dyDescent="0.3"/>
    <row r="9" spans="1:17" ht="14.25" customHeight="1" x14ac:dyDescent="0.3"/>
    <row r="10" spans="1:17" ht="14.25" customHeight="1" x14ac:dyDescent="0.3"/>
    <row r="11" spans="1:17" ht="14.25" customHeight="1" x14ac:dyDescent="0.3"/>
    <row r="12" spans="1:17" ht="14.25" customHeight="1" x14ac:dyDescent="0.3"/>
    <row r="13" spans="1:17" ht="14.25" customHeight="1" x14ac:dyDescent="0.3"/>
    <row r="14" spans="1:17" ht="14.25" customHeight="1" x14ac:dyDescent="0.3"/>
    <row r="15" spans="1:17" ht="14.25" customHeight="1" x14ac:dyDescent="0.3"/>
    <row r="16" spans="1:1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" ht="14.25" customHeight="1" x14ac:dyDescent="0.3">
      <c r="A1" s="6" t="s">
        <v>149</v>
      </c>
    </row>
    <row r="2" spans="1:1" ht="14.25" customHeight="1" x14ac:dyDescent="0.3">
      <c r="A2" s="6" t="s">
        <v>150</v>
      </c>
    </row>
    <row r="3" spans="1:1" ht="14.25" customHeight="1" x14ac:dyDescent="0.3">
      <c r="A3" s="6" t="s">
        <v>151</v>
      </c>
    </row>
    <row r="4" spans="1:1" ht="14.25" customHeight="1" x14ac:dyDescent="0.3">
      <c r="A4" s="6" t="s">
        <v>152</v>
      </c>
    </row>
    <row r="5" spans="1:1" ht="14.25" customHeight="1" x14ac:dyDescent="0.3">
      <c r="A5" s="6" t="s">
        <v>153</v>
      </c>
    </row>
    <row r="6" spans="1:1" ht="14.25" customHeight="1" x14ac:dyDescent="0.3">
      <c r="A6" s="6" t="s">
        <v>154</v>
      </c>
    </row>
    <row r="7" spans="1:1" ht="14.25" customHeight="1" x14ac:dyDescent="0.3">
      <c r="A7" s="6" t="s">
        <v>155</v>
      </c>
    </row>
    <row r="8" spans="1:1" ht="14.25" customHeight="1" x14ac:dyDescent="0.3">
      <c r="A8" s="6" t="s">
        <v>156</v>
      </c>
    </row>
    <row r="9" spans="1:1" ht="14.25" customHeight="1" x14ac:dyDescent="0.3"/>
    <row r="10" spans="1:1" ht="14.25" customHeight="1" x14ac:dyDescent="0.3"/>
    <row r="11" spans="1:1" ht="14.25" customHeight="1" x14ac:dyDescent="0.3"/>
    <row r="12" spans="1:1" ht="14.25" customHeight="1" x14ac:dyDescent="0.3"/>
    <row r="13" spans="1:1" ht="14.25" customHeight="1" x14ac:dyDescent="0.3"/>
    <row r="14" spans="1:1" ht="14.25" customHeight="1" x14ac:dyDescent="0.3"/>
    <row r="15" spans="1:1" ht="14.25" customHeight="1" x14ac:dyDescent="0.3"/>
    <row r="16" spans="1: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25" customHeight="1" x14ac:dyDescent="0.3">
      <c r="A1" s="6" t="s">
        <v>157</v>
      </c>
      <c r="B1" s="6" t="s">
        <v>158</v>
      </c>
    </row>
    <row r="2" spans="1:2" ht="14.25" customHeight="1" x14ac:dyDescent="0.3">
      <c r="B2" s="6" t="s">
        <v>52</v>
      </c>
    </row>
    <row r="3" spans="1:2" ht="14.25" customHeight="1" x14ac:dyDescent="0.3">
      <c r="B3" s="6" t="s">
        <v>56</v>
      </c>
    </row>
    <row r="4" spans="1:2" ht="14.25" customHeight="1" x14ac:dyDescent="0.3"/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Metadata/LabelInfo.xml><?xml version="1.0" encoding="utf-8"?>
<clbl:labelList xmlns:clbl="http://schemas.microsoft.com/office/2020/mipLabelMetadata">
  <clbl:label id="{541a732f-c4e1-4126-b99e-0475854ef04b}" enabled="1" method="Standard" siteId="{be55e3d7-a296-4248-b38b-cbef3af2203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RacePerformance</vt:lpstr>
      <vt:lpstr>Chicks</vt:lpstr>
      <vt:lpstr>Cocks</vt:lpstr>
      <vt:lpstr>Hens</vt:lpstr>
      <vt:lpstr>Pairs</vt:lpstr>
      <vt:lpstr>ByRound</vt:lpstr>
      <vt:lpstr>ByMonth</vt:lpstr>
      <vt:lpstr>Summary</vt:lpstr>
      <vt:lpstr>Instructions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Duvenage</dc:creator>
  <cp:lastModifiedBy>Eugene Duvenage</cp:lastModifiedBy>
  <dcterms:created xsi:type="dcterms:W3CDTF">2026-06-22T18:02:19Z</dcterms:created>
  <dcterms:modified xsi:type="dcterms:W3CDTF">2026-06-22T18:02:19Z</dcterms:modified>
</cp:coreProperties>
</file>